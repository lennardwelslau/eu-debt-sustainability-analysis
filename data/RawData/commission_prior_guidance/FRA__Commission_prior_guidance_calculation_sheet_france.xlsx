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U:\SUSTAINABILITY\EU Fiscal Framework - Technical guidance\Outputs\SF24\Excel spreadsheets\2024-06-19 prior guidance - calculation sheets\"/>
    </mc:Choice>
  </mc:AlternateContent>
  <xr:revisionPtr revIDLastSave="0" documentId="13_ncr:1_{A7C685AB-F5F3-4638-8981-71C2980AB316}" xr6:coauthVersionLast="47" xr6:coauthVersionMax="47" xr10:uidLastSave="{00000000-0000-0000-0000-000000000000}"/>
  <bookViews>
    <workbookView xWindow="-28920" yWindow="-120" windowWidth="29040" windowHeight="15840" tabRatio="788" xr2:uid="{00000000-000D-0000-FFFF-FFFF00000000}"/>
  </bookViews>
  <sheets>
    <sheet name="Read me" sheetId="32" r:id="rId1"/>
    <sheet name="Criteria results" sheetId="20" r:id="rId2"/>
    <sheet name="Input data" sheetId="8" r:id="rId3"/>
    <sheet name="Baseline NFPC" sheetId="9" r:id="rId4"/>
    <sheet name="Adjustment scenario" sheetId="21" r:id="rId5"/>
    <sheet name="Adjust. no safeguard" sheetId="40" r:id="rId6"/>
    <sheet name="Financial stress" sheetId="17" r:id="rId7"/>
    <sheet name="Lower SPB" sheetId="18" r:id="rId8"/>
    <sheet name="Adverse (r-g)" sheetId="19" r:id="rId9"/>
    <sheet name="Stochastic" sheetId="22" r:id="rId10"/>
    <sheet name="FASTOP reporting" sheetId="44" r:id="rId11"/>
    <sheet name="Data_stochastic" sheetId="43"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4" i="40" l="1"/>
  <c r="V14" i="40"/>
  <c r="W14" i="40"/>
  <c r="F53" i="44"/>
  <c r="F57" i="44"/>
  <c r="G57" i="44" s="1"/>
  <c r="H57" i="44" s="1"/>
  <c r="I57" i="44" s="1"/>
  <c r="J57" i="44" s="1"/>
  <c r="K57" i="44" s="1"/>
  <c r="L57" i="44" s="1"/>
  <c r="M57" i="44" s="1"/>
  <c r="N57" i="44" s="1"/>
  <c r="O57" i="44" s="1"/>
  <c r="P57" i="44" s="1"/>
  <c r="Q57" i="44" s="1"/>
  <c r="R57" i="44" s="1"/>
  <c r="S57" i="44" s="1"/>
  <c r="T57" i="44" s="1"/>
  <c r="U57" i="44" s="1"/>
  <c r="V57" i="44" s="1"/>
  <c r="W57" i="44" s="1"/>
  <c r="X57" i="44" s="1"/>
  <c r="F40" i="44"/>
  <c r="G40" i="44" s="1"/>
  <c r="H40" i="44" s="1"/>
  <c r="I40" i="44" s="1"/>
  <c r="J40" i="44" s="1"/>
  <c r="K40" i="44" s="1"/>
  <c r="L40" i="44" s="1"/>
  <c r="M40" i="44" s="1"/>
  <c r="N40" i="44" s="1"/>
  <c r="O40" i="44" s="1"/>
  <c r="P40" i="44" s="1"/>
  <c r="Q40" i="44" s="1"/>
  <c r="R40" i="44" s="1"/>
  <c r="S40" i="44" s="1"/>
  <c r="T40" i="44" s="1"/>
  <c r="U40" i="44" s="1"/>
  <c r="V40" i="44" s="1"/>
  <c r="W40" i="44" s="1"/>
  <c r="X40" i="44" s="1"/>
  <c r="F29" i="44"/>
  <c r="G29" i="44" s="1"/>
  <c r="H29" i="44" s="1"/>
  <c r="I29" i="44" s="1"/>
  <c r="J29" i="44" s="1"/>
  <c r="K29" i="44" s="1"/>
  <c r="L29" i="44" s="1"/>
  <c r="M29" i="44" s="1"/>
  <c r="N29" i="44" s="1"/>
  <c r="O29" i="44" s="1"/>
  <c r="P29" i="44" s="1"/>
  <c r="Q29" i="44" s="1"/>
  <c r="R29" i="44" s="1"/>
  <c r="S29" i="44" s="1"/>
  <c r="T29" i="44" s="1"/>
  <c r="U29" i="44" s="1"/>
  <c r="V29" i="44" s="1"/>
  <c r="W29" i="44" s="1"/>
  <c r="X29" i="44" s="1"/>
  <c r="F26" i="44"/>
  <c r="G26" i="44" s="1"/>
  <c r="H26" i="44" s="1"/>
  <c r="I26" i="44" s="1"/>
  <c r="J26" i="44" s="1"/>
  <c r="K26" i="44" s="1"/>
  <c r="L26" i="44" s="1"/>
  <c r="M26" i="44" s="1"/>
  <c r="N26" i="44" s="1"/>
  <c r="O26" i="44" s="1"/>
  <c r="P26" i="44" s="1"/>
  <c r="Q26" i="44" s="1"/>
  <c r="R26" i="44" s="1"/>
  <c r="S26" i="44" s="1"/>
  <c r="T26" i="44" s="1"/>
  <c r="U26" i="44" s="1"/>
  <c r="V26" i="44" s="1"/>
  <c r="W26" i="44" s="1"/>
  <c r="X26" i="44" s="1"/>
  <c r="F22" i="44"/>
  <c r="G22" i="44" s="1"/>
  <c r="H22" i="44" s="1"/>
  <c r="I22" i="44" s="1"/>
  <c r="J22" i="44" s="1"/>
  <c r="K22" i="44" s="1"/>
  <c r="L22" i="44" s="1"/>
  <c r="M22" i="44" s="1"/>
  <c r="N22" i="44" s="1"/>
  <c r="O22" i="44" s="1"/>
  <c r="P22" i="44" s="1"/>
  <c r="Q22" i="44" s="1"/>
  <c r="R22" i="44" s="1"/>
  <c r="S22" i="44" s="1"/>
  <c r="T22" i="44" s="1"/>
  <c r="U22" i="44" s="1"/>
  <c r="V22" i="44" s="1"/>
  <c r="W22" i="44" s="1"/>
  <c r="X22" i="44" s="1"/>
  <c r="F4" i="44"/>
  <c r="G4" i="44" s="1"/>
  <c r="H4" i="44" s="1"/>
  <c r="I4" i="44" s="1"/>
  <c r="J4" i="44" s="1"/>
  <c r="K4" i="44" s="1"/>
  <c r="L4" i="44" s="1"/>
  <c r="M4" i="44" s="1"/>
  <c r="N4" i="44" s="1"/>
  <c r="O4" i="44" s="1"/>
  <c r="P4" i="44" s="1"/>
  <c r="Q4" i="44" s="1"/>
  <c r="R4" i="44" s="1"/>
  <c r="S4" i="44" s="1"/>
  <c r="T4" i="44" s="1"/>
  <c r="U4" i="44" s="1"/>
  <c r="V4" i="44" s="1"/>
  <c r="W4" i="44" s="1"/>
  <c r="X4" i="44" s="1"/>
  <c r="B59" i="44"/>
  <c r="B60" i="44" s="1"/>
  <c r="B61" i="44" s="1"/>
  <c r="B62" i="44" s="1"/>
  <c r="E4" i="44" l="1"/>
  <c r="E22" i="44"/>
  <c r="E26" i="44"/>
  <c r="E29" i="44"/>
  <c r="C6" i="8" l="1"/>
  <c r="F35" i="44" l="1"/>
  <c r="E35" i="44" s="1"/>
  <c r="W104" i="40"/>
  <c r="V104" i="40"/>
  <c r="U104" i="40"/>
  <c r="T104" i="40"/>
  <c r="S104" i="40"/>
  <c r="R104" i="40"/>
  <c r="Q104" i="40"/>
  <c r="P104" i="40"/>
  <c r="O104" i="40"/>
  <c r="N104" i="40"/>
  <c r="M104" i="40"/>
  <c r="L104" i="40"/>
  <c r="K104" i="40"/>
  <c r="J104" i="40"/>
  <c r="I104" i="40"/>
  <c r="H104" i="40"/>
  <c r="G104" i="40"/>
  <c r="F104" i="40"/>
  <c r="E104" i="40"/>
  <c r="D51" i="40"/>
  <c r="C47" i="40"/>
  <c r="B17" i="40"/>
  <c r="W63" i="40"/>
  <c r="V63" i="40"/>
  <c r="U63" i="40"/>
  <c r="T14" i="40"/>
  <c r="T63" i="40" s="1"/>
  <c r="S14" i="40"/>
  <c r="S63" i="40" s="1"/>
  <c r="R14" i="40"/>
  <c r="R63" i="40" s="1"/>
  <c r="Q14" i="40"/>
  <c r="Q63" i="40" s="1"/>
  <c r="P14" i="40"/>
  <c r="P63" i="40" s="1"/>
  <c r="O14" i="40"/>
  <c r="O63" i="40" s="1"/>
  <c r="N14" i="40"/>
  <c r="N63" i="40" s="1"/>
  <c r="M14" i="40"/>
  <c r="M63" i="40" s="1"/>
  <c r="L14" i="40"/>
  <c r="L63" i="40" s="1"/>
  <c r="K14" i="40"/>
  <c r="K63" i="40" s="1"/>
  <c r="J14" i="40"/>
  <c r="J63" i="40" s="1"/>
  <c r="I14" i="40"/>
  <c r="I63" i="40" s="1"/>
  <c r="H14" i="40"/>
  <c r="H63" i="40" s="1"/>
  <c r="C5" i="40"/>
  <c r="D65" i="40" s="1"/>
  <c r="B5" i="40"/>
  <c r="C7" i="40" l="1"/>
  <c r="C6" i="40"/>
  <c r="J64" i="40" s="1"/>
  <c r="E65" i="40"/>
  <c r="F65" i="40"/>
  <c r="E64" i="40" l="1"/>
  <c r="J65" i="40"/>
  <c r="I65" i="40"/>
  <c r="H65" i="40"/>
  <c r="G65" i="40"/>
  <c r="I64" i="40"/>
  <c r="H64" i="40"/>
  <c r="G64" i="40"/>
  <c r="F64" i="40"/>
  <c r="D64" i="40"/>
  <c r="B5" i="22" l="1"/>
  <c r="B5" i="19"/>
  <c r="B5" i="18"/>
  <c r="B5" i="17"/>
  <c r="B5" i="21"/>
  <c r="B5" i="9"/>
  <c r="I99" i="9" l="1"/>
  <c r="J99" i="9"/>
  <c r="K99" i="9"/>
  <c r="L99" i="9"/>
  <c r="M99" i="9"/>
  <c r="N99" i="9"/>
  <c r="O99" i="9"/>
  <c r="P99" i="9"/>
  <c r="Q99" i="9"/>
  <c r="R99" i="9"/>
  <c r="S99" i="9"/>
  <c r="T99" i="9"/>
  <c r="U99" i="9"/>
  <c r="V99" i="9"/>
  <c r="W99" i="9"/>
  <c r="H99" i="9"/>
  <c r="H62" i="9"/>
  <c r="E99" i="9" l="1"/>
  <c r="F99" i="9"/>
  <c r="G99" i="9"/>
  <c r="L14" i="21"/>
  <c r="M9" i="44" s="1"/>
  <c r="B17" i="21" l="1"/>
  <c r="B16" i="19"/>
  <c r="B16" i="18"/>
  <c r="B16" i="17"/>
  <c r="B16" i="9"/>
  <c r="E96" i="19" l="1"/>
  <c r="F96" i="19"/>
  <c r="G96" i="19"/>
  <c r="E95" i="18"/>
  <c r="F95" i="18"/>
  <c r="G95" i="18"/>
  <c r="E95" i="17"/>
  <c r="F95" i="17"/>
  <c r="G95" i="17"/>
  <c r="H13" i="17" l="1"/>
  <c r="F87" i="21" l="1"/>
  <c r="C27" i="40"/>
  <c r="C19" i="40"/>
  <c r="Q72" i="40"/>
  <c r="F15" i="40"/>
  <c r="F73" i="40" s="1"/>
  <c r="C57" i="40"/>
  <c r="D42" i="40"/>
  <c r="P72" i="40"/>
  <c r="U15" i="40"/>
  <c r="U73" i="40" s="1"/>
  <c r="E15" i="40"/>
  <c r="E73" i="40" s="1"/>
  <c r="O72" i="40"/>
  <c r="D15" i="40"/>
  <c r="D73" i="40" s="1"/>
  <c r="N72" i="40"/>
  <c r="C15" i="40"/>
  <c r="M72" i="40"/>
  <c r="Q15" i="40"/>
  <c r="Q73" i="40" s="1"/>
  <c r="F14" i="40"/>
  <c r="F63" i="40" s="1"/>
  <c r="O15" i="40"/>
  <c r="O73" i="40" s="1"/>
  <c r="D14" i="40"/>
  <c r="D63" i="40" s="1"/>
  <c r="N15" i="40"/>
  <c r="N73" i="40" s="1"/>
  <c r="I19" i="40"/>
  <c r="C24" i="40"/>
  <c r="F36" i="40"/>
  <c r="U72" i="40"/>
  <c r="C12" i="40"/>
  <c r="E36" i="40"/>
  <c r="C42" i="40"/>
  <c r="T15" i="40"/>
  <c r="T73" i="40" s="1"/>
  <c r="G37" i="40"/>
  <c r="S15" i="40"/>
  <c r="S73" i="40" s="1"/>
  <c r="F37" i="40"/>
  <c r="R15" i="40"/>
  <c r="R73" i="40" s="1"/>
  <c r="G14" i="40"/>
  <c r="G63" i="40" s="1"/>
  <c r="E37" i="40"/>
  <c r="L72" i="40"/>
  <c r="J19" i="40"/>
  <c r="M15" i="40"/>
  <c r="M73" i="40" s="1"/>
  <c r="L15" i="40"/>
  <c r="L73" i="40" s="1"/>
  <c r="V72" i="40"/>
  <c r="D12" i="40"/>
  <c r="G19" i="40"/>
  <c r="J15" i="40"/>
  <c r="J73" i="40" s="1"/>
  <c r="F19" i="40"/>
  <c r="O41" i="9"/>
  <c r="D37" i="40"/>
  <c r="C23" i="40"/>
  <c r="K72" i="40"/>
  <c r="P15" i="40"/>
  <c r="P73" i="40" s="1"/>
  <c r="E14" i="40"/>
  <c r="E63" i="40" s="1"/>
  <c r="J72" i="40"/>
  <c r="I72" i="40"/>
  <c r="C14" i="40"/>
  <c r="H72" i="40"/>
  <c r="D38" i="40"/>
  <c r="W72" i="40"/>
  <c r="H19" i="40"/>
  <c r="K15" i="40"/>
  <c r="K73" i="40" s="1"/>
  <c r="O37" i="40"/>
  <c r="E72" i="40"/>
  <c r="C48" i="40"/>
  <c r="F42" i="40"/>
  <c r="D36" i="40"/>
  <c r="C36" i="40"/>
  <c r="E19" i="40"/>
  <c r="R72" i="40"/>
  <c r="D71" i="9"/>
  <c r="W15" i="40"/>
  <c r="W73" i="40" s="1"/>
  <c r="I15" i="40"/>
  <c r="I73" i="40" s="1"/>
  <c r="T72" i="40"/>
  <c r="S72" i="40"/>
  <c r="D19" i="40"/>
  <c r="H15" i="40"/>
  <c r="H73" i="40" s="1"/>
  <c r="D79" i="40"/>
  <c r="C3" i="40"/>
  <c r="E42" i="40"/>
  <c r="P51" i="44" l="1"/>
  <c r="F79" i="40"/>
  <c r="E79" i="40"/>
  <c r="V15" i="40"/>
  <c r="V73" i="40" s="1"/>
  <c r="V74" i="40" s="1"/>
  <c r="E12" i="40"/>
  <c r="E52" i="40" s="1"/>
  <c r="D50" i="40"/>
  <c r="E51" i="40" s="1"/>
  <c r="O42" i="21"/>
  <c r="O42" i="40"/>
  <c r="H2" i="43" a="1"/>
  <c r="H2" i="43" s="1"/>
  <c r="C11" i="22"/>
  <c r="D79" i="21"/>
  <c r="D78" i="9"/>
  <c r="L74" i="40"/>
  <c r="F79" i="21"/>
  <c r="F78" i="9"/>
  <c r="E79" i="21"/>
  <c r="E78" i="9"/>
  <c r="W74" i="40"/>
  <c r="K19" i="40"/>
  <c r="K65" i="40"/>
  <c r="L19" i="40"/>
  <c r="L65" i="40"/>
  <c r="C33" i="40"/>
  <c r="M19" i="40"/>
  <c r="M65" i="40"/>
  <c r="C30" i="40"/>
  <c r="E74" i="40"/>
  <c r="R74" i="40"/>
  <c r="U74" i="40"/>
  <c r="H74" i="40"/>
  <c r="D72" i="40"/>
  <c r="D74" i="40" s="1"/>
  <c r="I74" i="40"/>
  <c r="S74" i="40"/>
  <c r="P19" i="40"/>
  <c r="P65" i="40"/>
  <c r="G14" i="9"/>
  <c r="G15" i="40"/>
  <c r="G73" i="40" s="1"/>
  <c r="G36" i="19"/>
  <c r="G36" i="40"/>
  <c r="O38" i="19"/>
  <c r="O38" i="40"/>
  <c r="M74" i="40"/>
  <c r="F12" i="21"/>
  <c r="F12" i="40"/>
  <c r="R19" i="40"/>
  <c r="R65" i="40"/>
  <c r="W19" i="40"/>
  <c r="W65" i="40"/>
  <c r="F71" i="9"/>
  <c r="F72" i="40"/>
  <c r="K74" i="40"/>
  <c r="S19" i="40"/>
  <c r="S65" i="40"/>
  <c r="G23" i="9"/>
  <c r="H50" i="44" s="1"/>
  <c r="N19" i="40"/>
  <c r="N65" i="40"/>
  <c r="U19" i="40"/>
  <c r="U65" i="40"/>
  <c r="P74" i="40"/>
  <c r="V19" i="40"/>
  <c r="V65" i="40"/>
  <c r="E37" i="9"/>
  <c r="F47" i="44" s="1"/>
  <c r="E38" i="40"/>
  <c r="F37" i="9"/>
  <c r="G47" i="44" s="1"/>
  <c r="F38" i="40"/>
  <c r="Q19" i="40"/>
  <c r="Q65" i="40"/>
  <c r="G71" i="9"/>
  <c r="G72" i="40"/>
  <c r="G37" i="9"/>
  <c r="H47" i="44" s="1"/>
  <c r="G38" i="40"/>
  <c r="H37" i="40"/>
  <c r="I37" i="40" s="1"/>
  <c r="J37" i="40" s="1"/>
  <c r="K37" i="40" s="1"/>
  <c r="L37" i="40" s="1"/>
  <c r="M37" i="40" s="1"/>
  <c r="N37" i="40" s="1"/>
  <c r="D60" i="40"/>
  <c r="Q74" i="40"/>
  <c r="J74" i="40"/>
  <c r="T19" i="40"/>
  <c r="T65" i="40"/>
  <c r="G42" i="19"/>
  <c r="G42" i="40"/>
  <c r="O19" i="40"/>
  <c r="O65" i="40"/>
  <c r="T74" i="40"/>
  <c r="D27" i="40"/>
  <c r="E27" i="40" s="1"/>
  <c r="F27" i="40" s="1"/>
  <c r="G27" i="40" s="1"/>
  <c r="H27" i="40" s="1"/>
  <c r="I27" i="40" s="1"/>
  <c r="J27" i="40" s="1"/>
  <c r="K27" i="40" s="1"/>
  <c r="L27" i="40" s="1"/>
  <c r="M27" i="40" s="1"/>
  <c r="N27" i="40" s="1"/>
  <c r="O27" i="40" s="1"/>
  <c r="P27" i="40" s="1"/>
  <c r="Q27" i="40" s="1"/>
  <c r="R27" i="40" s="1"/>
  <c r="S27" i="40" s="1"/>
  <c r="T27" i="40" s="1"/>
  <c r="U27" i="40" s="1"/>
  <c r="V27" i="40" s="1"/>
  <c r="W27" i="40" s="1"/>
  <c r="C92" i="40"/>
  <c r="D70" i="40"/>
  <c r="O74" i="40"/>
  <c r="N74" i="40"/>
  <c r="D52" i="40"/>
  <c r="C58" i="8"/>
  <c r="O37" i="19"/>
  <c r="V14" i="9"/>
  <c r="V14" i="19"/>
  <c r="V14" i="18"/>
  <c r="V14" i="17"/>
  <c r="V15" i="21"/>
  <c r="L14" i="9"/>
  <c r="L14" i="19"/>
  <c r="L14" i="18"/>
  <c r="L15" i="21"/>
  <c r="L14" i="17"/>
  <c r="W14" i="9"/>
  <c r="W14" i="19"/>
  <c r="W14" i="18"/>
  <c r="W14" i="17"/>
  <c r="W15" i="21"/>
  <c r="M14" i="9"/>
  <c r="M14" i="19"/>
  <c r="M14" i="18"/>
  <c r="M14" i="17"/>
  <c r="M15" i="21"/>
  <c r="N14" i="9"/>
  <c r="N14" i="18"/>
  <c r="N14" i="17"/>
  <c r="N15" i="21"/>
  <c r="N14" i="19"/>
  <c r="Q14" i="9"/>
  <c r="Q14" i="19"/>
  <c r="Q14" i="18"/>
  <c r="Q14" i="17"/>
  <c r="Q15" i="21"/>
  <c r="T14" i="9"/>
  <c r="T15" i="21"/>
  <c r="T14" i="18"/>
  <c r="T14" i="17"/>
  <c r="T14" i="19"/>
  <c r="K14" i="9"/>
  <c r="K14" i="19"/>
  <c r="K15" i="21"/>
  <c r="K14" i="17"/>
  <c r="K14" i="18"/>
  <c r="J14" i="9"/>
  <c r="J14" i="19"/>
  <c r="J14" i="17"/>
  <c r="J14" i="18"/>
  <c r="J15" i="21"/>
  <c r="S14" i="9"/>
  <c r="S14" i="19"/>
  <c r="S15" i="21"/>
  <c r="S14" i="18"/>
  <c r="S14" i="17"/>
  <c r="U14" i="9"/>
  <c r="U14" i="19"/>
  <c r="U14" i="18"/>
  <c r="U14" i="17"/>
  <c r="U15" i="21"/>
  <c r="R14" i="9"/>
  <c r="R14" i="18"/>
  <c r="R14" i="17"/>
  <c r="R14" i="19"/>
  <c r="R15" i="21"/>
  <c r="H14" i="9"/>
  <c r="H72" i="9" s="1"/>
  <c r="H14" i="19"/>
  <c r="H14" i="17"/>
  <c r="H14" i="18"/>
  <c r="H15" i="21"/>
  <c r="P14" i="9"/>
  <c r="P14" i="19"/>
  <c r="P14" i="18"/>
  <c r="P14" i="17"/>
  <c r="P15" i="21"/>
  <c r="I14" i="9"/>
  <c r="I14" i="19"/>
  <c r="I14" i="18"/>
  <c r="I15" i="21"/>
  <c r="I14" i="17"/>
  <c r="O14" i="9"/>
  <c r="O14" i="19"/>
  <c r="O14" i="18"/>
  <c r="O14" i="17"/>
  <c r="O15" i="21"/>
  <c r="F37" i="19"/>
  <c r="F36" i="18"/>
  <c r="G37" i="18"/>
  <c r="G38" i="19"/>
  <c r="E37" i="19"/>
  <c r="E36" i="18"/>
  <c r="F37" i="18"/>
  <c r="F38" i="19"/>
  <c r="E38" i="19"/>
  <c r="E37" i="18"/>
  <c r="D38" i="19"/>
  <c r="D37" i="18"/>
  <c r="G37" i="19"/>
  <c r="G36" i="18"/>
  <c r="D37" i="19"/>
  <c r="D36" i="18"/>
  <c r="F37" i="21"/>
  <c r="G11" i="44" s="1"/>
  <c r="F36" i="17"/>
  <c r="F36" i="9"/>
  <c r="G46" i="44" s="1"/>
  <c r="G38" i="21"/>
  <c r="H12" i="44" s="1"/>
  <c r="G37" i="17"/>
  <c r="E36" i="17"/>
  <c r="E37" i="21"/>
  <c r="F11" i="44" s="1"/>
  <c r="E36" i="9"/>
  <c r="F46" i="44" s="1"/>
  <c r="E38" i="21"/>
  <c r="F12" i="44" s="1"/>
  <c r="E37" i="17"/>
  <c r="D38" i="21"/>
  <c r="D37" i="17"/>
  <c r="F37" i="17"/>
  <c r="F38" i="21"/>
  <c r="G12" i="44" s="1"/>
  <c r="G36" i="17"/>
  <c r="G36" i="9"/>
  <c r="H46" i="44" s="1"/>
  <c r="G37" i="21"/>
  <c r="H11" i="44" s="1"/>
  <c r="D36" i="17"/>
  <c r="D37" i="21"/>
  <c r="U41" i="9"/>
  <c r="V41" i="9"/>
  <c r="W41" i="9"/>
  <c r="G13" i="17"/>
  <c r="G13" i="18"/>
  <c r="G13" i="19"/>
  <c r="G14" i="17"/>
  <c r="G14" i="18"/>
  <c r="G14" i="19"/>
  <c r="O36" i="18"/>
  <c r="O37" i="18"/>
  <c r="G35" i="9"/>
  <c r="H48" i="44" s="1"/>
  <c r="G35" i="18"/>
  <c r="G35" i="17"/>
  <c r="G41" i="17"/>
  <c r="G41" i="18"/>
  <c r="Q41" i="9"/>
  <c r="R41" i="9"/>
  <c r="S41" i="9"/>
  <c r="T41" i="9"/>
  <c r="P41" i="9"/>
  <c r="O38" i="21"/>
  <c r="P12" i="44" s="1"/>
  <c r="O37" i="9"/>
  <c r="P47" i="44" s="1"/>
  <c r="G42" i="21"/>
  <c r="G41" i="9"/>
  <c r="G15" i="21"/>
  <c r="O37" i="21"/>
  <c r="P11" i="44" s="1"/>
  <c r="O36" i="9"/>
  <c r="P46" i="44" s="1"/>
  <c r="G14" i="21"/>
  <c r="H9" i="44" s="1"/>
  <c r="G13" i="9"/>
  <c r="G36" i="21"/>
  <c r="C5" i="9"/>
  <c r="C6" i="9" s="1"/>
  <c r="F74" i="40" l="1"/>
  <c r="H13" i="44"/>
  <c r="E60" i="40"/>
  <c r="E50" i="40"/>
  <c r="F50" i="40" s="1"/>
  <c r="G7" i="44"/>
  <c r="P17" i="44"/>
  <c r="H17" i="44"/>
  <c r="H24" i="44"/>
  <c r="F25" i="44"/>
  <c r="F24" i="44"/>
  <c r="G32" i="44"/>
  <c r="F32" i="44"/>
  <c r="P32" i="44"/>
  <c r="H25" i="44"/>
  <c r="F31" i="44"/>
  <c r="H32" i="44"/>
  <c r="H31" i="44"/>
  <c r="G24" i="44"/>
  <c r="G31" i="44"/>
  <c r="P31" i="44"/>
  <c r="G25" i="44"/>
  <c r="H41" i="9"/>
  <c r="H51" i="44"/>
  <c r="P42" i="40"/>
  <c r="Q51" i="44"/>
  <c r="T42" i="40"/>
  <c r="U51" i="44"/>
  <c r="S42" i="40"/>
  <c r="T51" i="44"/>
  <c r="R42" i="40"/>
  <c r="S51" i="44"/>
  <c r="Q42" i="40"/>
  <c r="R51" i="44"/>
  <c r="W42" i="40"/>
  <c r="X51" i="44"/>
  <c r="V42" i="40"/>
  <c r="W51" i="44"/>
  <c r="U42" i="40"/>
  <c r="V51" i="44"/>
  <c r="I2" i="43" a="1"/>
  <c r="I2" i="43" s="1"/>
  <c r="F12" i="18"/>
  <c r="H64" i="9"/>
  <c r="H38" i="40"/>
  <c r="I38" i="40" s="1"/>
  <c r="J38" i="40" s="1"/>
  <c r="K38" i="40" s="1"/>
  <c r="L38" i="40" s="1"/>
  <c r="M38" i="40" s="1"/>
  <c r="N38" i="40" s="1"/>
  <c r="F60" i="40"/>
  <c r="F52" i="40"/>
  <c r="G74" i="40"/>
  <c r="H37" i="9"/>
  <c r="G98" i="9"/>
  <c r="I37" i="19"/>
  <c r="H37" i="19"/>
  <c r="N38" i="19"/>
  <c r="H38" i="19"/>
  <c r="H37" i="21"/>
  <c r="N37" i="19"/>
  <c r="M37" i="19"/>
  <c r="F63" i="9"/>
  <c r="H36" i="18"/>
  <c r="I36" i="18" s="1"/>
  <c r="J36" i="18" s="1"/>
  <c r="K36" i="18" s="1"/>
  <c r="L36" i="18" s="1"/>
  <c r="M36" i="18" s="1"/>
  <c r="N36" i="18" s="1"/>
  <c r="J37" i="19"/>
  <c r="L37" i="19"/>
  <c r="K37" i="19"/>
  <c r="J38" i="19"/>
  <c r="L38" i="19"/>
  <c r="I38" i="19"/>
  <c r="M38" i="19"/>
  <c r="K38" i="19"/>
  <c r="L37" i="17"/>
  <c r="M37" i="17"/>
  <c r="H37" i="18"/>
  <c r="I37" i="18" s="1"/>
  <c r="J37" i="18" s="1"/>
  <c r="K37" i="18" s="1"/>
  <c r="L37" i="18" s="1"/>
  <c r="M37" i="18" s="1"/>
  <c r="N37" i="18" s="1"/>
  <c r="L36" i="17"/>
  <c r="M36" i="17"/>
  <c r="H36" i="9"/>
  <c r="H38" i="21"/>
  <c r="F64" i="9"/>
  <c r="V37" i="9"/>
  <c r="W37" i="9"/>
  <c r="U37" i="9"/>
  <c r="O36" i="17"/>
  <c r="W36" i="9"/>
  <c r="U36" i="9"/>
  <c r="V36" i="9"/>
  <c r="S37" i="9"/>
  <c r="T37" i="9"/>
  <c r="Q37" i="9"/>
  <c r="P37" i="9"/>
  <c r="R37" i="9"/>
  <c r="Q36" i="9"/>
  <c r="R46" i="44" s="1"/>
  <c r="S36" i="9"/>
  <c r="T36" i="9"/>
  <c r="P36" i="9"/>
  <c r="R36" i="9"/>
  <c r="I41" i="9"/>
  <c r="N41" i="9"/>
  <c r="J41" i="9"/>
  <c r="K41" i="9"/>
  <c r="L41" i="9"/>
  <c r="M41" i="9"/>
  <c r="G32" i="9"/>
  <c r="H52" i="44" s="1"/>
  <c r="D23" i="9"/>
  <c r="D24" i="40" s="1"/>
  <c r="F41" i="17"/>
  <c r="E23" i="9"/>
  <c r="F23" i="9"/>
  <c r="C56" i="17"/>
  <c r="C3" i="9"/>
  <c r="H13" i="19"/>
  <c r="I13" i="19"/>
  <c r="J13" i="19"/>
  <c r="K13" i="19"/>
  <c r="L13" i="19"/>
  <c r="M13" i="19"/>
  <c r="N13" i="19"/>
  <c r="O13" i="19"/>
  <c r="P13" i="19"/>
  <c r="Q13" i="19"/>
  <c r="R13" i="19"/>
  <c r="S13" i="19"/>
  <c r="T13" i="19"/>
  <c r="U13" i="19"/>
  <c r="V13" i="19"/>
  <c r="W13" i="19"/>
  <c r="H13" i="18"/>
  <c r="I13" i="18"/>
  <c r="J13" i="18"/>
  <c r="K13" i="18"/>
  <c r="L13" i="18"/>
  <c r="M13" i="18"/>
  <c r="N13" i="18"/>
  <c r="O13" i="18"/>
  <c r="P13" i="18"/>
  <c r="Q13" i="18"/>
  <c r="R13" i="18"/>
  <c r="S13" i="18"/>
  <c r="T13" i="18"/>
  <c r="U13" i="18"/>
  <c r="V13" i="18"/>
  <c r="W13" i="18"/>
  <c r="I13" i="17"/>
  <c r="J13" i="17"/>
  <c r="K13" i="17"/>
  <c r="L13" i="17"/>
  <c r="M13" i="17"/>
  <c r="N13" i="17"/>
  <c r="O13" i="17"/>
  <c r="P13" i="17"/>
  <c r="Q13" i="17"/>
  <c r="R13" i="17"/>
  <c r="S13" i="17"/>
  <c r="T13" i="17"/>
  <c r="U13" i="17"/>
  <c r="V13" i="17"/>
  <c r="W13" i="17"/>
  <c r="H14" i="21"/>
  <c r="I9" i="44" s="1"/>
  <c r="I14" i="21"/>
  <c r="J9" i="44" s="1"/>
  <c r="J14" i="21"/>
  <c r="K9" i="44" s="1"/>
  <c r="K14" i="21"/>
  <c r="L9" i="44" s="1"/>
  <c r="M14" i="21"/>
  <c r="N9" i="44" s="1"/>
  <c r="N14" i="21"/>
  <c r="O9" i="44" s="1"/>
  <c r="O14" i="21"/>
  <c r="P9" i="44" s="1"/>
  <c r="P14" i="21"/>
  <c r="Q9" i="44" s="1"/>
  <c r="Q14" i="21"/>
  <c r="R9" i="44" s="1"/>
  <c r="R14" i="21"/>
  <c r="S9" i="44" s="1"/>
  <c r="S14" i="21"/>
  <c r="T9" i="44" s="1"/>
  <c r="T14" i="21"/>
  <c r="U9" i="44" s="1"/>
  <c r="U14" i="21"/>
  <c r="V9" i="44" s="1"/>
  <c r="V14" i="21"/>
  <c r="W9" i="44" s="1"/>
  <c r="W14" i="21"/>
  <c r="X9" i="44" s="1"/>
  <c r="O51" i="44" l="1"/>
  <c r="F51" i="40"/>
  <c r="N38" i="9"/>
  <c r="C43" i="40"/>
  <c r="D39" i="40"/>
  <c r="C39" i="40"/>
  <c r="G43" i="40"/>
  <c r="E43" i="40"/>
  <c r="D43" i="40"/>
  <c r="F43" i="40"/>
  <c r="H41" i="17"/>
  <c r="M24" i="44"/>
  <c r="N25" i="44"/>
  <c r="O32" i="44"/>
  <c r="M25" i="44"/>
  <c r="I31" i="44"/>
  <c r="L32" i="44"/>
  <c r="J31" i="44"/>
  <c r="N32" i="44"/>
  <c r="J32" i="44"/>
  <c r="M32" i="44"/>
  <c r="K32" i="44"/>
  <c r="L31" i="44"/>
  <c r="N24" i="44"/>
  <c r="I32" i="44"/>
  <c r="M31" i="44"/>
  <c r="O31" i="44"/>
  <c r="K31" i="44"/>
  <c r="N31" i="44"/>
  <c r="R37" i="40"/>
  <c r="S46" i="44"/>
  <c r="U38" i="40"/>
  <c r="V47" i="44"/>
  <c r="P37" i="40"/>
  <c r="Q46" i="44"/>
  <c r="W38" i="40"/>
  <c r="X47" i="44"/>
  <c r="I37" i="9"/>
  <c r="I47" i="44"/>
  <c r="U37" i="40"/>
  <c r="V46" i="44"/>
  <c r="S37" i="40"/>
  <c r="T46" i="44"/>
  <c r="T37" i="40"/>
  <c r="U46" i="44"/>
  <c r="R38" i="40"/>
  <c r="S47" i="44"/>
  <c r="I36" i="9"/>
  <c r="I46" i="44"/>
  <c r="V38" i="40"/>
  <c r="W47" i="44"/>
  <c r="P38" i="40"/>
  <c r="Q47" i="44"/>
  <c r="Q38" i="40"/>
  <c r="R47" i="44"/>
  <c r="W37" i="40"/>
  <c r="X46" i="44"/>
  <c r="I42" i="40"/>
  <c r="J51" i="44"/>
  <c r="F24" i="40"/>
  <c r="F33" i="40" s="1"/>
  <c r="G50" i="44"/>
  <c r="T38" i="40"/>
  <c r="U47" i="44"/>
  <c r="M42" i="40"/>
  <c r="N51" i="44"/>
  <c r="S38" i="40"/>
  <c r="T47" i="44"/>
  <c r="L42" i="40"/>
  <c r="M51" i="44"/>
  <c r="K42" i="40"/>
  <c r="L51" i="44"/>
  <c r="E24" i="40"/>
  <c r="E33" i="40" s="1"/>
  <c r="F50" i="44"/>
  <c r="J42" i="40"/>
  <c r="K51" i="44"/>
  <c r="V37" i="40"/>
  <c r="W46" i="44"/>
  <c r="H42" i="40"/>
  <c r="I51" i="44"/>
  <c r="P24" i="44"/>
  <c r="I38" i="21"/>
  <c r="I12" i="44"/>
  <c r="G28" i="44"/>
  <c r="I37" i="21"/>
  <c r="I11" i="44"/>
  <c r="H36" i="17"/>
  <c r="G51" i="40"/>
  <c r="D33" i="40"/>
  <c r="D68" i="40" s="1"/>
  <c r="N42" i="40"/>
  <c r="Q37" i="21"/>
  <c r="R11" i="44" s="1"/>
  <c r="Q37" i="40"/>
  <c r="G96" i="9"/>
  <c r="V38" i="9"/>
  <c r="V39" i="40" s="1"/>
  <c r="W38" i="9"/>
  <c r="W39" i="40" s="1"/>
  <c r="U38" i="9"/>
  <c r="O38" i="9"/>
  <c r="O39" i="40" s="1"/>
  <c r="P38" i="9"/>
  <c r="P39" i="40" s="1"/>
  <c r="N41" i="17"/>
  <c r="P37" i="21"/>
  <c r="Q11" i="44" s="1"/>
  <c r="P36" i="17"/>
  <c r="P36" i="18"/>
  <c r="H42" i="21"/>
  <c r="N42" i="21"/>
  <c r="E24" i="21"/>
  <c r="F16" i="44" s="1"/>
  <c r="E23" i="17"/>
  <c r="F23" i="17"/>
  <c r="F24" i="21"/>
  <c r="D24" i="21"/>
  <c r="D23" i="17"/>
  <c r="G12" i="40" l="1"/>
  <c r="G79" i="40" s="1"/>
  <c r="G16" i="44"/>
  <c r="G38" i="9"/>
  <c r="G39" i="40" s="1"/>
  <c r="M38" i="9"/>
  <c r="M39" i="40" s="1"/>
  <c r="L38" i="9"/>
  <c r="L39" i="40" s="1"/>
  <c r="K38" i="9"/>
  <c r="K39" i="40" s="1"/>
  <c r="J38" i="9"/>
  <c r="I38" i="9"/>
  <c r="I39" i="40" s="1"/>
  <c r="H38" i="9"/>
  <c r="H39" i="40" s="1"/>
  <c r="I17" i="44"/>
  <c r="Q24" i="44"/>
  <c r="J37" i="9"/>
  <c r="J47" i="44"/>
  <c r="J36" i="9"/>
  <c r="J46" i="44"/>
  <c r="O17" i="44"/>
  <c r="J37" i="21"/>
  <c r="J11" i="44"/>
  <c r="I24" i="44"/>
  <c r="J38" i="21"/>
  <c r="J12" i="44"/>
  <c r="G2" i="43" a="1"/>
  <c r="G2" i="43" s="1"/>
  <c r="G101" i="40"/>
  <c r="G101" i="9"/>
  <c r="I36" i="17"/>
  <c r="D69" i="40"/>
  <c r="H43" i="21"/>
  <c r="H43" i="40"/>
  <c r="N39" i="40"/>
  <c r="E39" i="40"/>
  <c r="U39" i="21"/>
  <c r="U39" i="40"/>
  <c r="U43" i="21"/>
  <c r="U43" i="40"/>
  <c r="I43" i="21"/>
  <c r="I43" i="40"/>
  <c r="R43" i="21"/>
  <c r="R43" i="40"/>
  <c r="Q43" i="21"/>
  <c r="Q43" i="40"/>
  <c r="V43" i="21"/>
  <c r="V43" i="40"/>
  <c r="K43" i="21"/>
  <c r="K43" i="40"/>
  <c r="S43" i="21"/>
  <c r="S43" i="40"/>
  <c r="L43" i="21"/>
  <c r="L43" i="40"/>
  <c r="J43" i="21"/>
  <c r="J43" i="40"/>
  <c r="M43" i="21"/>
  <c r="M43" i="40"/>
  <c r="N43" i="21"/>
  <c r="N43" i="40"/>
  <c r="T43" i="21"/>
  <c r="T43" i="40"/>
  <c r="D78" i="40"/>
  <c r="W43" i="21"/>
  <c r="W43" i="40"/>
  <c r="O43" i="21"/>
  <c r="O43" i="40"/>
  <c r="P43" i="21"/>
  <c r="P43" i="40"/>
  <c r="F39" i="40"/>
  <c r="F43" i="21"/>
  <c r="F42" i="17"/>
  <c r="G43" i="21"/>
  <c r="G42" i="17"/>
  <c r="C38" i="17"/>
  <c r="C39" i="19"/>
  <c r="C39" i="21"/>
  <c r="C38" i="18"/>
  <c r="E43" i="21"/>
  <c r="E42" i="17"/>
  <c r="D38" i="17"/>
  <c r="D39" i="19"/>
  <c r="D39" i="21"/>
  <c r="D38" i="18"/>
  <c r="C42" i="17"/>
  <c r="C43" i="21"/>
  <c r="D43" i="21"/>
  <c r="D42" i="17"/>
  <c r="J11" i="20"/>
  <c r="C5" i="22"/>
  <c r="C5" i="19"/>
  <c r="C6" i="19" s="1"/>
  <c r="C5" i="18"/>
  <c r="C6" i="18" s="1"/>
  <c r="C5" i="17"/>
  <c r="C6" i="17" s="1"/>
  <c r="G50" i="40" l="1"/>
  <c r="K36" i="9"/>
  <c r="K46" i="44"/>
  <c r="K37" i="9"/>
  <c r="K47" i="44"/>
  <c r="H12" i="40"/>
  <c r="H79" i="40" s="1"/>
  <c r="K38" i="21"/>
  <c r="K12" i="44"/>
  <c r="J24" i="44"/>
  <c r="K37" i="21"/>
  <c r="K11" i="44"/>
  <c r="G12" i="17"/>
  <c r="G60" i="40"/>
  <c r="G12" i="18"/>
  <c r="G12" i="19"/>
  <c r="G52" i="40"/>
  <c r="G13" i="40"/>
  <c r="J36" i="17"/>
  <c r="J39" i="21"/>
  <c r="J39" i="40"/>
  <c r="C3" i="22"/>
  <c r="C3" i="17"/>
  <c r="C3" i="18"/>
  <c r="C3" i="19"/>
  <c r="U70" i="17"/>
  <c r="U71" i="19"/>
  <c r="V71" i="19"/>
  <c r="W71" i="19"/>
  <c r="U70" i="18"/>
  <c r="V70" i="18"/>
  <c r="W70" i="18"/>
  <c r="V70" i="17"/>
  <c r="W70" i="17"/>
  <c r="N24" i="19"/>
  <c r="H12" i="19" l="1"/>
  <c r="H52" i="40"/>
  <c r="I12" i="40"/>
  <c r="I79" i="40" s="1"/>
  <c r="H60" i="40"/>
  <c r="K24" i="44"/>
  <c r="H13" i="40"/>
  <c r="H50" i="40"/>
  <c r="H12" i="17"/>
  <c r="H28" i="44"/>
  <c r="H12" i="18"/>
  <c r="L37" i="9"/>
  <c r="L47" i="44"/>
  <c r="L36" i="9"/>
  <c r="L46" i="44"/>
  <c r="L37" i="21"/>
  <c r="L11" i="44"/>
  <c r="L38" i="21"/>
  <c r="L12" i="44"/>
  <c r="S38" i="9"/>
  <c r="S39" i="40" s="1"/>
  <c r="Q38" i="9"/>
  <c r="Q39" i="40" s="1"/>
  <c r="R38" i="9"/>
  <c r="R39" i="40" s="1"/>
  <c r="T38" i="9"/>
  <c r="C35" i="18"/>
  <c r="C36" i="21"/>
  <c r="C36" i="19"/>
  <c r="C35" i="17"/>
  <c r="D35" i="9"/>
  <c r="D35" i="18"/>
  <c r="D36" i="21"/>
  <c r="D36" i="19"/>
  <c r="D35" i="17"/>
  <c r="E36" i="19"/>
  <c r="E35" i="17"/>
  <c r="E36" i="21"/>
  <c r="F13" i="44" s="1"/>
  <c r="E35" i="18"/>
  <c r="F35" i="18"/>
  <c r="F36" i="21"/>
  <c r="F36" i="19"/>
  <c r="F35" i="17"/>
  <c r="C12" i="19"/>
  <c r="C12" i="21"/>
  <c r="C12" i="17"/>
  <c r="C12" i="9"/>
  <c r="D12" i="19"/>
  <c r="D12" i="21"/>
  <c r="D12" i="17"/>
  <c r="D12" i="9"/>
  <c r="E12" i="19"/>
  <c r="E12" i="21"/>
  <c r="E12" i="9"/>
  <c r="E12" i="17"/>
  <c r="F12" i="19"/>
  <c r="F12" i="17"/>
  <c r="F12" i="9"/>
  <c r="S70" i="17"/>
  <c r="G13" i="44" l="1"/>
  <c r="I52" i="40"/>
  <c r="D49" i="17"/>
  <c r="E49" i="17" s="1"/>
  <c r="F49" i="17" s="1"/>
  <c r="G49" i="17" s="1"/>
  <c r="H49" i="17" s="1"/>
  <c r="I12" i="19"/>
  <c r="I50" i="40"/>
  <c r="I13" i="40"/>
  <c r="I60" i="40"/>
  <c r="I12" i="18"/>
  <c r="J12" i="40"/>
  <c r="J79" i="40" s="1"/>
  <c r="D50" i="19"/>
  <c r="E50" i="19" s="1"/>
  <c r="F50" i="19" s="1"/>
  <c r="G50" i="19" s="1"/>
  <c r="H50" i="19" s="1"/>
  <c r="I12" i="17"/>
  <c r="F43" i="44"/>
  <c r="F7" i="44"/>
  <c r="D49" i="9"/>
  <c r="E49" i="9" s="1"/>
  <c r="F49" i="9" s="1"/>
  <c r="I28" i="44"/>
  <c r="G43" i="44"/>
  <c r="M36" i="9"/>
  <c r="M46" i="44"/>
  <c r="M37" i="9"/>
  <c r="M47" i="44"/>
  <c r="M38" i="21"/>
  <c r="M12" i="44"/>
  <c r="M37" i="21"/>
  <c r="M11" i="44"/>
  <c r="T39" i="21"/>
  <c r="T39" i="40"/>
  <c r="D96" i="9"/>
  <c r="G12" i="9"/>
  <c r="G78" i="9" s="1"/>
  <c r="H96" i="19"/>
  <c r="P96" i="19"/>
  <c r="O95" i="18"/>
  <c r="W95" i="18"/>
  <c r="N95" i="17"/>
  <c r="V95" i="17"/>
  <c r="O95" i="17"/>
  <c r="O96" i="19"/>
  <c r="N95" i="18"/>
  <c r="V95" i="18"/>
  <c r="M95" i="17"/>
  <c r="U95" i="17"/>
  <c r="I96" i="19"/>
  <c r="Q96" i="19"/>
  <c r="H95" i="18"/>
  <c r="P95" i="18"/>
  <c r="W95" i="17"/>
  <c r="J96" i="19"/>
  <c r="R96" i="19"/>
  <c r="I95" i="18"/>
  <c r="Q95" i="18"/>
  <c r="H95" i="17"/>
  <c r="P95" i="17"/>
  <c r="K96" i="19"/>
  <c r="S96" i="19"/>
  <c r="J95" i="18"/>
  <c r="R95" i="18"/>
  <c r="I95" i="17"/>
  <c r="Q95" i="17"/>
  <c r="L96" i="19"/>
  <c r="T96" i="19"/>
  <c r="K95" i="18"/>
  <c r="S95" i="18"/>
  <c r="J95" i="17"/>
  <c r="R95" i="17"/>
  <c r="M96" i="19"/>
  <c r="U96" i="19"/>
  <c r="L95" i="18"/>
  <c r="T95" i="18"/>
  <c r="K95" i="17"/>
  <c r="S95" i="17"/>
  <c r="N96" i="19"/>
  <c r="V96" i="19"/>
  <c r="M95" i="18"/>
  <c r="U95" i="18"/>
  <c r="L95" i="17"/>
  <c r="T95" i="17"/>
  <c r="W96" i="19"/>
  <c r="C6" i="22"/>
  <c r="C7" i="22" s="1"/>
  <c r="E25" i="22"/>
  <c r="G25" i="22"/>
  <c r="I25" i="22"/>
  <c r="F25" i="22"/>
  <c r="H25" i="22"/>
  <c r="V24" i="19"/>
  <c r="W24" i="19"/>
  <c r="U24" i="19"/>
  <c r="C35" i="9"/>
  <c r="C96" i="9" s="1"/>
  <c r="J12" i="18" l="1"/>
  <c r="K28" i="44" s="1"/>
  <c r="I50" i="19"/>
  <c r="J13" i="40"/>
  <c r="J28" i="44"/>
  <c r="J50" i="40"/>
  <c r="J60" i="40"/>
  <c r="K12" i="40"/>
  <c r="K79" i="40" s="1"/>
  <c r="J52" i="40"/>
  <c r="J12" i="17"/>
  <c r="J12" i="19"/>
  <c r="I49" i="17"/>
  <c r="H43" i="44"/>
  <c r="G49" i="9"/>
  <c r="N37" i="9"/>
  <c r="O47" i="44" s="1"/>
  <c r="N47" i="44"/>
  <c r="N36" i="9"/>
  <c r="O46" i="44" s="1"/>
  <c r="N46" i="44"/>
  <c r="N37" i="21"/>
  <c r="N11" i="44"/>
  <c r="N38" i="21"/>
  <c r="N12" i="44"/>
  <c r="C101" i="40"/>
  <c r="C106" i="40" s="1"/>
  <c r="D101" i="40"/>
  <c r="D106" i="40" s="1"/>
  <c r="H12" i="9"/>
  <c r="H78" i="9" s="1"/>
  <c r="E26" i="22"/>
  <c r="F26" i="22"/>
  <c r="G26" i="22"/>
  <c r="H26" i="22"/>
  <c r="F24" i="22"/>
  <c r="F23" i="22"/>
  <c r="H23" i="22"/>
  <c r="H24" i="22"/>
  <c r="G23" i="22"/>
  <c r="G24" i="22"/>
  <c r="I26" i="22"/>
  <c r="E23" i="22"/>
  <c r="E24" i="22"/>
  <c r="I23" i="22"/>
  <c r="I24" i="22"/>
  <c r="J50" i="19" l="1"/>
  <c r="J49" i="17"/>
  <c r="K13" i="40"/>
  <c r="L12" i="40"/>
  <c r="L79" i="40" s="1"/>
  <c r="K52" i="40"/>
  <c r="K50" i="40"/>
  <c r="K12" i="19"/>
  <c r="K60" i="40"/>
  <c r="K12" i="18"/>
  <c r="K12" i="17"/>
  <c r="H49" i="9"/>
  <c r="H59" i="9"/>
  <c r="I43" i="44"/>
  <c r="O12" i="44"/>
  <c r="O11" i="44"/>
  <c r="I12" i="9"/>
  <c r="I78" i="9" s="1"/>
  <c r="C46" i="17"/>
  <c r="C46" i="18"/>
  <c r="C47" i="19"/>
  <c r="C47" i="21"/>
  <c r="C46" i="9"/>
  <c r="K49" i="17" l="1"/>
  <c r="K50" i="19"/>
  <c r="L12" i="18"/>
  <c r="M28" i="44" s="1"/>
  <c r="L12" i="19"/>
  <c r="L13" i="40"/>
  <c r="L28" i="44"/>
  <c r="L50" i="40"/>
  <c r="L52" i="40"/>
  <c r="L60" i="40"/>
  <c r="M12" i="40"/>
  <c r="M79" i="40" s="1"/>
  <c r="L12" i="17"/>
  <c r="I49" i="9"/>
  <c r="J12" i="9"/>
  <c r="J78" i="9" s="1"/>
  <c r="J43" i="44"/>
  <c r="F51" i="9"/>
  <c r="G51" i="9"/>
  <c r="H51" i="9"/>
  <c r="C7" i="18"/>
  <c r="C7" i="17"/>
  <c r="C7" i="19"/>
  <c r="C21" i="22"/>
  <c r="E21" i="22"/>
  <c r="H21" i="22"/>
  <c r="G21" i="22"/>
  <c r="F21" i="22"/>
  <c r="I21" i="22"/>
  <c r="D21" i="22"/>
  <c r="K24" i="19"/>
  <c r="L24" i="19"/>
  <c r="M24" i="19"/>
  <c r="T70" i="18"/>
  <c r="S70" i="18"/>
  <c r="R70" i="18"/>
  <c r="Q70" i="18"/>
  <c r="P70" i="18"/>
  <c r="O70" i="18"/>
  <c r="N70" i="18"/>
  <c r="M70" i="18"/>
  <c r="L70" i="18"/>
  <c r="K70" i="18"/>
  <c r="J70" i="18"/>
  <c r="I70" i="18"/>
  <c r="H70" i="18"/>
  <c r="D50" i="18"/>
  <c r="D50" i="9"/>
  <c r="B18" i="9"/>
  <c r="L49" i="17" l="1"/>
  <c r="L50" i="19"/>
  <c r="M13" i="40"/>
  <c r="M12" i="18"/>
  <c r="M60" i="40"/>
  <c r="D81" i="40"/>
  <c r="N12" i="40"/>
  <c r="N79" i="40" s="1"/>
  <c r="J49" i="9"/>
  <c r="M12" i="17"/>
  <c r="M12" i="19"/>
  <c r="M50" i="40"/>
  <c r="M52" i="40"/>
  <c r="K12" i="9"/>
  <c r="K78" i="9" s="1"/>
  <c r="K43" i="44"/>
  <c r="G63" i="17"/>
  <c r="J63" i="17"/>
  <c r="H63" i="17"/>
  <c r="I63" i="17"/>
  <c r="B21" i="22"/>
  <c r="E63" i="9"/>
  <c r="D64" i="9"/>
  <c r="D63" i="9"/>
  <c r="E64" i="9"/>
  <c r="F64" i="18"/>
  <c r="E64" i="18"/>
  <c r="D64" i="18"/>
  <c r="M49" i="17" l="1"/>
  <c r="M50" i="19"/>
  <c r="N28" i="44"/>
  <c r="N13" i="40"/>
  <c r="N50" i="40"/>
  <c r="N60" i="40"/>
  <c r="K49" i="9"/>
  <c r="N52" i="40"/>
  <c r="O12" i="40"/>
  <c r="O79" i="40" s="1"/>
  <c r="N12" i="18"/>
  <c r="L12" i="9"/>
  <c r="L78" i="9" s="1"/>
  <c r="L43" i="44"/>
  <c r="D51" i="21"/>
  <c r="C5" i="21"/>
  <c r="O12" i="18" l="1"/>
  <c r="L49" i="9"/>
  <c r="O50" i="40"/>
  <c r="P51" i="40" s="1"/>
  <c r="O52" i="40"/>
  <c r="O28" i="44"/>
  <c r="O13" i="40"/>
  <c r="O60" i="40"/>
  <c r="P12" i="40"/>
  <c r="P79" i="40" s="1"/>
  <c r="D50" i="21"/>
  <c r="E50" i="21" s="1"/>
  <c r="F50" i="21" s="1"/>
  <c r="M12" i="9"/>
  <c r="M43" i="44"/>
  <c r="C6" i="21"/>
  <c r="C7" i="21"/>
  <c r="D65" i="21"/>
  <c r="F65" i="21"/>
  <c r="E65" i="21"/>
  <c r="T71" i="19"/>
  <c r="S71" i="19"/>
  <c r="R71" i="19"/>
  <c r="Q71" i="19"/>
  <c r="P71" i="19"/>
  <c r="O71" i="19"/>
  <c r="N71" i="19"/>
  <c r="M71" i="19"/>
  <c r="L71" i="19"/>
  <c r="K71" i="19"/>
  <c r="J71" i="19"/>
  <c r="I71" i="19"/>
  <c r="H71" i="19"/>
  <c r="D51" i="19"/>
  <c r="T70" i="17"/>
  <c r="R70" i="17"/>
  <c r="Q70" i="17"/>
  <c r="P70" i="17"/>
  <c r="O70" i="17"/>
  <c r="N70" i="17"/>
  <c r="M70" i="17"/>
  <c r="L70" i="17"/>
  <c r="K70" i="17"/>
  <c r="J70" i="17"/>
  <c r="I70" i="17"/>
  <c r="H70" i="17"/>
  <c r="D50" i="17"/>
  <c r="F64" i="17"/>
  <c r="P28" i="44" l="1"/>
  <c r="M49" i="9"/>
  <c r="M78" i="9"/>
  <c r="P52" i="40"/>
  <c r="P60" i="40"/>
  <c r="P12" i="18"/>
  <c r="P13" i="40"/>
  <c r="Q12" i="40"/>
  <c r="Q79" i="40" s="1"/>
  <c r="P50" i="40"/>
  <c r="N12" i="9"/>
  <c r="N43" i="44"/>
  <c r="I64" i="21"/>
  <c r="G64" i="21"/>
  <c r="H64" i="21"/>
  <c r="J64" i="21"/>
  <c r="F64" i="21"/>
  <c r="D64" i="21"/>
  <c r="D64" i="17"/>
  <c r="E64" i="17"/>
  <c r="E65" i="19"/>
  <c r="D65" i="19"/>
  <c r="F65" i="19"/>
  <c r="N49" i="9" l="1"/>
  <c r="N78" i="9"/>
  <c r="Q28" i="44"/>
  <c r="Q13" i="40"/>
  <c r="R12" i="40"/>
  <c r="Q60" i="40"/>
  <c r="Q52" i="40"/>
  <c r="Q12" i="18"/>
  <c r="Q51" i="40"/>
  <c r="Q50" i="40"/>
  <c r="O12" i="9"/>
  <c r="O43" i="44"/>
  <c r="C47" i="18"/>
  <c r="C48" i="19"/>
  <c r="C48" i="21"/>
  <c r="C47" i="17"/>
  <c r="C47" i="9"/>
  <c r="E35" i="9"/>
  <c r="F48" i="44" s="1"/>
  <c r="F35" i="9"/>
  <c r="G48" i="44" s="1"/>
  <c r="C3" i="21"/>
  <c r="Q24" i="19"/>
  <c r="R60" i="40" l="1"/>
  <c r="R79" i="40"/>
  <c r="O49" i="9"/>
  <c r="O78" i="9"/>
  <c r="R52" i="40"/>
  <c r="S12" i="40"/>
  <c r="R13" i="40"/>
  <c r="R12" i="18"/>
  <c r="R28" i="44"/>
  <c r="R50" i="40"/>
  <c r="R51" i="40"/>
  <c r="P12" i="9"/>
  <c r="P43" i="44"/>
  <c r="A7" i="43"/>
  <c r="A12" i="43"/>
  <c r="A8" i="43"/>
  <c r="A22" i="43"/>
  <c r="A6" i="43"/>
  <c r="A5" i="43"/>
  <c r="A21" i="43"/>
  <c r="A20" i="43"/>
  <c r="A4" i="43"/>
  <c r="A19" i="43"/>
  <c r="A3" i="43"/>
  <c r="A13" i="43"/>
  <c r="A9" i="43"/>
  <c r="A18" i="43"/>
  <c r="A2" i="43"/>
  <c r="A11" i="43"/>
  <c r="A17" i="43"/>
  <c r="A15" i="43"/>
  <c r="A16" i="43"/>
  <c r="A14" i="43"/>
  <c r="A10" i="43"/>
  <c r="F98" i="9"/>
  <c r="E98" i="9"/>
  <c r="E96" i="9" s="1"/>
  <c r="C109" i="21"/>
  <c r="D109" i="21"/>
  <c r="C22" i="19"/>
  <c r="C22" i="17"/>
  <c r="C22" i="9"/>
  <c r="D22" i="9" s="1"/>
  <c r="D23" i="40" s="1"/>
  <c r="D30" i="40" s="1"/>
  <c r="D62" i="40" s="1"/>
  <c r="C23" i="21"/>
  <c r="C22" i="18"/>
  <c r="C27" i="21"/>
  <c r="D27" i="21" s="1"/>
  <c r="E27" i="21" s="1"/>
  <c r="C26" i="17"/>
  <c r="D26" i="17" s="1"/>
  <c r="E26" i="17" s="1"/>
  <c r="F26" i="17" s="1"/>
  <c r="G26" i="17" s="1"/>
  <c r="H26" i="17" s="1"/>
  <c r="I26" i="17" s="1"/>
  <c r="J26" i="17" s="1"/>
  <c r="K26" i="17" s="1"/>
  <c r="L26" i="17" s="1"/>
  <c r="M26" i="17" s="1"/>
  <c r="N26" i="17" s="1"/>
  <c r="O26" i="17" s="1"/>
  <c r="P26" i="17" s="1"/>
  <c r="Q26" i="17" s="1"/>
  <c r="R26" i="17" s="1"/>
  <c r="S26" i="17" s="1"/>
  <c r="T26" i="17" s="1"/>
  <c r="U26" i="17" s="1"/>
  <c r="V26" i="17" s="1"/>
  <c r="W26" i="17" s="1"/>
  <c r="C26" i="18"/>
  <c r="D26" i="18" s="1"/>
  <c r="E26" i="18" s="1"/>
  <c r="F26" i="18" s="1"/>
  <c r="G26" i="18" s="1"/>
  <c r="H26" i="18" s="1"/>
  <c r="I26" i="18" s="1"/>
  <c r="J26" i="18" s="1"/>
  <c r="K26" i="18" s="1"/>
  <c r="L26" i="18" s="1"/>
  <c r="M26" i="18" s="1"/>
  <c r="N26" i="18" s="1"/>
  <c r="O26" i="18" s="1"/>
  <c r="P26" i="18" s="1"/>
  <c r="Q26" i="18" s="1"/>
  <c r="R26" i="18" s="1"/>
  <c r="S26" i="18" s="1"/>
  <c r="T26" i="18" s="1"/>
  <c r="U26" i="18" s="1"/>
  <c r="V26" i="18" s="1"/>
  <c r="W26" i="18" s="1"/>
  <c r="C27" i="19"/>
  <c r="D27" i="19" s="1"/>
  <c r="C26" i="9"/>
  <c r="G59" i="9"/>
  <c r="O24" i="19"/>
  <c r="O51" i="9"/>
  <c r="J59" i="9"/>
  <c r="S24" i="19"/>
  <c r="I59" i="9"/>
  <c r="L51" i="9"/>
  <c r="L59" i="9"/>
  <c r="D59" i="9"/>
  <c r="D51" i="9"/>
  <c r="E59" i="9"/>
  <c r="N59" i="9"/>
  <c r="R24" i="19"/>
  <c r="F59" i="9"/>
  <c r="E51" i="9"/>
  <c r="M59" i="9"/>
  <c r="J51" i="9"/>
  <c r="K51" i="9"/>
  <c r="M51" i="9"/>
  <c r="O59" i="9"/>
  <c r="K59" i="9"/>
  <c r="I51" i="9"/>
  <c r="N51" i="9"/>
  <c r="C23" i="18"/>
  <c r="C23" i="9"/>
  <c r="P24" i="19"/>
  <c r="T24" i="19"/>
  <c r="C12" i="18"/>
  <c r="E12" i="18"/>
  <c r="C24" i="21"/>
  <c r="C23" i="17"/>
  <c r="C23" i="19"/>
  <c r="D12" i="18"/>
  <c r="D59" i="17"/>
  <c r="S12" i="18" l="1"/>
  <c r="S79" i="40"/>
  <c r="P49" i="9"/>
  <c r="P78" i="9"/>
  <c r="S52" i="40"/>
  <c r="S13" i="40"/>
  <c r="T12" i="40"/>
  <c r="S60" i="40"/>
  <c r="S28" i="44"/>
  <c r="P51" i="9"/>
  <c r="P59" i="9"/>
  <c r="S50" i="40"/>
  <c r="S51" i="40"/>
  <c r="F28" i="44"/>
  <c r="D49" i="18"/>
  <c r="E49" i="18" s="1"/>
  <c r="F49" i="18" s="1"/>
  <c r="G49" i="18" s="1"/>
  <c r="H49" i="18" s="1"/>
  <c r="I49" i="18" s="1"/>
  <c r="J49" i="18" s="1"/>
  <c r="K49" i="18" s="1"/>
  <c r="L49" i="18" s="1"/>
  <c r="M49" i="18" s="1"/>
  <c r="N49" i="18" s="1"/>
  <c r="O49" i="18" s="1"/>
  <c r="P49" i="18" s="1"/>
  <c r="Q49" i="18" s="1"/>
  <c r="R49" i="18" s="1"/>
  <c r="S49" i="18" s="1"/>
  <c r="Q12" i="9"/>
  <c r="Q43" i="44"/>
  <c r="F27" i="21"/>
  <c r="F15" i="44"/>
  <c r="D59" i="40"/>
  <c r="D77" i="40" s="1"/>
  <c r="E101" i="40"/>
  <c r="E106" i="40" s="1"/>
  <c r="E27" i="19"/>
  <c r="F96" i="9"/>
  <c r="D22" i="17"/>
  <c r="D23" i="21"/>
  <c r="E22" i="9"/>
  <c r="E23" i="40" s="1"/>
  <c r="E30" i="40" s="1"/>
  <c r="E62" i="40" s="1"/>
  <c r="E59" i="40" s="1"/>
  <c r="D26" i="9"/>
  <c r="E26" i="9" s="1"/>
  <c r="H38" i="17"/>
  <c r="M39" i="21"/>
  <c r="M38" i="18"/>
  <c r="M38" i="17"/>
  <c r="M39" i="19"/>
  <c r="F52" i="19"/>
  <c r="F51" i="17"/>
  <c r="C29" i="9"/>
  <c r="F52" i="21"/>
  <c r="C30" i="21"/>
  <c r="C29" i="18"/>
  <c r="E51" i="18"/>
  <c r="D59" i="18"/>
  <c r="D51" i="18"/>
  <c r="F50" i="9"/>
  <c r="E50" i="9"/>
  <c r="G50" i="9"/>
  <c r="E59" i="18"/>
  <c r="E52" i="19"/>
  <c r="E59" i="17"/>
  <c r="F60" i="21"/>
  <c r="F59" i="17"/>
  <c r="E60" i="21"/>
  <c r="E51" i="17"/>
  <c r="D60" i="19"/>
  <c r="C29" i="17"/>
  <c r="E52" i="21"/>
  <c r="D52" i="21"/>
  <c r="D60" i="21"/>
  <c r="D52" i="19"/>
  <c r="C30" i="19"/>
  <c r="D51" i="17"/>
  <c r="E60" i="19"/>
  <c r="F60" i="19"/>
  <c r="U12" i="40" l="1"/>
  <c r="U60" i="40" s="1"/>
  <c r="T79" i="40"/>
  <c r="T28" i="44"/>
  <c r="Q49" i="9"/>
  <c r="Q78" i="9"/>
  <c r="T12" i="18"/>
  <c r="T60" i="40"/>
  <c r="T13" i="40"/>
  <c r="T52" i="40"/>
  <c r="T50" i="40"/>
  <c r="T51" i="40"/>
  <c r="F26" i="9"/>
  <c r="F49" i="44"/>
  <c r="R12" i="9"/>
  <c r="R43" i="44"/>
  <c r="Q51" i="9"/>
  <c r="Q59" i="9"/>
  <c r="F34" i="44"/>
  <c r="G27" i="21"/>
  <c r="G15" i="44"/>
  <c r="F101" i="40"/>
  <c r="F106" i="40" s="1"/>
  <c r="F59" i="18"/>
  <c r="F27" i="19"/>
  <c r="F22" i="9"/>
  <c r="F23" i="40" s="1"/>
  <c r="E22" i="17"/>
  <c r="E23" i="21"/>
  <c r="E50" i="17"/>
  <c r="H38" i="18"/>
  <c r="H39" i="21"/>
  <c r="H39" i="19"/>
  <c r="V39" i="19"/>
  <c r="V39" i="21"/>
  <c r="V38" i="18"/>
  <c r="V38" i="17"/>
  <c r="S38" i="18"/>
  <c r="S38" i="17"/>
  <c r="S39" i="19"/>
  <c r="S39" i="21"/>
  <c r="L38" i="18"/>
  <c r="L38" i="17"/>
  <c r="L39" i="19"/>
  <c r="L39" i="21"/>
  <c r="W39" i="21"/>
  <c r="W39" i="19"/>
  <c r="W38" i="18"/>
  <c r="W38" i="17"/>
  <c r="E38" i="17"/>
  <c r="E39" i="19"/>
  <c r="E39" i="21"/>
  <c r="E38" i="18"/>
  <c r="R38" i="17"/>
  <c r="R39" i="19"/>
  <c r="R39" i="21"/>
  <c r="R38" i="18"/>
  <c r="Q38" i="17"/>
  <c r="Q39" i="19"/>
  <c r="Q39" i="21"/>
  <c r="Q38" i="18"/>
  <c r="P38" i="17"/>
  <c r="P39" i="19"/>
  <c r="P39" i="21"/>
  <c r="P38" i="18"/>
  <c r="N39" i="19"/>
  <c r="N39" i="21"/>
  <c r="N38" i="18"/>
  <c r="N38" i="17"/>
  <c r="T38" i="18"/>
  <c r="T38" i="17"/>
  <c r="T39" i="19"/>
  <c r="G39" i="21"/>
  <c r="G39" i="19"/>
  <c r="G38" i="18"/>
  <c r="G38" i="17"/>
  <c r="F39" i="19"/>
  <c r="F39" i="21"/>
  <c r="F38" i="18"/>
  <c r="F38" i="17"/>
  <c r="K38" i="18"/>
  <c r="K38" i="17"/>
  <c r="K39" i="19"/>
  <c r="K39" i="21"/>
  <c r="I38" i="17"/>
  <c r="I39" i="19"/>
  <c r="I39" i="21"/>
  <c r="I38" i="18"/>
  <c r="O39" i="19"/>
  <c r="O39" i="21"/>
  <c r="O38" i="18"/>
  <c r="O38" i="17"/>
  <c r="J38" i="17"/>
  <c r="J39" i="19"/>
  <c r="J38" i="18"/>
  <c r="U38" i="18"/>
  <c r="U38" i="17"/>
  <c r="U39" i="19"/>
  <c r="F51" i="18"/>
  <c r="I64" i="19"/>
  <c r="G63" i="18"/>
  <c r="I64" i="17"/>
  <c r="H65" i="21"/>
  <c r="I65" i="21"/>
  <c r="F63" i="18"/>
  <c r="J63" i="18"/>
  <c r="G64" i="17"/>
  <c r="H64" i="17"/>
  <c r="D64" i="19"/>
  <c r="H64" i="19"/>
  <c r="G64" i="19"/>
  <c r="J64" i="17"/>
  <c r="H64" i="18"/>
  <c r="D63" i="18"/>
  <c r="J64" i="19"/>
  <c r="G64" i="18"/>
  <c r="E64" i="19"/>
  <c r="E63" i="17"/>
  <c r="E63" i="18"/>
  <c r="F63" i="17"/>
  <c r="H63" i="18"/>
  <c r="D63" i="17"/>
  <c r="I63" i="18"/>
  <c r="I65" i="19"/>
  <c r="I64" i="18"/>
  <c r="J64" i="18"/>
  <c r="G65" i="19"/>
  <c r="H65" i="19"/>
  <c r="J65" i="19"/>
  <c r="F64" i="19"/>
  <c r="G65" i="21"/>
  <c r="E64" i="21"/>
  <c r="J65" i="21"/>
  <c r="F50" i="18"/>
  <c r="E29" i="9"/>
  <c r="E61" i="9" s="1"/>
  <c r="F44" i="44" s="1"/>
  <c r="H50" i="9"/>
  <c r="D22" i="18"/>
  <c r="E50" i="18"/>
  <c r="D29" i="9"/>
  <c r="D61" i="9" s="1"/>
  <c r="F51" i="21"/>
  <c r="D22" i="19"/>
  <c r="E51" i="19"/>
  <c r="E51" i="21"/>
  <c r="V12" i="40" l="1"/>
  <c r="V79" i="40" s="1"/>
  <c r="U28" i="44"/>
  <c r="T49" i="18"/>
  <c r="U13" i="40"/>
  <c r="U79" i="40"/>
  <c r="U12" i="18"/>
  <c r="U52" i="40"/>
  <c r="R49" i="9"/>
  <c r="R78" i="9"/>
  <c r="U51" i="40"/>
  <c r="U50" i="40"/>
  <c r="S12" i="9"/>
  <c r="S43" i="44"/>
  <c r="R59" i="9"/>
  <c r="R51" i="9"/>
  <c r="G26" i="9"/>
  <c r="G49" i="44"/>
  <c r="G34" i="44"/>
  <c r="H27" i="21"/>
  <c r="H15" i="44"/>
  <c r="G27" i="19"/>
  <c r="F30" i="40"/>
  <c r="F62" i="40" s="1"/>
  <c r="G23" i="40"/>
  <c r="G22" i="9"/>
  <c r="F22" i="17"/>
  <c r="F23" i="21"/>
  <c r="F50" i="17"/>
  <c r="D29" i="17"/>
  <c r="D61" i="17" s="1"/>
  <c r="G50" i="18"/>
  <c r="I50" i="9"/>
  <c r="E22" i="18"/>
  <c r="F22" i="18" s="1"/>
  <c r="D29" i="18"/>
  <c r="D61" i="18" s="1"/>
  <c r="D23" i="18"/>
  <c r="F29" i="9"/>
  <c r="F61" i="9" s="1"/>
  <c r="G44" i="44" s="1"/>
  <c r="G50" i="17"/>
  <c r="E30" i="21"/>
  <c r="E62" i="21" s="1"/>
  <c r="F8" i="44" s="1"/>
  <c r="E22" i="19"/>
  <c r="D30" i="19"/>
  <c r="D62" i="19" s="1"/>
  <c r="D23" i="19"/>
  <c r="D30" i="21"/>
  <c r="D62" i="21" s="1"/>
  <c r="F51" i="19"/>
  <c r="G51" i="21"/>
  <c r="V12" i="18" l="1"/>
  <c r="W28" i="44" s="1"/>
  <c r="V60" i="40"/>
  <c r="V13" i="40"/>
  <c r="V52" i="40"/>
  <c r="W12" i="40"/>
  <c r="W79" i="40" s="1"/>
  <c r="V28" i="44"/>
  <c r="U49" i="18"/>
  <c r="S49" i="9"/>
  <c r="S78" i="9"/>
  <c r="V50" i="40"/>
  <c r="V51" i="40"/>
  <c r="H26" i="9"/>
  <c r="H49" i="44"/>
  <c r="T12" i="9"/>
  <c r="T43" i="44"/>
  <c r="S59" i="9"/>
  <c r="S51" i="9"/>
  <c r="H34" i="44"/>
  <c r="I27" i="21"/>
  <c r="I15" i="44"/>
  <c r="F59" i="40"/>
  <c r="H27" i="19"/>
  <c r="G24" i="40"/>
  <c r="G30" i="40"/>
  <c r="H22" i="9"/>
  <c r="H23" i="9" s="1"/>
  <c r="G29" i="9"/>
  <c r="G61" i="9" s="1"/>
  <c r="H44" i="44" s="1"/>
  <c r="F29" i="18"/>
  <c r="F61" i="18" s="1"/>
  <c r="F23" i="18"/>
  <c r="E29" i="18"/>
  <c r="E61" i="18" s="1"/>
  <c r="E23" i="18"/>
  <c r="J50" i="9"/>
  <c r="E29" i="17"/>
  <c r="E61" i="17" s="1"/>
  <c r="G51" i="19"/>
  <c r="F22" i="19"/>
  <c r="F30" i="21"/>
  <c r="F62" i="21" s="1"/>
  <c r="G8" i="44" s="1"/>
  <c r="E23" i="19"/>
  <c r="E30" i="19"/>
  <c r="E62" i="19" s="1"/>
  <c r="V49" i="18" l="1"/>
  <c r="C2" i="43" a="1"/>
  <c r="C2" i="43" s="1"/>
  <c r="W12" i="18"/>
  <c r="X28" i="44" s="1"/>
  <c r="W13" i="40"/>
  <c r="W60" i="40"/>
  <c r="W52" i="40"/>
  <c r="W49" i="18"/>
  <c r="T49" i="9"/>
  <c r="T78" i="9"/>
  <c r="W50" i="40"/>
  <c r="W51" i="40"/>
  <c r="F33" i="44"/>
  <c r="U12" i="9"/>
  <c r="U43" i="44"/>
  <c r="T51" i="9"/>
  <c r="T59" i="9"/>
  <c r="H32" i="9"/>
  <c r="I52" i="44" s="1"/>
  <c r="I50" i="44"/>
  <c r="I26" i="9"/>
  <c r="I49" i="44"/>
  <c r="I34" i="44"/>
  <c r="J27" i="21"/>
  <c r="J15" i="44"/>
  <c r="G106" i="40"/>
  <c r="I27" i="19"/>
  <c r="G62" i="40"/>
  <c r="H51" i="40"/>
  <c r="H23" i="40" s="1"/>
  <c r="G33" i="40"/>
  <c r="H29" i="9"/>
  <c r="H61" i="9" s="1"/>
  <c r="I44" i="44" s="1"/>
  <c r="I22" i="9"/>
  <c r="I23" i="9" s="1"/>
  <c r="J50" i="44" s="1"/>
  <c r="F29" i="17"/>
  <c r="F61" i="17" s="1"/>
  <c r="K50" i="9"/>
  <c r="F30" i="19"/>
  <c r="F62" i="19" s="1"/>
  <c r="F23" i="19"/>
  <c r="U49" i="9" l="1"/>
  <c r="U78" i="9"/>
  <c r="G33" i="44"/>
  <c r="V43" i="44"/>
  <c r="V12" i="9"/>
  <c r="U59" i="9"/>
  <c r="U51" i="9"/>
  <c r="J49" i="44"/>
  <c r="J26" i="9"/>
  <c r="J34" i="44"/>
  <c r="K27" i="21"/>
  <c r="K15" i="44"/>
  <c r="G59" i="40"/>
  <c r="J27" i="19"/>
  <c r="H24" i="40"/>
  <c r="H30" i="40"/>
  <c r="J22" i="9"/>
  <c r="K22" i="9" s="1"/>
  <c r="I29" i="9"/>
  <c r="I61" i="9" s="1"/>
  <c r="J44" i="44" s="1"/>
  <c r="L50" i="9"/>
  <c r="V49" i="9" l="1"/>
  <c r="V78" i="9"/>
  <c r="H33" i="40"/>
  <c r="K26" i="9"/>
  <c r="K29" i="9" s="1"/>
  <c r="K61" i="9" s="1"/>
  <c r="L44" i="44" s="1"/>
  <c r="K49" i="44"/>
  <c r="V51" i="9"/>
  <c r="W43" i="44"/>
  <c r="W12" i="9"/>
  <c r="V59" i="9"/>
  <c r="K34" i="44"/>
  <c r="L27" i="21"/>
  <c r="L15" i="44"/>
  <c r="K27" i="19"/>
  <c r="H62" i="40"/>
  <c r="I51" i="40"/>
  <c r="I23" i="40" s="1"/>
  <c r="J23" i="9"/>
  <c r="K50" i="44" s="1"/>
  <c r="J29" i="9"/>
  <c r="J61" i="9" s="1"/>
  <c r="K44" i="44" s="1"/>
  <c r="K23" i="9"/>
  <c r="L50" i="44" s="1"/>
  <c r="M50" i="9"/>
  <c r="L22" i="9"/>
  <c r="W49" i="9" l="1"/>
  <c r="W78" i="9"/>
  <c r="X43" i="44"/>
  <c r="W51" i="9"/>
  <c r="W59" i="9"/>
  <c r="L26" i="9"/>
  <c r="L29" i="9" s="1"/>
  <c r="L61" i="9" s="1"/>
  <c r="M44" i="44" s="1"/>
  <c r="L49" i="44"/>
  <c r="L34" i="44"/>
  <c r="M27" i="21"/>
  <c r="M15" i="44"/>
  <c r="H59" i="40"/>
  <c r="L27" i="19"/>
  <c r="I24" i="40"/>
  <c r="I30" i="40"/>
  <c r="M22" i="9"/>
  <c r="N50" i="9"/>
  <c r="L23" i="9"/>
  <c r="M50" i="44" s="1"/>
  <c r="I33" i="40" l="1"/>
  <c r="M26" i="9"/>
  <c r="M29" i="9" s="1"/>
  <c r="M61" i="9" s="1"/>
  <c r="N44" i="44" s="1"/>
  <c r="M49" i="44"/>
  <c r="M34" i="44"/>
  <c r="N27" i="21"/>
  <c r="N15" i="44"/>
  <c r="M27" i="19"/>
  <c r="I62" i="40"/>
  <c r="I59" i="40" s="1"/>
  <c r="J51" i="40"/>
  <c r="J23" i="40" s="1"/>
  <c r="O50" i="9"/>
  <c r="N22" i="9"/>
  <c r="M23" i="9"/>
  <c r="N50" i="44" s="1"/>
  <c r="N26" i="9" l="1"/>
  <c r="N29" i="9" s="1"/>
  <c r="N61" i="9" s="1"/>
  <c r="O44" i="44" s="1"/>
  <c r="N49" i="44"/>
  <c r="N34" i="44"/>
  <c r="O27" i="21"/>
  <c r="O15" i="44"/>
  <c r="N27" i="19"/>
  <c r="J30" i="40"/>
  <c r="J24" i="40"/>
  <c r="O22" i="9"/>
  <c r="P50" i="9"/>
  <c r="N23" i="9"/>
  <c r="O50" i="44" s="1"/>
  <c r="J33" i="40" l="1"/>
  <c r="O26" i="9"/>
  <c r="O49" i="44"/>
  <c r="O34" i="44"/>
  <c r="P27" i="21"/>
  <c r="P15" i="44"/>
  <c r="O27" i="19"/>
  <c r="J62" i="40"/>
  <c r="J59" i="40" s="1"/>
  <c r="K51" i="40"/>
  <c r="K23" i="40" s="1"/>
  <c r="P22" i="9"/>
  <c r="Q50" i="9"/>
  <c r="O23" i="9"/>
  <c r="P50" i="44" s="1"/>
  <c r="O29" i="9"/>
  <c r="O61" i="9" s="1"/>
  <c r="P44" i="44" s="1"/>
  <c r="P26" i="9" l="1"/>
  <c r="P49" i="44"/>
  <c r="P34" i="44"/>
  <c r="Q27" i="21"/>
  <c r="Q15" i="44"/>
  <c r="P27" i="19"/>
  <c r="K30" i="40"/>
  <c r="K24" i="40"/>
  <c r="R50" i="9"/>
  <c r="Q22" i="9"/>
  <c r="P29" i="9"/>
  <c r="P61" i="9" s="1"/>
  <c r="Q44" i="44" s="1"/>
  <c r="P23" i="9"/>
  <c r="Q50" i="44" s="1"/>
  <c r="K33" i="40" l="1"/>
  <c r="Q26" i="9"/>
  <c r="Q49" i="44"/>
  <c r="Q34" i="44"/>
  <c r="R27" i="21"/>
  <c r="R15" i="44"/>
  <c r="Q27" i="19"/>
  <c r="K62" i="40"/>
  <c r="L51" i="40"/>
  <c r="L23" i="40" s="1"/>
  <c r="S50" i="9"/>
  <c r="R22" i="9"/>
  <c r="Q29" i="9"/>
  <c r="Q61" i="9" s="1"/>
  <c r="R44" i="44" s="1"/>
  <c r="Q23" i="9"/>
  <c r="R50" i="44" s="1"/>
  <c r="R26" i="9" l="1"/>
  <c r="R29" i="9" s="1"/>
  <c r="R61" i="9" s="1"/>
  <c r="S44" i="44" s="1"/>
  <c r="R49" i="44"/>
  <c r="R34" i="44"/>
  <c r="S27" i="21"/>
  <c r="S15" i="44"/>
  <c r="R27" i="19"/>
  <c r="L30" i="40"/>
  <c r="L24" i="40"/>
  <c r="L33" i="40" s="1"/>
  <c r="R23" i="9"/>
  <c r="S50" i="44" s="1"/>
  <c r="T50" i="9"/>
  <c r="S22" i="9"/>
  <c r="S26" i="9" l="1"/>
  <c r="S29" i="9" s="1"/>
  <c r="S61" i="9" s="1"/>
  <c r="T44" i="44" s="1"/>
  <c r="S49" i="44"/>
  <c r="S34" i="44"/>
  <c r="T27" i="21"/>
  <c r="T15" i="44"/>
  <c r="S27" i="19"/>
  <c r="L62" i="40"/>
  <c r="M51" i="40"/>
  <c r="M23" i="40" s="1"/>
  <c r="U50" i="9"/>
  <c r="S23" i="9"/>
  <c r="T50" i="44" s="1"/>
  <c r="T22" i="9"/>
  <c r="T26" i="9" l="1"/>
  <c r="T49" i="44"/>
  <c r="T34" i="44"/>
  <c r="U15" i="44"/>
  <c r="U27" i="21"/>
  <c r="T27" i="19"/>
  <c r="M30" i="40"/>
  <c r="M24" i="40"/>
  <c r="M33" i="40" s="1"/>
  <c r="V50" i="9"/>
  <c r="U22" i="9"/>
  <c r="U23" i="9" s="1"/>
  <c r="V50" i="44" s="1"/>
  <c r="T29" i="9"/>
  <c r="T61" i="9" s="1"/>
  <c r="U44" i="44" s="1"/>
  <c r="T23" i="9"/>
  <c r="U50" i="44" s="1"/>
  <c r="U26" i="9" l="1"/>
  <c r="U49" i="44"/>
  <c r="U34" i="44"/>
  <c r="V27" i="21"/>
  <c r="V15" i="44"/>
  <c r="U27" i="19"/>
  <c r="M62" i="40"/>
  <c r="N51" i="40"/>
  <c r="N23" i="40" s="1"/>
  <c r="O51" i="40"/>
  <c r="V22" i="9"/>
  <c r="V23" i="9" s="1"/>
  <c r="W50" i="44" s="1"/>
  <c r="W50" i="9"/>
  <c r="U29" i="9"/>
  <c r="U61" i="9" s="1"/>
  <c r="V44" i="44" s="1"/>
  <c r="V34" i="44" l="1"/>
  <c r="V26" i="9"/>
  <c r="V29" i="9" s="1"/>
  <c r="V61" i="9" s="1"/>
  <c r="W44" i="44" s="1"/>
  <c r="V49" i="44"/>
  <c r="W27" i="21"/>
  <c r="X15" i="44" s="1"/>
  <c r="W15" i="44"/>
  <c r="V27" i="19"/>
  <c r="O23" i="40"/>
  <c r="N24" i="40"/>
  <c r="N33" i="40" s="1"/>
  <c r="N30" i="40"/>
  <c r="N62" i="40" s="1"/>
  <c r="W22" i="9"/>
  <c r="W23" i="9" s="1"/>
  <c r="X50" i="44" s="1"/>
  <c r="W34" i="44" l="1"/>
  <c r="W26" i="9"/>
  <c r="X49" i="44" s="1"/>
  <c r="W49" i="44"/>
  <c r="W27" i="19"/>
  <c r="O24" i="40"/>
  <c r="O33" i="40" s="1"/>
  <c r="P23" i="40"/>
  <c r="O30" i="40"/>
  <c r="O62" i="40" s="1"/>
  <c r="W29" i="9" l="1"/>
  <c r="W61" i="9" s="1"/>
  <c r="X44" i="44" s="1"/>
  <c r="X34" i="44"/>
  <c r="P30" i="40"/>
  <c r="P62" i="40" s="1"/>
  <c r="Q23" i="40"/>
  <c r="P24" i="40"/>
  <c r="P33" i="40" s="1"/>
  <c r="M71" i="17"/>
  <c r="M72" i="21"/>
  <c r="N14" i="44" s="1"/>
  <c r="M71" i="9"/>
  <c r="M71" i="18"/>
  <c r="M72" i="19"/>
  <c r="R71" i="18"/>
  <c r="R71" i="9"/>
  <c r="R72" i="21"/>
  <c r="S14" i="44" s="1"/>
  <c r="R71" i="17"/>
  <c r="R72" i="19"/>
  <c r="Q72" i="21"/>
  <c r="R14" i="44" s="1"/>
  <c r="Q71" i="17"/>
  <c r="Q71" i="9"/>
  <c r="Q71" i="18"/>
  <c r="Q72" i="19"/>
  <c r="J72" i="21"/>
  <c r="K14" i="44" s="1"/>
  <c r="J71" i="17"/>
  <c r="J71" i="9"/>
  <c r="J72" i="19"/>
  <c r="J71" i="18"/>
  <c r="S72" i="21"/>
  <c r="T14" i="44" s="1"/>
  <c r="S72" i="19"/>
  <c r="S71" i="9"/>
  <c r="S71" i="17"/>
  <c r="S71" i="18"/>
  <c r="P72" i="19"/>
  <c r="P71" i="17"/>
  <c r="P71" i="18"/>
  <c r="P71" i="9"/>
  <c r="P72" i="21"/>
  <c r="Q14" i="44" s="1"/>
  <c r="G71" i="18"/>
  <c r="G71" i="17"/>
  <c r="G72" i="21"/>
  <c r="H14" i="44" s="1"/>
  <c r="G72" i="19"/>
  <c r="K71" i="9"/>
  <c r="K72" i="21"/>
  <c r="L14" i="44" s="1"/>
  <c r="K71" i="17"/>
  <c r="K71" i="18"/>
  <c r="K72" i="19"/>
  <c r="H71" i="9"/>
  <c r="H72" i="21"/>
  <c r="I14" i="44" s="1"/>
  <c r="H71" i="18"/>
  <c r="H72" i="19"/>
  <c r="H71" i="17"/>
  <c r="U71" i="9"/>
  <c r="U72" i="21"/>
  <c r="V14" i="44" s="1"/>
  <c r="U71" i="18"/>
  <c r="U72" i="19"/>
  <c r="U71" i="17"/>
  <c r="V71" i="17"/>
  <c r="V72" i="19"/>
  <c r="V71" i="9"/>
  <c r="V72" i="21"/>
  <c r="W14" i="44" s="1"/>
  <c r="V71" i="18"/>
  <c r="I72" i="19"/>
  <c r="I71" i="17"/>
  <c r="I71" i="9"/>
  <c r="I72" i="21"/>
  <c r="J14" i="44" s="1"/>
  <c r="I71" i="18"/>
  <c r="T72" i="21"/>
  <c r="U14" i="44" s="1"/>
  <c r="T71" i="17"/>
  <c r="T72" i="19"/>
  <c r="T71" i="18"/>
  <c r="T71" i="9"/>
  <c r="N71" i="18"/>
  <c r="N72" i="19"/>
  <c r="N71" i="9"/>
  <c r="N71" i="17"/>
  <c r="N72" i="21"/>
  <c r="O14" i="44" s="1"/>
  <c r="W72" i="19"/>
  <c r="W71" i="17"/>
  <c r="W72" i="21"/>
  <c r="X14" i="44" s="1"/>
  <c r="W71" i="9"/>
  <c r="W71" i="18"/>
  <c r="O72" i="19"/>
  <c r="O72" i="21"/>
  <c r="P14" i="44" s="1"/>
  <c r="O71" i="18"/>
  <c r="O71" i="17"/>
  <c r="O71" i="9"/>
  <c r="L71" i="17"/>
  <c r="L72" i="19"/>
  <c r="L72" i="21"/>
  <c r="M14" i="44" s="1"/>
  <c r="L71" i="9"/>
  <c r="L71" i="18"/>
  <c r="Q24" i="40" l="1"/>
  <c r="Q33" i="40" s="1"/>
  <c r="Q30" i="40"/>
  <c r="Q62" i="40" s="1"/>
  <c r="R23" i="40"/>
  <c r="Q72" i="17"/>
  <c r="Q73" i="17" s="1"/>
  <c r="Q73" i="21"/>
  <c r="Q74" i="21" s="1"/>
  <c r="Q72" i="18"/>
  <c r="Q73" i="18" s="1"/>
  <c r="Q72" i="9"/>
  <c r="Q73" i="9" s="1"/>
  <c r="Q73" i="19"/>
  <c r="Q74" i="19" s="1"/>
  <c r="L73" i="21"/>
  <c r="L74" i="21" s="1"/>
  <c r="L72" i="9"/>
  <c r="L73" i="9" s="1"/>
  <c r="L73" i="19"/>
  <c r="L74" i="19" s="1"/>
  <c r="L72" i="18"/>
  <c r="L73" i="18" s="1"/>
  <c r="L72" i="17"/>
  <c r="L73" i="17" s="1"/>
  <c r="I63" i="19"/>
  <c r="I63" i="21"/>
  <c r="I62" i="18"/>
  <c r="I62" i="17"/>
  <c r="I62" i="9"/>
  <c r="K73" i="19"/>
  <c r="K74" i="19" s="1"/>
  <c r="K73" i="21"/>
  <c r="K74" i="21" s="1"/>
  <c r="K72" i="9"/>
  <c r="K73" i="9" s="1"/>
  <c r="K72" i="18"/>
  <c r="K73" i="18" s="1"/>
  <c r="K72" i="17"/>
  <c r="K73" i="17" s="1"/>
  <c r="G72" i="9"/>
  <c r="G73" i="9" s="1"/>
  <c r="G73" i="19"/>
  <c r="G74" i="19" s="1"/>
  <c r="G73" i="21"/>
  <c r="G74" i="21" s="1"/>
  <c r="G72" i="17"/>
  <c r="G73" i="17" s="1"/>
  <c r="G72" i="18"/>
  <c r="G73" i="18" s="1"/>
  <c r="O73" i="19"/>
  <c r="O74" i="19" s="1"/>
  <c r="O72" i="17"/>
  <c r="O73" i="17" s="1"/>
  <c r="O72" i="18"/>
  <c r="O73" i="18" s="1"/>
  <c r="O72" i="9"/>
  <c r="O73" i="9" s="1"/>
  <c r="O73" i="21"/>
  <c r="O74" i="21" s="1"/>
  <c r="Q63" i="21"/>
  <c r="Q62" i="18"/>
  <c r="Q62" i="17"/>
  <c r="Q63" i="19"/>
  <c r="Q62" i="9"/>
  <c r="K63" i="21"/>
  <c r="K62" i="17"/>
  <c r="K62" i="18"/>
  <c r="K62" i="9"/>
  <c r="K63" i="19"/>
  <c r="W62" i="17"/>
  <c r="W63" i="21"/>
  <c r="W63" i="19"/>
  <c r="W62" i="9"/>
  <c r="W62" i="18"/>
  <c r="N62" i="17"/>
  <c r="N62" i="18"/>
  <c r="N62" i="9"/>
  <c r="N63" i="21"/>
  <c r="N63" i="19"/>
  <c r="J73" i="19"/>
  <c r="J74" i="19" s="1"/>
  <c r="J72" i="17"/>
  <c r="J73" i="17" s="1"/>
  <c r="J72" i="9"/>
  <c r="J73" i="9" s="1"/>
  <c r="J73" i="21"/>
  <c r="J74" i="21" s="1"/>
  <c r="J72" i="18"/>
  <c r="J73" i="18" s="1"/>
  <c r="W73" i="21"/>
  <c r="W74" i="21" s="1"/>
  <c r="W72" i="18"/>
  <c r="W73" i="18" s="1"/>
  <c r="W72" i="9"/>
  <c r="W73" i="9" s="1"/>
  <c r="W73" i="19"/>
  <c r="W74" i="19" s="1"/>
  <c r="W72" i="17"/>
  <c r="W73" i="17" s="1"/>
  <c r="P73" i="19"/>
  <c r="P74" i="19" s="1"/>
  <c r="P72" i="9"/>
  <c r="P73" i="9" s="1"/>
  <c r="P72" i="18"/>
  <c r="P73" i="18" s="1"/>
  <c r="P73" i="21"/>
  <c r="P74" i="21" s="1"/>
  <c r="P72" i="17"/>
  <c r="P73" i="17" s="1"/>
  <c r="M72" i="17"/>
  <c r="M73" i="17" s="1"/>
  <c r="M72" i="18"/>
  <c r="M73" i="18" s="1"/>
  <c r="M72" i="9"/>
  <c r="M73" i="9" s="1"/>
  <c r="M73" i="21"/>
  <c r="M74" i="21" s="1"/>
  <c r="M73" i="19"/>
  <c r="M74" i="19" s="1"/>
  <c r="U62" i="18"/>
  <c r="U63" i="19"/>
  <c r="U62" i="17"/>
  <c r="U62" i="9"/>
  <c r="U63" i="21"/>
  <c r="O62" i="18"/>
  <c r="O63" i="19"/>
  <c r="O63" i="21"/>
  <c r="O62" i="9"/>
  <c r="O62" i="17"/>
  <c r="L63" i="19"/>
  <c r="L62" i="17"/>
  <c r="L62" i="9"/>
  <c r="L63" i="21"/>
  <c r="L62" i="18"/>
  <c r="N72" i="9"/>
  <c r="N73" i="9" s="1"/>
  <c r="N73" i="19"/>
  <c r="N74" i="19" s="1"/>
  <c r="N72" i="17"/>
  <c r="N73" i="17" s="1"/>
  <c r="N72" i="18"/>
  <c r="N73" i="18" s="1"/>
  <c r="N73" i="21"/>
  <c r="N74" i="21" s="1"/>
  <c r="S72" i="9"/>
  <c r="S73" i="9" s="1"/>
  <c r="S72" i="17"/>
  <c r="S73" i="17" s="1"/>
  <c r="S73" i="19"/>
  <c r="S74" i="19" s="1"/>
  <c r="S72" i="18"/>
  <c r="S73" i="18" s="1"/>
  <c r="S73" i="21"/>
  <c r="S74" i="21" s="1"/>
  <c r="V73" i="21"/>
  <c r="V74" i="21" s="1"/>
  <c r="V72" i="9"/>
  <c r="V73" i="9" s="1"/>
  <c r="V72" i="18"/>
  <c r="V73" i="18" s="1"/>
  <c r="V73" i="19"/>
  <c r="V74" i="19" s="1"/>
  <c r="V72" i="17"/>
  <c r="V73" i="17" s="1"/>
  <c r="S62" i="18"/>
  <c r="S63" i="21"/>
  <c r="S62" i="17"/>
  <c r="S63" i="19"/>
  <c r="S62" i="9"/>
  <c r="M62" i="18"/>
  <c r="M63" i="21"/>
  <c r="M62" i="9"/>
  <c r="M62" i="17"/>
  <c r="M63" i="19"/>
  <c r="T72" i="9"/>
  <c r="T73" i="9" s="1"/>
  <c r="T73" i="21"/>
  <c r="T74" i="21" s="1"/>
  <c r="T72" i="17"/>
  <c r="T73" i="17" s="1"/>
  <c r="T73" i="19"/>
  <c r="T74" i="19" s="1"/>
  <c r="T72" i="18"/>
  <c r="T73" i="18" s="1"/>
  <c r="R63" i="21"/>
  <c r="R63" i="19"/>
  <c r="R62" i="17"/>
  <c r="R62" i="18"/>
  <c r="R62" i="9"/>
  <c r="J63" i="19"/>
  <c r="J62" i="17"/>
  <c r="J62" i="18"/>
  <c r="J62" i="9"/>
  <c r="J63" i="21"/>
  <c r="H63" i="21"/>
  <c r="H62" i="17"/>
  <c r="H63" i="19"/>
  <c r="H62" i="18"/>
  <c r="G62" i="18"/>
  <c r="G62" i="9"/>
  <c r="G63" i="21"/>
  <c r="G62" i="17"/>
  <c r="G63" i="19"/>
  <c r="U72" i="9"/>
  <c r="U73" i="9" s="1"/>
  <c r="U72" i="18"/>
  <c r="U73" i="18" s="1"/>
  <c r="U73" i="19"/>
  <c r="U74" i="19" s="1"/>
  <c r="U72" i="17"/>
  <c r="U73" i="17" s="1"/>
  <c r="U73" i="21"/>
  <c r="U74" i="21" s="1"/>
  <c r="T63" i="19"/>
  <c r="T62" i="18"/>
  <c r="T63" i="21"/>
  <c r="T62" i="9"/>
  <c r="T62" i="17"/>
  <c r="V62" i="9"/>
  <c r="V62" i="17"/>
  <c r="V62" i="18"/>
  <c r="V63" i="21"/>
  <c r="V63" i="19"/>
  <c r="H73" i="19"/>
  <c r="H74" i="19" s="1"/>
  <c r="H73" i="9"/>
  <c r="H72" i="18"/>
  <c r="H73" i="18" s="1"/>
  <c r="H73" i="21"/>
  <c r="H74" i="21" s="1"/>
  <c r="H72" i="17"/>
  <c r="H73" i="17" s="1"/>
  <c r="R72" i="9"/>
  <c r="R73" i="9" s="1"/>
  <c r="R73" i="19"/>
  <c r="R74" i="19" s="1"/>
  <c r="R73" i="21"/>
  <c r="R74" i="21" s="1"/>
  <c r="R72" i="18"/>
  <c r="R73" i="18" s="1"/>
  <c r="R72" i="17"/>
  <c r="R73" i="17" s="1"/>
  <c r="I73" i="21"/>
  <c r="I74" i="21" s="1"/>
  <c r="I73" i="19"/>
  <c r="I74" i="19" s="1"/>
  <c r="I72" i="17"/>
  <c r="I73" i="17" s="1"/>
  <c r="I72" i="18"/>
  <c r="I73" i="18" s="1"/>
  <c r="I72" i="9"/>
  <c r="I73" i="9" s="1"/>
  <c r="P62" i="17"/>
  <c r="P62" i="18"/>
  <c r="P62" i="9"/>
  <c r="P63" i="19"/>
  <c r="P63" i="21"/>
  <c r="S23" i="40" l="1"/>
  <c r="R24" i="40"/>
  <c r="R33" i="40" s="1"/>
  <c r="R30" i="40"/>
  <c r="R62" i="40" s="1"/>
  <c r="D93" i="19"/>
  <c r="C93" i="19"/>
  <c r="S24" i="40" l="1"/>
  <c r="S33" i="40" s="1"/>
  <c r="T23" i="40"/>
  <c r="S30" i="40"/>
  <c r="S62" i="40" s="1"/>
  <c r="F71" i="18"/>
  <c r="F72" i="19"/>
  <c r="F72" i="21"/>
  <c r="G14" i="44" s="1"/>
  <c r="F71" i="17"/>
  <c r="E72" i="19"/>
  <c r="E71" i="17"/>
  <c r="E71" i="9"/>
  <c r="E72" i="21"/>
  <c r="F14" i="44" s="1"/>
  <c r="E71" i="18"/>
  <c r="D72" i="19"/>
  <c r="D71" i="17"/>
  <c r="D72" i="21"/>
  <c r="D71" i="18"/>
  <c r="U23" i="40" l="1"/>
  <c r="T24" i="40"/>
  <c r="T30" i="40"/>
  <c r="T62" i="40" s="1"/>
  <c r="C20" i="8"/>
  <c r="C17" i="18" s="1"/>
  <c r="W20" i="8"/>
  <c r="D20" i="8"/>
  <c r="U20" i="8"/>
  <c r="J20" i="8"/>
  <c r="T20" i="8"/>
  <c r="S20" i="8"/>
  <c r="H42" i="18"/>
  <c r="H43" i="19"/>
  <c r="H42" i="17"/>
  <c r="E42" i="18"/>
  <c r="E43" i="19"/>
  <c r="D15" i="21"/>
  <c r="D73" i="21" s="1"/>
  <c r="D74" i="21" s="1"/>
  <c r="D14" i="19"/>
  <c r="D73" i="19" s="1"/>
  <c r="D74" i="19" s="1"/>
  <c r="D14" i="9"/>
  <c r="D72" i="9" s="1"/>
  <c r="D73" i="9" s="1"/>
  <c r="D14" i="17"/>
  <c r="D72" i="17" s="1"/>
  <c r="D73" i="17" s="1"/>
  <c r="D14" i="18"/>
  <c r="D72" i="18" s="1"/>
  <c r="D73" i="18" s="1"/>
  <c r="Q20" i="8"/>
  <c r="J18" i="9"/>
  <c r="J18" i="19"/>
  <c r="J18" i="17"/>
  <c r="J64" i="9"/>
  <c r="J18" i="18"/>
  <c r="J19" i="21"/>
  <c r="U42" i="17"/>
  <c r="U42" i="18"/>
  <c r="U43" i="19"/>
  <c r="D42" i="18"/>
  <c r="D43" i="19"/>
  <c r="N20" i="8"/>
  <c r="M20" i="8"/>
  <c r="N42" i="19"/>
  <c r="N41" i="18"/>
  <c r="N32" i="9"/>
  <c r="O52" i="44" s="1"/>
  <c r="E20" i="8"/>
  <c r="E18" i="40" s="1"/>
  <c r="L18" i="19"/>
  <c r="L18" i="9"/>
  <c r="L64" i="9"/>
  <c r="L19" i="21"/>
  <c r="L64" i="17"/>
  <c r="L18" i="17"/>
  <c r="L65" i="19"/>
  <c r="L64" i="18"/>
  <c r="L18" i="18"/>
  <c r="L65" i="21"/>
  <c r="Q18" i="19"/>
  <c r="Q18" i="17"/>
  <c r="Q65" i="21"/>
  <c r="Q18" i="9"/>
  <c r="Q64" i="18"/>
  <c r="Q19" i="21"/>
  <c r="Q18" i="18"/>
  <c r="Q64" i="17"/>
  <c r="Q64" i="9"/>
  <c r="Q65" i="19"/>
  <c r="V20" i="8"/>
  <c r="K43" i="19"/>
  <c r="K42" i="17"/>
  <c r="K42" i="18"/>
  <c r="O42" i="17"/>
  <c r="O43" i="19"/>
  <c r="O42" i="18"/>
  <c r="K20" i="8"/>
  <c r="U18" i="9"/>
  <c r="U64" i="18"/>
  <c r="U18" i="18"/>
  <c r="U18" i="17"/>
  <c r="U19" i="21"/>
  <c r="U64" i="9"/>
  <c r="U65" i="21"/>
  <c r="U64" i="17"/>
  <c r="U18" i="19"/>
  <c r="U65" i="19"/>
  <c r="G20" i="8"/>
  <c r="G18" i="40" s="1"/>
  <c r="R20" i="8"/>
  <c r="H18" i="9"/>
  <c r="H18" i="17"/>
  <c r="H18" i="19"/>
  <c r="H19" i="21"/>
  <c r="H18" i="18"/>
  <c r="R65" i="21"/>
  <c r="R64" i="9"/>
  <c r="R65" i="19"/>
  <c r="R64" i="18"/>
  <c r="R18" i="19"/>
  <c r="R18" i="9"/>
  <c r="R18" i="17"/>
  <c r="R64" i="17"/>
  <c r="R18" i="18"/>
  <c r="R19" i="21"/>
  <c r="C56" i="9"/>
  <c r="C56" i="18"/>
  <c r="C57" i="21"/>
  <c r="C57" i="19"/>
  <c r="S42" i="18"/>
  <c r="S43" i="19"/>
  <c r="S42" i="17"/>
  <c r="G18" i="18"/>
  <c r="G18" i="17"/>
  <c r="G19" i="21"/>
  <c r="G64" i="9"/>
  <c r="G18" i="19"/>
  <c r="G18" i="9"/>
  <c r="L20" i="8"/>
  <c r="P64" i="9"/>
  <c r="P19" i="21"/>
  <c r="P65" i="21"/>
  <c r="P64" i="17"/>
  <c r="P18" i="9"/>
  <c r="P65" i="19"/>
  <c r="P18" i="19"/>
  <c r="P64" i="18"/>
  <c r="P18" i="18"/>
  <c r="P18" i="17"/>
  <c r="N42" i="17"/>
  <c r="N43" i="19"/>
  <c r="N42" i="18"/>
  <c r="D14" i="21"/>
  <c r="D63" i="21" s="1"/>
  <c r="D59" i="21" s="1"/>
  <c r="D13" i="18"/>
  <c r="D62" i="18" s="1"/>
  <c r="D58" i="18" s="1"/>
  <c r="D13" i="19"/>
  <c r="D63" i="19" s="1"/>
  <c r="D59" i="19" s="1"/>
  <c r="D13" i="9"/>
  <c r="D62" i="9" s="1"/>
  <c r="D58" i="9" s="1"/>
  <c r="D13" i="17"/>
  <c r="D62" i="17" s="1"/>
  <c r="D58" i="17" s="1"/>
  <c r="S64" i="17"/>
  <c r="S64" i="18"/>
  <c r="S65" i="19"/>
  <c r="S18" i="19"/>
  <c r="S18" i="9"/>
  <c r="S18" i="18"/>
  <c r="S18" i="17"/>
  <c r="S19" i="21"/>
  <c r="S64" i="9"/>
  <c r="S65" i="21"/>
  <c r="K18" i="18"/>
  <c r="K19" i="21"/>
  <c r="K64" i="18"/>
  <c r="K18" i="19"/>
  <c r="K65" i="19"/>
  <c r="K65" i="21"/>
  <c r="K18" i="9"/>
  <c r="K64" i="17"/>
  <c r="K64" i="9"/>
  <c r="K18" i="17"/>
  <c r="H20" i="8"/>
  <c r="H18" i="40" s="1"/>
  <c r="D18" i="9"/>
  <c r="D18" i="17"/>
  <c r="D18" i="19"/>
  <c r="D19" i="21"/>
  <c r="D18" i="18"/>
  <c r="I20" i="8"/>
  <c r="I18" i="40" s="1"/>
  <c r="P42" i="17"/>
  <c r="P43" i="19"/>
  <c r="P42" i="18"/>
  <c r="Q43" i="19"/>
  <c r="Q42" i="18"/>
  <c r="Q42" i="17"/>
  <c r="F42" i="18"/>
  <c r="F43" i="19"/>
  <c r="I18" i="9"/>
  <c r="I64" i="9"/>
  <c r="I19" i="21"/>
  <c r="I18" i="17"/>
  <c r="I18" i="19"/>
  <c r="I18" i="18"/>
  <c r="M64" i="17"/>
  <c r="M18" i="17"/>
  <c r="M18" i="9"/>
  <c r="M65" i="19"/>
  <c r="M64" i="9"/>
  <c r="M65" i="21"/>
  <c r="M19" i="21"/>
  <c r="M18" i="19"/>
  <c r="M64" i="18"/>
  <c r="M18" i="18"/>
  <c r="N64" i="9"/>
  <c r="N65" i="21"/>
  <c r="N18" i="9"/>
  <c r="N64" i="17"/>
  <c r="N18" i="18"/>
  <c r="N65" i="19"/>
  <c r="N18" i="17"/>
  <c r="N18" i="19"/>
  <c r="N64" i="18"/>
  <c r="N19" i="21"/>
  <c r="F32" i="17"/>
  <c r="F41" i="9"/>
  <c r="F42" i="21"/>
  <c r="F41" i="18"/>
  <c r="F42" i="19"/>
  <c r="R42" i="17"/>
  <c r="R43" i="19"/>
  <c r="R42" i="18"/>
  <c r="V42" i="18"/>
  <c r="V42" i="17"/>
  <c r="V43" i="19"/>
  <c r="F13" i="19"/>
  <c r="F63" i="19" s="1"/>
  <c r="F59" i="19" s="1"/>
  <c r="F14" i="21"/>
  <c r="G9" i="44" s="1"/>
  <c r="F13" i="18"/>
  <c r="F62" i="18" s="1"/>
  <c r="F58" i="18" s="1"/>
  <c r="F13" i="17"/>
  <c r="F62" i="17" s="1"/>
  <c r="F58" i="17" s="1"/>
  <c r="F13" i="9"/>
  <c r="F62" i="9" s="1"/>
  <c r="F58" i="9" s="1"/>
  <c r="C42" i="18"/>
  <c r="C43" i="19"/>
  <c r="W42" i="18"/>
  <c r="W42" i="17"/>
  <c r="W43" i="19"/>
  <c r="W65" i="19"/>
  <c r="W64" i="9"/>
  <c r="W18" i="18"/>
  <c r="W18" i="19"/>
  <c r="W19" i="21"/>
  <c r="W18" i="17"/>
  <c r="W65" i="21"/>
  <c r="W64" i="18"/>
  <c r="W18" i="9"/>
  <c r="W64" i="17"/>
  <c r="E14" i="19"/>
  <c r="E73" i="19" s="1"/>
  <c r="E74" i="19" s="1"/>
  <c r="E14" i="17"/>
  <c r="E72" i="17" s="1"/>
  <c r="E73" i="17" s="1"/>
  <c r="E15" i="21"/>
  <c r="E73" i="21" s="1"/>
  <c r="E74" i="21" s="1"/>
  <c r="E14" i="9"/>
  <c r="E72" i="9" s="1"/>
  <c r="E73" i="9" s="1"/>
  <c r="E14" i="18"/>
  <c r="E72" i="18" s="1"/>
  <c r="E73" i="18" s="1"/>
  <c r="F15" i="21"/>
  <c r="F73" i="21" s="1"/>
  <c r="F74" i="21" s="1"/>
  <c r="F14" i="9"/>
  <c r="F72" i="9" s="1"/>
  <c r="F73" i="9" s="1"/>
  <c r="F14" i="17"/>
  <c r="F72" i="17" s="1"/>
  <c r="F73" i="17" s="1"/>
  <c r="F14" i="18"/>
  <c r="F72" i="18" s="1"/>
  <c r="F73" i="18" s="1"/>
  <c r="F14" i="19"/>
  <c r="F73" i="19" s="1"/>
  <c r="F74" i="19" s="1"/>
  <c r="P20" i="8"/>
  <c r="I42" i="17"/>
  <c r="I43" i="19"/>
  <c r="I42" i="18"/>
  <c r="F20" i="8"/>
  <c r="F18" i="40" s="1"/>
  <c r="M43" i="19"/>
  <c r="M42" i="18"/>
  <c r="M42" i="17"/>
  <c r="C14" i="18"/>
  <c r="C15" i="21"/>
  <c r="C14" i="9"/>
  <c r="C14" i="19"/>
  <c r="C14" i="17"/>
  <c r="F18" i="17"/>
  <c r="F18" i="9"/>
  <c r="F18" i="19"/>
  <c r="F19" i="21"/>
  <c r="F18" i="18"/>
  <c r="E13" i="17"/>
  <c r="E62" i="17" s="1"/>
  <c r="E58" i="17" s="1"/>
  <c r="E13" i="19"/>
  <c r="E63" i="19" s="1"/>
  <c r="E59" i="19" s="1"/>
  <c r="E14" i="21"/>
  <c r="E13" i="9"/>
  <c r="E62" i="9" s="1"/>
  <c r="E58" i="9" s="1"/>
  <c r="E13" i="18"/>
  <c r="E62" i="18" s="1"/>
  <c r="E58" i="18" s="1"/>
  <c r="T18" i="19"/>
  <c r="T19" i="21"/>
  <c r="T18" i="17"/>
  <c r="T64" i="18"/>
  <c r="T65" i="19"/>
  <c r="T18" i="18"/>
  <c r="T65" i="21"/>
  <c r="T18" i="9"/>
  <c r="T64" i="17"/>
  <c r="T64" i="9"/>
  <c r="E18" i="18"/>
  <c r="E19" i="21"/>
  <c r="E18" i="9"/>
  <c r="E18" i="17"/>
  <c r="E18" i="19"/>
  <c r="L42" i="18"/>
  <c r="L42" i="17"/>
  <c r="L43" i="19"/>
  <c r="T43" i="19"/>
  <c r="T42" i="17"/>
  <c r="T42" i="18"/>
  <c r="C14" i="21"/>
  <c r="C13" i="18"/>
  <c r="C13" i="19"/>
  <c r="C13" i="17"/>
  <c r="C13" i="9"/>
  <c r="O65" i="21"/>
  <c r="O18" i="18"/>
  <c r="O64" i="18"/>
  <c r="O18" i="17"/>
  <c r="O19" i="21"/>
  <c r="O65" i="19"/>
  <c r="O18" i="9"/>
  <c r="O64" i="9"/>
  <c r="O18" i="19"/>
  <c r="O64" i="17"/>
  <c r="C18" i="17"/>
  <c r="C18" i="19"/>
  <c r="C18" i="18"/>
  <c r="C19" i="21"/>
  <c r="C18" i="9"/>
  <c r="J43" i="19"/>
  <c r="J42" i="18"/>
  <c r="J42" i="17"/>
  <c r="G42" i="18"/>
  <c r="G43" i="19"/>
  <c r="E41" i="17"/>
  <c r="E32" i="17" s="1"/>
  <c r="E41" i="9"/>
  <c r="E41" i="18"/>
  <c r="E32" i="18" s="1"/>
  <c r="E42" i="21"/>
  <c r="F17" i="44" s="1"/>
  <c r="E42" i="19"/>
  <c r="C41" i="9"/>
  <c r="C101" i="9" s="1"/>
  <c r="C42" i="19"/>
  <c r="C98" i="19" s="1"/>
  <c r="C42" i="21"/>
  <c r="C113" i="21" s="1"/>
  <c r="C41" i="18"/>
  <c r="C41" i="17"/>
  <c r="O20" i="8"/>
  <c r="D42" i="21"/>
  <c r="D113" i="21" s="1"/>
  <c r="D42" i="19"/>
  <c r="D98" i="19" s="1"/>
  <c r="D41" i="17"/>
  <c r="D41" i="9"/>
  <c r="D101" i="9" s="1"/>
  <c r="D41" i="18"/>
  <c r="V65" i="19"/>
  <c r="V18" i="19"/>
  <c r="V65" i="21"/>
  <c r="V64" i="9"/>
  <c r="V19" i="21"/>
  <c r="V64" i="17"/>
  <c r="V18" i="18"/>
  <c r="V18" i="9"/>
  <c r="V18" i="17"/>
  <c r="V64" i="18"/>
  <c r="T33" i="40" l="1"/>
  <c r="F101" i="9"/>
  <c r="G51" i="44"/>
  <c r="E101" i="9"/>
  <c r="F51" i="44"/>
  <c r="F33" i="21"/>
  <c r="G18" i="44" s="1"/>
  <c r="G17" i="44"/>
  <c r="E63" i="21"/>
  <c r="E59" i="21" s="1"/>
  <c r="F9" i="44"/>
  <c r="D32" i="18"/>
  <c r="D68" i="18" s="1"/>
  <c r="D97" i="18"/>
  <c r="D32" i="17"/>
  <c r="D67" i="17" s="1"/>
  <c r="D97" i="17"/>
  <c r="C32" i="17"/>
  <c r="C97" i="17"/>
  <c r="C32" i="18"/>
  <c r="C97" i="18"/>
  <c r="F63" i="21"/>
  <c r="L18" i="40"/>
  <c r="L64" i="40"/>
  <c r="L59" i="40" s="1"/>
  <c r="K18" i="40"/>
  <c r="K64" i="40"/>
  <c r="M18" i="40"/>
  <c r="M64" i="40"/>
  <c r="M59" i="40" s="1"/>
  <c r="U24" i="40"/>
  <c r="U33" i="40" s="1"/>
  <c r="U30" i="40"/>
  <c r="U62" i="40" s="1"/>
  <c r="V23" i="40"/>
  <c r="N18" i="40"/>
  <c r="N64" i="40"/>
  <c r="N59" i="40" s="1"/>
  <c r="R18" i="40"/>
  <c r="R64" i="40"/>
  <c r="R59" i="40" s="1"/>
  <c r="V18" i="40"/>
  <c r="V64" i="40"/>
  <c r="S18" i="40"/>
  <c r="S64" i="40"/>
  <c r="S59" i="40" s="1"/>
  <c r="T18" i="40"/>
  <c r="T64" i="40"/>
  <c r="T59" i="40" s="1"/>
  <c r="J18" i="21"/>
  <c r="J18" i="40"/>
  <c r="U18" i="40"/>
  <c r="U64" i="40"/>
  <c r="D17" i="17"/>
  <c r="D18" i="40"/>
  <c r="P18" i="40"/>
  <c r="P64" i="40"/>
  <c r="P59" i="40" s="1"/>
  <c r="O18" i="40"/>
  <c r="O64" i="40"/>
  <c r="O59" i="40" s="1"/>
  <c r="Q18" i="40"/>
  <c r="Q64" i="40"/>
  <c r="Q59" i="40" s="1"/>
  <c r="W18" i="40"/>
  <c r="W64" i="40"/>
  <c r="C17" i="19"/>
  <c r="C18" i="40"/>
  <c r="H63" i="9"/>
  <c r="H58" i="9" s="1"/>
  <c r="K63" i="17"/>
  <c r="K64" i="21"/>
  <c r="M64" i="21"/>
  <c r="M63" i="17"/>
  <c r="N63" i="17"/>
  <c r="N64" i="21"/>
  <c r="R63" i="17"/>
  <c r="R64" i="21"/>
  <c r="L64" i="21"/>
  <c r="L63" i="17"/>
  <c r="V63" i="17"/>
  <c r="V64" i="21"/>
  <c r="S18" i="21"/>
  <c r="S63" i="17"/>
  <c r="S64" i="21"/>
  <c r="T63" i="17"/>
  <c r="T64" i="21"/>
  <c r="U63" i="17"/>
  <c r="U64" i="21"/>
  <c r="P64" i="21"/>
  <c r="P63" i="17"/>
  <c r="O63" i="17"/>
  <c r="O64" i="21"/>
  <c r="Q63" i="17"/>
  <c r="Q64" i="21"/>
  <c r="W17" i="17"/>
  <c r="W64" i="21"/>
  <c r="W63" i="17"/>
  <c r="T17" i="18"/>
  <c r="U17" i="9"/>
  <c r="G63" i="9"/>
  <c r="G58" i="9" s="1"/>
  <c r="U17" i="19"/>
  <c r="C18" i="21"/>
  <c r="C17" i="9"/>
  <c r="C17" i="17"/>
  <c r="T63" i="18"/>
  <c r="W17" i="9"/>
  <c r="T17" i="17"/>
  <c r="T17" i="9"/>
  <c r="T17" i="19"/>
  <c r="S63" i="9"/>
  <c r="S58" i="9" s="1"/>
  <c r="S17" i="18"/>
  <c r="T18" i="21"/>
  <c r="U17" i="18"/>
  <c r="J17" i="19"/>
  <c r="S17" i="9"/>
  <c r="J17" i="9"/>
  <c r="D17" i="19"/>
  <c r="J17" i="17"/>
  <c r="D17" i="9"/>
  <c r="J17" i="18"/>
  <c r="D18" i="21"/>
  <c r="D17" i="18"/>
  <c r="S17" i="17"/>
  <c r="U17" i="17"/>
  <c r="U18" i="21"/>
  <c r="S63" i="18"/>
  <c r="T64" i="19"/>
  <c r="S64" i="19"/>
  <c r="S17" i="19"/>
  <c r="W17" i="18"/>
  <c r="W64" i="19"/>
  <c r="W18" i="21"/>
  <c r="W63" i="18"/>
  <c r="W17" i="19"/>
  <c r="W63" i="9"/>
  <c r="W58" i="9" s="1"/>
  <c r="U63" i="18"/>
  <c r="U64" i="19"/>
  <c r="T63" i="9"/>
  <c r="T58" i="9" s="1"/>
  <c r="D33" i="19"/>
  <c r="D69" i="19" s="1"/>
  <c r="E32" i="9"/>
  <c r="F52" i="44" s="1"/>
  <c r="O63" i="9"/>
  <c r="O58" i="9" s="1"/>
  <c r="F17" i="19"/>
  <c r="F17" i="17"/>
  <c r="F17" i="9"/>
  <c r="F17" i="18"/>
  <c r="F18" i="21"/>
  <c r="F33" i="19"/>
  <c r="L17" i="18"/>
  <c r="L18" i="21"/>
  <c r="L17" i="9"/>
  <c r="L63" i="18"/>
  <c r="L64" i="19"/>
  <c r="L17" i="19"/>
  <c r="L17" i="17"/>
  <c r="L63" i="9"/>
  <c r="L58" i="9" s="1"/>
  <c r="V42" i="21"/>
  <c r="V42" i="19"/>
  <c r="V41" i="18"/>
  <c r="V41" i="17"/>
  <c r="V32" i="9"/>
  <c r="W52" i="44" s="1"/>
  <c r="O41" i="18"/>
  <c r="O42" i="19"/>
  <c r="O32" i="9"/>
  <c r="P52" i="44" s="1"/>
  <c r="O41" i="17"/>
  <c r="D33" i="21"/>
  <c r="D69" i="21" s="1"/>
  <c r="F32" i="18"/>
  <c r="C84" i="19"/>
  <c r="D70" i="19"/>
  <c r="R41" i="18"/>
  <c r="R42" i="21"/>
  <c r="R41" i="17"/>
  <c r="R42" i="19"/>
  <c r="R32" i="9"/>
  <c r="S52" i="44" s="1"/>
  <c r="W42" i="21"/>
  <c r="W32" i="9"/>
  <c r="X52" i="44" s="1"/>
  <c r="W41" i="17"/>
  <c r="W41" i="18"/>
  <c r="W42" i="19"/>
  <c r="D69" i="17"/>
  <c r="C83" i="17"/>
  <c r="V63" i="18"/>
  <c r="V18" i="21"/>
  <c r="V17" i="9"/>
  <c r="V17" i="19"/>
  <c r="V64" i="19"/>
  <c r="V17" i="17"/>
  <c r="V17" i="18"/>
  <c r="V63" i="9"/>
  <c r="V58" i="9" s="1"/>
  <c r="C33" i="21"/>
  <c r="F32" i="9"/>
  <c r="G52" i="44" s="1"/>
  <c r="C100" i="21"/>
  <c r="D70" i="21"/>
  <c r="S41" i="17"/>
  <c r="S42" i="21"/>
  <c r="S42" i="19"/>
  <c r="S32" i="9"/>
  <c r="T52" i="44" s="1"/>
  <c r="S41" i="18"/>
  <c r="C33" i="19"/>
  <c r="P18" i="21"/>
  <c r="P63" i="9"/>
  <c r="P58" i="9" s="1"/>
  <c r="P63" i="18"/>
  <c r="P17" i="19"/>
  <c r="P17" i="18"/>
  <c r="P17" i="17"/>
  <c r="P17" i="9"/>
  <c r="P64" i="19"/>
  <c r="I17" i="19"/>
  <c r="I17" i="17"/>
  <c r="I18" i="21"/>
  <c r="I17" i="9"/>
  <c r="I17" i="18"/>
  <c r="I63" i="9"/>
  <c r="I58" i="9" s="1"/>
  <c r="C83" i="18"/>
  <c r="D69" i="18"/>
  <c r="U42" i="21"/>
  <c r="U41" i="17"/>
  <c r="U41" i="18"/>
  <c r="U42" i="19"/>
  <c r="U32" i="9"/>
  <c r="V52" i="44" s="1"/>
  <c r="M63" i="18"/>
  <c r="M17" i="9"/>
  <c r="M17" i="18"/>
  <c r="M17" i="19"/>
  <c r="M17" i="17"/>
  <c r="M64" i="19"/>
  <c r="M63" i="9"/>
  <c r="M58" i="9" s="1"/>
  <c r="M18" i="21"/>
  <c r="J63" i="9"/>
  <c r="J58" i="9" s="1"/>
  <c r="C32" i="9"/>
  <c r="E33" i="19"/>
  <c r="C87" i="9"/>
  <c r="D69" i="9"/>
  <c r="R63" i="18"/>
  <c r="R18" i="21"/>
  <c r="R17" i="19"/>
  <c r="R17" i="9"/>
  <c r="R63" i="9"/>
  <c r="R58" i="9" s="1"/>
  <c r="R64" i="19"/>
  <c r="R17" i="18"/>
  <c r="R17" i="17"/>
  <c r="Q41" i="17"/>
  <c r="Q32" i="9"/>
  <c r="R52" i="44" s="1"/>
  <c r="Q42" i="19"/>
  <c r="Q41" i="18"/>
  <c r="Q42" i="21"/>
  <c r="N17" i="19"/>
  <c r="N63" i="9"/>
  <c r="N58" i="9" s="1"/>
  <c r="N17" i="18"/>
  <c r="N17" i="9"/>
  <c r="N18" i="21"/>
  <c r="N17" i="17"/>
  <c r="N64" i="19"/>
  <c r="N63" i="18"/>
  <c r="U63" i="9"/>
  <c r="U58" i="9" s="1"/>
  <c r="Q63" i="9"/>
  <c r="Q58" i="9" s="1"/>
  <c r="Q17" i="18"/>
  <c r="Q17" i="9"/>
  <c r="Q18" i="21"/>
  <c r="Q64" i="19"/>
  <c r="Q63" i="18"/>
  <c r="Q17" i="17"/>
  <c r="Q17" i="19"/>
  <c r="D32" i="9"/>
  <c r="D68" i="9" s="1"/>
  <c r="O17" i="17"/>
  <c r="O17" i="9"/>
  <c r="O18" i="21"/>
  <c r="O17" i="19"/>
  <c r="O17" i="18"/>
  <c r="O63" i="18"/>
  <c r="O64" i="19"/>
  <c r="E33" i="21"/>
  <c r="F18" i="44" s="1"/>
  <c r="H17" i="9"/>
  <c r="H17" i="17"/>
  <c r="H17" i="18"/>
  <c r="H17" i="19"/>
  <c r="H18" i="21"/>
  <c r="G17" i="9"/>
  <c r="G17" i="19"/>
  <c r="G17" i="18"/>
  <c r="G17" i="17"/>
  <c r="G18" i="21"/>
  <c r="P42" i="19"/>
  <c r="P42" i="21"/>
  <c r="P41" i="17"/>
  <c r="P32" i="9"/>
  <c r="Q52" i="44" s="1"/>
  <c r="P41" i="18"/>
  <c r="K17" i="18"/>
  <c r="K17" i="17"/>
  <c r="K63" i="18"/>
  <c r="K63" i="9"/>
  <c r="K58" i="9" s="1"/>
  <c r="K17" i="19"/>
  <c r="K17" i="9"/>
  <c r="K64" i="19"/>
  <c r="K18" i="21"/>
  <c r="E18" i="21"/>
  <c r="E17" i="18"/>
  <c r="E17" i="19"/>
  <c r="E17" i="17"/>
  <c r="E17" i="9"/>
  <c r="T41" i="17"/>
  <c r="T41" i="18"/>
  <c r="T32" i="9"/>
  <c r="U52" i="44" s="1"/>
  <c r="T42" i="21"/>
  <c r="T42" i="19"/>
  <c r="D67" i="18" l="1"/>
  <c r="X17" i="44"/>
  <c r="Q17" i="44"/>
  <c r="R17" i="44"/>
  <c r="V17" i="44"/>
  <c r="S17" i="44"/>
  <c r="W17" i="44"/>
  <c r="U17" i="44"/>
  <c r="T17" i="44"/>
  <c r="J2" i="43" a="1"/>
  <c r="J2" i="43" s="1"/>
  <c r="K59" i="40"/>
  <c r="D68" i="17"/>
  <c r="U59" i="40"/>
  <c r="W23" i="40"/>
  <c r="V24" i="40"/>
  <c r="V33" i="40" s="1"/>
  <c r="V30" i="40"/>
  <c r="V62" i="40" s="1"/>
  <c r="V59" i="40" s="1"/>
  <c r="D68" i="19"/>
  <c r="D68" i="21"/>
  <c r="D67" i="9"/>
  <c r="D66" i="9" s="1"/>
  <c r="L41" i="18"/>
  <c r="L42" i="19"/>
  <c r="L41" i="17"/>
  <c r="L32" i="9"/>
  <c r="M52" i="44" s="1"/>
  <c r="L42" i="21"/>
  <c r="Q37" i="17"/>
  <c r="Q38" i="19"/>
  <c r="Q38" i="21"/>
  <c r="R12" i="44" s="1"/>
  <c r="Q37" i="18"/>
  <c r="R36" i="17"/>
  <c r="R36" i="18"/>
  <c r="R37" i="19"/>
  <c r="R37" i="21"/>
  <c r="S11" i="44" s="1"/>
  <c r="K42" i="21"/>
  <c r="K41" i="17"/>
  <c r="K41" i="18"/>
  <c r="K32" i="9"/>
  <c r="L52" i="44" s="1"/>
  <c r="K42" i="19"/>
  <c r="O37" i="17"/>
  <c r="U37" i="21"/>
  <c r="V11" i="44" s="1"/>
  <c r="U36" i="17"/>
  <c r="U36" i="18"/>
  <c r="U37" i="19"/>
  <c r="J42" i="21"/>
  <c r="J41" i="18"/>
  <c r="J32" i="9"/>
  <c r="K52" i="44" s="1"/>
  <c r="J42" i="19"/>
  <c r="J41" i="17"/>
  <c r="W38" i="21"/>
  <c r="X12" i="44" s="1"/>
  <c r="W38" i="19"/>
  <c r="W37" i="17"/>
  <c r="W37" i="18"/>
  <c r="S36" i="17"/>
  <c r="S37" i="21"/>
  <c r="T11" i="44" s="1"/>
  <c r="S37" i="19"/>
  <c r="S36" i="18"/>
  <c r="V37" i="17"/>
  <c r="V38" i="19"/>
  <c r="V38" i="21"/>
  <c r="W12" i="44" s="1"/>
  <c r="V37" i="18"/>
  <c r="U38" i="19"/>
  <c r="U37" i="18"/>
  <c r="U38" i="21"/>
  <c r="V12" i="44" s="1"/>
  <c r="U37" i="17"/>
  <c r="V37" i="21"/>
  <c r="W11" i="44" s="1"/>
  <c r="V37" i="19"/>
  <c r="V36" i="18"/>
  <c r="V36" i="17"/>
  <c r="M41" i="17"/>
  <c r="M42" i="21"/>
  <c r="M41" i="18"/>
  <c r="M32" i="9"/>
  <c r="N52" i="44" s="1"/>
  <c r="M42" i="19"/>
  <c r="T37" i="17"/>
  <c r="T38" i="21"/>
  <c r="U12" i="44" s="1"/>
  <c r="T38" i="19"/>
  <c r="T37" i="18"/>
  <c r="R37" i="18"/>
  <c r="R38" i="19"/>
  <c r="R38" i="21"/>
  <c r="S12" i="44" s="1"/>
  <c r="R37" i="17"/>
  <c r="T36" i="18"/>
  <c r="T37" i="19"/>
  <c r="T36" i="17"/>
  <c r="T37" i="21"/>
  <c r="U11" i="44" s="1"/>
  <c r="C14" i="22"/>
  <c r="C15" i="22"/>
  <c r="C18" i="22"/>
  <c r="C17" i="22"/>
  <c r="C16" i="22"/>
  <c r="I32" i="9"/>
  <c r="J52" i="44" s="1"/>
  <c r="I42" i="19"/>
  <c r="I41" i="18"/>
  <c r="I42" i="21"/>
  <c r="I41" i="17"/>
  <c r="S37" i="17"/>
  <c r="S38" i="19"/>
  <c r="S37" i="18"/>
  <c r="S38" i="21"/>
  <c r="T12" i="44" s="1"/>
  <c r="Q36" i="17"/>
  <c r="Q36" i="18"/>
  <c r="Q37" i="19"/>
  <c r="P37" i="19"/>
  <c r="H41" i="18"/>
  <c r="H42" i="19"/>
  <c r="P38" i="21"/>
  <c r="Q12" i="44" s="1"/>
  <c r="P37" i="18"/>
  <c r="P38" i="19"/>
  <c r="P37" i="17"/>
  <c r="W37" i="19"/>
  <c r="W37" i="21"/>
  <c r="X11" i="44" s="1"/>
  <c r="W36" i="18"/>
  <c r="W36" i="17"/>
  <c r="D71" i="40" l="1"/>
  <c r="D67" i="40" s="1"/>
  <c r="D58" i="40" s="1"/>
  <c r="D57" i="40" s="1"/>
  <c r="D70" i="17"/>
  <c r="D66" i="17" s="1"/>
  <c r="D57" i="17" s="1"/>
  <c r="D56" i="17" s="1"/>
  <c r="D83" i="17" s="1"/>
  <c r="D71" i="21"/>
  <c r="D67" i="21" s="1"/>
  <c r="D58" i="21" s="1"/>
  <c r="D57" i="21" s="1"/>
  <c r="D70" i="18"/>
  <c r="D66" i="18" s="1"/>
  <c r="D57" i="18" s="1"/>
  <c r="D56" i="18" s="1"/>
  <c r="D83" i="18" s="1"/>
  <c r="D85" i="18" s="1"/>
  <c r="D71" i="19"/>
  <c r="D67" i="19" s="1"/>
  <c r="X24" i="44"/>
  <c r="W31" i="44"/>
  <c r="X32" i="44"/>
  <c r="V25" i="44"/>
  <c r="V32" i="44"/>
  <c r="W32" i="44"/>
  <c r="W25" i="44"/>
  <c r="V31" i="44"/>
  <c r="X31" i="44"/>
  <c r="V24" i="44"/>
  <c r="W24" i="44"/>
  <c r="X25" i="44"/>
  <c r="J17" i="44"/>
  <c r="K17" i="44"/>
  <c r="U31" i="44"/>
  <c r="T32" i="44"/>
  <c r="T25" i="44"/>
  <c r="S25" i="44"/>
  <c r="S32" i="44"/>
  <c r="S24" i="44"/>
  <c r="U32" i="44"/>
  <c r="S31" i="44"/>
  <c r="Q25" i="44"/>
  <c r="U25" i="44"/>
  <c r="Q31" i="44"/>
  <c r="R31" i="44"/>
  <c r="R32" i="44"/>
  <c r="Q32" i="44"/>
  <c r="T31" i="44"/>
  <c r="R25" i="44"/>
  <c r="R24" i="44"/>
  <c r="U24" i="44"/>
  <c r="T24" i="44"/>
  <c r="L17" i="44"/>
  <c r="N17" i="44"/>
  <c r="M17" i="44"/>
  <c r="P25" i="44"/>
  <c r="H37" i="17"/>
  <c r="W30" i="40"/>
  <c r="W62" i="40" s="1"/>
  <c r="E2" i="43" s="1" a="1"/>
  <c r="E2" i="43" s="1"/>
  <c r="W24" i="40"/>
  <c r="D77" i="21"/>
  <c r="D78" i="21"/>
  <c r="D76" i="9"/>
  <c r="D77" i="9"/>
  <c r="D86" i="18" l="1"/>
  <c r="D84" i="18"/>
  <c r="D87" i="18"/>
  <c r="D88" i="18"/>
  <c r="E69" i="18"/>
  <c r="E67" i="18"/>
  <c r="E68" i="18"/>
  <c r="D11" i="22"/>
  <c r="D15" i="22" s="1"/>
  <c r="E68" i="40"/>
  <c r="E69" i="40"/>
  <c r="D92" i="40"/>
  <c r="E70" i="40"/>
  <c r="F2" i="43" a="1"/>
  <c r="F2" i="43" s="1"/>
  <c r="I25" i="44"/>
  <c r="W33" i="40"/>
  <c r="W59" i="40"/>
  <c r="I37" i="17"/>
  <c r="D57" i="9"/>
  <c r="D56" i="9" s="1"/>
  <c r="D85" i="17"/>
  <c r="D88" i="17"/>
  <c r="D87" i="17"/>
  <c r="D84" i="17"/>
  <c r="D86" i="17"/>
  <c r="D58" i="19"/>
  <c r="D57" i="19" s="1"/>
  <c r="E68" i="21"/>
  <c r="E69" i="21"/>
  <c r="E70" i="21"/>
  <c r="D100" i="21"/>
  <c r="E67" i="17"/>
  <c r="E68" i="17"/>
  <c r="E69" i="17"/>
  <c r="E93" i="18" l="1"/>
  <c r="E94" i="18" s="1"/>
  <c r="E92" i="18" s="1"/>
  <c r="E97" i="18" s="1"/>
  <c r="D95" i="40"/>
  <c r="D93" i="40"/>
  <c r="D87" i="40"/>
  <c r="D88" i="40" s="1"/>
  <c r="D94" i="40"/>
  <c r="D96" i="40"/>
  <c r="D97" i="40"/>
  <c r="E77" i="40"/>
  <c r="E78" i="40"/>
  <c r="J25" i="44"/>
  <c r="F10" i="44"/>
  <c r="E93" i="17"/>
  <c r="E94" i="17" s="1"/>
  <c r="E92" i="17" s="1"/>
  <c r="E97" i="17" s="1"/>
  <c r="D95" i="21"/>
  <c r="D96" i="21" s="1"/>
  <c r="J37" i="17"/>
  <c r="D87" i="9"/>
  <c r="E68" i="9"/>
  <c r="E67" i="9"/>
  <c r="E69" i="9"/>
  <c r="D17" i="22"/>
  <c r="D16" i="22"/>
  <c r="D14" i="22"/>
  <c r="D18" i="22"/>
  <c r="D102" i="21"/>
  <c r="D105" i="21"/>
  <c r="D104" i="21"/>
  <c r="D101" i="21"/>
  <c r="D103" i="21"/>
  <c r="E77" i="21"/>
  <c r="E78" i="21"/>
  <c r="E68" i="19"/>
  <c r="D84" i="19"/>
  <c r="E70" i="19"/>
  <c r="E69" i="19"/>
  <c r="F6" i="44" l="1"/>
  <c r="E102" i="40"/>
  <c r="E103" i="40" s="1"/>
  <c r="F45" i="44"/>
  <c r="K25" i="44"/>
  <c r="E110" i="21"/>
  <c r="E111" i="21" s="1"/>
  <c r="E76" i="9"/>
  <c r="E77" i="9"/>
  <c r="D88" i="9"/>
  <c r="D89" i="9"/>
  <c r="D90" i="9"/>
  <c r="D92" i="9"/>
  <c r="D91" i="9"/>
  <c r="D83" i="9"/>
  <c r="D84" i="9" s="1"/>
  <c r="D87" i="19"/>
  <c r="D89" i="19"/>
  <c r="D85" i="19"/>
  <c r="D86" i="19"/>
  <c r="D88" i="19"/>
  <c r="E66" i="9" l="1"/>
  <c r="E57" i="9" s="1"/>
  <c r="E56" i="9" s="1"/>
  <c r="E71" i="21"/>
  <c r="E67" i="21" s="1"/>
  <c r="E58" i="21" s="1"/>
  <c r="E57" i="21" s="1"/>
  <c r="E71" i="19"/>
  <c r="E67" i="19" s="1"/>
  <c r="E58" i="19" s="1"/>
  <c r="E57" i="19" s="1"/>
  <c r="F69" i="19" s="1"/>
  <c r="E70" i="18"/>
  <c r="E66" i="18" s="1"/>
  <c r="E57" i="18" s="1"/>
  <c r="E56" i="18" s="1"/>
  <c r="E70" i="17"/>
  <c r="E66" i="17" s="1"/>
  <c r="E57" i="17" s="1"/>
  <c r="E56" i="17" s="1"/>
  <c r="E71" i="40"/>
  <c r="E67" i="40" s="1"/>
  <c r="E58" i="40" s="1"/>
  <c r="E57" i="40" s="1"/>
  <c r="F42" i="44"/>
  <c r="E94" i="19"/>
  <c r="E95" i="19" s="1"/>
  <c r="E93" i="19" s="1"/>
  <c r="E98" i="19" s="1"/>
  <c r="D94" i="9"/>
  <c r="E97" i="9"/>
  <c r="F41" i="44" l="1"/>
  <c r="E87" i="9"/>
  <c r="F30" i="44"/>
  <c r="F70" i="19"/>
  <c r="F68" i="19"/>
  <c r="E84" i="19"/>
  <c r="E80" i="19" s="1"/>
  <c r="F67" i="9"/>
  <c r="F76" i="9" s="1"/>
  <c r="F68" i="9"/>
  <c r="F69" i="9"/>
  <c r="F68" i="40"/>
  <c r="E11" i="22"/>
  <c r="F69" i="40"/>
  <c r="F70" i="40"/>
  <c r="E92" i="40"/>
  <c r="F67" i="17"/>
  <c r="F69" i="17"/>
  <c r="E83" i="17"/>
  <c r="F23" i="44"/>
  <c r="F68" i="17"/>
  <c r="F69" i="18"/>
  <c r="F67" i="18"/>
  <c r="F27" i="44"/>
  <c r="F68" i="18"/>
  <c r="E83" i="18"/>
  <c r="F5" i="44"/>
  <c r="F68" i="21"/>
  <c r="F69" i="21"/>
  <c r="F70" i="21"/>
  <c r="F90" i="21"/>
  <c r="E100" i="21"/>
  <c r="G45" i="44"/>
  <c r="D91" i="19"/>
  <c r="D99" i="40"/>
  <c r="D107" i="21"/>
  <c r="D90" i="17"/>
  <c r="D90" i="18"/>
  <c r="D93" i="9"/>
  <c r="D89" i="18" s="1"/>
  <c r="E83" i="9" l="1"/>
  <c r="E92" i="9" s="1"/>
  <c r="F70" i="17"/>
  <c r="F66" i="17" s="1"/>
  <c r="F57" i="17" s="1"/>
  <c r="F56" i="17" s="1"/>
  <c r="F77" i="9"/>
  <c r="E79" i="17"/>
  <c r="E87" i="17" s="1"/>
  <c r="E87" i="40"/>
  <c r="E97" i="40" s="1"/>
  <c r="E95" i="21"/>
  <c r="E104" i="21" s="1"/>
  <c r="E79" i="18"/>
  <c r="E88" i="18" s="1"/>
  <c r="G10" i="44"/>
  <c r="E15" i="22"/>
  <c r="E16" i="22"/>
  <c r="E14" i="22"/>
  <c r="E17" i="22"/>
  <c r="E18" i="22"/>
  <c r="F77" i="40"/>
  <c r="F78" i="40"/>
  <c r="G42" i="44"/>
  <c r="E91" i="9"/>
  <c r="E84" i="9"/>
  <c r="E89" i="9" s="1"/>
  <c r="D98" i="40"/>
  <c r="D89" i="17"/>
  <c r="D90" i="19"/>
  <c r="E81" i="19" s="1"/>
  <c r="E87" i="19" s="1"/>
  <c r="D106" i="21"/>
  <c r="E89" i="19"/>
  <c r="E88" i="19"/>
  <c r="F71" i="40" l="1"/>
  <c r="F67" i="40" s="1"/>
  <c r="F58" i="40" s="1"/>
  <c r="F57" i="40" s="1"/>
  <c r="F71" i="21"/>
  <c r="F67" i="21" s="1"/>
  <c r="F71" i="19"/>
  <c r="F67" i="19" s="1"/>
  <c r="F58" i="19" s="1"/>
  <c r="F57" i="19" s="1"/>
  <c r="G30" i="44" s="1"/>
  <c r="F70" i="18"/>
  <c r="F66" i="18" s="1"/>
  <c r="F57" i="18" s="1"/>
  <c r="F56" i="18" s="1"/>
  <c r="G69" i="18" s="1"/>
  <c r="F66" i="9"/>
  <c r="F57" i="9" s="1"/>
  <c r="F56" i="9" s="1"/>
  <c r="E80" i="17"/>
  <c r="E85" i="17" s="1"/>
  <c r="E88" i="40"/>
  <c r="E94" i="40" s="1"/>
  <c r="G70" i="19"/>
  <c r="E80" i="18"/>
  <c r="E88" i="17"/>
  <c r="E87" i="18"/>
  <c r="E96" i="40"/>
  <c r="E105" i="21"/>
  <c r="G69" i="40"/>
  <c r="F11" i="22"/>
  <c r="G70" i="40"/>
  <c r="F92" i="40"/>
  <c r="G68" i="40"/>
  <c r="G23" i="44"/>
  <c r="G69" i="17"/>
  <c r="F83" i="17"/>
  <c r="E96" i="21"/>
  <c r="E103" i="21" s="1"/>
  <c r="E90" i="9"/>
  <c r="E88" i="9" s="1"/>
  <c r="E93" i="9" s="1"/>
  <c r="G41" i="44"/>
  <c r="E95" i="40"/>
  <c r="E86" i="19"/>
  <c r="E85" i="19" s="1"/>
  <c r="E91" i="19" s="1"/>
  <c r="E85" i="18"/>
  <c r="E86" i="18"/>
  <c r="F109" i="21"/>
  <c r="G27" i="44" l="1"/>
  <c r="F83" i="18"/>
  <c r="F79" i="18" s="1"/>
  <c r="F88" i="18" s="1"/>
  <c r="G67" i="9"/>
  <c r="G71" i="40" s="1"/>
  <c r="G67" i="40" s="1"/>
  <c r="G58" i="40" s="1"/>
  <c r="G57" i="40" s="1"/>
  <c r="G69" i="9"/>
  <c r="G68" i="9"/>
  <c r="F87" i="9"/>
  <c r="F84" i="19"/>
  <c r="F80" i="19" s="1"/>
  <c r="F89" i="19" s="1"/>
  <c r="E86" i="17"/>
  <c r="E84" i="17" s="1"/>
  <c r="F93" i="17" s="1"/>
  <c r="F94" i="17" s="1"/>
  <c r="F92" i="17" s="1"/>
  <c r="F97" i="17" s="1"/>
  <c r="E102" i="21"/>
  <c r="E101" i="21" s="1"/>
  <c r="F61" i="44"/>
  <c r="F113" i="21"/>
  <c r="G78" i="40"/>
  <c r="G77" i="40"/>
  <c r="F87" i="40"/>
  <c r="F96" i="40" s="1"/>
  <c r="F79" i="17"/>
  <c r="F87" i="17" s="1"/>
  <c r="E93" i="40"/>
  <c r="E99" i="40" s="1"/>
  <c r="F94" i="19"/>
  <c r="F95" i="19" s="1"/>
  <c r="F93" i="19" s="1"/>
  <c r="F98" i="19" s="1"/>
  <c r="F97" i="9"/>
  <c r="E94" i="9"/>
  <c r="E84" i="18"/>
  <c r="E90" i="18" s="1"/>
  <c r="E90" i="19"/>
  <c r="G77" i="9" l="1"/>
  <c r="H45" i="44"/>
  <c r="F81" i="19"/>
  <c r="F87" i="19" s="1"/>
  <c r="G76" i="9"/>
  <c r="H42" i="44" s="1"/>
  <c r="G70" i="17"/>
  <c r="G71" i="21"/>
  <c r="G70" i="18"/>
  <c r="G71" i="19"/>
  <c r="G66" i="9"/>
  <c r="G57" i="9" s="1"/>
  <c r="G56" i="9" s="1"/>
  <c r="F88" i="19"/>
  <c r="F110" i="21"/>
  <c r="F111" i="21" s="1"/>
  <c r="F58" i="44"/>
  <c r="F60" i="44"/>
  <c r="F59" i="44"/>
  <c r="F87" i="18"/>
  <c r="F88" i="17"/>
  <c r="E89" i="17"/>
  <c r="H70" i="40"/>
  <c r="H69" i="40"/>
  <c r="G92" i="40"/>
  <c r="G11" i="22"/>
  <c r="F97" i="40"/>
  <c r="E90" i="17"/>
  <c r="E98" i="40"/>
  <c r="F88" i="40" s="1"/>
  <c r="F95" i="40" s="1"/>
  <c r="F102" i="40"/>
  <c r="F103" i="40" s="1"/>
  <c r="F93" i="18"/>
  <c r="F94" i="18" s="1"/>
  <c r="F92" i="18" s="1"/>
  <c r="F97" i="18" s="1"/>
  <c r="E89" i="18"/>
  <c r="F80" i="18" s="1"/>
  <c r="F86" i="18" s="1"/>
  <c r="E106" i="21"/>
  <c r="F62" i="44" s="1"/>
  <c r="E107" i="21"/>
  <c r="F86" i="19"/>
  <c r="F85" i="19" s="1"/>
  <c r="F83" i="9"/>
  <c r="F91" i="19" l="1"/>
  <c r="F80" i="17"/>
  <c r="F85" i="17" s="1"/>
  <c r="F94" i="40"/>
  <c r="F93" i="40" s="1"/>
  <c r="G87" i="40"/>
  <c r="G97" i="40" s="1"/>
  <c r="G87" i="9"/>
  <c r="H41" i="44"/>
  <c r="G94" i="19"/>
  <c r="G95" i="19" s="1"/>
  <c r="G93" i="19" s="1"/>
  <c r="H69" i="9"/>
  <c r="F85" i="18"/>
  <c r="F84" i="18" s="1"/>
  <c r="F90" i="18" s="1"/>
  <c r="H68" i="9"/>
  <c r="F86" i="17"/>
  <c r="F91" i="9"/>
  <c r="F90" i="19"/>
  <c r="F84" i="9"/>
  <c r="F89" i="9" s="1"/>
  <c r="F92" i="9"/>
  <c r="F99" i="40" l="1"/>
  <c r="F98" i="40"/>
  <c r="G102" i="40"/>
  <c r="G103" i="40" s="1"/>
  <c r="G96" i="40"/>
  <c r="F84" i="17"/>
  <c r="G93" i="17" s="1"/>
  <c r="G94" i="17" s="1"/>
  <c r="G92" i="17" s="1"/>
  <c r="G93" i="18"/>
  <c r="G94" i="18" s="1"/>
  <c r="G92" i="18" s="1"/>
  <c r="F89" i="18"/>
  <c r="F90" i="9"/>
  <c r="F88" i="9" s="1"/>
  <c r="G88" i="40" l="1"/>
  <c r="F90" i="17"/>
  <c r="F89" i="17"/>
  <c r="F94" i="9"/>
  <c r="G109" i="21"/>
  <c r="G94" i="40" l="1"/>
  <c r="G95" i="40"/>
  <c r="F93" i="9"/>
  <c r="G97" i="9"/>
  <c r="G83" i="9"/>
  <c r="G91" i="9" s="1"/>
  <c r="G93" i="40" l="1"/>
  <c r="G92" i="9"/>
  <c r="G84" i="9"/>
  <c r="G90" i="9" s="1"/>
  <c r="E109" i="21"/>
  <c r="E113" i="21" s="1"/>
  <c r="H102" i="40" l="1"/>
  <c r="H103" i="40" s="1"/>
  <c r="H101" i="40" s="1"/>
  <c r="G98" i="40"/>
  <c r="G99" i="40"/>
  <c r="G89" i="9"/>
  <c r="H36" i="40" l="1"/>
  <c r="H68" i="40" s="1"/>
  <c r="H67" i="40" s="1"/>
  <c r="H58" i="40" s="1"/>
  <c r="H57" i="40" s="1"/>
  <c r="H11" i="22" s="1"/>
  <c r="H106" i="40"/>
  <c r="H92" i="40" s="1"/>
  <c r="G88" i="9"/>
  <c r="F78" i="21"/>
  <c r="F59" i="21"/>
  <c r="F77" i="21" s="1"/>
  <c r="G12" i="21" l="1"/>
  <c r="G79" i="21" s="1"/>
  <c r="G87" i="21"/>
  <c r="H77" i="40"/>
  <c r="H78" i="40"/>
  <c r="I70" i="40"/>
  <c r="I69" i="40"/>
  <c r="H87" i="40"/>
  <c r="H88" i="40" s="1"/>
  <c r="H94" i="40" s="1"/>
  <c r="F88" i="21"/>
  <c r="G6" i="44"/>
  <c r="G93" i="9"/>
  <c r="G94" i="9"/>
  <c r="H97" i="9"/>
  <c r="H98" i="9" s="1"/>
  <c r="F58" i="21"/>
  <c r="F57" i="21" s="1"/>
  <c r="H96" i="40" l="1"/>
  <c r="H95" i="40"/>
  <c r="H93" i="40" s="1"/>
  <c r="H97" i="40"/>
  <c r="G5" i="44"/>
  <c r="H7" i="44"/>
  <c r="G50" i="21"/>
  <c r="G13" i="21"/>
  <c r="G90" i="21"/>
  <c r="G91" i="21" s="1"/>
  <c r="G19" i="20"/>
  <c r="F15" i="22"/>
  <c r="F86" i="21"/>
  <c r="F100" i="21"/>
  <c r="F85" i="21"/>
  <c r="G70" i="21"/>
  <c r="F84" i="21"/>
  <c r="H98" i="40" l="1"/>
  <c r="H99" i="40"/>
  <c r="I102" i="40"/>
  <c r="I103" i="40" s="1"/>
  <c r="I101" i="40" s="1"/>
  <c r="F14" i="22"/>
  <c r="F17" i="22"/>
  <c r="F18" i="22"/>
  <c r="F16" i="22"/>
  <c r="F95" i="21"/>
  <c r="F96" i="21" s="1"/>
  <c r="G60" i="21"/>
  <c r="G52" i="21"/>
  <c r="G20" i="20"/>
  <c r="I106" i="40" l="1"/>
  <c r="I92" i="40" s="1"/>
  <c r="I36" i="40"/>
  <c r="I68" i="40" s="1"/>
  <c r="G59" i="18"/>
  <c r="F102" i="21"/>
  <c r="F103" i="21"/>
  <c r="F105" i="21"/>
  <c r="F104" i="21"/>
  <c r="G52" i="19"/>
  <c r="G22" i="19" s="1"/>
  <c r="G60" i="19"/>
  <c r="G51" i="18"/>
  <c r="G59" i="17"/>
  <c r="G51" i="17"/>
  <c r="G22" i="17" s="1"/>
  <c r="G23" i="21"/>
  <c r="G24" i="21" s="1"/>
  <c r="I67" i="40" l="1"/>
  <c r="I58" i="40" s="1"/>
  <c r="I57" i="40" s="1"/>
  <c r="I78" i="40"/>
  <c r="I77" i="40"/>
  <c r="I87" i="40"/>
  <c r="I88" i="40" s="1"/>
  <c r="I94" i="40" s="1"/>
  <c r="G61" i="44"/>
  <c r="H16" i="44"/>
  <c r="G113" i="21"/>
  <c r="G22" i="18"/>
  <c r="G29" i="18" s="1"/>
  <c r="F101" i="21"/>
  <c r="G30" i="21"/>
  <c r="G62" i="21" s="1"/>
  <c r="G23" i="19"/>
  <c r="G30" i="19"/>
  <c r="G33" i="21"/>
  <c r="G23" i="17"/>
  <c r="G97" i="17" s="1"/>
  <c r="G29" i="17"/>
  <c r="G59" i="44" l="1"/>
  <c r="G58" i="44"/>
  <c r="I97" i="40"/>
  <c r="I95" i="40"/>
  <c r="I96" i="40"/>
  <c r="I11" i="22"/>
  <c r="J70" i="40"/>
  <c r="J69" i="40"/>
  <c r="G60" i="44"/>
  <c r="G98" i="19"/>
  <c r="H33" i="44"/>
  <c r="G68" i="21"/>
  <c r="H10" i="44" s="1"/>
  <c r="H18" i="44"/>
  <c r="G59" i="21"/>
  <c r="H8" i="44"/>
  <c r="G110" i="21"/>
  <c r="G111" i="21" s="1"/>
  <c r="G23" i="18"/>
  <c r="G97" i="18" s="1"/>
  <c r="F107" i="21"/>
  <c r="F106" i="21"/>
  <c r="G62" i="44" s="1"/>
  <c r="H51" i="21"/>
  <c r="G69" i="21"/>
  <c r="G61" i="18"/>
  <c r="G58" i="18" s="1"/>
  <c r="H50" i="18"/>
  <c r="G32" i="17"/>
  <c r="G67" i="17" s="1"/>
  <c r="G61" i="17"/>
  <c r="G58" i="17" s="1"/>
  <c r="H50" i="17"/>
  <c r="G62" i="19"/>
  <c r="G59" i="19" s="1"/>
  <c r="H51" i="19"/>
  <c r="G33" i="19"/>
  <c r="G68" i="19" s="1"/>
  <c r="I93" i="40" l="1"/>
  <c r="I98" i="40" s="1"/>
  <c r="G77" i="21"/>
  <c r="G78" i="21"/>
  <c r="G88" i="21" s="1"/>
  <c r="G67" i="21"/>
  <c r="G58" i="21" s="1"/>
  <c r="G57" i="21" s="1"/>
  <c r="G32" i="18"/>
  <c r="G67" i="18" s="1"/>
  <c r="G68" i="17"/>
  <c r="G66" i="17" s="1"/>
  <c r="G57" i="17" s="1"/>
  <c r="G56" i="17" s="1"/>
  <c r="H23" i="44" s="1"/>
  <c r="G69" i="19"/>
  <c r="G67" i="19" s="1"/>
  <c r="G58" i="19" s="1"/>
  <c r="G57" i="19" s="1"/>
  <c r="H30" i="44" s="1"/>
  <c r="H12" i="21" l="1"/>
  <c r="H79" i="21" s="1"/>
  <c r="H87" i="21"/>
  <c r="H6" i="44"/>
  <c r="J102" i="40"/>
  <c r="J103" i="40" s="1"/>
  <c r="J101" i="40" s="1"/>
  <c r="I99" i="40"/>
  <c r="G21" i="20"/>
  <c r="G22" i="20"/>
  <c r="H5" i="44"/>
  <c r="H70" i="21"/>
  <c r="G23" i="20"/>
  <c r="G100" i="21"/>
  <c r="G85" i="21"/>
  <c r="G84" i="21"/>
  <c r="G86" i="21"/>
  <c r="G68" i="18"/>
  <c r="G66" i="18" s="1"/>
  <c r="G57" i="18" s="1"/>
  <c r="G56" i="18" s="1"/>
  <c r="G83" i="17"/>
  <c r="H69" i="17"/>
  <c r="G84" i="19"/>
  <c r="H70" i="19"/>
  <c r="G16" i="22"/>
  <c r="G17" i="22"/>
  <c r="G14" i="22"/>
  <c r="G15" i="22"/>
  <c r="G18" i="22"/>
  <c r="H13" i="21" l="1"/>
  <c r="J36" i="40"/>
  <c r="J68" i="40" s="1"/>
  <c r="J106" i="40"/>
  <c r="J92" i="40" s="1"/>
  <c r="I7" i="44"/>
  <c r="H50" i="21"/>
  <c r="G95" i="21"/>
  <c r="G96" i="21" s="1"/>
  <c r="H60" i="21"/>
  <c r="H52" i="21"/>
  <c r="H19" i="20"/>
  <c r="G83" i="18"/>
  <c r="G79" i="18" s="1"/>
  <c r="G80" i="18" s="1"/>
  <c r="H27" i="44"/>
  <c r="H69" i="18"/>
  <c r="H59" i="18"/>
  <c r="H51" i="18"/>
  <c r="G80" i="19"/>
  <c r="G81" i="19" s="1"/>
  <c r="H51" i="17"/>
  <c r="H59" i="17"/>
  <c r="G79" i="17"/>
  <c r="G80" i="17" s="1"/>
  <c r="H52" i="19"/>
  <c r="H60" i="19"/>
  <c r="J87" i="40" l="1"/>
  <c r="J88" i="40" s="1"/>
  <c r="J95" i="40" s="1"/>
  <c r="J78" i="40"/>
  <c r="J67" i="40"/>
  <c r="J58" i="40" s="1"/>
  <c r="J57" i="40" s="1"/>
  <c r="J77" i="40"/>
  <c r="H23" i="21"/>
  <c r="H24" i="21" s="1"/>
  <c r="H20" i="20"/>
  <c r="G104" i="21"/>
  <c r="G102" i="21"/>
  <c r="G105" i="21"/>
  <c r="G103" i="21"/>
  <c r="G88" i="18"/>
  <c r="G86" i="18"/>
  <c r="G87" i="19"/>
  <c r="G87" i="18"/>
  <c r="G86" i="19"/>
  <c r="G85" i="18"/>
  <c r="G89" i="19"/>
  <c r="G88" i="19"/>
  <c r="G86" i="17"/>
  <c r="G85" i="17"/>
  <c r="G88" i="17"/>
  <c r="G87" i="17"/>
  <c r="H22" i="17"/>
  <c r="H22" i="18"/>
  <c r="H22" i="19"/>
  <c r="J94" i="40" l="1"/>
  <c r="J93" i="40" s="1"/>
  <c r="J97" i="40"/>
  <c r="J96" i="40"/>
  <c r="J11" i="22"/>
  <c r="K70" i="40"/>
  <c r="K69" i="40"/>
  <c r="H30" i="21"/>
  <c r="H62" i="21" s="1"/>
  <c r="H61" i="44"/>
  <c r="G101" i="21"/>
  <c r="G84" i="18"/>
  <c r="G90" i="18" s="1"/>
  <c r="I16" i="44"/>
  <c r="G85" i="19"/>
  <c r="G90" i="19" s="1"/>
  <c r="G84" i="17"/>
  <c r="G90" i="17" s="1"/>
  <c r="H29" i="17"/>
  <c r="H23" i="17"/>
  <c r="H33" i="21"/>
  <c r="I18" i="44" s="1"/>
  <c r="H23" i="19"/>
  <c r="H30" i="19"/>
  <c r="H23" i="18"/>
  <c r="H29" i="18"/>
  <c r="H59" i="44" l="1"/>
  <c r="H58" i="44"/>
  <c r="K102" i="40"/>
  <c r="K103" i="40" s="1"/>
  <c r="K101" i="40" s="1"/>
  <c r="K106" i="40" s="1"/>
  <c r="K92" i="40" s="1"/>
  <c r="I51" i="21"/>
  <c r="J98" i="40"/>
  <c r="J99" i="40"/>
  <c r="H110" i="21"/>
  <c r="H111" i="21" s="1"/>
  <c r="H109" i="21" s="1"/>
  <c r="G107" i="21"/>
  <c r="G106" i="21"/>
  <c r="H62" i="44" s="1"/>
  <c r="H60" i="44"/>
  <c r="I33" i="44"/>
  <c r="H59" i="21"/>
  <c r="I8" i="44"/>
  <c r="G89" i="18"/>
  <c r="H93" i="18"/>
  <c r="H94" i="18" s="1"/>
  <c r="H92" i="18" s="1"/>
  <c r="G89" i="17"/>
  <c r="G91" i="19"/>
  <c r="H69" i="21"/>
  <c r="H32" i="18"/>
  <c r="H32" i="17"/>
  <c r="H61" i="18"/>
  <c r="H58" i="18" s="1"/>
  <c r="I50" i="18"/>
  <c r="H62" i="19"/>
  <c r="H59" i="19" s="1"/>
  <c r="I51" i="19"/>
  <c r="H33" i="19"/>
  <c r="H61" i="17"/>
  <c r="H58" i="17" s="1"/>
  <c r="I50" i="17"/>
  <c r="K36" i="40" l="1"/>
  <c r="K68" i="40" s="1"/>
  <c r="K77" i="40" s="1"/>
  <c r="H36" i="21"/>
  <c r="K87" i="40"/>
  <c r="K88" i="40" s="1"/>
  <c r="K94" i="40" s="1"/>
  <c r="H113" i="21"/>
  <c r="H100" i="21" s="1"/>
  <c r="H35" i="18"/>
  <c r="H67" i="18" s="1"/>
  <c r="H97" i="18"/>
  <c r="H83" i="18" s="1"/>
  <c r="H68" i="18"/>
  <c r="H69" i="19"/>
  <c r="H68" i="17"/>
  <c r="K78" i="40" l="1"/>
  <c r="K67" i="40"/>
  <c r="K58" i="40" s="1"/>
  <c r="K57" i="40" s="1"/>
  <c r="K11" i="22" s="1"/>
  <c r="H68" i="21"/>
  <c r="H77" i="21" s="1"/>
  <c r="I87" i="21" s="1"/>
  <c r="H90" i="21"/>
  <c r="H91" i="21" s="1"/>
  <c r="I13" i="44"/>
  <c r="K95" i="40"/>
  <c r="K93" i="40" s="1"/>
  <c r="K96" i="40"/>
  <c r="K97" i="40"/>
  <c r="H95" i="21"/>
  <c r="H96" i="21" s="1"/>
  <c r="H103" i="21" s="1"/>
  <c r="H66" i="18"/>
  <c r="H57" i="18" s="1"/>
  <c r="H56" i="18" s="1"/>
  <c r="H15" i="22"/>
  <c r="H79" i="18"/>
  <c r="H80" i="18" s="1"/>
  <c r="H67" i="21" l="1"/>
  <c r="H58" i="21" s="1"/>
  <c r="H57" i="21" s="1"/>
  <c r="H78" i="21"/>
  <c r="H88" i="21" s="1"/>
  <c r="I10" i="44"/>
  <c r="L69" i="40"/>
  <c r="K83" i="40"/>
  <c r="L70" i="40"/>
  <c r="H105" i="21"/>
  <c r="H104" i="21"/>
  <c r="I61" i="44" s="1"/>
  <c r="H102" i="21"/>
  <c r="H101" i="21" s="1"/>
  <c r="K98" i="40"/>
  <c r="L102" i="40"/>
  <c r="L103" i="40" s="1"/>
  <c r="L101" i="40" s="1"/>
  <c r="K99" i="40"/>
  <c r="H21" i="20"/>
  <c r="I69" i="18"/>
  <c r="I27" i="44"/>
  <c r="I6" i="44"/>
  <c r="H18" i="22"/>
  <c r="H17" i="22"/>
  <c r="H14" i="22"/>
  <c r="H16" i="22"/>
  <c r="I60" i="19"/>
  <c r="H85" i="18"/>
  <c r="H87" i="18"/>
  <c r="H88" i="18"/>
  <c r="H86" i="18"/>
  <c r="I5" i="44" l="1"/>
  <c r="H85" i="21"/>
  <c r="I70" i="21"/>
  <c r="H84" i="21"/>
  <c r="H22" i="20"/>
  <c r="H86" i="21"/>
  <c r="I12" i="21"/>
  <c r="I79" i="21" s="1"/>
  <c r="H23" i="20"/>
  <c r="H107" i="21"/>
  <c r="I58" i="44"/>
  <c r="L106" i="40"/>
  <c r="L92" i="40" s="1"/>
  <c r="L87" i="40" s="1"/>
  <c r="L88" i="40" s="1"/>
  <c r="L94" i="40" s="1"/>
  <c r="L36" i="40"/>
  <c r="L68" i="40" s="1"/>
  <c r="I60" i="44"/>
  <c r="I59" i="44"/>
  <c r="J7" i="44"/>
  <c r="I51" i="18"/>
  <c r="I59" i="18"/>
  <c r="I52" i="19"/>
  <c r="I51" i="17"/>
  <c r="I22" i="17" s="1"/>
  <c r="I59" i="17"/>
  <c r="I110" i="21"/>
  <c r="I111" i="21" s="1"/>
  <c r="I109" i="21" s="1"/>
  <c r="H106" i="21"/>
  <c r="I62" i="44" s="1"/>
  <c r="H84" i="18"/>
  <c r="I93" i="18" s="1"/>
  <c r="I94" i="18" s="1"/>
  <c r="I92" i="18" s="1"/>
  <c r="I19" i="20" l="1"/>
  <c r="I60" i="21"/>
  <c r="I13" i="21"/>
  <c r="I50" i="21"/>
  <c r="I52" i="21"/>
  <c r="L96" i="40"/>
  <c r="L97" i="40"/>
  <c r="L77" i="40"/>
  <c r="L78" i="40"/>
  <c r="L67" i="40"/>
  <c r="L58" i="40" s="1"/>
  <c r="L57" i="40" s="1"/>
  <c r="I20" i="20"/>
  <c r="I22" i="18"/>
  <c r="I23" i="18" s="1"/>
  <c r="I97" i="18" s="1"/>
  <c r="L95" i="40"/>
  <c r="L93" i="40" s="1"/>
  <c r="I36" i="21"/>
  <c r="I22" i="19"/>
  <c r="I23" i="19" s="1"/>
  <c r="H89" i="18"/>
  <c r="H90" i="18"/>
  <c r="I23" i="17"/>
  <c r="I29" i="17"/>
  <c r="I35" i="18"/>
  <c r="I23" i="21" l="1"/>
  <c r="I30" i="21" s="1"/>
  <c r="J51" i="21" s="1"/>
  <c r="J13" i="44"/>
  <c r="L83" i="40"/>
  <c r="M69" i="40"/>
  <c r="M70" i="40"/>
  <c r="L11" i="22"/>
  <c r="I29" i="18"/>
  <c r="J50" i="18" s="1"/>
  <c r="J33" i="44"/>
  <c r="I90" i="21"/>
  <c r="I91" i="21" s="1"/>
  <c r="M102" i="40"/>
  <c r="M103" i="40" s="1"/>
  <c r="M101" i="40" s="1"/>
  <c r="L99" i="40"/>
  <c r="L98" i="40"/>
  <c r="I30" i="19"/>
  <c r="I62" i="19" s="1"/>
  <c r="I59" i="19" s="1"/>
  <c r="I32" i="18"/>
  <c r="I68" i="18" s="1"/>
  <c r="I61" i="17"/>
  <c r="I58" i="17" s="1"/>
  <c r="J50" i="17"/>
  <c r="I32" i="17"/>
  <c r="I33" i="19"/>
  <c r="I24" i="21" l="1"/>
  <c r="I62" i="21"/>
  <c r="J8" i="44" s="1"/>
  <c r="I61" i="18"/>
  <c r="I58" i="18" s="1"/>
  <c r="M106" i="40"/>
  <c r="M92" i="40" s="1"/>
  <c r="M36" i="40"/>
  <c r="J51" i="19"/>
  <c r="I67" i="18"/>
  <c r="I66" i="18" s="1"/>
  <c r="I33" i="21" l="1"/>
  <c r="I113" i="21"/>
  <c r="I100" i="21" s="1"/>
  <c r="J16" i="44"/>
  <c r="I59" i="21"/>
  <c r="I57" i="18"/>
  <c r="I56" i="18" s="1"/>
  <c r="J27" i="44" s="1"/>
  <c r="I69" i="21"/>
  <c r="I83" i="18"/>
  <c r="I79" i="18" s="1"/>
  <c r="I80" i="18" s="1"/>
  <c r="M68" i="40"/>
  <c r="M78" i="40" s="1"/>
  <c r="M87" i="40"/>
  <c r="M88" i="40" s="1"/>
  <c r="I16" i="22"/>
  <c r="I68" i="21" l="1"/>
  <c r="I67" i="21" s="1"/>
  <c r="I58" i="21" s="1"/>
  <c r="I57" i="21" s="1"/>
  <c r="J18" i="44"/>
  <c r="I95" i="21"/>
  <c r="I96" i="21" s="1"/>
  <c r="I102" i="21" s="1"/>
  <c r="J69" i="18"/>
  <c r="I88" i="18"/>
  <c r="I87" i="18"/>
  <c r="I85" i="18"/>
  <c r="I86" i="18"/>
  <c r="M67" i="40"/>
  <c r="M58" i="40" s="1"/>
  <c r="M57" i="40" s="1"/>
  <c r="N70" i="40" s="1"/>
  <c r="M77" i="40"/>
  <c r="M95" i="40"/>
  <c r="M94" i="40"/>
  <c r="M97" i="40"/>
  <c r="M96" i="40"/>
  <c r="I14" i="22"/>
  <c r="I17" i="22"/>
  <c r="I18" i="22"/>
  <c r="I15" i="22"/>
  <c r="I105" i="21" l="1"/>
  <c r="I86" i="21"/>
  <c r="J5" i="44"/>
  <c r="I23" i="20"/>
  <c r="I84" i="21"/>
  <c r="I104" i="21"/>
  <c r="J61" i="44" s="1"/>
  <c r="I78" i="21"/>
  <c r="J10" i="44"/>
  <c r="I85" i="21"/>
  <c r="J70" i="21"/>
  <c r="I103" i="21"/>
  <c r="I101" i="21" s="1"/>
  <c r="I77" i="21"/>
  <c r="J87" i="21" s="1"/>
  <c r="J58" i="44"/>
  <c r="I84" i="18"/>
  <c r="I90" i="18" s="1"/>
  <c r="J59" i="44"/>
  <c r="N69" i="40"/>
  <c r="M83" i="40"/>
  <c r="M11" i="22"/>
  <c r="H36" i="44" s="1"/>
  <c r="M93" i="40"/>
  <c r="M99" i="40" s="1"/>
  <c r="J60" i="44" l="1"/>
  <c r="I107" i="21"/>
  <c r="J110" i="21"/>
  <c r="J111" i="21" s="1"/>
  <c r="J109" i="21" s="1"/>
  <c r="J36" i="21" s="1"/>
  <c r="J6" i="44"/>
  <c r="I21" i="20"/>
  <c r="I22" i="20"/>
  <c r="I88" i="21"/>
  <c r="I106" i="21"/>
  <c r="J62" i="44" s="1"/>
  <c r="I89" i="18"/>
  <c r="J93" i="18"/>
  <c r="J94" i="18" s="1"/>
  <c r="J92" i="18" s="1"/>
  <c r="J35" i="18" s="1"/>
  <c r="K13" i="44"/>
  <c r="N102" i="40"/>
  <c r="N103" i="40" s="1"/>
  <c r="N101" i="40" s="1"/>
  <c r="N106" i="40" s="1"/>
  <c r="N92" i="40" s="1"/>
  <c r="M98" i="40"/>
  <c r="J52" i="19"/>
  <c r="J51" i="17"/>
  <c r="J90" i="21" l="1"/>
  <c r="J91" i="21" s="1"/>
  <c r="J12" i="21" s="1"/>
  <c r="N36" i="40"/>
  <c r="N87" i="40"/>
  <c r="J59" i="18"/>
  <c r="J51" i="18"/>
  <c r="J60" i="19"/>
  <c r="J22" i="19"/>
  <c r="J30" i="19" s="1"/>
  <c r="J62" i="19" s="1"/>
  <c r="J59" i="17"/>
  <c r="J22" i="17"/>
  <c r="J29" i="17" s="1"/>
  <c r="K50" i="17" s="1"/>
  <c r="J19" i="20" l="1"/>
  <c r="K7" i="44"/>
  <c r="J13" i="21"/>
  <c r="J60" i="21"/>
  <c r="J52" i="21"/>
  <c r="J50" i="21"/>
  <c r="J79" i="21"/>
  <c r="G24" i="20"/>
  <c r="N68" i="40"/>
  <c r="N77" i="40" s="1"/>
  <c r="N97" i="40"/>
  <c r="N96" i="40"/>
  <c r="N88" i="40"/>
  <c r="N94" i="40" s="1"/>
  <c r="J22" i="18"/>
  <c r="J23" i="18" s="1"/>
  <c r="J97" i="18" s="1"/>
  <c r="J59" i="19"/>
  <c r="K51" i="19"/>
  <c r="J23" i="19"/>
  <c r="J61" i="17"/>
  <c r="J58" i="17" s="1"/>
  <c r="J23" i="17"/>
  <c r="J32" i="17" s="1"/>
  <c r="J23" i="21" l="1"/>
  <c r="J24" i="21" s="1"/>
  <c r="J20" i="20"/>
  <c r="K16" i="44"/>
  <c r="G26" i="20"/>
  <c r="K33" i="44"/>
  <c r="N67" i="40"/>
  <c r="N58" i="40" s="1"/>
  <c r="N57" i="40" s="1"/>
  <c r="N83" i="40" s="1"/>
  <c r="N78" i="40"/>
  <c r="N95" i="40"/>
  <c r="J29" i="18"/>
  <c r="K50" i="18" s="1"/>
  <c r="J33" i="19"/>
  <c r="J32" i="18"/>
  <c r="J30" i="21" l="1"/>
  <c r="K51" i="21" s="1"/>
  <c r="J113" i="21"/>
  <c r="J33" i="21"/>
  <c r="K18" i="44" s="1"/>
  <c r="N11" i="22"/>
  <c r="O70" i="40"/>
  <c r="O69" i="40"/>
  <c r="N93" i="40"/>
  <c r="O102" i="40" s="1"/>
  <c r="O103" i="40" s="1"/>
  <c r="O101" i="40" s="1"/>
  <c r="O106" i="40" s="1"/>
  <c r="O92" i="40" s="1"/>
  <c r="J61" i="18"/>
  <c r="J67" i="18"/>
  <c r="J68" i="18"/>
  <c r="J62" i="21" l="1"/>
  <c r="J100" i="21" s="1"/>
  <c r="J95" i="21" s="1"/>
  <c r="J96" i="21" s="1"/>
  <c r="J69" i="21"/>
  <c r="J68" i="21"/>
  <c r="K10" i="44" s="1"/>
  <c r="K8" i="44"/>
  <c r="N98" i="40"/>
  <c r="N99" i="40"/>
  <c r="O36" i="40"/>
  <c r="O68" i="40" s="1"/>
  <c r="O78" i="40" s="1"/>
  <c r="J58" i="18"/>
  <c r="J83" i="18"/>
  <c r="J79" i="18" s="1"/>
  <c r="J87" i="18" s="1"/>
  <c r="O87" i="40"/>
  <c r="J66" i="18"/>
  <c r="J59" i="21" l="1"/>
  <c r="J77" i="21" s="1"/>
  <c r="J78" i="21"/>
  <c r="J22" i="20" s="1"/>
  <c r="J67" i="21"/>
  <c r="J102" i="21"/>
  <c r="J103" i="21"/>
  <c r="J105" i="21"/>
  <c r="J104" i="21"/>
  <c r="K61" i="44" s="1"/>
  <c r="O77" i="40"/>
  <c r="O67" i="40"/>
  <c r="O58" i="40" s="1"/>
  <c r="O57" i="40" s="1"/>
  <c r="O83" i="40" s="1"/>
  <c r="O88" i="40"/>
  <c r="O95" i="40" s="1"/>
  <c r="J57" i="18"/>
  <c r="J56" i="18" s="1"/>
  <c r="O97" i="40"/>
  <c r="O96" i="40"/>
  <c r="J15" i="22"/>
  <c r="J14" i="22"/>
  <c r="J17" i="22"/>
  <c r="J18" i="22"/>
  <c r="J16" i="22"/>
  <c r="J88" i="18"/>
  <c r="J80" i="18"/>
  <c r="J85" i="18" s="1"/>
  <c r="K6" i="44" l="1"/>
  <c r="K87" i="21"/>
  <c r="J58" i="21"/>
  <c r="J57" i="21" s="1"/>
  <c r="J84" i="21" s="1"/>
  <c r="K5" i="44"/>
  <c r="J21" i="20"/>
  <c r="J88" i="21"/>
  <c r="J23" i="20"/>
  <c r="K70" i="21"/>
  <c r="J101" i="21"/>
  <c r="J106" i="21" s="1"/>
  <c r="K62" i="44" s="1"/>
  <c r="O11" i="22"/>
  <c r="P69" i="40"/>
  <c r="P70" i="40"/>
  <c r="K60" i="44"/>
  <c r="K59" i="44"/>
  <c r="K69" i="18"/>
  <c r="K27" i="44"/>
  <c r="O94" i="40"/>
  <c r="O93" i="40" s="1"/>
  <c r="O99" i="40" s="1"/>
  <c r="J86" i="18"/>
  <c r="J84" i="18" s="1"/>
  <c r="J90" i="18" s="1"/>
  <c r="J85" i="21" l="1"/>
  <c r="J86" i="21"/>
  <c r="J107" i="21"/>
  <c r="K110" i="21"/>
  <c r="K111" i="21" s="1"/>
  <c r="K109" i="21" s="1"/>
  <c r="K58" i="44"/>
  <c r="P102" i="40"/>
  <c r="P103" i="40" s="1"/>
  <c r="P101" i="40" s="1"/>
  <c r="P106" i="40" s="1"/>
  <c r="P92" i="40" s="1"/>
  <c r="P87" i="40" s="1"/>
  <c r="O98" i="40"/>
  <c r="K93" i="18"/>
  <c r="K94" i="18" s="1"/>
  <c r="K92" i="18" s="1"/>
  <c r="J89" i="18"/>
  <c r="K36" i="21" l="1"/>
  <c r="K90" i="21" s="1"/>
  <c r="K91" i="21" s="1"/>
  <c r="K12" i="21" s="1"/>
  <c r="P36" i="40"/>
  <c r="P68" i="40" s="1"/>
  <c r="P78" i="40" s="1"/>
  <c r="P97" i="40"/>
  <c r="P88" i="40"/>
  <c r="P95" i="40" s="1"/>
  <c r="P96" i="40"/>
  <c r="K35" i="18"/>
  <c r="K51" i="18"/>
  <c r="K59" i="17"/>
  <c r="K59" i="18"/>
  <c r="K79" i="21" l="1"/>
  <c r="K60" i="21"/>
  <c r="L13" i="44"/>
  <c r="K52" i="21"/>
  <c r="K19" i="20"/>
  <c r="K13" i="21"/>
  <c r="L7" i="44"/>
  <c r="K50" i="21"/>
  <c r="P67" i="40"/>
  <c r="P58" i="40" s="1"/>
  <c r="P57" i="40" s="1"/>
  <c r="P83" i="40" s="1"/>
  <c r="P77" i="40"/>
  <c r="K22" i="18"/>
  <c r="K29" i="18" s="1"/>
  <c r="L50" i="18" s="1"/>
  <c r="P94" i="40"/>
  <c r="P93" i="40" s="1"/>
  <c r="K52" i="19"/>
  <c r="K22" i="19" s="1"/>
  <c r="K30" i="19" s="1"/>
  <c r="K62" i="19" s="1"/>
  <c r="K60" i="19"/>
  <c r="K51" i="17"/>
  <c r="K22" i="17" s="1"/>
  <c r="K29" i="17" s="1"/>
  <c r="K61" i="17" s="1"/>
  <c r="K58" i="17" s="1"/>
  <c r="K23" i="21" l="1"/>
  <c r="K30" i="21" s="1"/>
  <c r="K62" i="21" s="1"/>
  <c r="K59" i="21" s="1"/>
  <c r="K20" i="20"/>
  <c r="Q69" i="40"/>
  <c r="P11" i="22"/>
  <c r="Q70" i="40"/>
  <c r="K61" i="18"/>
  <c r="K58" i="18" s="1"/>
  <c r="K23" i="18"/>
  <c r="K32" i="18" s="1"/>
  <c r="P99" i="40"/>
  <c r="Q102" i="40"/>
  <c r="Q103" i="40" s="1"/>
  <c r="Q101" i="40" s="1"/>
  <c r="P98" i="40"/>
  <c r="L51" i="19"/>
  <c r="L51" i="21"/>
  <c r="K59" i="19"/>
  <c r="K23" i="19"/>
  <c r="K23" i="17"/>
  <c r="K32" i="17" s="1"/>
  <c r="L50" i="17"/>
  <c r="L8" i="44" l="1"/>
  <c r="K24" i="21"/>
  <c r="L33" i="44"/>
  <c r="K97" i="18"/>
  <c r="K83" i="18" s="1"/>
  <c r="K79" i="18" s="1"/>
  <c r="K80" i="18" s="1"/>
  <c r="K85" i="18" s="1"/>
  <c r="K67" i="18"/>
  <c r="K68" i="18"/>
  <c r="Q106" i="40"/>
  <c r="Q92" i="40" s="1"/>
  <c r="Q36" i="40"/>
  <c r="Q68" i="40" s="1"/>
  <c r="K33" i="19"/>
  <c r="K16" i="22"/>
  <c r="K113" i="21" l="1"/>
  <c r="K100" i="21" s="1"/>
  <c r="K33" i="21"/>
  <c r="K68" i="21" s="1"/>
  <c r="K77" i="21" s="1"/>
  <c r="L16" i="44"/>
  <c r="K95" i="21"/>
  <c r="K96" i="21" s="1"/>
  <c r="L18" i="44"/>
  <c r="K66" i="18"/>
  <c r="K57" i="18" s="1"/>
  <c r="K56" i="18" s="1"/>
  <c r="K86" i="18"/>
  <c r="K84" i="18" s="1"/>
  <c r="K88" i="18"/>
  <c r="K87" i="18"/>
  <c r="Q78" i="40"/>
  <c r="Q77" i="40"/>
  <c r="Q67" i="40"/>
  <c r="Q58" i="40" s="1"/>
  <c r="Q57" i="40" s="1"/>
  <c r="Q83" i="40" s="1"/>
  <c r="Q87" i="40"/>
  <c r="Q88" i="40" s="1"/>
  <c r="K105" i="21"/>
  <c r="K104" i="21"/>
  <c r="L61" i="44" s="1"/>
  <c r="K17" i="22"/>
  <c r="K15" i="22"/>
  <c r="K14" i="22"/>
  <c r="K18" i="22"/>
  <c r="K102" i="21" l="1"/>
  <c r="K103" i="21"/>
  <c r="K101" i="21" s="1"/>
  <c r="K69" i="21"/>
  <c r="L87" i="21"/>
  <c r="K21" i="20"/>
  <c r="K67" i="21"/>
  <c r="K58" i="21" s="1"/>
  <c r="K57" i="21" s="1"/>
  <c r="K85" i="21" s="1"/>
  <c r="L69" i="18"/>
  <c r="L27" i="44"/>
  <c r="L6" i="44"/>
  <c r="K78" i="21"/>
  <c r="K88" i="21" s="1"/>
  <c r="L10" i="44"/>
  <c r="K75" i="18"/>
  <c r="K89" i="18"/>
  <c r="K90" i="18"/>
  <c r="L93" i="18"/>
  <c r="L94" i="18" s="1"/>
  <c r="L92" i="18" s="1"/>
  <c r="L35" i="18" s="1"/>
  <c r="Q95" i="40"/>
  <c r="Q97" i="40"/>
  <c r="Q94" i="40"/>
  <c r="Q11" i="22"/>
  <c r="R69" i="40"/>
  <c r="R70" i="40"/>
  <c r="Q96" i="40"/>
  <c r="K107" i="21" l="1"/>
  <c r="L58" i="44"/>
  <c r="L60" i="44"/>
  <c r="L59" i="44"/>
  <c r="K86" i="21"/>
  <c r="K83" i="21"/>
  <c r="K23" i="20"/>
  <c r="L70" i="21"/>
  <c r="K84" i="21"/>
  <c r="L5" i="44"/>
  <c r="K22" i="20"/>
  <c r="K106" i="21"/>
  <c r="L62" i="44" s="1"/>
  <c r="L110" i="21"/>
  <c r="L111" i="21" s="1"/>
  <c r="L109" i="21" s="1"/>
  <c r="Q93" i="40"/>
  <c r="R102" i="40" s="1"/>
  <c r="R103" i="40" s="1"/>
  <c r="R101" i="40" s="1"/>
  <c r="L51" i="18"/>
  <c r="Q99" i="40" l="1"/>
  <c r="Q98" i="40"/>
  <c r="L36" i="21"/>
  <c r="R106" i="40"/>
  <c r="R92" i="40" s="1"/>
  <c r="R36" i="40"/>
  <c r="R68" i="40" s="1"/>
  <c r="L59" i="18"/>
  <c r="L22" i="18"/>
  <c r="L29" i="18" s="1"/>
  <c r="L61" i="18" s="1"/>
  <c r="L51" i="17"/>
  <c r="L22" i="17" s="1"/>
  <c r="L59" i="17"/>
  <c r="L52" i="19"/>
  <c r="L60" i="19"/>
  <c r="M13" i="44" l="1"/>
  <c r="L90" i="21"/>
  <c r="L91" i="21" s="1"/>
  <c r="R78" i="40"/>
  <c r="R77" i="40"/>
  <c r="R67" i="40"/>
  <c r="R58" i="40" s="1"/>
  <c r="R57" i="40" s="1"/>
  <c r="R83" i="40" s="1"/>
  <c r="R87" i="40"/>
  <c r="R88" i="40" s="1"/>
  <c r="R95" i="40" s="1"/>
  <c r="L58" i="18"/>
  <c r="L23" i="18"/>
  <c r="M50" i="18"/>
  <c r="L29" i="17"/>
  <c r="L61" i="17" s="1"/>
  <c r="L58" i="17" s="1"/>
  <c r="L23" i="17"/>
  <c r="L32" i="17" s="1"/>
  <c r="L22" i="19"/>
  <c r="L12" i="21" l="1"/>
  <c r="R94" i="40"/>
  <c r="R93" i="40" s="1"/>
  <c r="R96" i="40"/>
  <c r="R97" i="40"/>
  <c r="L97" i="18"/>
  <c r="L83" i="18" s="1"/>
  <c r="R11" i="22"/>
  <c r="S70" i="40"/>
  <c r="S69" i="40"/>
  <c r="L32" i="18"/>
  <c r="L68" i="18" s="1"/>
  <c r="M50" i="17"/>
  <c r="L30" i="19"/>
  <c r="L23" i="19"/>
  <c r="L13" i="21" l="1"/>
  <c r="L19" i="20"/>
  <c r="M7" i="44"/>
  <c r="L52" i="21"/>
  <c r="L60" i="21"/>
  <c r="L50" i="21"/>
  <c r="L23" i="21" s="1"/>
  <c r="L30" i="21" s="1"/>
  <c r="L79" i="21"/>
  <c r="M33" i="44"/>
  <c r="S102" i="40"/>
  <c r="S103" i="40" s="1"/>
  <c r="S101" i="40" s="1"/>
  <c r="S36" i="40" s="1"/>
  <c r="S68" i="40" s="1"/>
  <c r="R98" i="40"/>
  <c r="R99" i="40"/>
  <c r="L79" i="18"/>
  <c r="L33" i="19"/>
  <c r="L67" i="18"/>
  <c r="L66" i="18" s="1"/>
  <c r="L57" i="18" s="1"/>
  <c r="L56" i="18" s="1"/>
  <c r="L62" i="19"/>
  <c r="L59" i="19" s="1"/>
  <c r="M51" i="19"/>
  <c r="L20" i="20" l="1"/>
  <c r="L75" i="18"/>
  <c r="M27" i="44"/>
  <c r="S106" i="40"/>
  <c r="S92" i="40" s="1"/>
  <c r="S87" i="40" s="1"/>
  <c r="S88" i="40" s="1"/>
  <c r="L24" i="21"/>
  <c r="L62" i="21"/>
  <c r="M51" i="21"/>
  <c r="L80" i="18"/>
  <c r="L85" i="18" s="1"/>
  <c r="L88" i="18"/>
  <c r="L87" i="18"/>
  <c r="S67" i="40"/>
  <c r="S58" i="40" s="1"/>
  <c r="S57" i="40" s="1"/>
  <c r="S83" i="40" s="1"/>
  <c r="S77" i="40"/>
  <c r="S78" i="40"/>
  <c r="C30" i="22"/>
  <c r="C27" i="22"/>
  <c r="C31" i="22"/>
  <c r="L17" i="22"/>
  <c r="M69" i="18"/>
  <c r="L59" i="21" l="1"/>
  <c r="M8" i="44"/>
  <c r="M16" i="44"/>
  <c r="L86" i="18"/>
  <c r="L84" i="18" s="1"/>
  <c r="L89" i="18" s="1"/>
  <c r="L33" i="21"/>
  <c r="L113" i="21"/>
  <c r="L100" i="21" s="1"/>
  <c r="S95" i="40"/>
  <c r="S97" i="40"/>
  <c r="S96" i="40"/>
  <c r="S94" i="40"/>
  <c r="S11" i="22"/>
  <c r="T70" i="40"/>
  <c r="T69" i="40"/>
  <c r="C29" i="22"/>
  <c r="C28" i="22"/>
  <c r="C22" i="22"/>
  <c r="L16" i="22"/>
  <c r="L18" i="22"/>
  <c r="L14" i="22"/>
  <c r="L15" i="22"/>
  <c r="L95" i="21" l="1"/>
  <c r="L105" i="21" s="1"/>
  <c r="L68" i="21"/>
  <c r="L77" i="21" s="1"/>
  <c r="M18" i="44"/>
  <c r="S93" i="40"/>
  <c r="S98" i="40" s="1"/>
  <c r="L69" i="21"/>
  <c r="M93" i="18"/>
  <c r="M94" i="18" s="1"/>
  <c r="M92" i="18" s="1"/>
  <c r="M35" i="18" s="1"/>
  <c r="L90" i="18"/>
  <c r="N12" i="19"/>
  <c r="M87" i="21" l="1"/>
  <c r="L104" i="21"/>
  <c r="L96" i="21"/>
  <c r="L103" i="21" s="1"/>
  <c r="N52" i="19"/>
  <c r="N50" i="19"/>
  <c r="L67" i="21"/>
  <c r="L58" i="21" s="1"/>
  <c r="L57" i="21" s="1"/>
  <c r="S99" i="40"/>
  <c r="L21" i="20"/>
  <c r="M6" i="44"/>
  <c r="L78" i="21"/>
  <c r="L88" i="21" s="1"/>
  <c r="M10" i="44"/>
  <c r="T102" i="40"/>
  <c r="T103" i="40" s="1"/>
  <c r="T101" i="40" s="1"/>
  <c r="T106" i="40" s="1"/>
  <c r="T92" i="40" s="1"/>
  <c r="T87" i="40" s="1"/>
  <c r="T97" i="40" s="1"/>
  <c r="L102" i="21"/>
  <c r="M51" i="18"/>
  <c r="M60" i="19"/>
  <c r="M51" i="17"/>
  <c r="M22" i="17" s="1"/>
  <c r="M29" i="17" s="1"/>
  <c r="M61" i="17" s="1"/>
  <c r="N12" i="17"/>
  <c r="M59" i="17"/>
  <c r="M52" i="19"/>
  <c r="M59" i="18"/>
  <c r="O12" i="19"/>
  <c r="O52" i="19" s="1"/>
  <c r="N60" i="19"/>
  <c r="M61" i="44" l="1"/>
  <c r="M5" i="44"/>
  <c r="M70" i="21"/>
  <c r="L86" i="21"/>
  <c r="L83" i="21"/>
  <c r="L85" i="21"/>
  <c r="L84" i="21"/>
  <c r="L23" i="20"/>
  <c r="N59" i="17"/>
  <c r="N49" i="17"/>
  <c r="O50" i="17" s="1"/>
  <c r="O50" i="19"/>
  <c r="L101" i="21"/>
  <c r="T36" i="40"/>
  <c r="L22" i="20"/>
  <c r="M22" i="18"/>
  <c r="M29" i="18" s="1"/>
  <c r="T96" i="40"/>
  <c r="T88" i="40"/>
  <c r="M22" i="19"/>
  <c r="M30" i="19" s="1"/>
  <c r="M62" i="19" s="1"/>
  <c r="M59" i="19" s="1"/>
  <c r="O12" i="17"/>
  <c r="O59" i="17" s="1"/>
  <c r="N51" i="17"/>
  <c r="N50" i="17"/>
  <c r="M58" i="17"/>
  <c r="M23" i="17"/>
  <c r="M32" i="17" s="1"/>
  <c r="O60" i="19"/>
  <c r="P12" i="19"/>
  <c r="P52" i="19" s="1"/>
  <c r="N59" i="18"/>
  <c r="N51" i="18"/>
  <c r="L106" i="21" l="1"/>
  <c r="M62" i="44" s="1"/>
  <c r="M58" i="44"/>
  <c r="M59" i="44"/>
  <c r="M60" i="44"/>
  <c r="T68" i="40"/>
  <c r="T78" i="40" s="1"/>
  <c r="L107" i="21"/>
  <c r="M110" i="21"/>
  <c r="M111" i="21" s="1"/>
  <c r="M109" i="21" s="1"/>
  <c r="M36" i="21" s="1"/>
  <c r="P50" i="19"/>
  <c r="O49" i="17"/>
  <c r="P50" i="17" s="1"/>
  <c r="M23" i="18"/>
  <c r="M97" i="18" s="1"/>
  <c r="T94" i="40"/>
  <c r="T95" i="40"/>
  <c r="O51" i="19"/>
  <c r="N51" i="19"/>
  <c r="N22" i="19" s="1"/>
  <c r="N30" i="19" s="1"/>
  <c r="N62" i="19" s="1"/>
  <c r="N59" i="19" s="1"/>
  <c r="M23" i="19"/>
  <c r="P12" i="17"/>
  <c r="Q12" i="17" s="1"/>
  <c r="R12" i="17" s="1"/>
  <c r="O51" i="17"/>
  <c r="P51" i="19"/>
  <c r="N22" i="17"/>
  <c r="N29" i="17" s="1"/>
  <c r="N61" i="17" s="1"/>
  <c r="N58" i="17" s="1"/>
  <c r="N50" i="18"/>
  <c r="N22" i="18" s="1"/>
  <c r="M61" i="18"/>
  <c r="Q12" i="19"/>
  <c r="Q52" i="19" s="1"/>
  <c r="P60" i="19"/>
  <c r="T67" i="40" l="1"/>
  <c r="T58" i="40" s="1"/>
  <c r="T57" i="40" s="1"/>
  <c r="T83" i="40" s="1"/>
  <c r="T77" i="40"/>
  <c r="N13" i="44"/>
  <c r="N33" i="44"/>
  <c r="P49" i="17"/>
  <c r="Q49" i="17" s="1"/>
  <c r="R49" i="17" s="1"/>
  <c r="Q50" i="19"/>
  <c r="M32" i="18"/>
  <c r="M68" i="18" s="1"/>
  <c r="M83" i="18"/>
  <c r="M90" i="21"/>
  <c r="M91" i="21" s="1"/>
  <c r="T93" i="40"/>
  <c r="T98" i="40" s="1"/>
  <c r="M33" i="19"/>
  <c r="P59" i="17"/>
  <c r="P51" i="17"/>
  <c r="Q59" i="17"/>
  <c r="Q51" i="17"/>
  <c r="O22" i="17"/>
  <c r="O29" i="17" s="1"/>
  <c r="O61" i="17" s="1"/>
  <c r="O58" i="17" s="1"/>
  <c r="Q51" i="19"/>
  <c r="N23" i="17"/>
  <c r="N32" i="17" s="1"/>
  <c r="O22" i="19"/>
  <c r="O30" i="19" s="1"/>
  <c r="O62" i="19" s="1"/>
  <c r="O59" i="19" s="1"/>
  <c r="N23" i="19"/>
  <c r="M58" i="18"/>
  <c r="Q60" i="19"/>
  <c r="R12" i="19"/>
  <c r="S12" i="19" s="1"/>
  <c r="M16" i="22"/>
  <c r="S12" i="17"/>
  <c r="R51" i="17"/>
  <c r="R59" i="17"/>
  <c r="N23" i="18"/>
  <c r="N29" i="18"/>
  <c r="U69" i="40" l="1"/>
  <c r="T11" i="22"/>
  <c r="U70" i="40"/>
  <c r="M12" i="21"/>
  <c r="M79" i="21" s="1"/>
  <c r="Q50" i="17"/>
  <c r="O33" i="44"/>
  <c r="R50" i="19"/>
  <c r="S50" i="19" s="1"/>
  <c r="S49" i="17"/>
  <c r="M67" i="18"/>
  <c r="M66" i="18" s="1"/>
  <c r="M57" i="18" s="1"/>
  <c r="M56" i="18" s="1"/>
  <c r="N7" i="44"/>
  <c r="T99" i="40"/>
  <c r="U102" i="40"/>
  <c r="U103" i="40" s="1"/>
  <c r="U101" i="40" s="1"/>
  <c r="U106" i="40" s="1"/>
  <c r="U92" i="40" s="1"/>
  <c r="U87" i="40" s="1"/>
  <c r="U96" i="40" s="1"/>
  <c r="N33" i="19"/>
  <c r="P22" i="17"/>
  <c r="P29" i="17" s="1"/>
  <c r="P61" i="17" s="1"/>
  <c r="P58" i="17" s="1"/>
  <c r="R50" i="17"/>
  <c r="R51" i="19"/>
  <c r="P22" i="19"/>
  <c r="P30" i="19" s="1"/>
  <c r="P62" i="19" s="1"/>
  <c r="P59" i="19" s="1"/>
  <c r="O23" i="17"/>
  <c r="O32" i="17" s="1"/>
  <c r="O23" i="19"/>
  <c r="M79" i="18"/>
  <c r="M87" i="18" s="1"/>
  <c r="R60" i="19"/>
  <c r="R52" i="19"/>
  <c r="D31" i="22"/>
  <c r="D28" i="22"/>
  <c r="D27" i="22"/>
  <c r="D22" i="22"/>
  <c r="M17" i="22"/>
  <c r="D30" i="22"/>
  <c r="M15" i="22"/>
  <c r="M14" i="22"/>
  <c r="M18" i="22"/>
  <c r="D29" i="22"/>
  <c r="S59" i="17"/>
  <c r="T12" i="17"/>
  <c r="S51" i="17"/>
  <c r="S52" i="19"/>
  <c r="T12" i="19"/>
  <c r="S60" i="19"/>
  <c r="N61" i="18"/>
  <c r="N58" i="18" s="1"/>
  <c r="O50" i="18"/>
  <c r="N32" i="18"/>
  <c r="M13" i="21" l="1"/>
  <c r="M52" i="21"/>
  <c r="M60" i="21"/>
  <c r="N12" i="21"/>
  <c r="N79" i="21" s="1"/>
  <c r="M50" i="21"/>
  <c r="N50" i="21" s="1"/>
  <c r="M19" i="20"/>
  <c r="O12" i="20" s="1"/>
  <c r="N12" i="20" s="1"/>
  <c r="Q12" i="20"/>
  <c r="P12" i="20" s="1"/>
  <c r="M20" i="20"/>
  <c r="G27" i="20" s="1"/>
  <c r="P33" i="44"/>
  <c r="T49" i="17"/>
  <c r="T50" i="19"/>
  <c r="M75" i="18"/>
  <c r="N27" i="44"/>
  <c r="U36" i="40"/>
  <c r="U68" i="40" s="1"/>
  <c r="U77" i="40" s="1"/>
  <c r="D81" i="21"/>
  <c r="U88" i="40"/>
  <c r="U94" i="40" s="1"/>
  <c r="U97" i="40"/>
  <c r="O33" i="19"/>
  <c r="P23" i="17"/>
  <c r="P32" i="17" s="1"/>
  <c r="T50" i="17"/>
  <c r="Q22" i="17"/>
  <c r="Q29" i="17" s="1"/>
  <c r="Q61" i="17" s="1"/>
  <c r="Q58" i="17" s="1"/>
  <c r="Q22" i="19"/>
  <c r="Q30" i="19" s="1"/>
  <c r="Q62" i="19" s="1"/>
  <c r="Q59" i="19" s="1"/>
  <c r="P23" i="19"/>
  <c r="T51" i="19"/>
  <c r="N69" i="18"/>
  <c r="M88" i="18"/>
  <c r="M80" i="18"/>
  <c r="T52" i="19"/>
  <c r="T60" i="19"/>
  <c r="U12" i="19"/>
  <c r="U12" i="17"/>
  <c r="T51" i="17"/>
  <c r="T59" i="17"/>
  <c r="N68" i="18"/>
  <c r="N60" i="21" l="1"/>
  <c r="G25" i="20"/>
  <c r="N52" i="21"/>
  <c r="O7" i="44"/>
  <c r="N13" i="21"/>
  <c r="M23" i="21"/>
  <c r="M24" i="21" s="1"/>
  <c r="O12" i="21"/>
  <c r="O79" i="21" s="1"/>
  <c r="U67" i="40"/>
  <c r="U58" i="40" s="1"/>
  <c r="U57" i="40" s="1"/>
  <c r="U83" i="40" s="1"/>
  <c r="U78" i="40"/>
  <c r="Q33" i="44"/>
  <c r="U50" i="19"/>
  <c r="U49" i="17"/>
  <c r="N16" i="44"/>
  <c r="U95" i="40"/>
  <c r="U93" i="40" s="1"/>
  <c r="V102" i="40" s="1"/>
  <c r="V103" i="40" s="1"/>
  <c r="V101" i="40" s="1"/>
  <c r="P33" i="19"/>
  <c r="Q23" i="17"/>
  <c r="Q32" i="17" s="1"/>
  <c r="Q23" i="19"/>
  <c r="U50" i="17"/>
  <c r="S50" i="17"/>
  <c r="R22" i="17"/>
  <c r="R23" i="17" s="1"/>
  <c r="R32" i="17" s="1"/>
  <c r="R22" i="19"/>
  <c r="S22" i="19" s="1"/>
  <c r="S30" i="19" s="1"/>
  <c r="S62" i="19" s="1"/>
  <c r="S59" i="19" s="1"/>
  <c r="S51" i="19"/>
  <c r="M85" i="18"/>
  <c r="M86" i="18"/>
  <c r="U60" i="19"/>
  <c r="U52" i="19"/>
  <c r="V12" i="19"/>
  <c r="V12" i="17"/>
  <c r="U51" i="17"/>
  <c r="U59" i="17"/>
  <c r="O59" i="18"/>
  <c r="O51" i="18"/>
  <c r="M113" i="21" l="1"/>
  <c r="O60" i="21"/>
  <c r="O52" i="21"/>
  <c r="M33" i="21"/>
  <c r="M68" i="21" s="1"/>
  <c r="P7" i="44"/>
  <c r="P12" i="21"/>
  <c r="P79" i="21" s="1"/>
  <c r="M30" i="21"/>
  <c r="O51" i="21" s="1"/>
  <c r="O13" i="21"/>
  <c r="O50" i="21"/>
  <c r="P50" i="21" s="1"/>
  <c r="U11" i="22"/>
  <c r="V70" i="40"/>
  <c r="V69" i="40"/>
  <c r="R33" i="44"/>
  <c r="V49" i="17"/>
  <c r="V50" i="19"/>
  <c r="N18" i="44"/>
  <c r="U98" i="40"/>
  <c r="U99" i="40"/>
  <c r="V36" i="40"/>
  <c r="V68" i="40" s="1"/>
  <c r="V106" i="40"/>
  <c r="Q33" i="19"/>
  <c r="V50" i="17"/>
  <c r="R30" i="19"/>
  <c r="R62" i="19" s="1"/>
  <c r="R59" i="19" s="1"/>
  <c r="S23" i="19"/>
  <c r="T22" i="19"/>
  <c r="T23" i="19" s="1"/>
  <c r="R23" i="19"/>
  <c r="U51" i="19"/>
  <c r="R29" i="17"/>
  <c r="R61" i="17" s="1"/>
  <c r="R58" i="17" s="1"/>
  <c r="S22" i="17"/>
  <c r="T22" i="17" s="1"/>
  <c r="T29" i="17" s="1"/>
  <c r="T61" i="17" s="1"/>
  <c r="T58" i="17" s="1"/>
  <c r="M84" i="18"/>
  <c r="N93" i="18" s="1"/>
  <c r="N94" i="18" s="1"/>
  <c r="N92" i="18" s="1"/>
  <c r="V59" i="17"/>
  <c r="V51" i="17"/>
  <c r="W12" i="17"/>
  <c r="V60" i="19"/>
  <c r="V52" i="19"/>
  <c r="W12" i="19"/>
  <c r="V51" i="19"/>
  <c r="O22" i="18"/>
  <c r="M69" i="21" l="1"/>
  <c r="M67" i="21" s="1"/>
  <c r="N51" i="21"/>
  <c r="N23" i="21" s="1"/>
  <c r="O23" i="21" s="1"/>
  <c r="O24" i="21" s="1"/>
  <c r="M62" i="21"/>
  <c r="M59" i="21" s="1"/>
  <c r="M77" i="21" s="1"/>
  <c r="N87" i="21" s="1"/>
  <c r="Q12" i="21"/>
  <c r="Q79" i="21" s="1"/>
  <c r="Q7" i="44"/>
  <c r="P13" i="21"/>
  <c r="N24" i="21"/>
  <c r="S33" i="44"/>
  <c r="U33" i="44"/>
  <c r="T33" i="44"/>
  <c r="W50" i="19"/>
  <c r="W49" i="17"/>
  <c r="R7" i="44"/>
  <c r="M78" i="21"/>
  <c r="M88" i="21" s="1"/>
  <c r="N10" i="44"/>
  <c r="Q13" i="21"/>
  <c r="V92" i="40"/>
  <c r="N97" i="18"/>
  <c r="U22" i="19"/>
  <c r="V22" i="19" s="1"/>
  <c r="R33" i="19"/>
  <c r="T33" i="19"/>
  <c r="S33" i="19"/>
  <c r="W50" i="17"/>
  <c r="T30" i="19"/>
  <c r="T62" i="19" s="1"/>
  <c r="T59" i="19" s="1"/>
  <c r="T23" i="17"/>
  <c r="T32" i="17" s="1"/>
  <c r="V78" i="40"/>
  <c r="V67" i="40"/>
  <c r="V58" i="40" s="1"/>
  <c r="V57" i="40" s="1"/>
  <c r="V77" i="40"/>
  <c r="S23" i="17"/>
  <c r="S32" i="17" s="1"/>
  <c r="U22" i="17"/>
  <c r="U29" i="17" s="1"/>
  <c r="U61" i="17" s="1"/>
  <c r="U58" i="17" s="1"/>
  <c r="S29" i="17"/>
  <c r="S61" i="17" s="1"/>
  <c r="S58" i="17" s="1"/>
  <c r="M90" i="18"/>
  <c r="M89" i="18"/>
  <c r="N35" i="18"/>
  <c r="N67" i="18" s="1"/>
  <c r="N66" i="18" s="1"/>
  <c r="N57" i="18" s="1"/>
  <c r="N56" i="18" s="1"/>
  <c r="O27" i="44" s="1"/>
  <c r="W52" i="19"/>
  <c r="W60" i="19"/>
  <c r="W51" i="19"/>
  <c r="W51" i="17"/>
  <c r="W59" i="17"/>
  <c r="O29" i="18"/>
  <c r="O23" i="18"/>
  <c r="N30" i="21" l="1"/>
  <c r="N62" i="21" s="1"/>
  <c r="O8" i="44" s="1"/>
  <c r="M100" i="21"/>
  <c r="Q50" i="21"/>
  <c r="N8" i="44"/>
  <c r="R12" i="21"/>
  <c r="R79" i="21" s="1"/>
  <c r="O30" i="21"/>
  <c r="O16" i="44"/>
  <c r="N33" i="21"/>
  <c r="O18" i="44" s="1"/>
  <c r="N59" i="21"/>
  <c r="M21" i="20"/>
  <c r="M58" i="21"/>
  <c r="M57" i="21" s="1"/>
  <c r="S7" i="44"/>
  <c r="M95" i="21"/>
  <c r="M96" i="21" s="1"/>
  <c r="M103" i="21" s="1"/>
  <c r="S12" i="21"/>
  <c r="S79" i="21" s="1"/>
  <c r="R13" i="21"/>
  <c r="M22" i="20"/>
  <c r="P16" i="44"/>
  <c r="N6" i="44"/>
  <c r="V11" i="22"/>
  <c r="V83" i="40"/>
  <c r="V87" i="40"/>
  <c r="V88" i="40" s="1"/>
  <c r="V95" i="40" s="1"/>
  <c r="N83" i="18"/>
  <c r="U23" i="19"/>
  <c r="U30" i="19"/>
  <c r="U62" i="19" s="1"/>
  <c r="U59" i="19" s="1"/>
  <c r="V22" i="17"/>
  <c r="W69" i="40"/>
  <c r="W70" i="40"/>
  <c r="U23" i="17"/>
  <c r="U32" i="17" s="1"/>
  <c r="N75" i="18"/>
  <c r="O69" i="18"/>
  <c r="W22" i="19"/>
  <c r="W23" i="19" s="1"/>
  <c r="V30" i="19"/>
  <c r="V62" i="19" s="1"/>
  <c r="V59" i="19" s="1"/>
  <c r="V23" i="19"/>
  <c r="O32" i="18"/>
  <c r="O61" i="18"/>
  <c r="O58" i="18" s="1"/>
  <c r="P50" i="18"/>
  <c r="O62" i="21"/>
  <c r="P51" i="21"/>
  <c r="O33" i="21"/>
  <c r="P18" i="44" s="1"/>
  <c r="R50" i="21" l="1"/>
  <c r="T12" i="21"/>
  <c r="T79" i="21" s="1"/>
  <c r="M83" i="21"/>
  <c r="M85" i="21"/>
  <c r="M86" i="21"/>
  <c r="N70" i="21"/>
  <c r="M104" i="21"/>
  <c r="M105" i="21"/>
  <c r="W33" i="44"/>
  <c r="V33" i="44"/>
  <c r="X33" i="44"/>
  <c r="S50" i="21"/>
  <c r="N5" i="44"/>
  <c r="M84" i="21"/>
  <c r="M23" i="20"/>
  <c r="M102" i="21"/>
  <c r="N69" i="21"/>
  <c r="S13" i="21"/>
  <c r="T7" i="44"/>
  <c r="O59" i="21"/>
  <c r="P8" i="44"/>
  <c r="V96" i="40"/>
  <c r="V94" i="40"/>
  <c r="V93" i="40" s="1"/>
  <c r="W22" i="17"/>
  <c r="W29" i="17" s="1"/>
  <c r="W61" i="17" s="1"/>
  <c r="W58" i="17" s="1"/>
  <c r="V97" i="40"/>
  <c r="N79" i="18"/>
  <c r="V33" i="19"/>
  <c r="W33" i="19"/>
  <c r="U33" i="19"/>
  <c r="V29" i="17"/>
  <c r="V61" i="17" s="1"/>
  <c r="V58" i="17" s="1"/>
  <c r="V23" i="17"/>
  <c r="V32" i="17" s="1"/>
  <c r="W30" i="19"/>
  <c r="W62" i="19" s="1"/>
  <c r="W59" i="19" s="1"/>
  <c r="O68" i="18"/>
  <c r="M12" i="20" l="1"/>
  <c r="L12" i="20"/>
  <c r="N61" i="44"/>
  <c r="U7" i="44"/>
  <c r="T13" i="21"/>
  <c r="U12" i="21"/>
  <c r="U79" i="21" s="1"/>
  <c r="T50" i="21"/>
  <c r="M101" i="21"/>
  <c r="V99" i="40"/>
  <c r="W102" i="40"/>
  <c r="W103" i="40" s="1"/>
  <c r="W101" i="40" s="1"/>
  <c r="W23" i="17"/>
  <c r="W32" i="17" s="1"/>
  <c r="V98" i="40"/>
  <c r="N87" i="18"/>
  <c r="N80" i="18"/>
  <c r="N85" i="18" s="1"/>
  <c r="N88" i="18"/>
  <c r="N18" i="22"/>
  <c r="E30" i="22"/>
  <c r="N17" i="22"/>
  <c r="N14" i="22"/>
  <c r="E29" i="22"/>
  <c r="N16" i="22"/>
  <c r="N15" i="22"/>
  <c r="E22" i="22"/>
  <c r="E27" i="22"/>
  <c r="E28" i="22"/>
  <c r="E31" i="22"/>
  <c r="U13" i="21" l="1"/>
  <c r="V12" i="21"/>
  <c r="V79" i="21" s="1"/>
  <c r="V7" i="44"/>
  <c r="M107" i="21"/>
  <c r="N58" i="44"/>
  <c r="U50" i="21"/>
  <c r="N60" i="44"/>
  <c r="M106" i="21"/>
  <c r="N62" i="44" s="1"/>
  <c r="N59" i="44"/>
  <c r="N110" i="21"/>
  <c r="N111" i="21" s="1"/>
  <c r="N109" i="21" s="1"/>
  <c r="N113" i="21" s="1"/>
  <c r="N100" i="21" s="1"/>
  <c r="N86" i="18"/>
  <c r="N84" i="18" s="1"/>
  <c r="W36" i="40"/>
  <c r="W106" i="40"/>
  <c r="W92" i="40" s="1"/>
  <c r="W87" i="40" s="1"/>
  <c r="W96" i="40" s="1"/>
  <c r="P52" i="21"/>
  <c r="P60" i="21"/>
  <c r="V13" i="21" l="1"/>
  <c r="W12" i="21"/>
  <c r="W79" i="21" s="1"/>
  <c r="W7" i="44"/>
  <c r="V50" i="21"/>
  <c r="N95" i="21"/>
  <c r="N105" i="21" s="1"/>
  <c r="N36" i="21"/>
  <c r="L2" i="43" a="1"/>
  <c r="L2" i="43" s="1"/>
  <c r="W68" i="40"/>
  <c r="W67" i="40" s="1"/>
  <c r="W58" i="40" s="1"/>
  <c r="W57" i="40" s="1"/>
  <c r="W83" i="40" s="1"/>
  <c r="G12" i="20" s="1"/>
  <c r="N90" i="18"/>
  <c r="N89" i="18"/>
  <c r="O93" i="18"/>
  <c r="O94" i="18" s="1"/>
  <c r="O92" i="18" s="1"/>
  <c r="O97" i="18" s="1"/>
  <c r="O83" i="18" s="1"/>
  <c r="W88" i="40"/>
  <c r="W95" i="40" s="1"/>
  <c r="W97" i="40"/>
  <c r="P23" i="21"/>
  <c r="P51" i="18"/>
  <c r="P59" i="18"/>
  <c r="X7" i="44" l="1"/>
  <c r="W13" i="21"/>
  <c r="W50" i="21"/>
  <c r="O13" i="44"/>
  <c r="N90" i="21"/>
  <c r="N91" i="21" s="1"/>
  <c r="N68" i="21"/>
  <c r="N67" i="21" s="1"/>
  <c r="N58" i="21" s="1"/>
  <c r="N57" i="21" s="1"/>
  <c r="N104" i="21"/>
  <c r="N96" i="21"/>
  <c r="N103" i="21" s="1"/>
  <c r="K2" i="43" a="1"/>
  <c r="K2" i="43" s="1"/>
  <c r="W77" i="40"/>
  <c r="I12" i="20" s="1"/>
  <c r="W78" i="40"/>
  <c r="O35" i="18"/>
  <c r="O67" i="18" s="1"/>
  <c r="O66" i="18" s="1"/>
  <c r="O57" i="18" s="1"/>
  <c r="O56" i="18" s="1"/>
  <c r="W94" i="40"/>
  <c r="W11" i="22"/>
  <c r="J12" i="20"/>
  <c r="O79" i="18"/>
  <c r="O80" i="18" s="1"/>
  <c r="O86" i="18" s="1"/>
  <c r="P24" i="21"/>
  <c r="P30" i="21"/>
  <c r="P22" i="18"/>
  <c r="O10" i="44" l="1"/>
  <c r="N77" i="21"/>
  <c r="N78" i="21"/>
  <c r="N88" i="21" s="1"/>
  <c r="N102" i="21"/>
  <c r="O5" i="44"/>
  <c r="O69" i="21"/>
  <c r="N83" i="21"/>
  <c r="N85" i="21"/>
  <c r="O70" i="21"/>
  <c r="N86" i="21"/>
  <c r="N84" i="21"/>
  <c r="Q16" i="44"/>
  <c r="P69" i="18"/>
  <c r="P27" i="44"/>
  <c r="O75" i="18"/>
  <c r="W93" i="40"/>
  <c r="W99" i="40" s="1"/>
  <c r="O85" i="18"/>
  <c r="O84" i="18" s="1"/>
  <c r="O88" i="18"/>
  <c r="O87" i="18"/>
  <c r="O18" i="22"/>
  <c r="F29" i="22"/>
  <c r="F30" i="22"/>
  <c r="F31" i="22"/>
  <c r="F28" i="22"/>
  <c r="O17" i="22"/>
  <c r="F27" i="22"/>
  <c r="O16" i="22"/>
  <c r="O15" i="22"/>
  <c r="O14" i="22"/>
  <c r="F22" i="22"/>
  <c r="P62" i="21"/>
  <c r="Q51" i="21"/>
  <c r="P23" i="18"/>
  <c r="P29" i="18"/>
  <c r="P33" i="21"/>
  <c r="Q18" i="44" s="1"/>
  <c r="O87" i="21" l="1"/>
  <c r="O6" i="44"/>
  <c r="O61" i="44"/>
  <c r="N101" i="21"/>
  <c r="P59" i="21"/>
  <c r="Q8" i="44"/>
  <c r="P93" i="18"/>
  <c r="P94" i="18" s="1"/>
  <c r="P92" i="18" s="1"/>
  <c r="P97" i="18" s="1"/>
  <c r="W98" i="40"/>
  <c r="O90" i="18"/>
  <c r="O89" i="18"/>
  <c r="P32" i="18"/>
  <c r="P61" i="18"/>
  <c r="P58" i="18" s="1"/>
  <c r="Q50" i="18"/>
  <c r="O59" i="44" l="1"/>
  <c r="O58" i="44"/>
  <c r="O60" i="44"/>
  <c r="N106" i="21"/>
  <c r="O62" i="44" s="1"/>
  <c r="O110" i="21"/>
  <c r="O111" i="21" s="1"/>
  <c r="O109" i="21" s="1"/>
  <c r="N107" i="21"/>
  <c r="P35" i="18"/>
  <c r="P67" i="18" s="1"/>
  <c r="P83" i="18"/>
  <c r="P68" i="18"/>
  <c r="O36" i="21" l="1"/>
  <c r="O113" i="21"/>
  <c r="O100" i="21" s="1"/>
  <c r="P66" i="18"/>
  <c r="P57" i="18" s="1"/>
  <c r="P56" i="18" s="1"/>
  <c r="P79" i="18"/>
  <c r="P80" i="18" s="1"/>
  <c r="Q60" i="21"/>
  <c r="Q52" i="21"/>
  <c r="O95" i="21" l="1"/>
  <c r="O104" i="21" s="1"/>
  <c r="O90" i="21"/>
  <c r="O91" i="21" s="1"/>
  <c r="O68" i="21"/>
  <c r="P13" i="44"/>
  <c r="Q69" i="18"/>
  <c r="Q27" i="44"/>
  <c r="P75" i="18"/>
  <c r="P88" i="18"/>
  <c r="P87" i="18"/>
  <c r="P85" i="18"/>
  <c r="Q23" i="21"/>
  <c r="Q59" i="18"/>
  <c r="Q51" i="18"/>
  <c r="P86" i="18"/>
  <c r="P10" i="44" l="1"/>
  <c r="O67" i="21"/>
  <c r="O58" i="21" s="1"/>
  <c r="O57" i="21" s="1"/>
  <c r="O78" i="21"/>
  <c r="O77" i="21"/>
  <c r="P87" i="21" s="1"/>
  <c r="O105" i="21"/>
  <c r="O96" i="21"/>
  <c r="Q22" i="18"/>
  <c r="Q30" i="21"/>
  <c r="Q24" i="21"/>
  <c r="P84" i="18"/>
  <c r="O102" i="21" l="1"/>
  <c r="O103" i="21"/>
  <c r="P6" i="44"/>
  <c r="O88" i="21"/>
  <c r="P69" i="21"/>
  <c r="P70" i="21"/>
  <c r="O86" i="21"/>
  <c r="O85" i="21"/>
  <c r="O84" i="21"/>
  <c r="P5" i="44"/>
  <c r="O83" i="21"/>
  <c r="R16" i="44"/>
  <c r="Q62" i="21"/>
  <c r="R51" i="21"/>
  <c r="Q29" i="18"/>
  <c r="Q23" i="18"/>
  <c r="P90" i="18"/>
  <c r="Q93" i="18"/>
  <c r="Q94" i="18" s="1"/>
  <c r="Q92" i="18" s="1"/>
  <c r="Q33" i="21"/>
  <c r="R18" i="44" s="1"/>
  <c r="P89" i="18"/>
  <c r="P61" i="44" l="1"/>
  <c r="O101" i="21"/>
  <c r="Q59" i="21"/>
  <c r="R8" i="44"/>
  <c r="Q97" i="18"/>
  <c r="P18" i="22"/>
  <c r="P14" i="22"/>
  <c r="P17" i="22"/>
  <c r="P16" i="22"/>
  <c r="G28" i="22"/>
  <c r="G22" i="22"/>
  <c r="G30" i="22"/>
  <c r="P15" i="22"/>
  <c r="G29" i="22"/>
  <c r="G27" i="22"/>
  <c r="G31" i="22"/>
  <c r="Q61" i="18"/>
  <c r="Q58" i="18" s="1"/>
  <c r="R50" i="18"/>
  <c r="Q35" i="18"/>
  <c r="Q32" i="18"/>
  <c r="Q68" i="18" s="1"/>
  <c r="O106" i="21" l="1"/>
  <c r="P62" i="44" s="1"/>
  <c r="P58" i="44"/>
  <c r="P60" i="44"/>
  <c r="P59" i="44"/>
  <c r="P110" i="21"/>
  <c r="P111" i="21" s="1"/>
  <c r="P109" i="21" s="1"/>
  <c r="P113" i="21" s="1"/>
  <c r="P100" i="21" s="1"/>
  <c r="O107" i="21"/>
  <c r="Q83" i="18"/>
  <c r="Q79" i="18" s="1"/>
  <c r="Q80" i="18" s="1"/>
  <c r="Q67" i="18"/>
  <c r="Q66" i="18" s="1"/>
  <c r="Q57" i="18" s="1"/>
  <c r="Q56" i="18" s="1"/>
  <c r="R27" i="44" s="1"/>
  <c r="P36" i="21" l="1"/>
  <c r="P95" i="21"/>
  <c r="P105" i="21" s="1"/>
  <c r="Q87" i="18"/>
  <c r="Q85" i="18"/>
  <c r="R52" i="21"/>
  <c r="R60" i="21"/>
  <c r="R69" i="18"/>
  <c r="Q75" i="18"/>
  <c r="Q88" i="18"/>
  <c r="Q86" i="18"/>
  <c r="Q13" i="44" l="1"/>
  <c r="P90" i="21"/>
  <c r="P91" i="21" s="1"/>
  <c r="P68" i="21"/>
  <c r="P67" i="21" s="1"/>
  <c r="P58" i="21" s="1"/>
  <c r="P57" i="21" s="1"/>
  <c r="P104" i="21"/>
  <c r="P96" i="21"/>
  <c r="P102" i="21" s="1"/>
  <c r="Q84" i="18"/>
  <c r="Q89" i="18" s="1"/>
  <c r="R23" i="21"/>
  <c r="R59" i="18"/>
  <c r="R51" i="18"/>
  <c r="Q10" i="44" l="1"/>
  <c r="P78" i="21"/>
  <c r="P88" i="21" s="1"/>
  <c r="P77" i="21"/>
  <c r="Q87" i="21" s="1"/>
  <c r="P103" i="21"/>
  <c r="Q61" i="44" s="1"/>
  <c r="Q69" i="21"/>
  <c r="P84" i="21"/>
  <c r="Q5" i="44"/>
  <c r="Q70" i="21"/>
  <c r="P85" i="21"/>
  <c r="P86" i="21"/>
  <c r="P83" i="21"/>
  <c r="Q90" i="18"/>
  <c r="R93" i="18"/>
  <c r="R94" i="18" s="1"/>
  <c r="R92" i="18" s="1"/>
  <c r="R24" i="21"/>
  <c r="R30" i="21"/>
  <c r="R22" i="18"/>
  <c r="Q6" i="44" l="1"/>
  <c r="P101" i="21"/>
  <c r="S16" i="44"/>
  <c r="R35" i="18"/>
  <c r="Q17" i="22"/>
  <c r="Q14" i="22"/>
  <c r="H28" i="22"/>
  <c r="Q16" i="22"/>
  <c r="H27" i="22"/>
  <c r="Q18" i="22"/>
  <c r="Q15" i="22"/>
  <c r="H29" i="22"/>
  <c r="H22" i="22"/>
  <c r="H31" i="22"/>
  <c r="H30" i="22"/>
  <c r="R62" i="21"/>
  <c r="S51" i="21"/>
  <c r="R29" i="18"/>
  <c r="R23" i="18"/>
  <c r="R97" i="18" s="1"/>
  <c r="R33" i="21"/>
  <c r="S18" i="44" s="1"/>
  <c r="Q60" i="44" l="1"/>
  <c r="Q58" i="44"/>
  <c r="Q59" i="44"/>
  <c r="Q110" i="21"/>
  <c r="Q111" i="21" s="1"/>
  <c r="Q109" i="21" s="1"/>
  <c r="Q113" i="21" s="1"/>
  <c r="Q100" i="21" s="1"/>
  <c r="P106" i="21"/>
  <c r="Q62" i="44" s="1"/>
  <c r="P107" i="21"/>
  <c r="R59" i="21"/>
  <c r="S8" i="44"/>
  <c r="R61" i="18"/>
  <c r="R58" i="18" s="1"/>
  <c r="S50" i="18"/>
  <c r="R32" i="18"/>
  <c r="R67" i="18" s="1"/>
  <c r="Q36" i="21" l="1"/>
  <c r="Q95" i="21"/>
  <c r="R83" i="18"/>
  <c r="R79" i="18" s="1"/>
  <c r="R80" i="18" s="1"/>
  <c r="R68" i="18"/>
  <c r="R66" i="18" s="1"/>
  <c r="R57" i="18" s="1"/>
  <c r="R56" i="18" s="1"/>
  <c r="S27" i="44" s="1"/>
  <c r="R13" i="44" l="1"/>
  <c r="Q68" i="21"/>
  <c r="Q78" i="21" s="1"/>
  <c r="Q90" i="21"/>
  <c r="Q91" i="21" s="1"/>
  <c r="Q105" i="21"/>
  <c r="Q104" i="21"/>
  <c r="Q96" i="21"/>
  <c r="Q103" i="21" s="1"/>
  <c r="R10" i="44"/>
  <c r="Q67" i="21"/>
  <c r="Q58" i="21" s="1"/>
  <c r="Q57" i="21" s="1"/>
  <c r="R18" i="22"/>
  <c r="R15" i="22"/>
  <c r="R14" i="22"/>
  <c r="R17" i="22"/>
  <c r="H12" i="20" s="1"/>
  <c r="R16" i="22"/>
  <c r="I27" i="22"/>
  <c r="I28" i="22"/>
  <c r="I22" i="22"/>
  <c r="I31" i="22"/>
  <c r="I29" i="22"/>
  <c r="I30" i="22"/>
  <c r="R88" i="18"/>
  <c r="R85" i="18"/>
  <c r="R87" i="18"/>
  <c r="R86" i="18"/>
  <c r="S52" i="21"/>
  <c r="S60" i="21"/>
  <c r="R75" i="18"/>
  <c r="S69" i="18"/>
  <c r="Q77" i="21" l="1"/>
  <c r="R87" i="21" s="1"/>
  <c r="I36" i="44"/>
  <c r="Q102" i="21"/>
  <c r="R70" i="21"/>
  <c r="R5" i="44"/>
  <c r="Q83" i="21"/>
  <c r="Q84" i="21"/>
  <c r="Q85" i="21"/>
  <c r="R69" i="21"/>
  <c r="Q86" i="21"/>
  <c r="Q88" i="21"/>
  <c r="R84" i="18"/>
  <c r="R90" i="18" s="1"/>
  <c r="S23" i="21"/>
  <c r="S51" i="18"/>
  <c r="S59" i="18"/>
  <c r="O36" i="44" l="1"/>
  <c r="S36" i="44" s="1" a="1"/>
  <c r="S36" i="44" s="1"/>
  <c r="P36" i="44"/>
  <c r="R36" i="44" s="1"/>
  <c r="R6" i="44"/>
  <c r="J36" i="44" a="1"/>
  <c r="J36" i="44" s="1"/>
  <c r="V36" i="44" s="1"/>
  <c r="K36" i="44" a="1"/>
  <c r="K36" i="44" s="1"/>
  <c r="M36" i="44" a="1"/>
  <c r="M36" i="44" s="1"/>
  <c r="L36" i="44" a="1"/>
  <c r="L36" i="44" s="1"/>
  <c r="R61" i="44"/>
  <c r="Q101" i="21"/>
  <c r="R89" i="18"/>
  <c r="S93" i="18"/>
  <c r="S94" i="18" s="1"/>
  <c r="S92" i="18" s="1"/>
  <c r="S30" i="21"/>
  <c r="S24" i="21"/>
  <c r="S22" i="18"/>
  <c r="T36" i="44" l="1"/>
  <c r="W36" i="44"/>
  <c r="R59" i="44"/>
  <c r="R58" i="44"/>
  <c r="Q36" i="44" a="1"/>
  <c r="Q36" i="44" s="1"/>
  <c r="R60" i="44"/>
  <c r="R110" i="21"/>
  <c r="R111" i="21" s="1"/>
  <c r="R109" i="21" s="1"/>
  <c r="Q106" i="21"/>
  <c r="R62" i="44" s="1"/>
  <c r="Q107" i="21"/>
  <c r="T16" i="44"/>
  <c r="S35" i="18"/>
  <c r="S62" i="21"/>
  <c r="T51" i="21"/>
  <c r="S29" i="18"/>
  <c r="S23" i="18"/>
  <c r="S97" i="18" s="1"/>
  <c r="S33" i="21"/>
  <c r="T18" i="44" s="1"/>
  <c r="F36" i="44" l="1"/>
  <c r="R113" i="21"/>
  <c r="R100" i="21" s="1"/>
  <c r="R36" i="21"/>
  <c r="S59" i="21"/>
  <c r="T8" i="44"/>
  <c r="S32" i="18"/>
  <c r="S67" i="18" s="1"/>
  <c r="S61" i="18"/>
  <c r="S58" i="18" s="1"/>
  <c r="T50" i="18"/>
  <c r="S13" i="44" l="1"/>
  <c r="R68" i="21"/>
  <c r="R90" i="21"/>
  <c r="R91" i="21" s="1"/>
  <c r="R95" i="21"/>
  <c r="S83" i="18"/>
  <c r="S68" i="18"/>
  <c r="S66" i="18" s="1"/>
  <c r="S57" i="18" s="1"/>
  <c r="S56" i="18" s="1"/>
  <c r="T27" i="44" s="1"/>
  <c r="R96" i="21" l="1"/>
  <c r="R103" i="21" s="1"/>
  <c r="R104" i="21"/>
  <c r="S10" i="44"/>
  <c r="R78" i="21"/>
  <c r="R77" i="21"/>
  <c r="S87" i="21" s="1"/>
  <c r="R67" i="21"/>
  <c r="R58" i="21" s="1"/>
  <c r="R57" i="21" s="1"/>
  <c r="R105" i="21"/>
  <c r="S79" i="18"/>
  <c r="S80" i="18" s="1"/>
  <c r="T69" i="18"/>
  <c r="S75" i="18"/>
  <c r="T52" i="21"/>
  <c r="T60" i="21"/>
  <c r="R102" i="21" l="1"/>
  <c r="S60" i="44" s="1"/>
  <c r="S61" i="44"/>
  <c r="S6" i="44"/>
  <c r="R88" i="21"/>
  <c r="S70" i="21"/>
  <c r="S5" i="44"/>
  <c r="R84" i="21"/>
  <c r="S69" i="21"/>
  <c r="R83" i="21"/>
  <c r="R85" i="21"/>
  <c r="R86" i="21"/>
  <c r="S85" i="18"/>
  <c r="S86" i="18"/>
  <c r="S87" i="18"/>
  <c r="S88" i="18"/>
  <c r="T23" i="21"/>
  <c r="T51" i="18"/>
  <c r="T59" i="18"/>
  <c r="R101" i="21" l="1"/>
  <c r="S84" i="18"/>
  <c r="S90" i="18" s="1"/>
  <c r="T22" i="18"/>
  <c r="T24" i="21"/>
  <c r="T30" i="21"/>
  <c r="R107" i="21" l="1"/>
  <c r="S58" i="44"/>
  <c r="S59" i="44"/>
  <c r="R106" i="21"/>
  <c r="S62" i="44" s="1"/>
  <c r="S110" i="21"/>
  <c r="S111" i="21" s="1"/>
  <c r="S109" i="21" s="1"/>
  <c r="S36" i="21" s="1"/>
  <c r="S89" i="18"/>
  <c r="T93" i="18"/>
  <c r="T94" i="18" s="1"/>
  <c r="T92" i="18" s="1"/>
  <c r="T35" i="18" s="1"/>
  <c r="U16" i="44"/>
  <c r="T62" i="21"/>
  <c r="U51" i="21"/>
  <c r="T33" i="21"/>
  <c r="T29" i="18"/>
  <c r="T23" i="18"/>
  <c r="S90" i="21" l="1"/>
  <c r="S91" i="21" s="1"/>
  <c r="S68" i="21"/>
  <c r="S67" i="21" s="1"/>
  <c r="S58" i="21" s="1"/>
  <c r="S57" i="21" s="1"/>
  <c r="T69" i="21" s="1"/>
  <c r="T13" i="44"/>
  <c r="S113" i="21"/>
  <c r="S100" i="21" s="1"/>
  <c r="T97" i="18"/>
  <c r="T10" i="44"/>
  <c r="T59" i="21"/>
  <c r="U8" i="44"/>
  <c r="U18" i="44"/>
  <c r="T61" i="18"/>
  <c r="T58" i="18" s="1"/>
  <c r="U50" i="18"/>
  <c r="T32" i="18"/>
  <c r="T67" i="18" s="1"/>
  <c r="S77" i="21" l="1"/>
  <c r="T6" i="44" s="1"/>
  <c r="S78" i="21"/>
  <c r="S88" i="21" s="1"/>
  <c r="S95" i="21"/>
  <c r="S96" i="21" s="1"/>
  <c r="S103" i="21" s="1"/>
  <c r="S85" i="21"/>
  <c r="S86" i="21"/>
  <c r="S83" i="21"/>
  <c r="S84" i="21"/>
  <c r="T70" i="21"/>
  <c r="T5" i="44"/>
  <c r="T83" i="18"/>
  <c r="T79" i="18" s="1"/>
  <c r="T80" i="18" s="1"/>
  <c r="T68" i="18"/>
  <c r="T66" i="18" s="1"/>
  <c r="T57" i="18" s="1"/>
  <c r="T56" i="18" s="1"/>
  <c r="T87" i="21" l="1"/>
  <c r="S102" i="21"/>
  <c r="S101" i="21" s="1"/>
  <c r="T58" i="44" s="1"/>
  <c r="S105" i="21"/>
  <c r="S104" i="21"/>
  <c r="T61" i="44" s="1"/>
  <c r="T60" i="44"/>
  <c r="U27" i="44"/>
  <c r="T75" i="18"/>
  <c r="U69" i="18"/>
  <c r="U60" i="21"/>
  <c r="U52" i="21"/>
  <c r="T88" i="18"/>
  <c r="T85" i="18"/>
  <c r="T87" i="18"/>
  <c r="T86" i="18"/>
  <c r="T59" i="44" l="1"/>
  <c r="S107" i="21"/>
  <c r="T110" i="21"/>
  <c r="T111" i="21" s="1"/>
  <c r="T109" i="21" s="1"/>
  <c r="T62" i="44"/>
  <c r="S106" i="21"/>
  <c r="T84" i="18"/>
  <c r="T90" i="18" s="1"/>
  <c r="U59" i="18"/>
  <c r="U51" i="18"/>
  <c r="U23" i="21"/>
  <c r="T113" i="21" l="1"/>
  <c r="T100" i="21" s="1"/>
  <c r="T95" i="21" s="1"/>
  <c r="T96" i="21" s="1"/>
  <c r="T36" i="21"/>
  <c r="U13" i="44"/>
  <c r="T89" i="18"/>
  <c r="U93" i="18"/>
  <c r="U94" i="18" s="1"/>
  <c r="U92" i="18" s="1"/>
  <c r="U30" i="21"/>
  <c r="U24" i="21"/>
  <c r="U22" i="18"/>
  <c r="T68" i="21" l="1"/>
  <c r="T67" i="21" s="1"/>
  <c r="T58" i="21" s="1"/>
  <c r="T57" i="21" s="1"/>
  <c r="T90" i="21"/>
  <c r="T91" i="21" s="1"/>
  <c r="T103" i="21"/>
  <c r="T104" i="21"/>
  <c r="U61" i="44" s="1"/>
  <c r="T102" i="21"/>
  <c r="T105" i="21"/>
  <c r="U10" i="44"/>
  <c r="V16" i="44"/>
  <c r="U35" i="18"/>
  <c r="U62" i="21"/>
  <c r="V51" i="21"/>
  <c r="U23" i="18"/>
  <c r="U97" i="18" s="1"/>
  <c r="U29" i="18"/>
  <c r="U33" i="21"/>
  <c r="T77" i="21" l="1"/>
  <c r="U87" i="21" s="1"/>
  <c r="T78" i="21"/>
  <c r="T88" i="21" s="1"/>
  <c r="T101" i="21"/>
  <c r="T106" i="21" s="1"/>
  <c r="U62" i="44" s="1"/>
  <c r="U6" i="44"/>
  <c r="U60" i="44"/>
  <c r="T86" i="21"/>
  <c r="T85" i="21"/>
  <c r="T84" i="21"/>
  <c r="U70" i="21"/>
  <c r="T83" i="21"/>
  <c r="U5" i="44"/>
  <c r="V18" i="44"/>
  <c r="U59" i="21"/>
  <c r="V8" i="44"/>
  <c r="U69" i="21"/>
  <c r="U61" i="18"/>
  <c r="U58" i="18" s="1"/>
  <c r="V50" i="18"/>
  <c r="U32" i="18"/>
  <c r="U67" i="18" s="1"/>
  <c r="U110" i="21" l="1"/>
  <c r="U111" i="21" s="1"/>
  <c r="U109" i="21" s="1"/>
  <c r="T107" i="21"/>
  <c r="U59" i="44"/>
  <c r="U58" i="44"/>
  <c r="U36" i="21"/>
  <c r="U113" i="21"/>
  <c r="U100" i="21" s="1"/>
  <c r="U95" i="21" s="1"/>
  <c r="U96" i="21" s="1"/>
  <c r="U102" i="21" s="1"/>
  <c r="U83" i="18"/>
  <c r="U79" i="18" s="1"/>
  <c r="U80" i="18" s="1"/>
  <c r="U68" i="18"/>
  <c r="U66" i="18" s="1"/>
  <c r="U57" i="18" s="1"/>
  <c r="U56" i="18" s="1"/>
  <c r="V27" i="44" s="1"/>
  <c r="V13" i="44" l="1"/>
  <c r="U90" i="21"/>
  <c r="U91" i="21" s="1"/>
  <c r="U68" i="21"/>
  <c r="U103" i="21"/>
  <c r="U101" i="21" s="1"/>
  <c r="V59" i="44" s="1"/>
  <c r="U105" i="21"/>
  <c r="U104" i="21"/>
  <c r="V69" i="18"/>
  <c r="U75" i="18"/>
  <c r="U87" i="18"/>
  <c r="U88" i="18"/>
  <c r="U86" i="18"/>
  <c r="U85" i="18"/>
  <c r="V52" i="21"/>
  <c r="V60" i="21"/>
  <c r="V58" i="44" l="1"/>
  <c r="V61" i="44"/>
  <c r="V10" i="44"/>
  <c r="U78" i="21"/>
  <c r="U77" i="21"/>
  <c r="V87" i="21" s="1"/>
  <c r="U67" i="21"/>
  <c r="U58" i="21" s="1"/>
  <c r="U57" i="21" s="1"/>
  <c r="V60" i="44"/>
  <c r="U84" i="18"/>
  <c r="V93" i="18" s="1"/>
  <c r="V94" i="18" s="1"/>
  <c r="V92" i="18" s="1"/>
  <c r="V110" i="21"/>
  <c r="V111" i="21" s="1"/>
  <c r="U107" i="21"/>
  <c r="V23" i="21"/>
  <c r="U106" i="21"/>
  <c r="V62" i="44" s="1"/>
  <c r="V51" i="18"/>
  <c r="V59" i="18"/>
  <c r="V70" i="21" l="1"/>
  <c r="U85" i="21"/>
  <c r="U86" i="21"/>
  <c r="U83" i="21"/>
  <c r="V5" i="44"/>
  <c r="U84" i="21"/>
  <c r="V6" i="44"/>
  <c r="U88" i="21"/>
  <c r="V109" i="21"/>
  <c r="U90" i="18"/>
  <c r="U89" i="18"/>
  <c r="V22" i="18"/>
  <c r="V24" i="21"/>
  <c r="V30" i="21"/>
  <c r="V35" i="18"/>
  <c r="V36" i="21" l="1"/>
  <c r="W16" i="44"/>
  <c r="V113" i="21"/>
  <c r="V62" i="21"/>
  <c r="W51" i="21"/>
  <c r="V33" i="21"/>
  <c r="V23" i="18"/>
  <c r="V97" i="18" s="1"/>
  <c r="V29" i="18"/>
  <c r="W13" i="44" l="1"/>
  <c r="V90" i="21"/>
  <c r="V91" i="21" s="1"/>
  <c r="V68" i="21"/>
  <c r="W10" i="44" s="1"/>
  <c r="W18" i="44"/>
  <c r="V59" i="21"/>
  <c r="W8" i="44"/>
  <c r="V100" i="21"/>
  <c r="V61" i="18"/>
  <c r="V58" i="18" s="1"/>
  <c r="W50" i="18"/>
  <c r="V69" i="21"/>
  <c r="V32" i="18"/>
  <c r="V67" i="18" s="1"/>
  <c r="V67" i="21" l="1"/>
  <c r="V78" i="21"/>
  <c r="V88" i="21" s="1"/>
  <c r="V77" i="21"/>
  <c r="W87" i="21" s="1"/>
  <c r="V58" i="21"/>
  <c r="V57" i="21" s="1"/>
  <c r="W5" i="44" s="1"/>
  <c r="V95" i="21"/>
  <c r="V96" i="21" s="1"/>
  <c r="V103" i="21" s="1"/>
  <c r="V83" i="18"/>
  <c r="V79" i="18" s="1"/>
  <c r="V80" i="18" s="1"/>
  <c r="V68" i="18"/>
  <c r="V66" i="18" s="1"/>
  <c r="V57" i="18" s="1"/>
  <c r="V56" i="18" s="1"/>
  <c r="W27" i="44" s="1"/>
  <c r="V85" i="21" l="1"/>
  <c r="V86" i="21"/>
  <c r="V83" i="21"/>
  <c r="V84" i="21"/>
  <c r="W6" i="44"/>
  <c r="W70" i="21"/>
  <c r="V104" i="21"/>
  <c r="V105" i="21"/>
  <c r="V102" i="21"/>
  <c r="V87" i="18"/>
  <c r="V86" i="18"/>
  <c r="V88" i="18"/>
  <c r="V75" i="18"/>
  <c r="W69" i="18"/>
  <c r="W60" i="21"/>
  <c r="W52" i="21"/>
  <c r="V85" i="18"/>
  <c r="W61" i="44" l="1"/>
  <c r="V101" i="21"/>
  <c r="W23" i="21"/>
  <c r="W30" i="21" s="1"/>
  <c r="W62" i="21" s="1"/>
  <c r="X8" i="44" s="1"/>
  <c r="V84" i="18"/>
  <c r="W93" i="18" s="1"/>
  <c r="W94" i="18" s="1"/>
  <c r="W92" i="18" s="1"/>
  <c r="W59" i="18"/>
  <c r="W51" i="18"/>
  <c r="V106" i="21" l="1"/>
  <c r="W62" i="44" s="1"/>
  <c r="W58" i="44"/>
  <c r="W110" i="21"/>
  <c r="W111" i="21" s="1"/>
  <c r="W109" i="21" s="1"/>
  <c r="W60" i="44"/>
  <c r="W59" i="44"/>
  <c r="V107" i="21"/>
  <c r="W24" i="21"/>
  <c r="W22" i="18"/>
  <c r="W23" i="18" s="1"/>
  <c r="W97" i="18" s="1"/>
  <c r="V89" i="18"/>
  <c r="V90" i="18"/>
  <c r="W59" i="21"/>
  <c r="W35" i="18"/>
  <c r="W36" i="21" l="1"/>
  <c r="X16" i="44"/>
  <c r="W113" i="21"/>
  <c r="W100" i="21" s="1"/>
  <c r="W33" i="21"/>
  <c r="W29" i="18"/>
  <c r="W61" i="18" s="1"/>
  <c r="W58" i="18" s="1"/>
  <c r="W32" i="18"/>
  <c r="W67" i="18" s="1"/>
  <c r="X13" i="44" l="1"/>
  <c r="W90" i="21"/>
  <c r="W91" i="21" s="1"/>
  <c r="W95" i="21"/>
  <c r="W96" i="21" s="1"/>
  <c r="W103" i="21" s="1"/>
  <c r="W68" i="21"/>
  <c r="W77" i="21" s="1"/>
  <c r="X18" i="44"/>
  <c r="W83" i="18"/>
  <c r="W79" i="18" s="1"/>
  <c r="W80" i="18" s="1"/>
  <c r="W85" i="18" s="1"/>
  <c r="W69" i="21"/>
  <c r="W68" i="18"/>
  <c r="W66" i="18" s="1"/>
  <c r="W57" i="18" s="1"/>
  <c r="W56" i="18" s="1"/>
  <c r="W105" i="21" l="1"/>
  <c r="W102" i="21"/>
  <c r="W101" i="21" s="1"/>
  <c r="W104" i="21"/>
  <c r="X61" i="44" s="1"/>
  <c r="W67" i="21"/>
  <c r="W58" i="21" s="1"/>
  <c r="W57" i="21" s="1"/>
  <c r="X27" i="44"/>
  <c r="J14" i="20"/>
  <c r="X6" i="44"/>
  <c r="W78" i="21"/>
  <c r="W88" i="21" s="1"/>
  <c r="X10" i="44"/>
  <c r="W87" i="18"/>
  <c r="W88" i="18"/>
  <c r="W86" i="18"/>
  <c r="W84" i="18" s="1"/>
  <c r="W75" i="18"/>
  <c r="G14" i="20" s="1"/>
  <c r="X5" i="44" l="1"/>
  <c r="W86" i="21"/>
  <c r="W85" i="21"/>
  <c r="W84" i="21"/>
  <c r="W83" i="21"/>
  <c r="W107" i="21"/>
  <c r="X58" i="44"/>
  <c r="X60" i="44"/>
  <c r="X59" i="44"/>
  <c r="W90" i="18"/>
  <c r="W89" i="18"/>
  <c r="W106" i="21"/>
  <c r="X62" i="44" s="1"/>
  <c r="H93" i="17"/>
  <c r="H94" i="17" s="1"/>
  <c r="H92" i="17" s="1"/>
  <c r="H97" i="17" s="1"/>
  <c r="H83" i="17" s="1"/>
  <c r="H35" i="17" l="1"/>
  <c r="H67" i="17" s="1"/>
  <c r="H66" i="17" s="1"/>
  <c r="H57" i="17" s="1"/>
  <c r="H56" i="17" s="1"/>
  <c r="I23" i="44" s="1"/>
  <c r="H79" i="17" l="1"/>
  <c r="H80" i="17" s="1"/>
  <c r="I69" i="17"/>
  <c r="I68" i="17"/>
  <c r="H87" i="17" l="1"/>
  <c r="H86" i="17"/>
  <c r="H85" i="17"/>
  <c r="H88" i="17"/>
  <c r="H84" i="17" l="1"/>
  <c r="I93" i="17" s="1"/>
  <c r="I94" i="17" s="1"/>
  <c r="I92" i="17" s="1"/>
  <c r="I97" i="17" s="1"/>
  <c r="I83" i="17" s="1"/>
  <c r="H89" i="17" l="1"/>
  <c r="H90" i="17"/>
  <c r="I35" i="17"/>
  <c r="I67" i="17" s="1"/>
  <c r="I66" i="17" s="1"/>
  <c r="I57" i="17" s="1"/>
  <c r="I56" i="17" s="1"/>
  <c r="J23" i="44" s="1"/>
  <c r="I79" i="17" l="1"/>
  <c r="I80" i="17" s="1"/>
  <c r="J68" i="17"/>
  <c r="J69" i="17"/>
  <c r="I87" i="17" l="1"/>
  <c r="I88" i="17"/>
  <c r="I86" i="17"/>
  <c r="I85" i="17"/>
  <c r="I84" i="17" l="1"/>
  <c r="J93" i="17" s="1"/>
  <c r="J94" i="17" s="1"/>
  <c r="J92" i="17" s="1"/>
  <c r="J97" i="17" s="1"/>
  <c r="J83" i="17" s="1"/>
  <c r="I89" i="17" l="1"/>
  <c r="I90" i="17"/>
  <c r="J35" i="17"/>
  <c r="J67" i="17" s="1"/>
  <c r="J66" i="17" s="1"/>
  <c r="J57" i="17" s="1"/>
  <c r="J56" i="17" s="1"/>
  <c r="K23" i="44" s="1"/>
  <c r="K37" i="17" l="1"/>
  <c r="K36" i="17"/>
  <c r="K68" i="17"/>
  <c r="K69" i="17"/>
  <c r="J79" i="17"/>
  <c r="J80" i="17" s="1"/>
  <c r="L24" i="44" l="1"/>
  <c r="L25" i="44"/>
  <c r="J88" i="17"/>
  <c r="J85" i="17"/>
  <c r="J87" i="17"/>
  <c r="J86" i="17"/>
  <c r="J84" i="17" l="1"/>
  <c r="J89" i="17" s="1"/>
  <c r="K93" i="17" l="1"/>
  <c r="K94" i="17" s="1"/>
  <c r="K92" i="17" s="1"/>
  <c r="K97" i="17" s="1"/>
  <c r="K83" i="17" s="1"/>
  <c r="J90" i="17"/>
  <c r="K35" i="17" l="1"/>
  <c r="K67" i="17" s="1"/>
  <c r="K66" i="17" s="1"/>
  <c r="K57" i="17" s="1"/>
  <c r="K56" i="17" s="1"/>
  <c r="K79" i="17"/>
  <c r="K80" i="17" s="1"/>
  <c r="L69" i="17" l="1"/>
  <c r="L23" i="44"/>
  <c r="K75" i="17"/>
  <c r="L68" i="17"/>
  <c r="K86" i="17"/>
  <c r="K88" i="17"/>
  <c r="K85" i="17"/>
  <c r="K87" i="17"/>
  <c r="K84" i="17" l="1"/>
  <c r="K90" i="17" s="1"/>
  <c r="K89" i="17" l="1"/>
  <c r="L93" i="17"/>
  <c r="L94" i="17" s="1"/>
  <c r="L92" i="17" s="1"/>
  <c r="L97" i="17" s="1"/>
  <c r="L83" i="17" s="1"/>
  <c r="L79" i="17" l="1"/>
  <c r="L80" i="17" s="1"/>
  <c r="L35" i="17"/>
  <c r="L67" i="17" s="1"/>
  <c r="L66" i="17" s="1"/>
  <c r="L57" i="17" s="1"/>
  <c r="L56" i="17" s="1"/>
  <c r="L75" i="17" l="1"/>
  <c r="M23" i="44"/>
  <c r="M69" i="17"/>
  <c r="M68" i="17"/>
  <c r="L87" i="17"/>
  <c r="L86" i="17"/>
  <c r="L85" i="17"/>
  <c r="L88" i="17"/>
  <c r="L84" i="17" l="1"/>
  <c r="L89" i="17" s="1"/>
  <c r="M93" i="17" l="1"/>
  <c r="M94" i="17" s="1"/>
  <c r="M92" i="17" s="1"/>
  <c r="M97" i="17" s="1"/>
  <c r="M83" i="17" s="1"/>
  <c r="L90" i="17"/>
  <c r="M35" i="17" l="1"/>
  <c r="M67" i="17" s="1"/>
  <c r="M66" i="17" s="1"/>
  <c r="M57" i="17" s="1"/>
  <c r="M56" i="17" s="1"/>
  <c r="N69" i="17" l="1"/>
  <c r="N23" i="44"/>
  <c r="M79" i="17"/>
  <c r="M80" i="17" s="1"/>
  <c r="M86" i="17" s="1"/>
  <c r="N37" i="17"/>
  <c r="N36" i="17"/>
  <c r="M75" i="17"/>
  <c r="N68" i="17"/>
  <c r="O24" i="44" l="1"/>
  <c r="O25" i="44"/>
  <c r="M85" i="17"/>
  <c r="M84" i="17" s="1"/>
  <c r="M88" i="17"/>
  <c r="M87" i="17"/>
  <c r="M90" i="17" l="1"/>
  <c r="N93" i="17"/>
  <c r="N94" i="17" s="1"/>
  <c r="N92" i="17" s="1"/>
  <c r="N97" i="17" s="1"/>
  <c r="N83" i="17" s="1"/>
  <c r="N79" i="17" s="1"/>
  <c r="M89" i="17"/>
  <c r="N35" i="17" l="1"/>
  <c r="N67" i="17" s="1"/>
  <c r="N66" i="17" s="1"/>
  <c r="N57" i="17" s="1"/>
  <c r="N56" i="17" s="1"/>
  <c r="N80" i="17"/>
  <c r="N86" i="17" s="1"/>
  <c r="N87" i="17"/>
  <c r="N88" i="17"/>
  <c r="O68" i="17" l="1"/>
  <c r="O23" i="44"/>
  <c r="O69" i="17"/>
  <c r="N75" i="17"/>
  <c r="N85" i="17"/>
  <c r="N84" i="17" s="1"/>
  <c r="N89" i="17" l="1"/>
  <c r="N90" i="17"/>
  <c r="O93" i="17"/>
  <c r="O94" i="17" s="1"/>
  <c r="O92" i="17" s="1"/>
  <c r="O97" i="17" s="1"/>
  <c r="O83" i="17" s="1"/>
  <c r="O35" i="17" l="1"/>
  <c r="O67" i="17" s="1"/>
  <c r="O66" i="17" s="1"/>
  <c r="O57" i="17" s="1"/>
  <c r="O56" i="17" s="1"/>
  <c r="O79" i="17"/>
  <c r="O80" i="17" s="1"/>
  <c r="P68" i="17" l="1"/>
  <c r="P23" i="44"/>
  <c r="P69" i="17"/>
  <c r="O75" i="17"/>
  <c r="O87" i="17"/>
  <c r="O86" i="17"/>
  <c r="O88" i="17"/>
  <c r="O85" i="17"/>
  <c r="O84" i="17" l="1"/>
  <c r="P93" i="17" s="1"/>
  <c r="P94" i="17" s="1"/>
  <c r="P92" i="17" s="1"/>
  <c r="P97" i="17" s="1"/>
  <c r="P83" i="17" s="1"/>
  <c r="O89" i="17" l="1"/>
  <c r="O90" i="17"/>
  <c r="P35" i="17"/>
  <c r="P67" i="17" s="1"/>
  <c r="P66" i="17" s="1"/>
  <c r="P57" i="17" s="1"/>
  <c r="P56" i="17" s="1"/>
  <c r="Q23" i="44" s="1"/>
  <c r="Q68" i="17" l="1"/>
  <c r="Q69" i="17"/>
  <c r="P75" i="17"/>
  <c r="P79" i="17"/>
  <c r="P80" i="17" s="1"/>
  <c r="P88" i="17" l="1"/>
  <c r="P87" i="17"/>
  <c r="P85" i="17"/>
  <c r="P86" i="17"/>
  <c r="P84" i="17" l="1"/>
  <c r="P90" i="17" l="1"/>
  <c r="Q93" i="17"/>
  <c r="Q94" i="17" s="1"/>
  <c r="Q92" i="17" s="1"/>
  <c r="Q97" i="17" s="1"/>
  <c r="Q83" i="17" s="1"/>
  <c r="P89" i="17"/>
  <c r="Q35" i="17" l="1"/>
  <c r="Q67" i="17" s="1"/>
  <c r="Q66" i="17" s="1"/>
  <c r="Q57" i="17" s="1"/>
  <c r="Q56" i="17" s="1"/>
  <c r="R23" i="44" s="1"/>
  <c r="R68" i="17" l="1"/>
  <c r="R69" i="17"/>
  <c r="Q75" i="17"/>
  <c r="Q79" i="17"/>
  <c r="Q80" i="17" s="1"/>
  <c r="Q85" i="17" l="1"/>
  <c r="Q87" i="17"/>
  <c r="Q88" i="17"/>
  <c r="Q86" i="17"/>
  <c r="Q84" i="17" l="1"/>
  <c r="R93" i="17" l="1"/>
  <c r="R94" i="17" s="1"/>
  <c r="R92" i="17" s="1"/>
  <c r="R97" i="17" s="1"/>
  <c r="R83" i="17" s="1"/>
  <c r="Q90" i="17"/>
  <c r="Q89" i="17"/>
  <c r="R35" i="17" l="1"/>
  <c r="R67" i="17" s="1"/>
  <c r="R66" i="17" s="1"/>
  <c r="R57" i="17" s="1"/>
  <c r="R56" i="17" s="1"/>
  <c r="S23" i="44" s="1"/>
  <c r="R75" i="17" l="1"/>
  <c r="S69" i="17"/>
  <c r="S68" i="17"/>
  <c r="R79" i="17"/>
  <c r="R80" i="17" s="1"/>
  <c r="R87" i="17" l="1"/>
  <c r="R88" i="17"/>
  <c r="R86" i="17"/>
  <c r="R85" i="17"/>
  <c r="R84" i="17" l="1"/>
  <c r="R90" i="17" s="1"/>
  <c r="R89" i="17" l="1"/>
  <c r="S93" i="17"/>
  <c r="S94" i="17" s="1"/>
  <c r="S92" i="17" s="1"/>
  <c r="S97" i="17" s="1"/>
  <c r="S83" i="17" s="1"/>
  <c r="S35" i="17" l="1"/>
  <c r="S67" i="17" s="1"/>
  <c r="S66" i="17" s="1"/>
  <c r="S57" i="17" s="1"/>
  <c r="S56" i="17" s="1"/>
  <c r="S79" i="17"/>
  <c r="S80" i="17" s="1"/>
  <c r="T68" i="17" l="1"/>
  <c r="T23" i="44"/>
  <c r="S75" i="17"/>
  <c r="T69" i="17"/>
  <c r="S87" i="17"/>
  <c r="S86" i="17"/>
  <c r="S88" i="17"/>
  <c r="S85" i="17"/>
  <c r="S84" i="17" l="1"/>
  <c r="S90" i="17" s="1"/>
  <c r="S89" i="17" l="1"/>
  <c r="T93" i="17"/>
  <c r="T94" i="17" s="1"/>
  <c r="T92" i="17" s="1"/>
  <c r="T97" i="17" s="1"/>
  <c r="T83" i="17" s="1"/>
  <c r="T79" i="17" l="1"/>
  <c r="T80" i="17" s="1"/>
  <c r="T35" i="17"/>
  <c r="T67" i="17" s="1"/>
  <c r="T66" i="17" s="1"/>
  <c r="T57" i="17" s="1"/>
  <c r="T56" i="17" s="1"/>
  <c r="U23" i="44" s="1"/>
  <c r="U69" i="17" l="1"/>
  <c r="U68" i="17"/>
  <c r="T75" i="17"/>
  <c r="T85" i="17"/>
  <c r="T88" i="17"/>
  <c r="T86" i="17"/>
  <c r="T87" i="17"/>
  <c r="T84" i="17" l="1"/>
  <c r="T90" i="17" l="1"/>
  <c r="U93" i="17"/>
  <c r="U94" i="17" s="1"/>
  <c r="U92" i="17" s="1"/>
  <c r="U97" i="17" s="1"/>
  <c r="U83" i="17" s="1"/>
  <c r="T89" i="17"/>
  <c r="U35" i="17" l="1"/>
  <c r="U67" i="17" s="1"/>
  <c r="U66" i="17" s="1"/>
  <c r="U57" i="17" s="1"/>
  <c r="U56" i="17" s="1"/>
  <c r="V23" i="44" s="1"/>
  <c r="U79" i="17" l="1"/>
  <c r="U80" i="17" s="1"/>
  <c r="V69" i="17"/>
  <c r="U75" i="17"/>
  <c r="V68" i="17"/>
  <c r="U87" i="17" l="1"/>
  <c r="U85" i="17"/>
  <c r="U86" i="17"/>
  <c r="U88" i="17"/>
  <c r="U84" i="17" l="1"/>
  <c r="U89" i="17" s="1"/>
  <c r="V93" i="17" l="1"/>
  <c r="V94" i="17" s="1"/>
  <c r="V92" i="17" s="1"/>
  <c r="V97" i="17" s="1"/>
  <c r="V83" i="17" s="1"/>
  <c r="U90" i="17"/>
  <c r="V35" i="17" l="1"/>
  <c r="V67" i="17" s="1"/>
  <c r="V66" i="17" s="1"/>
  <c r="V57" i="17" s="1"/>
  <c r="V56" i="17" s="1"/>
  <c r="V79" i="17"/>
  <c r="V80" i="17" s="1"/>
  <c r="V75" i="17" l="1"/>
  <c r="W23" i="44"/>
  <c r="W69" i="17"/>
  <c r="W68" i="17"/>
  <c r="V85" i="17"/>
  <c r="V88" i="17"/>
  <c r="V87" i="17"/>
  <c r="V86" i="17"/>
  <c r="V84" i="17" l="1"/>
  <c r="W93" i="17" s="1"/>
  <c r="W94" i="17" s="1"/>
  <c r="W92" i="17" s="1"/>
  <c r="W97" i="17" s="1"/>
  <c r="W83" i="17" s="1"/>
  <c r="W79" i="17" l="1"/>
  <c r="W35" i="17"/>
  <c r="W67" i="17" s="1"/>
  <c r="W66" i="17" s="1"/>
  <c r="W57" i="17" s="1"/>
  <c r="W56" i="17" s="1"/>
  <c r="X23" i="44" s="1"/>
  <c r="V90" i="17"/>
  <c r="V89" i="17"/>
  <c r="W75" i="17" l="1"/>
  <c r="G13" i="20" s="1"/>
  <c r="J13" i="20"/>
  <c r="W80" i="17"/>
  <c r="W85" i="17" s="1"/>
  <c r="W87" i="17"/>
  <c r="W88" i="17"/>
  <c r="W86" i="17" l="1"/>
  <c r="W84" i="17" s="1"/>
  <c r="W90" i="17" s="1"/>
  <c r="W89" i="17" l="1"/>
  <c r="H94" i="19"/>
  <c r="H95" i="19" s="1"/>
  <c r="H93" i="19" s="1"/>
  <c r="H98" i="19" s="1"/>
  <c r="H84" i="19" s="1"/>
  <c r="H36" i="19" l="1"/>
  <c r="H68" i="19" s="1"/>
  <c r="H67" i="19" s="1"/>
  <c r="H58" i="19" s="1"/>
  <c r="H57" i="19" s="1"/>
  <c r="I30" i="44" s="1"/>
  <c r="H80" i="19" l="1"/>
  <c r="H81" i="19" s="1"/>
  <c r="I70" i="19"/>
  <c r="I69" i="19"/>
  <c r="H87" i="19" l="1"/>
  <c r="H88" i="19"/>
  <c r="H89" i="19"/>
  <c r="H86" i="19"/>
  <c r="H85" i="19" l="1"/>
  <c r="I94" i="19" s="1"/>
  <c r="I95" i="19" s="1"/>
  <c r="I93" i="19" s="1"/>
  <c r="I98" i="19" s="1"/>
  <c r="I84" i="19" s="1"/>
  <c r="I36" i="19" l="1"/>
  <c r="I68" i="19" s="1"/>
  <c r="I67" i="19" s="1"/>
  <c r="I58" i="19" s="1"/>
  <c r="I57" i="19" s="1"/>
  <c r="H90" i="19"/>
  <c r="I80" i="19"/>
  <c r="H91" i="19"/>
  <c r="J69" i="19" l="1"/>
  <c r="J30" i="44"/>
  <c r="J70" i="19"/>
  <c r="I81" i="19"/>
  <c r="I86" i="19" s="1"/>
  <c r="I89" i="19"/>
  <c r="I88" i="19"/>
  <c r="I87" i="19" l="1"/>
  <c r="I85" i="19" s="1"/>
  <c r="I91" i="19" s="1"/>
  <c r="J94" i="19" l="1"/>
  <c r="J95" i="19" s="1"/>
  <c r="J93" i="19" s="1"/>
  <c r="J98" i="19" s="1"/>
  <c r="J84" i="19" s="1"/>
  <c r="I90" i="19"/>
  <c r="J36" i="19" l="1"/>
  <c r="J68" i="19" s="1"/>
  <c r="J67" i="19" s="1"/>
  <c r="J58" i="19" s="1"/>
  <c r="J57" i="19" s="1"/>
  <c r="J80" i="19"/>
  <c r="J81" i="19" s="1"/>
  <c r="K70" i="19" l="1"/>
  <c r="K30" i="44"/>
  <c r="K69" i="19"/>
  <c r="J87" i="19"/>
  <c r="J89" i="19"/>
  <c r="J86" i="19"/>
  <c r="J88" i="19"/>
  <c r="J85" i="19" l="1"/>
  <c r="K94" i="19" s="1"/>
  <c r="K95" i="19" s="1"/>
  <c r="K93" i="19" s="1"/>
  <c r="K98" i="19" s="1"/>
  <c r="K84" i="19" s="1"/>
  <c r="K36" i="19" l="1"/>
  <c r="K68" i="19" s="1"/>
  <c r="K67" i="19" s="1"/>
  <c r="K58" i="19" s="1"/>
  <c r="K57" i="19" s="1"/>
  <c r="J91" i="19"/>
  <c r="J90" i="19"/>
  <c r="K80" i="19"/>
  <c r="L70" i="19" l="1"/>
  <c r="L30" i="44"/>
  <c r="L69" i="19"/>
  <c r="K76" i="19"/>
  <c r="K81" i="19"/>
  <c r="K86" i="19" s="1"/>
  <c r="K88" i="19"/>
  <c r="K89" i="19"/>
  <c r="K87" i="19" l="1"/>
  <c r="K85" i="19" s="1"/>
  <c r="K91" i="19" s="1"/>
  <c r="K90" i="19" l="1"/>
  <c r="L94" i="19"/>
  <c r="L95" i="19" s="1"/>
  <c r="L93" i="19" s="1"/>
  <c r="L98" i="19" s="1"/>
  <c r="L84" i="19" s="1"/>
  <c r="L36" i="19" l="1"/>
  <c r="L68" i="19" s="1"/>
  <c r="L67" i="19" s="1"/>
  <c r="L58" i="19" s="1"/>
  <c r="L57" i="19" s="1"/>
  <c r="L80" i="19"/>
  <c r="L81" i="19" s="1"/>
  <c r="L87" i="19" s="1"/>
  <c r="M69" i="19" l="1"/>
  <c r="M30" i="44"/>
  <c r="M70" i="19"/>
  <c r="L76" i="19"/>
  <c r="L89" i="19"/>
  <c r="L86" i="19"/>
  <c r="L85" i="19" s="1"/>
  <c r="L88" i="19"/>
  <c r="M94" i="19" l="1"/>
  <c r="M95" i="19" s="1"/>
  <c r="M93" i="19" s="1"/>
  <c r="M98" i="19" s="1"/>
  <c r="M84" i="19" s="1"/>
  <c r="L90" i="19"/>
  <c r="L91" i="19"/>
  <c r="M36" i="19" l="1"/>
  <c r="M68" i="19" s="1"/>
  <c r="M67" i="19" s="1"/>
  <c r="M58" i="19" s="1"/>
  <c r="M57" i="19" s="1"/>
  <c r="M80" i="19"/>
  <c r="M81" i="19" s="1"/>
  <c r="M87" i="19" s="1"/>
  <c r="N70" i="19" l="1"/>
  <c r="N30" i="44"/>
  <c r="M76" i="19"/>
  <c r="N69" i="19"/>
  <c r="M88" i="19"/>
  <c r="M89" i="19"/>
  <c r="M86" i="19"/>
  <c r="M85" i="19" s="1"/>
  <c r="N94" i="19" l="1"/>
  <c r="N95" i="19" s="1"/>
  <c r="N93" i="19" s="1"/>
  <c r="N98" i="19" s="1"/>
  <c r="N84" i="19" s="1"/>
  <c r="M91" i="19"/>
  <c r="M90" i="19"/>
  <c r="N36" i="19" l="1"/>
  <c r="N68" i="19" s="1"/>
  <c r="N67" i="19" s="1"/>
  <c r="N58" i="19" s="1"/>
  <c r="N57" i="19" s="1"/>
  <c r="N80" i="19"/>
  <c r="N81" i="19" s="1"/>
  <c r="O70" i="19" l="1"/>
  <c r="O30" i="44"/>
  <c r="O69" i="19"/>
  <c r="N76" i="19"/>
  <c r="N89" i="19"/>
  <c r="N87" i="19"/>
  <c r="N88" i="19"/>
  <c r="N86" i="19"/>
  <c r="N85" i="19" l="1"/>
  <c r="O94" i="19" s="1"/>
  <c r="O95" i="19" s="1"/>
  <c r="O93" i="19" s="1"/>
  <c r="O98" i="19" s="1"/>
  <c r="O84" i="19" s="1"/>
  <c r="N90" i="19" l="1"/>
  <c r="N91" i="19"/>
  <c r="O36" i="19"/>
  <c r="O68" i="19" s="1"/>
  <c r="O67" i="19" s="1"/>
  <c r="O58" i="19" s="1"/>
  <c r="O57" i="19" s="1"/>
  <c r="P30" i="44" s="1"/>
  <c r="O80" i="19" l="1"/>
  <c r="O81" i="19" s="1"/>
  <c r="P69" i="19"/>
  <c r="O76" i="19"/>
  <c r="P70" i="19"/>
  <c r="O88" i="19" l="1"/>
  <c r="O87" i="19"/>
  <c r="O89" i="19"/>
  <c r="O86" i="19"/>
  <c r="O85" i="19" l="1"/>
  <c r="P94" i="19" s="1"/>
  <c r="P95" i="19" s="1"/>
  <c r="P93" i="19" s="1"/>
  <c r="P98" i="19" s="1"/>
  <c r="P84" i="19" s="1"/>
  <c r="O90" i="19" l="1"/>
  <c r="O91" i="19"/>
  <c r="P36" i="19"/>
  <c r="P68" i="19" s="1"/>
  <c r="P67" i="19" s="1"/>
  <c r="P58" i="19" s="1"/>
  <c r="P57" i="19" s="1"/>
  <c r="Q30" i="44" s="1"/>
  <c r="P80" i="19" l="1"/>
  <c r="P81" i="19" s="1"/>
  <c r="Q70" i="19"/>
  <c r="P76" i="19"/>
  <c r="Q69" i="19"/>
  <c r="P86" i="19" l="1"/>
  <c r="P88" i="19"/>
  <c r="P87" i="19"/>
  <c r="P89" i="19"/>
  <c r="P85" i="19" l="1"/>
  <c r="Q94" i="19" s="1"/>
  <c r="Q95" i="19" s="1"/>
  <c r="Q93" i="19" s="1"/>
  <c r="Q98" i="19" s="1"/>
  <c r="Q84" i="19" s="1"/>
  <c r="P91" i="19" l="1"/>
  <c r="P90" i="19"/>
  <c r="Q80" i="19"/>
  <c r="Q36" i="19"/>
  <c r="Q68" i="19" s="1"/>
  <c r="Q67" i="19" s="1"/>
  <c r="Q58" i="19" s="1"/>
  <c r="Q57" i="19" s="1"/>
  <c r="R70" i="19" l="1"/>
  <c r="R30" i="44"/>
  <c r="Q81" i="19"/>
  <c r="Q87" i="19" s="1"/>
  <c r="Q76" i="19"/>
  <c r="R69" i="19"/>
  <c r="Q89" i="19"/>
  <c r="Q88" i="19"/>
  <c r="Q86" i="19" l="1"/>
  <c r="Q85" i="19" s="1"/>
  <c r="Q91" i="19" s="1"/>
  <c r="Q90" i="19" l="1"/>
  <c r="R94" i="19"/>
  <c r="R95" i="19" s="1"/>
  <c r="R93" i="19" s="1"/>
  <c r="R98" i="19" s="1"/>
  <c r="R84" i="19" s="1"/>
  <c r="R36" i="19" l="1"/>
  <c r="R68" i="19" s="1"/>
  <c r="R67" i="19" s="1"/>
  <c r="R58" i="19" s="1"/>
  <c r="R57" i="19" s="1"/>
  <c r="R80" i="19"/>
  <c r="R81" i="19" s="1"/>
  <c r="S70" i="19" l="1"/>
  <c r="S30" i="44"/>
  <c r="S69" i="19"/>
  <c r="R76" i="19"/>
  <c r="R88" i="19"/>
  <c r="R87" i="19"/>
  <c r="R86" i="19"/>
  <c r="R89" i="19"/>
  <c r="R85" i="19" l="1"/>
  <c r="S94" i="19" l="1"/>
  <c r="S95" i="19" s="1"/>
  <c r="S93" i="19" s="1"/>
  <c r="S98" i="19" s="1"/>
  <c r="S84" i="19" s="1"/>
  <c r="R91" i="19"/>
  <c r="R90" i="19"/>
  <c r="S36" i="19" l="1"/>
  <c r="S68" i="19" s="1"/>
  <c r="S67" i="19" s="1"/>
  <c r="S58" i="19" s="1"/>
  <c r="S57" i="19" s="1"/>
  <c r="T30" i="44" s="1"/>
  <c r="S80" i="19"/>
  <c r="S81" i="19" s="1"/>
  <c r="S88" i="19" l="1"/>
  <c r="S87" i="19"/>
  <c r="S86" i="19"/>
  <c r="S89" i="19"/>
  <c r="T69" i="19"/>
  <c r="T70" i="19"/>
  <c r="S76" i="19"/>
  <c r="S85" i="19" l="1"/>
  <c r="T94" i="19" s="1"/>
  <c r="T95" i="19" s="1"/>
  <c r="T93" i="19" s="1"/>
  <c r="T98" i="19" s="1"/>
  <c r="T84" i="19" s="1"/>
  <c r="T36" i="19" l="1"/>
  <c r="T68" i="19" s="1"/>
  <c r="T67" i="19" s="1"/>
  <c r="T58" i="19" s="1"/>
  <c r="T57" i="19" s="1"/>
  <c r="S91" i="19"/>
  <c r="S90" i="19"/>
  <c r="T80" i="19"/>
  <c r="U70" i="19" l="1"/>
  <c r="U30" i="44"/>
  <c r="T76" i="19"/>
  <c r="U69" i="19"/>
  <c r="T81" i="19"/>
  <c r="T86" i="19" s="1"/>
  <c r="T88" i="19"/>
  <c r="T89" i="19"/>
  <c r="T87" i="19" l="1"/>
  <c r="T85" i="19" s="1"/>
  <c r="U94" i="19" s="1"/>
  <c r="U95" i="19" s="1"/>
  <c r="U93" i="19" s="1"/>
  <c r="U98" i="19" s="1"/>
  <c r="U84" i="19" s="1"/>
  <c r="T90" i="19" l="1"/>
  <c r="T91" i="19"/>
  <c r="U36" i="19"/>
  <c r="U68" i="19" s="1"/>
  <c r="U67" i="19" s="1"/>
  <c r="U58" i="19" s="1"/>
  <c r="U57" i="19" s="1"/>
  <c r="V30" i="44" s="1"/>
  <c r="U80" i="19" l="1"/>
  <c r="U81" i="19" s="1"/>
  <c r="V69" i="19"/>
  <c r="V70" i="19"/>
  <c r="U76" i="19"/>
  <c r="U88" i="19" l="1"/>
  <c r="U86" i="19"/>
  <c r="U89" i="19"/>
  <c r="U87" i="19"/>
  <c r="U85" i="19" l="1"/>
  <c r="V94" i="19" s="1"/>
  <c r="V95" i="19" s="1"/>
  <c r="V93" i="19" s="1"/>
  <c r="V98" i="19" l="1"/>
  <c r="V84" i="19" s="1"/>
  <c r="U90" i="19"/>
  <c r="U91" i="19"/>
  <c r="V36" i="19"/>
  <c r="V68" i="19" s="1"/>
  <c r="V67" i="19" s="1"/>
  <c r="V58" i="19" s="1"/>
  <c r="V57" i="19" s="1"/>
  <c r="W30" i="44" s="1"/>
  <c r="V80" i="19" l="1"/>
  <c r="V81" i="19" s="1"/>
  <c r="W70" i="19"/>
  <c r="W69" i="19"/>
  <c r="V76" i="19"/>
  <c r="V88" i="19" l="1"/>
  <c r="V89" i="19"/>
  <c r="V87" i="19"/>
  <c r="V86" i="19"/>
  <c r="V85" i="19" l="1"/>
  <c r="W94" i="19" s="1"/>
  <c r="W95" i="19" s="1"/>
  <c r="W93" i="19" s="1"/>
  <c r="W98" i="19" l="1"/>
  <c r="W84" i="19" s="1"/>
  <c r="V90" i="19"/>
  <c r="V91" i="19"/>
  <c r="W36" i="19"/>
  <c r="W68" i="19" s="1"/>
  <c r="W67" i="19" s="1"/>
  <c r="W58" i="19" s="1"/>
  <c r="W57" i="19" s="1"/>
  <c r="J15" i="20" l="1"/>
  <c r="X30" i="44"/>
  <c r="W76" i="19"/>
  <c r="G15" i="20" s="1"/>
  <c r="H3" i="20" s="1"/>
  <c r="W80" i="19"/>
  <c r="W81" i="19" s="1"/>
  <c r="W88" i="19" l="1"/>
  <c r="W86" i="19"/>
  <c r="W89" i="19"/>
  <c r="W87" i="19"/>
  <c r="W85" i="19" l="1"/>
  <c r="W91" i="19" s="1"/>
  <c r="W90" i="19" l="1"/>
  <c r="H96" i="9"/>
  <c r="H101" i="9" s="1"/>
  <c r="H87" i="9" s="1"/>
  <c r="H35" i="9" l="1"/>
  <c r="H67" i="9" l="1"/>
  <c r="H77" i="9" s="1"/>
  <c r="I48" i="44"/>
  <c r="H83" i="9"/>
  <c r="H84" i="9" s="1"/>
  <c r="H90" i="9" s="1"/>
  <c r="H91" i="9" l="1"/>
  <c r="H66" i="9"/>
  <c r="H57" i="9" s="1"/>
  <c r="H56" i="9" s="1"/>
  <c r="I41" i="44" s="1"/>
  <c r="H92" i="9"/>
  <c r="H76" i="9"/>
  <c r="I42" i="44" s="1"/>
  <c r="I45" i="44"/>
  <c r="H89" i="9"/>
  <c r="H88" i="9" s="1"/>
  <c r="H94" i="9" l="1"/>
  <c r="I68" i="9"/>
  <c r="I69" i="9"/>
  <c r="H93" i="9"/>
  <c r="I97" i="9"/>
  <c r="I98" i="9" s="1"/>
  <c r="I96" i="9" l="1"/>
  <c r="I101" i="9" l="1"/>
  <c r="I87" i="9" s="1"/>
  <c r="I35" i="9"/>
  <c r="I67" i="9" l="1"/>
  <c r="J45" i="44" s="1"/>
  <c r="J48" i="44"/>
  <c r="I83" i="9"/>
  <c r="I84" i="9" s="1"/>
  <c r="I89" i="9" s="1"/>
  <c r="I77" i="9" l="1"/>
  <c r="I76" i="9"/>
  <c r="J42" i="44" s="1"/>
  <c r="I66" i="9"/>
  <c r="I57" i="9" s="1"/>
  <c r="I56" i="9" s="1"/>
  <c r="J68" i="9" s="1"/>
  <c r="I90" i="9"/>
  <c r="I88" i="9" s="1"/>
  <c r="I92" i="9"/>
  <c r="I91" i="9"/>
  <c r="J41" i="44"/>
  <c r="J69" i="9" l="1"/>
  <c r="J97" i="9"/>
  <c r="J98" i="9" s="1"/>
  <c r="J96" i="9" s="1"/>
  <c r="J101" i="9" s="1"/>
  <c r="J87" i="9" s="1"/>
  <c r="I94" i="9"/>
  <c r="I93" i="9"/>
  <c r="J35" i="9" l="1"/>
  <c r="J67" i="9" s="1"/>
  <c r="J77" i="9" s="1"/>
  <c r="J83" i="9"/>
  <c r="J84" i="9" s="1"/>
  <c r="J90" i="9" s="1"/>
  <c r="K48" i="44" l="1"/>
  <c r="J66" i="9"/>
  <c r="J57" i="9" s="1"/>
  <c r="J56" i="9" s="1"/>
  <c r="K41" i="44" s="1"/>
  <c r="J76" i="9"/>
  <c r="K42" i="44" s="1"/>
  <c r="K45" i="44"/>
  <c r="J92" i="9"/>
  <c r="J89" i="9"/>
  <c r="J88" i="9" s="1"/>
  <c r="J91" i="9"/>
  <c r="K69" i="9"/>
  <c r="K68" i="9" l="1"/>
  <c r="K97" i="9"/>
  <c r="K98" i="9" s="1"/>
  <c r="K96" i="9" s="1"/>
  <c r="J93" i="9"/>
  <c r="J94" i="9"/>
  <c r="K101" i="9" l="1"/>
  <c r="K87" i="9" s="1"/>
  <c r="K35" i="9"/>
  <c r="K67" i="9" l="1"/>
  <c r="K77" i="9" s="1"/>
  <c r="L48" i="44"/>
  <c r="K83" i="9"/>
  <c r="K84" i="9" s="1"/>
  <c r="K89" i="9" s="1"/>
  <c r="K66" i="9"/>
  <c r="K57" i="9" s="1"/>
  <c r="K56" i="9" s="1"/>
  <c r="L41" i="44" s="1"/>
  <c r="K76" i="9" l="1"/>
  <c r="L42" i="44" s="1"/>
  <c r="L45" i="44"/>
  <c r="K92" i="9"/>
  <c r="K91" i="9"/>
  <c r="K90" i="9"/>
  <c r="K88" i="9" s="1"/>
  <c r="L68" i="9"/>
  <c r="L69" i="9"/>
  <c r="L97" i="9" l="1"/>
  <c r="L98" i="9" s="1"/>
  <c r="L96" i="9" s="1"/>
  <c r="L101" i="9" s="1"/>
  <c r="L87" i="9" s="1"/>
  <c r="K94" i="9"/>
  <c r="K93" i="9"/>
  <c r="L35" i="9" l="1"/>
  <c r="L67" i="9" l="1"/>
  <c r="L77" i="9" s="1"/>
  <c r="M48" i="44"/>
  <c r="L83" i="9"/>
  <c r="L84" i="9" s="1"/>
  <c r="L66" i="9" l="1"/>
  <c r="L57" i="9" s="1"/>
  <c r="L56" i="9" s="1"/>
  <c r="M41" i="44" s="1"/>
  <c r="L76" i="9"/>
  <c r="M42" i="44" s="1"/>
  <c r="M45" i="44"/>
  <c r="L92" i="9"/>
  <c r="L90" i="9"/>
  <c r="L89" i="9"/>
  <c r="L91" i="9"/>
  <c r="M68" i="9" l="1"/>
  <c r="M69" i="9"/>
  <c r="L88" i="9"/>
  <c r="L94" i="9" s="1"/>
  <c r="L93" i="9" l="1"/>
  <c r="M97" i="9"/>
  <c r="M98" i="9" s="1"/>
  <c r="M96" i="9" s="1"/>
  <c r="M101" i="9" l="1"/>
  <c r="M87" i="9" s="1"/>
  <c r="M35" i="9"/>
  <c r="M67" i="9" l="1"/>
  <c r="M77" i="9" s="1"/>
  <c r="N48" i="44"/>
  <c r="M83" i="9"/>
  <c r="M84" i="9" s="1"/>
  <c r="M89" i="9" s="1"/>
  <c r="M66" i="9" l="1"/>
  <c r="M57" i="9" s="1"/>
  <c r="M56" i="9" s="1"/>
  <c r="M76" i="9"/>
  <c r="N42" i="44" s="1"/>
  <c r="N45" i="44"/>
  <c r="M92" i="9"/>
  <c r="M91" i="9"/>
  <c r="M90" i="9"/>
  <c r="M88" i="9" s="1"/>
  <c r="N69" i="9"/>
  <c r="N68" i="9"/>
  <c r="N41" i="44" l="1"/>
  <c r="N97" i="9"/>
  <c r="N98" i="9" s="1"/>
  <c r="M94" i="9"/>
  <c r="M93" i="9"/>
  <c r="N96" i="9" l="1"/>
  <c r="N101" i="9" s="1"/>
  <c r="N87" i="9" s="1"/>
  <c r="N35" i="9" l="1"/>
  <c r="N67" i="9" l="1"/>
  <c r="O45" i="44" s="1"/>
  <c r="O48" i="44"/>
  <c r="N83" i="9"/>
  <c r="N66" i="9" l="1"/>
  <c r="N57" i="9" s="1"/>
  <c r="N56" i="9" s="1"/>
  <c r="N77" i="9"/>
  <c r="N76" i="9"/>
  <c r="O42" i="44" s="1"/>
  <c r="N92" i="9"/>
  <c r="N91" i="9"/>
  <c r="N84" i="9"/>
  <c r="N90" i="9" s="1"/>
  <c r="O41" i="44" l="1"/>
  <c r="O69" i="9"/>
  <c r="O68" i="9"/>
  <c r="N89" i="9"/>
  <c r="N88" i="9" l="1"/>
  <c r="N94" i="9" s="1"/>
  <c r="O97" i="9" l="1"/>
  <c r="O98" i="9" s="1"/>
  <c r="O96" i="9" s="1"/>
  <c r="N93" i="9"/>
  <c r="O35" i="9" l="1"/>
  <c r="O101" i="9"/>
  <c r="O87" i="9" s="1"/>
  <c r="O67" i="9" l="1"/>
  <c r="O66" i="9" s="1"/>
  <c r="O57" i="9" s="1"/>
  <c r="O56" i="9" s="1"/>
  <c r="P69" i="9" s="1"/>
  <c r="P48" i="44"/>
  <c r="O83" i="9"/>
  <c r="O84" i="9" s="1"/>
  <c r="O76" i="9" l="1"/>
  <c r="P42" i="44" s="1"/>
  <c r="P41" i="44"/>
  <c r="O77" i="9"/>
  <c r="P45" i="44"/>
  <c r="P68" i="9"/>
  <c r="O92" i="9"/>
  <c r="O89" i="9"/>
  <c r="O91" i="9"/>
  <c r="O90" i="9"/>
  <c r="O88" i="9" l="1"/>
  <c r="O94" i="9" s="1"/>
  <c r="O93" i="9" l="1"/>
  <c r="P97" i="9"/>
  <c r="P98" i="9" s="1"/>
  <c r="P96" i="9" s="1"/>
  <c r="P101" i="9" s="1"/>
  <c r="P87" i="9" s="1"/>
  <c r="P35" i="9" l="1"/>
  <c r="P83" i="9"/>
  <c r="P84" i="9" s="1"/>
  <c r="P90" i="9" s="1"/>
  <c r="P67" i="9" l="1"/>
  <c r="P66" i="9" s="1"/>
  <c r="P57" i="9" s="1"/>
  <c r="P56" i="9" s="1"/>
  <c r="Q48" i="44"/>
  <c r="P91" i="9"/>
  <c r="P92" i="9"/>
  <c r="P89" i="9"/>
  <c r="P88" i="9" s="1"/>
  <c r="P77" i="9" l="1"/>
  <c r="Q68" i="9"/>
  <c r="Q41" i="44"/>
  <c r="P76" i="9"/>
  <c r="Q42" i="44" s="1"/>
  <c r="Q45" i="44"/>
  <c r="Q69" i="9"/>
  <c r="P94" i="9"/>
  <c r="P93" i="9"/>
  <c r="Q97" i="9"/>
  <c r="Q98" i="9" s="1"/>
  <c r="Q96" i="9" s="1"/>
  <c r="Q101" i="9" s="1"/>
  <c r="Q87" i="9" s="1"/>
  <c r="Q35" i="9" l="1"/>
  <c r="Q67" i="9" l="1"/>
  <c r="R45" i="44" s="1"/>
  <c r="R48" i="44"/>
  <c r="Q83" i="9"/>
  <c r="Q84" i="9" s="1"/>
  <c r="Q76" i="9" l="1"/>
  <c r="R42" i="44" s="1"/>
  <c r="Q66" i="9"/>
  <c r="Q57" i="9" s="1"/>
  <c r="Q56" i="9" s="1"/>
  <c r="Q77" i="9"/>
  <c r="Q90" i="9"/>
  <c r="Q91" i="9"/>
  <c r="Q92" i="9"/>
  <c r="Q89" i="9"/>
  <c r="R69" i="9" l="1"/>
  <c r="R41" i="44"/>
  <c r="R68" i="9"/>
  <c r="Q88" i="9"/>
  <c r="Q93" i="9" s="1"/>
  <c r="Q94" i="9" l="1"/>
  <c r="R97" i="9"/>
  <c r="R98" i="9" s="1"/>
  <c r="R96" i="9" s="1"/>
  <c r="R101" i="9" s="1"/>
  <c r="R87" i="9" s="1"/>
  <c r="R35" i="9" l="1"/>
  <c r="R67" i="9" l="1"/>
  <c r="S45" i="44" s="1"/>
  <c r="S48" i="44"/>
  <c r="R83" i="9"/>
  <c r="R84" i="9" s="1"/>
  <c r="R77" i="9" l="1"/>
  <c r="R76" i="9"/>
  <c r="S42" i="44" s="1"/>
  <c r="R66" i="9"/>
  <c r="R57" i="9" s="1"/>
  <c r="R56" i="9" s="1"/>
  <c r="S41" i="44"/>
  <c r="R92" i="9"/>
  <c r="R90" i="9"/>
  <c r="R91" i="9"/>
  <c r="R89" i="9"/>
  <c r="S68" i="9" l="1"/>
  <c r="S69" i="9"/>
  <c r="R88" i="9"/>
  <c r="R94" i="9" s="1"/>
  <c r="S97" i="9" l="1"/>
  <c r="S98" i="9" s="1"/>
  <c r="S96" i="9" s="1"/>
  <c r="R93" i="9"/>
  <c r="S35" i="9" l="1"/>
  <c r="S101" i="9"/>
  <c r="S87" i="9" s="1"/>
  <c r="S67" i="9" l="1"/>
  <c r="S76" i="9" s="1"/>
  <c r="T42" i="44" s="1"/>
  <c r="T48" i="44"/>
  <c r="S83" i="9"/>
  <c r="S84" i="9" s="1"/>
  <c r="S77" i="9" l="1"/>
  <c r="S66" i="9"/>
  <c r="S57" i="9" s="1"/>
  <c r="S56" i="9" s="1"/>
  <c r="T45" i="44"/>
  <c r="S89" i="9"/>
  <c r="S92" i="9"/>
  <c r="S91" i="9"/>
  <c r="S90" i="9"/>
  <c r="T41" i="44" l="1"/>
  <c r="T68" i="9"/>
  <c r="T69" i="9"/>
  <c r="S88" i="9"/>
  <c r="S94" i="9" s="1"/>
  <c r="S93" i="9" l="1"/>
  <c r="T97" i="9"/>
  <c r="T98" i="9" s="1"/>
  <c r="T96" i="9" s="1"/>
  <c r="T35" i="9" s="1"/>
  <c r="T67" i="9" l="1"/>
  <c r="T66" i="9" s="1"/>
  <c r="T57" i="9" s="1"/>
  <c r="T56" i="9" s="1"/>
  <c r="U48" i="44"/>
  <c r="T101" i="9"/>
  <c r="T87" i="9" s="1"/>
  <c r="T77" i="9" l="1"/>
  <c r="T83" i="9"/>
  <c r="T84" i="9" s="1"/>
  <c r="T90" i="9" s="1"/>
  <c r="U41" i="44"/>
  <c r="T76" i="9"/>
  <c r="U42" i="44" s="1"/>
  <c r="U45" i="44"/>
  <c r="U69" i="9"/>
  <c r="U68" i="9"/>
  <c r="T92" i="9" l="1"/>
  <c r="T91" i="9"/>
  <c r="T89" i="9"/>
  <c r="T88" i="9" s="1"/>
  <c r="T93" i="9" l="1"/>
  <c r="T94" i="9"/>
  <c r="U97" i="9"/>
  <c r="U98" i="9" s="1"/>
  <c r="U96" i="9" s="1"/>
  <c r="U101" i="9" s="1"/>
  <c r="U87" i="9" s="1"/>
  <c r="U35" i="9" l="1"/>
  <c r="U83" i="9"/>
  <c r="U84" i="9" s="1"/>
  <c r="U67" i="9" l="1"/>
  <c r="U77" i="9" s="1"/>
  <c r="V48" i="44"/>
  <c r="U91" i="9"/>
  <c r="U92" i="9"/>
  <c r="U89" i="9"/>
  <c r="U90" i="9"/>
  <c r="U76" i="9" l="1"/>
  <c r="V42" i="44" s="1"/>
  <c r="U66" i="9"/>
  <c r="U57" i="9" s="1"/>
  <c r="U56" i="9" s="1"/>
  <c r="V45" i="44"/>
  <c r="U88" i="9"/>
  <c r="U93" i="9" s="1"/>
  <c r="V41" i="44" l="1"/>
  <c r="V69" i="9"/>
  <c r="V68" i="9"/>
  <c r="U94" i="9"/>
  <c r="V97" i="9"/>
  <c r="V98" i="9" s="1"/>
  <c r="V96" i="9" s="1"/>
  <c r="V35" i="9" l="1"/>
  <c r="V101" i="9"/>
  <c r="V87" i="9" s="1"/>
  <c r="V67" i="9" l="1"/>
  <c r="V77" i="9" s="1"/>
  <c r="W48" i="44"/>
  <c r="V83" i="9"/>
  <c r="V84" i="9" s="1"/>
  <c r="V66" i="9" l="1"/>
  <c r="V57" i="9" s="1"/>
  <c r="V56" i="9" s="1"/>
  <c r="W69" i="9" s="1"/>
  <c r="V76" i="9"/>
  <c r="W42" i="44" s="1"/>
  <c r="W45" i="44"/>
  <c r="V92" i="9"/>
  <c r="V91" i="9"/>
  <c r="V89" i="9"/>
  <c r="V90" i="9"/>
  <c r="W68" i="9" l="1"/>
  <c r="W41" i="44"/>
  <c r="V88" i="9"/>
  <c r="V93" i="9" s="1"/>
  <c r="W97" i="9" l="1"/>
  <c r="W98" i="9" s="1"/>
  <c r="W96" i="9" s="1"/>
  <c r="W101" i="9" s="1"/>
  <c r="V94" i="9"/>
  <c r="W35" i="9" l="1"/>
  <c r="W87" i="9"/>
  <c r="W67" i="9" l="1"/>
  <c r="W76" i="9" s="1"/>
  <c r="X42" i="44" s="1"/>
  <c r="X48" i="44"/>
  <c r="W83" i="9"/>
  <c r="W84" i="9" s="1"/>
  <c r="W77" i="9" l="1"/>
  <c r="W66" i="9"/>
  <c r="W57" i="9" s="1"/>
  <c r="W56" i="9" s="1"/>
  <c r="X45" i="44"/>
  <c r="W91" i="9"/>
  <c r="W90" i="9"/>
  <c r="W89" i="9"/>
  <c r="W92" i="9"/>
  <c r="X41" i="44" l="1"/>
  <c r="W88" i="9"/>
  <c r="W94" i="9" s="1"/>
  <c r="W93" i="9"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<sst xmlns="http://schemas.openxmlformats.org/spreadsheetml/2006/main" count="815" uniqueCount="296">
  <si>
    <t>European Commission</t>
  </si>
  <si>
    <t>Directorate-General for Economic and Financial Affairs</t>
  </si>
  <si>
    <t>Unit C2  - Sustainability of public finances</t>
  </si>
  <si>
    <t>ECFIN-Secretariat-C2@ec.europa.eu</t>
  </si>
  <si>
    <t>FILE DESCRIPTION</t>
  </si>
  <si>
    <t>HOW TO USE THIS TOOL TO CALCULATE NEW DEBT PROJECTIONS</t>
  </si>
  <si>
    <t>The spreadsheet is composed of the following elements:</t>
  </si>
  <si>
    <t>Coloured cells indicate data sources as follows (this colour-coding holds in the other spreadsheets):</t>
  </si>
  <si>
    <r>
      <t xml:space="preserve">Cells in </t>
    </r>
    <r>
      <rPr>
        <i/>
        <sz val="11"/>
        <color rgb="FF0070C0"/>
        <rFont val="Calibri"/>
        <family val="2"/>
        <scheme val="minor"/>
      </rPr>
      <t>light orange</t>
    </r>
    <r>
      <rPr>
        <sz val="11"/>
        <color rgb="FF0070C0"/>
        <rFont val="Calibri"/>
        <family val="2"/>
        <scheme val="minor"/>
      </rPr>
      <t xml:space="preserve"> provide parameters needed to compute the decomposition of government debt according to its maturity structure (i.e. short-term and long-term debt, maturing, rolled-over and non-maturing debt). </t>
    </r>
    <r>
      <rPr>
        <b/>
        <u/>
        <sz val="11"/>
        <color rgb="FF0070C0"/>
        <rFont val="Calibri"/>
        <family val="2"/>
        <scheme val="minor"/>
      </rPr>
      <t>These are fixed shares which the user cannot change.</t>
    </r>
  </si>
  <si>
    <r>
      <t xml:space="preserve">Cells in </t>
    </r>
    <r>
      <rPr>
        <i/>
        <sz val="11"/>
        <color rgb="FF0070C0"/>
        <rFont val="Calibri"/>
        <family val="2"/>
        <scheme val="minor"/>
      </rPr>
      <t>dark orange</t>
    </r>
    <r>
      <rPr>
        <sz val="11"/>
        <color rgb="FF0070C0"/>
        <rFont val="Calibri"/>
        <family val="2"/>
        <scheme val="minor"/>
      </rPr>
      <t xml:space="preserve"> indicate financial market prices.</t>
    </r>
  </si>
  <si>
    <t>· Financial stress scenario</t>
  </si>
  <si>
    <t>· Lower SPB scenario</t>
  </si>
  <si>
    <t>· Adverse 'r-g' scenario</t>
  </si>
  <si>
    <r>
      <t>In the sheets associated with the stress-test scenarios, i.e. "</t>
    </r>
    <r>
      <rPr>
        <b/>
        <sz val="11"/>
        <color rgb="FF0070C0"/>
        <rFont val="Calibri"/>
        <family val="2"/>
        <scheme val="minor"/>
      </rPr>
      <t>Financial stress</t>
    </r>
    <r>
      <rPr>
        <sz val="11"/>
        <color rgb="FF0070C0"/>
        <rFont val="Calibri"/>
        <family val="2"/>
        <scheme val="minor"/>
      </rPr>
      <t>", "</t>
    </r>
    <r>
      <rPr>
        <b/>
        <sz val="11"/>
        <color rgb="FF0070C0"/>
        <rFont val="Calibri"/>
        <family val="2"/>
        <scheme val="minor"/>
      </rPr>
      <t>Lower SPB</t>
    </r>
    <r>
      <rPr>
        <sz val="11"/>
        <color rgb="FF0070C0"/>
        <rFont val="Calibri"/>
        <family val="2"/>
        <scheme val="minor"/>
      </rPr>
      <t>" and "</t>
    </r>
    <r>
      <rPr>
        <b/>
        <sz val="11"/>
        <color rgb="FF0070C0"/>
        <rFont val="Calibri"/>
        <family val="2"/>
        <scheme val="minor"/>
      </rPr>
      <t>Adverse (r-g)</t>
    </r>
    <r>
      <rPr>
        <sz val="11"/>
        <color rgb="FF0070C0"/>
        <rFont val="Calibri"/>
        <family val="2"/>
        <scheme val="minor"/>
      </rPr>
      <t>", initial shocks are identified as follows:</t>
    </r>
  </si>
  <si>
    <t>WHERE ARE THE MAIN RESULTS LOCATED?</t>
  </si>
  <si>
    <t>Country</t>
  </si>
  <si>
    <t>Annual adjustment (when benchmark not binding)</t>
  </si>
  <si>
    <t>Deficit resilience safeguard</t>
  </si>
  <si>
    <t>Criterion 1 
(Debt decreasing under deterministic scenarios)</t>
  </si>
  <si>
    <t>Criterion 2 *
(Debt declining with sufficient probability)</t>
  </si>
  <si>
    <t>Criterion 3 
(Deficit below 
3% of GDP)</t>
  </si>
  <si>
    <t>0.5 pp. of GDP adjustment if deficit in previous year &gt; 3% of GDP</t>
  </si>
  <si>
    <t>Number of years the benchmark applies</t>
  </si>
  <si>
    <t>0.40 pp. (0.25 pp.) of GDP adjustment under plan without (with) extension if structural deficit in previous year 
&gt; 1.5% of GDP</t>
  </si>
  <si>
    <t>Number of years the deficit resilience safeguard applies 
(over the adjustment horizon)</t>
  </si>
  <si>
    <t>Adjustment scenario</t>
  </si>
  <si>
    <t>Financial stress scenario</t>
  </si>
  <si>
    <t>Lower SPB scenario</t>
  </si>
  <si>
    <t>Adverse r-g scenario</t>
  </si>
  <si>
    <r>
      <t xml:space="preserve">Annual adjustment </t>
    </r>
    <r>
      <rPr>
        <sz val="10"/>
        <rFont val="Arial"/>
        <family val="2"/>
      </rPr>
      <t>(change in SPB)</t>
    </r>
  </si>
  <si>
    <t>Net primary expenditure growth</t>
  </si>
  <si>
    <t>Average annual adjustment over the plan period</t>
  </si>
  <si>
    <t>Average annual adjustment over the adjustment period</t>
  </si>
  <si>
    <t>Average net primary expenditure growth over the plan period</t>
  </si>
  <si>
    <t>Average net primary expenditure growth over the adjustment period</t>
  </si>
  <si>
    <t>No extension</t>
  </si>
  <si>
    <t>Extension</t>
  </si>
  <si>
    <t>Annual adjustment</t>
  </si>
  <si>
    <t>Key years</t>
  </si>
  <si>
    <t>Last year of no-fiscal-policy-change projections</t>
  </si>
  <si>
    <t>Structural primary balance</t>
  </si>
  <si>
    <t>Headline balance</t>
  </si>
  <si>
    <t>Structural balance</t>
  </si>
  <si>
    <t>Debt</t>
  </si>
  <si>
    <t>Last year of adjustment</t>
  </si>
  <si>
    <t>Key assumptions</t>
  </si>
  <si>
    <t>Fiscal assumptions (% of GDP)</t>
  </si>
  <si>
    <t/>
  </si>
  <si>
    <t>Structural primary balance ('+' means 'surplus')</t>
  </si>
  <si>
    <t>One-off and other temporary measures</t>
  </si>
  <si>
    <t>Stock-flow adjustments (without exchange rate effect)</t>
  </si>
  <si>
    <t>Stock-flow adjustment (total)</t>
  </si>
  <si>
    <t>Total ageing cost (net of taxes on pensions)</t>
  </si>
  <si>
    <t>of which: Public pensions expenditure</t>
  </si>
  <si>
    <t xml:space="preserve">            Health care expenditure</t>
  </si>
  <si>
    <t xml:space="preserve">            Long-term care expenditure</t>
  </si>
  <si>
    <t xml:space="preserve">            Education &amp; unemployment benefits expenditure</t>
  </si>
  <si>
    <t xml:space="preserve">           Taxes on pensions</t>
  </si>
  <si>
    <t>Property income</t>
  </si>
  <si>
    <t>Actual GDP</t>
  </si>
  <si>
    <t>Growth rate</t>
  </si>
  <si>
    <t>Level</t>
  </si>
  <si>
    <t>Potential GDP</t>
  </si>
  <si>
    <t>Nominal implicit interest rate on debt</t>
  </si>
  <si>
    <t>Short-term nominal interest rate</t>
  </si>
  <si>
    <t>Long-term nominal interest rate</t>
  </si>
  <si>
    <t>GDP deflator (national currency)</t>
  </si>
  <si>
    <t>Additional parameters</t>
  </si>
  <si>
    <t>Fiscal multiplier</t>
  </si>
  <si>
    <t xml:space="preserve">Carnot, N. and de Castro, F. (2015), “The Discretionary Fiscal Effort: an Assessment of Fiscal Policy and its Output Effect”, European Economy, Economic Papers, No. 543. </t>
  </si>
  <si>
    <t>Mourre, G. et al. (2019), "The Semi-Elasticities Underlying the Cyclically-Adjusted Budget Balance: An Update and Further Analysis", European Economy, Discussion Paper, No. 098.</t>
  </si>
  <si>
    <t>Bloomberg data, country-specific forward market rates.</t>
  </si>
  <si>
    <t>DSM 2023</t>
  </si>
  <si>
    <t>Share of short-term debt in total government debt</t>
  </si>
  <si>
    <t>Share of long-term debt in total government debt</t>
  </si>
  <si>
    <t>Bloomberg data, inflation swaps.</t>
  </si>
  <si>
    <t>Central bank inflation target</t>
  </si>
  <si>
    <t>Share of outstanding debt in total debt in 2022</t>
  </si>
  <si>
    <t>Derived from the model and made consistent with the short-term forecast.</t>
  </si>
  <si>
    <t>Share of new long-term debt in 2022</t>
  </si>
  <si>
    <t>Share of new short-term debt in 2022</t>
  </si>
  <si>
    <t>Stochastic projections: ranges around adjustment scenario</t>
  </si>
  <si>
    <t>T+1</t>
  </si>
  <si>
    <t>T+2</t>
  </si>
  <si>
    <t>T+3</t>
  </si>
  <si>
    <t>T+4</t>
  </si>
  <si>
    <t>T+5</t>
  </si>
  <si>
    <t>Stock flow adjustments (without exchange rate effect)</t>
  </si>
  <si>
    <t>GDP growth assumptions</t>
  </si>
  <si>
    <t>Actual GDP (real)</t>
  </si>
  <si>
    <t xml:space="preserve">Potential GDP (real) </t>
  </si>
  <si>
    <t>Output gap</t>
  </si>
  <si>
    <t>Actual GDP (nominal, national currency)</t>
  </si>
  <si>
    <t>Interest rate</t>
  </si>
  <si>
    <t>Long-term interest rate</t>
  </si>
  <si>
    <t>Short-term interest rate</t>
  </si>
  <si>
    <t>Share of long-term debt that matures every year</t>
  </si>
  <si>
    <t>Inflation and exchange rate</t>
  </si>
  <si>
    <t>Exchange rate composite change (weighted by share of debt in each currency)</t>
  </si>
  <si>
    <t>Intermediate calculations (growth rate equation)</t>
  </si>
  <si>
    <t>Auxiliary variable to control the closure of the output gap</t>
  </si>
  <si>
    <t>OG intermediate auxiliary value</t>
  </si>
  <si>
    <t>GDP intermediate growth rate - only feedback effect and no closure of the OG</t>
  </si>
  <si>
    <t>Debt projections</t>
  </si>
  <si>
    <t xml:space="preserve">Gross debt </t>
  </si>
  <si>
    <t>Change in debt (-1+2+3)</t>
  </si>
  <si>
    <t>(1) Primary balance (1.1 + 1.2 - 1.3 -1.4 -1.5 - 1.6 -1.7)</t>
  </si>
  <si>
    <t>(1.1) Structural primary balance (before ageing cost)</t>
  </si>
  <si>
    <t>(1.2) Cumulated budgetary effort (in terms of primary balance)</t>
  </si>
  <si>
    <t>(1.3) Cyclical component</t>
  </si>
  <si>
    <t>(1.4) One-off and other temporary measures</t>
  </si>
  <si>
    <t>(1.5) Cost of ageing</t>
  </si>
  <si>
    <t>(1.6) Property incomes</t>
  </si>
  <si>
    <t>(1.7) Revenues</t>
  </si>
  <si>
    <t>(2) Snowball effect (2.1 + 2.2 + 2.3)</t>
  </si>
  <si>
    <t>(2.1) Interest expenditure</t>
  </si>
  <si>
    <t>(2.2) Growth effect</t>
  </si>
  <si>
    <t>(2.3) Inflation effect</t>
  </si>
  <si>
    <t>(2.4) Exchange rate effect linked to the interest rate</t>
  </si>
  <si>
    <t>(3 ) Stock flow adjustments (3.1 + 3.2)</t>
  </si>
  <si>
    <t>(3.1) Base</t>
  </si>
  <si>
    <t>(3.2) Adjustment due to the exchange rate effect linked to debt value</t>
  </si>
  <si>
    <t>Other budgetary variables</t>
  </si>
  <si>
    <t>Net expenditure growth</t>
  </si>
  <si>
    <t>Debt decomposition and IIR</t>
  </si>
  <si>
    <t>Auxiliary variable identifying whether debt is increasing</t>
  </si>
  <si>
    <t>Auxiliary variable identifying whether some debt is rolled over even though debt is decreasing</t>
  </si>
  <si>
    <r>
      <rPr>
        <i/>
        <sz val="8"/>
        <color theme="1"/>
        <rFont val="Arial"/>
        <family val="2"/>
      </rPr>
      <t>Of which</t>
    </r>
    <r>
      <rPr>
        <sz val="8"/>
        <color theme="1"/>
        <rFont val="Arial"/>
        <family val="2"/>
      </rPr>
      <t xml:space="preserve"> Outstanding debt</t>
    </r>
  </si>
  <si>
    <t>Rolled over long-term debt</t>
  </si>
  <si>
    <t>Rolled over short-term debt</t>
  </si>
  <si>
    <t>New long-term debt</t>
  </si>
  <si>
    <t>New short-term debt</t>
  </si>
  <si>
    <t>IIR</t>
  </si>
  <si>
    <t>Long-term implicit interest rate</t>
  </si>
  <si>
    <r>
      <t>Nominal implicit interest rate on debt (</t>
    </r>
    <r>
      <rPr>
        <b/>
        <sz val="8"/>
        <color theme="1"/>
        <rFont val="Arial"/>
        <family val="2"/>
      </rPr>
      <t>Excel approximation</t>
    </r>
    <r>
      <rPr>
        <sz val="8"/>
        <color theme="1"/>
        <rFont val="Arial"/>
        <family val="2"/>
      </rPr>
      <t>)</t>
    </r>
  </si>
  <si>
    <t>Diff. STATA</t>
  </si>
  <si>
    <t>Per memo - STATA results</t>
  </si>
  <si>
    <t>CY</t>
  </si>
  <si>
    <t>EL</t>
  </si>
  <si>
    <t>IE</t>
  </si>
  <si>
    <t>PT</t>
  </si>
  <si>
    <t>Interest rates</t>
  </si>
  <si>
    <t>GDP deflator (National currency)</t>
  </si>
  <si>
    <t>Average net primary expenditure growth</t>
  </si>
  <si>
    <t>Approximation of interest payments in % GDP</t>
  </si>
  <si>
    <t>Growth rate (including feedback and output-gap closure effect)</t>
  </si>
  <si>
    <t>per memo: initial shock (GDP growth rate in baseline scenario - 0.5)</t>
  </si>
  <si>
    <t>Potential GDP (real)</t>
  </si>
  <si>
    <t>Interest rates and inflation</t>
  </si>
  <si>
    <t>First year of stochastic projections</t>
  </si>
  <si>
    <t>Last year of stochastic projections</t>
  </si>
  <si>
    <t>Baseline assumptions</t>
  </si>
  <si>
    <t>Distribution of debt paths</t>
  </si>
  <si>
    <t>p10</t>
  </si>
  <si>
    <t>p30</t>
  </si>
  <si>
    <t>p70</t>
  </si>
  <si>
    <t>p90</t>
  </si>
  <si>
    <t>Graph</t>
  </si>
  <si>
    <t>p30_p10</t>
  </si>
  <si>
    <t>p50_p30</t>
  </si>
  <si>
    <t>p70_p50</t>
  </si>
  <si>
    <t>p90_p70</t>
  </si>
  <si>
    <t>p50</t>
  </si>
  <si>
    <t>FR</t>
  </si>
  <si>
    <r>
      <rPr>
        <i/>
        <sz val="11"/>
        <color rgb="FF0070C0"/>
        <rFont val="Calibri"/>
        <family val="2"/>
        <scheme val="minor"/>
      </rPr>
      <t>Dark grey</t>
    </r>
    <r>
      <rPr>
        <sz val="11"/>
        <color rgb="FF0070C0"/>
        <rFont val="Calibri"/>
        <family val="2"/>
        <scheme val="minor"/>
      </rPr>
      <t xml:space="preserve"> indicates the period in which the SPB, net of changes in cost of ageing, remains constant at its value of end of adjustment.</t>
    </r>
  </si>
  <si>
    <t>Additionally, for the lower SPB scenario, the cells get thick black borders in the years when the SPB is gradually reduced.</t>
  </si>
  <si>
    <r>
      <t xml:space="preserve">All variables that are shocked turn </t>
    </r>
    <r>
      <rPr>
        <i/>
        <sz val="11"/>
        <color rgb="FF0070C0"/>
        <rFont val="Calibri"/>
        <family val="2"/>
        <scheme val="minor"/>
      </rPr>
      <t>very dark grey</t>
    </r>
    <r>
      <rPr>
        <sz val="11"/>
        <color rgb="FF0070C0"/>
        <rFont val="Calibri"/>
        <family val="2"/>
        <scheme val="minor"/>
      </rPr>
      <t>.</t>
    </r>
  </si>
  <si>
    <t>Table 1 - Adjustment input data</t>
  </si>
  <si>
    <t>Table 2 - DSA-based criteria</t>
  </si>
  <si>
    <t>Table 3 - Safeguards and benchmark</t>
  </si>
  <si>
    <t>Table 5 - DSA-based adjustment *</t>
  </si>
  <si>
    <t>Last year before the adjustment</t>
  </si>
  <si>
    <t>Table 4 - Main fiscal variables</t>
  </si>
  <si>
    <r>
      <rPr>
        <i/>
        <sz val="11"/>
        <color rgb="FF0070C0"/>
        <rFont val="Calibri"/>
        <family val="2"/>
        <scheme val="minor"/>
      </rPr>
      <t>Light grey</t>
    </r>
    <r>
      <rPr>
        <sz val="11"/>
        <color rgb="FF0070C0"/>
        <rFont val="Calibri"/>
        <family val="2"/>
        <scheme val="minor"/>
      </rPr>
      <t xml:space="preserve"> indicates the pre-plan period, corresponding to the EC forecast</t>
    </r>
  </si>
  <si>
    <t>Sources</t>
  </si>
  <si>
    <t>Eurostat, average shares over the 3 last available years.</t>
  </si>
  <si>
    <t>ECB, country-specific historical average shares over the 6 last available years. For post-programme countries (CY, El , IE and PT), the redemption profile of official loans has been taken into account for the computation of the share of long-term debt that matures every year. For these countries, changing this parameter would not affect debt projections.</t>
  </si>
  <si>
    <t>Share of rolled-over long-term debt in 2022</t>
  </si>
  <si>
    <t>Share of rolled-over short-term debt in 2022</t>
  </si>
  <si>
    <t>Difference between debt level in 50th and 10th percentiles of the distribution</t>
  </si>
  <si>
    <t>Difference between debt level in 50th and 30th percentiles of the distribution</t>
  </si>
  <si>
    <t>Difference between debt level in 70th and 50th percentiles of the distribution</t>
  </si>
  <si>
    <t>Difference between debt level in 90th and 50th percentiles of the distribution</t>
  </si>
  <si>
    <r>
      <t xml:space="preserve">The sheet "Input data" in light blue presents the </t>
    </r>
    <r>
      <rPr>
        <b/>
        <sz val="11"/>
        <color rgb="FF0070C0"/>
        <rFont val="Calibri"/>
        <family val="2"/>
        <scheme val="minor"/>
      </rPr>
      <t>input data</t>
    </r>
    <r>
      <rPr>
        <sz val="11"/>
        <color rgb="FF0070C0"/>
        <rFont val="Calibri"/>
        <family val="2"/>
        <scheme val="minor"/>
      </rPr>
      <t>, including fiscal and GDP growth assumptions as well as  additional fiscal parameters. Unless stated otherwise below,</t>
    </r>
    <r>
      <rPr>
        <b/>
        <u/>
        <sz val="11"/>
        <color rgb="FF0070C0"/>
        <rFont val="Calibri"/>
        <family val="2"/>
        <scheme val="minor"/>
      </rPr>
      <t xml:space="preserve"> the user can change all values in this tab.</t>
    </r>
  </si>
  <si>
    <r>
      <rPr>
        <i/>
        <sz val="11"/>
        <color rgb="FF0070C0"/>
        <rFont val="Calibri"/>
        <family val="2"/>
        <scheme val="minor"/>
      </rPr>
      <t>Mild grey</t>
    </r>
    <r>
      <rPr>
        <sz val="11"/>
        <color rgb="FF0070C0"/>
        <rFont val="Calibri"/>
        <family val="2"/>
        <scheme val="minor"/>
      </rPr>
      <t xml:space="preserve"> indicates the period during which the SPB adjusts  according to the path set in sheet "</t>
    </r>
    <r>
      <rPr>
        <b/>
        <sz val="11"/>
        <color rgb="FF0070C0"/>
        <rFont val="Calibri"/>
        <family val="2"/>
        <scheme val="minor"/>
      </rPr>
      <t>Criteria results</t>
    </r>
    <r>
      <rPr>
        <sz val="11"/>
        <color rgb="FF0070C0"/>
        <rFont val="Calibri"/>
        <family val="2"/>
        <scheme val="minor"/>
      </rPr>
      <t>"</t>
    </r>
  </si>
  <si>
    <t>IIR difference STATA - Excel</t>
  </si>
  <si>
    <t>(i - g)</t>
  </si>
  <si>
    <t>Debt increasing? (For criterion 1)</t>
  </si>
  <si>
    <t>Gross debt ratio in the Adjust. no safeguard</t>
  </si>
  <si>
    <t>p50 - Adjust. no safeguard</t>
  </si>
  <si>
    <t xml:space="preserve">* The adjustment in this table does not account for the minimum adjustment of 0.5 pp. of GDP as a benchmark nor for the debt sustainability and deficit resillience safeguards. </t>
  </si>
  <si>
    <t xml:space="preserve">· Adjustment scenario without safeguard and benchmark </t>
  </si>
  <si>
    <t>Annual change in SPB</t>
  </si>
  <si>
    <t>Debt declines by 1pp (0.5pp) of GDP on average as long as debt exceeds 90% (60%) of GDP</t>
  </si>
  <si>
    <t>Average change in debt</t>
  </si>
  <si>
    <t>Debt sustainability safeguard *</t>
  </si>
  <si>
    <t>Deficit benchmark **</t>
  </si>
  <si>
    <t>Each scenario is computed automatically based on the yearly adjustment path set in "Criteria results" (see above).</t>
  </si>
  <si>
    <t xml:space="preserve">The next spreadsheets present the deterministic and stochastic projections. Each deterministic projection provides a single path for debt until 2038 or 2041 under certain assumptions for budgetary, macroeconomic and financial variables, while the outcome of the stochastic projections is a distribution of debt paths resulting from a wide set of shocks. 
The sheets are grouped in four blocs, identified by their colour coding:
</t>
  </si>
  <si>
    <t>Within the orange sheet and each green sheet, the background of the SPB line has three colours. Each colour corresponds to a specific period of the projections:</t>
  </si>
  <si>
    <r>
      <t xml:space="preserve">The sheet in dark green presents the </t>
    </r>
    <r>
      <rPr>
        <u/>
        <sz val="11"/>
        <color rgb="FF0070C0"/>
        <rFont val="Calibri"/>
        <family val="2"/>
        <scheme val="minor"/>
      </rPr>
      <t>stochastic projections</t>
    </r>
    <r>
      <rPr>
        <sz val="11"/>
        <color rgb="FF0070C0"/>
        <rFont val="Calibri"/>
        <family val="2"/>
        <scheme val="minor"/>
      </rPr>
      <t xml:space="preserve"> surrounding the adjustment scenario without safeguard and benchmark .</t>
    </r>
  </si>
  <si>
    <t>Level (billions, national currency)</t>
  </si>
  <si>
    <t xml:space="preserve">Adjustment in a plan without extension </t>
  </si>
  <si>
    <t xml:space="preserve">Adjustment in a plan with extension </t>
  </si>
  <si>
    <t xml:space="preserve">    </t>
  </si>
  <si>
    <t>* The average change in debt is computed from the year before the start of the reference trajectory or the year in which the excessive deficit procedure is projected to be abrogated, whichever occurs last, until the end of the adjustment period. 
** The deficit benchmark is applied in terms of change in SPB during the transitory period of 2025-2027 and in terms of change in SB thereafter.</t>
  </si>
  <si>
    <t>country</t>
  </si>
  <si>
    <t>year</t>
  </si>
  <si>
    <t>spb_gdp_DSM</t>
  </si>
  <si>
    <t>exchrate_ameco</t>
  </si>
  <si>
    <t>cyclcomp_gdp_DSM</t>
  </si>
  <si>
    <t>rGDPgr_DSM</t>
  </si>
  <si>
    <t>infl_DSM</t>
  </si>
  <si>
    <t>oneOffMeasures_DSM</t>
  </si>
  <si>
    <t>Stockflowadjustments_DSM</t>
  </si>
  <si>
    <t>AgeingCost_DSM</t>
  </si>
  <si>
    <t>gdebt_gdp_DSM</t>
  </si>
  <si>
    <t>nIIR_DSM</t>
  </si>
  <si>
    <t>Debt decreasing? (For criterion 1)</t>
  </si>
  <si>
    <t>Table 7a: Debt and headline balance projections and key underlying assumptions (under the planned fiscal path)</t>
  </si>
  <si>
    <t>Gross debt</t>
  </si>
  <si>
    <t>(% GDP)</t>
  </si>
  <si>
    <t>General government balance</t>
  </si>
  <si>
    <t>(% pot. GDP)</t>
  </si>
  <si>
    <t>Cyclical component</t>
  </si>
  <si>
    <t>One-off measures</t>
  </si>
  <si>
    <t>Interest expenditure</t>
  </si>
  <si>
    <t>(%)</t>
  </si>
  <si>
    <t>Implicit average interest rate</t>
  </si>
  <si>
    <t>Stock-flow adjustment</t>
  </si>
  <si>
    <t>(growth rate)</t>
  </si>
  <si>
    <t>Real GDP</t>
  </si>
  <si>
    <t>GDP deflator</t>
  </si>
  <si>
    <t>Nominal GDP</t>
  </si>
  <si>
    <t>Table 7b: Debt projections and key stressed variables, deterministic scenarios and stochastic simulations</t>
  </si>
  <si>
    <t>Adverse 'r-g' scenario</t>
  </si>
  <si>
    <t>Stochastic simulations</t>
  </si>
  <si>
    <t>Probability of debt being below its value in T+4/7</t>
  </si>
  <si>
    <t>Table 7c: Debt and headline balance projections and underlying assumptions (under 'no-fiscal-policy-change' baseline)</t>
  </si>
  <si>
    <t>Table 7d: Debt projections and additional assumptions (under the planned fiscal path)</t>
  </si>
  <si>
    <t>line</t>
  </si>
  <si>
    <t>approximation</t>
  </si>
  <si>
    <t>SF24</t>
  </si>
  <si>
    <t>Real GDP growth assumptions (based on SF 2024 T+10 projections and AR 2024 projections)</t>
  </si>
  <si>
    <t>Average (2025-28)</t>
  </si>
  <si>
    <r>
      <t xml:space="preserve">Cells in </t>
    </r>
    <r>
      <rPr>
        <i/>
        <sz val="11"/>
        <color rgb="FF0070C0"/>
        <rFont val="Calibri"/>
        <family val="2"/>
        <scheme val="minor"/>
      </rPr>
      <t>light blue</t>
    </r>
    <r>
      <rPr>
        <sz val="11"/>
        <color rgb="FF0070C0"/>
        <rFont val="Calibri"/>
        <family val="2"/>
        <scheme val="minor"/>
      </rPr>
      <t xml:space="preserve"> indicate values from the Ageing Report 2024</t>
    </r>
  </si>
  <si>
    <t xml:space="preserve">Share of primary expenditure in GDP in 2024 </t>
  </si>
  <si>
    <t>Long-term nominal interest rate (T+10 convergence value)</t>
  </si>
  <si>
    <t>Short-term nominal interest rate (T+10 convergence value)</t>
  </si>
  <si>
    <t>Long-term nominal interest rate (T+30 convergence value)</t>
  </si>
  <si>
    <t>Short-term nominal interest rate (T+30 convergence value)</t>
  </si>
  <si>
    <t>Share of long-term debt that matures every year (T+10 convergence value)</t>
  </si>
  <si>
    <t>GDP deflator (national currency) (T+10 convergence value)</t>
  </si>
  <si>
    <t>GDP deflator (national currency) (T+30 convergence value)</t>
  </si>
  <si>
    <r>
      <t xml:space="preserve">Data reported in this file are based on the </t>
    </r>
    <r>
      <rPr>
        <i/>
        <sz val="11"/>
        <color rgb="FF0070C0"/>
        <rFont val="Calibri"/>
        <family val="2"/>
        <scheme val="minor"/>
      </rPr>
      <t>European Commission (EC) 2024 spring forecast (SF 2024)</t>
    </r>
    <r>
      <rPr>
        <sz val="11"/>
        <color rgb="FF0070C0"/>
        <rFont val="Calibri"/>
        <family val="2"/>
        <scheme val="minor"/>
      </rPr>
      <t xml:space="preserve"> and macroeconomic and budgetary projections from the joint </t>
    </r>
    <r>
      <rPr>
        <i/>
        <sz val="11"/>
        <color rgb="FF0070C0"/>
        <rFont val="Calibri"/>
        <family val="2"/>
        <scheme val="minor"/>
      </rPr>
      <t>EC-EPC Ageing Report 2024 (AR 2024)</t>
    </r>
    <r>
      <rPr>
        <sz val="11"/>
        <color rgb="FF0070C0"/>
        <rFont val="Calibri"/>
        <family val="2"/>
        <scheme val="minor"/>
      </rPr>
      <t>.</t>
    </r>
  </si>
  <si>
    <t>Interest rates (SF 2024, %)</t>
  </si>
  <si>
    <t>Inflation (SF 2024, %)</t>
  </si>
  <si>
    <t>Net primary expenditure growth (SF 2024, %)</t>
  </si>
  <si>
    <t>Budget balance semi-elasticity</t>
  </si>
  <si>
    <t>Structural balance ensuring safety margin (for deficit resilience safeguard)</t>
  </si>
  <si>
    <t>Change in interest payments (for deficit benchmark in SB terms from 2028 onwards)</t>
  </si>
  <si>
    <t>Debt above 90% (for debt sustainability safeguard)</t>
  </si>
  <si>
    <t>Debt between 60% and 90% (for debt sustainability safeguard)</t>
  </si>
  <si>
    <t>Debt above 60% (for debt sustainability safeguard)</t>
  </si>
  <si>
    <t>Deficit exceeding 3% / under EDP (for deficit benchmark and debt sustainability safeguard)</t>
  </si>
  <si>
    <t>Table 6 - Reference trajectory</t>
  </si>
  <si>
    <t xml:space="preserve">Table 5 "DSA-based adjustment" summarises the key characteristics of the adjustment path that complies with the DSA-based criteria before applying the safeguards and benchmark, for a plan both with and without extension. </t>
  </si>
  <si>
    <t xml:space="preserve">Table 4 "Main fiscal variables" reports the annual adjustment over the adjustment period, in terms of change in SPB (line 19) and net primary expenditure growth (line 20). The table also reports the headline balance, the structural balance and  debt (lines 21 to 23). The average annual adjustment is reported in cells G24 (average change in SPB over the 4-year plan period), G25 (average change in SPB over the 4-year or 7-year adjustment period), G26 (average net primary expenditure growth over the plan period) and G27 (average net primary expenditure growth over the adjustment period). </t>
  </si>
  <si>
    <r>
      <t>The grey sheet "</t>
    </r>
    <r>
      <rPr>
        <b/>
        <sz val="11"/>
        <color rgb="FF0070C0"/>
        <rFont val="Calibri"/>
        <family val="2"/>
        <scheme val="minor"/>
      </rPr>
      <t>Criteria results</t>
    </r>
    <r>
      <rPr>
        <sz val="11"/>
        <color rgb="FF0070C0"/>
        <rFont val="Calibri"/>
        <family val="2"/>
        <scheme val="minor"/>
      </rPr>
      <t>" contains three types of cells identified by different colours:</t>
    </r>
  </si>
  <si>
    <r>
      <t>The sheet "</t>
    </r>
    <r>
      <rPr>
        <b/>
        <sz val="11"/>
        <color rgb="FF0070C0"/>
        <rFont val="Calibri"/>
        <family val="2"/>
        <scheme val="minor"/>
      </rPr>
      <t>Criteria results</t>
    </r>
    <r>
      <rPr>
        <sz val="11"/>
        <color rgb="FF0070C0"/>
        <rFont val="Calibri"/>
        <family val="2"/>
        <scheme val="minor"/>
      </rPr>
      <t>" contains six tables:
Table 1 "Adjustment input data": the user can set the duration of the plan (4 years under no extension or 7 years under extension) and the yearly adjustment pace in cells F5 and F6 in yellow. Note that the country cell (F4) cannot be changed.</t>
    </r>
  </si>
  <si>
    <r>
      <t xml:space="preserve">Cells in </t>
    </r>
    <r>
      <rPr>
        <i/>
        <sz val="11"/>
        <color rgb="FF0070C0"/>
        <rFont val="Calibri"/>
        <family val="2"/>
        <scheme val="minor"/>
      </rPr>
      <t>light grey</t>
    </r>
    <r>
      <rPr>
        <sz val="11"/>
        <color rgb="FF0070C0"/>
        <rFont val="Calibri"/>
        <family val="2"/>
        <scheme val="minor"/>
      </rPr>
      <t xml:space="preserve"> indicate a Commission forecast (available in the AMECO database)</t>
    </r>
  </si>
  <si>
    <t>Cost of ageing and selected public revenue (based on the Commission-Council 2024 Ageing Report ("AR 2024"))</t>
  </si>
  <si>
    <r>
      <t>Cells in</t>
    </r>
    <r>
      <rPr>
        <i/>
        <sz val="11"/>
        <color rgb="FF0070C0"/>
        <rFont val="Calibri"/>
        <family val="2"/>
        <scheme val="minor"/>
      </rPr>
      <t xml:space="preserve"> light red</t>
    </r>
    <r>
      <rPr>
        <sz val="11"/>
        <color rgb="FF0070C0"/>
        <rFont val="Calibri"/>
        <family val="2"/>
        <scheme val="minor"/>
      </rPr>
      <t xml:space="preserve"> indicate whether the country is subject to an ongoing excessive deficit procedure (EDP) or whether the Commission's June 2024 report under Art. 126(3) of the Treaty recommends opening an EDP. If neither of these conditions are met, the deficit benchmark is not relevant and therefore not applied.</t>
    </r>
  </si>
  <si>
    <t>Non-coloured parameters in cells C49:C70 were calibrated based on different data sources. The data sources are indicated in the corresponding cells of column E.
The last part of the sheet "Input data" (cells C73:G77) provides the parameters measuring the size of the cone of the fanchart that results from the stochastic analysis. For reproducibility reasons, these parameters are kept constant.</t>
  </si>
  <si>
    <t xml:space="preserve">The sheet in orange presents the scenario that automatically corrects the yearly adjustment path to account for the deficit benchmark and the deficit resillience safeguard. By contrast, the yearly adjustment profile is not automatically adjusted to ensure that the debt sustainability safeguard is met. However, the sheet "Criteria results" indicates whether that safeguard is met. </t>
  </si>
  <si>
    <r>
      <t xml:space="preserve">The sheets in green present the </t>
    </r>
    <r>
      <rPr>
        <u/>
        <sz val="11"/>
        <color rgb="FF0070C0"/>
        <rFont val="Calibri"/>
        <family val="2"/>
        <scheme val="minor"/>
      </rPr>
      <t>deterministic projections</t>
    </r>
    <r>
      <rPr>
        <sz val="11"/>
        <color rgb="FF0070C0"/>
        <rFont val="Calibri"/>
        <family val="2"/>
        <scheme val="minor"/>
      </rPr>
      <t xml:space="preserve"> that are used to compute the DSA-based requirements (in the sheet "Criteria results"). They include four scenarios:
</t>
    </r>
  </si>
  <si>
    <r>
      <rPr>
        <b/>
        <sz val="11"/>
        <color rgb="FF0070C0"/>
        <rFont val="Calibri"/>
        <family val="2"/>
        <scheme val="minor"/>
      </rPr>
      <t>Debt projections</t>
    </r>
    <r>
      <rPr>
        <sz val="11"/>
        <color rgb="FF0070C0"/>
        <rFont val="Calibri"/>
        <family val="2"/>
        <scheme val="minor"/>
      </rPr>
      <t xml:space="preserve"> can be found in line 56 or 57 of each scenario. The corresponding </t>
    </r>
    <r>
      <rPr>
        <b/>
        <sz val="11"/>
        <color rgb="FF0070C0"/>
        <rFont val="Calibri"/>
        <family val="2"/>
        <scheme val="minor"/>
      </rPr>
      <t>net expenditure growth</t>
    </r>
    <r>
      <rPr>
        <sz val="11"/>
        <color rgb="FF0070C0"/>
        <rFont val="Calibri"/>
        <family val="2"/>
        <scheme val="minor"/>
      </rPr>
      <t xml:space="preserve"> is located in line 79 or 80 in the baseline and adjustment scenario (and Adj. no safeguard) sheets. The average net expenditure growth over the adjustment period is computed in cell D81 of the sheet "Adjustment scenario". As a reminder, these numbers are also available in Table 4 in "Criteria results".</t>
    </r>
  </si>
  <si>
    <r>
      <t>This file contains a simplified version of the EC model used to calculate the general governement debt ratio dynamics for EU countries under different scenarios. A detailed description of the EC's general govern</t>
    </r>
    <r>
      <rPr>
        <strike/>
        <sz val="11"/>
        <color rgb="FF0070C0"/>
        <rFont val="Calibri"/>
        <family val="2"/>
        <scheme val="minor"/>
      </rPr>
      <t>e</t>
    </r>
    <r>
      <rPr>
        <sz val="11"/>
        <color rgb="FF0070C0"/>
        <rFont val="Calibri"/>
        <family val="2"/>
        <scheme val="minor"/>
      </rPr>
      <t>ment debt projections can be found</t>
    </r>
    <r>
      <rPr>
        <b/>
        <sz val="11"/>
        <color rgb="FF0070C0"/>
        <rFont val="Calibri"/>
        <family val="2"/>
        <scheme val="minor"/>
      </rPr>
      <t xml:space="preserve"> </t>
    </r>
    <r>
      <rPr>
        <sz val="11"/>
        <color rgb="FF0070C0"/>
        <rFont val="Calibri"/>
        <family val="2"/>
        <scheme val="minor"/>
      </rPr>
      <t xml:space="preserve">in the </t>
    </r>
    <r>
      <rPr>
        <b/>
        <sz val="11"/>
        <color rgb="FF0070C0"/>
        <rFont val="Calibri"/>
        <family val="2"/>
        <scheme val="minor"/>
      </rPr>
      <t>"</t>
    </r>
    <r>
      <rPr>
        <b/>
        <u/>
        <sz val="11"/>
        <color rgb="FF0070C0"/>
        <rFont val="Calibri"/>
        <family val="2"/>
        <scheme val="minor"/>
      </rPr>
      <t>Debt Sustainability Monitor 2023" (DSM, March 2024)</t>
    </r>
    <r>
      <rPr>
        <b/>
        <sz val="11"/>
        <color rgb="FF0070C0"/>
        <rFont val="Calibri"/>
        <family val="2"/>
        <scheme val="minor"/>
      </rPr>
      <t xml:space="preserve">. </t>
    </r>
  </si>
  <si>
    <t>Table 6 "Reference trajectory" reports the net expenditure growth and the corresponding annual change in SPB that are consistent with all requirements including the safeguards and benchmark, both without and with extension.</t>
  </si>
  <si>
    <t xml:space="preserve">Table 2 "DSA-based criteria" reports whether the chosen adjustment fulfils each of the DSA-based criteria. </t>
  </si>
  <si>
    <t>Table 3 "Safeguards and benchmark" reports whether (i) the chosen adjustment ensures that the debt sustainability safeguard is met, (ii) the 'deficit benchmark', i.e. the minimum adjustment of 0.5 pp. of GDP as a benchmark when the country is in EDP and/or the deficit exceeds 3% of GDP, is binding, and (iii) the deficit resilience safeguard is binding.</t>
  </si>
  <si>
    <t>To the right of Table 1, a message automatically signals whether the chosen adjustment is sufficient to fulfill all the requirements, summarising the results from Tables 2 and 3.</t>
  </si>
  <si>
    <t>Number of years of adjustment</t>
  </si>
  <si>
    <t>Probability that debt decreases</t>
  </si>
  <si>
    <r>
      <t xml:space="preserve">Cells with a </t>
    </r>
    <r>
      <rPr>
        <i/>
        <sz val="11"/>
        <color rgb="FF0070C0"/>
        <rFont val="Calibri"/>
        <family val="2"/>
        <scheme val="minor"/>
      </rPr>
      <t>yellow background and a red frame</t>
    </r>
    <r>
      <rPr>
        <sz val="11"/>
        <color rgb="FF0070C0"/>
        <rFont val="Calibri"/>
        <family val="2"/>
        <scheme val="minor"/>
      </rPr>
      <t xml:space="preserve"> can be modified to see the impact of a different duration or pace of adjustment.</t>
    </r>
  </si>
  <si>
    <r>
      <t xml:space="preserve">Cells with a </t>
    </r>
    <r>
      <rPr>
        <i/>
        <sz val="11"/>
        <color rgb="FF0070C0"/>
        <rFont val="Calibri"/>
        <family val="2"/>
        <scheme val="minor"/>
      </rPr>
      <t xml:space="preserve">white or grey background </t>
    </r>
    <r>
      <rPr>
        <sz val="11"/>
        <color rgb="FF0070C0"/>
        <rFont val="Calibri"/>
        <family val="2"/>
        <scheme val="minor"/>
      </rPr>
      <t>provide results obtained with the adjustment chosen in the yellow cells. To replicate the Commission's calculations, the underlying formulas should not be modified.</t>
    </r>
  </si>
  <si>
    <r>
      <t xml:space="preserve">Cells with a </t>
    </r>
    <r>
      <rPr>
        <i/>
        <sz val="11"/>
        <color rgb="FF0070C0"/>
        <rFont val="Calibri"/>
        <family val="2"/>
        <scheme val="minor"/>
      </rPr>
      <t>pale blue background</t>
    </r>
    <r>
      <rPr>
        <sz val="11"/>
        <color rgb="FF0070C0"/>
        <rFont val="Calibri"/>
        <family val="2"/>
        <scheme val="minor"/>
      </rPr>
      <t xml:space="preserve"> correspond to the Commission's prior guidance provided to the Member State. Those are hard numbers that do not depend on the adjustment chosen in the file.</t>
    </r>
  </si>
  <si>
    <t>Subject to an excessive deficit procedure (EDP) (0-no/1-yes)</t>
  </si>
  <si>
    <t>Key fiscal variables (based on the Commission 2024 spring forecast ("SF 2024") T+2 forecast and the June 2024 report prepared under Art. 126(3) of the Treaty)</t>
  </si>
  <si>
    <r>
      <t>This tool can be used to calculate debt projections under different macroeconomic and structural primary balance adjustment assumptions. Debt projections for each scenario will update automatically with changes in the macroeconomic assumptions or the adjustment parameters. The fulfilment of DSA-based criteria, the safeguards and the benchmark will be automatically calculated in the sheet "</t>
    </r>
    <r>
      <rPr>
        <b/>
        <sz val="11"/>
        <color rgb="FF0070C0"/>
        <rFont val="Calibri"/>
        <family val="2"/>
        <scheme val="minor"/>
      </rPr>
      <t>Criteria results</t>
    </r>
    <r>
      <rPr>
        <sz val="11"/>
        <color rgb="FF0070C0"/>
        <rFont val="Calibri"/>
        <family val="2"/>
        <scheme val="minor"/>
      </rPr>
      <t>".
Formulas are fully visible. To assess the impact of alternative adjustment paths compared with the reference trajectory calculated by the EC or to check its robustness to underlying macroeconomic assumptions, the user can modify the content of key cells in the sheets "</t>
    </r>
    <r>
      <rPr>
        <b/>
        <sz val="11"/>
        <color rgb="FF0070C0"/>
        <rFont val="Calibri"/>
        <family val="2"/>
        <scheme val="minor"/>
      </rPr>
      <t>Criteria results</t>
    </r>
    <r>
      <rPr>
        <sz val="11"/>
        <color rgb="FF0070C0"/>
        <rFont val="Calibri"/>
        <family val="2"/>
        <scheme val="minor"/>
      </rPr>
      <t>" and "</t>
    </r>
    <r>
      <rPr>
        <b/>
        <sz val="11"/>
        <color rgb="FF0070C0"/>
        <rFont val="Calibri"/>
        <family val="2"/>
        <scheme val="minor"/>
      </rPr>
      <t>Input data</t>
    </r>
    <r>
      <rPr>
        <sz val="11"/>
        <color rgb="FF0070C0"/>
        <rFont val="Calibri"/>
        <family val="2"/>
        <scheme val="minor"/>
      </rPr>
      <t>" (see below).
Note that, for a proper functioning of the file, you should make sure that Excel is in "Automatic" computation mode, i.e. in the File menu, Option tab, click on "Formulas", "Calculation Options" and "Automatic".</t>
    </r>
  </si>
  <si>
    <t>The 'FASTOP reporting' sheet in violet provides help for preparing reporting tables. It readily provides all the tables envisaged in the guidance notice on the "Information Requirements for the Medium-Term Fiscal-Structural Plans" once the parameters are set in the rest of this file.
Note that the probability of a declining debt ratio in table 7c derived from the stochastic simulations is only an approximation since the stochastic analysis is not an integral part of this Excel file. For a precise figure, the simulations need to be run.
This sheet is therefore only meant to provide assistance. The figures still need to be thoroughly scrutinised before submitting the tables.</t>
  </si>
  <si>
    <t>* The stochastic simulations are provided mainly for information, as the Excel worksheet only allows for an approximation of what is done in the Commission's Stata model. Indeed, in this Excel worksheet, the size of the cone of the fanchart is assumed to be constant over different adjustment paths. In ther Stata model, it is a non linear function of the level of debt, as shocks (in particular interest rate shocks) have different impacts according to the level of debt ratio. 
** In case a smaller adjustment than the one implied by criterion 1 and criterion 2 is sufficient to ensure that debt is brought (and/or remains) below 60% of GDP under the adjustment scenario and all deterministic stress tests while ensuring that the criterion 3 is met, then that smaller, 'eased-up' adjustment is chosen.</t>
  </si>
  <si>
    <t xml:space="preserve">In case of a plan with no extension, both the plan period and the adjustment period last 4 years. 
In case of a plan with extension, the plan period remains 4 years while the adjustment period lasts 7 years. Morever, in case of extension, if neither the deficit benchmark nor the deficit resilience safeguard are binding, the values in G24 and G25 (and G26 and G27) are the same. However, if the benchmark or the safeguard is binding, the values in those cells can be different. </t>
  </si>
  <si>
    <t>No extension (annual adjustment of 0.94)</t>
  </si>
  <si>
    <t>Extension (annual adjustment of 0.56)</t>
  </si>
  <si>
    <t>The sheet in blue provides, as a reference, the baseline no-fiscal-policy-change scenario. The background colour coding is the same as in the sheet "Input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</si>
</sst>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
    <numFmt numFmtId="165" formatCode="0.0"/>
    <numFmt numFmtId="166" formatCode="0.000"/>
    <numFmt numFmtId="167" formatCode="0.00000"/>
    <numFmt numFmtId="168" formatCode="0.000000"/>
    <numFmt numFmtId="169" formatCode="0.0000000"/>
    <numFmt numFmtId="170" formatCode="0.00000000"/>
  </numFmts>
  <fonts count="52"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color theme="1"/>
      <name val="Arial"/>
      <family val="2"/>
    </font>
    <font>
      <i/>
      <sz val="8"/>
      <color theme="1"/>
      <name val="Arial"/>
      <family val="2"/>
    </font>
    <font>
      <b/>
      <sz val="8"/>
      <color theme="1"/>
      <name val="Arial"/>
      <family val="2"/>
    </font>
    <font>
      <b/>
      <sz val="8"/>
      <name val="Arial"/>
      <family val="2"/>
    </font>
    <font>
      <i/>
      <sz val="8"/>
      <name val="Arial"/>
      <family val="2"/>
    </font>
    <font>
      <b/>
      <i/>
      <sz val="8"/>
      <name val="Arial"/>
      <family val="2"/>
    </font>
    <font>
      <sz val="8"/>
      <name val="Arial"/>
      <family val="2"/>
    </font>
    <font>
      <b/>
      <sz val="8"/>
      <color rgb="FF002060"/>
      <name val="Arial"/>
      <family val="2"/>
    </font>
    <font>
      <b/>
      <sz val="10"/>
      <color theme="1"/>
      <name val="Arial"/>
      <family val="2"/>
    </font>
    <font>
      <u/>
      <sz val="11"/>
      <color theme="10"/>
      <name val="Calibri"/>
      <family val="2"/>
      <scheme val="minor"/>
    </font>
    <font>
      <strike/>
      <sz val="11"/>
      <color theme="4"/>
      <name val="Calibri"/>
      <family val="2"/>
      <scheme val="minor"/>
    </font>
    <font>
      <b/>
      <sz val="9"/>
      <color theme="1"/>
      <name val="Arial"/>
      <family val="2"/>
    </font>
    <font>
      <sz val="10"/>
      <color rgb="FF000000"/>
      <name val="Arial"/>
      <family val="2"/>
    </font>
    <font>
      <b/>
      <sz val="10"/>
      <color theme="0"/>
      <name val="Arial"/>
      <family val="2"/>
    </font>
    <font>
      <b/>
      <sz val="8"/>
      <color rgb="FF0070C0"/>
      <name val="Arial"/>
      <family val="2"/>
    </font>
    <font>
      <sz val="8"/>
      <color theme="0"/>
      <name val="Arial"/>
      <family val="2"/>
    </font>
    <font>
      <sz val="10"/>
      <color theme="0"/>
      <name val="Arial"/>
      <family val="2"/>
    </font>
    <font>
      <b/>
      <sz val="8"/>
      <color theme="0"/>
      <name val="Arial"/>
      <family val="2"/>
    </font>
    <font>
      <i/>
      <sz val="10"/>
      <color theme="1"/>
      <name val="Arial"/>
      <family val="2"/>
    </font>
    <font>
      <sz val="8"/>
      <color rgb="FF002060"/>
      <name val="Arial"/>
      <family val="2"/>
    </font>
    <font>
      <b/>
      <i/>
      <sz val="10"/>
      <color theme="0"/>
      <name val="Arial"/>
      <family val="2"/>
    </font>
    <font>
      <b/>
      <sz val="10"/>
      <color rgb="FF002060"/>
      <name val="Arial"/>
      <family val="2"/>
    </font>
    <font>
      <b/>
      <i/>
      <sz val="10"/>
      <color rgb="FF002060"/>
      <name val="Arial"/>
      <family val="2"/>
    </font>
    <font>
      <b/>
      <sz val="11"/>
      <color theme="0"/>
      <name val="Calibri"/>
      <family val="2"/>
      <scheme val="minor"/>
    </font>
    <font>
      <sz val="11"/>
      <color rgb="FF0070C0"/>
      <name val="Calibri"/>
      <family val="2"/>
      <scheme val="minor"/>
    </font>
    <font>
      <b/>
      <sz val="11"/>
      <color rgb="FF0070C0"/>
      <name val="Calibri"/>
      <family val="2"/>
      <scheme val="minor"/>
    </font>
    <font>
      <u/>
      <sz val="11"/>
      <color rgb="FF0070C0"/>
      <name val="Calibri"/>
      <family val="2"/>
      <scheme val="minor"/>
    </font>
    <font>
      <i/>
      <sz val="11"/>
      <color rgb="FF0070C0"/>
      <name val="Calibri"/>
      <family val="2"/>
      <scheme val="minor"/>
    </font>
    <font>
      <strike/>
      <sz val="11"/>
      <color rgb="FF0070C0"/>
      <name val="Calibri"/>
      <family val="2"/>
      <scheme val="minor"/>
    </font>
    <font>
      <b/>
      <u/>
      <sz val="11"/>
      <color rgb="FF0070C0"/>
      <name val="Calibri"/>
      <family val="2"/>
      <scheme val="minor"/>
    </font>
    <font>
      <sz val="8"/>
      <color rgb="FF0070C0"/>
      <name val="Arial"/>
      <family val="2"/>
    </font>
    <font>
      <sz val="11"/>
      <name val="Calibri"/>
      <family val="2"/>
      <scheme val="minor"/>
    </font>
    <font>
      <sz val="11"/>
      <color rgb="FF000000"/>
      <name val="Calibri"/>
      <family val="2"/>
    </font>
    <font>
      <b/>
      <sz val="10"/>
      <color rgb="FFFF0000"/>
      <name val="Arial"/>
      <family val="2"/>
    </font>
    <font>
      <sz val="10"/>
      <name val="Arial"/>
      <family val="2"/>
    </font>
    <font>
      <b/>
      <sz val="10"/>
      <name val="Arial"/>
      <family val="2"/>
    </font>
    <font>
      <i/>
      <sz val="8"/>
      <color theme="0" tint="-0.34998626667073579"/>
      <name val="Arial"/>
      <family val="2"/>
    </font>
    <font>
      <sz val="11"/>
      <color rgb="FFFF0000"/>
      <name val="Calibri"/>
      <family val="2"/>
      <scheme val="minor"/>
    </font>
    <font>
      <i/>
      <sz val="8"/>
      <color theme="0" tint="-0.499984740745262"/>
      <name val="Arial"/>
      <family val="2"/>
    </font>
    <font>
      <b/>
      <sz val="10"/>
      <color rgb="FFFFFFFF"/>
      <name val="Arial"/>
      <family val="2"/>
    </font>
    <font>
      <b/>
      <sz val="10"/>
      <color theme="4" tint="-0.249977111117893"/>
      <name val="Arial"/>
      <family val="2"/>
    </font>
    <font>
      <sz val="11"/>
      <name val="Calibri"/>
      <family val="2"/>
    </font>
    <font>
      <b/>
      <sz val="12"/>
      <color rgb="FFFF0000"/>
      <name val="Arial"/>
      <family val="2"/>
    </font>
  </fonts>
  <fills count="22">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rgb="FF92D050"/>
        <bgColor indexed="64"/>
      </patternFill>
    </fill>
    <fill>
      <patternFill patternType="solid">
        <fgColor rgb="FF92CDDC"/>
        <bgColor indexed="64"/>
      </patternFill>
    </fill>
    <fill>
      <patternFill patternType="solid">
        <fgColor rgb="FF0070C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0"/>
        <bgColor rgb="FF000000"/>
      </patternFill>
    </fill>
    <fill>
      <patternFill patternType="solid">
        <fgColor theme="9"/>
        <bgColor indexed="64"/>
      </patternFill>
    </fill>
    <fill>
      <patternFill patternType="solid">
        <fgColor rgb="FF00B050"/>
        <bgColor indexed="64"/>
      </patternFill>
    </fill>
    <fill>
      <patternFill patternType="solid">
        <fgColor theme="4" tint="-0.249977111117893"/>
        <bgColor indexed="64"/>
      </patternFill>
    </fill>
    <fill>
      <patternFill patternType="solid">
        <fgColor theme="3" tint="0.79998168889431442"/>
        <bgColor indexed="64"/>
      </patternFill>
    </fill>
    <fill>
      <patternFill patternType="solid">
        <fgColor rgb="FF7030A0"/>
        <bgColor indexed="64"/>
      </patternFill>
    </fill>
    <fill>
      <patternFill patternType="solid">
        <fgColor theme="5" tint="0.7999816888943144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ck">
        <color rgb="FFFF0000"/>
      </left>
      <right style="thick">
        <color rgb="FFFF0000"/>
      </right>
      <top style="thick">
        <color rgb="FFFF0000"/>
      </top>
      <bottom/>
      <diagonal/>
    </border>
    <border>
      <left style="thick">
        <color rgb="FFFF0000"/>
      </left>
      <right style="thick">
        <color rgb="FFFF0000"/>
      </right>
      <top/>
      <bottom style="thick">
        <color rgb="FFFF0000"/>
      </bottom>
      <diagonal/>
    </border>
    <border>
      <left style="medium">
        <color indexed="64"/>
      </left>
      <right style="medium">
        <color indexed="64"/>
      </right>
      <top style="medium">
        <color indexed="64"/>
      </top>
      <bottom style="medium">
        <color indexed="64"/>
      </bottom>
      <diagonal/>
    </border>
    <border>
      <left/>
      <right style="thick">
        <color rgb="FFFF0000"/>
      </right>
      <top/>
      <bottom style="thin">
        <color indexed="64"/>
      </bottom>
      <diagonal/>
    </border>
    <border>
      <left style="thick">
        <color rgb="FFFF0000"/>
      </left>
      <right style="thick">
        <color rgb="FFFF0000"/>
      </right>
      <top style="thick">
        <color rgb="FFFF0000"/>
      </top>
      <bottom style="thick">
        <color rgb="FFFF0000"/>
      </bottom>
      <diagonal/>
    </border>
    <border>
      <left style="medium">
        <color indexed="64"/>
      </left>
      <right/>
      <top/>
      <bottom/>
      <diagonal/>
    </border>
    <border>
      <left style="thick">
        <color rgb="FFFF0000"/>
      </left>
      <right/>
      <top/>
      <bottom/>
      <diagonal/>
    </border>
  </borders>
  <cellStyleXfs count="14">
    <xf numFmtId="0" fontId="0" fillId="0" borderId="0"/>
    <xf numFmtId="0" fontId="8" fillId="0" borderId="0"/>
    <xf numFmtId="0" fontId="8" fillId="0" borderId="0"/>
    <xf numFmtId="0" fontId="7" fillId="0" borderId="0"/>
    <xf numFmtId="0" fontId="18" fillId="0" borderId="0" applyNumberFormat="0" applyFill="0" applyBorder="0" applyAlignment="0" applyProtection="0"/>
    <xf numFmtId="0" fontId="6" fillId="0" borderId="0"/>
    <xf numFmtId="0" fontId="5" fillId="0" borderId="0"/>
    <xf numFmtId="0" fontId="4" fillId="0" borderId="0"/>
    <xf numFmtId="0" fontId="4" fillId="0" borderId="0"/>
    <xf numFmtId="0" fontId="4" fillId="0" borderId="0"/>
    <xf numFmtId="0" fontId="4" fillId="0" borderId="0"/>
    <xf numFmtId="0" fontId="4" fillId="0" borderId="0"/>
    <xf numFmtId="0" fontId="2" fillId="0" borderId="0"/>
    <xf numFmtId="0" fontId="50" fillId="0" borderId="0"/>
  </cellStyleXfs>
  <cellXfs count="470">
    <xf numFmtId="0" fontId="0" fillId="0" borderId="0" xfId="0"/>
    <xf numFmtId="165" fontId="15" fillId="2" borderId="0" xfId="0" applyNumberFormat="1" applyFont="1" applyFill="1" applyAlignment="1">
      <alignment horizontal="center"/>
    </xf>
    <xf numFmtId="165" fontId="15" fillId="3" borderId="0" xfId="0" applyNumberFormat="1" applyFont="1" applyFill="1" applyAlignment="1">
      <alignment horizontal="center"/>
    </xf>
    <xf numFmtId="165" fontId="15" fillId="4" borderId="0" xfId="0" applyNumberFormat="1" applyFont="1" applyFill="1" applyAlignment="1">
      <alignment horizontal="center"/>
    </xf>
    <xf numFmtId="165" fontId="9" fillId="4" borderId="0" xfId="0" applyNumberFormat="1" applyFont="1" applyFill="1" applyAlignment="1">
      <alignment horizontal="center"/>
    </xf>
    <xf numFmtId="0" fontId="0" fillId="2" borderId="0" xfId="0" applyFill="1"/>
    <xf numFmtId="0" fontId="0" fillId="2" borderId="6" xfId="0" applyFill="1" applyBorder="1"/>
    <xf numFmtId="165" fontId="0" fillId="0" borderId="0" xfId="0" applyNumberFormat="1"/>
    <xf numFmtId="0" fontId="0" fillId="2" borderId="8" xfId="0" applyFill="1" applyBorder="1" applyAlignment="1">
      <alignment horizontal="center"/>
    </xf>
    <xf numFmtId="0" fontId="0" fillId="2" borderId="7" xfId="0" applyFill="1" applyBorder="1" applyAlignment="1">
      <alignment horizontal="center"/>
    </xf>
    <xf numFmtId="0" fontId="0" fillId="2" borderId="5" xfId="0" applyFill="1" applyBorder="1" applyAlignment="1">
      <alignment horizontal="center"/>
    </xf>
    <xf numFmtId="0" fontId="0" fillId="2" borderId="9" xfId="0" applyFill="1" applyBorder="1" applyAlignment="1">
      <alignment horizontal="center"/>
    </xf>
    <xf numFmtId="0" fontId="0" fillId="2" borderId="13" xfId="0" applyFill="1" applyBorder="1" applyAlignment="1">
      <alignment horizontal="center"/>
    </xf>
    <xf numFmtId="0" fontId="0" fillId="2" borderId="14" xfId="0" applyFill="1" applyBorder="1" applyAlignment="1">
      <alignment horizontal="center"/>
    </xf>
    <xf numFmtId="0" fontId="17" fillId="2" borderId="5" xfId="0" applyFont="1" applyFill="1" applyBorder="1"/>
    <xf numFmtId="0" fontId="17" fillId="2" borderId="9" xfId="0" applyFont="1" applyFill="1" applyBorder="1"/>
    <xf numFmtId="0" fontId="17" fillId="2" borderId="0" xfId="0" applyFont="1" applyFill="1"/>
    <xf numFmtId="0" fontId="0" fillId="2" borderId="0" xfId="0" applyFill="1" applyAlignment="1">
      <alignment horizontal="right" vertical="center"/>
    </xf>
    <xf numFmtId="0" fontId="17" fillId="2" borderId="3" xfId="0" applyFont="1" applyFill="1" applyBorder="1"/>
    <xf numFmtId="0" fontId="11" fillId="2" borderId="2" xfId="0" applyFont="1" applyFill="1" applyBorder="1" applyAlignment="1">
      <alignment horizontal="center" vertical="center"/>
    </xf>
    <xf numFmtId="0" fontId="11" fillId="2" borderId="4" xfId="0" applyFont="1" applyFill="1" applyBorder="1" applyAlignment="1">
      <alignment horizontal="center" vertical="center"/>
    </xf>
    <xf numFmtId="0" fontId="9" fillId="2" borderId="8" xfId="0" applyFont="1" applyFill="1" applyBorder="1" applyAlignment="1">
      <alignment horizontal="center"/>
    </xf>
    <xf numFmtId="0" fontId="9" fillId="2" borderId="5" xfId="0" applyFont="1" applyFill="1" applyBorder="1" applyAlignment="1">
      <alignment horizontal="center" vertical="center" wrapText="1"/>
    </xf>
    <xf numFmtId="0" fontId="9" fillId="2" borderId="8" xfId="0" applyFont="1" applyFill="1" applyBorder="1" applyAlignment="1" applyProtection="1">
      <alignment horizontal="center"/>
      <protection locked="0"/>
    </xf>
    <xf numFmtId="0" fontId="9" fillId="2" borderId="9" xfId="0" applyFont="1" applyFill="1" applyBorder="1" applyAlignment="1">
      <alignment horizontal="center"/>
    </xf>
    <xf numFmtId="0" fontId="22" fillId="10" borderId="0" xfId="0" applyFont="1" applyFill="1"/>
    <xf numFmtId="0" fontId="9" fillId="2" borderId="0" xfId="0" applyFont="1" applyFill="1"/>
    <xf numFmtId="0" fontId="16" fillId="2" borderId="0" xfId="0" applyFont="1" applyFill="1" applyAlignment="1">
      <alignment horizontal="left" vertical="center"/>
    </xf>
    <xf numFmtId="0" fontId="11" fillId="2" borderId="0" xfId="0" applyFont="1" applyFill="1"/>
    <xf numFmtId="0" fontId="9" fillId="2" borderId="0" xfId="0" applyFont="1" applyFill="1" applyAlignment="1">
      <alignment horizontal="center"/>
    </xf>
    <xf numFmtId="0" fontId="10" fillId="2" borderId="0" xfId="0" applyFont="1" applyFill="1"/>
    <xf numFmtId="0" fontId="11" fillId="2" borderId="0" xfId="0" applyFont="1" applyFill="1" applyAlignment="1">
      <alignment horizontal="center"/>
    </xf>
    <xf numFmtId="0" fontId="9" fillId="2" borderId="0" xfId="0" applyFont="1" applyFill="1" applyAlignment="1">
      <alignment horizontal="left" indent="1"/>
    </xf>
    <xf numFmtId="0" fontId="9" fillId="2" borderId="0" xfId="0" applyFont="1" applyFill="1" applyAlignment="1">
      <alignment horizontal="left"/>
    </xf>
    <xf numFmtId="165" fontId="9" fillId="2" borderId="0" xfId="0" applyNumberFormat="1" applyFont="1" applyFill="1" applyAlignment="1">
      <alignment horizontal="center"/>
    </xf>
    <xf numFmtId="0" fontId="9" fillId="2" borderId="6" xfId="0" applyFont="1" applyFill="1" applyBorder="1"/>
    <xf numFmtId="2" fontId="9" fillId="2" borderId="0" xfId="0" applyNumberFormat="1" applyFont="1" applyFill="1" applyAlignment="1">
      <alignment horizontal="center"/>
    </xf>
    <xf numFmtId="165" fontId="15" fillId="2" borderId="6" xfId="0" applyNumberFormat="1" applyFont="1" applyFill="1" applyBorder="1" applyAlignment="1">
      <alignment horizontal="center"/>
    </xf>
    <xf numFmtId="165" fontId="9" fillId="2" borderId="0" xfId="0" applyNumberFormat="1" applyFont="1" applyFill="1"/>
    <xf numFmtId="0" fontId="23" fillId="2" borderId="0" xfId="0" applyFont="1" applyFill="1" applyAlignment="1">
      <alignment horizontal="left" vertical="center"/>
    </xf>
    <xf numFmtId="0" fontId="0" fillId="2" borderId="4" xfId="0" applyFill="1" applyBorder="1" applyAlignment="1">
      <alignment horizontal="center"/>
    </xf>
    <xf numFmtId="0" fontId="17" fillId="2" borderId="12" xfId="0" applyFont="1" applyFill="1" applyBorder="1" applyAlignment="1">
      <alignment horizontal="center" vertical="center" wrapText="1"/>
    </xf>
    <xf numFmtId="0" fontId="17" fillId="2" borderId="10" xfId="0" applyFont="1" applyFill="1" applyBorder="1" applyAlignment="1">
      <alignment horizontal="center" vertical="center" wrapText="1"/>
    </xf>
    <xf numFmtId="0" fontId="9" fillId="2" borderId="0" xfId="0" applyFont="1" applyFill="1" applyAlignment="1">
      <alignment horizontal="right"/>
    </xf>
    <xf numFmtId="164" fontId="9" fillId="2" borderId="0" xfId="0" applyNumberFormat="1" applyFont="1" applyFill="1" applyAlignment="1">
      <alignment horizontal="right"/>
    </xf>
    <xf numFmtId="165" fontId="16" fillId="2" borderId="0" xfId="0" applyNumberFormat="1" applyFont="1" applyFill="1" applyAlignment="1">
      <alignment horizontal="center"/>
    </xf>
    <xf numFmtId="165" fontId="16" fillId="2" borderId="3" xfId="0" applyNumberFormat="1" applyFont="1" applyFill="1" applyBorder="1" applyAlignment="1">
      <alignment horizontal="center"/>
    </xf>
    <xf numFmtId="165" fontId="13" fillId="2" borderId="6" xfId="0" applyNumberFormat="1" applyFont="1" applyFill="1" applyBorder="1" applyAlignment="1">
      <alignment horizontal="center"/>
    </xf>
    <xf numFmtId="165" fontId="12" fillId="2" borderId="3" xfId="0" applyNumberFormat="1" applyFont="1" applyFill="1" applyBorder="1" applyAlignment="1">
      <alignment horizontal="center"/>
    </xf>
    <xf numFmtId="165" fontId="9" fillId="2" borderId="6" xfId="0" applyNumberFormat="1" applyFont="1" applyFill="1" applyBorder="1" applyAlignment="1">
      <alignment horizontal="center"/>
    </xf>
    <xf numFmtId="165" fontId="14" fillId="2" borderId="3" xfId="0" applyNumberFormat="1" applyFont="1" applyFill="1" applyBorder="1" applyAlignment="1">
      <alignment horizontal="center"/>
    </xf>
    <xf numFmtId="0" fontId="9" fillId="2" borderId="11" xfId="0" applyFont="1" applyFill="1" applyBorder="1"/>
    <xf numFmtId="165" fontId="9" fillId="2" borderId="11" xfId="0" applyNumberFormat="1" applyFont="1" applyFill="1" applyBorder="1" applyAlignment="1">
      <alignment horizontal="center"/>
    </xf>
    <xf numFmtId="2" fontId="9" fillId="2" borderId="0" xfId="0" applyNumberFormat="1" applyFont="1" applyFill="1"/>
    <xf numFmtId="0" fontId="11" fillId="2" borderId="2" xfId="0" applyFont="1" applyFill="1" applyBorder="1"/>
    <xf numFmtId="2" fontId="9" fillId="2" borderId="4" xfId="0" applyNumberFormat="1" applyFont="1" applyFill="1" applyBorder="1" applyAlignment="1" applyProtection="1">
      <alignment horizontal="center"/>
      <protection locked="0"/>
    </xf>
    <xf numFmtId="0" fontId="11" fillId="2" borderId="9" xfId="0" applyFont="1" applyFill="1" applyBorder="1"/>
    <xf numFmtId="2" fontId="9" fillId="2" borderId="7" xfId="0" applyNumberFormat="1" applyFont="1" applyFill="1" applyBorder="1" applyAlignment="1" applyProtection="1">
      <alignment horizontal="center"/>
      <protection locked="0"/>
    </xf>
    <xf numFmtId="2" fontId="9" fillId="2" borderId="0" xfId="0" applyNumberFormat="1" applyFont="1" applyFill="1" applyAlignment="1" applyProtection="1">
      <alignment horizontal="center"/>
      <protection locked="0"/>
    </xf>
    <xf numFmtId="165" fontId="15" fillId="2" borderId="0" xfId="0" applyNumberFormat="1" applyFont="1" applyFill="1" applyAlignment="1" applyProtection="1">
      <alignment horizontal="center"/>
      <protection locked="0"/>
    </xf>
    <xf numFmtId="0" fontId="9" fillId="2" borderId="0" xfId="0" applyFont="1" applyFill="1" applyProtection="1">
      <protection locked="0"/>
    </xf>
    <xf numFmtId="164" fontId="9" fillId="2" borderId="0" xfId="0" applyNumberFormat="1" applyFont="1" applyFill="1"/>
    <xf numFmtId="0" fontId="15" fillId="2" borderId="0" xfId="0" applyFont="1" applyFill="1"/>
    <xf numFmtId="2" fontId="15" fillId="2" borderId="0" xfId="0" applyNumberFormat="1" applyFont="1" applyFill="1" applyAlignment="1" applyProtection="1">
      <alignment horizontal="center"/>
      <protection locked="0"/>
    </xf>
    <xf numFmtId="0" fontId="10" fillId="2" borderId="5" xfId="0" applyFont="1" applyFill="1" applyBorder="1" applyAlignment="1">
      <alignment horizontal="center"/>
    </xf>
    <xf numFmtId="0" fontId="9" fillId="2" borderId="5" xfId="0" applyFont="1" applyFill="1" applyBorder="1" applyAlignment="1">
      <alignment horizontal="center"/>
    </xf>
    <xf numFmtId="0" fontId="9" fillId="2" borderId="7" xfId="0" applyFont="1" applyFill="1" applyBorder="1" applyAlignment="1">
      <alignment horizontal="center"/>
    </xf>
    <xf numFmtId="0" fontId="24" fillId="10" borderId="0" xfId="0" applyFont="1" applyFill="1"/>
    <xf numFmtId="2" fontId="24" fillId="10" borderId="0" xfId="0" applyNumberFormat="1" applyFont="1" applyFill="1" applyAlignment="1">
      <alignment horizontal="center"/>
    </xf>
    <xf numFmtId="0" fontId="24" fillId="10" borderId="0" xfId="0" applyFont="1" applyFill="1" applyAlignment="1">
      <alignment horizontal="center"/>
    </xf>
    <xf numFmtId="0" fontId="24" fillId="10" borderId="0" xfId="0" applyFont="1" applyFill="1" applyAlignment="1">
      <alignment horizontal="right"/>
    </xf>
    <xf numFmtId="0" fontId="25" fillId="10" borderId="0" xfId="0" applyFont="1" applyFill="1" applyAlignment="1">
      <alignment vertical="center"/>
    </xf>
    <xf numFmtId="0" fontId="22" fillId="10" borderId="0" xfId="0" applyFont="1" applyFill="1" applyAlignment="1">
      <alignment horizontal="left" vertical="center"/>
    </xf>
    <xf numFmtId="0" fontId="25" fillId="10" borderId="0" xfId="0" applyFont="1" applyFill="1" applyAlignment="1">
      <alignment horizontal="center" vertical="center"/>
    </xf>
    <xf numFmtId="0" fontId="25" fillId="10" borderId="0" xfId="0" applyFont="1" applyFill="1" applyAlignment="1">
      <alignment horizontal="right" vertical="center"/>
    </xf>
    <xf numFmtId="0" fontId="22" fillId="10" borderId="0" xfId="0" applyFont="1" applyFill="1" applyAlignment="1">
      <alignment vertical="center"/>
    </xf>
    <xf numFmtId="2" fontId="25" fillId="10" borderId="0" xfId="0" applyNumberFormat="1" applyFont="1" applyFill="1" applyAlignment="1">
      <alignment horizontal="center" vertical="center"/>
    </xf>
    <xf numFmtId="0" fontId="9" fillId="2" borderId="3" xfId="0" applyFont="1" applyFill="1" applyBorder="1"/>
    <xf numFmtId="165" fontId="9" fillId="2" borderId="3" xfId="0" applyNumberFormat="1" applyFont="1" applyFill="1" applyBorder="1" applyAlignment="1">
      <alignment horizontal="center"/>
    </xf>
    <xf numFmtId="0" fontId="15" fillId="2" borderId="0" xfId="0" applyFont="1" applyFill="1" applyAlignment="1">
      <alignment horizontal="left" indent="1"/>
    </xf>
    <xf numFmtId="0" fontId="9" fillId="2" borderId="0" xfId="0" quotePrefix="1" applyFont="1" applyFill="1"/>
    <xf numFmtId="0" fontId="21" fillId="2" borderId="0" xfId="0" applyFont="1" applyFill="1" applyAlignment="1">
      <alignment horizontal="left" vertical="center" readingOrder="1"/>
    </xf>
    <xf numFmtId="0" fontId="20" fillId="2" borderId="0" xfId="0" applyFont="1" applyFill="1" applyAlignment="1">
      <alignment horizontal="center"/>
    </xf>
    <xf numFmtId="165" fontId="0" fillId="2" borderId="0" xfId="0" applyNumberFormat="1" applyFill="1"/>
    <xf numFmtId="0" fontId="12" fillId="2" borderId="3" xfId="0" applyFont="1" applyFill="1" applyBorder="1"/>
    <xf numFmtId="0" fontId="12" fillId="2" borderId="11" xfId="0" applyFont="1" applyFill="1" applyBorder="1"/>
    <xf numFmtId="0" fontId="12" fillId="2" borderId="11" xfId="0" applyFont="1" applyFill="1" applyBorder="1" applyAlignment="1">
      <alignment horizontal="center"/>
    </xf>
    <xf numFmtId="0" fontId="16" fillId="2" borderId="3" xfId="0" applyFont="1" applyFill="1" applyBorder="1"/>
    <xf numFmtId="0" fontId="13" fillId="2" borderId="0" xfId="0" applyFont="1" applyFill="1" applyAlignment="1">
      <alignment horizontal="left" indent="1"/>
    </xf>
    <xf numFmtId="0" fontId="15" fillId="2" borderId="6" xfId="0" applyFont="1" applyFill="1" applyBorder="1" applyAlignment="1">
      <alignment horizontal="left" indent="1"/>
    </xf>
    <xf numFmtId="0" fontId="26" fillId="10" borderId="0" xfId="0" applyFont="1" applyFill="1"/>
    <xf numFmtId="0" fontId="16" fillId="2" borderId="0" xfId="0" applyFont="1" applyFill="1"/>
    <xf numFmtId="0" fontId="17" fillId="2" borderId="1" xfId="0" applyFont="1" applyFill="1" applyBorder="1" applyAlignment="1">
      <alignment horizontal="center" vertical="center" wrapText="1"/>
    </xf>
    <xf numFmtId="0" fontId="25" fillId="10" borderId="0" xfId="0" applyFont="1" applyFill="1"/>
    <xf numFmtId="0" fontId="22" fillId="10" borderId="0" xfId="0" applyFont="1" applyFill="1" applyAlignment="1">
      <alignment horizontal="left"/>
    </xf>
    <xf numFmtId="0" fontId="25" fillId="10" borderId="0" xfId="0" applyFont="1" applyFill="1" applyAlignment="1">
      <alignment horizontal="center"/>
    </xf>
    <xf numFmtId="0" fontId="25" fillId="10" borderId="0" xfId="0" applyFont="1" applyFill="1" applyAlignment="1">
      <alignment horizontal="right"/>
    </xf>
    <xf numFmtId="166" fontId="9" fillId="2" borderId="0" xfId="0" applyNumberFormat="1" applyFont="1" applyFill="1" applyAlignment="1">
      <alignment horizontal="center"/>
    </xf>
    <xf numFmtId="164" fontId="9" fillId="2" borderId="0" xfId="0" applyNumberFormat="1" applyFont="1" applyFill="1" applyAlignment="1">
      <alignment horizontal="center"/>
    </xf>
    <xf numFmtId="166" fontId="15" fillId="2" borderId="0" xfId="0" applyNumberFormat="1" applyFont="1" applyFill="1" applyAlignment="1">
      <alignment horizontal="center"/>
    </xf>
    <xf numFmtId="165" fontId="9" fillId="3" borderId="0" xfId="0" applyNumberFormat="1" applyFont="1" applyFill="1" applyAlignment="1">
      <alignment horizontal="center"/>
    </xf>
    <xf numFmtId="165" fontId="15" fillId="5" borderId="0" xfId="0" applyNumberFormat="1" applyFont="1" applyFill="1" applyAlignment="1">
      <alignment horizontal="center"/>
    </xf>
    <xf numFmtId="0" fontId="22" fillId="2" borderId="0" xfId="0" applyFont="1" applyFill="1"/>
    <xf numFmtId="167" fontId="15" fillId="2" borderId="0" xfId="0" applyNumberFormat="1" applyFont="1" applyFill="1" applyAlignment="1">
      <alignment horizontal="center"/>
    </xf>
    <xf numFmtId="170" fontId="15" fillId="2" borderId="0" xfId="0" applyNumberFormat="1" applyFont="1" applyFill="1" applyAlignment="1">
      <alignment horizontal="center"/>
    </xf>
    <xf numFmtId="0" fontId="9" fillId="2" borderId="0" xfId="0" applyFont="1" applyFill="1" applyAlignment="1">
      <alignment horizontal="left" indent="3"/>
    </xf>
    <xf numFmtId="0" fontId="16" fillId="2" borderId="6" xfId="0" applyFont="1" applyFill="1" applyBorder="1"/>
    <xf numFmtId="0" fontId="9" fillId="2" borderId="6" xfId="0" applyFont="1" applyFill="1" applyBorder="1" applyAlignment="1">
      <alignment horizontal="left" indent="3"/>
    </xf>
    <xf numFmtId="2" fontId="9" fillId="2" borderId="6" xfId="0" applyNumberFormat="1" applyFont="1" applyFill="1" applyBorder="1" applyAlignment="1">
      <alignment horizontal="center"/>
    </xf>
    <xf numFmtId="0" fontId="25" fillId="2" borderId="0" xfId="0" applyFont="1" applyFill="1"/>
    <xf numFmtId="165" fontId="16" fillId="2" borderId="6" xfId="0" applyNumberFormat="1" applyFont="1" applyFill="1" applyBorder="1" applyAlignment="1">
      <alignment horizontal="center"/>
    </xf>
    <xf numFmtId="0" fontId="9" fillId="2" borderId="0" xfId="0" applyFont="1" applyFill="1" applyAlignment="1">
      <alignment vertical="center"/>
    </xf>
    <xf numFmtId="165" fontId="29" fillId="10" borderId="0" xfId="0" applyNumberFormat="1" applyFont="1" applyFill="1" applyAlignment="1">
      <alignment horizontal="center"/>
    </xf>
    <xf numFmtId="0" fontId="16" fillId="2" borderId="11" xfId="0" applyFont="1" applyFill="1" applyBorder="1"/>
    <xf numFmtId="165" fontId="9" fillId="2" borderId="6" xfId="0" applyNumberFormat="1" applyFont="1" applyFill="1" applyBorder="1"/>
    <xf numFmtId="165" fontId="16" fillId="2" borderId="11" xfId="0" applyNumberFormat="1" applyFont="1" applyFill="1" applyBorder="1" applyAlignment="1">
      <alignment horizontal="center"/>
    </xf>
    <xf numFmtId="0" fontId="28" fillId="2" borderId="0" xfId="0" applyFont="1" applyFill="1"/>
    <xf numFmtId="165" fontId="28" fillId="2" borderId="0" xfId="0" applyNumberFormat="1" applyFont="1" applyFill="1" applyAlignment="1" applyProtection="1">
      <alignment horizontal="center"/>
      <protection locked="0"/>
    </xf>
    <xf numFmtId="168" fontId="9" fillId="2" borderId="0" xfId="0" applyNumberFormat="1" applyFont="1" applyFill="1"/>
    <xf numFmtId="165" fontId="15" fillId="7" borderId="0" xfId="0" applyNumberFormat="1" applyFont="1" applyFill="1" applyAlignment="1">
      <alignment horizontal="center"/>
    </xf>
    <xf numFmtId="0" fontId="15" fillId="2" borderId="0" xfId="0" applyFont="1" applyFill="1" applyAlignment="1">
      <alignment horizontal="left"/>
    </xf>
    <xf numFmtId="166" fontId="9" fillId="2" borderId="0" xfId="0" applyNumberFormat="1" applyFont="1" applyFill="1"/>
    <xf numFmtId="166" fontId="9" fillId="2" borderId="0" xfId="0" applyNumberFormat="1" applyFont="1" applyFill="1" applyAlignment="1">
      <alignment horizontal="right"/>
    </xf>
    <xf numFmtId="2" fontId="9" fillId="2" borderId="0" xfId="0" applyNumberFormat="1" applyFont="1" applyFill="1" applyAlignment="1">
      <alignment horizontal="right"/>
    </xf>
    <xf numFmtId="165" fontId="29" fillId="2" borderId="0" xfId="0" applyNumberFormat="1" applyFont="1" applyFill="1" applyAlignment="1">
      <alignment horizontal="center"/>
    </xf>
    <xf numFmtId="165" fontId="29" fillId="2" borderId="6" xfId="0" applyNumberFormat="1" applyFont="1" applyFill="1" applyBorder="1" applyAlignment="1">
      <alignment horizontal="center"/>
    </xf>
    <xf numFmtId="165" fontId="28" fillId="2" borderId="6" xfId="0" applyNumberFormat="1" applyFont="1" applyFill="1" applyBorder="1" applyAlignment="1">
      <alignment horizontal="center"/>
    </xf>
    <xf numFmtId="0" fontId="30" fillId="2" borderId="0" xfId="0" applyFont="1" applyFill="1"/>
    <xf numFmtId="165" fontId="31" fillId="2" borderId="0" xfId="0" applyNumberFormat="1" applyFont="1" applyFill="1" applyAlignment="1">
      <alignment horizontal="center"/>
    </xf>
    <xf numFmtId="165" fontId="31" fillId="2" borderId="6" xfId="0" applyNumberFormat="1" applyFont="1" applyFill="1" applyBorder="1" applyAlignment="1">
      <alignment horizontal="center"/>
    </xf>
    <xf numFmtId="0" fontId="23" fillId="2" borderId="0" xfId="0" applyFont="1" applyFill="1" applyAlignment="1" applyProtection="1">
      <alignment horizontal="left" vertical="center"/>
      <protection locked="0"/>
    </xf>
    <xf numFmtId="0" fontId="16" fillId="2" borderId="0" xfId="0" applyFont="1" applyFill="1" applyAlignment="1" applyProtection="1">
      <alignment horizontal="left" vertical="center"/>
      <protection locked="0"/>
    </xf>
    <xf numFmtId="0" fontId="11" fillId="2" borderId="2" xfId="0" applyFont="1" applyFill="1" applyBorder="1" applyAlignment="1" applyProtection="1">
      <alignment horizontal="center" vertical="center"/>
      <protection locked="0"/>
    </xf>
    <xf numFmtId="0" fontId="11" fillId="2" borderId="4" xfId="0" applyFont="1" applyFill="1" applyBorder="1" applyAlignment="1" applyProtection="1">
      <alignment horizontal="center" vertical="center"/>
      <protection locked="0"/>
    </xf>
    <xf numFmtId="0" fontId="10" fillId="2" borderId="5" xfId="0" applyFont="1" applyFill="1" applyBorder="1" applyAlignment="1" applyProtection="1">
      <alignment horizontal="left" vertical="center"/>
      <protection locked="0"/>
    </xf>
    <xf numFmtId="0" fontId="9" fillId="2" borderId="5" xfId="0" applyFont="1" applyFill="1" applyBorder="1" applyAlignment="1" applyProtection="1">
      <alignment horizontal="center" vertical="center" wrapText="1"/>
      <protection locked="0"/>
    </xf>
    <xf numFmtId="0" fontId="9" fillId="2" borderId="9" xfId="0" applyFont="1" applyFill="1" applyBorder="1" applyAlignment="1" applyProtection="1">
      <alignment horizontal="center"/>
      <protection locked="0"/>
    </xf>
    <xf numFmtId="0" fontId="0" fillId="2" borderId="0" xfId="0" applyFill="1" applyProtection="1">
      <protection locked="0"/>
    </xf>
    <xf numFmtId="0" fontId="0" fillId="10" borderId="0" xfId="0" applyFill="1" applyProtection="1">
      <protection locked="0"/>
    </xf>
    <xf numFmtId="0" fontId="22" fillId="10" borderId="0" xfId="0" applyFont="1" applyFill="1" applyProtection="1">
      <protection locked="0"/>
    </xf>
    <xf numFmtId="0" fontId="9" fillId="10" borderId="0" xfId="0" applyFont="1" applyFill="1" applyProtection="1">
      <protection locked="0"/>
    </xf>
    <xf numFmtId="0" fontId="11" fillId="2" borderId="0" xfId="0" applyFont="1" applyFill="1" applyAlignment="1" applyProtection="1">
      <alignment horizontal="center"/>
      <protection locked="0"/>
    </xf>
    <xf numFmtId="0" fontId="0" fillId="2" borderId="6" xfId="0" applyFill="1" applyBorder="1" applyProtection="1">
      <protection locked="0"/>
    </xf>
    <xf numFmtId="0" fontId="11" fillId="2" borderId="6" xfId="0" applyFont="1" applyFill="1" applyBorder="1" applyProtection="1">
      <protection locked="0"/>
    </xf>
    <xf numFmtId="0" fontId="9" fillId="2" borderId="6" xfId="0" applyFont="1" applyFill="1" applyBorder="1" applyAlignment="1" applyProtection="1">
      <alignment horizontal="center"/>
      <protection locked="0"/>
    </xf>
    <xf numFmtId="0" fontId="10" fillId="2" borderId="0" xfId="0" applyFont="1" applyFill="1" applyProtection="1">
      <protection locked="0"/>
    </xf>
    <xf numFmtId="0" fontId="9" fillId="2" borderId="0" xfId="0" applyFont="1" applyFill="1" applyAlignment="1" applyProtection="1">
      <alignment horizontal="center"/>
      <protection locked="0"/>
    </xf>
    <xf numFmtId="165" fontId="15" fillId="3" borderId="0" xfId="0" applyNumberFormat="1" applyFont="1" applyFill="1" applyAlignment="1" applyProtection="1">
      <alignment horizontal="center"/>
      <protection locked="0"/>
    </xf>
    <xf numFmtId="165" fontId="15" fillId="5" borderId="0" xfId="0" applyNumberFormat="1" applyFont="1" applyFill="1" applyAlignment="1" applyProtection="1">
      <alignment horizontal="center"/>
      <protection locked="0"/>
    </xf>
    <xf numFmtId="0" fontId="9" fillId="2" borderId="0" xfId="0" applyFont="1" applyFill="1" applyAlignment="1" applyProtection="1">
      <alignment horizontal="left"/>
      <protection locked="0"/>
    </xf>
    <xf numFmtId="0" fontId="9" fillId="2" borderId="0" xfId="0" applyFont="1" applyFill="1" applyAlignment="1" applyProtection="1">
      <alignment horizontal="left" indent="1"/>
      <protection locked="0"/>
    </xf>
    <xf numFmtId="0" fontId="9" fillId="2" borderId="6" xfId="0" applyFont="1" applyFill="1" applyBorder="1" applyProtection="1">
      <protection locked="0"/>
    </xf>
    <xf numFmtId="165" fontId="9" fillId="2" borderId="0" xfId="0" applyNumberFormat="1" applyFont="1" applyFill="1" applyAlignment="1" applyProtection="1">
      <alignment horizontal="center"/>
      <protection locked="0"/>
    </xf>
    <xf numFmtId="165" fontId="9" fillId="3" borderId="0" xfId="0" applyNumberFormat="1" applyFont="1" applyFill="1" applyAlignment="1" applyProtection="1">
      <alignment horizontal="center"/>
      <protection locked="0"/>
    </xf>
    <xf numFmtId="165" fontId="9" fillId="5" borderId="0" xfId="0" applyNumberFormat="1" applyFont="1" applyFill="1" applyAlignment="1" applyProtection="1">
      <alignment horizontal="center"/>
      <protection locked="0"/>
    </xf>
    <xf numFmtId="169" fontId="15" fillId="2" borderId="0" xfId="0" applyNumberFormat="1" applyFont="1" applyFill="1" applyAlignment="1" applyProtection="1">
      <alignment horizontal="center"/>
      <protection locked="0"/>
    </xf>
    <xf numFmtId="0" fontId="11" fillId="2" borderId="6" xfId="0" applyFont="1" applyFill="1" applyBorder="1" applyAlignment="1" applyProtection="1">
      <alignment horizontal="left"/>
      <protection locked="0"/>
    </xf>
    <xf numFmtId="165" fontId="15" fillId="2" borderId="6" xfId="0" applyNumberFormat="1" applyFont="1" applyFill="1" applyBorder="1" applyAlignment="1" applyProtection="1">
      <alignment horizontal="center"/>
      <protection locked="0"/>
    </xf>
    <xf numFmtId="164" fontId="15" fillId="2" borderId="6" xfId="0" applyNumberFormat="1" applyFont="1" applyFill="1" applyBorder="1" applyAlignment="1" applyProtection="1">
      <alignment horizontal="center"/>
      <protection locked="0"/>
    </xf>
    <xf numFmtId="165" fontId="15" fillId="10" borderId="0" xfId="0" applyNumberFormat="1" applyFont="1" applyFill="1" applyAlignment="1" applyProtection="1">
      <alignment horizontal="center"/>
      <protection locked="0"/>
    </xf>
    <xf numFmtId="0" fontId="22" fillId="2" borderId="0" xfId="0" applyFont="1" applyFill="1" applyProtection="1">
      <protection locked="0"/>
    </xf>
    <xf numFmtId="165" fontId="15" fillId="6" borderId="0" xfId="0" applyNumberFormat="1" applyFont="1" applyFill="1" applyAlignment="1" applyProtection="1">
      <alignment horizontal="center"/>
      <protection locked="0"/>
    </xf>
    <xf numFmtId="165" fontId="9" fillId="6" borderId="0" xfId="0" applyNumberFormat="1" applyFont="1" applyFill="1" applyAlignment="1" applyProtection="1">
      <alignment horizontal="center"/>
      <protection locked="0"/>
    </xf>
    <xf numFmtId="0" fontId="11" fillId="2" borderId="0" xfId="0" applyFont="1" applyFill="1" applyProtection="1">
      <protection locked="0"/>
    </xf>
    <xf numFmtId="165" fontId="12" fillId="2" borderId="0" xfId="0" applyNumberFormat="1" applyFont="1" applyFill="1" applyAlignment="1" applyProtection="1">
      <alignment horizontal="center"/>
      <protection locked="0"/>
    </xf>
    <xf numFmtId="0" fontId="12" fillId="2" borderId="0" xfId="0" applyFont="1" applyFill="1" applyAlignment="1" applyProtection="1">
      <alignment horizontal="center"/>
      <protection locked="0"/>
    </xf>
    <xf numFmtId="165" fontId="15" fillId="11" borderId="0" xfId="0" applyNumberFormat="1" applyFont="1" applyFill="1" applyAlignment="1">
      <alignment horizontal="center"/>
    </xf>
    <xf numFmtId="0" fontId="0" fillId="12" borderId="16" xfId="0" quotePrefix="1" applyFill="1" applyBorder="1" applyAlignment="1" applyProtection="1">
      <alignment horizontal="center" vertical="center"/>
      <protection locked="0"/>
    </xf>
    <xf numFmtId="2" fontId="0" fillId="12" borderId="17" xfId="0" applyNumberFormat="1" applyFill="1" applyBorder="1" applyAlignment="1" applyProtection="1">
      <alignment horizontal="center" vertical="center"/>
      <protection locked="0"/>
    </xf>
    <xf numFmtId="0" fontId="5" fillId="2" borderId="2" xfId="6" applyFill="1" applyBorder="1"/>
    <xf numFmtId="0" fontId="5" fillId="2" borderId="3" xfId="6" applyFill="1" applyBorder="1"/>
    <xf numFmtId="0" fontId="33" fillId="2" borderId="3" xfId="6" applyFont="1" applyFill="1" applyBorder="1"/>
    <xf numFmtId="0" fontId="5" fillId="2" borderId="4" xfId="6" applyFill="1" applyBorder="1"/>
    <xf numFmtId="0" fontId="5" fillId="5" borderId="0" xfId="6" applyFill="1"/>
    <xf numFmtId="0" fontId="5" fillId="2" borderId="5" xfId="6" applyFill="1" applyBorder="1"/>
    <xf numFmtId="0" fontId="5" fillId="2" borderId="0" xfId="6" applyFill="1"/>
    <xf numFmtId="0" fontId="33" fillId="2" borderId="0" xfId="6" applyFont="1" applyFill="1"/>
    <xf numFmtId="0" fontId="5" fillId="2" borderId="8" xfId="6" applyFill="1" applyBorder="1"/>
    <xf numFmtId="0" fontId="34" fillId="2" borderId="0" xfId="6" applyFont="1" applyFill="1"/>
    <xf numFmtId="0" fontId="35" fillId="2" borderId="0" xfId="4" applyFont="1" applyFill="1" applyBorder="1"/>
    <xf numFmtId="0" fontId="5" fillId="2" borderId="9" xfId="6" applyFill="1" applyBorder="1"/>
    <xf numFmtId="0" fontId="5" fillId="2" borderId="6" xfId="6" applyFill="1" applyBorder="1"/>
    <xf numFmtId="0" fontId="5" fillId="2" borderId="7" xfId="6" applyFill="1" applyBorder="1"/>
    <xf numFmtId="0" fontId="33" fillId="2" borderId="0" xfId="6" applyFont="1" applyFill="1" applyAlignment="1">
      <alignment horizontal="left" wrapText="1"/>
    </xf>
    <xf numFmtId="0" fontId="33" fillId="7" borderId="0" xfId="6" applyFont="1" applyFill="1" applyAlignment="1">
      <alignment horizontal="justify" wrapText="1"/>
    </xf>
    <xf numFmtId="0" fontId="33" fillId="9" borderId="0" xfId="6" applyFont="1" applyFill="1" applyAlignment="1">
      <alignment horizontal="justify" wrapText="1"/>
    </xf>
    <xf numFmtId="0" fontId="33" fillId="2" borderId="0" xfId="6" applyFont="1" applyFill="1" applyAlignment="1">
      <alignment horizontal="left" vertical="center" wrapText="1"/>
    </xf>
    <xf numFmtId="165" fontId="39" fillId="3" borderId="0" xfId="6" applyNumberFormat="1" applyFont="1" applyFill="1" applyAlignment="1">
      <alignment horizontal="center"/>
    </xf>
    <xf numFmtId="165" fontId="39" fillId="5" borderId="0" xfId="6" applyNumberFormat="1" applyFont="1" applyFill="1" applyAlignment="1">
      <alignment horizontal="center"/>
    </xf>
    <xf numFmtId="165" fontId="39" fillId="13" borderId="0" xfId="6" applyNumberFormat="1" applyFont="1" applyFill="1" applyAlignment="1">
      <alignment horizontal="center"/>
    </xf>
    <xf numFmtId="165" fontId="39" fillId="4" borderId="0" xfId="6" applyNumberFormat="1" applyFont="1" applyFill="1" applyAlignment="1">
      <alignment horizontal="center"/>
    </xf>
    <xf numFmtId="165" fontId="39" fillId="2" borderId="0" xfId="6" applyNumberFormat="1" applyFont="1" applyFill="1" applyAlignment="1">
      <alignment horizontal="center"/>
    </xf>
    <xf numFmtId="165" fontId="39" fillId="14" borderId="0" xfId="6" applyNumberFormat="1" applyFont="1" applyFill="1" applyAlignment="1">
      <alignment horizontal="center"/>
    </xf>
    <xf numFmtId="165" fontId="39" fillId="2" borderId="18" xfId="6" applyNumberFormat="1" applyFont="1" applyFill="1" applyBorder="1" applyAlignment="1">
      <alignment horizontal="center"/>
    </xf>
    <xf numFmtId="0" fontId="33" fillId="2" borderId="0" xfId="6" applyFont="1" applyFill="1" applyAlignment="1">
      <alignment vertical="center" wrapText="1"/>
    </xf>
    <xf numFmtId="0" fontId="32" fillId="5" borderId="0" xfId="6" applyFont="1" applyFill="1"/>
    <xf numFmtId="0" fontId="40" fillId="5" borderId="0" xfId="6" applyFont="1" applyFill="1"/>
    <xf numFmtId="168" fontId="0" fillId="2" borderId="0" xfId="0" applyNumberFormat="1" applyFill="1" applyProtection="1">
      <protection locked="0"/>
    </xf>
    <xf numFmtId="165" fontId="39" fillId="6" borderId="0" xfId="6" applyNumberFormat="1" applyFont="1" applyFill="1" applyAlignment="1">
      <alignment horizontal="center"/>
    </xf>
    <xf numFmtId="0" fontId="0" fillId="5" borderId="10" xfId="0" applyFill="1" applyBorder="1" applyAlignment="1">
      <alignment horizontal="center"/>
    </xf>
    <xf numFmtId="0" fontId="0" fillId="5" borderId="1" xfId="0" applyFill="1" applyBorder="1" applyAlignment="1">
      <alignment horizontal="center"/>
    </xf>
    <xf numFmtId="0" fontId="0" fillId="5" borderId="13" xfId="0" quotePrefix="1" applyFill="1" applyBorder="1" applyAlignment="1">
      <alignment horizontal="center" vertical="center"/>
    </xf>
    <xf numFmtId="2" fontId="0" fillId="5" borderId="13" xfId="0" applyNumberFormat="1" applyFill="1" applyBorder="1" applyAlignment="1">
      <alignment horizontal="center" vertical="center"/>
    </xf>
    <xf numFmtId="165" fontId="0" fillId="5" borderId="14" xfId="0" applyNumberFormat="1" applyFill="1" applyBorder="1" applyAlignment="1">
      <alignment horizontal="center" vertical="center"/>
    </xf>
    <xf numFmtId="0" fontId="0" fillId="5" borderId="3" xfId="0" applyFill="1" applyBorder="1"/>
    <xf numFmtId="0" fontId="0" fillId="5" borderId="4" xfId="0" applyFill="1" applyBorder="1"/>
    <xf numFmtId="0" fontId="0" fillId="5" borderId="0" xfId="0" applyFill="1"/>
    <xf numFmtId="0" fontId="0" fillId="5" borderId="8" xfId="0" applyFill="1" applyBorder="1"/>
    <xf numFmtId="0" fontId="0" fillId="5" borderId="6" xfId="0" applyFill="1" applyBorder="1"/>
    <xf numFmtId="0" fontId="0" fillId="5" borderId="7" xfId="0" applyFill="1" applyBorder="1"/>
    <xf numFmtId="0" fontId="0" fillId="5" borderId="0" xfId="0" quotePrefix="1" applyFill="1" applyAlignment="1">
      <alignment horizontal="center" vertical="center"/>
    </xf>
    <xf numFmtId="2" fontId="0" fillId="5" borderId="0" xfId="0" applyNumberFormat="1" applyFill="1" applyAlignment="1">
      <alignment horizontal="center" vertical="center"/>
    </xf>
    <xf numFmtId="165" fontId="0" fillId="5" borderId="6" xfId="0" applyNumberFormat="1" applyFill="1" applyBorder="1" applyAlignment="1">
      <alignment horizontal="center" vertical="center"/>
    </xf>
    <xf numFmtId="0" fontId="17" fillId="2" borderId="6" xfId="0" applyFont="1" applyFill="1" applyBorder="1"/>
    <xf numFmtId="0" fontId="17" fillId="2" borderId="7" xfId="0" applyFont="1" applyFill="1" applyBorder="1"/>
    <xf numFmtId="165" fontId="15" fillId="2" borderId="11" xfId="0" applyNumberFormat="1" applyFont="1" applyFill="1" applyBorder="1" applyAlignment="1">
      <alignment horizontal="center"/>
    </xf>
    <xf numFmtId="0" fontId="27" fillId="2" borderId="13" xfId="0" applyFont="1" applyFill="1" applyBorder="1"/>
    <xf numFmtId="0" fontId="27" fillId="2" borderId="2" xfId="0" applyFont="1" applyFill="1" applyBorder="1"/>
    <xf numFmtId="0" fontId="33" fillId="2" borderId="0" xfId="6" applyFont="1" applyFill="1" applyAlignment="1">
      <alignment horizontal="justify" wrapText="1"/>
    </xf>
    <xf numFmtId="0" fontId="17" fillId="13" borderId="11" xfId="0" applyFont="1" applyFill="1" applyBorder="1" applyAlignment="1">
      <alignment horizontal="center" vertical="center" wrapText="1"/>
    </xf>
    <xf numFmtId="0" fontId="0" fillId="13" borderId="0" xfId="0" applyFill="1" applyAlignment="1">
      <alignment horizontal="center"/>
    </xf>
    <xf numFmtId="0" fontId="0" fillId="13" borderId="6" xfId="0" applyFill="1" applyBorder="1" applyAlignment="1">
      <alignment horizontal="center"/>
    </xf>
    <xf numFmtId="164" fontId="15" fillId="2" borderId="0" xfId="0" applyNumberFormat="1" applyFont="1" applyFill="1" applyAlignment="1">
      <alignment horizontal="center"/>
    </xf>
    <xf numFmtId="170" fontId="9" fillId="2" borderId="0" xfId="0" applyNumberFormat="1" applyFont="1" applyFill="1" applyAlignment="1">
      <alignment horizontal="center"/>
    </xf>
    <xf numFmtId="0" fontId="41" fillId="15" borderId="0" xfId="3" applyFont="1" applyFill="1" applyAlignment="1">
      <alignment horizontal="left" vertical="top"/>
    </xf>
    <xf numFmtId="164" fontId="15" fillId="2" borderId="6" xfId="0" applyNumberFormat="1" applyFont="1" applyFill="1" applyBorder="1" applyAlignment="1">
      <alignment horizontal="center"/>
    </xf>
    <xf numFmtId="0" fontId="17" fillId="2" borderId="14" xfId="0" applyFont="1" applyFill="1" applyBorder="1" applyAlignment="1">
      <alignment horizontal="center" vertical="center" wrapText="1"/>
    </xf>
    <xf numFmtId="0" fontId="0" fillId="2" borderId="0" xfId="0" applyFill="1" applyAlignment="1">
      <alignment horizontal="justify" vertical="top" wrapText="1"/>
    </xf>
    <xf numFmtId="0" fontId="0" fillId="2" borderId="6" xfId="0" applyFill="1" applyBorder="1" applyAlignment="1">
      <alignment horizontal="justify" vertical="top" wrapText="1"/>
    </xf>
    <xf numFmtId="0" fontId="17" fillId="2" borderId="10" xfId="0" applyFont="1" applyFill="1" applyBorder="1" applyAlignment="1">
      <alignment horizontal="center" vertical="top" wrapText="1"/>
    </xf>
    <xf numFmtId="0" fontId="17" fillId="2" borderId="11" xfId="0" applyFont="1" applyFill="1" applyBorder="1" applyAlignment="1">
      <alignment horizontal="center" vertical="top" wrapText="1"/>
    </xf>
    <xf numFmtId="2" fontId="0" fillId="2" borderId="0" xfId="0" applyNumberFormat="1" applyFill="1"/>
    <xf numFmtId="2" fontId="0" fillId="2" borderId="0" xfId="0" applyNumberFormat="1" applyFill="1" applyAlignment="1">
      <alignment horizontal="center" vertical="top" wrapText="1"/>
    </xf>
    <xf numFmtId="0" fontId="0" fillId="2" borderId="0" xfId="0" applyFill="1" applyAlignment="1">
      <alignment vertical="top" wrapText="1"/>
    </xf>
    <xf numFmtId="0" fontId="0" fillId="2" borderId="7" xfId="0" applyFill="1" applyBorder="1" applyAlignment="1">
      <alignment horizontal="justify" vertical="top" wrapText="1"/>
    </xf>
    <xf numFmtId="0" fontId="17" fillId="2" borderId="0" xfId="0" applyFont="1" applyFill="1" applyAlignment="1">
      <alignment horizontal="center" vertical="top" wrapText="1"/>
    </xf>
    <xf numFmtId="0" fontId="0" fillId="2" borderId="0" xfId="0" applyFill="1" applyAlignment="1">
      <alignment vertical="center" wrapText="1"/>
    </xf>
    <xf numFmtId="165" fontId="0" fillId="2" borderId="9" xfId="0" applyNumberFormat="1" applyFill="1" applyBorder="1" applyAlignment="1">
      <alignment horizontal="center" vertical="top" wrapText="1"/>
    </xf>
    <xf numFmtId="165" fontId="0" fillId="2" borderId="6" xfId="0" applyNumberFormat="1" applyFill="1" applyBorder="1" applyAlignment="1">
      <alignment horizontal="center" vertical="top" wrapText="1"/>
    </xf>
    <xf numFmtId="2" fontId="0" fillId="2" borderId="3" xfId="0" applyNumberFormat="1" applyFill="1" applyBorder="1" applyAlignment="1">
      <alignment horizontal="center" vertical="top" wrapText="1"/>
    </xf>
    <xf numFmtId="2" fontId="0" fillId="2" borderId="4" xfId="0" applyNumberFormat="1" applyFill="1" applyBorder="1" applyAlignment="1">
      <alignment horizontal="center" vertical="top" wrapText="1"/>
    </xf>
    <xf numFmtId="165" fontId="0" fillId="2" borderId="7" xfId="0" applyNumberFormat="1" applyFill="1" applyBorder="1" applyAlignment="1">
      <alignment horizontal="center" vertical="top" wrapText="1"/>
    </xf>
    <xf numFmtId="0" fontId="0" fillId="2" borderId="14" xfId="0" applyFill="1" applyBorder="1" applyAlignment="1">
      <alignment vertical="center"/>
    </xf>
    <xf numFmtId="165" fontId="39" fillId="11" borderId="0" xfId="6" applyNumberFormat="1" applyFont="1" applyFill="1" applyAlignment="1">
      <alignment horizontal="center"/>
    </xf>
    <xf numFmtId="0" fontId="33" fillId="8" borderId="0" xfId="6" applyFont="1" applyFill="1"/>
    <xf numFmtId="0" fontId="33" fillId="8" borderId="0" xfId="6" applyFont="1" applyFill="1" applyAlignment="1">
      <alignment horizontal="justify" wrapText="1"/>
    </xf>
    <xf numFmtId="0" fontId="42" fillId="2" borderId="0" xfId="0" applyFont="1" applyFill="1" applyAlignment="1">
      <alignment vertical="top" wrapText="1"/>
    </xf>
    <xf numFmtId="0" fontId="17" fillId="2" borderId="12" xfId="0" applyFont="1" applyFill="1" applyBorder="1" applyAlignment="1">
      <alignment horizontal="center" vertical="top" wrapText="1"/>
    </xf>
    <xf numFmtId="0" fontId="27" fillId="2" borderId="9" xfId="0" applyFont="1" applyFill="1" applyBorder="1"/>
    <xf numFmtId="0" fontId="0" fillId="2" borderId="19" xfId="0" applyFill="1" applyBorder="1"/>
    <xf numFmtId="0" fontId="0" fillId="2" borderId="8" xfId="0" applyFill="1" applyBorder="1" applyAlignment="1">
      <alignment horizontal="justify" vertical="top" wrapText="1"/>
    </xf>
    <xf numFmtId="0" fontId="27" fillId="2" borderId="0" xfId="0" applyFont="1" applyFill="1"/>
    <xf numFmtId="165" fontId="15" fillId="6" borderId="0" xfId="0" applyNumberFormat="1" applyFont="1" applyFill="1" applyAlignment="1">
      <alignment horizontal="center"/>
    </xf>
    <xf numFmtId="168" fontId="9" fillId="2" borderId="0" xfId="0" applyNumberFormat="1" applyFont="1" applyFill="1" applyAlignment="1">
      <alignment horizontal="center"/>
    </xf>
    <xf numFmtId="165" fontId="9" fillId="11" borderId="0" xfId="0" applyNumberFormat="1" applyFont="1" applyFill="1" applyAlignment="1">
      <alignment horizontal="center"/>
    </xf>
    <xf numFmtId="165" fontId="9" fillId="11" borderId="6" xfId="0" applyNumberFormat="1" applyFont="1" applyFill="1" applyBorder="1" applyAlignment="1">
      <alignment horizontal="center"/>
    </xf>
    <xf numFmtId="165" fontId="0" fillId="2" borderId="0" xfId="0" applyNumberFormat="1" applyFill="1" applyAlignment="1">
      <alignment horizontal="center" vertical="top" wrapText="1"/>
    </xf>
    <xf numFmtId="0" fontId="44" fillId="2" borderId="0" xfId="0" applyFont="1" applyFill="1" applyAlignment="1">
      <alignment vertical="center" wrapText="1"/>
    </xf>
    <xf numFmtId="0" fontId="9" fillId="2" borderId="11" xfId="0" applyFont="1" applyFill="1" applyBorder="1" applyAlignment="1">
      <alignment horizontal="center"/>
    </xf>
    <xf numFmtId="169" fontId="9" fillId="2" borderId="0" xfId="0" applyNumberFormat="1" applyFont="1" applyFill="1"/>
    <xf numFmtId="2" fontId="9" fillId="11" borderId="0" xfId="0" applyNumberFormat="1" applyFont="1" applyFill="1" applyAlignment="1">
      <alignment horizontal="center"/>
    </xf>
    <xf numFmtId="2" fontId="9" fillId="11" borderId="6" xfId="0" applyNumberFormat="1" applyFont="1" applyFill="1" applyBorder="1" applyAlignment="1">
      <alignment horizontal="center"/>
    </xf>
    <xf numFmtId="0" fontId="44" fillId="2" borderId="14" xfId="0" applyFont="1" applyFill="1" applyBorder="1" applyAlignment="1">
      <alignment horizontal="center" vertical="center" wrapText="1"/>
    </xf>
    <xf numFmtId="2" fontId="45" fillId="2" borderId="0" xfId="0" applyNumberFormat="1" applyFont="1" applyFill="1" applyAlignment="1">
      <alignment horizontal="center"/>
    </xf>
    <xf numFmtId="2" fontId="15" fillId="2" borderId="0" xfId="0" applyNumberFormat="1" applyFont="1" applyFill="1" applyAlignment="1">
      <alignment horizontal="center"/>
    </xf>
    <xf numFmtId="2" fontId="15" fillId="2" borderId="6" xfId="0" applyNumberFormat="1" applyFont="1" applyFill="1" applyBorder="1" applyAlignment="1">
      <alignment horizontal="center"/>
    </xf>
    <xf numFmtId="165" fontId="9" fillId="13" borderId="0" xfId="0" applyNumberFormat="1" applyFont="1" applyFill="1" applyAlignment="1">
      <alignment horizontal="center"/>
    </xf>
    <xf numFmtId="2" fontId="0" fillId="2" borderId="0" xfId="0" quotePrefix="1" applyNumberFormat="1" applyFill="1" applyAlignment="1" applyProtection="1">
      <alignment horizontal="center" vertical="center"/>
      <protection locked="0"/>
    </xf>
    <xf numFmtId="0" fontId="3" fillId="5" borderId="0" xfId="6" applyFont="1" applyFill="1"/>
    <xf numFmtId="0" fontId="3" fillId="5" borderId="0" xfId="6" applyFont="1" applyFill="1" applyAlignment="1">
      <alignment vertical="top"/>
    </xf>
    <xf numFmtId="0" fontId="3" fillId="5" borderId="0" xfId="6" applyFont="1" applyFill="1" applyAlignment="1">
      <alignment vertical="top" wrapText="1"/>
    </xf>
    <xf numFmtId="0" fontId="0" fillId="2" borderId="0" xfId="0" applyFont="1" applyFill="1"/>
    <xf numFmtId="2" fontId="0" fillId="2" borderId="14" xfId="0" applyNumberFormat="1" applyFill="1" applyBorder="1" applyAlignment="1">
      <alignment horizontal="center"/>
    </xf>
    <xf numFmtId="0" fontId="0" fillId="2" borderId="0" xfId="0" applyFill="1" applyBorder="1"/>
    <xf numFmtId="0" fontId="0" fillId="2" borderId="0" xfId="0" applyFill="1" applyBorder="1" applyAlignment="1">
      <alignment horizontal="left" vertical="center" wrapText="1"/>
    </xf>
    <xf numFmtId="0" fontId="0" fillId="2" borderId="8" xfId="0" applyFill="1" applyBorder="1" applyAlignment="1">
      <alignment horizontal="left" vertical="center" wrapText="1"/>
    </xf>
    <xf numFmtId="165" fontId="0" fillId="2" borderId="5" xfId="0" applyNumberFormat="1" applyFill="1" applyBorder="1" applyAlignment="1">
      <alignment horizontal="center" vertical="top" wrapText="1"/>
    </xf>
    <xf numFmtId="165" fontId="0" fillId="2" borderId="0" xfId="0" applyNumberFormat="1" applyFill="1" applyBorder="1" applyAlignment="1">
      <alignment horizontal="center" vertical="top" wrapText="1"/>
    </xf>
    <xf numFmtId="2" fontId="0" fillId="2" borderId="13" xfId="0" applyNumberFormat="1" applyFill="1" applyBorder="1" applyAlignment="1">
      <alignment horizontal="center"/>
    </xf>
    <xf numFmtId="165" fontId="0" fillId="2" borderId="2" xfId="0" applyNumberFormat="1" applyFill="1" applyBorder="1" applyAlignment="1">
      <alignment horizontal="center" vertical="top" wrapText="1"/>
    </xf>
    <xf numFmtId="165" fontId="0" fillId="2" borderId="3" xfId="0" applyNumberFormat="1" applyFill="1" applyBorder="1" applyAlignment="1">
      <alignment horizontal="center" vertical="top" wrapText="1"/>
    </xf>
    <xf numFmtId="165" fontId="0" fillId="2" borderId="4" xfId="0" applyNumberFormat="1" applyFill="1" applyBorder="1" applyAlignment="1">
      <alignment horizontal="center" vertical="top" wrapText="1"/>
    </xf>
    <xf numFmtId="165" fontId="0" fillId="2" borderId="8" xfId="0" applyNumberFormat="1" applyFill="1" applyBorder="1" applyAlignment="1">
      <alignment horizontal="center" vertical="top" wrapText="1"/>
    </xf>
    <xf numFmtId="0" fontId="0" fillId="2" borderId="5" xfId="0" applyFill="1" applyBorder="1" applyAlignment="1">
      <alignment horizontal="left" vertical="center"/>
    </xf>
    <xf numFmtId="0" fontId="0" fillId="2" borderId="0" xfId="0" applyFill="1" applyAlignment="1">
      <alignment horizontal="center" vertical="center"/>
    </xf>
    <xf numFmtId="165" fontId="9" fillId="3" borderId="6" xfId="0" applyNumberFormat="1" applyFont="1" applyFill="1" applyBorder="1" applyAlignment="1">
      <alignment horizontal="center"/>
    </xf>
    <xf numFmtId="1" fontId="9" fillId="2" borderId="7" xfId="0" applyNumberFormat="1" applyFont="1" applyFill="1" applyBorder="1" applyAlignment="1" applyProtection="1">
      <alignment horizontal="center"/>
      <protection locked="0"/>
    </xf>
    <xf numFmtId="169" fontId="15" fillId="2" borderId="0" xfId="0" applyNumberFormat="1" applyFont="1" applyFill="1" applyAlignment="1" applyProtection="1">
      <alignment horizontal="left"/>
      <protection locked="0"/>
    </xf>
    <xf numFmtId="165" fontId="15" fillId="11" borderId="2" xfId="0" applyNumberFormat="1" applyFont="1" applyFill="1" applyBorder="1" applyAlignment="1" applyProtection="1">
      <alignment horizontal="center"/>
      <protection locked="0"/>
    </xf>
    <xf numFmtId="165" fontId="15" fillId="11" borderId="4" xfId="0" applyNumberFormat="1" applyFont="1" applyFill="1" applyBorder="1" applyAlignment="1" applyProtection="1">
      <alignment horizontal="center"/>
      <protection locked="0"/>
    </xf>
    <xf numFmtId="165" fontId="15" fillId="11" borderId="9" xfId="0" applyNumberFormat="1" applyFont="1" applyFill="1" applyBorder="1" applyAlignment="1" applyProtection="1">
      <alignment horizontal="center"/>
      <protection locked="0"/>
    </xf>
    <xf numFmtId="165" fontId="15" fillId="11" borderId="7" xfId="0" applyNumberFormat="1" applyFont="1" applyFill="1" applyBorder="1" applyAlignment="1" applyProtection="1">
      <alignment horizontal="center"/>
      <protection locked="0"/>
    </xf>
    <xf numFmtId="0" fontId="1" fillId="5" borderId="0" xfId="6" applyFont="1" applyFill="1"/>
    <xf numFmtId="0" fontId="1" fillId="5" borderId="0" xfId="6" applyFont="1" applyFill="1" applyAlignment="1">
      <alignment vertical="top"/>
    </xf>
    <xf numFmtId="0" fontId="1" fillId="5" borderId="0" xfId="6" applyFont="1" applyFill="1" applyAlignment="1">
      <alignment vertical="top" wrapText="1"/>
    </xf>
    <xf numFmtId="0" fontId="1" fillId="5" borderId="0" xfId="6" applyFont="1" applyFill="1" applyAlignment="1">
      <alignment vertical="center" wrapText="1"/>
    </xf>
    <xf numFmtId="0" fontId="33" fillId="2" borderId="0" xfId="6" applyFont="1" applyFill="1" applyAlignment="1">
      <alignment horizontal="justify" vertical="top" wrapText="1"/>
    </xf>
    <xf numFmtId="0" fontId="33" fillId="2" borderId="0" xfId="6" applyFont="1" applyFill="1" applyAlignment="1">
      <alignment horizontal="justify" vertical="justify" wrapText="1"/>
    </xf>
    <xf numFmtId="0" fontId="34" fillId="2" borderId="0" xfId="6" applyFont="1" applyFill="1" applyAlignment="1">
      <alignment horizontal="justify" vertical="top" wrapText="1"/>
    </xf>
    <xf numFmtId="0" fontId="15" fillId="2" borderId="0" xfId="0" applyFont="1" applyFill="1" applyAlignment="1" applyProtection="1">
      <alignment horizontal="left"/>
      <protection locked="0"/>
    </xf>
    <xf numFmtId="0" fontId="15" fillId="2" borderId="0" xfId="0" applyFont="1" applyFill="1" applyProtection="1">
      <protection locked="0"/>
    </xf>
    <xf numFmtId="0" fontId="13" fillId="2" borderId="0" xfId="0" applyFont="1" applyFill="1" applyProtection="1">
      <protection locked="0"/>
    </xf>
    <xf numFmtId="0" fontId="33" fillId="10" borderId="0" xfId="6" applyFont="1" applyFill="1" applyAlignment="1">
      <alignment horizontal="justify" wrapText="1"/>
    </xf>
    <xf numFmtId="0" fontId="33" fillId="16" borderId="0" xfId="6" applyFont="1" applyFill="1" applyAlignment="1">
      <alignment horizontal="justify" wrapText="1"/>
    </xf>
    <xf numFmtId="0" fontId="46" fillId="5" borderId="0" xfId="6" applyFont="1" applyFill="1"/>
    <xf numFmtId="0" fontId="47" fillId="2" borderId="0" xfId="0" applyFont="1" applyFill="1" applyAlignment="1">
      <alignment horizontal="left" indent="1"/>
    </xf>
    <xf numFmtId="0" fontId="33" fillId="17" borderId="0" xfId="6" applyFont="1" applyFill="1" applyAlignment="1">
      <alignment horizontal="justify" wrapText="1"/>
    </xf>
    <xf numFmtId="0" fontId="17" fillId="5" borderId="3" xfId="0" applyFont="1" applyFill="1" applyBorder="1" applyAlignment="1">
      <alignment horizontal="center" vertical="top" wrapText="1"/>
    </xf>
    <xf numFmtId="0" fontId="17" fillId="5" borderId="4" xfId="0" applyFont="1" applyFill="1" applyBorder="1" applyAlignment="1">
      <alignment horizontal="center" vertical="top" wrapText="1"/>
    </xf>
    <xf numFmtId="0" fontId="17" fillId="5" borderId="15" xfId="0" applyFont="1" applyFill="1" applyBorder="1" applyAlignment="1">
      <alignment horizontal="center"/>
    </xf>
    <xf numFmtId="0" fontId="0" fillId="5" borderId="15" xfId="0" applyFill="1" applyBorder="1" applyAlignment="1">
      <alignment horizontal="center" vertical="center"/>
    </xf>
    <xf numFmtId="2" fontId="0" fillId="5" borderId="14" xfId="0" applyNumberFormat="1" applyFill="1" applyBorder="1" applyAlignment="1">
      <alignment horizontal="center" vertical="center"/>
    </xf>
    <xf numFmtId="2" fontId="0" fillId="5" borderId="15" xfId="0" applyNumberFormat="1" applyFill="1" applyBorder="1" applyAlignment="1">
      <alignment horizontal="center" vertical="center"/>
    </xf>
    <xf numFmtId="165" fontId="44" fillId="5" borderId="13" xfId="0" applyNumberFormat="1" applyFont="1" applyFill="1" applyBorder="1" applyAlignment="1">
      <alignment horizontal="center" vertical="center"/>
    </xf>
    <xf numFmtId="0" fontId="0" fillId="2" borderId="0" xfId="0" applyFill="1" applyAlignment="1">
      <alignment vertical="center"/>
    </xf>
    <xf numFmtId="0" fontId="17" fillId="5" borderId="3" xfId="0" applyFont="1" applyFill="1" applyBorder="1" applyAlignment="1">
      <alignment horizontal="center" vertical="center" wrapText="1"/>
    </xf>
    <xf numFmtId="0" fontId="17" fillId="5" borderId="4" xfId="0" applyFont="1" applyFill="1" applyBorder="1" applyAlignment="1">
      <alignment horizontal="center" vertical="center" wrapText="1"/>
    </xf>
    <xf numFmtId="0" fontId="17" fillId="5" borderId="0" xfId="0" applyFont="1" applyFill="1" applyBorder="1" applyAlignment="1">
      <alignment horizontal="center" vertical="center" wrapText="1"/>
    </xf>
    <xf numFmtId="0" fontId="17" fillId="5" borderId="8" xfId="0" applyFont="1" applyFill="1" applyBorder="1" applyAlignment="1">
      <alignment horizontal="center" vertical="center" wrapText="1"/>
    </xf>
    <xf numFmtId="2" fontId="0" fillId="5" borderId="0" xfId="0" applyNumberFormat="1" applyFill="1" applyBorder="1" applyAlignment="1">
      <alignment horizontal="center" vertical="center" wrapText="1"/>
    </xf>
    <xf numFmtId="2" fontId="0" fillId="5" borderId="8" xfId="0" applyNumberFormat="1" applyFill="1" applyBorder="1" applyAlignment="1">
      <alignment horizontal="center" vertical="center" wrapText="1"/>
    </xf>
    <xf numFmtId="2" fontId="0" fillId="5" borderId="3" xfId="0" applyNumberFormat="1" applyFill="1" applyBorder="1" applyAlignment="1">
      <alignment horizontal="center" vertical="center" wrapText="1"/>
    </xf>
    <xf numFmtId="2" fontId="0" fillId="5" borderId="4" xfId="0" applyNumberFormat="1" applyFill="1" applyBorder="1" applyAlignment="1">
      <alignment horizontal="center" vertical="center" wrapText="1"/>
    </xf>
    <xf numFmtId="165" fontId="17" fillId="5" borderId="0" xfId="0" applyNumberFormat="1" applyFont="1" applyFill="1" applyBorder="1" applyAlignment="1">
      <alignment horizontal="center" vertical="center" wrapText="1"/>
    </xf>
    <xf numFmtId="165" fontId="17" fillId="5" borderId="8" xfId="0" applyNumberFormat="1" applyFont="1" applyFill="1" applyBorder="1" applyAlignment="1">
      <alignment horizontal="center" vertical="center" wrapText="1"/>
    </xf>
    <xf numFmtId="2" fontId="0" fillId="5" borderId="6" xfId="0" applyNumberFormat="1" applyFill="1" applyBorder="1" applyAlignment="1">
      <alignment horizontal="center" vertical="center" wrapText="1"/>
    </xf>
    <xf numFmtId="2" fontId="0" fillId="5" borderId="7" xfId="0" applyNumberFormat="1" applyFill="1" applyBorder="1" applyAlignment="1">
      <alignment horizontal="center" vertical="center" wrapText="1"/>
    </xf>
    <xf numFmtId="0" fontId="0" fillId="5" borderId="5" xfId="0" applyFill="1" applyBorder="1" applyAlignment="1">
      <alignment horizontal="left" vertical="center" indent="2"/>
    </xf>
    <xf numFmtId="0" fontId="0" fillId="5" borderId="0" xfId="0" applyFill="1" applyBorder="1" applyAlignment="1">
      <alignment horizontal="left" vertical="center" wrapText="1" indent="2"/>
    </xf>
    <xf numFmtId="0" fontId="0" fillId="5" borderId="8" xfId="0" applyFill="1" applyBorder="1" applyAlignment="1">
      <alignment horizontal="left" vertical="center" wrapText="1" indent="2"/>
    </xf>
    <xf numFmtId="165" fontId="15" fillId="2" borderId="3" xfId="0" applyNumberFormat="1" applyFont="1" applyFill="1" applyBorder="1" applyAlignment="1">
      <alignment horizontal="center"/>
    </xf>
    <xf numFmtId="0" fontId="0" fillId="0" borderId="0" xfId="0" applyFont="1"/>
    <xf numFmtId="165" fontId="0" fillId="2" borderId="0" xfId="0" applyNumberFormat="1" applyFont="1" applyFill="1" applyAlignment="1">
      <alignment horizontal="center" vertical="center"/>
    </xf>
    <xf numFmtId="0" fontId="0" fillId="2" borderId="0" xfId="0" applyFont="1" applyFill="1" applyAlignment="1">
      <alignment horizontal="center" vertical="top"/>
    </xf>
    <xf numFmtId="0" fontId="0" fillId="19" borderId="0" xfId="0" applyFont="1" applyFill="1" applyAlignment="1">
      <alignment horizontal="center" vertical="top"/>
    </xf>
    <xf numFmtId="0" fontId="0" fillId="19" borderId="0" xfId="0" applyFont="1" applyFill="1" applyAlignment="1">
      <alignment vertical="top"/>
    </xf>
    <xf numFmtId="0" fontId="17" fillId="0" borderId="0" xfId="0" applyFont="1" applyFill="1" applyAlignment="1">
      <alignment horizontal="left" vertical="center"/>
    </xf>
    <xf numFmtId="0" fontId="48" fillId="18" borderId="0" xfId="0" applyFont="1" applyFill="1" applyAlignment="1">
      <alignment horizontal="left" vertical="center"/>
    </xf>
    <xf numFmtId="0" fontId="0" fillId="18" borderId="0" xfId="0" applyFont="1" applyFill="1" applyAlignment="1">
      <alignment vertical="top"/>
    </xf>
    <xf numFmtId="0" fontId="22" fillId="18" borderId="0" xfId="0" applyFont="1" applyFill="1" applyAlignment="1">
      <alignment horizontal="center" vertical="top"/>
    </xf>
    <xf numFmtId="0" fontId="22" fillId="18" borderId="0" xfId="0" applyFont="1" applyFill="1" applyAlignment="1">
      <alignment horizontal="center"/>
    </xf>
    <xf numFmtId="0" fontId="49" fillId="18" borderId="0" xfId="0" applyFont="1" applyFill="1" applyAlignment="1">
      <alignment horizontal="center" vertical="center" wrapText="1"/>
    </xf>
    <xf numFmtId="0" fontId="48" fillId="18" borderId="0" xfId="0" applyFont="1" applyFill="1" applyAlignment="1">
      <alignment horizontal="center" vertical="center" wrapText="1"/>
    </xf>
    <xf numFmtId="0" fontId="43" fillId="19" borderId="0" xfId="0" applyFont="1" applyFill="1" applyAlignment="1">
      <alignment horizontal="left" vertical="top" wrapText="1"/>
    </xf>
    <xf numFmtId="0" fontId="25" fillId="19" borderId="0" xfId="0" applyFont="1" applyFill="1" applyAlignment="1">
      <alignment horizontal="center"/>
    </xf>
    <xf numFmtId="0" fontId="0" fillId="19" borderId="0" xfId="0" applyFont="1" applyFill="1" applyAlignment="1">
      <alignment horizontal="left"/>
    </xf>
    <xf numFmtId="0" fontId="43" fillId="19" borderId="0" xfId="0" applyFont="1" applyFill="1" applyAlignment="1">
      <alignment horizontal="left" vertical="top" wrapText="1" indent="1"/>
    </xf>
    <xf numFmtId="0" fontId="43" fillId="19" borderId="0" xfId="0" applyFont="1" applyFill="1" applyAlignment="1">
      <alignment vertical="top"/>
    </xf>
    <xf numFmtId="0" fontId="43" fillId="19" borderId="0" xfId="0" applyFont="1" applyFill="1" applyAlignment="1">
      <alignment horizontal="left" wrapText="1"/>
    </xf>
    <xf numFmtId="0" fontId="0" fillId="18" borderId="0" xfId="0" applyFont="1" applyFill="1"/>
    <xf numFmtId="1" fontId="48" fillId="18" borderId="0" xfId="0" applyNumberFormat="1" applyFont="1" applyFill="1" applyAlignment="1">
      <alignment horizontal="center" vertical="center" wrapText="1"/>
    </xf>
    <xf numFmtId="2" fontId="0" fillId="2" borderId="0" xfId="0" applyNumberFormat="1" applyFont="1" applyFill="1" applyAlignment="1">
      <alignment horizontal="center" vertical="center"/>
    </xf>
    <xf numFmtId="165" fontId="25" fillId="2" borderId="0" xfId="0" applyNumberFormat="1" applyFont="1" applyFill="1" applyAlignment="1">
      <alignment horizontal="center" vertical="center"/>
    </xf>
    <xf numFmtId="0" fontId="25" fillId="2" borderId="0" xfId="0" applyFont="1" applyFill="1" applyAlignment="1">
      <alignment horizontal="center" vertical="center"/>
    </xf>
    <xf numFmtId="0" fontId="0" fillId="2" borderId="0" xfId="0" applyFont="1" applyFill="1" applyAlignment="1">
      <alignment vertical="top"/>
    </xf>
    <xf numFmtId="0" fontId="17" fillId="2" borderId="0" xfId="0" applyFont="1" applyFill="1" applyAlignment="1">
      <alignment horizontal="left" vertical="center"/>
    </xf>
    <xf numFmtId="0" fontId="0" fillId="19" borderId="0" xfId="0" applyFont="1" applyFill="1" applyAlignment="1">
      <alignment horizontal="center"/>
    </xf>
    <xf numFmtId="165" fontId="25" fillId="0" borderId="0" xfId="0" applyNumberFormat="1" applyFont="1" applyAlignment="1">
      <alignment horizontal="center" vertical="center"/>
    </xf>
    <xf numFmtId="165" fontId="9" fillId="2" borderId="0" xfId="0" applyNumberFormat="1" applyFont="1" applyFill="1" applyAlignment="1">
      <alignment horizontal="center" vertical="center"/>
    </xf>
    <xf numFmtId="0" fontId="33" fillId="2" borderId="0" xfId="6" applyFont="1" applyFill="1" applyAlignment="1">
      <alignment horizontal="justify" vertical="top" wrapText="1"/>
    </xf>
    <xf numFmtId="0" fontId="0" fillId="2" borderId="0" xfId="0" applyFill="1" applyAlignment="1">
      <alignment wrapText="1"/>
    </xf>
    <xf numFmtId="0" fontId="33" fillId="20" borderId="0" xfId="6" applyFont="1" applyFill="1" applyAlignment="1">
      <alignment horizontal="justify" wrapText="1"/>
    </xf>
    <xf numFmtId="0" fontId="43" fillId="2" borderId="0" xfId="0" applyFont="1" applyFill="1"/>
    <xf numFmtId="0" fontId="25" fillId="2" borderId="0" xfId="0" applyFont="1" applyFill="1" applyAlignment="1">
      <alignment horizontal="center"/>
    </xf>
    <xf numFmtId="165" fontId="25" fillId="2" borderId="0" xfId="0" applyNumberFormat="1" applyFont="1" applyFill="1" applyAlignment="1">
      <alignment horizontal="center"/>
    </xf>
    <xf numFmtId="165" fontId="15" fillId="2" borderId="0" xfId="0" applyNumberFormat="1" applyFont="1" applyFill="1" applyAlignment="1" applyProtection="1">
      <alignment horizontal="left"/>
      <protection locked="0"/>
    </xf>
    <xf numFmtId="1" fontId="9" fillId="2" borderId="0" xfId="0" applyNumberFormat="1" applyFont="1" applyFill="1" applyAlignment="1">
      <alignment horizontal="center"/>
    </xf>
    <xf numFmtId="1" fontId="15" fillId="21" borderId="0" xfId="0" applyNumberFormat="1" applyFont="1" applyFill="1" applyAlignment="1" applyProtection="1">
      <alignment horizontal="center"/>
      <protection locked="0"/>
    </xf>
    <xf numFmtId="165" fontId="39" fillId="21" borderId="0" xfId="6" applyNumberFormat="1" applyFont="1" applyFill="1" applyAlignment="1">
      <alignment horizontal="center"/>
    </xf>
    <xf numFmtId="0" fontId="0" fillId="5" borderId="2" xfId="0" applyFont="1" applyFill="1" applyBorder="1"/>
    <xf numFmtId="0" fontId="0" fillId="5" borderId="5" xfId="0" applyFont="1" applyFill="1" applyBorder="1"/>
    <xf numFmtId="0" fontId="0" fillId="5" borderId="9" xfId="0" applyFont="1" applyFill="1" applyBorder="1" applyAlignment="1">
      <alignment horizontal="left"/>
    </xf>
    <xf numFmtId="0" fontId="44" fillId="13" borderId="14" xfId="0" applyFont="1" applyFill="1" applyBorder="1" applyAlignment="1">
      <alignment horizontal="center" vertical="center" wrapText="1"/>
    </xf>
    <xf numFmtId="0" fontId="17" fillId="13" borderId="1" xfId="0" applyFont="1" applyFill="1" applyBorder="1" applyAlignment="1">
      <alignment horizontal="center" vertical="center" wrapText="1"/>
    </xf>
    <xf numFmtId="165" fontId="17" fillId="2" borderId="15" xfId="0" applyNumberFormat="1" applyFont="1" applyFill="1" applyBorder="1" applyAlignment="1">
      <alignment horizontal="center"/>
    </xf>
    <xf numFmtId="165" fontId="17" fillId="2" borderId="14" xfId="0" applyNumberFormat="1" applyFont="1" applyFill="1" applyBorder="1" applyAlignment="1">
      <alignment horizontal="center"/>
    </xf>
    <xf numFmtId="0" fontId="0" fillId="2" borderId="7" xfId="0" applyFill="1" applyBorder="1" applyAlignment="1">
      <alignment vertical="center"/>
    </xf>
    <xf numFmtId="0" fontId="0" fillId="2" borderId="9" xfId="0" applyFill="1" applyBorder="1" applyAlignment="1">
      <alignment vertical="center"/>
    </xf>
    <xf numFmtId="0" fontId="5" fillId="2" borderId="5" xfId="6" applyFill="1" applyBorder="1" applyAlignment="1">
      <alignment vertical="center"/>
    </xf>
    <xf numFmtId="0" fontId="33" fillId="7" borderId="0" xfId="6" applyFont="1" applyFill="1" applyAlignment="1">
      <alignment horizontal="justify" vertical="center" wrapText="1"/>
    </xf>
    <xf numFmtId="0" fontId="33" fillId="12" borderId="20" xfId="6" applyFont="1" applyFill="1" applyBorder="1" applyAlignment="1">
      <alignment vertical="center" wrapText="1"/>
    </xf>
    <xf numFmtId="0" fontId="5" fillId="2" borderId="8" xfId="6" applyFill="1" applyBorder="1" applyAlignment="1">
      <alignment vertical="center"/>
    </xf>
    <xf numFmtId="0" fontId="3" fillId="5" borderId="0" xfId="6" applyFont="1" applyFill="1" applyAlignment="1">
      <alignment vertical="center"/>
    </xf>
    <xf numFmtId="0" fontId="5" fillId="5" borderId="0" xfId="6" applyFill="1" applyAlignment="1">
      <alignment vertical="center"/>
    </xf>
    <xf numFmtId="0" fontId="33" fillId="2" borderId="14" xfId="6" applyFont="1" applyFill="1" applyBorder="1" applyAlignment="1">
      <alignment vertical="center" wrapText="1"/>
    </xf>
    <xf numFmtId="0" fontId="33" fillId="13" borderId="3" xfId="6" applyFont="1" applyFill="1" applyBorder="1" applyAlignment="1">
      <alignment vertical="center" wrapText="1"/>
    </xf>
    <xf numFmtId="0" fontId="33" fillId="5" borderId="0" xfId="6" applyFont="1" applyFill="1" applyBorder="1" applyAlignment="1">
      <alignment vertical="center" wrapText="1"/>
    </xf>
    <xf numFmtId="2" fontId="25" fillId="2" borderId="0" xfId="0" applyNumberFormat="1" applyFont="1" applyFill="1"/>
    <xf numFmtId="0" fontId="25" fillId="2" borderId="0" xfId="0" applyFont="1" applyFill="1" applyAlignment="1">
      <alignment vertical="center"/>
    </xf>
    <xf numFmtId="2" fontId="25" fillId="2" borderId="0" xfId="0" applyNumberFormat="1" applyFont="1" applyFill="1" applyAlignment="1">
      <alignment vertical="center"/>
    </xf>
    <xf numFmtId="0" fontId="33" fillId="2" borderId="0" xfId="6" applyFont="1" applyFill="1" applyBorder="1" applyAlignment="1">
      <alignment horizontal="left" vertical="center" wrapText="1"/>
    </xf>
    <xf numFmtId="0" fontId="33" fillId="2" borderId="0" xfId="6" applyFont="1" applyFill="1" applyAlignment="1">
      <alignment horizontal="left" vertical="center" wrapText="1"/>
    </xf>
    <xf numFmtId="0" fontId="33" fillId="2" borderId="0" xfId="6" applyFont="1" applyFill="1" applyAlignment="1">
      <alignment horizontal="left" vertical="top" wrapText="1"/>
    </xf>
    <xf numFmtId="0" fontId="33" fillId="2" borderId="8" xfId="6" applyFont="1" applyFill="1" applyBorder="1" applyAlignment="1">
      <alignment horizontal="left" vertical="top" wrapText="1"/>
    </xf>
    <xf numFmtId="0" fontId="33" fillId="2" borderId="0" xfId="6" applyFont="1" applyFill="1" applyAlignment="1">
      <alignment horizontal="justify" vertical="top" wrapText="1"/>
    </xf>
    <xf numFmtId="0" fontId="33" fillId="2" borderId="22" xfId="6" applyFont="1" applyFill="1" applyBorder="1" applyAlignment="1">
      <alignment horizontal="left" vertical="center" wrapText="1"/>
    </xf>
    <xf numFmtId="0" fontId="33" fillId="2" borderId="0" xfId="6" applyFont="1" applyFill="1" applyAlignment="1">
      <alignment horizontal="justify" vertical="center" wrapText="1"/>
    </xf>
    <xf numFmtId="0" fontId="33" fillId="2" borderId="0" xfId="12" applyFont="1" applyFill="1" applyAlignment="1">
      <alignment horizontal="left" vertical="top" wrapText="1"/>
    </xf>
    <xf numFmtId="0" fontId="34" fillId="2" borderId="0" xfId="6" applyFont="1" applyFill="1" applyAlignment="1">
      <alignment horizontal="justify" vertical="top"/>
    </xf>
    <xf numFmtId="0" fontId="34" fillId="2" borderId="0" xfId="6" applyFont="1" applyFill="1" applyAlignment="1">
      <alignment horizontal="justify" vertical="top" wrapText="1"/>
    </xf>
    <xf numFmtId="0" fontId="46" fillId="2" borderId="0" xfId="6" applyFont="1" applyFill="1" applyAlignment="1">
      <alignment horizontal="justify" vertical="top" wrapText="1"/>
    </xf>
    <xf numFmtId="0" fontId="34" fillId="2" borderId="0" xfId="6" applyFont="1" applyFill="1" applyAlignment="1">
      <alignment horizontal="justify" vertical="justify" wrapText="1"/>
    </xf>
    <xf numFmtId="0" fontId="33" fillId="2" borderId="0" xfId="6" applyFont="1" applyFill="1" applyAlignment="1">
      <alignment horizontal="justify" vertical="justify" wrapText="1"/>
    </xf>
    <xf numFmtId="0" fontId="19" fillId="2" borderId="6" xfId="6" applyFont="1" applyFill="1" applyBorder="1" applyAlignment="1">
      <alignment horizontal="left" wrapText="1"/>
    </xf>
    <xf numFmtId="0" fontId="33" fillId="2" borderId="21" xfId="6" applyFont="1" applyFill="1" applyBorder="1" applyAlignment="1">
      <alignment horizontal="left" vertical="center" wrapText="1"/>
    </xf>
    <xf numFmtId="0" fontId="0" fillId="2" borderId="9" xfId="0" applyFill="1" applyBorder="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7" fillId="2" borderId="2" xfId="0" applyFont="1" applyFill="1" applyBorder="1" applyAlignment="1">
      <alignment horizontal="left"/>
    </xf>
    <xf numFmtId="0" fontId="17" fillId="2" borderId="3" xfId="0" applyFont="1" applyFill="1" applyBorder="1" applyAlignment="1">
      <alignment horizontal="left"/>
    </xf>
    <xf numFmtId="0" fontId="17" fillId="2" borderId="9" xfId="0" applyFont="1" applyFill="1" applyBorder="1" applyAlignment="1">
      <alignment horizontal="left"/>
    </xf>
    <xf numFmtId="0" fontId="17" fillId="2" borderId="6" xfId="0" applyFont="1" applyFill="1" applyBorder="1" applyAlignment="1">
      <alignment horizontal="left"/>
    </xf>
    <xf numFmtId="0" fontId="0" fillId="2" borderId="0" xfId="0" applyFill="1" applyAlignment="1">
      <alignment horizontal="justify" vertical="top" wrapText="1"/>
    </xf>
    <xf numFmtId="0" fontId="0" fillId="13" borderId="15" xfId="0" applyFill="1" applyBorder="1" applyAlignment="1">
      <alignment horizontal="center" vertical="center"/>
    </xf>
    <xf numFmtId="0" fontId="0" fillId="13" borderId="13" xfId="0" applyFill="1" applyBorder="1" applyAlignment="1">
      <alignment horizontal="center" vertical="center"/>
    </xf>
    <xf numFmtId="0" fontId="0" fillId="13" borderId="14" xfId="0" applyFill="1" applyBorder="1" applyAlignment="1">
      <alignment horizontal="center" vertical="center"/>
    </xf>
    <xf numFmtId="0" fontId="0" fillId="2" borderId="15"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165" fontId="0" fillId="2" borderId="15" xfId="0" applyNumberFormat="1" applyFill="1" applyBorder="1" applyAlignment="1">
      <alignment horizontal="center" vertical="center" wrapText="1"/>
    </xf>
    <xf numFmtId="165" fontId="0" fillId="2" borderId="13" xfId="0" applyNumberFormat="1" applyFill="1" applyBorder="1" applyAlignment="1">
      <alignment horizontal="center" vertical="center" wrapText="1"/>
    </xf>
    <xf numFmtId="165" fontId="0" fillId="2" borderId="14" xfId="0" applyNumberFormat="1" applyFill="1" applyBorder="1" applyAlignment="1">
      <alignment horizontal="center" vertical="center" wrapText="1"/>
    </xf>
    <xf numFmtId="0" fontId="0" fillId="2" borderId="3" xfId="0" applyFill="1" applyBorder="1" applyAlignment="1">
      <alignment horizontal="justify" vertical="top" wrapText="1"/>
    </xf>
    <xf numFmtId="0" fontId="44" fillId="2" borderId="10" xfId="0" applyFont="1" applyFill="1" applyBorder="1" applyAlignment="1">
      <alignment horizontal="center" vertical="center" wrapText="1"/>
    </xf>
    <xf numFmtId="0" fontId="44" fillId="2" borderId="11" xfId="0" applyFont="1" applyFill="1" applyBorder="1" applyAlignment="1">
      <alignment horizontal="center" vertical="center" wrapText="1"/>
    </xf>
    <xf numFmtId="0" fontId="44" fillId="2" borderId="12" xfId="0" applyFont="1" applyFill="1" applyBorder="1" applyAlignment="1">
      <alignment horizontal="center" vertical="center" wrapText="1"/>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2" borderId="4" xfId="0" applyFill="1" applyBorder="1" applyAlignment="1">
      <alignment horizontal="left" vertical="center" wrapText="1"/>
    </xf>
    <xf numFmtId="0" fontId="0" fillId="5" borderId="5" xfId="0" applyFill="1" applyBorder="1" applyAlignment="1">
      <alignment horizontal="left" vertical="center" wrapText="1" indent="2"/>
    </xf>
    <xf numFmtId="0" fontId="0" fillId="5" borderId="0" xfId="0" applyFill="1" applyBorder="1" applyAlignment="1">
      <alignment horizontal="left" vertical="center" wrapText="1" indent="2"/>
    </xf>
    <xf numFmtId="0" fontId="0" fillId="5" borderId="8" xfId="0" applyFill="1" applyBorder="1" applyAlignment="1">
      <alignment horizontal="left" vertical="center" wrapText="1" indent="2"/>
    </xf>
    <xf numFmtId="0" fontId="0" fillId="5" borderId="9" xfId="0" applyFill="1" applyBorder="1" applyAlignment="1">
      <alignment horizontal="left" vertical="center" wrapText="1" indent="2"/>
    </xf>
    <xf numFmtId="0" fontId="0" fillId="5" borderId="6" xfId="0" applyFill="1" applyBorder="1" applyAlignment="1">
      <alignment horizontal="left" vertical="center" wrapText="1" indent="2"/>
    </xf>
    <xf numFmtId="0" fontId="0" fillId="5" borderId="7" xfId="0" applyFill="1" applyBorder="1" applyAlignment="1">
      <alignment horizontal="left" vertical="center" wrapText="1" indent="2"/>
    </xf>
    <xf numFmtId="0" fontId="43" fillId="2" borderId="3" xfId="0" applyFont="1" applyFill="1" applyBorder="1" applyAlignment="1">
      <alignment horizontal="justify" vertical="top" wrapText="1"/>
    </xf>
    <xf numFmtId="0" fontId="44" fillId="5" borderId="10" xfId="0" applyFont="1" applyFill="1" applyBorder="1" applyAlignment="1">
      <alignment horizontal="center" vertical="center" wrapText="1"/>
    </xf>
    <xf numFmtId="0" fontId="44" fillId="5" borderId="11" xfId="0" applyFont="1" applyFill="1" applyBorder="1" applyAlignment="1">
      <alignment horizontal="center" vertical="center" wrapText="1"/>
    </xf>
    <xf numFmtId="0" fontId="44" fillId="5" borderId="12" xfId="0" applyFont="1" applyFill="1" applyBorder="1" applyAlignment="1">
      <alignment horizontal="center" vertical="center" wrapText="1"/>
    </xf>
    <xf numFmtId="0" fontId="0" fillId="2" borderId="15" xfId="0" applyFill="1" applyBorder="1" applyAlignment="1">
      <alignment horizontal="left" vertical="center"/>
    </xf>
    <xf numFmtId="0" fontId="17" fillId="5" borderId="10" xfId="0" applyFont="1" applyFill="1" applyBorder="1" applyAlignment="1">
      <alignment horizontal="center" vertical="center" wrapText="1"/>
    </xf>
    <xf numFmtId="0" fontId="17" fillId="5" borderId="12" xfId="0" applyFont="1" applyFill="1" applyBorder="1" applyAlignment="1">
      <alignment horizontal="center" vertical="center" wrapText="1"/>
    </xf>
    <xf numFmtId="0" fontId="30" fillId="5" borderId="2" xfId="0" applyFont="1" applyFill="1" applyBorder="1" applyAlignment="1">
      <alignment horizontal="left" vertical="center" wrapText="1"/>
    </xf>
    <xf numFmtId="0" fontId="30" fillId="5" borderId="3" xfId="0" applyFont="1" applyFill="1" applyBorder="1" applyAlignment="1">
      <alignment horizontal="left" vertical="center" wrapText="1"/>
    </xf>
    <xf numFmtId="0" fontId="30" fillId="5" borderId="4" xfId="0" applyFont="1" applyFill="1" applyBorder="1" applyAlignment="1">
      <alignment horizontal="left" vertical="center" wrapText="1"/>
    </xf>
    <xf numFmtId="0" fontId="17" fillId="2" borderId="10" xfId="0" applyFont="1" applyFill="1" applyBorder="1" applyAlignment="1">
      <alignment horizontal="center"/>
    </xf>
    <xf numFmtId="0" fontId="17" fillId="2" borderId="11" xfId="0" applyFont="1" applyFill="1" applyBorder="1" applyAlignment="1">
      <alignment horizontal="center"/>
    </xf>
    <xf numFmtId="0" fontId="17" fillId="2" borderId="12" xfId="0" applyFont="1" applyFill="1" applyBorder="1" applyAlignment="1">
      <alignment horizontal="center"/>
    </xf>
    <xf numFmtId="0" fontId="0" fillId="2" borderId="15" xfId="0" applyFill="1" applyBorder="1" applyAlignment="1">
      <alignment horizontal="center" vertical="center"/>
    </xf>
    <xf numFmtId="0" fontId="0" fillId="2" borderId="13" xfId="0" applyFill="1" applyBorder="1" applyAlignment="1">
      <alignment horizontal="center" vertical="center"/>
    </xf>
    <xf numFmtId="0" fontId="0" fillId="2" borderId="14" xfId="0" applyFill="1" applyBorder="1" applyAlignment="1">
      <alignment horizontal="center" vertical="center"/>
    </xf>
    <xf numFmtId="0" fontId="17" fillId="2" borderId="10" xfId="0" applyFont="1" applyFill="1" applyBorder="1" applyAlignment="1">
      <alignment horizontal="center" vertical="center" wrapText="1"/>
    </xf>
    <xf numFmtId="0" fontId="17" fillId="2" borderId="12" xfId="0" applyFont="1" applyFill="1" applyBorder="1" applyAlignment="1">
      <alignment horizontal="center" vertical="center" wrapText="1"/>
    </xf>
    <xf numFmtId="0" fontId="0" fillId="2" borderId="3" xfId="0" applyFill="1" applyBorder="1" applyAlignment="1">
      <alignment horizontal="left" vertical="top" wrapText="1"/>
    </xf>
    <xf numFmtId="0" fontId="17" fillId="2" borderId="11" xfId="0" applyFont="1" applyFill="1" applyBorder="1" applyAlignment="1">
      <alignment horizontal="center" vertical="center" wrapText="1"/>
    </xf>
    <xf numFmtId="0" fontId="17" fillId="13" borderId="10" xfId="0" applyFont="1" applyFill="1" applyBorder="1" applyAlignment="1">
      <alignment horizontal="center" vertical="center" wrapText="1"/>
    </xf>
    <xf numFmtId="0" fontId="17" fillId="13" borderId="12" xfId="0" applyFont="1" applyFill="1" applyBorder="1" applyAlignment="1">
      <alignment horizontal="center" vertical="center" wrapText="1"/>
    </xf>
    <xf numFmtId="0" fontId="0" fillId="13" borderId="15" xfId="0" applyFill="1" applyBorder="1" applyAlignment="1">
      <alignment horizontal="center" vertical="center" wrapText="1"/>
    </xf>
    <xf numFmtId="0" fontId="0" fillId="13" borderId="13" xfId="0" applyFill="1" applyBorder="1" applyAlignment="1">
      <alignment horizontal="center" vertical="center" wrapText="1"/>
    </xf>
    <xf numFmtId="0" fontId="0" fillId="13" borderId="14" xfId="0" applyFill="1" applyBorder="1" applyAlignment="1">
      <alignment horizontal="center" vertical="center" wrapText="1"/>
    </xf>
    <xf numFmtId="0" fontId="17" fillId="2" borderId="2" xfId="0" applyFont="1" applyFill="1" applyBorder="1" applyAlignment="1">
      <alignment horizontal="center" vertical="center"/>
    </xf>
    <xf numFmtId="0" fontId="17" fillId="2" borderId="3" xfId="0" applyFont="1" applyFill="1" applyBorder="1" applyAlignment="1">
      <alignment horizontal="center" vertical="center"/>
    </xf>
    <xf numFmtId="0" fontId="17" fillId="2" borderId="4" xfId="0" applyFont="1" applyFill="1" applyBorder="1" applyAlignment="1">
      <alignment horizontal="center" vertical="center"/>
    </xf>
    <xf numFmtId="0" fontId="17" fillId="2" borderId="9" xfId="0" applyFont="1" applyFill="1" applyBorder="1" applyAlignment="1">
      <alignment horizontal="center" vertical="center"/>
    </xf>
    <xf numFmtId="0" fontId="17" fillId="2" borderId="6" xfId="0" applyFont="1" applyFill="1" applyBorder="1" applyAlignment="1">
      <alignment horizontal="center" vertical="center"/>
    </xf>
    <xf numFmtId="0" fontId="17" fillId="2" borderId="7" xfId="0" applyFont="1" applyFill="1" applyBorder="1" applyAlignment="1">
      <alignment horizontal="center" vertical="center"/>
    </xf>
    <xf numFmtId="0" fontId="17" fillId="2" borderId="10" xfId="0" applyFont="1" applyFill="1" applyBorder="1" applyAlignment="1">
      <alignment horizontal="center" vertical="center"/>
    </xf>
    <xf numFmtId="0" fontId="17" fillId="2" borderId="11" xfId="0" applyFont="1" applyFill="1" applyBorder="1" applyAlignment="1">
      <alignment horizontal="center" vertical="center"/>
    </xf>
    <xf numFmtId="0" fontId="17" fillId="2" borderId="12" xfId="0" applyFont="1" applyFill="1" applyBorder="1" applyAlignment="1">
      <alignment horizontal="center" vertical="center"/>
    </xf>
    <xf numFmtId="0" fontId="51" fillId="2" borderId="0" xfId="0" applyFont="1" applyFill="1" applyAlignment="1">
      <alignment horizontal="center" vertical="center" wrapText="1"/>
    </xf>
  </cellXfs>
  <cellStyles count="14">
    <cellStyle name="Hyperlink 2" xfId="4" xr:uid="{00000000-0005-0000-0000-000000000000}"/>
    <cellStyle name="Normal" xfId="0" builtinId="0"/>
    <cellStyle name="Normal 2" xfId="3" xr:uid="{00000000-0005-0000-0000-000002000000}"/>
    <cellStyle name="Normal 2 2" xfId="5" xr:uid="{00000000-0005-0000-0000-000003000000}"/>
    <cellStyle name="Normal 2 2 2" xfId="6" xr:uid="{00000000-0005-0000-0000-000004000000}"/>
    <cellStyle name="Normal 2 2 2 2" xfId="11" xr:uid="{D0E23963-54C4-40C3-A08B-C51BBEBC5911}"/>
    <cellStyle name="Normal 2 2 2 3" xfId="12" xr:uid="{E686E16B-8FF5-42A3-854C-C9783938C00C}"/>
    <cellStyle name="Normal 2 2 3" xfId="10" xr:uid="{8E0939B2-890A-4E4A-9A67-9A990C4259EA}"/>
    <cellStyle name="Normal 2 3" xfId="9" xr:uid="{6D6AF9E9-B81E-4C25-8D2A-8C5EC56A28D7}"/>
    <cellStyle name="Normal 4 5" xfId="13" xr:uid="{961F5BD5-E2A8-4CCD-93A3-2FC6DE1553AE}"/>
    <cellStyle name="Normal 5" xfId="2" xr:uid="{00000000-0005-0000-0000-000005000000}"/>
    <cellStyle name="Normal 5 2" xfId="8" xr:uid="{BE5ABAF7-F156-47EA-94C7-F5604FBB16A1}"/>
    <cellStyle name="Normal 6" xfId="1" xr:uid="{00000000-0005-0000-0000-000006000000}"/>
    <cellStyle name="Normal 6 2" xfId="7" xr:uid="{D760FB6E-0ACD-4E7B-8A23-51253FCE930B}"/>
  </cellStyles>
  <dxfs count="44">
    <dxf>
      <font>
        <color theme="0"/>
      </font>
      <fill>
        <patternFill>
          <bgColor theme="0"/>
        </patternFill>
      </fill>
    </dxf>
    <dxf>
      <font>
        <color theme="0"/>
      </font>
      <fill>
        <patternFill>
          <bgColor theme="0"/>
        </patternFill>
      </fill>
    </dxf>
    <dxf>
      <font>
        <color theme="0"/>
      </font>
    </dxf>
    <dxf>
      <font>
        <color theme="0"/>
      </font>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patternFill>
      </fill>
    </dxf>
    <dxf>
      <fill>
        <patternFill>
          <bgColor theme="0"/>
        </patternFill>
      </fill>
    </dxf>
    <dxf>
      <fill>
        <patternFill>
          <bgColor theme="0"/>
        </patternFill>
      </fill>
    </dxf>
    <dxf>
      <font>
        <color theme="0"/>
      </font>
      <fill>
        <patternFill>
          <bgColor theme="0"/>
        </patternFill>
      </fill>
      <border>
        <left/>
        <right/>
        <top/>
        <bottom/>
      </border>
    </dxf>
    <dxf>
      <fill>
        <patternFill>
          <bgColor theme="0" tint="-0.14996795556505021"/>
        </patternFill>
      </fill>
    </dxf>
    <dxf>
      <fill>
        <patternFill>
          <bgColor theme="0"/>
        </patternFill>
      </fill>
    </dxf>
    <dxf>
      <font>
        <color theme="0"/>
      </font>
    </dxf>
    <dxf>
      <font>
        <color theme="0"/>
      </font>
    </dxf>
    <dxf>
      <border>
        <left style="thin">
          <color auto="1"/>
        </left>
        <top style="thin">
          <color auto="1"/>
        </top>
        <bottom style="thin">
          <color auto="1"/>
        </bottom>
        <vertical/>
        <horizontal/>
      </border>
    </dxf>
    <dxf>
      <border>
        <right style="thin">
          <color auto="1"/>
        </right>
        <top style="thin">
          <color auto="1"/>
        </top>
        <bottom style="thin">
          <color auto="1"/>
        </bottom>
        <vertical/>
        <horizontal/>
      </border>
    </dxf>
    <dxf>
      <border>
        <left style="thin">
          <color auto="1"/>
        </left>
        <top style="thin">
          <color auto="1"/>
        </top>
        <bottom style="thin">
          <color auto="1"/>
        </bottom>
        <vertical/>
        <horizontal/>
      </border>
    </dxf>
    <dxf>
      <fill>
        <patternFill>
          <bgColor theme="0" tint="-0.14996795556505021"/>
        </patternFill>
      </fill>
    </dxf>
    <dxf>
      <font>
        <color theme="0"/>
      </font>
      <fill>
        <patternFill>
          <bgColor theme="0"/>
        </patternFill>
      </fill>
      <border>
        <left/>
        <right/>
        <top/>
        <bottom/>
        <vertical/>
        <horizontal/>
      </border>
    </dxf>
    <dxf>
      <font>
        <color theme="0"/>
      </font>
    </dxf>
    <dxf>
      <font>
        <color theme="0"/>
      </font>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patternFill>
      </fill>
    </dxf>
    <dxf>
      <fill>
        <patternFill>
          <bgColor theme="0" tint="-0.34998626667073579"/>
        </patternFill>
      </fill>
    </dxf>
    <dxf>
      <fill>
        <patternFill>
          <bgColor theme="0" tint="-0.14996795556505021"/>
        </patternFill>
      </fill>
    </dxf>
    <dxf>
      <font>
        <color theme="0"/>
      </font>
      <fill>
        <patternFill>
          <bgColor theme="0"/>
        </patternFill>
      </fill>
      <border>
        <left/>
        <right/>
        <top/>
        <bottom/>
      </border>
    </dxf>
    <dxf>
      <fill>
        <patternFill>
          <bgColor theme="0" tint="-0.34998626667073579"/>
        </patternFill>
      </fill>
      <border>
        <left style="thin">
          <color auto="1"/>
        </left>
        <right style="thin">
          <color auto="1"/>
        </right>
        <bottom style="thin">
          <color auto="1"/>
        </bottom>
      </border>
    </dxf>
    <dxf>
      <fill>
        <patternFill>
          <bgColor theme="0" tint="-0.34998626667073579"/>
        </patternFill>
      </fill>
      <border>
        <left style="thin">
          <color auto="1"/>
        </left>
        <right style="thin">
          <color auto="1"/>
        </right>
        <top style="thin">
          <color auto="1"/>
        </top>
      </border>
    </dxf>
    <dxf>
      <font>
        <color theme="0"/>
      </font>
      <fill>
        <patternFill>
          <bgColor theme="0"/>
        </patternFill>
      </fill>
      <border>
        <left/>
        <right/>
        <top/>
        <bottom/>
      </border>
    </dxf>
    <dxf>
      <font>
        <color theme="0"/>
      </font>
      <fill>
        <patternFill patternType="solid">
          <bgColor theme="0"/>
        </patternFill>
      </fill>
      <border>
        <left/>
        <right/>
        <top/>
        <bottom/>
        <vertical/>
        <horizontal/>
      </border>
    </dxf>
    <dxf>
      <fill>
        <patternFill>
          <bgColor theme="0" tint="-0.14996795556505021"/>
        </patternFill>
      </fill>
    </dxf>
    <dxf>
      <font>
        <color theme="0"/>
      </font>
    </dxf>
    <dxf>
      <font>
        <color theme="0"/>
      </font>
    </dxf>
    <dxf>
      <font>
        <color theme="0"/>
      </font>
      <fill>
        <patternFill>
          <bgColor theme="0"/>
        </patternFill>
      </fill>
      <border>
        <left/>
        <right/>
        <top/>
        <bottom/>
      </border>
    </dxf>
    <dxf>
      <fill>
        <patternFill>
          <bgColor theme="0" tint="-0.14996795556505021"/>
        </patternFill>
      </fill>
    </dxf>
    <dxf>
      <font>
        <color theme="0"/>
      </font>
      <fill>
        <patternFill>
          <bgColor theme="0"/>
        </patternFill>
      </fill>
      <border>
        <left/>
        <right/>
        <top/>
        <bottom/>
      </border>
    </dxf>
    <dxf>
      <font>
        <b/>
        <i val="0"/>
        <color rgb="FF00B050"/>
      </font>
    </dxf>
    <dxf>
      <border>
        <left/>
        <right/>
        <top/>
        <bottom/>
        <vertical/>
        <horizontal/>
      </border>
    </dxf>
    <dxf>
      <border>
        <left style="thin">
          <color auto="1"/>
        </left>
        <right/>
        <top/>
        <bottom/>
        <vertical/>
        <horizontal/>
      </border>
    </dxf>
    <dxf>
      <font>
        <strike val="0"/>
        <color theme="0"/>
      </font>
    </dxf>
    <dxf>
      <border>
        <left/>
        <right/>
        <top/>
        <bottom/>
        <vertical/>
        <horizontal/>
      </border>
    </dxf>
  </dxfs>
  <tableStyles count="0" defaultTableStyle="TableStyleMedium2" defaultPivotStyle="PivotStyleLight16"/>
  <colors>
    <mruColors>
      <color rgb="FFFFFFCC"/>
      <color rgb="FFF8A8ED"/>
      <color rgb="FFFFC7CE"/>
      <color rgb="FFF2DC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Stochastic!$B$21</c:f>
          <c:strCache>
            <c:ptCount val="1"/>
            <c:pt idx="0">
              <c:v>Stochastic debt projections 2029-2033</c:v>
            </c:pt>
          </c:strCache>
        </c:strRef>
      </c:tx>
      <c:overlay val="0"/>
    </c:title>
    <c:autoTitleDeleted val="0"/>
    <c:plotArea>
      <c:layout>
        <c:manualLayout>
          <c:layoutTarget val="inner"/>
          <c:xMode val="edge"/>
          <c:yMode val="edge"/>
          <c:x val="8.6310419062785679E-2"/>
          <c:y val="0.14954234919701911"/>
          <c:w val="0.85496978555227576"/>
          <c:h val="0.75103905168930085"/>
        </c:manualLayout>
      </c:layout>
      <c:areaChart>
        <c:grouping val="stacked"/>
        <c:varyColors val="0"/>
        <c:ser>
          <c:idx val="1"/>
          <c:order val="0"/>
          <c:tx>
            <c:strRef>
              <c:f>Stochastic!$B$22</c:f>
              <c:strCache>
                <c:ptCount val="1"/>
                <c:pt idx="0">
                  <c:v>p10</c:v>
                </c:pt>
              </c:strCache>
            </c:strRef>
          </c:tx>
          <c:spPr>
            <a:noFill/>
            <a:ln w="25400">
              <a:noFill/>
            </a:ln>
          </c:spPr>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Stochastic!$C$22:$I$22</c:f>
              <c:numCache>
                <c:formatCode>0.0</c:formatCode>
                <c:ptCount val="7"/>
                <c:pt idx="0">
                  <c:v>116.92117165766111</c:v>
                </c:pt>
                <c:pt idx="1">
                  <c:v>117.28270034717907</c:v>
                </c:pt>
                <c:pt idx="2">
                  <c:v>111.92955692356367</c:v>
                </c:pt>
                <c:pt idx="3">
                  <c:v>108.92239712278048</c:v>
                </c:pt>
                <c:pt idx="4">
                  <c:v>105.99447916887171</c:v>
                </c:pt>
                <c:pt idx="5">
                  <c:v>103.83766740940146</c:v>
                </c:pt>
                <c:pt idx="6">
                  <c:v>102.02971900713301</c:v>
                </c:pt>
              </c:numCache>
            </c:numRef>
          </c:val>
          <c:extLst>
            <c:ext xmlns:c16="http://schemas.microsoft.com/office/drawing/2014/chart" uri="{C3380CC4-5D6E-409C-BE32-E72D297353CC}">
              <c16:uniqueId val="{00000000-0172-4116-9325-0285A655A4B3}"/>
            </c:ext>
          </c:extLst>
        </c:ser>
        <c:ser>
          <c:idx val="2"/>
          <c:order val="1"/>
          <c:tx>
            <c:strRef>
              <c:f>Stochastic!$B$23</c:f>
              <c:strCache>
                <c:ptCount val="1"/>
                <c:pt idx="0">
                  <c:v>p30_p10</c:v>
                </c:pt>
              </c:strCache>
            </c:strRef>
          </c:tx>
          <c:spPr>
            <a:solidFill>
              <a:srgbClr val="4F81BD">
                <a:lumMod val="60000"/>
                <a:lumOff val="40000"/>
              </a:srgbClr>
            </a:solidFill>
            <a:ln w="12700">
              <a:solidFill>
                <a:srgbClr val="000000"/>
              </a:solidFill>
              <a:prstDash val="solid"/>
            </a:ln>
          </c:spPr>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Stochastic!$C$23:$I$23</c:f>
              <c:numCache>
                <c:formatCode>0.0</c:formatCode>
                <c:ptCount val="7"/>
                <c:pt idx="0">
                  <c:v>0</c:v>
                </c:pt>
                <c:pt idx="1">
                  <c:v>0</c:v>
                </c:pt>
                <c:pt idx="2">
                  <c:v>2.5972671508789063</c:v>
                </c:pt>
                <c:pt idx="3">
                  <c:v>3.661895751953125</c:v>
                </c:pt>
                <c:pt idx="4">
                  <c:v>4.4895858764648438</c:v>
                </c:pt>
                <c:pt idx="5">
                  <c:v>5.1849746704101563</c:v>
                </c:pt>
                <c:pt idx="6">
                  <c:v>5.6876144409179688</c:v>
                </c:pt>
              </c:numCache>
            </c:numRef>
          </c:val>
          <c:extLst>
            <c:ext xmlns:c16="http://schemas.microsoft.com/office/drawing/2014/chart" uri="{C3380CC4-5D6E-409C-BE32-E72D297353CC}">
              <c16:uniqueId val="{00000001-0172-4116-9325-0285A655A4B3}"/>
            </c:ext>
          </c:extLst>
        </c:ser>
        <c:ser>
          <c:idx val="3"/>
          <c:order val="2"/>
          <c:tx>
            <c:strRef>
              <c:f>Stochastic!$B$24</c:f>
              <c:strCache>
                <c:ptCount val="1"/>
                <c:pt idx="0">
                  <c:v>p50_p30</c:v>
                </c:pt>
              </c:strCache>
            </c:strRef>
          </c:tx>
          <c:spPr>
            <a:solidFill>
              <a:schemeClr val="accent1">
                <a:lumMod val="60000"/>
                <a:lumOff val="40000"/>
              </a:schemeClr>
            </a:solidFill>
            <a:ln w="12700">
              <a:solidFill>
                <a:srgbClr val="000000"/>
              </a:solidFill>
              <a:prstDash val="solid"/>
            </a:ln>
          </c:spPr>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Stochastic!$C$24:$I$24</c:f>
              <c:numCache>
                <c:formatCode>0.0</c:formatCode>
                <c:ptCount val="7"/>
                <c:pt idx="0">
                  <c:v>0</c:v>
                </c:pt>
                <c:pt idx="1">
                  <c:v>0</c:v>
                </c:pt>
                <c:pt idx="2">
                  <c:v>1.867218017578125</c:v>
                </c:pt>
                <c:pt idx="3">
                  <c:v>2.5872116088867188</c:v>
                </c:pt>
                <c:pt idx="4">
                  <c:v>3.1138839721679688</c:v>
                </c:pt>
                <c:pt idx="5">
                  <c:v>3.6118621826171875</c:v>
                </c:pt>
                <c:pt idx="6">
                  <c:v>4.0261764526367188</c:v>
                </c:pt>
              </c:numCache>
            </c:numRef>
          </c:val>
          <c:extLst>
            <c:ext xmlns:c16="http://schemas.microsoft.com/office/drawing/2014/chart" uri="{C3380CC4-5D6E-409C-BE32-E72D297353CC}">
              <c16:uniqueId val="{00000002-0172-4116-9325-0285A655A4B3}"/>
            </c:ext>
          </c:extLst>
        </c:ser>
        <c:ser>
          <c:idx val="4"/>
          <c:order val="3"/>
          <c:tx>
            <c:strRef>
              <c:f>Stochastic!$B$25</c:f>
              <c:strCache>
                <c:ptCount val="1"/>
                <c:pt idx="0">
                  <c:v>p70_p50</c:v>
                </c:pt>
              </c:strCache>
            </c:strRef>
          </c:tx>
          <c:spPr>
            <a:solidFill>
              <a:srgbClr val="4F81BD">
                <a:lumMod val="60000"/>
                <a:lumOff val="40000"/>
              </a:srgbClr>
            </a:solidFill>
            <a:ln w="12700">
              <a:solidFill>
                <a:srgbClr val="000000"/>
              </a:solidFill>
              <a:prstDash val="solid"/>
            </a:ln>
          </c:spPr>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Stochastic!$C$25:$I$25</c:f>
              <c:numCache>
                <c:formatCode>0.0</c:formatCode>
                <c:ptCount val="7"/>
                <c:pt idx="0">
                  <c:v>0</c:v>
                </c:pt>
                <c:pt idx="1">
                  <c:v>0</c:v>
                </c:pt>
                <c:pt idx="2">
                  <c:v>1.8539505004882813</c:v>
                </c:pt>
                <c:pt idx="3">
                  <c:v>2.5046768188476563</c:v>
                </c:pt>
                <c:pt idx="4">
                  <c:v>3.0943832397460938</c:v>
                </c:pt>
                <c:pt idx="5">
                  <c:v>3.6939315795898438</c:v>
                </c:pt>
                <c:pt idx="6">
                  <c:v>4.11102294921875</c:v>
                </c:pt>
              </c:numCache>
            </c:numRef>
          </c:val>
          <c:extLst>
            <c:ext xmlns:c16="http://schemas.microsoft.com/office/drawing/2014/chart" uri="{C3380CC4-5D6E-409C-BE32-E72D297353CC}">
              <c16:uniqueId val="{00000003-0172-4116-9325-0285A655A4B3}"/>
            </c:ext>
          </c:extLst>
        </c:ser>
        <c:ser>
          <c:idx val="5"/>
          <c:order val="4"/>
          <c:tx>
            <c:strRef>
              <c:f>Stochastic!$B$26</c:f>
              <c:strCache>
                <c:ptCount val="1"/>
                <c:pt idx="0">
                  <c:v>p90_p70</c:v>
                </c:pt>
              </c:strCache>
            </c:strRef>
          </c:tx>
          <c:spPr>
            <a:solidFill>
              <a:srgbClr val="4F81BD">
                <a:lumMod val="20000"/>
                <a:lumOff val="80000"/>
              </a:srgbClr>
            </a:solidFill>
            <a:ln w="12700">
              <a:solidFill>
                <a:srgbClr val="000000"/>
              </a:solidFill>
              <a:prstDash val="solid"/>
            </a:ln>
          </c:spPr>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Stochastic!$C$26:$I$26</c:f>
              <c:numCache>
                <c:formatCode>0.0</c:formatCode>
                <c:ptCount val="7"/>
                <c:pt idx="0">
                  <c:v>0</c:v>
                </c:pt>
                <c:pt idx="1">
                  <c:v>0</c:v>
                </c:pt>
                <c:pt idx="2">
                  <c:v>2.7434921264648438</c:v>
                </c:pt>
                <c:pt idx="3">
                  <c:v>3.86431884765625</c:v>
                </c:pt>
                <c:pt idx="4">
                  <c:v>4.6440887451171875</c:v>
                </c:pt>
                <c:pt idx="5">
                  <c:v>5.4226760864257813</c:v>
                </c:pt>
                <c:pt idx="6">
                  <c:v>6.1788787841796875</c:v>
                </c:pt>
              </c:numCache>
            </c:numRef>
          </c:val>
          <c:extLst>
            <c:ext xmlns:c16="http://schemas.microsoft.com/office/drawing/2014/chart" uri="{C3380CC4-5D6E-409C-BE32-E72D297353CC}">
              <c16:uniqueId val="{00000004-0172-4116-9325-0285A655A4B3}"/>
            </c:ext>
          </c:extLst>
        </c:ser>
        <c:dLbls>
          <c:showLegendKey val="0"/>
          <c:showVal val="0"/>
          <c:showCatName val="0"/>
          <c:showSerName val="0"/>
          <c:showPercent val="0"/>
          <c:showBubbleSize val="0"/>
        </c:dLbls>
        <c:axId val="1747775104"/>
        <c:axId val="1"/>
      </c:areaChart>
      <c:lineChart>
        <c:grouping val="standard"/>
        <c:varyColors val="0"/>
        <c:ser>
          <c:idx val="0"/>
          <c:order val="5"/>
          <c:tx>
            <c:strRef>
              <c:f>Stochastic!$B$30</c:f>
              <c:strCache>
                <c:ptCount val="1"/>
                <c:pt idx="0">
                  <c:v>p70</c:v>
                </c:pt>
              </c:strCache>
            </c:strRef>
          </c:tx>
          <c:spPr>
            <a:ln w="44450">
              <a:solidFill>
                <a:srgbClr val="FF0000"/>
              </a:solidFill>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1-2026-4D35-8044-BA74213EFFB8}"/>
                </c:ext>
              </c:extLst>
            </c:dLbl>
            <c:dLbl>
              <c:idx val="1"/>
              <c:delete val="1"/>
              <c:extLst>
                <c:ext xmlns:c15="http://schemas.microsoft.com/office/drawing/2012/chart" uri="{CE6537A1-D6FC-4f65-9D91-7224C49458BB}"/>
                <c:ext xmlns:c16="http://schemas.microsoft.com/office/drawing/2014/chart" uri="{C3380CC4-5D6E-409C-BE32-E72D297353CC}">
                  <c16:uniqueId val="{00000002-2026-4D35-8044-BA74213EFFB8}"/>
                </c:ext>
              </c:extLst>
            </c:dLbl>
            <c:dLbl>
              <c:idx val="2"/>
              <c:delete val="1"/>
              <c:extLst>
                <c:ext xmlns:c15="http://schemas.microsoft.com/office/drawing/2012/chart" uri="{CE6537A1-D6FC-4f65-9D91-7224C49458BB}"/>
                <c:ext xmlns:c16="http://schemas.microsoft.com/office/drawing/2014/chart" uri="{C3380CC4-5D6E-409C-BE32-E72D297353CC}">
                  <c16:uniqueId val="{00000003-2026-4D35-8044-BA74213EFFB8}"/>
                </c:ext>
              </c:extLst>
            </c:dLbl>
            <c:dLbl>
              <c:idx val="3"/>
              <c:delete val="1"/>
              <c:extLst>
                <c:ext xmlns:c15="http://schemas.microsoft.com/office/drawing/2012/chart" uri="{CE6537A1-D6FC-4f65-9D91-7224C49458BB}"/>
                <c:ext xmlns:c16="http://schemas.microsoft.com/office/drawing/2014/chart" uri="{C3380CC4-5D6E-409C-BE32-E72D297353CC}">
                  <c16:uniqueId val="{00000004-2026-4D35-8044-BA74213EFFB8}"/>
                </c:ext>
              </c:extLst>
            </c:dLbl>
            <c:dLbl>
              <c:idx val="4"/>
              <c:delete val="1"/>
              <c:extLst>
                <c:ext xmlns:c15="http://schemas.microsoft.com/office/drawing/2012/chart" uri="{CE6537A1-D6FC-4f65-9D91-7224C49458BB}"/>
                <c:ext xmlns:c16="http://schemas.microsoft.com/office/drawing/2014/chart" uri="{C3380CC4-5D6E-409C-BE32-E72D297353CC}">
                  <c16:uniqueId val="{00000005-2026-4D35-8044-BA74213EFFB8}"/>
                </c:ext>
              </c:extLst>
            </c:dLbl>
            <c:dLbl>
              <c:idx val="5"/>
              <c:delete val="1"/>
              <c:extLst>
                <c:ext xmlns:c15="http://schemas.microsoft.com/office/drawing/2012/chart" uri="{CE6537A1-D6FC-4f65-9D91-7224C49458BB}"/>
                <c:ext xmlns:c16="http://schemas.microsoft.com/office/drawing/2014/chart" uri="{C3380CC4-5D6E-409C-BE32-E72D297353CC}">
                  <c16:uniqueId val="{00000006-2026-4D35-8044-BA74213EFFB8}"/>
                </c:ext>
              </c:extLst>
            </c:dLbl>
            <c:dLbl>
              <c:idx val="6"/>
              <c:layout>
                <c:manualLayout>
                  <c:x val="0"/>
                  <c:y val="-1.0357327809425169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7-2026-4D35-8044-BA74213EFFB8}"/>
                </c:ext>
              </c:extLst>
            </c:dLbl>
            <c:spPr>
              <a:ln>
                <a:noFill/>
              </a:ln>
              <a:effectLst/>
            </c:spPr>
            <c:txPr>
              <a:bodyPr wrap="square" lIns="38100" tIns="19050" rIns="38100" bIns="19050" anchor="ctr">
                <a:spAutoFit/>
              </a:bodyPr>
              <a:lstStyle/>
              <a:p>
                <a:pPr>
                  <a:defRPr b="1">
                    <a:solidFill>
                      <a:srgbClr val="FF0000"/>
                    </a:solidFill>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Stochastic!$C$30:$I$30</c:f>
              <c:numCache>
                <c:formatCode>0.0</c:formatCode>
                <c:ptCount val="7"/>
                <c:pt idx="0">
                  <c:v>116.92117165766111</c:v>
                </c:pt>
                <c:pt idx="1">
                  <c:v>117.28270034717907</c:v>
                </c:pt>
                <c:pt idx="2">
                  <c:v>118.24799259250898</c:v>
                </c:pt>
                <c:pt idx="3">
                  <c:v>117.67618130246798</c:v>
                </c:pt>
                <c:pt idx="4">
                  <c:v>116.69233225725061</c:v>
                </c:pt>
                <c:pt idx="5">
                  <c:v>116.32843584201865</c:v>
                </c:pt>
                <c:pt idx="6">
                  <c:v>115.85453284990645</c:v>
                </c:pt>
              </c:numCache>
            </c:numRef>
          </c:val>
          <c:smooth val="0"/>
          <c:extLst>
            <c:ext xmlns:c16="http://schemas.microsoft.com/office/drawing/2014/chart" uri="{C3380CC4-5D6E-409C-BE32-E72D297353CC}">
              <c16:uniqueId val="{00000000-2026-4D35-8044-BA74213EFFB8}"/>
            </c:ext>
          </c:extLst>
        </c:ser>
        <c:ser>
          <c:idx val="6"/>
          <c:order val="6"/>
          <c:tx>
            <c:strRef>
              <c:f>Stochastic!$B$28</c:f>
              <c:strCache>
                <c:ptCount val="1"/>
                <c:pt idx="0">
                  <c:v>p30</c:v>
                </c:pt>
              </c:strCache>
            </c:strRef>
          </c:tx>
          <c:spPr>
            <a:ln w="3175">
              <a:solidFill>
                <a:sysClr val="windowText" lastClr="000000">
                  <a:alpha val="25000"/>
                </a:sysClr>
              </a:solidFill>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1-2026-4D35-8044-BA74213EFFB8}"/>
                </c:ext>
              </c:extLst>
            </c:dLbl>
            <c:dLbl>
              <c:idx val="1"/>
              <c:delete val="1"/>
              <c:extLst>
                <c:ext xmlns:c15="http://schemas.microsoft.com/office/drawing/2012/chart" uri="{CE6537A1-D6FC-4f65-9D91-7224C49458BB}"/>
                <c:ext xmlns:c16="http://schemas.microsoft.com/office/drawing/2014/chart" uri="{C3380CC4-5D6E-409C-BE32-E72D297353CC}">
                  <c16:uniqueId val="{00000012-2026-4D35-8044-BA74213EFFB8}"/>
                </c:ext>
              </c:extLst>
            </c:dLbl>
            <c:dLbl>
              <c:idx val="2"/>
              <c:delete val="1"/>
              <c:extLst>
                <c:ext xmlns:c15="http://schemas.microsoft.com/office/drawing/2012/chart" uri="{CE6537A1-D6FC-4f65-9D91-7224C49458BB}"/>
                <c:ext xmlns:c16="http://schemas.microsoft.com/office/drawing/2014/chart" uri="{C3380CC4-5D6E-409C-BE32-E72D297353CC}">
                  <c16:uniqueId val="{00000013-2026-4D35-8044-BA74213EFFB8}"/>
                </c:ext>
              </c:extLst>
            </c:dLbl>
            <c:dLbl>
              <c:idx val="3"/>
              <c:delete val="1"/>
              <c:extLst>
                <c:ext xmlns:c15="http://schemas.microsoft.com/office/drawing/2012/chart" uri="{CE6537A1-D6FC-4f65-9D91-7224C49458BB}"/>
                <c:ext xmlns:c16="http://schemas.microsoft.com/office/drawing/2014/chart" uri="{C3380CC4-5D6E-409C-BE32-E72D297353CC}">
                  <c16:uniqueId val="{00000014-2026-4D35-8044-BA74213EFFB8}"/>
                </c:ext>
              </c:extLst>
            </c:dLbl>
            <c:dLbl>
              <c:idx val="4"/>
              <c:delete val="1"/>
              <c:extLst>
                <c:ext xmlns:c15="http://schemas.microsoft.com/office/drawing/2012/chart" uri="{CE6537A1-D6FC-4f65-9D91-7224C49458BB}"/>
                <c:ext xmlns:c16="http://schemas.microsoft.com/office/drawing/2014/chart" uri="{C3380CC4-5D6E-409C-BE32-E72D297353CC}">
                  <c16:uniqueId val="{00000015-2026-4D35-8044-BA74213EFFB8}"/>
                </c:ext>
              </c:extLst>
            </c:dLbl>
            <c:dLbl>
              <c:idx val="5"/>
              <c:delete val="1"/>
              <c:extLst>
                <c:ext xmlns:c15="http://schemas.microsoft.com/office/drawing/2012/chart" uri="{CE6537A1-D6FC-4f65-9D91-7224C49458BB}"/>
                <c:ext xmlns:c16="http://schemas.microsoft.com/office/drawing/2014/chart" uri="{C3380CC4-5D6E-409C-BE32-E72D297353CC}">
                  <c16:uniqueId val="{00000016-2026-4D35-8044-BA74213EFFB8}"/>
                </c:ext>
              </c:extLst>
            </c:dLbl>
            <c:spPr>
              <a:ln>
                <a:noFill/>
              </a:ln>
              <a:effectLst/>
            </c:sp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Stochastic!$C$28:$I$28</c:f>
              <c:numCache>
                <c:formatCode>0.0</c:formatCode>
                <c:ptCount val="7"/>
                <c:pt idx="0">
                  <c:v>116.92117165766111</c:v>
                </c:pt>
                <c:pt idx="1">
                  <c:v>117.28270034717907</c:v>
                </c:pt>
                <c:pt idx="2">
                  <c:v>114.52682407444257</c:v>
                </c:pt>
                <c:pt idx="3">
                  <c:v>112.58429287473361</c:v>
                </c:pt>
                <c:pt idx="4">
                  <c:v>110.48406504533655</c:v>
                </c:pt>
                <c:pt idx="5">
                  <c:v>109.02264207981162</c:v>
                </c:pt>
                <c:pt idx="6">
                  <c:v>107.71733344805098</c:v>
                </c:pt>
              </c:numCache>
            </c:numRef>
          </c:val>
          <c:smooth val="0"/>
          <c:extLst>
            <c:ext xmlns:c16="http://schemas.microsoft.com/office/drawing/2014/chart" uri="{C3380CC4-5D6E-409C-BE32-E72D297353CC}">
              <c16:uniqueId val="{00000007-2026-4D35-8044-BA74213EFFB8}"/>
            </c:ext>
          </c:extLst>
        </c:ser>
        <c:ser>
          <c:idx val="7"/>
          <c:order val="7"/>
          <c:tx>
            <c:strRef>
              <c:f>Stochastic!$B$31</c:f>
              <c:strCache>
                <c:ptCount val="1"/>
                <c:pt idx="0">
                  <c:v>p90</c:v>
                </c:pt>
              </c:strCache>
            </c:strRef>
          </c:tx>
          <c:spPr>
            <a:ln w="3175">
              <a:solidFill>
                <a:sysClr val="windowText" lastClr="000000">
                  <a:alpha val="25000"/>
                </a:sysClr>
              </a:solidFill>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8-2026-4D35-8044-BA74213EFFB8}"/>
                </c:ext>
              </c:extLst>
            </c:dLbl>
            <c:dLbl>
              <c:idx val="1"/>
              <c:delete val="1"/>
              <c:extLst>
                <c:ext xmlns:c15="http://schemas.microsoft.com/office/drawing/2012/chart" uri="{CE6537A1-D6FC-4f65-9D91-7224C49458BB}"/>
                <c:ext xmlns:c16="http://schemas.microsoft.com/office/drawing/2014/chart" uri="{C3380CC4-5D6E-409C-BE32-E72D297353CC}">
                  <c16:uniqueId val="{00000019-2026-4D35-8044-BA74213EFFB8}"/>
                </c:ext>
              </c:extLst>
            </c:dLbl>
            <c:dLbl>
              <c:idx val="2"/>
              <c:delete val="1"/>
              <c:extLst>
                <c:ext xmlns:c15="http://schemas.microsoft.com/office/drawing/2012/chart" uri="{CE6537A1-D6FC-4f65-9D91-7224C49458BB}"/>
                <c:ext xmlns:c16="http://schemas.microsoft.com/office/drawing/2014/chart" uri="{C3380CC4-5D6E-409C-BE32-E72D297353CC}">
                  <c16:uniqueId val="{0000001A-2026-4D35-8044-BA74213EFFB8}"/>
                </c:ext>
              </c:extLst>
            </c:dLbl>
            <c:dLbl>
              <c:idx val="3"/>
              <c:delete val="1"/>
              <c:extLst>
                <c:ext xmlns:c15="http://schemas.microsoft.com/office/drawing/2012/chart" uri="{CE6537A1-D6FC-4f65-9D91-7224C49458BB}"/>
                <c:ext xmlns:c16="http://schemas.microsoft.com/office/drawing/2014/chart" uri="{C3380CC4-5D6E-409C-BE32-E72D297353CC}">
                  <c16:uniqueId val="{0000001B-2026-4D35-8044-BA74213EFFB8}"/>
                </c:ext>
              </c:extLst>
            </c:dLbl>
            <c:dLbl>
              <c:idx val="4"/>
              <c:delete val="1"/>
              <c:extLst>
                <c:ext xmlns:c15="http://schemas.microsoft.com/office/drawing/2012/chart" uri="{CE6537A1-D6FC-4f65-9D91-7224C49458BB}"/>
                <c:ext xmlns:c16="http://schemas.microsoft.com/office/drawing/2014/chart" uri="{C3380CC4-5D6E-409C-BE32-E72D297353CC}">
                  <c16:uniqueId val="{0000001C-2026-4D35-8044-BA74213EFFB8}"/>
                </c:ext>
              </c:extLst>
            </c:dLbl>
            <c:dLbl>
              <c:idx val="5"/>
              <c:delete val="1"/>
              <c:extLst>
                <c:ext xmlns:c15="http://schemas.microsoft.com/office/drawing/2012/chart" uri="{CE6537A1-D6FC-4f65-9D91-7224C49458BB}"/>
                <c:ext xmlns:c16="http://schemas.microsoft.com/office/drawing/2014/chart" uri="{C3380CC4-5D6E-409C-BE32-E72D297353CC}">
                  <c16:uniqueId val="{0000001D-2026-4D35-8044-BA74213EFFB8}"/>
                </c:ext>
              </c:extLst>
            </c:dLbl>
            <c:spPr>
              <a:ln>
                <a:noFill/>
              </a:ln>
              <a:effectLst/>
            </c:sp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Stochastic!$C$31:$I$31</c:f>
              <c:numCache>
                <c:formatCode>0.0</c:formatCode>
                <c:ptCount val="7"/>
                <c:pt idx="0">
                  <c:v>116.92117165766111</c:v>
                </c:pt>
                <c:pt idx="1">
                  <c:v>117.28270034717907</c:v>
                </c:pt>
                <c:pt idx="2">
                  <c:v>120.99148471897382</c:v>
                </c:pt>
                <c:pt idx="3">
                  <c:v>121.54050015012423</c:v>
                </c:pt>
                <c:pt idx="4">
                  <c:v>121.3364210023678</c:v>
                </c:pt>
                <c:pt idx="5">
                  <c:v>121.75111192844443</c:v>
                </c:pt>
                <c:pt idx="6">
                  <c:v>122.03341163408614</c:v>
                </c:pt>
              </c:numCache>
            </c:numRef>
          </c:val>
          <c:smooth val="0"/>
          <c:extLst>
            <c:ext xmlns:c16="http://schemas.microsoft.com/office/drawing/2014/chart" uri="{C3380CC4-5D6E-409C-BE32-E72D297353CC}">
              <c16:uniqueId val="{00000008-2026-4D35-8044-BA74213EFFB8}"/>
            </c:ext>
          </c:extLst>
        </c:ser>
        <c:ser>
          <c:idx val="8"/>
          <c:order val="8"/>
          <c:tx>
            <c:strRef>
              <c:f>Stochastic!$B$29</c:f>
              <c:strCache>
                <c:ptCount val="1"/>
                <c:pt idx="0">
                  <c:v>p50</c:v>
                </c:pt>
              </c:strCache>
            </c:strRef>
          </c:tx>
          <c:spPr>
            <a:ln w="3175">
              <a:solidFill>
                <a:sysClr val="windowText" lastClr="000000">
                  <a:alpha val="25000"/>
                </a:sysClr>
              </a:solidFill>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A-2026-4D35-8044-BA74213EFFB8}"/>
                </c:ext>
              </c:extLst>
            </c:dLbl>
            <c:dLbl>
              <c:idx val="1"/>
              <c:delete val="1"/>
              <c:extLst>
                <c:ext xmlns:c15="http://schemas.microsoft.com/office/drawing/2012/chart" uri="{CE6537A1-D6FC-4f65-9D91-7224C49458BB}"/>
                <c:ext xmlns:c16="http://schemas.microsoft.com/office/drawing/2014/chart" uri="{C3380CC4-5D6E-409C-BE32-E72D297353CC}">
                  <c16:uniqueId val="{0000000B-2026-4D35-8044-BA74213EFFB8}"/>
                </c:ext>
              </c:extLst>
            </c:dLbl>
            <c:dLbl>
              <c:idx val="2"/>
              <c:delete val="1"/>
              <c:extLst>
                <c:ext xmlns:c15="http://schemas.microsoft.com/office/drawing/2012/chart" uri="{CE6537A1-D6FC-4f65-9D91-7224C49458BB}"/>
                <c:ext xmlns:c16="http://schemas.microsoft.com/office/drawing/2014/chart" uri="{C3380CC4-5D6E-409C-BE32-E72D297353CC}">
                  <c16:uniqueId val="{0000000C-2026-4D35-8044-BA74213EFFB8}"/>
                </c:ext>
              </c:extLst>
            </c:dLbl>
            <c:dLbl>
              <c:idx val="3"/>
              <c:delete val="1"/>
              <c:extLst>
                <c:ext xmlns:c15="http://schemas.microsoft.com/office/drawing/2012/chart" uri="{CE6537A1-D6FC-4f65-9D91-7224C49458BB}"/>
                <c:ext xmlns:c16="http://schemas.microsoft.com/office/drawing/2014/chart" uri="{C3380CC4-5D6E-409C-BE32-E72D297353CC}">
                  <c16:uniqueId val="{0000000D-2026-4D35-8044-BA74213EFFB8}"/>
                </c:ext>
              </c:extLst>
            </c:dLbl>
            <c:dLbl>
              <c:idx val="4"/>
              <c:delete val="1"/>
              <c:extLst>
                <c:ext xmlns:c15="http://schemas.microsoft.com/office/drawing/2012/chart" uri="{CE6537A1-D6FC-4f65-9D91-7224C49458BB}"/>
                <c:ext xmlns:c16="http://schemas.microsoft.com/office/drawing/2014/chart" uri="{C3380CC4-5D6E-409C-BE32-E72D297353CC}">
                  <c16:uniqueId val="{0000000E-2026-4D35-8044-BA74213EFFB8}"/>
                </c:ext>
              </c:extLst>
            </c:dLbl>
            <c:dLbl>
              <c:idx val="5"/>
              <c:delete val="1"/>
              <c:extLst>
                <c:ext xmlns:c15="http://schemas.microsoft.com/office/drawing/2012/chart" uri="{CE6537A1-D6FC-4f65-9D91-7224C49458BB}"/>
                <c:ext xmlns:c16="http://schemas.microsoft.com/office/drawing/2014/chart" uri="{C3380CC4-5D6E-409C-BE32-E72D297353CC}">
                  <c16:uniqueId val="{0000000F-2026-4D35-8044-BA74213EFFB8}"/>
                </c:ext>
              </c:extLst>
            </c:dLbl>
            <c:dLbl>
              <c:idx val="6"/>
              <c:layout>
                <c:manualLayout>
                  <c:x val="-1.0111916703481372E-2"/>
                  <c:y val="-5.184033177812338E-3"/>
                </c:manualLayout>
              </c:layout>
              <c:tx>
                <c:rich>
                  <a:bodyPr wrap="square" lIns="38100" tIns="19050" rIns="38100" bIns="19050" anchor="ctr">
                    <a:noAutofit/>
                  </a:bodyPr>
                  <a:lstStyle/>
                  <a:p>
                    <a:pPr>
                      <a:defRPr sz="1200"/>
                    </a:pPr>
                    <a:fld id="{395A9F43-309F-4036-9976-E03D2F102A6A}" type="SERIESNAME">
                      <a:rPr lang="en-US" sz="1200"/>
                      <a:pPr>
                        <a:defRPr sz="1200"/>
                      </a:pPr>
                      <a:t>[SERIES NAME]</a:t>
                    </a:fld>
                    <a:endParaRPr lang="en-IE"/>
                  </a:p>
                </c:rich>
              </c:tx>
              <c:spPr>
                <a:ln>
                  <a:noFill/>
                </a:ln>
                <a:effectLst/>
              </c:spPr>
              <c:showLegendKey val="0"/>
              <c:showVal val="0"/>
              <c:showCatName val="0"/>
              <c:showSerName val="1"/>
              <c:showPercent val="0"/>
              <c:showBubbleSize val="0"/>
              <c:extLst>
                <c:ext xmlns:c15="http://schemas.microsoft.com/office/drawing/2012/chart" uri="{CE6537A1-D6FC-4f65-9D91-7224C49458BB}">
                  <c15:layout>
                    <c:manualLayout>
                      <c:w val="7.2647564068536369E-2"/>
                      <c:h val="7.4010849732430412E-2"/>
                    </c:manualLayout>
                  </c15:layout>
                  <c15:dlblFieldTable/>
                  <c15:showDataLabelsRange val="0"/>
                </c:ext>
                <c:ext xmlns:c16="http://schemas.microsoft.com/office/drawing/2014/chart" uri="{C3380CC4-5D6E-409C-BE32-E72D297353CC}">
                  <c16:uniqueId val="{00000010-2026-4D35-8044-BA74213EFFB8}"/>
                </c:ext>
              </c:extLst>
            </c:dLbl>
            <c:spPr>
              <a:ln>
                <a:noFill/>
              </a:ln>
              <a:effectLst/>
            </c:spPr>
            <c:txPr>
              <a:bodyPr wrap="square" lIns="38100" tIns="19050" rIns="38100" bIns="19050" anchor="ctr">
                <a:spAutoFit/>
              </a:bodyPr>
              <a:lstStyle/>
              <a:p>
                <a:pPr>
                  <a:defRPr sz="1200"/>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Stochastic!$C$29:$I$29</c:f>
              <c:numCache>
                <c:formatCode>0.0</c:formatCode>
                <c:ptCount val="7"/>
                <c:pt idx="0">
                  <c:v>116.92117165766111</c:v>
                </c:pt>
                <c:pt idx="1">
                  <c:v>117.28270034717907</c:v>
                </c:pt>
                <c:pt idx="2">
                  <c:v>116.3940420920207</c:v>
                </c:pt>
                <c:pt idx="3">
                  <c:v>115.17150448362032</c:v>
                </c:pt>
                <c:pt idx="4">
                  <c:v>113.59794901750452</c:v>
                </c:pt>
                <c:pt idx="5">
                  <c:v>112.63450426242881</c:v>
                </c:pt>
                <c:pt idx="6">
                  <c:v>111.7435099006877</c:v>
                </c:pt>
              </c:numCache>
            </c:numRef>
          </c:val>
          <c:smooth val="0"/>
          <c:extLst>
            <c:ext xmlns:c16="http://schemas.microsoft.com/office/drawing/2014/chart" uri="{C3380CC4-5D6E-409C-BE32-E72D297353CC}">
              <c16:uniqueId val="{00000009-2026-4D35-8044-BA74213EFFB8}"/>
            </c:ext>
          </c:extLst>
        </c:ser>
        <c:ser>
          <c:idx val="9"/>
          <c:order val="9"/>
          <c:tx>
            <c:strRef>
              <c:f>Stochastic!$B$27</c:f>
              <c:strCache>
                <c:ptCount val="1"/>
                <c:pt idx="0">
                  <c:v>p10</c:v>
                </c:pt>
              </c:strCache>
            </c:strRef>
          </c:tx>
          <c:spPr>
            <a:ln w="3175">
              <a:solidFill>
                <a:sysClr val="windowText" lastClr="000000">
                  <a:alpha val="25000"/>
                </a:sysClr>
              </a:solidFill>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21-2026-4D35-8044-BA74213EFFB8}"/>
                </c:ext>
              </c:extLst>
            </c:dLbl>
            <c:dLbl>
              <c:idx val="1"/>
              <c:delete val="1"/>
              <c:extLst>
                <c:ext xmlns:c15="http://schemas.microsoft.com/office/drawing/2012/chart" uri="{CE6537A1-D6FC-4f65-9D91-7224C49458BB}"/>
                <c:ext xmlns:c16="http://schemas.microsoft.com/office/drawing/2014/chart" uri="{C3380CC4-5D6E-409C-BE32-E72D297353CC}">
                  <c16:uniqueId val="{00000022-2026-4D35-8044-BA74213EFFB8}"/>
                </c:ext>
              </c:extLst>
            </c:dLbl>
            <c:dLbl>
              <c:idx val="2"/>
              <c:delete val="1"/>
              <c:extLst>
                <c:ext xmlns:c15="http://schemas.microsoft.com/office/drawing/2012/chart" uri="{CE6537A1-D6FC-4f65-9D91-7224C49458BB}"/>
                <c:ext xmlns:c16="http://schemas.microsoft.com/office/drawing/2014/chart" uri="{C3380CC4-5D6E-409C-BE32-E72D297353CC}">
                  <c16:uniqueId val="{00000023-2026-4D35-8044-BA74213EFFB8}"/>
                </c:ext>
              </c:extLst>
            </c:dLbl>
            <c:dLbl>
              <c:idx val="3"/>
              <c:delete val="1"/>
              <c:extLst>
                <c:ext xmlns:c15="http://schemas.microsoft.com/office/drawing/2012/chart" uri="{CE6537A1-D6FC-4f65-9D91-7224C49458BB}"/>
                <c:ext xmlns:c16="http://schemas.microsoft.com/office/drawing/2014/chart" uri="{C3380CC4-5D6E-409C-BE32-E72D297353CC}">
                  <c16:uniqueId val="{00000024-2026-4D35-8044-BA74213EFFB8}"/>
                </c:ext>
              </c:extLst>
            </c:dLbl>
            <c:dLbl>
              <c:idx val="4"/>
              <c:delete val="1"/>
              <c:extLst>
                <c:ext xmlns:c15="http://schemas.microsoft.com/office/drawing/2012/chart" uri="{CE6537A1-D6FC-4f65-9D91-7224C49458BB}"/>
                <c:ext xmlns:c16="http://schemas.microsoft.com/office/drawing/2014/chart" uri="{C3380CC4-5D6E-409C-BE32-E72D297353CC}">
                  <c16:uniqueId val="{00000025-2026-4D35-8044-BA74213EFFB8}"/>
                </c:ext>
              </c:extLst>
            </c:dLbl>
            <c:dLbl>
              <c:idx val="5"/>
              <c:delete val="1"/>
              <c:extLst>
                <c:ext xmlns:c15="http://schemas.microsoft.com/office/drawing/2012/chart" uri="{CE6537A1-D6FC-4f65-9D91-7224C49458BB}"/>
                <c:ext xmlns:c16="http://schemas.microsoft.com/office/drawing/2014/chart" uri="{C3380CC4-5D6E-409C-BE32-E72D297353CC}">
                  <c16:uniqueId val="{00000026-2026-4D35-8044-BA74213EFFB8}"/>
                </c:ext>
              </c:extLst>
            </c:dLbl>
            <c:spPr>
              <a:ln>
                <a:noFill/>
              </a:ln>
              <a:effectLst/>
            </c:sp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Stochastic!$C$27:$I$27</c:f>
              <c:numCache>
                <c:formatCode>0.0</c:formatCode>
                <c:ptCount val="7"/>
                <c:pt idx="0">
                  <c:v>116.92117165766111</c:v>
                </c:pt>
                <c:pt idx="1">
                  <c:v>117.28270034717907</c:v>
                </c:pt>
                <c:pt idx="2">
                  <c:v>111.92955692356367</c:v>
                </c:pt>
                <c:pt idx="3">
                  <c:v>108.92239712278048</c:v>
                </c:pt>
                <c:pt idx="4">
                  <c:v>105.99447916887171</c:v>
                </c:pt>
                <c:pt idx="5">
                  <c:v>103.83766740940146</c:v>
                </c:pt>
                <c:pt idx="6">
                  <c:v>102.02971900713301</c:v>
                </c:pt>
              </c:numCache>
            </c:numRef>
          </c:val>
          <c:smooth val="0"/>
          <c:extLst>
            <c:ext xmlns:c16="http://schemas.microsoft.com/office/drawing/2014/chart" uri="{C3380CC4-5D6E-409C-BE32-E72D297353CC}">
              <c16:uniqueId val="{00000020-2026-4D35-8044-BA74213EFFB8}"/>
            </c:ext>
          </c:extLst>
        </c:ser>
        <c:dLbls>
          <c:showLegendKey val="0"/>
          <c:showVal val="0"/>
          <c:showCatName val="0"/>
          <c:showSerName val="0"/>
          <c:showPercent val="0"/>
          <c:showBubbleSize val="0"/>
        </c:dLbls>
        <c:marker val="1"/>
        <c:smooth val="0"/>
        <c:axId val="1747775104"/>
        <c:axId val="1"/>
      </c:lineChart>
      <c:catAx>
        <c:axId val="1747775104"/>
        <c:scaling>
          <c:orientation val="minMax"/>
        </c:scaling>
        <c:delete val="0"/>
        <c:axPos val="b"/>
        <c:numFmt formatCode="General" sourceLinked="1"/>
        <c:majorTickMark val="none"/>
        <c:minorTickMark val="none"/>
        <c:tickLblPos val="nextTo"/>
        <c:spPr>
          <a:ln w="3175">
            <a:solidFill>
              <a:sysClr val="windowText" lastClr="000000"/>
            </a:solidFill>
            <a:prstDash val="solid"/>
          </a:ln>
        </c:spPr>
        <c:txPr>
          <a:bodyPr rot="0" vert="horz"/>
          <a:lstStyle/>
          <a:p>
            <a:pPr>
              <a:defRPr sz="1200" b="0" i="0" u="none" strike="noStrike" baseline="0">
                <a:solidFill>
                  <a:sysClr val="windowText" lastClr="000000"/>
                </a:solidFill>
                <a:latin typeface="+mn-lt"/>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title>
          <c:tx>
            <c:rich>
              <a:bodyPr rot="0" vert="horz" anchor="t" anchorCtr="0"/>
              <a:lstStyle/>
              <a:p>
                <a:pPr>
                  <a:defRPr/>
                </a:pPr>
                <a:r>
                  <a:rPr lang="en-IE" sz="1050"/>
                  <a:t>% GDP</a:t>
                </a:r>
              </a:p>
            </c:rich>
          </c:tx>
          <c:layout>
            <c:manualLayout>
              <c:xMode val="edge"/>
              <c:yMode val="edge"/>
              <c:x val="0"/>
              <c:y val="7.0931724514217989E-2"/>
            </c:manualLayout>
          </c:layout>
          <c:overlay val="0"/>
        </c:title>
        <c:numFmt formatCode="0" sourceLinked="0"/>
        <c:majorTickMark val="none"/>
        <c:minorTickMark val="none"/>
        <c:tickLblPos val="nextTo"/>
        <c:spPr>
          <a:ln w="3175">
            <a:solidFill>
              <a:srgbClr val="000000"/>
            </a:solidFill>
            <a:prstDash val="solid"/>
          </a:ln>
        </c:spPr>
        <c:txPr>
          <a:bodyPr rot="0" vert="horz"/>
          <a:lstStyle/>
          <a:p>
            <a:pPr>
              <a:defRPr sz="1100" b="0" i="0" u="none" strike="noStrike" baseline="0">
                <a:solidFill>
                  <a:sysClr val="windowText" lastClr="000000"/>
                </a:solidFill>
                <a:latin typeface="+mn-lt"/>
                <a:ea typeface="Arial"/>
                <a:cs typeface="Arial"/>
              </a:defRPr>
            </a:pPr>
            <a:endParaRPr lang="en-US"/>
          </a:p>
        </c:txPr>
        <c:crossAx val="1747775104"/>
        <c:crosses val="autoZero"/>
        <c:crossBetween val="between"/>
      </c:valAx>
      <c:spPr>
        <a:noFill/>
        <a:ln w="25400">
          <a:noFill/>
        </a:ln>
      </c:spPr>
    </c:plotArea>
    <c:plotVisOnly val="1"/>
    <c:dispBlanksAs val="gap"/>
    <c:showDLblsOverMax val="0"/>
  </c:chart>
  <c:spPr>
    <a:solidFill>
      <a:srgbClr val="FFFFFF"/>
    </a:solidFill>
    <a:ln w="3175">
      <a:solidFill>
        <a:sysClr val="windowText" lastClr="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88354</xdr:colOff>
      <xdr:row>1</xdr:row>
      <xdr:rowOff>121091</xdr:rowOff>
    </xdr:from>
    <xdr:to>
      <xdr:col>5</xdr:col>
      <xdr:colOff>16549</xdr:colOff>
      <xdr:row>9</xdr:row>
      <xdr:rowOff>2950</xdr:rowOff>
    </xdr:to>
    <xdr:pic>
      <xdr:nvPicPr>
        <xdr:cNvPr id="2" name="Picture 1">
          <a:extLst>
            <a:ext uri="{FF2B5EF4-FFF2-40B4-BE49-F238E27FC236}">
              <a16:creationId xmlns:a16="http://schemas.microsoft.com/office/drawing/2014/main" id="{5DF9B7FF-C014-4B8E-95A6-509766BF47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0339" y="303971"/>
          <a:ext cx="2124660" cy="13277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97153</xdr:colOff>
      <xdr:row>4</xdr:row>
      <xdr:rowOff>38102</xdr:rowOff>
    </xdr:from>
    <xdr:to>
      <xdr:col>6</xdr:col>
      <xdr:colOff>600075</xdr:colOff>
      <xdr:row>5</xdr:row>
      <xdr:rowOff>137163</xdr:rowOff>
    </xdr:to>
    <xdr:sp macro="" textlink="">
      <xdr:nvSpPr>
        <xdr:cNvPr id="3" name="Arrow: Down 2">
          <a:extLst>
            <a:ext uri="{FF2B5EF4-FFF2-40B4-BE49-F238E27FC236}">
              <a16:creationId xmlns:a16="http://schemas.microsoft.com/office/drawing/2014/main" id="{870E84B9-D7D9-4AE0-8686-64A30E36AF6E}"/>
            </a:ext>
          </a:extLst>
        </xdr:cNvPr>
        <xdr:cNvSpPr/>
      </xdr:nvSpPr>
      <xdr:spPr>
        <a:xfrm rot="5400000">
          <a:off x="6010273" y="601982"/>
          <a:ext cx="274321" cy="502922"/>
        </a:xfrm>
        <a:prstGeom prst="down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87630</xdr:colOff>
      <xdr:row>21</xdr:row>
      <xdr:rowOff>9525</xdr:rowOff>
    </xdr:from>
    <xdr:to>
      <xdr:col>19</xdr:col>
      <xdr:colOff>377190</xdr:colOff>
      <xdr:row>42</xdr:row>
      <xdr:rowOff>83820</xdr:rowOff>
    </xdr:to>
    <xdr:graphicFrame macro="">
      <xdr:nvGraphicFramePr>
        <xdr:cNvPr id="9" name="Chart stochastic">
          <a:extLst>
            <a:ext uri="{FF2B5EF4-FFF2-40B4-BE49-F238E27FC236}">
              <a16:creationId xmlns:a16="http://schemas.microsoft.com/office/drawing/2014/main" id="{9ECBE4A0-5C2C-8A7C-9086-251DAC5F43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3B7DC54-38DF-4F97-8302-BDF605CAF2E1}">
  <we:reference id="dc57e6d2-28bf-4130-be1a-5961fe0ee311" version="1.0.0.0" store="https://eceuropaeu.sharepoint.com/sites/AppCatalog" storeType="SP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CFIN-Secretariat-C2@ec.europa.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tabColor theme="1"/>
  </sheetPr>
  <dimension ref="B2:N87"/>
  <sheetViews>
    <sheetView tabSelected="1" topLeftCell="A54" zoomScaleNormal="100" workbookViewId="0">
      <selection activeCell="D59" sqref="D59"/>
    </sheetView>
  </sheetViews>
  <sheetFormatPr defaultColWidth="9.28515625" defaultRowHeight="15" x14ac:dyDescent="0.25"/>
  <cols>
    <col min="1" max="3" width="9.28515625" style="173"/>
    <col min="4" max="4" width="7.28515625" style="173" customWidth="1"/>
    <col min="5" max="5" width="6.140625" style="173" customWidth="1"/>
    <col min="6" max="6" width="3.140625" style="173" customWidth="1"/>
    <col min="7" max="13" width="9.28515625" style="173"/>
    <col min="14" max="14" width="18.140625" style="173" customWidth="1"/>
    <col min="15" max="16384" width="9.28515625" style="173"/>
  </cols>
  <sheetData>
    <row r="2" spans="2:12" x14ac:dyDescent="0.25">
      <c r="B2" s="169"/>
      <c r="C2" s="170"/>
      <c r="D2" s="170"/>
      <c r="E2" s="170"/>
      <c r="F2" s="170"/>
      <c r="G2" s="171"/>
      <c r="H2" s="170"/>
      <c r="I2" s="170"/>
      <c r="J2" s="170"/>
      <c r="K2" s="170"/>
      <c r="L2" s="172"/>
    </row>
    <row r="3" spans="2:12" x14ac:dyDescent="0.25">
      <c r="B3" s="174"/>
      <c r="C3" s="175"/>
      <c r="D3" s="175"/>
      <c r="E3" s="175"/>
      <c r="F3" s="175"/>
      <c r="G3" s="176"/>
      <c r="H3" s="175"/>
      <c r="I3" s="175"/>
      <c r="J3" s="175"/>
      <c r="K3" s="175"/>
      <c r="L3" s="177"/>
    </row>
    <row r="4" spans="2:12" x14ac:dyDescent="0.25">
      <c r="B4" s="174"/>
      <c r="C4" s="175"/>
      <c r="D4" s="175"/>
      <c r="E4" s="175"/>
      <c r="F4" s="175"/>
      <c r="G4" s="178" t="s">
        <v>0</v>
      </c>
      <c r="H4" s="175"/>
      <c r="I4" s="175"/>
      <c r="J4" s="175"/>
      <c r="K4" s="175"/>
      <c r="L4" s="177"/>
    </row>
    <row r="5" spans="2:12" x14ac:dyDescent="0.25">
      <c r="B5" s="174"/>
      <c r="C5" s="175"/>
      <c r="D5" s="175"/>
      <c r="E5" s="175"/>
      <c r="F5" s="175"/>
      <c r="G5" s="176"/>
      <c r="H5" s="175"/>
      <c r="I5" s="175"/>
      <c r="J5" s="175"/>
      <c r="K5" s="175"/>
      <c r="L5" s="177"/>
    </row>
    <row r="6" spans="2:12" x14ac:dyDescent="0.25">
      <c r="B6" s="174"/>
      <c r="C6" s="175"/>
      <c r="D6" s="175"/>
      <c r="E6" s="175"/>
      <c r="F6" s="175"/>
      <c r="G6" s="176" t="s">
        <v>1</v>
      </c>
      <c r="H6" s="175"/>
      <c r="I6" s="175"/>
      <c r="J6" s="175"/>
      <c r="K6" s="175"/>
      <c r="L6" s="177"/>
    </row>
    <row r="7" spans="2:12" x14ac:dyDescent="0.25">
      <c r="B7" s="174"/>
      <c r="C7" s="175"/>
      <c r="D7" s="175"/>
      <c r="E7" s="175"/>
      <c r="F7" s="175"/>
      <c r="G7" s="176" t="s">
        <v>2</v>
      </c>
      <c r="H7" s="175"/>
      <c r="I7" s="175"/>
      <c r="J7" s="175"/>
      <c r="K7" s="175"/>
      <c r="L7" s="177"/>
    </row>
    <row r="8" spans="2:12" x14ac:dyDescent="0.25">
      <c r="B8" s="174"/>
      <c r="C8" s="175"/>
      <c r="D8" s="175"/>
      <c r="E8" s="175"/>
      <c r="F8" s="175"/>
      <c r="G8" s="179" t="s">
        <v>3</v>
      </c>
      <c r="H8" s="175"/>
      <c r="I8" s="175"/>
      <c r="J8" s="175"/>
      <c r="K8" s="175"/>
      <c r="L8" s="177"/>
    </row>
    <row r="9" spans="2:12" x14ac:dyDescent="0.25">
      <c r="B9" s="174"/>
      <c r="C9" s="175"/>
      <c r="D9" s="175"/>
      <c r="E9" s="175"/>
      <c r="F9" s="175"/>
      <c r="G9" s="176"/>
      <c r="H9" s="175"/>
      <c r="I9" s="175"/>
      <c r="J9" s="175"/>
      <c r="K9" s="175"/>
      <c r="L9" s="177"/>
    </row>
    <row r="10" spans="2:12" x14ac:dyDescent="0.25">
      <c r="B10" s="174"/>
      <c r="C10" s="175"/>
      <c r="D10" s="175"/>
      <c r="E10" s="175"/>
      <c r="F10" s="175"/>
      <c r="G10" s="176"/>
      <c r="H10" s="175"/>
      <c r="I10" s="175"/>
      <c r="J10" s="175"/>
      <c r="K10" s="175"/>
      <c r="L10" s="177"/>
    </row>
    <row r="11" spans="2:12" x14ac:dyDescent="0.25">
      <c r="B11" s="180"/>
      <c r="C11" s="181"/>
      <c r="D11" s="181"/>
      <c r="E11" s="181"/>
      <c r="F11" s="181"/>
      <c r="G11" s="181"/>
      <c r="H11" s="181"/>
      <c r="I11" s="181"/>
      <c r="J11" s="181"/>
      <c r="K11" s="181"/>
      <c r="L11" s="182"/>
    </row>
    <row r="15" spans="2:12" x14ac:dyDescent="0.25">
      <c r="B15" s="169"/>
      <c r="C15" s="170"/>
      <c r="D15" s="170"/>
      <c r="E15" s="170"/>
      <c r="F15" s="170"/>
      <c r="G15" s="170"/>
      <c r="H15" s="170"/>
      <c r="I15" s="170"/>
      <c r="J15" s="170"/>
      <c r="K15" s="170"/>
      <c r="L15" s="172"/>
    </row>
    <row r="16" spans="2:12" x14ac:dyDescent="0.25">
      <c r="B16" s="174"/>
      <c r="C16" s="178" t="s">
        <v>4</v>
      </c>
      <c r="D16" s="176"/>
      <c r="E16" s="176"/>
      <c r="F16" s="176"/>
      <c r="G16" s="176"/>
      <c r="H16" s="176"/>
      <c r="I16" s="176"/>
      <c r="J16" s="176"/>
      <c r="K16" s="176"/>
      <c r="L16" s="177"/>
    </row>
    <row r="17" spans="2:14" x14ac:dyDescent="0.25">
      <c r="B17" s="174"/>
      <c r="C17" s="176"/>
      <c r="D17" s="176"/>
      <c r="E17" s="176"/>
      <c r="F17" s="176"/>
      <c r="G17" s="178"/>
      <c r="H17" s="176"/>
      <c r="I17" s="176"/>
      <c r="J17" s="176"/>
      <c r="K17" s="176"/>
      <c r="L17" s="177"/>
    </row>
    <row r="18" spans="2:14" ht="15" customHeight="1" x14ac:dyDescent="0.25">
      <c r="B18" s="174"/>
      <c r="C18" s="394" t="s">
        <v>254</v>
      </c>
      <c r="D18" s="394"/>
      <c r="E18" s="394"/>
      <c r="F18" s="394"/>
      <c r="G18" s="394"/>
      <c r="H18" s="394"/>
      <c r="I18" s="394"/>
      <c r="J18" s="394"/>
      <c r="K18" s="394"/>
      <c r="L18" s="177"/>
      <c r="N18" s="292"/>
    </row>
    <row r="19" spans="2:14" x14ac:dyDescent="0.25">
      <c r="B19" s="174"/>
      <c r="C19" s="394"/>
      <c r="D19" s="394"/>
      <c r="E19" s="394"/>
      <c r="F19" s="394"/>
      <c r="G19" s="394"/>
      <c r="H19" s="394"/>
      <c r="I19" s="394"/>
      <c r="J19" s="394"/>
      <c r="K19" s="394"/>
      <c r="L19" s="177"/>
    </row>
    <row r="20" spans="2:14" x14ac:dyDescent="0.25">
      <c r="B20" s="174"/>
      <c r="C20" s="394"/>
      <c r="D20" s="394"/>
      <c r="E20" s="394"/>
      <c r="F20" s="394"/>
      <c r="G20" s="394"/>
      <c r="H20" s="394"/>
      <c r="I20" s="394"/>
      <c r="J20" s="394"/>
      <c r="K20" s="394"/>
      <c r="L20" s="177"/>
    </row>
    <row r="21" spans="2:14" ht="9" customHeight="1" x14ac:dyDescent="0.25">
      <c r="B21" s="174"/>
      <c r="C21" s="176"/>
      <c r="D21" s="176"/>
      <c r="E21" s="176"/>
      <c r="F21" s="176"/>
      <c r="G21" s="176"/>
      <c r="H21" s="176"/>
      <c r="I21" s="176"/>
      <c r="J21" s="176"/>
      <c r="K21" s="176"/>
      <c r="L21" s="177"/>
    </row>
    <row r="22" spans="2:14" ht="15" customHeight="1" x14ac:dyDescent="0.25">
      <c r="B22" s="174"/>
      <c r="C22" s="394" t="s">
        <v>277</v>
      </c>
      <c r="D22" s="394"/>
      <c r="E22" s="394"/>
      <c r="F22" s="394"/>
      <c r="G22" s="394"/>
      <c r="H22" s="394"/>
      <c r="I22" s="394"/>
      <c r="J22" s="394"/>
      <c r="K22" s="394"/>
      <c r="L22" s="177"/>
    </row>
    <row r="23" spans="2:14" x14ac:dyDescent="0.25">
      <c r="B23" s="174"/>
      <c r="C23" s="394"/>
      <c r="D23" s="394"/>
      <c r="E23" s="394"/>
      <c r="F23" s="394"/>
      <c r="G23" s="394"/>
      <c r="H23" s="394"/>
      <c r="I23" s="394"/>
      <c r="J23" s="394"/>
      <c r="K23" s="394"/>
      <c r="L23" s="177"/>
    </row>
    <row r="24" spans="2:14" x14ac:dyDescent="0.25">
      <c r="B24" s="174"/>
      <c r="C24" s="394"/>
      <c r="D24" s="394"/>
      <c r="E24" s="394"/>
      <c r="F24" s="394"/>
      <c r="G24" s="394"/>
      <c r="H24" s="394"/>
      <c r="I24" s="394"/>
      <c r="J24" s="394"/>
      <c r="K24" s="394"/>
      <c r="L24" s="177"/>
    </row>
    <row r="25" spans="2:14" ht="30" customHeight="1" x14ac:dyDescent="0.25">
      <c r="B25" s="174"/>
      <c r="C25" s="394"/>
      <c r="D25" s="394"/>
      <c r="E25" s="394"/>
      <c r="F25" s="394"/>
      <c r="G25" s="394"/>
      <c r="H25" s="394"/>
      <c r="I25" s="394"/>
      <c r="J25" s="394"/>
      <c r="K25" s="394"/>
      <c r="L25" s="177"/>
      <c r="N25" s="269"/>
    </row>
    <row r="26" spans="2:14" x14ac:dyDescent="0.25">
      <c r="B26" s="174"/>
      <c r="C26" s="218"/>
      <c r="D26" s="218"/>
      <c r="E26" s="218"/>
      <c r="F26" s="218"/>
      <c r="G26" s="218"/>
      <c r="H26" s="218"/>
      <c r="I26" s="218"/>
      <c r="J26" s="218"/>
      <c r="K26" s="218"/>
      <c r="L26" s="177"/>
    </row>
    <row r="27" spans="2:14" x14ac:dyDescent="0.25">
      <c r="B27" s="174"/>
      <c r="C27" s="401" t="s">
        <v>5</v>
      </c>
      <c r="D27" s="401"/>
      <c r="E27" s="401"/>
      <c r="F27" s="401"/>
      <c r="G27" s="401"/>
      <c r="H27" s="401"/>
      <c r="I27" s="401"/>
      <c r="J27" s="401"/>
      <c r="K27" s="401"/>
      <c r="L27" s="177"/>
    </row>
    <row r="28" spans="2:14" x14ac:dyDescent="0.25">
      <c r="B28" s="174"/>
      <c r="C28" s="297"/>
      <c r="D28" s="297"/>
      <c r="E28" s="297"/>
      <c r="F28" s="297"/>
      <c r="G28" s="297"/>
      <c r="H28" s="297"/>
      <c r="I28" s="297"/>
      <c r="J28" s="297"/>
      <c r="K28" s="297"/>
      <c r="L28" s="177"/>
    </row>
    <row r="29" spans="2:14" ht="230.1" customHeight="1" x14ac:dyDescent="0.25">
      <c r="B29" s="174"/>
      <c r="C29" s="394" t="s">
        <v>289</v>
      </c>
      <c r="D29" s="394"/>
      <c r="E29" s="394"/>
      <c r="F29" s="394"/>
      <c r="G29" s="394"/>
      <c r="H29" s="394"/>
      <c r="I29" s="394"/>
      <c r="J29" s="394"/>
      <c r="K29" s="394"/>
      <c r="L29" s="177"/>
      <c r="N29" s="293"/>
    </row>
    <row r="30" spans="2:14" x14ac:dyDescent="0.25">
      <c r="B30" s="174"/>
      <c r="C30" s="297"/>
      <c r="D30" s="297"/>
      <c r="E30" s="297"/>
      <c r="F30" s="297"/>
      <c r="G30" s="297"/>
      <c r="H30" s="297"/>
      <c r="I30" s="297"/>
      <c r="J30" s="297"/>
      <c r="K30" s="297"/>
      <c r="L30" s="177"/>
      <c r="N30" s="195"/>
    </row>
    <row r="31" spans="2:14" x14ac:dyDescent="0.25">
      <c r="B31" s="174"/>
      <c r="C31" s="402" t="s">
        <v>6</v>
      </c>
      <c r="D31" s="402"/>
      <c r="E31" s="402"/>
      <c r="F31" s="402"/>
      <c r="G31" s="402"/>
      <c r="H31" s="402"/>
      <c r="I31" s="402"/>
      <c r="J31" s="402"/>
      <c r="K31" s="402"/>
      <c r="L31" s="177"/>
    </row>
    <row r="32" spans="2:14" x14ac:dyDescent="0.25">
      <c r="B32" s="174"/>
      <c r="C32" s="218"/>
      <c r="D32" s="183"/>
      <c r="E32" s="183"/>
      <c r="F32" s="183"/>
      <c r="G32" s="183"/>
      <c r="H32" s="183"/>
      <c r="I32" s="183"/>
      <c r="J32" s="183"/>
      <c r="K32" s="183"/>
      <c r="L32" s="177"/>
    </row>
    <row r="33" spans="2:14" ht="36" customHeight="1" thickBot="1" x14ac:dyDescent="0.3">
      <c r="B33" s="174"/>
      <c r="C33" s="184"/>
      <c r="D33" s="394" t="s">
        <v>268</v>
      </c>
      <c r="E33" s="394"/>
      <c r="F33" s="394"/>
      <c r="G33" s="394"/>
      <c r="H33" s="394"/>
      <c r="I33" s="394"/>
      <c r="J33" s="394"/>
      <c r="K33" s="394"/>
      <c r="L33" s="177"/>
      <c r="M33" s="268"/>
      <c r="N33" s="295"/>
    </row>
    <row r="34" spans="2:14" s="383" customFormat="1" ht="50.1" customHeight="1" thickTop="1" thickBot="1" x14ac:dyDescent="0.25">
      <c r="B34" s="378"/>
      <c r="C34" s="379"/>
      <c r="D34" s="194"/>
      <c r="E34" s="380"/>
      <c r="F34" s="395" t="s">
        <v>284</v>
      </c>
      <c r="G34" s="391"/>
      <c r="H34" s="391"/>
      <c r="I34" s="391"/>
      <c r="J34" s="391"/>
      <c r="K34" s="391"/>
      <c r="L34" s="381"/>
      <c r="M34" s="382"/>
      <c r="N34" s="295"/>
    </row>
    <row r="35" spans="2:14" s="383" customFormat="1" ht="33" customHeight="1" thickTop="1" x14ac:dyDescent="0.2">
      <c r="B35" s="378"/>
      <c r="C35" s="379"/>
      <c r="D35" s="194"/>
      <c r="E35" s="384"/>
      <c r="F35" s="390" t="s">
        <v>285</v>
      </c>
      <c r="G35" s="390"/>
      <c r="H35" s="390"/>
      <c r="I35" s="390"/>
      <c r="J35" s="390"/>
      <c r="K35" s="390"/>
      <c r="L35" s="381"/>
      <c r="M35" s="382"/>
      <c r="N35" s="295"/>
    </row>
    <row r="36" spans="2:14" s="383" customFormat="1" ht="33" customHeight="1" x14ac:dyDescent="0.2">
      <c r="B36" s="378"/>
      <c r="C36" s="379"/>
      <c r="D36" s="194"/>
      <c r="E36" s="385"/>
      <c r="F36" s="390"/>
      <c r="G36" s="390"/>
      <c r="H36" s="390"/>
      <c r="I36" s="390"/>
      <c r="J36" s="390"/>
      <c r="K36" s="390"/>
      <c r="L36" s="381"/>
      <c r="M36" s="382"/>
      <c r="N36" s="295"/>
    </row>
    <row r="37" spans="2:14" s="383" customFormat="1" ht="66" customHeight="1" x14ac:dyDescent="0.2">
      <c r="B37" s="378"/>
      <c r="C37" s="379"/>
      <c r="D37" s="194"/>
      <c r="E37" s="386"/>
      <c r="F37" s="390" t="s">
        <v>286</v>
      </c>
      <c r="G37" s="391"/>
      <c r="H37" s="391"/>
      <c r="I37" s="391"/>
      <c r="J37" s="391"/>
      <c r="K37" s="391"/>
      <c r="L37" s="381"/>
      <c r="M37" s="382"/>
      <c r="N37" s="295"/>
    </row>
    <row r="38" spans="2:14" ht="9" customHeight="1" x14ac:dyDescent="0.25">
      <c r="B38" s="174"/>
      <c r="C38" s="184"/>
      <c r="D38" s="392"/>
      <c r="E38" s="392"/>
      <c r="F38" s="392"/>
      <c r="G38" s="392"/>
      <c r="H38" s="392"/>
      <c r="I38" s="392"/>
      <c r="J38" s="392"/>
      <c r="K38" s="392"/>
      <c r="L38" s="393"/>
      <c r="M38" s="268"/>
      <c r="N38" s="295"/>
    </row>
    <row r="39" spans="2:14" ht="102.75" customHeight="1" x14ac:dyDescent="0.25">
      <c r="B39" s="174"/>
      <c r="C39" s="184"/>
      <c r="D39" s="394" t="s">
        <v>269</v>
      </c>
      <c r="E39" s="394"/>
      <c r="F39" s="394"/>
      <c r="G39" s="394"/>
      <c r="H39" s="394"/>
      <c r="I39" s="394"/>
      <c r="J39" s="394"/>
      <c r="K39" s="394"/>
      <c r="L39" s="177"/>
      <c r="M39" s="268"/>
      <c r="N39" s="295"/>
    </row>
    <row r="40" spans="2:14" ht="52.5" customHeight="1" x14ac:dyDescent="0.25">
      <c r="B40" s="174"/>
      <c r="C40" s="184"/>
      <c r="D40" s="394" t="s">
        <v>281</v>
      </c>
      <c r="E40" s="394"/>
      <c r="F40" s="394"/>
      <c r="G40" s="394"/>
      <c r="H40" s="394"/>
      <c r="I40" s="394"/>
      <c r="J40" s="394"/>
      <c r="K40" s="394"/>
      <c r="L40" s="177"/>
      <c r="M40" s="268"/>
      <c r="N40" s="270"/>
    </row>
    <row r="41" spans="2:14" ht="41.25" customHeight="1" x14ac:dyDescent="0.25">
      <c r="B41" s="174"/>
      <c r="C41" s="184"/>
      <c r="D41" s="394" t="s">
        <v>279</v>
      </c>
      <c r="E41" s="394"/>
      <c r="F41" s="394"/>
      <c r="G41" s="394"/>
      <c r="H41" s="394"/>
      <c r="I41" s="394"/>
      <c r="J41" s="394"/>
      <c r="K41" s="394"/>
      <c r="L41" s="177"/>
      <c r="M41" s="268"/>
      <c r="N41" s="270"/>
    </row>
    <row r="42" spans="2:14" ht="96.75" customHeight="1" x14ac:dyDescent="0.25">
      <c r="B42" s="174"/>
      <c r="C42" s="184"/>
      <c r="D42" s="394" t="s">
        <v>280</v>
      </c>
      <c r="E42" s="394"/>
      <c r="F42" s="394"/>
      <c r="G42" s="394"/>
      <c r="H42" s="394"/>
      <c r="I42" s="394"/>
      <c r="J42" s="394"/>
      <c r="K42" s="394"/>
      <c r="L42" s="177"/>
      <c r="M42" s="268"/>
      <c r="N42" s="295"/>
    </row>
    <row r="43" spans="2:14" ht="144" customHeight="1" x14ac:dyDescent="0.25">
      <c r="B43" s="174"/>
      <c r="C43" s="184"/>
      <c r="D43" s="394" t="s">
        <v>267</v>
      </c>
      <c r="E43" s="394"/>
      <c r="F43" s="394"/>
      <c r="G43" s="394"/>
      <c r="H43" s="394"/>
      <c r="I43" s="394"/>
      <c r="J43" s="394"/>
      <c r="K43" s="394"/>
      <c r="L43" s="177"/>
      <c r="M43" s="268"/>
      <c r="N43" s="295"/>
    </row>
    <row r="44" spans="2:14" ht="66" customHeight="1" x14ac:dyDescent="0.25">
      <c r="B44" s="174"/>
      <c r="C44" s="184"/>
      <c r="D44" s="394" t="s">
        <v>266</v>
      </c>
      <c r="E44" s="394"/>
      <c r="F44" s="394"/>
      <c r="G44" s="394"/>
      <c r="H44" s="394"/>
      <c r="I44" s="394"/>
      <c r="J44" s="394"/>
      <c r="K44" s="394"/>
      <c r="L44" s="177"/>
      <c r="M44" s="268"/>
      <c r="N44" s="270"/>
    </row>
    <row r="45" spans="2:14" ht="68.25" customHeight="1" x14ac:dyDescent="0.25">
      <c r="B45" s="174"/>
      <c r="C45" s="184"/>
      <c r="D45" s="394" t="s">
        <v>278</v>
      </c>
      <c r="E45" s="394"/>
      <c r="F45" s="394"/>
      <c r="G45" s="394"/>
      <c r="H45" s="394"/>
      <c r="I45" s="394"/>
      <c r="J45" s="394"/>
      <c r="K45" s="394"/>
      <c r="L45" s="177"/>
      <c r="M45" s="268"/>
      <c r="N45" s="270"/>
    </row>
    <row r="46" spans="2:14" x14ac:dyDescent="0.25">
      <c r="B46" s="174"/>
      <c r="C46" s="218"/>
      <c r="D46" s="183"/>
      <c r="E46" s="183"/>
      <c r="F46" s="183"/>
      <c r="G46" s="183"/>
      <c r="H46" s="183"/>
      <c r="I46" s="183"/>
      <c r="J46" s="183"/>
      <c r="K46" s="183"/>
      <c r="L46" s="177"/>
    </row>
    <row r="47" spans="2:14" ht="61.9" customHeight="1" x14ac:dyDescent="0.25">
      <c r="B47" s="174"/>
      <c r="C47" s="185"/>
      <c r="D47" s="394" t="s">
        <v>183</v>
      </c>
      <c r="E47" s="394"/>
      <c r="F47" s="394"/>
      <c r="G47" s="394"/>
      <c r="H47" s="394"/>
      <c r="I47" s="394"/>
      <c r="J47" s="394"/>
      <c r="K47" s="394"/>
      <c r="L47" s="177"/>
      <c r="N47" s="295"/>
    </row>
    <row r="48" spans="2:14" ht="32.450000000000003" customHeight="1" x14ac:dyDescent="0.25">
      <c r="B48" s="174"/>
      <c r="C48" s="185"/>
      <c r="D48" s="394" t="s">
        <v>7</v>
      </c>
      <c r="E48" s="394"/>
      <c r="F48" s="394"/>
      <c r="G48" s="394"/>
      <c r="H48" s="394"/>
      <c r="I48" s="394"/>
      <c r="J48" s="394"/>
      <c r="K48" s="394"/>
      <c r="L48" s="177"/>
    </row>
    <row r="49" spans="2:14" ht="33.6" customHeight="1" x14ac:dyDescent="0.25">
      <c r="B49" s="174"/>
      <c r="C49" s="185"/>
      <c r="D49" s="186"/>
      <c r="E49" s="187"/>
      <c r="F49" s="394" t="s">
        <v>270</v>
      </c>
      <c r="G49" s="394"/>
      <c r="H49" s="394"/>
      <c r="I49" s="394"/>
      <c r="J49" s="394"/>
      <c r="K49" s="394"/>
      <c r="L49" s="177"/>
    </row>
    <row r="50" spans="2:14" ht="98.25" customHeight="1" x14ac:dyDescent="0.25">
      <c r="B50" s="174"/>
      <c r="C50" s="185"/>
      <c r="D50" s="186"/>
      <c r="E50" s="368"/>
      <c r="F50" s="391" t="s">
        <v>272</v>
      </c>
      <c r="G50" s="391"/>
      <c r="H50" s="391"/>
      <c r="I50" s="391"/>
      <c r="J50" s="391"/>
      <c r="K50" s="391"/>
      <c r="L50" s="177"/>
    </row>
    <row r="51" spans="2:14" ht="32.25" customHeight="1" x14ac:dyDescent="0.25">
      <c r="B51" s="174"/>
      <c r="C51" s="185"/>
      <c r="D51" s="186"/>
      <c r="E51" s="188"/>
      <c r="F51" s="396" t="s">
        <v>245</v>
      </c>
      <c r="G51" s="396"/>
      <c r="H51" s="396"/>
      <c r="I51" s="396"/>
      <c r="J51" s="396"/>
      <c r="K51" s="396"/>
      <c r="L51" s="177"/>
    </row>
    <row r="52" spans="2:14" ht="92.25" customHeight="1" x14ac:dyDescent="0.25">
      <c r="B52" s="174"/>
      <c r="C52" s="185"/>
      <c r="D52" s="186"/>
      <c r="E52" s="243"/>
      <c r="F52" s="396" t="s">
        <v>8</v>
      </c>
      <c r="G52" s="396"/>
      <c r="H52" s="396"/>
      <c r="I52" s="396"/>
      <c r="J52" s="396"/>
      <c r="K52" s="396"/>
      <c r="L52" s="177"/>
    </row>
    <row r="53" spans="2:14" ht="23.25" customHeight="1" x14ac:dyDescent="0.25">
      <c r="B53" s="174"/>
      <c r="C53" s="185"/>
      <c r="D53" s="186"/>
      <c r="E53" s="198"/>
      <c r="F53" s="396" t="s">
        <v>9</v>
      </c>
      <c r="G53" s="396"/>
      <c r="H53" s="396"/>
      <c r="I53" s="396"/>
      <c r="J53" s="396"/>
      <c r="K53" s="396"/>
      <c r="L53" s="177"/>
    </row>
    <row r="54" spans="2:14" ht="121.5" customHeight="1" x14ac:dyDescent="0.25">
      <c r="B54" s="174"/>
      <c r="C54" s="185"/>
      <c r="D54" s="394" t="s">
        <v>273</v>
      </c>
      <c r="E54" s="394"/>
      <c r="F54" s="394"/>
      <c r="G54" s="394"/>
      <c r="H54" s="394"/>
      <c r="I54" s="394"/>
      <c r="J54" s="394"/>
      <c r="K54" s="394"/>
      <c r="L54" s="177"/>
      <c r="N54" s="294"/>
    </row>
    <row r="55" spans="2:14" x14ac:dyDescent="0.25">
      <c r="B55" s="174"/>
      <c r="C55" s="218"/>
      <c r="D55" s="296"/>
      <c r="E55" s="296"/>
      <c r="F55" s="296"/>
      <c r="G55" s="296"/>
      <c r="H55" s="296"/>
      <c r="I55" s="296"/>
      <c r="J55" s="296"/>
      <c r="K55" s="296"/>
      <c r="L55" s="177"/>
      <c r="N55" s="294"/>
    </row>
    <row r="56" spans="2:14" ht="98.25" customHeight="1" x14ac:dyDescent="0.25">
      <c r="B56" s="174"/>
      <c r="C56" s="394" t="s">
        <v>198</v>
      </c>
      <c r="D56" s="394"/>
      <c r="E56" s="394"/>
      <c r="F56" s="394"/>
      <c r="G56" s="394"/>
      <c r="H56" s="394"/>
      <c r="I56" s="394"/>
      <c r="J56" s="394"/>
      <c r="K56" s="394"/>
      <c r="L56" s="177"/>
      <c r="N56" s="294"/>
    </row>
    <row r="57" spans="2:14" x14ac:dyDescent="0.25">
      <c r="B57" s="174"/>
      <c r="C57" s="218"/>
      <c r="D57" s="296"/>
      <c r="E57" s="296"/>
      <c r="F57" s="296"/>
      <c r="G57" s="296"/>
      <c r="H57" s="296"/>
      <c r="I57" s="296"/>
      <c r="J57" s="296"/>
      <c r="K57" s="296"/>
      <c r="L57" s="177"/>
      <c r="N57" s="294"/>
    </row>
    <row r="58" spans="2:14" ht="48.75" customHeight="1" x14ac:dyDescent="0.25">
      <c r="B58" s="174"/>
      <c r="C58" s="302"/>
      <c r="D58" s="394" t="s">
        <v>295</v>
      </c>
      <c r="E58" s="394"/>
      <c r="F58" s="394"/>
      <c r="G58" s="394"/>
      <c r="H58" s="394"/>
      <c r="I58" s="394"/>
      <c r="J58" s="394"/>
      <c r="K58" s="394"/>
      <c r="L58" s="177"/>
      <c r="N58" s="294"/>
    </row>
    <row r="59" spans="2:14" x14ac:dyDescent="0.25">
      <c r="B59" s="174"/>
      <c r="C59" s="218"/>
      <c r="D59" s="296"/>
      <c r="E59" s="296"/>
      <c r="F59" s="296"/>
      <c r="G59" s="296"/>
      <c r="H59" s="296"/>
      <c r="I59" s="296"/>
      <c r="J59" s="296"/>
      <c r="K59" s="296"/>
      <c r="L59" s="177"/>
      <c r="N59" s="294"/>
    </row>
    <row r="60" spans="2:14" ht="97.5" customHeight="1" x14ac:dyDescent="0.25">
      <c r="B60" s="174"/>
      <c r="C60" s="303"/>
      <c r="D60" s="394" t="s">
        <v>274</v>
      </c>
      <c r="E60" s="394"/>
      <c r="F60" s="394"/>
      <c r="G60" s="394"/>
      <c r="H60" s="394"/>
      <c r="I60" s="394"/>
      <c r="J60" s="394"/>
      <c r="K60" s="394"/>
      <c r="L60" s="177"/>
      <c r="N60" s="294"/>
    </row>
    <row r="61" spans="2:14" x14ac:dyDescent="0.25">
      <c r="B61" s="174"/>
      <c r="C61" s="218"/>
      <c r="D61" s="218"/>
      <c r="E61" s="218"/>
      <c r="F61" s="218"/>
      <c r="G61" s="218"/>
      <c r="H61" s="218"/>
      <c r="I61" s="218"/>
      <c r="J61" s="218"/>
      <c r="K61" s="218"/>
      <c r="L61" s="177"/>
    </row>
    <row r="62" spans="2:14" ht="54" customHeight="1" x14ac:dyDescent="0.25">
      <c r="B62" s="174"/>
      <c r="C62" s="244"/>
      <c r="D62" s="394" t="s">
        <v>275</v>
      </c>
      <c r="E62" s="394"/>
      <c r="F62" s="394"/>
      <c r="G62" s="394"/>
      <c r="H62" s="394"/>
      <c r="I62" s="394"/>
      <c r="J62" s="394"/>
      <c r="K62" s="394"/>
      <c r="L62" s="177"/>
    </row>
    <row r="63" spans="2:14" x14ac:dyDescent="0.25">
      <c r="B63" s="174"/>
      <c r="C63" s="245"/>
      <c r="D63" s="398" t="s">
        <v>191</v>
      </c>
      <c r="E63" s="398"/>
      <c r="F63" s="398"/>
      <c r="G63" s="398"/>
      <c r="H63" s="398"/>
      <c r="I63" s="398"/>
      <c r="J63" s="398"/>
      <c r="K63" s="398"/>
      <c r="L63" s="177"/>
    </row>
    <row r="64" spans="2:14" x14ac:dyDescent="0.25">
      <c r="B64" s="174"/>
      <c r="C64" s="245"/>
      <c r="D64" s="399" t="s">
        <v>10</v>
      </c>
      <c r="E64" s="399"/>
      <c r="F64" s="399"/>
      <c r="G64" s="399"/>
      <c r="H64" s="399"/>
      <c r="I64" s="399"/>
      <c r="J64" s="399"/>
      <c r="K64" s="399"/>
      <c r="L64" s="177"/>
    </row>
    <row r="65" spans="2:14" x14ac:dyDescent="0.25">
      <c r="B65" s="174"/>
      <c r="C65" s="245"/>
      <c r="D65" s="399" t="s">
        <v>11</v>
      </c>
      <c r="E65" s="399"/>
      <c r="F65" s="399"/>
      <c r="G65" s="399"/>
      <c r="H65" s="399"/>
      <c r="I65" s="399"/>
      <c r="J65" s="399"/>
      <c r="K65" s="399"/>
      <c r="L65" s="177"/>
    </row>
    <row r="66" spans="2:14" x14ac:dyDescent="0.25">
      <c r="B66" s="174"/>
      <c r="C66" s="245"/>
      <c r="D66" s="399" t="s">
        <v>12</v>
      </c>
      <c r="E66" s="399"/>
      <c r="F66" s="399"/>
      <c r="G66" s="399"/>
      <c r="H66" s="399"/>
      <c r="I66" s="399"/>
      <c r="J66" s="399"/>
      <c r="K66" s="399"/>
      <c r="L66" s="177"/>
    </row>
    <row r="67" spans="2:14" x14ac:dyDescent="0.25">
      <c r="B67" s="174"/>
      <c r="C67" s="245"/>
      <c r="D67" s="298"/>
      <c r="E67" s="298"/>
      <c r="F67" s="298"/>
      <c r="G67" s="298"/>
      <c r="H67" s="298"/>
      <c r="I67" s="298"/>
      <c r="J67" s="298"/>
      <c r="K67" s="298"/>
      <c r="L67" s="177"/>
    </row>
    <row r="68" spans="2:14" ht="33.75" customHeight="1" x14ac:dyDescent="0.25">
      <c r="B68" s="174"/>
      <c r="C68" s="245"/>
      <c r="D68" s="394" t="s">
        <v>197</v>
      </c>
      <c r="E68" s="400"/>
      <c r="F68" s="400"/>
      <c r="G68" s="400"/>
      <c r="H68" s="400"/>
      <c r="I68" s="400"/>
      <c r="J68" s="400"/>
      <c r="K68" s="400"/>
      <c r="L68" s="177"/>
      <c r="N68" s="196"/>
    </row>
    <row r="69" spans="2:14" x14ac:dyDescent="0.25">
      <c r="B69" s="174"/>
      <c r="C69" s="218"/>
      <c r="D69" s="297"/>
      <c r="E69" s="297"/>
      <c r="F69" s="297"/>
      <c r="G69" s="297"/>
      <c r="H69" s="297"/>
      <c r="I69" s="297"/>
      <c r="J69" s="297"/>
      <c r="K69" s="297"/>
      <c r="L69" s="177"/>
    </row>
    <row r="70" spans="2:14" ht="52.5" customHeight="1" x14ac:dyDescent="0.25">
      <c r="B70" s="174"/>
      <c r="C70" s="306"/>
      <c r="D70" s="394" t="s">
        <v>200</v>
      </c>
      <c r="E70" s="394"/>
      <c r="F70" s="394"/>
      <c r="G70" s="394"/>
      <c r="H70" s="394"/>
      <c r="I70" s="394"/>
      <c r="J70" s="394"/>
      <c r="K70" s="394"/>
      <c r="L70" s="177"/>
    </row>
    <row r="71" spans="2:14" x14ac:dyDescent="0.25">
      <c r="B71" s="174"/>
      <c r="C71" s="218"/>
      <c r="D71" s="194"/>
      <c r="E71" s="194"/>
      <c r="F71" s="194"/>
      <c r="G71" s="194"/>
      <c r="H71" s="194"/>
      <c r="I71" s="194"/>
      <c r="J71" s="194"/>
      <c r="K71" s="194"/>
      <c r="L71" s="177"/>
    </row>
    <row r="72" spans="2:14" ht="46.15" customHeight="1" x14ac:dyDescent="0.25">
      <c r="B72" s="174"/>
      <c r="C72" s="397" t="s">
        <v>199</v>
      </c>
      <c r="D72" s="397"/>
      <c r="E72" s="397"/>
      <c r="F72" s="397"/>
      <c r="G72" s="397"/>
      <c r="H72" s="397"/>
      <c r="I72" s="397"/>
      <c r="J72" s="397"/>
      <c r="K72" s="397"/>
      <c r="L72" s="177"/>
    </row>
    <row r="73" spans="2:14" ht="38.25" customHeight="1" x14ac:dyDescent="0.25">
      <c r="B73" s="174"/>
      <c r="C73" s="218"/>
      <c r="D73" s="187"/>
      <c r="E73" s="391" t="s">
        <v>173</v>
      </c>
      <c r="F73" s="391"/>
      <c r="G73" s="391"/>
      <c r="H73" s="391"/>
      <c r="I73" s="391"/>
      <c r="J73" s="391"/>
      <c r="K73" s="391"/>
      <c r="L73" s="177"/>
      <c r="N73" s="268"/>
    </row>
    <row r="74" spans="2:14" ht="45.6" customHeight="1" x14ac:dyDescent="0.25">
      <c r="B74" s="174"/>
      <c r="C74" s="218"/>
      <c r="D74" s="189"/>
      <c r="E74" s="391" t="s">
        <v>184</v>
      </c>
      <c r="F74" s="391"/>
      <c r="G74" s="391"/>
      <c r="H74" s="391"/>
      <c r="I74" s="391"/>
      <c r="J74" s="391"/>
      <c r="K74" s="391"/>
      <c r="L74" s="177"/>
      <c r="N74" s="295"/>
    </row>
    <row r="75" spans="2:14" ht="45" customHeight="1" x14ac:dyDescent="0.25">
      <c r="B75" s="174"/>
      <c r="C75" s="218"/>
      <c r="D75" s="190"/>
      <c r="E75" s="391" t="s">
        <v>164</v>
      </c>
      <c r="F75" s="391"/>
      <c r="G75" s="391"/>
      <c r="H75" s="391"/>
      <c r="I75" s="391"/>
      <c r="J75" s="391"/>
      <c r="K75" s="391"/>
      <c r="L75" s="177"/>
    </row>
    <row r="76" spans="2:14" x14ac:dyDescent="0.25">
      <c r="B76" s="174"/>
      <c r="C76" s="218"/>
      <c r="D76" s="297"/>
      <c r="E76" s="191"/>
      <c r="F76" s="296"/>
      <c r="G76" s="296"/>
      <c r="H76" s="296"/>
      <c r="I76" s="296"/>
      <c r="J76" s="296"/>
      <c r="K76" s="296"/>
      <c r="L76" s="177"/>
    </row>
    <row r="77" spans="2:14" ht="48" customHeight="1" x14ac:dyDescent="0.25">
      <c r="B77" s="174"/>
      <c r="C77" s="218"/>
      <c r="D77" s="394" t="s">
        <v>13</v>
      </c>
      <c r="E77" s="394"/>
      <c r="F77" s="394"/>
      <c r="G77" s="394"/>
      <c r="H77" s="394"/>
      <c r="I77" s="394"/>
      <c r="J77" s="394"/>
      <c r="K77" s="394"/>
      <c r="L77" s="177"/>
    </row>
    <row r="78" spans="2:14" ht="33" customHeight="1" thickBot="1" x14ac:dyDescent="0.3">
      <c r="B78" s="174"/>
      <c r="C78" s="218"/>
      <c r="D78" s="192"/>
      <c r="E78" s="391" t="s">
        <v>166</v>
      </c>
      <c r="F78" s="391"/>
      <c r="G78" s="391"/>
      <c r="H78" s="391"/>
      <c r="I78" s="391"/>
      <c r="J78" s="391"/>
      <c r="K78" s="391"/>
      <c r="L78" s="177"/>
    </row>
    <row r="79" spans="2:14" ht="33" customHeight="1" thickBot="1" x14ac:dyDescent="0.3">
      <c r="B79" s="174"/>
      <c r="C79" s="218"/>
      <c r="D79" s="193"/>
      <c r="E79" s="404" t="s">
        <v>165</v>
      </c>
      <c r="F79" s="391"/>
      <c r="G79" s="391"/>
      <c r="H79" s="391"/>
      <c r="I79" s="391"/>
      <c r="J79" s="391"/>
      <c r="K79" s="391"/>
      <c r="L79" s="177"/>
    </row>
    <row r="80" spans="2:14" x14ac:dyDescent="0.25">
      <c r="B80" s="174"/>
      <c r="C80" s="218"/>
      <c r="D80" s="297"/>
      <c r="E80" s="297"/>
      <c r="F80" s="297"/>
      <c r="G80" s="297"/>
      <c r="H80" s="297"/>
      <c r="I80" s="297"/>
      <c r="J80" s="297"/>
      <c r="K80" s="297"/>
      <c r="L80" s="177"/>
    </row>
    <row r="81" spans="2:14" ht="17.45" customHeight="1" x14ac:dyDescent="0.25">
      <c r="B81" s="174"/>
      <c r="C81" s="401" t="s">
        <v>14</v>
      </c>
      <c r="D81" s="401"/>
      <c r="E81" s="401"/>
      <c r="F81" s="401"/>
      <c r="G81" s="401"/>
      <c r="H81" s="401"/>
      <c r="I81" s="401"/>
      <c r="J81" s="401"/>
      <c r="K81" s="401"/>
      <c r="L81" s="177"/>
    </row>
    <row r="82" spans="2:14" ht="90" customHeight="1" x14ac:dyDescent="0.25">
      <c r="B82" s="174"/>
      <c r="C82" s="394" t="s">
        <v>276</v>
      </c>
      <c r="D82" s="394"/>
      <c r="E82" s="394"/>
      <c r="F82" s="394"/>
      <c r="G82" s="394"/>
      <c r="H82" s="394"/>
      <c r="I82" s="394"/>
      <c r="J82" s="394"/>
      <c r="K82" s="394"/>
      <c r="L82" s="177"/>
      <c r="N82" s="269"/>
    </row>
    <row r="83" spans="2:14" ht="15" customHeight="1" x14ac:dyDescent="0.25">
      <c r="B83" s="174"/>
      <c r="C83" s="359"/>
      <c r="D83" s="359"/>
      <c r="E83" s="359"/>
      <c r="F83" s="359"/>
      <c r="G83" s="359"/>
      <c r="H83" s="359"/>
      <c r="I83" s="359"/>
      <c r="J83" s="359"/>
      <c r="K83" s="359"/>
      <c r="L83" s="177"/>
      <c r="N83" s="269"/>
    </row>
    <row r="84" spans="2:14" ht="165" customHeight="1" x14ac:dyDescent="0.25">
      <c r="B84" s="174"/>
      <c r="C84" s="361"/>
      <c r="D84" s="394" t="s">
        <v>290</v>
      </c>
      <c r="E84" s="394"/>
      <c r="F84" s="394"/>
      <c r="G84" s="394"/>
      <c r="H84" s="394"/>
      <c r="I84" s="394"/>
      <c r="J84" s="394"/>
      <c r="K84" s="394"/>
      <c r="L84" s="177"/>
      <c r="N84" s="269"/>
    </row>
    <row r="85" spans="2:14" x14ac:dyDescent="0.25">
      <c r="B85" s="180"/>
      <c r="C85" s="403"/>
      <c r="D85" s="403"/>
      <c r="E85" s="403"/>
      <c r="F85" s="403"/>
      <c r="G85" s="403"/>
      <c r="H85" s="403"/>
      <c r="I85" s="403"/>
      <c r="J85" s="403"/>
      <c r="K85" s="403"/>
      <c r="L85" s="182"/>
    </row>
    <row r="87" spans="2:14" x14ac:dyDescent="0.25">
      <c r="C87" s="304"/>
    </row>
  </sheetData>
  <mergeCells count="46">
    <mergeCell ref="C82:K82"/>
    <mergeCell ref="C85:K85"/>
    <mergeCell ref="D77:K77"/>
    <mergeCell ref="D70:K70"/>
    <mergeCell ref="C81:K81"/>
    <mergeCell ref="E75:K75"/>
    <mergeCell ref="E78:K78"/>
    <mergeCell ref="E79:K79"/>
    <mergeCell ref="D84:K84"/>
    <mergeCell ref="C18:K20"/>
    <mergeCell ref="C22:K25"/>
    <mergeCell ref="C27:K27"/>
    <mergeCell ref="C29:K29"/>
    <mergeCell ref="C31:K31"/>
    <mergeCell ref="F51:K51"/>
    <mergeCell ref="D44:K44"/>
    <mergeCell ref="D43:K43"/>
    <mergeCell ref="D41:K41"/>
    <mergeCell ref="D42:K42"/>
    <mergeCell ref="D45:K45"/>
    <mergeCell ref="F53:K53"/>
    <mergeCell ref="F52:K52"/>
    <mergeCell ref="C72:K72"/>
    <mergeCell ref="E73:K73"/>
    <mergeCell ref="E74:K74"/>
    <mergeCell ref="D54:K54"/>
    <mergeCell ref="D62:K62"/>
    <mergeCell ref="D63:K63"/>
    <mergeCell ref="D64:K64"/>
    <mergeCell ref="D65:K65"/>
    <mergeCell ref="D66:K66"/>
    <mergeCell ref="D68:K68"/>
    <mergeCell ref="C56:K56"/>
    <mergeCell ref="D58:K58"/>
    <mergeCell ref="D60:K60"/>
    <mergeCell ref="F37:K37"/>
    <mergeCell ref="D38:L38"/>
    <mergeCell ref="F50:K50"/>
    <mergeCell ref="D40:K40"/>
    <mergeCell ref="D33:K33"/>
    <mergeCell ref="F34:K34"/>
    <mergeCell ref="F35:K36"/>
    <mergeCell ref="D39:K39"/>
    <mergeCell ref="D47:K47"/>
    <mergeCell ref="D48:K48"/>
    <mergeCell ref="F49:K49"/>
  </mergeCells>
  <hyperlinks>
    <hyperlink ref="G8" r:id="rId1" xr:uid="{00000000-0004-0000-0000-000000000000}"/>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0" tint="-0.14999847407452621"/>
  </sheetPr>
  <dimension ref="A2:V82"/>
  <sheetViews>
    <sheetView zoomScale="80" zoomScaleNormal="80" workbookViewId="0"/>
  </sheetViews>
  <sheetFormatPr defaultColWidth="8.7109375" defaultRowHeight="12.75" x14ac:dyDescent="0.2"/>
  <cols>
    <col min="1" max="3" width="8.7109375" style="5"/>
    <col min="4" max="4" width="11.42578125" style="5" customWidth="1"/>
    <col min="5" max="5" width="38.28515625" style="5" customWidth="1"/>
    <col min="6" max="6" width="16.42578125" style="5" customWidth="1"/>
    <col min="7" max="7" width="22.140625" style="5" customWidth="1"/>
    <col min="8" max="8" width="21.140625" style="5" customWidth="1"/>
    <col min="9" max="9" width="18.5703125" style="5" customWidth="1"/>
    <col min="10" max="10" width="19" style="5" customWidth="1"/>
    <col min="11" max="11" width="16.28515625" style="5" customWidth="1"/>
    <col min="12" max="12" width="20.5703125" style="5" customWidth="1"/>
    <col min="13" max="13" width="20.140625" style="5" customWidth="1"/>
    <col min="14" max="14" width="18.5703125" style="5" customWidth="1"/>
    <col min="15" max="15" width="18.140625" style="5" customWidth="1"/>
    <col min="16" max="16" width="24.7109375" style="5" customWidth="1"/>
    <col min="17" max="17" width="21.42578125" style="5" customWidth="1"/>
    <col min="18" max="20" width="8.7109375" style="5"/>
    <col min="21" max="21" width="8.7109375" style="109"/>
    <col min="22" max="22" width="8.7109375" style="387"/>
    <col min="23" max="16384" width="8.7109375" style="5"/>
  </cols>
  <sheetData>
    <row r="2" spans="1:22" x14ac:dyDescent="0.2">
      <c r="U2" s="109">
        <v>4</v>
      </c>
      <c r="V2" s="387">
        <v>0</v>
      </c>
    </row>
    <row r="3" spans="1:22" ht="12.75" customHeight="1" x14ac:dyDescent="0.2">
      <c r="D3" s="445" t="s">
        <v>167</v>
      </c>
      <c r="E3" s="446"/>
      <c r="F3" s="447"/>
      <c r="H3" s="469" t="str">
        <f ca="1">IF(OR(AND($G$12="ok",$G$13="ok",$G$14="ok",$G$15="ok",$H$12="ok",$I$12="ok",$L$12&lt;&gt;"Not met"),
AND($I$12="ok",$J$12="ok",$J$13="ok",$J$14="ok",$J$15="ok",$L$12&lt;&gt;"Not met")),
"OK"&amp;CHAR(10)&amp;"adjustment"&amp;CHAR(10)&amp;"complies with all requirements",
"NOT OK"&amp;CHAR(10)&amp;"adjustment does not"&amp;CHAR(10)&amp;"comply with all requirements")</f>
        <v>OK
adjustment
complies with all requirements</v>
      </c>
      <c r="I3" s="469"/>
      <c r="U3" s="109">
        <v>7</v>
      </c>
      <c r="V3" s="387">
        <v>0.02</v>
      </c>
    </row>
    <row r="4" spans="1:22" ht="13.5" thickBot="1" x14ac:dyDescent="0.25">
      <c r="D4" s="217" t="s">
        <v>15</v>
      </c>
      <c r="E4" s="18"/>
      <c r="F4" s="40" t="s">
        <v>163</v>
      </c>
      <c r="H4" s="469"/>
      <c r="I4" s="469"/>
      <c r="V4" s="387">
        <v>0.04</v>
      </c>
    </row>
    <row r="5" spans="1:22" ht="13.5" thickTop="1" x14ac:dyDescent="0.2">
      <c r="D5" s="216" t="s">
        <v>282</v>
      </c>
      <c r="F5" s="167">
        <v>4</v>
      </c>
      <c r="H5" s="469"/>
      <c r="I5" s="469"/>
      <c r="V5" s="387">
        <v>0.06</v>
      </c>
    </row>
    <row r="6" spans="1:22" ht="13.5" thickBot="1" x14ac:dyDescent="0.25">
      <c r="D6" s="248" t="s">
        <v>16</v>
      </c>
      <c r="E6" s="249"/>
      <c r="F6" s="168">
        <v>0.94</v>
      </c>
      <c r="H6" s="469"/>
      <c r="I6" s="469"/>
      <c r="V6" s="387">
        <v>0.08</v>
      </c>
    </row>
    <row r="7" spans="1:22" ht="13.5" thickTop="1" x14ac:dyDescent="0.2">
      <c r="D7" s="251"/>
      <c r="F7" s="267"/>
      <c r="V7" s="387">
        <v>0.1</v>
      </c>
    </row>
    <row r="8" spans="1:22" x14ac:dyDescent="0.2">
      <c r="D8" s="16"/>
      <c r="F8" s="17"/>
      <c r="V8" s="387">
        <v>0.12</v>
      </c>
    </row>
    <row r="9" spans="1:22" ht="18.75" customHeight="1" x14ac:dyDescent="0.2">
      <c r="D9" s="16"/>
      <c r="F9" s="17"/>
      <c r="G9" s="460" t="s">
        <v>168</v>
      </c>
      <c r="H9" s="461"/>
      <c r="I9" s="461"/>
      <c r="J9" s="462"/>
      <c r="L9" s="466" t="s">
        <v>169</v>
      </c>
      <c r="M9" s="467"/>
      <c r="N9" s="467"/>
      <c r="O9" s="467"/>
      <c r="P9" s="467"/>
      <c r="Q9" s="468"/>
      <c r="V9" s="387">
        <v>0.14000000000000001</v>
      </c>
    </row>
    <row r="10" spans="1:22" ht="18.75" customHeight="1" x14ac:dyDescent="0.2">
      <c r="A10" s="284"/>
      <c r="F10" s="273"/>
      <c r="G10" s="463"/>
      <c r="H10" s="464"/>
      <c r="I10" s="464"/>
      <c r="J10" s="465"/>
      <c r="L10" s="451" t="s">
        <v>195</v>
      </c>
      <c r="M10" s="454"/>
      <c r="N10" s="455" t="s">
        <v>196</v>
      </c>
      <c r="O10" s="456"/>
      <c r="P10" s="451" t="s">
        <v>17</v>
      </c>
      <c r="Q10" s="452"/>
      <c r="V10" s="387">
        <v>0.16</v>
      </c>
    </row>
    <row r="11" spans="1:22" ht="107.25" customHeight="1" x14ac:dyDescent="0.2">
      <c r="A11" s="360"/>
      <c r="D11" s="213"/>
      <c r="E11" s="213"/>
      <c r="F11" s="214" t="s">
        <v>204</v>
      </c>
      <c r="G11" s="42" t="s">
        <v>18</v>
      </c>
      <c r="H11" s="219" t="s">
        <v>19</v>
      </c>
      <c r="I11" s="41" t="s">
        <v>20</v>
      </c>
      <c r="J11" s="92" t="str">
        <f>"Debt below 60% of GDP in T+"&amp;10+F5&amp;" **"</f>
        <v>Debt below 60% of GDP in T+14 **</v>
      </c>
      <c r="L11" s="92" t="s">
        <v>193</v>
      </c>
      <c r="M11" s="226" t="s">
        <v>194</v>
      </c>
      <c r="N11" s="372" t="s">
        <v>21</v>
      </c>
      <c r="O11" s="373" t="s">
        <v>22</v>
      </c>
      <c r="P11" s="262" t="s">
        <v>23</v>
      </c>
      <c r="Q11" s="92" t="s">
        <v>24</v>
      </c>
      <c r="V11" s="387">
        <v>0.18</v>
      </c>
    </row>
    <row r="12" spans="1:22" x14ac:dyDescent="0.2">
      <c r="D12" s="14" t="s">
        <v>25</v>
      </c>
      <c r="G12" s="10" t="str">
        <f ca="1">IF(OR('Adjust. no safeguard'!F57&gt;60,'Adjust. no safeguard'!F77&lt;-3),IF(SUM(OFFSET('Adjust. no safeguard'!$F$83,0,$F$5+1,1,10))=0,"ok","Not met"),"")</f>
        <v>ok</v>
      </c>
      <c r="H12" s="220" t="str">
        <f>IF(OR('Adjust. no safeguard'!F57&gt;60,'Adjust. no safeguard'!F77&lt;-3),IF($F$5=4,IF(Stochastic!$O$17&lt;Stochastic!$J$17,"ok","Not met"),IF(Stochastic!$R$17&lt;Stochastic!$M$17,"ok","Not met")),"")</f>
        <v>ok</v>
      </c>
      <c r="I12" s="8" t="str">
        <f ca="1">IF(MIN(OFFSET('Adjust. no safeguard'!$F$77,0,$F$5,1,11))&gt;-3.05,"ok","Not met")</f>
        <v>ok</v>
      </c>
      <c r="J12" s="12" t="str">
        <f ca="1">IF(OFFSET('Adjust. no safeguard'!$F$57,0,$F$5+10,1,1)&lt;60,"ok","Not met")</f>
        <v>Not met</v>
      </c>
      <c r="L12" s="416" t="str">
        <f ca="1">_xlfn.LET(_xlpm.debtChange,OFFSET('Adjustment scenario'!F58,0,1,1,$F$5),
_xlpm.debt6090,OFFSET('Adjustment scenario'!F85,0,1,1,$F$5),
_xlpm.debt90,OFFSET('Adjustment scenario'!F84,0,1,1,$F$5),
_xlpm.EDP,OFFSET('Adjustment scenario'!F87,0,1,1,$F$5),
IF(AND(MAX(_xlpm.debt90)=0,MAX(_xlpm.debt6090)=0),"Debt below 60% of GDP over the adjustment period",
IF(MIN(_xlpm.EDP)=1,"Not applicable, reference year is the last year of adjustment",
IF(AND(MAX(_xlpm.debt90)=0,MAX(_xlpm.debt6090)=1),IF(AVERAGEIFS(_xlpm.debtChange,_xlpm.debt6090,1,_xlpm.EDP,0)&lt;-0.5,"ok","Not met"),
IF(AND(MAX(_xlpm.debt90)=1,MAX(_xlpm.debt6090)=0),IF(AVERAGEIFS(_xlpm.debtChange,_xlpm.EDP,0)&lt;-1,"ok","Not met"),
IF(AND(MAX(_xlpm.debt90)=1,MAX(_xlpm.debt6090)=1),IF(AND(AVERAGEIFS(_xlpm.debtChange,_xlpm.debt90,1,_xlpm.EDP,0)&lt;-1,AVERAGEIFS(_xlpm.debtChange,_xlpm.debt6090,1,_xlpm.EDP,0)&lt;-0.5),"ok","Not met")))))))</f>
        <v>Not applicable, reference year is the last year of adjustment</v>
      </c>
      <c r="M12" s="419" t="str">
        <f ca="1">_xlfn.LET(_xlpm.debtChange,OFFSET('Adjustment scenario'!F58,0,1,1,$F$5),
_xlpm.debt60,OFFSET('Adjustment scenario'!F86,0,1,1,$F$5),
_xlpm.debt6090,OFFSET('Adjustment scenario'!F85,0,1,1,$F$5),
_xlpm.debt90,OFFSET('Adjustment scenario'!F84,0,1,1,$F$5),
_xlpm.EDP,OFFSET('Adjustment scenario'!F87,0,1,1,$F$5),
IF(AND(MAX(_xlpm.debt90)=0,MAX(_xlpm.debt6090)=0),"Debt below 60% of GDP over the adjustment period",
IF(MIN(_xlpm.EDP)=1,"Not applicable, reference year is the last year of adjustment",
IF(AND(MAX(_xlpm.debt90)=0,MAX(_xlpm.debt6090)=1),AVERAGEIFS(_xlpm.debtChange,_xlpm.debt60,1,_xlpm.EDP,0),
IF(AND(MAX(_xlpm.debt90)=1,MAX(_xlpm.debt6090)=0),AVERAGEIFS(_xlpm.debtChange,_xlpm.EDP,0),
IF(AND(MAX(_xlpm.debt90)=1,MAX(_xlpm.debt6090)=1),AVERAGEIFS(_xlpm.debtChange,_xlpm.debt60,1,_xlpm.EDP,0)))))))</f>
        <v>Not applicable, reference year is the last year of adjustment</v>
      </c>
      <c r="N12" s="457" t="str">
        <f>IF(AND(O12=0,F6&lt;0.5),"not relevant","ok")</f>
        <v>ok</v>
      </c>
      <c r="O12" s="413">
        <f>IF(F6&lt;0.5,COUNTIFS('Adjustment scenario'!F77:H77,"&lt;"&amp;-3.049),0)+IF(AND(F5=4,J19&gt;0.5,J19&gt;F6),1,COUNTIFS(J19:M19,"&gt;" &amp; F6,J19:M19,"&gt;"&amp;0.5))</f>
        <v>0</v>
      </c>
      <c r="P12" s="416" t="str">
        <f>IF(OR(AND(F5=4,Q12=0,F6&lt;0.4),AND(F5=7,Q12=0,F6&lt;0.25)),"not relevant, 
(over the adjustment horizon)","ok")</f>
        <v>ok</v>
      </c>
      <c r="Q12" s="448">
        <f>IF(AND('Criteria results'!$F$5=4,'Criteria results'!$F$6&lt;=0.4),COUNTIFS('Adjustment scenario'!G13:J13,0.4,'Adjustment scenario'!F88:I88,0),IF(AND('Criteria results'!$F$5=7,'Criteria results'!$F$6&lt;=0.25),COUNTIFS('Adjustment scenario'!G13:M13,0.25,'Adjustment scenario'!F88:L88,0),0))</f>
        <v>0</v>
      </c>
      <c r="V12" s="387">
        <v>0.2</v>
      </c>
    </row>
    <row r="13" spans="1:22" x14ac:dyDescent="0.2">
      <c r="D13" s="14" t="s">
        <v>26</v>
      </c>
      <c r="G13" s="10" t="str">
        <f ca="1">IF(OR('Adjustment scenario'!F57&gt;60,'Adjustment scenario'!F77&lt;-3),IF(SUM(OFFSET('Financial stress'!$F$75,0,$F$5+1,1,10))=0,"ok","Not met"),"")</f>
        <v>ok</v>
      </c>
      <c r="H13" s="220"/>
      <c r="I13" s="8"/>
      <c r="J13" s="12" t="str">
        <f ca="1">IF(OR('Adjustment scenario'!F57&gt;60,'Adjustment scenario'!F77&lt;-3),IF(OFFSET('Financial stress'!$F$56,0,$F$5+10,1,1)&lt;60,"ok","Not met"),"")</f>
        <v>Not met</v>
      </c>
      <c r="L13" s="417"/>
      <c r="M13" s="420"/>
      <c r="N13" s="458"/>
      <c r="O13" s="414"/>
      <c r="P13" s="417"/>
      <c r="Q13" s="449"/>
      <c r="V13" s="387">
        <v>0.22</v>
      </c>
    </row>
    <row r="14" spans="1:22" x14ac:dyDescent="0.2">
      <c r="D14" s="14" t="s">
        <v>27</v>
      </c>
      <c r="G14" s="10" t="str">
        <f ca="1">IF(OR('Adjustment scenario'!F57&gt;60,'Adjustment scenario'!F77&lt;-3),IF(SUM(OFFSET('Lower SPB'!$F$75,0,$F$5+1,1,10))=0,"ok","Not met"),"")</f>
        <v>ok</v>
      </c>
      <c r="H14" s="220"/>
      <c r="I14" s="8"/>
      <c r="J14" s="12" t="str">
        <f ca="1">IF(OR('Adjustment scenario'!F57&gt;60,'Adjustment scenario'!F77&lt;-3),IF(OFFSET('Lower SPB'!$F$56,0,$F$5+10,1,1)&lt;60,"ok","Not met"),"")</f>
        <v>Not met</v>
      </c>
      <c r="L14" s="417"/>
      <c r="M14" s="420"/>
      <c r="N14" s="458"/>
      <c r="O14" s="414"/>
      <c r="P14" s="417"/>
      <c r="Q14" s="449"/>
      <c r="V14" s="387">
        <v>0.24</v>
      </c>
    </row>
    <row r="15" spans="1:22" x14ac:dyDescent="0.2">
      <c r="D15" s="15" t="s">
        <v>28</v>
      </c>
      <c r="E15" s="6"/>
      <c r="F15" s="6"/>
      <c r="G15" s="11" t="str">
        <f ca="1">IF(OR('Adjustment scenario'!F57&gt;60,'Adjustment scenario'!F77&lt;-3),IF(SUM(OFFSET('Adverse (r-g)'!$F$76,0,$F$5+1,1,10))=0,"ok","Not met"),"")</f>
        <v>ok</v>
      </c>
      <c r="H15" s="221"/>
      <c r="I15" s="9"/>
      <c r="J15" s="13" t="str">
        <f ca="1">IF(OR('Adjustment scenario'!F57&gt;60,'Adjustment scenario'!F77&lt;-3),IF(OFFSET('Adverse (r-g)'!$F$57,0,$F$5+10,1,1)&lt;60,"ok","Not met"),"")</f>
        <v>Not met</v>
      </c>
      <c r="L15" s="418"/>
      <c r="M15" s="421"/>
      <c r="N15" s="459"/>
      <c r="O15" s="415"/>
      <c r="P15" s="418"/>
      <c r="Q15" s="450"/>
      <c r="V15" s="387">
        <v>0.26</v>
      </c>
    </row>
    <row r="16" spans="1:22" ht="102" customHeight="1" x14ac:dyDescent="0.2">
      <c r="D16" s="422" t="s">
        <v>291</v>
      </c>
      <c r="E16" s="422"/>
      <c r="F16" s="422"/>
      <c r="G16" s="422"/>
      <c r="H16" s="422"/>
      <c r="I16" s="422"/>
      <c r="J16" s="422"/>
      <c r="L16" s="453" t="s">
        <v>205</v>
      </c>
      <c r="M16" s="453"/>
      <c r="N16" s="453"/>
      <c r="O16" s="453"/>
      <c r="P16" s="453"/>
      <c r="Q16" s="453"/>
      <c r="V16" s="387">
        <v>0.28000000000000003</v>
      </c>
    </row>
    <row r="17" spans="4:22" ht="15.75" customHeight="1" x14ac:dyDescent="0.2">
      <c r="D17" s="227"/>
      <c r="E17" s="227"/>
      <c r="F17" s="227"/>
      <c r="G17" s="423" t="s">
        <v>172</v>
      </c>
      <c r="H17" s="424"/>
      <c r="I17" s="424"/>
      <c r="J17" s="425"/>
      <c r="K17" s="246"/>
      <c r="L17" s="246"/>
      <c r="M17" s="246"/>
      <c r="N17" s="246"/>
      <c r="O17" s="246"/>
      <c r="P17" s="233"/>
      <c r="V17" s="387">
        <v>0.3</v>
      </c>
    </row>
    <row r="18" spans="4:22" ht="13.5" customHeight="1" x14ac:dyDescent="0.2">
      <c r="D18" s="227"/>
      <c r="E18" s="228"/>
      <c r="F18" s="234"/>
      <c r="G18" s="229">
        <v>2025</v>
      </c>
      <c r="H18" s="230">
        <v>2026</v>
      </c>
      <c r="I18" s="230">
        <v>2027</v>
      </c>
      <c r="J18" s="230">
        <v>2028</v>
      </c>
      <c r="K18" s="230">
        <v>2029</v>
      </c>
      <c r="L18" s="230">
        <v>2030</v>
      </c>
      <c r="M18" s="247">
        <v>2031</v>
      </c>
      <c r="N18" s="235"/>
      <c r="P18" s="235"/>
      <c r="V18" s="387">
        <v>0.32</v>
      </c>
    </row>
    <row r="19" spans="4:22" ht="15" customHeight="1" x14ac:dyDescent="0.2">
      <c r="D19" s="426" t="s">
        <v>29</v>
      </c>
      <c r="E19" s="427"/>
      <c r="F19" s="428"/>
      <c r="G19" s="232">
        <f>'Adjustment scenario'!G12-'Adjustment scenario'!F12</f>
        <v>0.94</v>
      </c>
      <c r="H19" s="239">
        <f>'Adjustment scenario'!H12-'Adjustment scenario'!G12</f>
        <v>0.94</v>
      </c>
      <c r="I19" s="239">
        <f>'Adjustment scenario'!I12-'Adjustment scenario'!H12</f>
        <v>0.94</v>
      </c>
      <c r="J19" s="239">
        <f>'Adjustment scenario'!J12-'Adjustment scenario'!I12</f>
        <v>0.94</v>
      </c>
      <c r="K19" s="239">
        <f>'Adjustment scenario'!K12-'Adjustment scenario'!J12</f>
        <v>0</v>
      </c>
      <c r="L19" s="239">
        <f>'Adjustment scenario'!L12-'Adjustment scenario'!K12</f>
        <v>0</v>
      </c>
      <c r="M19" s="240">
        <f>'Adjustment scenario'!M12-'Adjustment scenario'!L12</f>
        <v>0</v>
      </c>
      <c r="N19" s="232"/>
      <c r="P19" s="232"/>
      <c r="V19" s="387">
        <v>0.34</v>
      </c>
    </row>
    <row r="20" spans="4:22" ht="15" customHeight="1" x14ac:dyDescent="0.2">
      <c r="D20" s="405" t="s">
        <v>30</v>
      </c>
      <c r="E20" s="406"/>
      <c r="F20" s="407"/>
      <c r="G20" s="237">
        <f>'Adjustment scenario'!G79</f>
        <v>1.3374545654688181</v>
      </c>
      <c r="H20" s="238">
        <f>'Adjustment scenario'!H79</f>
        <v>1.028672240468818</v>
      </c>
      <c r="I20" s="238">
        <f>'Adjustment scenario'!I79</f>
        <v>0.90638941546881835</v>
      </c>
      <c r="J20" s="238">
        <f>'Adjustment scenario'!J79</f>
        <v>0.87089409046881849</v>
      </c>
      <c r="K20" s="238">
        <f>'Adjustment scenario'!K79</f>
        <v>2.6377622999999999</v>
      </c>
      <c r="L20" s="238">
        <f>'Adjustment scenario'!L79</f>
        <v>2.7100068749999999</v>
      </c>
      <c r="M20" s="241">
        <f>'Adjustment scenario'!M79</f>
        <v>2.7961662499999997</v>
      </c>
      <c r="N20" s="256"/>
      <c r="P20" s="232"/>
      <c r="V20" s="387">
        <v>0.36</v>
      </c>
    </row>
    <row r="21" spans="4:22" ht="15" customHeight="1" x14ac:dyDescent="0.2">
      <c r="D21" s="283" t="s">
        <v>41</v>
      </c>
      <c r="E21" s="274"/>
      <c r="F21" s="275"/>
      <c r="G21" s="279">
        <f>'Adjustment scenario'!G77</f>
        <v>-4.7494819170062037</v>
      </c>
      <c r="H21" s="280">
        <f>'Adjustment scenario'!H77</f>
        <v>-4.2790296424964618</v>
      </c>
      <c r="I21" s="280">
        <f>'Adjustment scenario'!I77</f>
        <v>-3.7094566855688877</v>
      </c>
      <c r="J21" s="280">
        <f>'Adjustment scenario'!J77</f>
        <v>-3.0445893948875034</v>
      </c>
      <c r="K21" s="280">
        <f>'Adjustment scenario'!K77</f>
        <v>-2.760673241505653</v>
      </c>
      <c r="L21" s="280">
        <f>'Adjustment scenario'!L77</f>
        <v>-2.4755350263366465</v>
      </c>
      <c r="M21" s="281">
        <f>'Adjustment scenario'!M77</f>
        <v>-2.1766546609079809</v>
      </c>
      <c r="N21" s="256"/>
      <c r="P21" s="232"/>
      <c r="V21" s="387">
        <v>0.38</v>
      </c>
    </row>
    <row r="22" spans="4:22" ht="15" customHeight="1" x14ac:dyDescent="0.2">
      <c r="D22" s="283" t="s">
        <v>42</v>
      </c>
      <c r="E22" s="274"/>
      <c r="F22" s="275"/>
      <c r="G22" s="276">
        <f>'Adjustment scenario'!G78</f>
        <v>-4.3758590680281833</v>
      </c>
      <c r="H22" s="277">
        <f>'Adjustment scenario'!H78</f>
        <v>-3.610989776256587</v>
      </c>
      <c r="I22" s="277">
        <f>'Adjustment scenario'!I78</f>
        <v>-2.8265919948830964</v>
      </c>
      <c r="J22" s="277">
        <f>'Adjustment scenario'!J78</f>
        <v>-2.0195857272607887</v>
      </c>
      <c r="K22" s="277">
        <f>'Adjustment scenario'!K78</f>
        <v>-2.0773374630878387</v>
      </c>
      <c r="L22" s="277">
        <f>'Adjustment scenario'!L78</f>
        <v>-2.1338671371277531</v>
      </c>
      <c r="M22" s="282">
        <f>'Adjustment scenario'!M78</f>
        <v>-2.1766546609079809</v>
      </c>
      <c r="N22" s="256"/>
      <c r="P22" s="232"/>
      <c r="V22" s="387">
        <v>0.4</v>
      </c>
    </row>
    <row r="23" spans="4:22" ht="15" customHeight="1" x14ac:dyDescent="0.2">
      <c r="D23" s="283" t="s">
        <v>43</v>
      </c>
      <c r="E23" s="274"/>
      <c r="F23" s="275"/>
      <c r="G23" s="237">
        <f>'Adjustment scenario'!G57</f>
        <v>113.96873574495558</v>
      </c>
      <c r="H23" s="238">
        <f>'Adjustment scenario'!H57</f>
        <v>115.77838065922458</v>
      </c>
      <c r="I23" s="238">
        <f>'Adjustment scenario'!I57</f>
        <v>116.92117165766111</v>
      </c>
      <c r="J23" s="238">
        <f>'Adjustment scenario'!J57</f>
        <v>117.28270034717907</v>
      </c>
      <c r="K23" s="238">
        <f>'Adjustment scenario'!K57</f>
        <v>116.3940420920207</v>
      </c>
      <c r="L23" s="238">
        <f>'Adjustment scenario'!L57</f>
        <v>115.17150448362032</v>
      </c>
      <c r="M23" s="241">
        <f>'Adjustment scenario'!M57</f>
        <v>113.59794901750452</v>
      </c>
      <c r="N23" s="256"/>
      <c r="P23" s="232"/>
      <c r="V23" s="387">
        <v>0.42</v>
      </c>
    </row>
    <row r="24" spans="4:22" ht="15" customHeight="1" x14ac:dyDescent="0.2">
      <c r="D24" s="439" t="s">
        <v>31</v>
      </c>
      <c r="E24" s="439"/>
      <c r="F24" s="439"/>
      <c r="G24" s="278">
        <f>AVERAGE(G19:J19)</f>
        <v>0.94</v>
      </c>
      <c r="I24" s="232"/>
      <c r="J24" s="232"/>
      <c r="K24" s="232"/>
      <c r="L24" s="232"/>
      <c r="M24" s="232"/>
      <c r="N24" s="232"/>
      <c r="P24" s="236"/>
      <c r="V24" s="387">
        <v>0.44</v>
      </c>
    </row>
    <row r="25" spans="4:22" x14ac:dyDescent="0.2">
      <c r="D25" s="242" t="s">
        <v>32</v>
      </c>
      <c r="E25" s="377"/>
      <c r="F25" s="376"/>
      <c r="G25" s="272">
        <f>IF(F5=4,AVERAGE(G19:J19),AVERAGE(G19:M19))</f>
        <v>0.94</v>
      </c>
      <c r="H25" s="232"/>
      <c r="Q25" s="231"/>
      <c r="V25" s="387">
        <v>0.46</v>
      </c>
    </row>
    <row r="26" spans="4:22" x14ac:dyDescent="0.2">
      <c r="D26" s="408" t="s">
        <v>33</v>
      </c>
      <c r="E26" s="409"/>
      <c r="F26" s="409"/>
      <c r="G26" s="374">
        <f>AVERAGE(G20:J20)</f>
        <v>1.0358525779688184</v>
      </c>
      <c r="Q26" s="231"/>
      <c r="V26" s="387">
        <v>0.48</v>
      </c>
    </row>
    <row r="27" spans="4:22" ht="15" customHeight="1" x14ac:dyDescent="0.2">
      <c r="D27" s="410" t="s">
        <v>34</v>
      </c>
      <c r="E27" s="411"/>
      <c r="F27" s="411"/>
      <c r="G27" s="375">
        <f>IF(F5=4,AVERAGE(G20:J20),AVERAGE(G20:M20))</f>
        <v>1.0358525779688184</v>
      </c>
      <c r="H27" s="232"/>
      <c r="I27" s="232"/>
      <c r="J27" s="232"/>
      <c r="K27" s="232"/>
      <c r="L27" s="232"/>
      <c r="M27" s="232"/>
      <c r="N27" s="232"/>
      <c r="O27" s="232"/>
      <c r="P27" s="232"/>
      <c r="V27" s="387">
        <v>0.5</v>
      </c>
    </row>
    <row r="28" spans="4:22" ht="53.25" customHeight="1" x14ac:dyDescent="0.2">
      <c r="D28" s="412" t="s">
        <v>292</v>
      </c>
      <c r="E28" s="412"/>
      <c r="F28" s="412"/>
      <c r="G28" s="412"/>
      <c r="H28" s="412"/>
      <c r="I28" s="412"/>
      <c r="J28" s="412"/>
      <c r="K28" s="233"/>
      <c r="L28" s="233"/>
      <c r="M28" s="233"/>
      <c r="N28" s="233"/>
      <c r="O28" s="233"/>
      <c r="V28" s="387">
        <v>0.52</v>
      </c>
    </row>
    <row r="29" spans="4:22" x14ac:dyDescent="0.2">
      <c r="V29" s="387">
        <v>0.54</v>
      </c>
    </row>
    <row r="30" spans="4:22" ht="15.75" customHeight="1" x14ac:dyDescent="0.2">
      <c r="G30" s="440" t="s">
        <v>170</v>
      </c>
      <c r="H30" s="441"/>
      <c r="V30" s="387">
        <v>0.56000000000000005</v>
      </c>
    </row>
    <row r="31" spans="4:22" x14ac:dyDescent="0.2">
      <c r="G31" s="199" t="s">
        <v>35</v>
      </c>
      <c r="H31" s="200" t="s">
        <v>36</v>
      </c>
      <c r="V31" s="387">
        <v>0.57999999999999996</v>
      </c>
    </row>
    <row r="32" spans="4:22" x14ac:dyDescent="0.2">
      <c r="D32" s="369" t="s">
        <v>282</v>
      </c>
      <c r="E32" s="204"/>
      <c r="F32" s="205"/>
      <c r="G32" s="210">
        <v>4</v>
      </c>
      <c r="H32" s="201">
        <v>7</v>
      </c>
      <c r="M32" s="271"/>
      <c r="V32" s="387">
        <v>0.6</v>
      </c>
    </row>
    <row r="33" spans="4:22" x14ac:dyDescent="0.2">
      <c r="D33" s="370" t="s">
        <v>37</v>
      </c>
      <c r="E33" s="206"/>
      <c r="F33" s="207"/>
      <c r="G33" s="211">
        <v>0.94</v>
      </c>
      <c r="H33" s="202">
        <v>0.56000000000000005</v>
      </c>
      <c r="V33" s="387">
        <v>0.62</v>
      </c>
    </row>
    <row r="34" spans="4:22" x14ac:dyDescent="0.2">
      <c r="D34" s="371" t="s">
        <v>283</v>
      </c>
      <c r="E34" s="208"/>
      <c r="F34" s="209"/>
      <c r="G34" s="212">
        <v>75.450000762939453</v>
      </c>
      <c r="H34" s="203">
        <v>77.340000152587891</v>
      </c>
      <c r="V34" s="387">
        <v>0.64</v>
      </c>
    </row>
    <row r="35" spans="4:22" ht="40.15" customHeight="1" x14ac:dyDescent="0.2">
      <c r="D35" s="435" t="s">
        <v>190</v>
      </c>
      <c r="E35" s="435"/>
      <c r="F35" s="435"/>
      <c r="G35" s="435"/>
      <c r="H35" s="435"/>
      <c r="V35" s="387">
        <v>0.66</v>
      </c>
    </row>
    <row r="36" spans="4:22" x14ac:dyDescent="0.2">
      <c r="V36" s="387">
        <v>0.68</v>
      </c>
    </row>
    <row r="37" spans="4:22" ht="19.899999999999999" customHeight="1" x14ac:dyDescent="0.2">
      <c r="D37" s="227"/>
      <c r="E37" s="227"/>
      <c r="F37" s="227"/>
      <c r="H37" s="436" t="s">
        <v>265</v>
      </c>
      <c r="I37" s="437"/>
      <c r="J37" s="437"/>
      <c r="K37" s="437"/>
      <c r="L37" s="437"/>
      <c r="M37" s="437"/>
      <c r="N37" s="438"/>
      <c r="O37" s="257"/>
      <c r="V37" s="387">
        <v>0.7</v>
      </c>
    </row>
    <row r="38" spans="4:22" x14ac:dyDescent="0.2">
      <c r="D38" s="227"/>
      <c r="E38" s="227"/>
      <c r="F38" s="250"/>
      <c r="G38" s="309" t="s">
        <v>244</v>
      </c>
      <c r="H38" s="307">
        <v>2025</v>
      </c>
      <c r="I38" s="307">
        <v>2026</v>
      </c>
      <c r="J38" s="307">
        <v>2027</v>
      </c>
      <c r="K38" s="307">
        <v>2028</v>
      </c>
      <c r="L38" s="307">
        <v>2029</v>
      </c>
      <c r="M38" s="307">
        <v>2030</v>
      </c>
      <c r="N38" s="308">
        <v>2031</v>
      </c>
      <c r="V38" s="387">
        <v>0.72</v>
      </c>
    </row>
    <row r="39" spans="4:22" s="314" customFormat="1" ht="15" customHeight="1" x14ac:dyDescent="0.2">
      <c r="D39" s="442" t="s">
        <v>202</v>
      </c>
      <c r="E39" s="443"/>
      <c r="F39" s="444"/>
      <c r="G39" s="310"/>
      <c r="H39" s="315"/>
      <c r="I39" s="315"/>
      <c r="J39" s="315"/>
      <c r="K39" s="315"/>
      <c r="L39" s="315"/>
      <c r="M39" s="315"/>
      <c r="N39" s="316"/>
      <c r="U39" s="388"/>
      <c r="V39" s="389">
        <v>0.74</v>
      </c>
    </row>
    <row r="40" spans="4:22" s="314" customFormat="1" ht="15" customHeight="1" x14ac:dyDescent="0.2">
      <c r="D40" s="327" t="s">
        <v>30</v>
      </c>
      <c r="E40" s="328"/>
      <c r="F40" s="329"/>
      <c r="G40" s="313">
        <v>1.0358525779688184</v>
      </c>
      <c r="H40" s="323">
        <v>1.3374545654688181</v>
      </c>
      <c r="I40" s="323">
        <v>1.028672240468818</v>
      </c>
      <c r="J40" s="323">
        <v>0.90638941546881835</v>
      </c>
      <c r="K40" s="323">
        <v>0.87089409046881849</v>
      </c>
      <c r="L40" s="317"/>
      <c r="M40" s="317"/>
      <c r="N40" s="318"/>
      <c r="U40" s="388"/>
      <c r="V40" s="389">
        <v>0.76</v>
      </c>
    </row>
    <row r="41" spans="4:22" s="314" customFormat="1" ht="15" customHeight="1" x14ac:dyDescent="0.2">
      <c r="D41" s="429" t="s">
        <v>192</v>
      </c>
      <c r="E41" s="430"/>
      <c r="F41" s="431"/>
      <c r="G41" s="202">
        <v>0.94</v>
      </c>
      <c r="H41" s="319">
        <v>0.94</v>
      </c>
      <c r="I41" s="319">
        <v>0.94</v>
      </c>
      <c r="J41" s="319">
        <v>0.94</v>
      </c>
      <c r="K41" s="319">
        <v>0.94</v>
      </c>
      <c r="L41" s="319"/>
      <c r="M41" s="319"/>
      <c r="N41" s="320"/>
      <c r="U41" s="388"/>
      <c r="V41" s="389">
        <v>0.78</v>
      </c>
    </row>
    <row r="42" spans="4:22" s="314" customFormat="1" ht="15" customHeight="1" x14ac:dyDescent="0.2">
      <c r="D42" s="442" t="s">
        <v>203</v>
      </c>
      <c r="E42" s="443"/>
      <c r="F42" s="444"/>
      <c r="G42" s="312"/>
      <c r="H42" s="321"/>
      <c r="I42" s="321"/>
      <c r="J42" s="321"/>
      <c r="K42" s="321"/>
      <c r="L42" s="321"/>
      <c r="M42" s="321"/>
      <c r="N42" s="322"/>
      <c r="U42" s="388"/>
      <c r="V42" s="389">
        <v>0.8</v>
      </c>
    </row>
    <row r="43" spans="4:22" s="314" customFormat="1" ht="15" customHeight="1" x14ac:dyDescent="0.2">
      <c r="D43" s="327" t="s">
        <v>30</v>
      </c>
      <c r="E43" s="328"/>
      <c r="F43" s="329"/>
      <c r="G43" s="313">
        <v>1.6817518944833392</v>
      </c>
      <c r="H43" s="323">
        <v>2.0266421453856789</v>
      </c>
      <c r="I43" s="323">
        <v>1.7178598203856787</v>
      </c>
      <c r="J43" s="323">
        <v>1.5955769953856791</v>
      </c>
      <c r="K43" s="323">
        <v>1.3869286167763202</v>
      </c>
      <c r="L43" s="323">
        <v>1.477590080752204</v>
      </c>
      <c r="M43" s="323">
        <v>1.5851191841853356</v>
      </c>
      <c r="N43" s="324">
        <v>1.7105041425075285</v>
      </c>
      <c r="U43" s="388"/>
      <c r="V43" s="389">
        <v>0.82</v>
      </c>
    </row>
    <row r="44" spans="4:22" s="314" customFormat="1" ht="15" customHeight="1" x14ac:dyDescent="0.2">
      <c r="D44" s="432" t="s">
        <v>192</v>
      </c>
      <c r="E44" s="433"/>
      <c r="F44" s="434"/>
      <c r="G44" s="311">
        <v>0.58386801586713666</v>
      </c>
      <c r="H44" s="325">
        <v>0.56000000000000005</v>
      </c>
      <c r="I44" s="325">
        <v>0.56000000000000005</v>
      </c>
      <c r="J44" s="325">
        <v>0.56000000000000005</v>
      </c>
      <c r="K44" s="325">
        <v>0.65547206346854647</v>
      </c>
      <c r="L44" s="325">
        <v>0.63968860751574441</v>
      </c>
      <c r="M44" s="325">
        <v>0.62023364170482909</v>
      </c>
      <c r="N44" s="326">
        <v>0.59860568133991432</v>
      </c>
      <c r="U44" s="388"/>
      <c r="V44" s="389">
        <v>0.84</v>
      </c>
    </row>
    <row r="45" spans="4:22" x14ac:dyDescent="0.2">
      <c r="V45" s="387">
        <v>0.86</v>
      </c>
    </row>
    <row r="46" spans="4:22" x14ac:dyDescent="0.2">
      <c r="V46" s="387">
        <v>0.88</v>
      </c>
    </row>
    <row r="47" spans="4:22" x14ac:dyDescent="0.2">
      <c r="V47" s="387">
        <v>0.9</v>
      </c>
    </row>
    <row r="48" spans="4:22" x14ac:dyDescent="0.2">
      <c r="V48" s="387">
        <v>0.92</v>
      </c>
    </row>
    <row r="49" spans="22:22" x14ac:dyDescent="0.2">
      <c r="V49" s="387">
        <v>0.94</v>
      </c>
    </row>
    <row r="50" spans="22:22" x14ac:dyDescent="0.2">
      <c r="V50" s="387">
        <v>0.96</v>
      </c>
    </row>
    <row r="51" spans="22:22" x14ac:dyDescent="0.2">
      <c r="V51" s="387">
        <v>0.98</v>
      </c>
    </row>
    <row r="52" spans="22:22" x14ac:dyDescent="0.2">
      <c r="V52" s="387">
        <v>1</v>
      </c>
    </row>
    <row r="53" spans="22:22" x14ac:dyDescent="0.2">
      <c r="V53" s="387">
        <v>1.02</v>
      </c>
    </row>
    <row r="54" spans="22:22" x14ac:dyDescent="0.2">
      <c r="V54" s="387">
        <v>1.04</v>
      </c>
    </row>
    <row r="55" spans="22:22" x14ac:dyDescent="0.2">
      <c r="V55" s="387">
        <v>1.06</v>
      </c>
    </row>
    <row r="56" spans="22:22" x14ac:dyDescent="0.2">
      <c r="V56" s="387">
        <v>1.08</v>
      </c>
    </row>
    <row r="57" spans="22:22" x14ac:dyDescent="0.2">
      <c r="V57" s="387">
        <v>1.1000000000000001</v>
      </c>
    </row>
    <row r="58" spans="22:22" x14ac:dyDescent="0.2">
      <c r="V58" s="387">
        <v>1.1200000000000001</v>
      </c>
    </row>
    <row r="59" spans="22:22" x14ac:dyDescent="0.2">
      <c r="V59" s="387">
        <v>1.1399999999999999</v>
      </c>
    </row>
    <row r="60" spans="22:22" x14ac:dyDescent="0.2">
      <c r="V60" s="387">
        <v>1.1599999999999999</v>
      </c>
    </row>
    <row r="61" spans="22:22" x14ac:dyDescent="0.2">
      <c r="V61" s="387">
        <v>1.18</v>
      </c>
    </row>
    <row r="62" spans="22:22" x14ac:dyDescent="0.2">
      <c r="V62" s="387">
        <v>1.2</v>
      </c>
    </row>
    <row r="63" spans="22:22" x14ac:dyDescent="0.2">
      <c r="V63" s="387">
        <v>1.22</v>
      </c>
    </row>
    <row r="64" spans="22:22" x14ac:dyDescent="0.2">
      <c r="V64" s="387">
        <v>1.24</v>
      </c>
    </row>
    <row r="65" spans="22:22" x14ac:dyDescent="0.2">
      <c r="V65" s="387">
        <v>1.26</v>
      </c>
    </row>
    <row r="66" spans="22:22" x14ac:dyDescent="0.2">
      <c r="V66" s="387">
        <v>1.28</v>
      </c>
    </row>
    <row r="67" spans="22:22" x14ac:dyDescent="0.2">
      <c r="V67" s="387">
        <v>1.3</v>
      </c>
    </row>
    <row r="68" spans="22:22" x14ac:dyDescent="0.2">
      <c r="V68" s="387">
        <v>1.32</v>
      </c>
    </row>
    <row r="69" spans="22:22" x14ac:dyDescent="0.2">
      <c r="V69" s="387">
        <v>1.34</v>
      </c>
    </row>
    <row r="70" spans="22:22" x14ac:dyDescent="0.2">
      <c r="V70" s="387">
        <v>1.36</v>
      </c>
    </row>
    <row r="71" spans="22:22" x14ac:dyDescent="0.2">
      <c r="V71" s="387">
        <v>1.38</v>
      </c>
    </row>
    <row r="72" spans="22:22" x14ac:dyDescent="0.2">
      <c r="V72" s="387">
        <v>1.4</v>
      </c>
    </row>
    <row r="73" spans="22:22" x14ac:dyDescent="0.2">
      <c r="V73" s="387">
        <v>1.42</v>
      </c>
    </row>
    <row r="74" spans="22:22" x14ac:dyDescent="0.2">
      <c r="V74" s="387">
        <v>1.44</v>
      </c>
    </row>
    <row r="75" spans="22:22" x14ac:dyDescent="0.2">
      <c r="V75" s="387">
        <v>1.46</v>
      </c>
    </row>
    <row r="76" spans="22:22" x14ac:dyDescent="0.2">
      <c r="V76" s="387">
        <v>1.48</v>
      </c>
    </row>
    <row r="77" spans="22:22" x14ac:dyDescent="0.2">
      <c r="V77" s="387">
        <v>1.5</v>
      </c>
    </row>
    <row r="78" spans="22:22" x14ac:dyDescent="0.2">
      <c r="V78" s="387">
        <v>1.52</v>
      </c>
    </row>
    <row r="79" spans="22:22" x14ac:dyDescent="0.2">
      <c r="V79" s="387">
        <v>1.54</v>
      </c>
    </row>
    <row r="80" spans="22:22" x14ac:dyDescent="0.2">
      <c r="V80" s="387">
        <v>1.56</v>
      </c>
    </row>
    <row r="81" spans="22:22" x14ac:dyDescent="0.2">
      <c r="V81" s="387">
        <v>1.58</v>
      </c>
    </row>
    <row r="82" spans="22:22" x14ac:dyDescent="0.2">
      <c r="V82" s="387">
        <v>1.6</v>
      </c>
    </row>
  </sheetData>
  <mergeCells count="29">
    <mergeCell ref="D3:F3"/>
    <mergeCell ref="Q12:Q15"/>
    <mergeCell ref="P10:Q10"/>
    <mergeCell ref="L16:Q16"/>
    <mergeCell ref="L10:M10"/>
    <mergeCell ref="N10:O10"/>
    <mergeCell ref="N12:N15"/>
    <mergeCell ref="P12:P15"/>
    <mergeCell ref="G9:J10"/>
    <mergeCell ref="L9:Q9"/>
    <mergeCell ref="H3:I6"/>
    <mergeCell ref="D41:F41"/>
    <mergeCell ref="D44:F44"/>
    <mergeCell ref="D35:H35"/>
    <mergeCell ref="H37:N37"/>
    <mergeCell ref="D24:F24"/>
    <mergeCell ref="G30:H30"/>
    <mergeCell ref="D39:F39"/>
    <mergeCell ref="D42:F42"/>
    <mergeCell ref="D20:F20"/>
    <mergeCell ref="D26:F26"/>
    <mergeCell ref="D27:F27"/>
    <mergeCell ref="D28:J28"/>
    <mergeCell ref="O12:O15"/>
    <mergeCell ref="L12:L15"/>
    <mergeCell ref="M12:M15"/>
    <mergeCell ref="D16:J16"/>
    <mergeCell ref="G17:J17"/>
    <mergeCell ref="D19:F19"/>
  </mergeCells>
  <conditionalFormatting sqref="L18:N20 N21:N23">
    <cfRule type="expression" dxfId="43" priority="13">
      <formula>$F$5=4</formula>
    </cfRule>
  </conditionalFormatting>
  <conditionalFormatting sqref="K18:N23">
    <cfRule type="expression" dxfId="42" priority="12">
      <formula>$F$5=4</formula>
    </cfRule>
  </conditionalFormatting>
  <conditionalFormatting sqref="K18:K23">
    <cfRule type="expression" dxfId="41" priority="14">
      <formula>$F$5=4</formula>
    </cfRule>
  </conditionalFormatting>
  <conditionalFormatting sqref="L23:N23">
    <cfRule type="expression" dxfId="40" priority="4">
      <formula>$F$5=4</formula>
    </cfRule>
  </conditionalFormatting>
  <conditionalFormatting sqref="H3:I6">
    <cfRule type="expression" dxfId="39" priority="1">
      <formula>OR(AND($G$12="ok",$G$13="ok",$G$14="ok",$G$15="ok",$H$12="ok",$I$12="ok",$L$12&lt;&gt;"Not met"), AND($I$12="ok",$J$12="ok",$J$13="ok",$J$14="ok",$J$15="ok",$L$12&lt;&gt;"Not met"))</formula>
    </cfRule>
  </conditionalFormatting>
  <dataValidations count="2">
    <dataValidation type="list" allowBlank="1" showInputMessage="1" showErrorMessage="1" sqref="F6" xr:uid="{F61BD574-77F9-4796-8E1C-77E13D9FBD50}">
      <formula1>$V$2:$V$82</formula1>
    </dataValidation>
    <dataValidation type="list" allowBlank="1" showInputMessage="1" showErrorMessage="1" sqref="F5" xr:uid="{0F0757DD-F584-4EA7-9F34-0FC17A05CD08}">
      <formula1>$U$2:$U$3</formula1>
    </dataValidation>
  </dataValidation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tabColor theme="8" tint="0.39997558519241921"/>
  </sheetPr>
  <dimension ref="A1:BB77"/>
  <sheetViews>
    <sheetView zoomScaleNormal="100" workbookViewId="0"/>
  </sheetViews>
  <sheetFormatPr defaultColWidth="8.85546875" defaultRowHeight="12.75" x14ac:dyDescent="0.2"/>
  <cols>
    <col min="1" max="1" width="8.7109375" style="137" customWidth="1"/>
    <col min="2" max="2" width="58.42578125" style="137" customWidth="1"/>
    <col min="3" max="6" width="8.7109375" style="137" customWidth="1"/>
    <col min="7" max="16384" width="8.85546875" style="137"/>
  </cols>
  <sheetData>
    <row r="1" spans="1:54" s="60" customFormat="1" ht="24.75" customHeight="1" x14ac:dyDescent="0.2">
      <c r="B1" s="130"/>
    </row>
    <row r="2" spans="1:54" s="60" customFormat="1" ht="11.25" customHeight="1" x14ac:dyDescent="0.2">
      <c r="B2" s="131"/>
    </row>
    <row r="3" spans="1:54" s="60" customFormat="1" ht="11.25" customHeight="1" x14ac:dyDescent="0.2">
      <c r="B3" s="132" t="s">
        <v>15</v>
      </c>
      <c r="C3" s="133" t="s">
        <v>163</v>
      </c>
    </row>
    <row r="4" spans="1:54" s="60" customFormat="1" ht="11.25" customHeight="1" x14ac:dyDescent="0.2">
      <c r="B4" s="134"/>
      <c r="C4" s="23"/>
    </row>
    <row r="5" spans="1:54" s="60" customFormat="1" ht="11.25" customHeight="1" x14ac:dyDescent="0.2">
      <c r="B5" s="135" t="s">
        <v>171</v>
      </c>
      <c r="C5" s="23">
        <v>2024</v>
      </c>
    </row>
    <row r="6" spans="1:54" x14ac:dyDescent="0.2">
      <c r="A6" s="60"/>
      <c r="B6" s="136" t="s">
        <v>44</v>
      </c>
      <c r="C6" s="286">
        <f>C5+'Criteria results'!$F$5</f>
        <v>2028</v>
      </c>
    </row>
    <row r="8" spans="1:54" s="138" customFormat="1" ht="12" customHeight="1" x14ac:dyDescent="0.2">
      <c r="B8" s="139" t="s">
        <v>45</v>
      </c>
      <c r="C8" s="140"/>
      <c r="D8" s="140"/>
      <c r="E8" s="140"/>
      <c r="F8" s="140"/>
      <c r="G8" s="140"/>
      <c r="H8" s="140"/>
      <c r="I8" s="140"/>
      <c r="J8" s="140"/>
      <c r="K8" s="140"/>
      <c r="L8" s="140"/>
      <c r="M8" s="140"/>
      <c r="N8" s="140"/>
      <c r="O8" s="140"/>
    </row>
    <row r="9" spans="1:54" x14ac:dyDescent="0.2">
      <c r="B9" s="60"/>
      <c r="C9" s="141">
        <v>2021</v>
      </c>
      <c r="D9" s="141">
        <v>2022</v>
      </c>
      <c r="E9" s="141">
        <v>2023</v>
      </c>
      <c r="F9" s="141">
        <v>2024</v>
      </c>
      <c r="G9" s="141">
        <v>2025</v>
      </c>
      <c r="H9" s="141">
        <v>2026</v>
      </c>
      <c r="I9" s="141">
        <v>2027</v>
      </c>
      <c r="J9" s="141">
        <v>2028</v>
      </c>
      <c r="K9" s="141">
        <v>2029</v>
      </c>
      <c r="L9" s="141">
        <v>2030</v>
      </c>
      <c r="M9" s="141">
        <v>2031</v>
      </c>
      <c r="N9" s="141">
        <v>2032</v>
      </c>
      <c r="O9" s="141">
        <v>2033</v>
      </c>
      <c r="P9" s="141">
        <v>2034</v>
      </c>
      <c r="Q9" s="141">
        <v>2035</v>
      </c>
      <c r="R9" s="141">
        <v>2036</v>
      </c>
      <c r="S9" s="141">
        <v>2037</v>
      </c>
      <c r="T9" s="141">
        <v>2038</v>
      </c>
      <c r="U9" s="141">
        <v>2039</v>
      </c>
      <c r="V9" s="141">
        <v>2040</v>
      </c>
      <c r="W9" s="141">
        <v>2041</v>
      </c>
      <c r="X9" s="141"/>
      <c r="Y9" s="141"/>
      <c r="Z9" s="141"/>
      <c r="AA9" s="141"/>
      <c r="AB9" s="141"/>
      <c r="AC9" s="141"/>
      <c r="AD9" s="141"/>
      <c r="AE9" s="141"/>
      <c r="AF9" s="141"/>
      <c r="AG9" s="141"/>
      <c r="AH9" s="141"/>
      <c r="AI9" s="141"/>
      <c r="AJ9" s="141"/>
      <c r="AK9" s="141"/>
      <c r="AL9" s="141"/>
      <c r="AM9" s="141"/>
      <c r="AN9" s="141"/>
      <c r="AO9" s="141"/>
      <c r="AP9" s="141"/>
      <c r="AQ9" s="141"/>
      <c r="AR9" s="141"/>
      <c r="AS9" s="141"/>
      <c r="AT9" s="141"/>
      <c r="AU9" s="141"/>
      <c r="AV9" s="141"/>
      <c r="AW9" s="141"/>
      <c r="AX9" s="141"/>
      <c r="AY9" s="141"/>
      <c r="AZ9" s="141"/>
      <c r="BA9" s="141"/>
      <c r="BB9" s="141"/>
    </row>
    <row r="10" spans="1:54" s="142" customFormat="1" x14ac:dyDescent="0.2">
      <c r="B10" s="143" t="s">
        <v>46</v>
      </c>
      <c r="C10" s="144"/>
      <c r="D10" s="144"/>
      <c r="E10" s="144"/>
      <c r="F10" s="144"/>
      <c r="G10" s="144"/>
      <c r="H10" s="144"/>
      <c r="I10" s="144"/>
      <c r="J10" s="144"/>
      <c r="K10" s="144"/>
      <c r="L10" s="144"/>
      <c r="M10" s="144"/>
      <c r="N10" s="144"/>
      <c r="O10" s="144"/>
    </row>
    <row r="11" spans="1:54" x14ac:dyDescent="0.2">
      <c r="B11" s="145" t="s">
        <v>288</v>
      </c>
      <c r="C11" s="146"/>
      <c r="D11" s="146"/>
      <c r="E11" s="146"/>
      <c r="F11" s="146"/>
      <c r="G11" s="146"/>
      <c r="H11" s="146"/>
      <c r="I11" s="146"/>
      <c r="J11" s="146"/>
      <c r="K11" s="146"/>
      <c r="L11" s="146"/>
      <c r="M11" s="146"/>
      <c r="N11" s="146"/>
      <c r="O11" s="146"/>
    </row>
    <row r="12" spans="1:54" x14ac:dyDescent="0.2">
      <c r="A12" s="60"/>
      <c r="B12" s="60" t="s">
        <v>43</v>
      </c>
      <c r="C12" s="59">
        <v>112.97329999999999</v>
      </c>
      <c r="D12" s="147">
        <v>111.9182</v>
      </c>
      <c r="E12" s="147">
        <v>110.6433</v>
      </c>
      <c r="F12" s="147">
        <v>112.4088</v>
      </c>
      <c r="G12" s="59" t="s">
        <v>47</v>
      </c>
      <c r="H12" s="59" t="s">
        <v>47</v>
      </c>
      <c r="I12" s="59" t="s">
        <v>47</v>
      </c>
      <c r="J12" s="59" t="s">
        <v>47</v>
      </c>
      <c r="K12" s="59" t="s">
        <v>47</v>
      </c>
      <c r="L12" s="59" t="s">
        <v>47</v>
      </c>
      <c r="M12" s="59" t="s">
        <v>47</v>
      </c>
      <c r="N12" s="59" t="s">
        <v>47</v>
      </c>
      <c r="O12" s="59" t="s">
        <v>47</v>
      </c>
    </row>
    <row r="13" spans="1:54" x14ac:dyDescent="0.2">
      <c r="A13" s="60"/>
      <c r="B13" s="60" t="s">
        <v>48</v>
      </c>
      <c r="C13" s="59">
        <v>-4.5038349999999996</v>
      </c>
      <c r="D13" s="147">
        <v>-2.9834649999999998</v>
      </c>
      <c r="E13" s="147">
        <v>-3.6529590000000001</v>
      </c>
      <c r="F13" s="147">
        <v>-2.968391</v>
      </c>
      <c r="G13" s="59"/>
      <c r="H13" s="59"/>
      <c r="I13" s="59"/>
      <c r="J13" s="59"/>
      <c r="K13" s="59"/>
      <c r="L13" s="59"/>
      <c r="M13" s="59"/>
      <c r="N13" s="59"/>
      <c r="O13" s="59"/>
      <c r="P13" s="59"/>
      <c r="Q13" s="59"/>
      <c r="R13" s="59"/>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59"/>
      <c r="BB13" s="59"/>
    </row>
    <row r="14" spans="1:54" x14ac:dyDescent="0.2">
      <c r="A14" s="60"/>
      <c r="B14" s="60" t="s">
        <v>49</v>
      </c>
      <c r="C14" s="59">
        <v>-8.3968899999999999E-2</v>
      </c>
      <c r="D14" s="147">
        <v>-7.1994500000000003E-2</v>
      </c>
      <c r="E14" s="147">
        <v>-6.4214599999999997E-2</v>
      </c>
      <c r="F14" s="147">
        <v>-3.4462800000000002E-2</v>
      </c>
      <c r="G14" s="147">
        <v>-3.00179E-2</v>
      </c>
      <c r="H14" s="147">
        <v>0</v>
      </c>
      <c r="I14" s="147">
        <v>0</v>
      </c>
      <c r="J14" s="147">
        <v>0</v>
      </c>
      <c r="K14" s="147">
        <v>0</v>
      </c>
      <c r="L14" s="147">
        <v>0</v>
      </c>
      <c r="M14" s="147">
        <v>0</v>
      </c>
      <c r="N14" s="147">
        <v>0</v>
      </c>
      <c r="O14" s="147">
        <v>0</v>
      </c>
      <c r="P14" s="147">
        <v>0</v>
      </c>
      <c r="Q14" s="147">
        <v>0</v>
      </c>
      <c r="R14" s="147">
        <v>0</v>
      </c>
      <c r="S14" s="147">
        <v>0</v>
      </c>
      <c r="T14" s="147">
        <v>0</v>
      </c>
      <c r="U14" s="147">
        <v>0</v>
      </c>
      <c r="V14" s="147">
        <v>0</v>
      </c>
      <c r="W14" s="147">
        <v>0</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59"/>
      <c r="BA14" s="59"/>
      <c r="BB14" s="59"/>
    </row>
    <row r="15" spans="1:54" x14ac:dyDescent="0.2">
      <c r="A15" s="60"/>
      <c r="B15" s="60" t="s">
        <v>50</v>
      </c>
      <c r="C15" s="59">
        <v>-2.11246E-2</v>
      </c>
      <c r="D15" s="147">
        <v>4.2606100000000001E-2</v>
      </c>
      <c r="E15" s="147">
        <v>-0.21881729999999999</v>
      </c>
      <c r="F15" s="147">
        <v>0.21081169999999999</v>
      </c>
      <c r="G15" s="147">
        <v>3.1292399999999998E-2</v>
      </c>
      <c r="H15" s="147">
        <v>0</v>
      </c>
      <c r="I15" s="147">
        <v>0</v>
      </c>
      <c r="J15" s="147">
        <v>0</v>
      </c>
      <c r="K15" s="147">
        <v>0</v>
      </c>
      <c r="L15" s="147">
        <v>0</v>
      </c>
      <c r="M15" s="147">
        <v>0</v>
      </c>
      <c r="N15" s="147">
        <v>0</v>
      </c>
      <c r="O15" s="147">
        <v>0</v>
      </c>
      <c r="P15" s="147">
        <v>0</v>
      </c>
      <c r="Q15" s="147">
        <v>0</v>
      </c>
      <c r="R15" s="147">
        <v>0</v>
      </c>
      <c r="S15" s="147">
        <v>0</v>
      </c>
      <c r="T15" s="147">
        <v>0</v>
      </c>
      <c r="U15" s="147">
        <v>0</v>
      </c>
      <c r="V15" s="147">
        <v>0</v>
      </c>
      <c r="W15" s="147">
        <v>0</v>
      </c>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59"/>
      <c r="AZ15" s="59"/>
      <c r="BA15" s="59"/>
      <c r="BB15" s="59"/>
    </row>
    <row r="16" spans="1:54" x14ac:dyDescent="0.2">
      <c r="A16" s="60"/>
      <c r="B16" s="60" t="s">
        <v>51</v>
      </c>
      <c r="C16" s="59">
        <v>-2.1126300000000001E-2</v>
      </c>
      <c r="D16" s="147">
        <v>4.26056E-2</v>
      </c>
      <c r="E16" s="147">
        <v>-0.21881439999999999</v>
      </c>
      <c r="F16" s="147">
        <v>0.2108082</v>
      </c>
      <c r="G16" s="147">
        <v>3.1290600000000002E-2</v>
      </c>
      <c r="H16" s="147">
        <v>0</v>
      </c>
      <c r="I16" s="147">
        <v>0</v>
      </c>
      <c r="J16" s="147">
        <v>0</v>
      </c>
      <c r="K16" s="147">
        <v>0</v>
      </c>
      <c r="L16" s="147">
        <v>0</v>
      </c>
      <c r="M16" s="147">
        <v>0</v>
      </c>
      <c r="N16" s="147">
        <v>0</v>
      </c>
      <c r="O16" s="147">
        <v>0</v>
      </c>
      <c r="P16" s="147">
        <v>0</v>
      </c>
      <c r="Q16" s="147">
        <v>0</v>
      </c>
      <c r="R16" s="147">
        <v>0</v>
      </c>
      <c r="S16" s="147">
        <v>0</v>
      </c>
      <c r="T16" s="147">
        <v>0</v>
      </c>
      <c r="U16" s="147">
        <v>0</v>
      </c>
      <c r="V16" s="147">
        <v>0</v>
      </c>
      <c r="W16" s="147">
        <v>0</v>
      </c>
      <c r="X16" s="59"/>
      <c r="Y16" s="59"/>
      <c r="Z16" s="59"/>
      <c r="AA16" s="59"/>
      <c r="AB16" s="59"/>
      <c r="AC16" s="59"/>
      <c r="AD16" s="59"/>
      <c r="AE16" s="59"/>
      <c r="AF16" s="59"/>
      <c r="AG16" s="59"/>
      <c r="AH16" s="59"/>
      <c r="AI16" s="59"/>
      <c r="AJ16" s="59"/>
      <c r="AK16" s="59"/>
      <c r="AL16" s="59"/>
      <c r="AM16" s="59"/>
      <c r="AN16" s="59"/>
      <c r="AO16" s="59"/>
      <c r="AP16" s="59"/>
      <c r="AQ16" s="59"/>
      <c r="AR16" s="59"/>
      <c r="AS16" s="59"/>
      <c r="AT16" s="59"/>
      <c r="AU16" s="59"/>
      <c r="AV16" s="59"/>
      <c r="AW16" s="59"/>
      <c r="AX16" s="59"/>
      <c r="AY16" s="59"/>
      <c r="AZ16" s="59"/>
    </row>
    <row r="17" spans="1:54" x14ac:dyDescent="0.2">
      <c r="A17" s="60"/>
      <c r="B17" s="365" t="s">
        <v>287</v>
      </c>
      <c r="C17" s="59"/>
      <c r="D17" s="367">
        <v>0</v>
      </c>
      <c r="E17" s="367">
        <v>0</v>
      </c>
      <c r="F17" s="367">
        <v>1</v>
      </c>
      <c r="G17" s="59"/>
      <c r="H17" s="59"/>
      <c r="I17" s="59"/>
      <c r="J17" s="59"/>
      <c r="K17" s="59"/>
      <c r="L17" s="59"/>
      <c r="M17" s="59"/>
      <c r="N17" s="59"/>
      <c r="O17" s="59"/>
      <c r="P17" s="59"/>
      <c r="Q17" s="59"/>
      <c r="R17" s="59"/>
      <c r="S17" s="59"/>
      <c r="T17" s="59"/>
      <c r="U17" s="59"/>
      <c r="V17" s="59"/>
      <c r="W17" s="59"/>
      <c r="X17" s="59"/>
      <c r="Y17" s="59"/>
      <c r="Z17" s="59"/>
      <c r="AA17" s="59"/>
      <c r="AB17" s="59"/>
      <c r="AC17" s="59"/>
      <c r="AD17" s="59"/>
      <c r="AE17" s="59"/>
      <c r="AF17" s="59"/>
      <c r="AG17" s="59"/>
      <c r="AH17" s="59"/>
      <c r="AI17" s="59"/>
      <c r="AJ17" s="59"/>
      <c r="AK17" s="59"/>
      <c r="AL17" s="59"/>
      <c r="AM17" s="59"/>
      <c r="AN17" s="59"/>
      <c r="AO17" s="59"/>
      <c r="AP17" s="59"/>
      <c r="AQ17" s="59"/>
      <c r="AR17" s="59"/>
      <c r="AS17" s="59"/>
      <c r="AT17" s="59"/>
      <c r="AU17" s="59"/>
      <c r="AV17" s="59"/>
      <c r="AW17" s="59"/>
      <c r="AX17" s="59"/>
      <c r="AY17" s="59"/>
      <c r="AZ17" s="59"/>
      <c r="BA17" s="59"/>
      <c r="BB17" s="59"/>
    </row>
    <row r="18" spans="1:54" x14ac:dyDescent="0.2">
      <c r="A18" s="60"/>
      <c r="B18" s="60"/>
      <c r="C18" s="59"/>
      <c r="D18" s="59"/>
      <c r="E18" s="59"/>
      <c r="F18" s="59"/>
      <c r="G18" s="59"/>
      <c r="H18" s="59"/>
      <c r="I18" s="59"/>
      <c r="J18" s="59"/>
      <c r="K18" s="59"/>
      <c r="L18" s="59"/>
      <c r="M18" s="59"/>
      <c r="N18" s="59"/>
      <c r="O18" s="59"/>
    </row>
    <row r="19" spans="1:54" x14ac:dyDescent="0.2">
      <c r="A19" s="60"/>
      <c r="B19" s="145" t="s">
        <v>271</v>
      </c>
      <c r="C19" s="59"/>
      <c r="D19" s="59"/>
      <c r="E19" s="59"/>
      <c r="F19" s="59"/>
      <c r="G19" s="59"/>
      <c r="H19" s="59"/>
      <c r="I19" s="59"/>
      <c r="J19" s="59"/>
      <c r="K19" s="59"/>
      <c r="L19" s="59"/>
      <c r="M19" s="59"/>
      <c r="N19" s="59"/>
      <c r="O19" s="59"/>
    </row>
    <row r="20" spans="1:54" x14ac:dyDescent="0.2">
      <c r="A20" s="60"/>
      <c r="B20" s="60" t="s">
        <v>52</v>
      </c>
      <c r="C20" s="59">
        <f t="shared" ref="C20:T20" si="0">(C21+C22+C23+C24-C25)</f>
        <v>0</v>
      </c>
      <c r="D20" s="148">
        <f t="shared" si="0"/>
        <v>28.278850000000006</v>
      </c>
      <c r="E20" s="148">
        <f t="shared" si="0"/>
        <v>27.552319999999998</v>
      </c>
      <c r="F20" s="148">
        <f t="shared" si="0"/>
        <v>27.639749999999999</v>
      </c>
      <c r="G20" s="148">
        <f t="shared" si="0"/>
        <v>27.581780000000002</v>
      </c>
      <c r="H20" s="148">
        <f t="shared" si="0"/>
        <v>27.593040000000002</v>
      </c>
      <c r="I20" s="148">
        <f t="shared" si="0"/>
        <v>27.652179999999998</v>
      </c>
      <c r="J20" s="148">
        <f t="shared" si="0"/>
        <v>27.664160000000003</v>
      </c>
      <c r="K20" s="148">
        <f t="shared" si="0"/>
        <v>27.636579999999999</v>
      </c>
      <c r="L20" s="148">
        <f t="shared" si="0"/>
        <v>27.621679999999998</v>
      </c>
      <c r="M20" s="148">
        <f t="shared" si="0"/>
        <v>27.607300000000002</v>
      </c>
      <c r="N20" s="148">
        <f t="shared" si="0"/>
        <v>27.60905</v>
      </c>
      <c r="O20" s="148">
        <f t="shared" si="0"/>
        <v>27.644740000000002</v>
      </c>
      <c r="P20" s="148">
        <f t="shared" si="0"/>
        <v>27.691210000000002</v>
      </c>
      <c r="Q20" s="148">
        <f t="shared" si="0"/>
        <v>27.686630000000005</v>
      </c>
      <c r="R20" s="148">
        <f t="shared" si="0"/>
        <v>27.686070000000001</v>
      </c>
      <c r="S20" s="148">
        <f t="shared" si="0"/>
        <v>27.688879999999997</v>
      </c>
      <c r="T20" s="148">
        <f t="shared" si="0"/>
        <v>27.691020000000002</v>
      </c>
      <c r="U20" s="148">
        <f t="shared" ref="U20:W20" si="1">(U21+U22+U23+U24-U25)</f>
        <v>27.68871</v>
      </c>
      <c r="V20" s="148">
        <f t="shared" si="1"/>
        <v>27.674209999999999</v>
      </c>
      <c r="W20" s="148">
        <f t="shared" si="1"/>
        <v>27.712189999999996</v>
      </c>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59"/>
      <c r="BA20" s="59"/>
      <c r="BB20" s="59"/>
    </row>
    <row r="21" spans="1:54" x14ac:dyDescent="0.2">
      <c r="A21" s="60"/>
      <c r="B21" s="149" t="s">
        <v>53</v>
      </c>
      <c r="C21" s="59">
        <v>0</v>
      </c>
      <c r="D21" s="148">
        <v>14.445630000000001</v>
      </c>
      <c r="E21" s="148">
        <v>14.14753</v>
      </c>
      <c r="F21" s="148">
        <v>14.286239999999999</v>
      </c>
      <c r="G21" s="148">
        <v>14.24192</v>
      </c>
      <c r="H21" s="148">
        <v>14.271980000000001</v>
      </c>
      <c r="I21" s="148">
        <v>14.328189999999999</v>
      </c>
      <c r="J21" s="148">
        <v>14.350750000000001</v>
      </c>
      <c r="K21" s="148">
        <v>14.32898</v>
      </c>
      <c r="L21" s="148">
        <v>14.321349999999999</v>
      </c>
      <c r="M21" s="148">
        <v>14.31035</v>
      </c>
      <c r="N21" s="148">
        <v>14.301679999999999</v>
      </c>
      <c r="O21" s="148">
        <v>14.330399999999999</v>
      </c>
      <c r="P21" s="148">
        <v>14.357290000000001</v>
      </c>
      <c r="Q21" s="148">
        <v>14.322039999999999</v>
      </c>
      <c r="R21" s="148">
        <v>14.288259999999999</v>
      </c>
      <c r="S21" s="148">
        <v>14.251800000000001</v>
      </c>
      <c r="T21" s="148">
        <v>14.20941</v>
      </c>
      <c r="U21" s="148">
        <v>14.159700000000001</v>
      </c>
      <c r="V21" s="148">
        <v>14.09736</v>
      </c>
      <c r="W21" s="148">
        <v>14.094000000000001</v>
      </c>
      <c r="X21" s="59"/>
      <c r="Y21" s="59"/>
      <c r="Z21" s="59"/>
      <c r="AA21" s="59"/>
      <c r="AB21" s="59"/>
      <c r="AC21" s="59"/>
      <c r="AD21" s="59"/>
      <c r="AE21" s="59"/>
      <c r="AF21" s="59"/>
      <c r="AG21" s="59"/>
      <c r="AH21" s="59"/>
      <c r="AI21" s="59"/>
      <c r="AJ21" s="59"/>
      <c r="AK21" s="59"/>
      <c r="AL21" s="59"/>
      <c r="AM21" s="59"/>
      <c r="AN21" s="59"/>
      <c r="AO21" s="59"/>
      <c r="AP21" s="59"/>
      <c r="AQ21" s="59"/>
      <c r="AR21" s="59"/>
      <c r="AS21" s="59"/>
      <c r="AT21" s="59"/>
      <c r="AU21" s="59"/>
      <c r="AV21" s="59"/>
      <c r="AW21" s="59"/>
      <c r="AX21" s="59"/>
      <c r="AY21" s="59"/>
      <c r="AZ21" s="59"/>
      <c r="BA21" s="59"/>
      <c r="BB21" s="59"/>
    </row>
    <row r="22" spans="1:54" x14ac:dyDescent="0.2">
      <c r="A22" s="60"/>
      <c r="B22" s="150" t="s">
        <v>54</v>
      </c>
      <c r="C22" s="59">
        <v>0</v>
      </c>
      <c r="D22" s="148">
        <v>8.7530199999999994</v>
      </c>
      <c r="E22" s="148">
        <v>8.3559099999999997</v>
      </c>
      <c r="F22" s="148">
        <v>8.3841799999999989</v>
      </c>
      <c r="G22" s="148">
        <v>8.4125300000000003</v>
      </c>
      <c r="H22" s="148">
        <v>8.4392300000000002</v>
      </c>
      <c r="I22" s="148">
        <v>8.4650499999999997</v>
      </c>
      <c r="J22" s="148">
        <v>8.490870000000001</v>
      </c>
      <c r="K22" s="148">
        <v>8.5159900000000004</v>
      </c>
      <c r="L22" s="148">
        <v>8.5455400000000008</v>
      </c>
      <c r="M22" s="148">
        <v>8.5719000000000012</v>
      </c>
      <c r="N22" s="148">
        <v>8.6006400000000003</v>
      </c>
      <c r="O22" s="148">
        <v>8.6243600000000011</v>
      </c>
      <c r="P22" s="148">
        <v>8.6499100000000002</v>
      </c>
      <c r="Q22" s="148">
        <v>8.6735299999999995</v>
      </c>
      <c r="R22" s="148">
        <v>8.6963299999999997</v>
      </c>
      <c r="S22" s="148">
        <v>8.7204599999999992</v>
      </c>
      <c r="T22" s="148">
        <v>8.7438599999999997</v>
      </c>
      <c r="U22" s="148">
        <v>8.7680600000000002</v>
      </c>
      <c r="V22" s="148">
        <v>8.7898800000000001</v>
      </c>
      <c r="W22" s="148">
        <v>8.8125599999999995</v>
      </c>
      <c r="X22" s="59"/>
      <c r="Y22" s="59"/>
      <c r="Z22" s="59"/>
      <c r="AA22" s="59"/>
      <c r="AB22" s="59"/>
      <c r="AC22" s="59"/>
      <c r="AD22" s="59"/>
      <c r="AE22" s="59"/>
      <c r="AF22" s="59"/>
      <c r="AG22" s="59"/>
      <c r="AH22" s="59"/>
      <c r="AI22" s="59"/>
      <c r="AJ22" s="59"/>
      <c r="AK22" s="59"/>
      <c r="AL22" s="59"/>
      <c r="AM22" s="59"/>
      <c r="AN22" s="59"/>
      <c r="AO22" s="59"/>
      <c r="AP22" s="59"/>
      <c r="AQ22" s="59"/>
      <c r="AR22" s="59"/>
      <c r="AS22" s="59"/>
      <c r="AT22" s="59"/>
      <c r="AU22" s="59"/>
      <c r="AV22" s="59"/>
      <c r="AW22" s="59"/>
      <c r="AX22" s="59"/>
      <c r="AY22" s="59"/>
      <c r="AZ22" s="59"/>
      <c r="BA22" s="59"/>
      <c r="BB22" s="59"/>
    </row>
    <row r="23" spans="1:54" x14ac:dyDescent="0.2">
      <c r="A23" s="60"/>
      <c r="B23" s="150" t="s">
        <v>55</v>
      </c>
      <c r="C23" s="59">
        <v>0</v>
      </c>
      <c r="D23" s="148">
        <v>1.8961800000000002</v>
      </c>
      <c r="E23" s="148">
        <v>1.8958999999999999</v>
      </c>
      <c r="F23" s="148">
        <v>1.8976</v>
      </c>
      <c r="G23" s="148">
        <v>1.90269</v>
      </c>
      <c r="H23" s="148">
        <v>1.9106700000000001</v>
      </c>
      <c r="I23" s="148">
        <v>1.9451800000000001</v>
      </c>
      <c r="J23" s="148">
        <v>1.9573900000000002</v>
      </c>
      <c r="K23" s="148">
        <v>1.96736</v>
      </c>
      <c r="L23" s="148">
        <v>1.9768000000000001</v>
      </c>
      <c r="M23" s="148">
        <v>1.9943599999999999</v>
      </c>
      <c r="N23" s="148">
        <v>2.0221400000000003</v>
      </c>
      <c r="O23" s="148">
        <v>2.0511999999999997</v>
      </c>
      <c r="P23" s="148">
        <v>2.0851100000000002</v>
      </c>
      <c r="Q23" s="148">
        <v>2.1197900000000001</v>
      </c>
      <c r="R23" s="148">
        <v>2.1515499999999999</v>
      </c>
      <c r="S23" s="148">
        <v>2.1793799999999997</v>
      </c>
      <c r="T23" s="148">
        <v>2.2062300000000001</v>
      </c>
      <c r="U23" s="148">
        <v>2.2300400000000002</v>
      </c>
      <c r="V23" s="148">
        <v>2.2526199999999998</v>
      </c>
      <c r="W23" s="148">
        <v>2.2733699999999999</v>
      </c>
      <c r="X23" s="59"/>
      <c r="Y23" s="59"/>
      <c r="Z23" s="59"/>
      <c r="AA23" s="59"/>
      <c r="AB23" s="59"/>
      <c r="AC23" s="59"/>
      <c r="AD23" s="59"/>
      <c r="AE23" s="59"/>
      <c r="AF23" s="59"/>
      <c r="AG23" s="59"/>
      <c r="AH23" s="59"/>
      <c r="AI23" s="59"/>
      <c r="AJ23" s="59"/>
      <c r="AK23" s="59"/>
      <c r="AL23" s="59"/>
      <c r="AM23" s="59"/>
      <c r="AN23" s="59"/>
      <c r="AO23" s="59"/>
      <c r="AP23" s="59"/>
      <c r="AQ23" s="59"/>
      <c r="AR23" s="59"/>
      <c r="AS23" s="59"/>
      <c r="AT23" s="59"/>
      <c r="AU23" s="59"/>
      <c r="AV23" s="59"/>
      <c r="AW23" s="59"/>
      <c r="AX23" s="59"/>
      <c r="AY23" s="59"/>
      <c r="AZ23" s="59"/>
      <c r="BA23" s="59"/>
      <c r="BB23" s="59"/>
    </row>
    <row r="24" spans="1:54" x14ac:dyDescent="0.2">
      <c r="A24" s="60"/>
      <c r="B24" s="150" t="s">
        <v>56</v>
      </c>
      <c r="C24" s="59">
        <v>0</v>
      </c>
      <c r="D24" s="148">
        <v>4.7874800000000004</v>
      </c>
      <c r="E24" s="148">
        <v>4.7233600000000004</v>
      </c>
      <c r="F24" s="148">
        <v>4.6574999999999998</v>
      </c>
      <c r="G24" s="148">
        <v>4.6054900000000005</v>
      </c>
      <c r="H24" s="148">
        <v>4.5553499999999998</v>
      </c>
      <c r="I24" s="148">
        <v>4.5041900000000004</v>
      </c>
      <c r="J24" s="148">
        <v>4.4580799999999998</v>
      </c>
      <c r="K24" s="148">
        <v>4.4147699999999999</v>
      </c>
      <c r="L24" s="148">
        <v>4.3676599999999999</v>
      </c>
      <c r="M24" s="148">
        <v>4.31914</v>
      </c>
      <c r="N24" s="148">
        <v>4.2720800000000008</v>
      </c>
      <c r="O24" s="148">
        <v>4.2294499999999999</v>
      </c>
      <c r="P24" s="148">
        <v>4.1925600000000003</v>
      </c>
      <c r="Q24" s="148">
        <v>4.1610199999999997</v>
      </c>
      <c r="R24" s="148">
        <v>4.1359300000000001</v>
      </c>
      <c r="S24" s="148">
        <v>4.1191899999999997</v>
      </c>
      <c r="T24" s="148">
        <v>4.1087699999999998</v>
      </c>
      <c r="U24" s="148">
        <v>4.1026400000000001</v>
      </c>
      <c r="V24" s="148">
        <v>4.0991600000000004</v>
      </c>
      <c r="W24" s="148">
        <v>4.0966899999999997</v>
      </c>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row>
    <row r="25" spans="1:54" x14ac:dyDescent="0.2">
      <c r="A25" s="60"/>
      <c r="B25" s="150" t="s">
        <v>57</v>
      </c>
      <c r="C25" s="59">
        <v>0</v>
      </c>
      <c r="D25" s="148">
        <v>1.6034599999999999</v>
      </c>
      <c r="E25" s="148">
        <v>1.5703800000000001</v>
      </c>
      <c r="F25" s="148">
        <v>1.5857699999999999</v>
      </c>
      <c r="G25" s="148">
        <v>1.5808499999999999</v>
      </c>
      <c r="H25" s="148">
        <v>1.58419</v>
      </c>
      <c r="I25" s="148">
        <v>1.59043</v>
      </c>
      <c r="J25" s="148">
        <v>1.59293</v>
      </c>
      <c r="K25" s="148">
        <v>1.5905200000000002</v>
      </c>
      <c r="L25" s="148">
        <v>1.5896699999999999</v>
      </c>
      <c r="M25" s="148">
        <v>1.5884499999999999</v>
      </c>
      <c r="N25" s="148">
        <v>1.5874900000000001</v>
      </c>
      <c r="O25" s="148">
        <v>1.59067</v>
      </c>
      <c r="P25" s="148">
        <v>1.5936599999999999</v>
      </c>
      <c r="Q25" s="148">
        <v>1.5897499999999998</v>
      </c>
      <c r="R25" s="148">
        <v>1.5859999999999999</v>
      </c>
      <c r="S25" s="148">
        <v>1.58195</v>
      </c>
      <c r="T25" s="148">
        <v>1.5772499999999998</v>
      </c>
      <c r="U25" s="148">
        <v>1.5717300000000001</v>
      </c>
      <c r="V25" s="148">
        <v>1.5648100000000003</v>
      </c>
      <c r="W25" s="148">
        <v>1.56443</v>
      </c>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row>
    <row r="26" spans="1:54" x14ac:dyDescent="0.2">
      <c r="A26" s="60"/>
      <c r="B26" s="149" t="s">
        <v>58</v>
      </c>
      <c r="C26" s="59">
        <v>0.45969460000000001</v>
      </c>
      <c r="D26" s="148">
        <v>0.51588199999999995</v>
      </c>
      <c r="E26" s="148">
        <v>0.5155149</v>
      </c>
      <c r="F26" s="148">
        <v>0.51514769999999999</v>
      </c>
      <c r="G26" s="148">
        <v>0.51478060000000003</v>
      </c>
      <c r="H26" s="148">
        <v>0.51441349999999997</v>
      </c>
      <c r="I26" s="148">
        <v>0.51404640000000001</v>
      </c>
      <c r="J26" s="148">
        <v>0.51367929999999995</v>
      </c>
      <c r="K26" s="148">
        <v>0.5133122</v>
      </c>
      <c r="L26" s="148">
        <v>0.51294510000000004</v>
      </c>
      <c r="M26" s="148">
        <v>0.51257799999999998</v>
      </c>
      <c r="N26" s="148">
        <v>0.51221099999999997</v>
      </c>
      <c r="O26" s="148">
        <v>0.51184390000000002</v>
      </c>
      <c r="P26" s="148">
        <v>0.51147679999999995</v>
      </c>
      <c r="Q26" s="148">
        <v>0.5111097</v>
      </c>
      <c r="R26" s="148">
        <v>0.51074269999999999</v>
      </c>
      <c r="S26" s="148">
        <v>0.51037560000000004</v>
      </c>
      <c r="T26" s="148">
        <v>0.51000849999999998</v>
      </c>
      <c r="U26" s="148">
        <v>0.50964140000000002</v>
      </c>
      <c r="V26" s="148">
        <v>0.50927440000000002</v>
      </c>
      <c r="W26" s="148">
        <v>0.50890729999999995</v>
      </c>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row>
    <row r="27" spans="1:54" x14ac:dyDescent="0.2">
      <c r="A27" s="60"/>
      <c r="B27" s="60"/>
      <c r="C27" s="60"/>
      <c r="D27" s="60"/>
      <c r="E27" s="60"/>
      <c r="F27" s="60"/>
      <c r="G27" s="60"/>
      <c r="H27" s="60"/>
      <c r="I27" s="60"/>
      <c r="J27" s="60"/>
      <c r="K27" s="60"/>
      <c r="L27" s="60"/>
      <c r="M27" s="60"/>
      <c r="N27" s="60"/>
      <c r="O27" s="60"/>
    </row>
    <row r="28" spans="1:54" s="142" customFormat="1" x14ac:dyDescent="0.2">
      <c r="A28" s="151"/>
      <c r="B28" s="143" t="s">
        <v>243</v>
      </c>
      <c r="C28" s="151"/>
      <c r="D28" s="151"/>
      <c r="E28" s="151"/>
      <c r="F28" s="151"/>
      <c r="G28" s="151"/>
      <c r="H28" s="151"/>
      <c r="I28" s="151"/>
      <c r="J28" s="151"/>
      <c r="K28" s="151"/>
      <c r="L28" s="151"/>
      <c r="M28" s="151"/>
      <c r="N28" s="151"/>
      <c r="O28" s="151"/>
    </row>
    <row r="29" spans="1:54" x14ac:dyDescent="0.2">
      <c r="A29" s="60"/>
      <c r="B29" s="145" t="s">
        <v>59</v>
      </c>
      <c r="C29" s="60"/>
      <c r="D29" s="60"/>
      <c r="E29" s="60"/>
      <c r="F29" s="60"/>
      <c r="G29" s="60"/>
      <c r="H29" s="60"/>
      <c r="I29" s="60"/>
      <c r="J29" s="60"/>
      <c r="K29" s="60"/>
      <c r="L29" s="60"/>
      <c r="M29" s="60"/>
      <c r="N29" s="60"/>
      <c r="O29" s="60"/>
    </row>
    <row r="30" spans="1:54" x14ac:dyDescent="0.2">
      <c r="A30" s="60"/>
      <c r="B30" s="60" t="s">
        <v>60</v>
      </c>
      <c r="C30" s="152">
        <v>6.4352099999999997</v>
      </c>
      <c r="D30" s="153">
        <v>2.454758</v>
      </c>
      <c r="E30" s="153">
        <v>0.70371839999999997</v>
      </c>
      <c r="F30" s="153">
        <v>0.72849039999999998</v>
      </c>
      <c r="G30" s="153">
        <v>1.594902</v>
      </c>
      <c r="H30" s="153">
        <v>0.57811400000000002</v>
      </c>
      <c r="I30" s="153">
        <v>0.37569920000000001</v>
      </c>
      <c r="J30" s="153">
        <v>0.3100425</v>
      </c>
      <c r="K30" s="153">
        <v>0.34188239999999998</v>
      </c>
      <c r="L30" s="153">
        <v>0.35059990000000002</v>
      </c>
      <c r="M30" s="153">
        <v>0.37322290000000002</v>
      </c>
      <c r="N30" s="153">
        <v>0.40285549999999998</v>
      </c>
      <c r="O30" s="153">
        <v>0.3851077</v>
      </c>
      <c r="P30" s="154">
        <v>0.5697139</v>
      </c>
      <c r="Q30" s="154">
        <v>0.75431990000000004</v>
      </c>
      <c r="R30" s="154">
        <v>0.93892149999999996</v>
      </c>
      <c r="S30" s="154">
        <v>1.0421119999999999</v>
      </c>
      <c r="T30" s="154">
        <v>1.1754</v>
      </c>
      <c r="U30" s="154">
        <v>1.328999</v>
      </c>
      <c r="V30" s="154">
        <v>1.5112289999999999</v>
      </c>
      <c r="W30" s="154">
        <v>1.5410790000000001</v>
      </c>
      <c r="X30" s="152"/>
      <c r="Y30" s="152"/>
      <c r="Z30" s="152"/>
      <c r="AA30" s="152"/>
      <c r="AB30" s="152"/>
      <c r="AC30" s="152"/>
      <c r="AD30" s="152"/>
      <c r="AE30" s="152"/>
      <c r="AF30" s="152"/>
      <c r="AG30" s="152"/>
      <c r="AH30" s="152"/>
      <c r="AI30" s="152"/>
      <c r="AJ30" s="152"/>
      <c r="AK30" s="152"/>
      <c r="AL30" s="152"/>
      <c r="AM30" s="152"/>
      <c r="AN30" s="152"/>
      <c r="AO30" s="152"/>
      <c r="AP30" s="152"/>
      <c r="AQ30" s="152"/>
      <c r="AR30" s="152"/>
      <c r="AS30" s="152"/>
      <c r="AT30" s="152"/>
      <c r="AU30" s="152"/>
      <c r="AV30" s="152"/>
      <c r="AW30" s="152"/>
      <c r="AX30" s="152"/>
      <c r="AY30" s="152"/>
      <c r="AZ30" s="152"/>
      <c r="BA30" s="152"/>
      <c r="BB30" s="152"/>
    </row>
    <row r="31" spans="1:54" x14ac:dyDescent="0.2">
      <c r="A31" s="60"/>
      <c r="B31" s="300" t="s">
        <v>201</v>
      </c>
      <c r="C31" s="152">
        <v>2321.011</v>
      </c>
    </row>
    <row r="32" spans="1:54" x14ac:dyDescent="0.2">
      <c r="A32" s="60"/>
      <c r="B32" s="145" t="s">
        <v>62</v>
      </c>
      <c r="C32" s="60"/>
      <c r="D32" s="60"/>
      <c r="E32" s="60"/>
      <c r="F32" s="60"/>
      <c r="G32" s="60"/>
      <c r="H32" s="60"/>
      <c r="I32" s="60"/>
      <c r="J32" s="60"/>
      <c r="K32" s="60"/>
      <c r="L32" s="60"/>
      <c r="M32" s="60"/>
      <c r="N32" s="60"/>
      <c r="O32" s="60"/>
      <c r="P32" s="60"/>
      <c r="Q32" s="60"/>
      <c r="R32" s="60"/>
      <c r="S32" s="60"/>
      <c r="T32" s="60"/>
      <c r="U32" s="60"/>
      <c r="V32" s="60"/>
      <c r="W32" s="60"/>
      <c r="X32" s="60"/>
      <c r="Y32" s="60"/>
      <c r="Z32" s="60"/>
      <c r="AA32" s="60"/>
      <c r="AB32" s="60"/>
      <c r="AC32" s="60"/>
      <c r="AD32" s="60"/>
      <c r="AE32" s="60"/>
      <c r="AF32" s="60"/>
      <c r="AG32" s="60"/>
      <c r="AH32" s="60"/>
      <c r="AI32" s="60"/>
      <c r="AJ32" s="60"/>
      <c r="AK32" s="60"/>
      <c r="AL32" s="60"/>
      <c r="AM32" s="60"/>
      <c r="AN32" s="60"/>
      <c r="AO32" s="60"/>
      <c r="AP32" s="60"/>
      <c r="AQ32" s="60"/>
      <c r="AR32" s="60"/>
      <c r="AS32" s="60"/>
      <c r="AT32" s="60"/>
      <c r="AU32" s="60"/>
      <c r="AV32" s="60"/>
      <c r="AW32" s="60"/>
      <c r="AX32" s="60"/>
      <c r="AY32" s="60"/>
      <c r="AZ32" s="60"/>
      <c r="BA32" s="60"/>
      <c r="BB32" s="60"/>
    </row>
    <row r="33" spans="1:54" x14ac:dyDescent="0.2">
      <c r="A33" s="60"/>
      <c r="B33" s="60" t="s">
        <v>60</v>
      </c>
      <c r="C33" s="152">
        <v>1.089197</v>
      </c>
      <c r="D33" s="153">
        <v>1.0924240000000001</v>
      </c>
      <c r="E33" s="153">
        <v>1.135648</v>
      </c>
      <c r="F33" s="153">
        <v>1.0878190000000001</v>
      </c>
      <c r="G33" s="153">
        <v>1.0005299999999999</v>
      </c>
      <c r="H33" s="153">
        <v>0.62821729999999998</v>
      </c>
      <c r="I33" s="153">
        <v>0.44240410000000002</v>
      </c>
      <c r="J33" s="153">
        <v>0.34337839999999997</v>
      </c>
      <c r="K33" s="153">
        <v>0.34188380000000002</v>
      </c>
      <c r="L33" s="153">
        <v>0.35059800000000002</v>
      </c>
      <c r="M33" s="153">
        <v>0.37322699999999998</v>
      </c>
      <c r="N33" s="153">
        <v>0.40285070000000001</v>
      </c>
      <c r="O33" s="153">
        <v>0.38510499999999998</v>
      </c>
      <c r="P33" s="154">
        <v>0.5697101</v>
      </c>
      <c r="Q33" s="154">
        <v>0.75431539999999997</v>
      </c>
      <c r="R33" s="154">
        <v>0.93892059999999999</v>
      </c>
      <c r="S33" s="154">
        <v>1.0421100000000001</v>
      </c>
      <c r="T33" s="154">
        <v>1.1754039999999999</v>
      </c>
      <c r="U33" s="154">
        <v>1.3290010000000001</v>
      </c>
      <c r="V33" s="154">
        <v>1.511233</v>
      </c>
      <c r="W33" s="154">
        <v>1.541075</v>
      </c>
      <c r="X33" s="152"/>
      <c r="Y33" s="152"/>
      <c r="Z33" s="152"/>
      <c r="AA33" s="152"/>
      <c r="AB33" s="152"/>
      <c r="AC33" s="152"/>
      <c r="AD33" s="152"/>
      <c r="AE33" s="152"/>
      <c r="AF33" s="152"/>
      <c r="AG33" s="152"/>
      <c r="AH33" s="152"/>
      <c r="AI33" s="152"/>
      <c r="AJ33" s="152"/>
      <c r="AK33" s="152"/>
      <c r="AL33" s="152"/>
      <c r="AM33" s="152"/>
      <c r="AN33" s="152"/>
      <c r="AO33" s="152"/>
      <c r="AP33" s="152"/>
      <c r="AQ33" s="152"/>
      <c r="AR33" s="152"/>
      <c r="AS33" s="152"/>
      <c r="AT33" s="152"/>
      <c r="AU33" s="152"/>
      <c r="AV33" s="152"/>
      <c r="AW33" s="152"/>
      <c r="AX33" s="152"/>
      <c r="AY33" s="152"/>
      <c r="AZ33" s="152"/>
      <c r="BA33" s="152"/>
      <c r="BB33" s="152"/>
    </row>
    <row r="34" spans="1:54" x14ac:dyDescent="0.2">
      <c r="A34" s="60"/>
      <c r="B34" s="300" t="s">
        <v>201</v>
      </c>
      <c r="C34" s="152">
        <v>2344.1460000000002</v>
      </c>
      <c r="D34" s="60"/>
      <c r="E34" s="60"/>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row>
    <row r="35" spans="1:54" x14ac:dyDescent="0.2">
      <c r="A35" s="60"/>
      <c r="B35" s="300"/>
      <c r="C35" s="152"/>
      <c r="D35" s="60"/>
      <c r="E35" s="60"/>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0"/>
      <c r="AL35" s="60"/>
      <c r="AM35" s="60"/>
      <c r="AN35" s="60"/>
      <c r="AO35" s="60"/>
      <c r="AP35" s="60"/>
      <c r="AQ35" s="60"/>
      <c r="AR35" s="60"/>
      <c r="AS35" s="60"/>
      <c r="AT35" s="60"/>
      <c r="AU35" s="60"/>
      <c r="AV35" s="60"/>
      <c r="AW35" s="60"/>
      <c r="AX35" s="60"/>
      <c r="AY35" s="60"/>
      <c r="AZ35" s="60"/>
      <c r="BA35" s="60"/>
      <c r="BB35" s="60"/>
    </row>
    <row r="36" spans="1:54" s="142" customFormat="1" x14ac:dyDescent="0.2">
      <c r="A36" s="151"/>
      <c r="B36" s="143" t="s">
        <v>255</v>
      </c>
      <c r="C36" s="151"/>
      <c r="D36" s="151"/>
      <c r="E36" s="151"/>
      <c r="F36" s="151"/>
      <c r="G36" s="151"/>
      <c r="H36" s="151"/>
      <c r="I36" s="151"/>
      <c r="J36" s="151"/>
      <c r="K36" s="151"/>
      <c r="L36" s="151"/>
      <c r="M36" s="151"/>
      <c r="N36" s="151"/>
      <c r="O36" s="151"/>
      <c r="P36" s="151"/>
      <c r="Q36" s="151"/>
      <c r="R36" s="151"/>
      <c r="S36" s="151"/>
      <c r="T36" s="151"/>
      <c r="U36" s="151"/>
      <c r="V36" s="151"/>
      <c r="W36" s="151"/>
      <c r="X36" s="151"/>
      <c r="Y36" s="151"/>
      <c r="Z36" s="151"/>
      <c r="AA36" s="151"/>
      <c r="AB36" s="151"/>
      <c r="AC36" s="151"/>
      <c r="AD36" s="151"/>
      <c r="AE36" s="151"/>
      <c r="AF36" s="151"/>
      <c r="AG36" s="151"/>
      <c r="AH36" s="151"/>
      <c r="AI36" s="151"/>
      <c r="AJ36" s="151"/>
      <c r="AK36" s="151"/>
      <c r="AL36" s="151"/>
      <c r="AM36" s="151"/>
      <c r="AN36" s="151"/>
      <c r="AO36" s="151"/>
      <c r="AP36" s="151"/>
      <c r="AQ36" s="151"/>
      <c r="AR36" s="151"/>
      <c r="AS36" s="151"/>
      <c r="AT36" s="151"/>
      <c r="AU36" s="151"/>
      <c r="AV36" s="151"/>
      <c r="AW36" s="151"/>
      <c r="AX36" s="151"/>
      <c r="AY36" s="151"/>
      <c r="AZ36" s="151"/>
      <c r="BA36" s="151"/>
      <c r="BB36" s="151"/>
    </row>
    <row r="37" spans="1:54" x14ac:dyDescent="0.2">
      <c r="A37" s="60"/>
      <c r="B37" s="60" t="s">
        <v>63</v>
      </c>
      <c r="C37" s="59">
        <v>1.3072319999999999</v>
      </c>
      <c r="D37" s="147">
        <v>1.8011330000000001</v>
      </c>
      <c r="E37" s="147">
        <v>1.6360269999999999</v>
      </c>
      <c r="F37" s="147">
        <v>1.90473</v>
      </c>
      <c r="G37" s="147">
        <v>2.1499329999999999</v>
      </c>
      <c r="H37" s="59"/>
      <c r="I37" s="59"/>
      <c r="J37" s="59"/>
      <c r="K37" s="59"/>
      <c r="L37" s="59"/>
      <c r="M37" s="59"/>
      <c r="N37" s="59"/>
      <c r="O37" s="59"/>
      <c r="P37" s="59"/>
      <c r="Q37" s="59"/>
      <c r="R37" s="59"/>
      <c r="S37" s="59"/>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row>
    <row r="38" spans="1:54" x14ac:dyDescent="0.2">
      <c r="A38" s="60"/>
      <c r="B38" s="149" t="s">
        <v>64</v>
      </c>
      <c r="D38" s="147">
        <v>0.35</v>
      </c>
      <c r="E38" s="147">
        <v>3.43</v>
      </c>
      <c r="F38" s="288">
        <v>3.5642079999999998</v>
      </c>
      <c r="G38" s="289">
        <v>2.8163749999999999</v>
      </c>
      <c r="H38" s="59"/>
    </row>
    <row r="39" spans="1:54" x14ac:dyDescent="0.2">
      <c r="A39" s="60"/>
      <c r="B39" s="149" t="s">
        <v>65</v>
      </c>
      <c r="D39" s="147">
        <v>1.7</v>
      </c>
      <c r="E39" s="147">
        <v>2.99</v>
      </c>
      <c r="F39" s="290">
        <v>2.964537</v>
      </c>
      <c r="G39" s="291">
        <v>3.0634350000000001</v>
      </c>
      <c r="H39" s="59"/>
    </row>
    <row r="40" spans="1:54" x14ac:dyDescent="0.2">
      <c r="A40" s="60"/>
      <c r="B40" s="150"/>
      <c r="C40" s="59"/>
      <c r="D40" s="59"/>
      <c r="E40" s="155"/>
      <c r="F40" s="287" t="s">
        <v>71</v>
      </c>
      <c r="G40" s="155"/>
      <c r="H40" s="155"/>
      <c r="I40" s="155"/>
      <c r="J40" s="155"/>
      <c r="K40" s="155"/>
      <c r="L40" s="155"/>
      <c r="M40" s="155"/>
      <c r="N40" s="155"/>
      <c r="O40" s="155"/>
      <c r="P40" s="155"/>
      <c r="Q40" s="155"/>
      <c r="R40" s="155"/>
      <c r="S40" s="155"/>
      <c r="T40" s="155"/>
      <c r="U40" s="155"/>
      <c r="V40" s="155"/>
      <c r="W40" s="155"/>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59"/>
      <c r="AZ40" s="59"/>
      <c r="BA40" s="59"/>
      <c r="BB40" s="59"/>
    </row>
    <row r="41" spans="1:54" s="142" customFormat="1" x14ac:dyDescent="0.2">
      <c r="A41" s="151"/>
      <c r="B41" s="156" t="s">
        <v>256</v>
      </c>
      <c r="C41" s="157"/>
      <c r="D41" s="157"/>
      <c r="E41" s="157"/>
      <c r="F41" s="157"/>
      <c r="G41" s="158"/>
      <c r="H41" s="158"/>
      <c r="I41" s="158"/>
      <c r="J41" s="158"/>
      <c r="K41" s="158"/>
      <c r="L41" s="158"/>
      <c r="M41" s="158"/>
      <c r="N41" s="158"/>
      <c r="O41" s="158"/>
      <c r="P41" s="158"/>
      <c r="Q41" s="158"/>
      <c r="R41" s="158"/>
      <c r="S41" s="158"/>
      <c r="T41" s="158"/>
      <c r="U41" s="158"/>
      <c r="V41" s="158"/>
      <c r="W41" s="158"/>
      <c r="X41" s="157"/>
      <c r="Y41" s="157"/>
      <c r="Z41" s="157"/>
      <c r="AA41" s="157"/>
      <c r="AB41" s="157"/>
      <c r="AC41" s="157"/>
      <c r="AD41" s="157"/>
      <c r="AE41" s="157"/>
      <c r="AF41" s="157"/>
      <c r="AG41" s="157"/>
      <c r="AH41" s="157"/>
      <c r="AI41" s="157"/>
      <c r="AJ41" s="157"/>
      <c r="AK41" s="157"/>
      <c r="AL41" s="157"/>
      <c r="AM41" s="157"/>
      <c r="AN41" s="157"/>
      <c r="AO41" s="157"/>
      <c r="AP41" s="157"/>
      <c r="AQ41" s="157"/>
      <c r="AR41" s="157"/>
      <c r="AS41" s="157"/>
      <c r="AT41" s="157"/>
      <c r="AU41" s="157"/>
      <c r="AV41" s="157"/>
      <c r="AW41" s="157"/>
      <c r="AX41" s="157"/>
      <c r="AY41" s="157"/>
      <c r="AZ41" s="157"/>
      <c r="BA41" s="157"/>
      <c r="BB41" s="157"/>
    </row>
    <row r="42" spans="1:54" x14ac:dyDescent="0.2">
      <c r="A42" s="60"/>
      <c r="B42" s="60" t="s">
        <v>66</v>
      </c>
      <c r="C42" s="59">
        <v>1.4239459999999999</v>
      </c>
      <c r="D42" s="147">
        <v>2.9472170000000002</v>
      </c>
      <c r="E42" s="147">
        <v>5.4723360000000003</v>
      </c>
      <c r="F42" s="147">
        <v>2.7681049999999998</v>
      </c>
      <c r="G42" s="147">
        <v>2.041757</v>
      </c>
      <c r="H42" s="59"/>
      <c r="I42" s="59"/>
      <c r="J42" s="59"/>
      <c r="K42" s="59"/>
      <c r="L42" s="59"/>
      <c r="M42" s="59"/>
      <c r="N42" s="59"/>
      <c r="O42" s="59"/>
      <c r="P42" s="59"/>
      <c r="Q42" s="59"/>
      <c r="R42" s="59"/>
      <c r="S42" s="59"/>
      <c r="T42" s="59"/>
      <c r="U42" s="59"/>
      <c r="V42" s="59"/>
      <c r="W42" s="59"/>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59"/>
      <c r="AZ42" s="59"/>
      <c r="BA42" s="59"/>
      <c r="BB42" s="59"/>
    </row>
    <row r="43" spans="1:54" x14ac:dyDescent="0.2">
      <c r="A43" s="60"/>
    </row>
    <row r="44" spans="1:54" s="142" customFormat="1" x14ac:dyDescent="0.2">
      <c r="A44" s="151"/>
      <c r="B44" s="156" t="s">
        <v>257</v>
      </c>
      <c r="C44" s="157"/>
      <c r="D44" s="157"/>
      <c r="E44" s="157"/>
      <c r="F44" s="157"/>
      <c r="G44" s="158"/>
      <c r="H44" s="158"/>
      <c r="I44" s="158"/>
      <c r="J44" s="158"/>
      <c r="K44" s="158"/>
      <c r="L44" s="158"/>
      <c r="M44" s="158"/>
      <c r="N44" s="158"/>
      <c r="O44" s="158"/>
      <c r="P44" s="158"/>
      <c r="Q44" s="158"/>
      <c r="R44" s="158"/>
      <c r="S44" s="158"/>
      <c r="T44" s="158"/>
      <c r="U44" s="158"/>
      <c r="V44" s="158"/>
      <c r="W44" s="158"/>
      <c r="X44" s="157"/>
      <c r="Y44" s="157"/>
      <c r="Z44" s="157"/>
      <c r="AA44" s="157"/>
      <c r="AB44" s="157"/>
      <c r="AC44" s="157"/>
      <c r="AD44" s="157"/>
      <c r="AE44" s="157"/>
      <c r="AF44" s="157"/>
      <c r="AG44" s="157"/>
      <c r="AH44" s="157"/>
      <c r="AI44" s="157"/>
      <c r="AJ44" s="157"/>
      <c r="AK44" s="157"/>
      <c r="AL44" s="157"/>
      <c r="AM44" s="157"/>
      <c r="AN44" s="157"/>
      <c r="AO44" s="157"/>
      <c r="AP44" s="157"/>
      <c r="AQ44" s="157"/>
      <c r="AR44" s="157"/>
      <c r="AS44" s="157"/>
      <c r="AT44" s="157"/>
      <c r="AU44" s="157"/>
      <c r="AV44" s="157"/>
      <c r="AW44" s="157"/>
      <c r="AX44" s="157"/>
      <c r="AY44" s="157"/>
      <c r="AZ44" s="157"/>
      <c r="BA44" s="157"/>
      <c r="BB44" s="157"/>
    </row>
    <row r="45" spans="1:54" x14ac:dyDescent="0.2">
      <c r="A45" s="60"/>
      <c r="B45" s="60" t="s">
        <v>30</v>
      </c>
      <c r="C45" s="59">
        <v>5.5144903650875312</v>
      </c>
      <c r="D45" s="147">
        <v>8.0562923137678624</v>
      </c>
      <c r="E45" s="147">
        <v>5.8829133991626774</v>
      </c>
      <c r="F45" s="147">
        <v>1.7503158678944781</v>
      </c>
      <c r="G45" s="59"/>
      <c r="H45" s="59"/>
      <c r="I45" s="59"/>
      <c r="J45" s="59"/>
      <c r="K45" s="59"/>
      <c r="L45" s="59"/>
      <c r="M45" s="59"/>
      <c r="N45" s="59"/>
      <c r="O45" s="59"/>
      <c r="P45" s="59"/>
      <c r="Q45" s="59"/>
      <c r="R45" s="59"/>
      <c r="S45" s="59"/>
      <c r="T45" s="59"/>
      <c r="U45" s="59"/>
      <c r="V45" s="59"/>
      <c r="W45" s="59"/>
      <c r="X45" s="59"/>
      <c r="Y45" s="59"/>
      <c r="Z45" s="59"/>
      <c r="AA45" s="59"/>
      <c r="AB45" s="59"/>
      <c r="AC45" s="59"/>
      <c r="AD45" s="59"/>
      <c r="AE45" s="59"/>
      <c r="AF45" s="59"/>
      <c r="AG45" s="59"/>
      <c r="AH45" s="59"/>
      <c r="AI45" s="59"/>
      <c r="AJ45" s="59"/>
      <c r="AK45" s="59"/>
      <c r="AL45" s="59"/>
      <c r="AM45" s="59"/>
      <c r="AN45" s="59"/>
      <c r="AO45" s="59"/>
      <c r="AP45" s="59"/>
      <c r="AQ45" s="59"/>
      <c r="AR45" s="59"/>
      <c r="AS45" s="59"/>
      <c r="AT45" s="59"/>
      <c r="AU45" s="59"/>
      <c r="AV45" s="59"/>
      <c r="AW45" s="59"/>
      <c r="AX45" s="59"/>
      <c r="AY45" s="59"/>
      <c r="AZ45" s="59"/>
      <c r="BA45" s="59"/>
      <c r="BB45" s="59"/>
    </row>
    <row r="46" spans="1:54" x14ac:dyDescent="0.2">
      <c r="A46" s="60"/>
    </row>
    <row r="47" spans="1:54" s="138" customFormat="1" x14ac:dyDescent="0.2">
      <c r="A47" s="140"/>
      <c r="B47" s="139" t="s">
        <v>67</v>
      </c>
      <c r="C47" s="159"/>
      <c r="D47" s="159"/>
    </row>
    <row r="48" spans="1:54" x14ac:dyDescent="0.2">
      <c r="A48" s="60"/>
      <c r="B48" s="160"/>
      <c r="C48" s="59"/>
      <c r="D48" s="59"/>
      <c r="E48" s="301" t="s">
        <v>174</v>
      </c>
    </row>
    <row r="49" spans="1:5" x14ac:dyDescent="0.2">
      <c r="A49" s="60"/>
      <c r="B49" s="60" t="s">
        <v>68</v>
      </c>
      <c r="C49" s="63">
        <v>0.75</v>
      </c>
      <c r="D49" s="59"/>
      <c r="E49" s="60" t="s">
        <v>69</v>
      </c>
    </row>
    <row r="50" spans="1:5" x14ac:dyDescent="0.2">
      <c r="A50" s="60"/>
      <c r="B50" s="60" t="s">
        <v>258</v>
      </c>
      <c r="C50" s="59">
        <v>0.63</v>
      </c>
      <c r="D50" s="59"/>
      <c r="E50" s="60" t="s">
        <v>70</v>
      </c>
    </row>
    <row r="51" spans="1:5" x14ac:dyDescent="0.2">
      <c r="A51" s="60"/>
      <c r="B51" s="60"/>
      <c r="C51" s="59"/>
      <c r="D51" s="59"/>
    </row>
    <row r="52" spans="1:5" x14ac:dyDescent="0.2">
      <c r="A52" s="60"/>
      <c r="B52" s="149" t="s">
        <v>247</v>
      </c>
      <c r="C52" s="161">
        <v>3.6640600000000001</v>
      </c>
      <c r="D52" s="59"/>
      <c r="E52" s="60" t="s">
        <v>71</v>
      </c>
    </row>
    <row r="53" spans="1:5" x14ac:dyDescent="0.2">
      <c r="A53" s="60"/>
      <c r="B53" s="149" t="s">
        <v>248</v>
      </c>
      <c r="C53" s="161">
        <v>2.7260900000000001</v>
      </c>
      <c r="D53" s="59"/>
      <c r="E53" s="60" t="s">
        <v>71</v>
      </c>
    </row>
    <row r="54" spans="1:5" x14ac:dyDescent="0.2">
      <c r="A54" s="60"/>
      <c r="B54" s="149" t="s">
        <v>249</v>
      </c>
      <c r="C54" s="147">
        <v>4</v>
      </c>
      <c r="D54" s="59"/>
      <c r="E54" s="60" t="s">
        <v>72</v>
      </c>
    </row>
    <row r="55" spans="1:5" x14ac:dyDescent="0.2">
      <c r="A55" s="60"/>
      <c r="B55" s="149" t="s">
        <v>250</v>
      </c>
      <c r="C55" s="147">
        <v>2</v>
      </c>
      <c r="D55" s="59"/>
      <c r="E55" s="60" t="s">
        <v>72</v>
      </c>
    </row>
    <row r="56" spans="1:5" x14ac:dyDescent="0.2">
      <c r="A56" s="60"/>
      <c r="B56" s="149"/>
      <c r="C56" s="59"/>
      <c r="D56" s="59"/>
    </row>
    <row r="57" spans="1:5" x14ac:dyDescent="0.2">
      <c r="A57" s="60"/>
      <c r="B57" s="60" t="s">
        <v>73</v>
      </c>
      <c r="C57" s="152">
        <v>9.7921300000000003E-2</v>
      </c>
      <c r="D57" s="197"/>
      <c r="E57" s="300" t="s">
        <v>175</v>
      </c>
    </row>
    <row r="58" spans="1:5" x14ac:dyDescent="0.2">
      <c r="A58" s="60"/>
      <c r="B58" s="60" t="s">
        <v>74</v>
      </c>
      <c r="C58" s="34">
        <f>1-C57</f>
        <v>0.90207870000000001</v>
      </c>
      <c r="E58" s="300" t="s">
        <v>175</v>
      </c>
    </row>
    <row r="59" spans="1:5" x14ac:dyDescent="0.2">
      <c r="A59" s="60"/>
      <c r="B59" s="60" t="s">
        <v>251</v>
      </c>
      <c r="C59" s="152">
        <v>8.3910499999999999E-2</v>
      </c>
      <c r="E59" s="300" t="s">
        <v>176</v>
      </c>
    </row>
    <row r="60" spans="1:5" x14ac:dyDescent="0.2">
      <c r="A60" s="60"/>
      <c r="B60" s="60"/>
      <c r="C60" s="152"/>
    </row>
    <row r="61" spans="1:5" x14ac:dyDescent="0.2">
      <c r="A61" s="60"/>
      <c r="B61" s="60" t="s">
        <v>252</v>
      </c>
      <c r="C61" s="162">
        <v>2.5499999999999998</v>
      </c>
      <c r="E61" s="60" t="s">
        <v>75</v>
      </c>
    </row>
    <row r="62" spans="1:5" x14ac:dyDescent="0.2">
      <c r="A62" s="60"/>
      <c r="B62" s="60" t="s">
        <v>253</v>
      </c>
      <c r="C62" s="152">
        <v>2</v>
      </c>
      <c r="E62" s="60" t="s">
        <v>76</v>
      </c>
    </row>
    <row r="63" spans="1:5" x14ac:dyDescent="0.2">
      <c r="A63" s="60"/>
      <c r="B63" s="60"/>
      <c r="C63" s="152"/>
      <c r="E63" s="60"/>
    </row>
    <row r="64" spans="1:5" x14ac:dyDescent="0.2">
      <c r="A64" s="60"/>
      <c r="B64" s="60" t="s">
        <v>246</v>
      </c>
      <c r="C64" s="147">
        <v>55.137383648997393</v>
      </c>
      <c r="E64" s="60" t="s">
        <v>242</v>
      </c>
    </row>
    <row r="65" spans="1:7" x14ac:dyDescent="0.2">
      <c r="A65" s="60"/>
      <c r="B65" s="60"/>
      <c r="C65" s="152"/>
      <c r="E65" s="60"/>
    </row>
    <row r="66" spans="1:7" x14ac:dyDescent="0.2">
      <c r="A66" s="60"/>
      <c r="B66" s="60" t="s">
        <v>77</v>
      </c>
      <c r="C66" s="166">
        <v>0.78719555889926751</v>
      </c>
      <c r="D66" s="1"/>
      <c r="E66" s="60" t="s">
        <v>78</v>
      </c>
    </row>
    <row r="67" spans="1:7" x14ac:dyDescent="0.2">
      <c r="A67" s="60"/>
      <c r="B67" s="299" t="s">
        <v>177</v>
      </c>
      <c r="C67" s="166">
        <v>6.9902544894396082E-2</v>
      </c>
      <c r="D67" s="1"/>
      <c r="E67" s="60" t="s">
        <v>78</v>
      </c>
    </row>
    <row r="68" spans="1:7" x14ac:dyDescent="0.2">
      <c r="A68" s="60"/>
      <c r="B68" s="299" t="s">
        <v>178</v>
      </c>
      <c r="C68" s="166">
        <v>9.9938347829039431E-2</v>
      </c>
      <c r="D68" s="1"/>
      <c r="E68" s="60" t="s">
        <v>78</v>
      </c>
    </row>
    <row r="69" spans="1:7" x14ac:dyDescent="0.2">
      <c r="A69" s="60"/>
      <c r="B69" s="149" t="s">
        <v>79</v>
      </c>
      <c r="C69" s="166">
        <v>3.8477039480620673E-2</v>
      </c>
      <c r="D69" s="1"/>
      <c r="E69" s="60" t="s">
        <v>78</v>
      </c>
    </row>
    <row r="70" spans="1:7" x14ac:dyDescent="0.2">
      <c r="A70" s="60"/>
      <c r="B70" s="149" t="s">
        <v>80</v>
      </c>
      <c r="C70" s="166">
        <v>4.4864534990734306E-3</v>
      </c>
      <c r="D70" s="1"/>
      <c r="E70" s="60" t="s">
        <v>78</v>
      </c>
    </row>
    <row r="71" spans="1:7" x14ac:dyDescent="0.2">
      <c r="A71" s="60"/>
      <c r="B71" s="149"/>
      <c r="C71" s="59"/>
      <c r="E71" s="60"/>
    </row>
    <row r="72" spans="1:7" s="138" customFormat="1" x14ac:dyDescent="0.2">
      <c r="B72" s="139" t="s">
        <v>81</v>
      </c>
      <c r="C72" s="159"/>
      <c r="D72" s="159"/>
    </row>
    <row r="73" spans="1:7" x14ac:dyDescent="0.2">
      <c r="B73" s="163"/>
      <c r="C73" s="164" t="s">
        <v>82</v>
      </c>
      <c r="D73" s="164" t="s">
        <v>83</v>
      </c>
      <c r="E73" s="165" t="s">
        <v>84</v>
      </c>
      <c r="F73" s="165" t="s">
        <v>85</v>
      </c>
      <c r="G73" s="165" t="s">
        <v>86</v>
      </c>
    </row>
    <row r="74" spans="1:7" x14ac:dyDescent="0.2">
      <c r="A74" s="60"/>
      <c r="B74" s="300" t="s">
        <v>179</v>
      </c>
      <c r="C74" s="34">
        <v>-4.4644851684570313</v>
      </c>
      <c r="D74" s="34">
        <v>-6.2491073608398438</v>
      </c>
      <c r="E74" s="34">
        <v>-7.6034698486328125</v>
      </c>
      <c r="F74" s="34">
        <v>-8.7968368530273438</v>
      </c>
      <c r="G74" s="34">
        <v>-9.7137908935546875</v>
      </c>
    </row>
    <row r="75" spans="1:7" x14ac:dyDescent="0.2">
      <c r="A75" s="60"/>
      <c r="B75" s="300" t="s">
        <v>180</v>
      </c>
      <c r="C75" s="34">
        <v>-1.867218017578125</v>
      </c>
      <c r="D75" s="34">
        <v>-2.5872116088867188</v>
      </c>
      <c r="E75" s="34">
        <v>-3.1138839721679688</v>
      </c>
      <c r="F75" s="34">
        <v>-3.6118621826171875</v>
      </c>
      <c r="G75" s="34">
        <v>-4.0261764526367188</v>
      </c>
    </row>
    <row r="76" spans="1:7" x14ac:dyDescent="0.2">
      <c r="A76" s="60"/>
      <c r="B76" s="300" t="s">
        <v>181</v>
      </c>
      <c r="C76" s="34">
        <v>1.8539505004882813</v>
      </c>
      <c r="D76" s="34">
        <v>2.5046768188476563</v>
      </c>
      <c r="E76" s="34">
        <v>3.0943832397460938</v>
      </c>
      <c r="F76" s="34">
        <v>3.6939315795898438</v>
      </c>
      <c r="G76" s="34">
        <v>4.11102294921875</v>
      </c>
    </row>
    <row r="77" spans="1:7" x14ac:dyDescent="0.2">
      <c r="A77" s="60"/>
      <c r="B77" s="300" t="s">
        <v>182</v>
      </c>
      <c r="C77" s="34">
        <v>4.597442626953125</v>
      </c>
      <c r="D77" s="34">
        <v>6.3689956665039063</v>
      </c>
      <c r="E77" s="34">
        <v>7.7384719848632813</v>
      </c>
      <c r="F77" s="34">
        <v>9.116607666015625</v>
      </c>
      <c r="G77" s="34">
        <v>10.289901733398438</v>
      </c>
    </row>
  </sheetData>
  <phoneticPr fontId="15" type="noConversion"/>
  <pageMargins left="0.7" right="0.7" top="0.75" bottom="0.75" header="0.3" footer="0.3"/>
  <pageSetup paperSize="9" orientation="portrait" r:id="rId1"/>
  <ignoredErrors>
    <ignoredError sqref="X58:Y58 C4:C6 D58 F58:W58 C18:Y20 C58"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0070C0"/>
  </sheetPr>
  <dimension ref="A1:AY123"/>
  <sheetViews>
    <sheetView zoomScaleNormal="100" workbookViewId="0"/>
  </sheetViews>
  <sheetFormatPr defaultColWidth="9.28515625" defaultRowHeight="11.25" outlineLevelRow="1" x14ac:dyDescent="0.2"/>
  <cols>
    <col min="1" max="1" width="9.28515625" style="26" customWidth="1"/>
    <col min="2" max="2" width="57.42578125" style="26" customWidth="1"/>
    <col min="3" max="38" width="9.28515625" style="26" customWidth="1"/>
    <col min="39" max="48" width="11.42578125" style="26" bestFit="1" customWidth="1"/>
    <col min="49" max="16384" width="9.28515625" style="26"/>
  </cols>
  <sheetData>
    <row r="1" spans="1:51" ht="24.75" customHeight="1" x14ac:dyDescent="0.2">
      <c r="B1" s="39"/>
    </row>
    <row r="2" spans="1:51" ht="11.25" customHeight="1" x14ac:dyDescent="0.2">
      <c r="B2" s="27"/>
    </row>
    <row r="3" spans="1:51" ht="11.25" customHeight="1" x14ac:dyDescent="0.2">
      <c r="B3" s="19" t="s">
        <v>15</v>
      </c>
      <c r="C3" s="20" t="str">
        <f>'Input data'!C3</f>
        <v>FR</v>
      </c>
    </row>
    <row r="4" spans="1:51" x14ac:dyDescent="0.2">
      <c r="B4" s="64" t="s">
        <v>38</v>
      </c>
      <c r="C4" s="21"/>
    </row>
    <row r="5" spans="1:51" x14ac:dyDescent="0.2">
      <c r="A5" s="29"/>
      <c r="B5" s="22" t="str">
        <f>'Input data'!B5</f>
        <v>Last year before the adjustment</v>
      </c>
      <c r="C5" s="23">
        <f>+'Input data'!C5</f>
        <v>2024</v>
      </c>
    </row>
    <row r="6" spans="1:51" x14ac:dyDescent="0.2">
      <c r="A6" s="29"/>
      <c r="B6" s="65" t="s">
        <v>44</v>
      </c>
      <c r="C6" s="23">
        <f>+C5+'Criteria results'!$F$5</f>
        <v>2028</v>
      </c>
      <c r="E6" s="43"/>
      <c r="F6" s="29"/>
    </row>
    <row r="7" spans="1:51" x14ac:dyDescent="0.2">
      <c r="A7" s="29"/>
      <c r="B7" s="24"/>
      <c r="C7" s="66"/>
      <c r="E7" s="43"/>
      <c r="F7" s="29"/>
    </row>
    <row r="8" spans="1:51" x14ac:dyDescent="0.2">
      <c r="A8" s="29"/>
      <c r="C8" s="29"/>
      <c r="E8" s="43"/>
      <c r="F8" s="29"/>
    </row>
    <row r="9" spans="1:51" s="71" customFormat="1" ht="12.75" x14ac:dyDescent="0.2">
      <c r="B9" s="25" t="s">
        <v>45</v>
      </c>
    </row>
    <row r="10" spans="1:51"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1" x14ac:dyDescent="0.2">
      <c r="B11" s="28" t="s">
        <v>46</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row>
    <row r="12" spans="1:51" x14ac:dyDescent="0.2">
      <c r="B12" s="26" t="s">
        <v>48</v>
      </c>
      <c r="C12" s="1">
        <f>'Input data'!C13</f>
        <v>-4.5038349999999996</v>
      </c>
      <c r="D12" s="1">
        <f>'Input data'!D13</f>
        <v>-2.9834649999999998</v>
      </c>
      <c r="E12" s="2">
        <f>'Input data'!E13</f>
        <v>-3.6529590000000001</v>
      </c>
      <c r="F12" s="2">
        <f>'Input data'!F13</f>
        <v>-2.968391</v>
      </c>
      <c r="G12" s="1">
        <f>F12</f>
        <v>-2.968391</v>
      </c>
      <c r="H12" s="1">
        <f t="shared" ref="H12:W12" si="0">G12</f>
        <v>-2.968391</v>
      </c>
      <c r="I12" s="1">
        <f t="shared" si="0"/>
        <v>-2.968391</v>
      </c>
      <c r="J12" s="1">
        <f t="shared" si="0"/>
        <v>-2.968391</v>
      </c>
      <c r="K12" s="1">
        <f t="shared" si="0"/>
        <v>-2.968391</v>
      </c>
      <c r="L12" s="1">
        <f t="shared" si="0"/>
        <v>-2.968391</v>
      </c>
      <c r="M12" s="1">
        <f t="shared" si="0"/>
        <v>-2.968391</v>
      </c>
      <c r="N12" s="1">
        <f t="shared" si="0"/>
        <v>-2.968391</v>
      </c>
      <c r="O12" s="1">
        <f t="shared" si="0"/>
        <v>-2.968391</v>
      </c>
      <c r="P12" s="1">
        <f t="shared" si="0"/>
        <v>-2.968391</v>
      </c>
      <c r="Q12" s="1">
        <f t="shared" si="0"/>
        <v>-2.968391</v>
      </c>
      <c r="R12" s="1">
        <f t="shared" si="0"/>
        <v>-2.968391</v>
      </c>
      <c r="S12" s="1">
        <f t="shared" si="0"/>
        <v>-2.968391</v>
      </c>
      <c r="T12" s="1">
        <f t="shared" si="0"/>
        <v>-2.968391</v>
      </c>
      <c r="U12" s="1">
        <f t="shared" si="0"/>
        <v>-2.968391</v>
      </c>
      <c r="V12" s="1">
        <f t="shared" si="0"/>
        <v>-2.968391</v>
      </c>
      <c r="W12" s="1">
        <f t="shared" si="0"/>
        <v>-2.968391</v>
      </c>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60"/>
    </row>
    <row r="13" spans="1:51" x14ac:dyDescent="0.2">
      <c r="B13" s="26" t="s">
        <v>49</v>
      </c>
      <c r="C13" s="1">
        <f>'Input data'!C14</f>
        <v>-8.3968899999999999E-2</v>
      </c>
      <c r="D13" s="1">
        <f>'Input data'!D14</f>
        <v>-7.1994500000000003E-2</v>
      </c>
      <c r="E13" s="2">
        <f>'Input data'!E14</f>
        <v>-6.4214599999999997E-2</v>
      </c>
      <c r="F13" s="2">
        <f>'Input data'!F14</f>
        <v>-3.4462800000000002E-2</v>
      </c>
      <c r="G13" s="2">
        <f>'Input data'!G14</f>
        <v>-3.00179E-2</v>
      </c>
      <c r="H13" s="2">
        <v>0</v>
      </c>
      <c r="I13" s="2">
        <v>0</v>
      </c>
      <c r="J13" s="2">
        <v>0</v>
      </c>
      <c r="K13" s="2">
        <v>0</v>
      </c>
      <c r="L13" s="2">
        <v>0</v>
      </c>
      <c r="M13" s="2">
        <v>0</v>
      </c>
      <c r="N13" s="2">
        <v>0</v>
      </c>
      <c r="O13" s="2">
        <v>0</v>
      </c>
      <c r="P13" s="2">
        <v>0</v>
      </c>
      <c r="Q13" s="2">
        <v>0</v>
      </c>
      <c r="R13" s="2">
        <v>0</v>
      </c>
      <c r="S13" s="2">
        <v>0</v>
      </c>
      <c r="T13" s="2">
        <v>0</v>
      </c>
      <c r="U13" s="2">
        <v>0</v>
      </c>
      <c r="V13" s="2">
        <v>0</v>
      </c>
      <c r="W13" s="2">
        <v>0</v>
      </c>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60"/>
    </row>
    <row r="14" spans="1:51" x14ac:dyDescent="0.2">
      <c r="B14" s="26" t="s">
        <v>87</v>
      </c>
      <c r="C14" s="1">
        <f>'Input data'!C15</f>
        <v>-2.11246E-2</v>
      </c>
      <c r="D14" s="1">
        <f>'Input data'!D15</f>
        <v>4.2606100000000001E-2</v>
      </c>
      <c r="E14" s="2">
        <f>'Input data'!E15</f>
        <v>-0.21881729999999999</v>
      </c>
      <c r="F14" s="2">
        <f>'Input data'!F15</f>
        <v>0.21081169999999999</v>
      </c>
      <c r="G14" s="2">
        <f>'Input data'!G15</f>
        <v>3.1292399999999998E-2</v>
      </c>
      <c r="H14" s="2">
        <f>'Input data'!H15</f>
        <v>0</v>
      </c>
      <c r="I14" s="2">
        <f>'Input data'!I15</f>
        <v>0</v>
      </c>
      <c r="J14" s="2">
        <f>'Input data'!J15</f>
        <v>0</v>
      </c>
      <c r="K14" s="2">
        <f>'Input data'!K15</f>
        <v>0</v>
      </c>
      <c r="L14" s="2">
        <f>'Input data'!L15</f>
        <v>0</v>
      </c>
      <c r="M14" s="2">
        <f>'Input data'!M15</f>
        <v>0</v>
      </c>
      <c r="N14" s="2">
        <f>'Input data'!N15</f>
        <v>0</v>
      </c>
      <c r="O14" s="2">
        <f>'Input data'!O15</f>
        <v>0</v>
      </c>
      <c r="P14" s="2">
        <f>'Input data'!P15</f>
        <v>0</v>
      </c>
      <c r="Q14" s="2">
        <f>'Input data'!Q15</f>
        <v>0</v>
      </c>
      <c r="R14" s="2">
        <f>'Input data'!R15</f>
        <v>0</v>
      </c>
      <c r="S14" s="2">
        <f>'Input data'!S15</f>
        <v>0</v>
      </c>
      <c r="T14" s="2">
        <f>'Input data'!T15</f>
        <v>0</v>
      </c>
      <c r="U14" s="2">
        <f>'Input data'!U15</f>
        <v>0</v>
      </c>
      <c r="V14" s="2">
        <f>'Input data'!V15</f>
        <v>0</v>
      </c>
      <c r="W14" s="2">
        <f>'Input data'!W15</f>
        <v>0</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60"/>
    </row>
    <row r="15" spans="1:51" ht="5.65" customHeight="1" x14ac:dyDescent="0.2">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spans="1:51" ht="11.25" customHeight="1" x14ac:dyDescent="0.2">
      <c r="B16" s="30" t="str">
        <f>'Input data'!B19</f>
        <v>Cost of ageing and selected public revenue (based on the Commission-Council 2024 Ageing Report ("AR 2024"))</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x14ac:dyDescent="0.2">
      <c r="A17" s="61"/>
      <c r="B17" s="26" t="s">
        <v>52</v>
      </c>
      <c r="C17" s="1">
        <f>'Input data'!C20</f>
        <v>0</v>
      </c>
      <c r="D17" s="1">
        <f>'Input data'!D20</f>
        <v>28.278850000000006</v>
      </c>
      <c r="E17" s="101">
        <f>'Input data'!E20</f>
        <v>27.552319999999998</v>
      </c>
      <c r="F17" s="101">
        <f>'Input data'!F20</f>
        <v>27.639749999999999</v>
      </c>
      <c r="G17" s="101">
        <f>'Input data'!G20</f>
        <v>27.581780000000002</v>
      </c>
      <c r="H17" s="101">
        <f>'Input data'!H20</f>
        <v>27.593040000000002</v>
      </c>
      <c r="I17" s="101">
        <f>'Input data'!I20</f>
        <v>27.652179999999998</v>
      </c>
      <c r="J17" s="101">
        <f>'Input data'!J20</f>
        <v>27.664160000000003</v>
      </c>
      <c r="K17" s="101">
        <f>'Input data'!K20</f>
        <v>27.636579999999999</v>
      </c>
      <c r="L17" s="101">
        <f>'Input data'!L20</f>
        <v>27.621679999999998</v>
      </c>
      <c r="M17" s="101">
        <f>'Input data'!M20</f>
        <v>27.607300000000002</v>
      </c>
      <c r="N17" s="101">
        <f>'Input data'!N20</f>
        <v>27.60905</v>
      </c>
      <c r="O17" s="101">
        <f>'Input data'!O20</f>
        <v>27.644740000000002</v>
      </c>
      <c r="P17" s="101">
        <f>'Input data'!P20</f>
        <v>27.691210000000002</v>
      </c>
      <c r="Q17" s="101">
        <f>'Input data'!Q20</f>
        <v>27.686630000000005</v>
      </c>
      <c r="R17" s="101">
        <f>'Input data'!R20</f>
        <v>27.686070000000001</v>
      </c>
      <c r="S17" s="101">
        <f>'Input data'!S20</f>
        <v>27.688879999999997</v>
      </c>
      <c r="T17" s="101">
        <f>'Input data'!T20</f>
        <v>27.691020000000002</v>
      </c>
      <c r="U17" s="101">
        <f>'Input data'!U20</f>
        <v>27.68871</v>
      </c>
      <c r="V17" s="101">
        <f>'Input data'!V20</f>
        <v>27.674209999999999</v>
      </c>
      <c r="W17" s="101">
        <f>'Input data'!W20</f>
        <v>27.712189999999996</v>
      </c>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x14ac:dyDescent="0.2">
      <c r="A18" s="61"/>
      <c r="B18" s="26" t="str">
        <f>'Input data'!B26</f>
        <v>Property income</v>
      </c>
      <c r="C18" s="1">
        <f>'Input data'!C26</f>
        <v>0.45969460000000001</v>
      </c>
      <c r="D18" s="1">
        <f>'Input data'!D26</f>
        <v>0.51588199999999995</v>
      </c>
      <c r="E18" s="101">
        <f>'Input data'!E26</f>
        <v>0.5155149</v>
      </c>
      <c r="F18" s="101">
        <f>'Input data'!F26</f>
        <v>0.51514769999999999</v>
      </c>
      <c r="G18" s="101">
        <f>'Input data'!G26</f>
        <v>0.51478060000000003</v>
      </c>
      <c r="H18" s="101">
        <f>'Input data'!H26</f>
        <v>0.51441349999999997</v>
      </c>
      <c r="I18" s="101">
        <f>'Input data'!I26</f>
        <v>0.51404640000000001</v>
      </c>
      <c r="J18" s="101">
        <f>'Input data'!J26</f>
        <v>0.51367929999999995</v>
      </c>
      <c r="K18" s="101">
        <f>'Input data'!K26</f>
        <v>0.5133122</v>
      </c>
      <c r="L18" s="101">
        <f>'Input data'!L26</f>
        <v>0.51294510000000004</v>
      </c>
      <c r="M18" s="101">
        <f>'Input data'!M26</f>
        <v>0.51257799999999998</v>
      </c>
      <c r="N18" s="101">
        <f>'Input data'!N26</f>
        <v>0.51221099999999997</v>
      </c>
      <c r="O18" s="101">
        <f>'Input data'!O26</f>
        <v>0.51184390000000002</v>
      </c>
      <c r="P18" s="101">
        <f>'Input data'!P26</f>
        <v>0.51147679999999995</v>
      </c>
      <c r="Q18" s="101">
        <f>'Input data'!Q26</f>
        <v>0.5111097</v>
      </c>
      <c r="R18" s="101">
        <f>'Input data'!R26</f>
        <v>0.51074269999999999</v>
      </c>
      <c r="S18" s="101">
        <f>'Input data'!S26</f>
        <v>0.51037560000000004</v>
      </c>
      <c r="T18" s="101">
        <f>'Input data'!T26</f>
        <v>0.51000849999999998</v>
      </c>
      <c r="U18" s="101">
        <f>'Input data'!U26</f>
        <v>0.50964140000000002</v>
      </c>
      <c r="V18" s="101">
        <f>'Input data'!V26</f>
        <v>0.50927440000000002</v>
      </c>
      <c r="W18" s="101">
        <f>'Input data'!W26</f>
        <v>0.50890729999999995</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20" spans="1:50" x14ac:dyDescent="0.2">
      <c r="B20" s="28" t="s">
        <v>88</v>
      </c>
    </row>
    <row r="21" spans="1:50" ht="10.5" customHeight="1" x14ac:dyDescent="0.2">
      <c r="B21" s="30" t="s">
        <v>89</v>
      </c>
    </row>
    <row r="22" spans="1:50" x14ac:dyDescent="0.2">
      <c r="B22" s="26" t="s">
        <v>61</v>
      </c>
      <c r="C22" s="34">
        <f>'Input data'!C31</f>
        <v>2321.011</v>
      </c>
      <c r="D22" s="34">
        <f>C22*(D23/100+1)</f>
        <v>2377.9862032033798</v>
      </c>
      <c r="E22" s="100">
        <f t="shared" ref="E22:F22" si="1">D22*(E23/100+1)</f>
        <v>2394.7205296647835</v>
      </c>
      <c r="F22" s="100">
        <f t="shared" si="1"/>
        <v>2412.1658388302208</v>
      </c>
      <c r="G22" s="100">
        <f>F22*(G23/100+1)</f>
        <v>2450.6375200370408</v>
      </c>
      <c r="H22" s="34">
        <f>IF(AND(H49&gt;1,G49&gt;1),IF(AND(H49&gt;0,G49&gt;0),H26*(H50/100+1),0)+IF(H49&gt;0,G22*(1+H51/100),0)-G22*(1+'Input data'!H30/100),IF(H49=1,H26,G22*(1+H51/100)))</f>
        <v>2464.8049986296278</v>
      </c>
      <c r="I22" s="34">
        <f>IF(AND(I49&gt;1,H49&gt;1),IF(AND(I49&gt;0,H49&gt;0),I26*(I50/100+1),0)+IF(I49&gt;0,H22*(1+I51/100),0)-H22*(1+'Input data'!I30/100),IF(I49=1,I26,H22*(1+I51/100)))</f>
        <v>2474.0652512910392</v>
      </c>
      <c r="J22" s="34">
        <f>IF(AND(J49&gt;1,I49&gt;1),IF(AND(J49&gt;0,I49&gt;0),J26*(J50/100+1),0)+IF(J49&gt;0,I22*(1+J51/100),0)-I22*(1+'Input data'!J30/100),IF(J49=1,J26,I22*(1+J51/100)))</f>
        <v>2481.735905047773</v>
      </c>
      <c r="K22" s="34">
        <f>IF(AND(K49&gt;1,J49&gt;1),IF(AND(K49&gt;0,J49&gt;0),K26*(K50/100+1),0)+IF(K49&gt;0,J22*(1+K51/100),0)-J22*(1+'Input data'!K30/100),IF(K49=1,K26,J22*(1+K51/100)))</f>
        <v>2490.2205233216118</v>
      </c>
      <c r="L22" s="34">
        <f>IF(AND(L49&gt;1,K49&gt;1),IF(AND(L49&gt;0,K49&gt;0),L26*(L50/100+1),0)+IF(L49&gt;0,K22*(1+L51/100),0)-K22*(1+'Input data'!L30/100),IF(L49=1,L26,K22*(1+L51/100)))</f>
        <v>2498.9512339861567</v>
      </c>
      <c r="M22" s="34">
        <f>IF(AND(M49&gt;1,L49&gt;1),IF(AND(M49&gt;0,L49&gt;0),M26*(M50/100+1),0)+IF(M49&gt;0,L22*(1+M51/100),0)-L22*(1+'Input data'!M30/100),IF(M49=1,M26,L22*(1+M51/100)))</f>
        <v>2508.2778922512252</v>
      </c>
      <c r="N22" s="34">
        <f>IF(AND(N49&gt;1,M49&gt;1),IF(AND(N49&gt;0,M49&gt;0),N26*(N50/100+1),0)+IF(N49&gt;0,M22*(1+N51/100),0)-M22*(1+'Input data'!N30/100),IF(N49=1,N26,M22*(1+N51/100)))</f>
        <v>2518.3826276954437</v>
      </c>
      <c r="O22" s="34">
        <f>IF(AND(O49&gt;1,N49&gt;1),IF(AND(O49&gt;0,N49&gt;0),O26*(O50/100+1),0)+IF(O49&gt;0,N22*(1+O51/100),0)-N22*(1+'Input data'!O30/100),IF(O49=1,O26,N22*(1+O51/100)))</f>
        <v>2528.0811131101614</v>
      </c>
      <c r="P22" s="34">
        <f>IF(AND(P49&gt;1,O49&gt;1),IF(AND(P49&gt;0,O49&gt;0),P26*(P50/100+1),0)+IF(P49&gt;0,O22*(1+P51/100),0)-O22*(1+'Input data'!P30/100),IF(P49=1,P26,O22*(1+P51/100)))</f>
        <v>2542.4839426148246</v>
      </c>
      <c r="Q22" s="34">
        <f>IF(AND(Q49&gt;1,P49&gt;1),IF(AND(Q49&gt;0,P49&gt;0),Q26*(Q50/100+1),0)+IF(Q49&gt;0,P22*(1+Q51/100),0)-P22*(1+'Input data'!Q30/100),IF(Q49=1,Q26,P22*(1+Q51/100)))</f>
        <v>2561.662404948273</v>
      </c>
      <c r="R22" s="34">
        <f>IF(AND(R49&gt;1,Q49&gt;1),IF(AND(R49&gt;0,Q49&gt;0),R26*(R50/100+1),0)+IF(R49&gt;0,Q22*(1+R51/100),0)-Q22*(1+'Input data'!R30/100),IF(R49=1,R26,Q22*(1+R51/100)))</f>
        <v>2585.714404025749</v>
      </c>
      <c r="S22" s="34">
        <f>IF(AND(S49&gt;1,R49&gt;1),IF(AND(S49&gt;0,R49&gt;0),S26*(S50/100+1),0)+IF(S49&gt;0,R22*(1+S51/100),0)-R22*(1+'Input data'!S30/100),IF(S49=1,S26,R22*(1+S51/100)))</f>
        <v>2612.6604441158297</v>
      </c>
      <c r="T22" s="34">
        <f>IF(AND(T49&gt;1,S49&gt;1),IF(AND(T49&gt;0,S49&gt;0),T26*(T50/100+1),0)+IF(T49&gt;0,S22*(1+T51/100),0)-S22*(1+'Input data'!T30/100),IF(T49=1,T26,S22*(1+T51/100)))</f>
        <v>2643.3696549759675</v>
      </c>
      <c r="U22" s="34">
        <f>IF(AND(U49&gt;1,T49&gt;1),IF(AND(U49&gt;0,T49&gt;0),U26*(U50/100+1),0)+IF(U49&gt;0,T22*(1+U51/100),0)-T22*(1+'Input data'!U30/100),IF(U49=1,U26,T22*(1+U51/100)))</f>
        <v>2678.5000112569019</v>
      </c>
      <c r="V22" s="34">
        <f>IF(AND(V49&gt;1,U49&gt;1),IF(AND(V49&gt;0,U49&gt;0),V26*(V50/100+1),0)+IF(V49&gt;0,U22*(1+V51/100),0)-U22*(1+'Input data'!V30/100),IF(V49=1,V26,U22*(1+V51/100)))</f>
        <v>2718.9782801920196</v>
      </c>
      <c r="W22" s="34">
        <f>IF(AND(W49&gt;1,V49&gt;1),IF(AND(W49&gt;0,V49&gt;0),W26*(W50/100+1),0)+IF(W49&gt;0,V22*(1+W51/100),0)-V22*(1+'Input data'!W30/100),IF(W49=1,W26,V22*(1+W51/100)))</f>
        <v>2760.8798834826198</v>
      </c>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row>
    <row r="23" spans="1:50" x14ac:dyDescent="0.2">
      <c r="A23" s="61"/>
      <c r="B23" s="62" t="s">
        <v>60</v>
      </c>
      <c r="C23" s="34">
        <f>+'Input data'!C30</f>
        <v>6.4352099999999997</v>
      </c>
      <c r="D23" s="34">
        <f>+'Input data'!D30</f>
        <v>2.454758</v>
      </c>
      <c r="E23" s="100">
        <f>+'Input data'!E30</f>
        <v>0.70371839999999997</v>
      </c>
      <c r="F23" s="100">
        <f>+'Input data'!F30</f>
        <v>0.72849039999999998</v>
      </c>
      <c r="G23" s="100">
        <f>+'Input data'!G30</f>
        <v>1.594902</v>
      </c>
      <c r="H23" s="34">
        <f>100*(H22/G22-1)</f>
        <v>0.57811400000000734</v>
      </c>
      <c r="I23" s="34">
        <f>100*(I22/H22-1)</f>
        <v>0.37569920000000145</v>
      </c>
      <c r="J23" s="34">
        <f t="shared" ref="J23:T23" si="2">100*(J22/I22-1)</f>
        <v>0.31004249999999622</v>
      </c>
      <c r="K23" s="34">
        <f t="shared" si="2"/>
        <v>0.34188239999999315</v>
      </c>
      <c r="L23" s="34">
        <f t="shared" si="2"/>
        <v>0.35059989999999264</v>
      </c>
      <c r="M23" s="34">
        <f t="shared" si="2"/>
        <v>0.37322289999999203</v>
      </c>
      <c r="N23" s="34">
        <f t="shared" si="2"/>
        <v>0.40285550000001003</v>
      </c>
      <c r="O23" s="34">
        <f t="shared" si="2"/>
        <v>0.38510769999999805</v>
      </c>
      <c r="P23" s="34">
        <f t="shared" si="2"/>
        <v>0.56971390000000177</v>
      </c>
      <c r="Q23" s="34">
        <f t="shared" si="2"/>
        <v>0.75431990000001115</v>
      </c>
      <c r="R23" s="34">
        <f t="shared" si="2"/>
        <v>0.93892149999998953</v>
      </c>
      <c r="S23" s="34">
        <f t="shared" si="2"/>
        <v>1.042111999999995</v>
      </c>
      <c r="T23" s="34">
        <f t="shared" si="2"/>
        <v>1.1754000000000042</v>
      </c>
      <c r="U23" s="34">
        <f t="shared" ref="U23" si="3">100*(U22/T22-1)</f>
        <v>1.3289990000000085</v>
      </c>
      <c r="V23" s="34">
        <f t="shared" ref="V23" si="4">100*(V22/U22-1)</f>
        <v>1.5112290000000028</v>
      </c>
      <c r="W23" s="34">
        <f t="shared" ref="W23" si="5">100*(W22/V22-1)</f>
        <v>1.5410790000000008</v>
      </c>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spans="1:50" ht="5.25" customHeight="1" x14ac:dyDescent="0.2">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row>
    <row r="25" spans="1:50" ht="15" x14ac:dyDescent="0.2">
      <c r="A25" s="224"/>
      <c r="B25" s="30" t="s">
        <v>90</v>
      </c>
      <c r="C25" s="223"/>
      <c r="D25" s="223"/>
      <c r="E25" s="223"/>
      <c r="F25" s="223"/>
      <c r="H25" s="259"/>
      <c r="I25" s="259"/>
      <c r="J25" s="259"/>
      <c r="K25" s="259"/>
      <c r="L25" s="259"/>
      <c r="M25" s="259"/>
      <c r="N25" s="259"/>
      <c r="O25" s="259"/>
      <c r="P25" s="259"/>
      <c r="Q25" s="259"/>
      <c r="R25" s="259"/>
      <c r="S25" s="259"/>
      <c r="T25" s="259"/>
    </row>
    <row r="26" spans="1:50" x14ac:dyDescent="0.2">
      <c r="B26" s="26" t="s">
        <v>61</v>
      </c>
      <c r="C26" s="34">
        <f>'Input data'!C34</f>
        <v>2344.1460000000002</v>
      </c>
      <c r="D26" s="34">
        <f>+C26*(1+'Input data'!D33/100)</f>
        <v>2369.7540134990404</v>
      </c>
      <c r="E26" s="100">
        <f>+D26*(1+'Input data'!E33/100)</f>
        <v>2396.6660775582618</v>
      </c>
      <c r="F26" s="100">
        <f>+E26*(1+'Input data'!F33/100)</f>
        <v>2422.7374665164953</v>
      </c>
      <c r="G26" s="100">
        <f>+F26*(1+'Input data'!G33/100)</f>
        <v>2446.9776816902327</v>
      </c>
      <c r="H26" s="34">
        <f>+G26*(1+'Input data'!H33/100)</f>
        <v>2462.3500188137496</v>
      </c>
      <c r="I26" s="34">
        <f>+H26*(1+'Input data'!I33/100)</f>
        <v>2473.2435562533324</v>
      </c>
      <c r="J26" s="34">
        <f>+I26*(1+'Input data'!J33/100)</f>
        <v>2481.7361404048984</v>
      </c>
      <c r="K26" s="34">
        <f>+J26*(1+'Input data'!K33/100)</f>
        <v>2490.2207942276877</v>
      </c>
      <c r="L26" s="34">
        <f>+K26*(1+'Input data'!L33/100)</f>
        <v>2498.9514585278339</v>
      </c>
      <c r="M26" s="34">
        <f>+L26*(1+'Input data'!M33/100)</f>
        <v>2508.2782200879537</v>
      </c>
      <c r="N26" s="34">
        <f>+M26*(1+'Input data'!N33/100)</f>
        <v>2518.3828364555252</v>
      </c>
      <c r="O26" s="34">
        <f>+N26*(1+'Input data'!O33/100)</f>
        <v>2528.081254677857</v>
      </c>
      <c r="P26" s="34">
        <f>+O26*(1+'Input data'!P33/100)</f>
        <v>2542.4839889219634</v>
      </c>
      <c r="Q26" s="34">
        <f>+P26*(1+'Input data'!Q33/100)</f>
        <v>2561.6623371929359</v>
      </c>
      <c r="R26" s="34">
        <f>+Q26*(1+'Input data'!R33/100)</f>
        <v>2585.7143125792818</v>
      </c>
      <c r="S26" s="34">
        <f>+R26*(1+'Input data'!S33/100)</f>
        <v>2612.6603000021018</v>
      </c>
      <c r="T26" s="34">
        <f>+S26*(1+'Input data'!T33/100)</f>
        <v>2643.3696136747385</v>
      </c>
      <c r="U26" s="34">
        <f>+T26*(1+'Input data'!U33/100)</f>
        <v>2678.5000222741719</v>
      </c>
      <c r="V26" s="34">
        <f>+U26*(1+'Input data'!V33/100)</f>
        <v>2718.9783985157865</v>
      </c>
      <c r="W26" s="34">
        <f>+V26*(1+'Input data'!W33/100)</f>
        <v>2760.8798948707135</v>
      </c>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row>
    <row r="27" spans="1:50" ht="5.25" customHeight="1" x14ac:dyDescent="0.2">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row>
    <row r="28" spans="1:50" x14ac:dyDescent="0.2">
      <c r="B28" s="30" t="s">
        <v>91</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row>
    <row r="29" spans="1:50" x14ac:dyDescent="0.2">
      <c r="B29" s="26" t="s">
        <v>91</v>
      </c>
      <c r="C29" s="34">
        <f t="shared" ref="C29:T29" si="6">100*(C22/C26-1)</f>
        <v>-0.98692658221800622</v>
      </c>
      <c r="D29" s="34">
        <f t="shared" si="6"/>
        <v>0.34738583234570353</v>
      </c>
      <c r="E29" s="100">
        <f t="shared" si="6"/>
        <v>-8.1177261684295399E-2</v>
      </c>
      <c r="F29" s="100">
        <f t="shared" si="6"/>
        <v>-0.43635052631083582</v>
      </c>
      <c r="G29" s="100">
        <f t="shared" si="6"/>
        <v>0.14956566110893021</v>
      </c>
      <c r="H29" s="34">
        <f>100*(H22/H26-1)</f>
        <v>9.9700684188719357E-2</v>
      </c>
      <c r="I29" s="34">
        <f t="shared" si="6"/>
        <v>3.3223377278357447E-2</v>
      </c>
      <c r="J29" s="34">
        <f t="shared" si="6"/>
        <v>-9.4835676311966211E-6</v>
      </c>
      <c r="K29" s="34">
        <f t="shared" si="6"/>
        <v>-1.0878797440661003E-5</v>
      </c>
      <c r="L29" s="34">
        <f t="shared" si="6"/>
        <v>-8.9854357288032816E-6</v>
      </c>
      <c r="M29" s="34">
        <f t="shared" si="6"/>
        <v>-1.3070189974762059E-5</v>
      </c>
      <c r="N29" s="34">
        <f t="shared" si="6"/>
        <v>-8.2894498154573171E-6</v>
      </c>
      <c r="O29" s="34">
        <f t="shared" si="6"/>
        <v>-5.5998079728780681E-6</v>
      </c>
      <c r="P29" s="34">
        <f t="shared" si="6"/>
        <v>-1.8213345276407722E-6</v>
      </c>
      <c r="Q29" s="34">
        <f t="shared" si="6"/>
        <v>2.6449753498525297E-6</v>
      </c>
      <c r="R29" s="34">
        <f t="shared" si="6"/>
        <v>3.5366036765793751E-6</v>
      </c>
      <c r="S29" s="34">
        <f t="shared" si="6"/>
        <v>5.515976497783015E-6</v>
      </c>
      <c r="T29" s="34">
        <f t="shared" si="6"/>
        <v>1.5624462390562144E-6</v>
      </c>
      <c r="U29" s="34">
        <f t="shared" ref="U29:W29" si="7">100*(U22/U26-1)</f>
        <v>-4.1132237615926215E-7</v>
      </c>
      <c r="V29" s="34">
        <f t="shared" si="7"/>
        <v>-4.3517729642061909E-6</v>
      </c>
      <c r="W29" s="34">
        <f t="shared" si="7"/>
        <v>-4.1248059412524185E-7</v>
      </c>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row>
    <row r="30" spans="1:50" ht="5.25" customHeight="1" x14ac:dyDescent="0.2">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row>
    <row r="31" spans="1:50" x14ac:dyDescent="0.2">
      <c r="B31" s="30" t="s">
        <v>92</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row>
    <row r="32" spans="1:50" x14ac:dyDescent="0.2">
      <c r="B32" s="26" t="s">
        <v>60</v>
      </c>
      <c r="C32" s="1">
        <f t="shared" ref="C32:W32" si="8">100*((1+C23/100)*(1+C41/100)-1)</f>
        <v>7.9507899153866024</v>
      </c>
      <c r="D32" s="1">
        <f t="shared" si="8"/>
        <v>5.4743220450848451</v>
      </c>
      <c r="E32" s="2">
        <f t="shared" si="8"/>
        <v>6.2145642353418351</v>
      </c>
      <c r="F32" s="2">
        <f t="shared" si="8"/>
        <v>3.5167607791869226</v>
      </c>
      <c r="G32" s="2">
        <f>100*((1+G23/100)*(1+G41/100)-1)</f>
        <v>3.6692230232281409</v>
      </c>
      <c r="H32" s="1">
        <f>100*((1+H23/100)*(1+H41/100)-1)</f>
        <v>2.6955723360551076</v>
      </c>
      <c r="I32" s="1">
        <f t="shared" si="8"/>
        <v>2.5526651809361978</v>
      </c>
      <c r="J32" s="1">
        <f t="shared" si="8"/>
        <v>2.5493118529354541</v>
      </c>
      <c r="K32" s="1">
        <f t="shared" si="8"/>
        <v>2.6456101045168712</v>
      </c>
      <c r="L32" s="1">
        <f t="shared" si="8"/>
        <v>2.7182808601563302</v>
      </c>
      <c r="M32" s="1">
        <f t="shared" si="8"/>
        <v>2.8052051141340684</v>
      </c>
      <c r="N32" s="1">
        <f t="shared" si="8"/>
        <v>2.8993420046401708</v>
      </c>
      <c r="O32" s="1">
        <f t="shared" si="8"/>
        <v>2.9449279463499956</v>
      </c>
      <c r="P32" s="1">
        <f t="shared" si="8"/>
        <v>3.1065849331274986</v>
      </c>
      <c r="Q32" s="1">
        <f t="shared" si="8"/>
        <v>3.2681401815050082</v>
      </c>
      <c r="R32" s="1">
        <f t="shared" si="8"/>
        <v>3.4295893880124995</v>
      </c>
      <c r="S32" s="1">
        <f t="shared" si="8"/>
        <v>3.5075395327999859</v>
      </c>
      <c r="T32" s="1">
        <f t="shared" si="8"/>
        <v>3.6162565249999945</v>
      </c>
      <c r="U32" s="1">
        <f t="shared" si="8"/>
        <v>3.7456956261499919</v>
      </c>
      <c r="V32" s="1">
        <f t="shared" si="8"/>
        <v>3.9043562236749985</v>
      </c>
      <c r="W32" s="1">
        <f t="shared" si="8"/>
        <v>3.9069861407000195</v>
      </c>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4" spans="2:51" x14ac:dyDescent="0.2">
      <c r="B34" s="28" t="s">
        <v>93</v>
      </c>
    </row>
    <row r="35" spans="2:51" x14ac:dyDescent="0.2">
      <c r="B35" s="26" t="s">
        <v>63</v>
      </c>
      <c r="C35" s="1">
        <f>'Input data'!C37</f>
        <v>1.3072319999999999</v>
      </c>
      <c r="D35" s="1">
        <f>'Input data'!D37</f>
        <v>1.8011330000000001</v>
      </c>
      <c r="E35" s="2">
        <f>'Input data'!E37</f>
        <v>1.6360269999999999</v>
      </c>
      <c r="F35" s="2">
        <f>'Input data'!F37</f>
        <v>1.90473</v>
      </c>
      <c r="G35" s="2">
        <f>'Input data'!G37</f>
        <v>2.1499329999999999</v>
      </c>
      <c r="H35" s="1">
        <f>H96</f>
        <v>2.2735288450021978</v>
      </c>
      <c r="I35" s="1">
        <f t="shared" ref="I35:W35" si="9">I96</f>
        <v>2.3832330509810404</v>
      </c>
      <c r="J35" s="1">
        <f t="shared" si="9"/>
        <v>2.4889795053267907</v>
      </c>
      <c r="K35" s="1">
        <f t="shared" si="9"/>
        <v>2.5906595591004873</v>
      </c>
      <c r="L35" s="1">
        <f t="shared" si="9"/>
        <v>2.6883566594647159</v>
      </c>
      <c r="M35" s="1">
        <f t="shared" si="9"/>
        <v>2.7826023685247629</v>
      </c>
      <c r="N35" s="1">
        <f t="shared" si="9"/>
        <v>2.8737996190675608</v>
      </c>
      <c r="O35" s="1">
        <f t="shared" si="9"/>
        <v>2.9623797609474916</v>
      </c>
      <c r="P35" s="1">
        <f t="shared" si="9"/>
        <v>3.0394394966699005</v>
      </c>
      <c r="Q35" s="1">
        <f t="shared" si="9"/>
        <v>3.1083183062860598</v>
      </c>
      <c r="R35" s="1">
        <f t="shared" si="9"/>
        <v>3.1698315853658028</v>
      </c>
      <c r="S35" s="1">
        <f t="shared" si="9"/>
        <v>3.2249199357753002</v>
      </c>
      <c r="T35" s="1">
        <f>T96</f>
        <v>3.2743998224061914</v>
      </c>
      <c r="U35" s="1">
        <f t="shared" si="9"/>
        <v>3.3189812441653301</v>
      </c>
      <c r="V35" s="1">
        <f t="shared" si="9"/>
        <v>3.3592824631467342</v>
      </c>
      <c r="W35" s="1">
        <f t="shared" si="9"/>
        <v>3.3958359577732216</v>
      </c>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60"/>
    </row>
    <row r="36" spans="2:51" x14ac:dyDescent="0.2">
      <c r="B36" s="32" t="s">
        <v>94</v>
      </c>
      <c r="C36" s="1"/>
      <c r="D36" s="1"/>
      <c r="E36" s="2">
        <f>'Input data'!E39</f>
        <v>2.99</v>
      </c>
      <c r="F36" s="166">
        <f>'Input data'!F39</f>
        <v>2.964537</v>
      </c>
      <c r="G36" s="166">
        <f>'Input data'!G39</f>
        <v>3.0634350000000001</v>
      </c>
      <c r="H36" s="1">
        <f>G36+($O$36-$G$36)/($O$10-$G$10)</f>
        <v>3.1385131250000002</v>
      </c>
      <c r="I36" s="1">
        <f t="shared" ref="I36:M36" si="10">H36+($O$36-$G$36)/($O$10-$G$10)</f>
        <v>3.2135912500000003</v>
      </c>
      <c r="J36" s="1">
        <f t="shared" si="10"/>
        <v>3.2886693750000004</v>
      </c>
      <c r="K36" s="1">
        <f t="shared" si="10"/>
        <v>3.3637475000000006</v>
      </c>
      <c r="L36" s="1">
        <f t="shared" si="10"/>
        <v>3.4388256250000007</v>
      </c>
      <c r="M36" s="1">
        <f t="shared" si="10"/>
        <v>3.5139037500000008</v>
      </c>
      <c r="N36" s="1">
        <f>M36+($O$36-$G$36)/($O$10-$G$10)</f>
        <v>3.5889818750000009</v>
      </c>
      <c r="O36" s="252">
        <f>'Input data'!$C$52</f>
        <v>3.6640600000000001</v>
      </c>
      <c r="P36" s="1">
        <f>$O$36+('Input data'!$C$54-'Input data'!$C$52)/20*('Baseline NFPC'!P$10-2033)</f>
        <v>3.680857</v>
      </c>
      <c r="Q36" s="1">
        <f>$O$36+('Input data'!$C$54-'Input data'!$C$52)/20*('Baseline NFPC'!Q$10-2033)</f>
        <v>3.697654</v>
      </c>
      <c r="R36" s="1">
        <f>$O$36+('Input data'!$C$54-'Input data'!$C$52)/20*('Baseline NFPC'!R$10-2033)</f>
        <v>3.7144509999999999</v>
      </c>
      <c r="S36" s="1">
        <f>$O$36+('Input data'!$C$54-'Input data'!$C$52)/20*('Baseline NFPC'!S$10-2033)</f>
        <v>3.7312479999999999</v>
      </c>
      <c r="T36" s="1">
        <f>$O$36+('Input data'!$C$54-'Input data'!$C$52)/20*('Baseline NFPC'!T$10-2033)</f>
        <v>3.7480450000000003</v>
      </c>
      <c r="U36" s="1">
        <f>$O$36+('Input data'!$C$54-'Input data'!$C$52)/20*('Baseline NFPC'!U$10-2033)</f>
        <v>3.7648420000000002</v>
      </c>
      <c r="V36" s="1">
        <f>$O$36+('Input data'!$C$54-'Input data'!$C$52)/20*('Baseline NFPC'!V$10-2033)</f>
        <v>3.7816390000000002</v>
      </c>
      <c r="W36" s="1">
        <f>$O$36+('Input data'!$C$54-'Input data'!$C$52)/20*('Baseline NFPC'!W$10-2033)</f>
        <v>3.7984360000000001</v>
      </c>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60"/>
    </row>
    <row r="37" spans="2:51" x14ac:dyDescent="0.2">
      <c r="B37" s="32" t="s">
        <v>95</v>
      </c>
      <c r="C37" s="1"/>
      <c r="D37" s="1"/>
      <c r="E37" s="2">
        <f>'Input data'!E$38</f>
        <v>3.43</v>
      </c>
      <c r="F37" s="166">
        <f>'Input data'!F$38</f>
        <v>3.5642079999999998</v>
      </c>
      <c r="G37" s="166">
        <f>'Input data'!G$38</f>
        <v>2.8163749999999999</v>
      </c>
      <c r="H37" s="1">
        <f>G37+($O$37-$G$37)/($O$10-$G$10)</f>
        <v>2.8050893749999997</v>
      </c>
      <c r="I37" s="1">
        <f t="shared" ref="I37:N37" si="11">H37+($O$37-$G$37)/($O$10-$G$10)</f>
        <v>2.7938037499999995</v>
      </c>
      <c r="J37" s="1">
        <f t="shared" si="11"/>
        <v>2.7825181249999993</v>
      </c>
      <c r="K37" s="1">
        <f t="shared" si="11"/>
        <v>2.7712324999999991</v>
      </c>
      <c r="L37" s="1">
        <f t="shared" si="11"/>
        <v>2.7599468749999989</v>
      </c>
      <c r="M37" s="1">
        <f t="shared" si="11"/>
        <v>2.7486612499999987</v>
      </c>
      <c r="N37" s="1">
        <f t="shared" si="11"/>
        <v>2.7373756249999985</v>
      </c>
      <c r="O37" s="252">
        <f>'Input data'!$C$53</f>
        <v>2.7260900000000001</v>
      </c>
      <c r="P37" s="1">
        <f>$O$37+('Input data'!$C$55-'Input data'!$C$53)/20*('Baseline NFPC'!P$10-2033)</f>
        <v>2.6897855000000002</v>
      </c>
      <c r="Q37" s="1">
        <f>$O$37+('Input data'!$C$55-'Input data'!$C$53)/20*('Baseline NFPC'!Q$10-2033)</f>
        <v>2.6534810000000002</v>
      </c>
      <c r="R37" s="1">
        <f>$O$37+('Input data'!$C$55-'Input data'!$C$53)/20*('Baseline NFPC'!R$10-2033)</f>
        <v>2.6171765000000002</v>
      </c>
      <c r="S37" s="1">
        <f>$O$37+('Input data'!$C$55-'Input data'!$C$53)/20*('Baseline NFPC'!S$10-2033)</f>
        <v>2.5808720000000003</v>
      </c>
      <c r="T37" s="1">
        <f>$O$37+('Input data'!$C$55-'Input data'!$C$53)/20*('Baseline NFPC'!T$10-2033)</f>
        <v>2.5445675000000003</v>
      </c>
      <c r="U37" s="1">
        <f>$O$37+('Input data'!$C$55-'Input data'!$C$53)/20*('Baseline NFPC'!U$10-2033)</f>
        <v>2.5082629999999999</v>
      </c>
      <c r="V37" s="1">
        <f>$O$37+('Input data'!$C$55-'Input data'!$C$53)/20*('Baseline NFPC'!V$10-2033)</f>
        <v>2.4719584999999999</v>
      </c>
      <c r="W37" s="1">
        <f>$O$37+('Input data'!$C$55-'Input data'!$C$53)/20*('Baseline NFPC'!W$10-2033)</f>
        <v>2.435654</v>
      </c>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60"/>
    </row>
    <row r="38" spans="2:51" x14ac:dyDescent="0.2">
      <c r="B38" s="26" t="s">
        <v>96</v>
      </c>
      <c r="C38" s="1">
        <v>7.7938480000000004E-2</v>
      </c>
      <c r="D38" s="1">
        <v>8.1557229999999994E-2</v>
      </c>
      <c r="E38" s="1">
        <v>7.994946E-2</v>
      </c>
      <c r="F38" s="1">
        <v>7.9901810000000004E-2</v>
      </c>
      <c r="G38" s="1">
        <f>IF(OR($C$3="EL",$C$3="CY",$C$3="IE",$C$3="PT"),VLOOKUP($C$3,$B$110:$T$114,MATCH(G$10,$B$110:$T$110,0),0),$F$38+('Input data'!$C$59-$F$38)/($O$10-$F$10)*(G10-$F$10))</f>
        <v>8.0347219999999997E-2</v>
      </c>
      <c r="H38" s="1">
        <f>IF(OR($C$3="EL",$C$3="CY",$C$3="IE",$C$3="PT"),VLOOKUP($C$3,$B$110:$T$114,MATCH(H$10,$B$110:$T$110,0),0),$F$38+('Input data'!$C$59-$F$38)/($O$10-$F$10)*(H10-$F$10))</f>
        <v>8.0792630000000004E-2</v>
      </c>
      <c r="I38" s="1">
        <f>IF(OR($C$3="EL",$C$3="CY",$C$3="IE",$C$3="PT"),VLOOKUP($C$3,$B$110:$T$114,MATCH(I$10,$B$110:$T$110,0),0),$F$38+('Input data'!$C$59-$F$38)/($O$10-$F$10)*(I10-$F$10))</f>
        <v>8.1238039999999997E-2</v>
      </c>
      <c r="J38" s="1">
        <f>IF(OR($C$3="EL",$C$3="CY",$C$3="IE",$C$3="PT"),VLOOKUP($C$3,$B$110:$T$114,MATCH(J$10,$B$110:$T$110,0),0),$F$38+('Input data'!$C$59-$F$38)/($O$10-$F$10)*(J10-$F$10))</f>
        <v>8.1683450000000005E-2</v>
      </c>
      <c r="K38" s="1">
        <f>IF(OR($C$3="EL",$C$3="CY",$C$3="IE",$C$3="PT"),VLOOKUP($C$3,$B$110:$T$114,MATCH(K$10,$B$110:$T$110,0),0),$F$38+('Input data'!$C$59-$F$38)/($O$10-$F$10)*(K10-$F$10))</f>
        <v>8.2128859999999998E-2</v>
      </c>
      <c r="L38" s="1">
        <f>IF(OR($C$3="EL",$C$3="CY",$C$3="IE",$C$3="PT"),VLOOKUP($C$3,$B$110:$T$114,MATCH(L$10,$B$110:$T$110,0),0),$F$38+('Input data'!$C$59-$F$38)/($O$10-$F$10)*(L10-$F$10))</f>
        <v>8.2574270000000005E-2</v>
      </c>
      <c r="M38" s="1">
        <f>IF(OR($C$3="EL",$C$3="CY",$C$3="IE",$C$3="PT"),VLOOKUP($C$3,$B$110:$T$114,MATCH(M$10,$B$110:$T$110,0),0),$F$38+('Input data'!$C$59-$F$38)/($O$10-$F$10)*(M10-$F$10))</f>
        <v>8.3019679999999998E-2</v>
      </c>
      <c r="N38" s="1">
        <f>IF(OR($C$3="EL",$C$3="CY",$C$3="IE",$C$3="PT"),VLOOKUP($C$3,$B$110:$T$114,MATCH(N$10,$B$110:$T$110,0),0),$F$38+('Input data'!$C$59-$F$38)/($O$10-$F$10)*(N10-$F$10))</f>
        <v>8.3465090000000006E-2</v>
      </c>
      <c r="O38" s="252">
        <f>IF(OR($C$3="EL",$C$3="CY",$C$3="IE",$C$3="PT"),VLOOKUP($C$3,$B$110:$T$114,MATCH(O$10,$B$110:$T$110,0),0),'Input data'!$C$59)</f>
        <v>8.3910499999999999E-2</v>
      </c>
      <c r="P38" s="1">
        <f>IF(OR($C$3="EL",$C$3="CY",$C$3="IE",$C$3="PT"),VLOOKUP($C$3,$B$110:$T$114,MATCH(P$10,$B$110:$T$110,0),0),'Input data'!$C$59)</f>
        <v>8.3910499999999999E-2</v>
      </c>
      <c r="Q38" s="1">
        <f>IF(OR($C$3="EL",$C$3="CY",$C$3="IE",$C$3="PT"),VLOOKUP($C$3,$B$110:$T$114,MATCH(Q$10,$B$110:$T$110,0),0),'Input data'!$C$59)</f>
        <v>8.3910499999999999E-2</v>
      </c>
      <c r="R38" s="1">
        <f>IF(OR($C$3="EL",$C$3="CY",$C$3="IE",$C$3="PT"),VLOOKUP($C$3,$B$110:$T$114,MATCH(R$10,$B$110:$T$110,0),0),'Input data'!$C$59)</f>
        <v>8.3910499999999999E-2</v>
      </c>
      <c r="S38" s="1">
        <f>IF(OR($C$3="EL",$C$3="CY",$C$3="IE",$C$3="PT"),VLOOKUP($C$3,$B$110:$T$114,MATCH(S$10,$B$110:$T$110,0),0),'Input data'!$C$59)</f>
        <v>8.3910499999999999E-2</v>
      </c>
      <c r="T38" s="1">
        <f>IF(OR($C$3="EL",$C$3="CY",$C$3="IE",$C$3="PT"),VLOOKUP($C$3,$B$110:$T$114,MATCH(T$10,$B$110:$T$110,0),0),'Input data'!$C$59)</f>
        <v>8.3910499999999999E-2</v>
      </c>
      <c r="U38" s="1">
        <f>IF(OR($C$3="EL",$C$3="CY",$C$3="IE",$C$3="PT"),VLOOKUP($C$3,$B$110:$W$114,MATCH(U$10,$B$110:$W$110,0),0),'Input data'!$C$59)</f>
        <v>8.3910499999999999E-2</v>
      </c>
      <c r="V38" s="1">
        <f>IF(OR($C$3="EL",$C$3="CY",$C$3="IE",$C$3="PT"),VLOOKUP($C$3,$B$110:$W$114,MATCH(V$10,$B$110:$W$110,0),0),'Input data'!$C$59)</f>
        <v>8.3910499999999999E-2</v>
      </c>
      <c r="W38" s="1">
        <f>IF(OR($C$3="EL",$C$3="CY",$C$3="IE",$C$3="PT"),VLOOKUP($C$3,$B$110:$W$114,MATCH(W$10,$B$110:$W$110,0),0),'Input data'!$C$59)</f>
        <v>8.3910499999999999E-2</v>
      </c>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60"/>
    </row>
    <row r="39" spans="2:51" x14ac:dyDescent="0.2">
      <c r="C39" s="1"/>
      <c r="D39" s="1"/>
      <c r="E39" s="1"/>
      <c r="F39" s="1"/>
      <c r="G39" s="1"/>
      <c r="H39" s="1"/>
      <c r="I39" s="1"/>
      <c r="J39" s="1"/>
      <c r="K39" s="1"/>
      <c r="L39" s="1"/>
      <c r="M39" s="1"/>
      <c r="N39" s="1"/>
      <c r="O39" s="1"/>
      <c r="P39" s="1"/>
      <c r="Q39" s="1"/>
      <c r="R39" s="1"/>
      <c r="S39" s="1"/>
      <c r="T39" s="1"/>
      <c r="U39" s="1"/>
      <c r="V39" s="1"/>
      <c r="W39" s="1"/>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60"/>
    </row>
    <row r="40" spans="2:51" x14ac:dyDescent="0.2">
      <c r="B40" s="28" t="s">
        <v>97</v>
      </c>
      <c r="C40" s="1"/>
      <c r="D40" s="1"/>
      <c r="E40" s="1"/>
      <c r="F40" s="1"/>
      <c r="G40" s="103"/>
      <c r="H40" s="103"/>
      <c r="I40" s="103"/>
      <c r="J40" s="103"/>
      <c r="K40" s="103"/>
      <c r="L40" s="103"/>
      <c r="M40" s="103"/>
      <c r="N40" s="1"/>
      <c r="O40" s="103"/>
      <c r="P40" s="103"/>
      <c r="Q40" s="103"/>
      <c r="R40" s="1"/>
      <c r="S40" s="1"/>
      <c r="T40" s="1"/>
      <c r="U40" s="1"/>
      <c r="V40" s="1"/>
      <c r="W40" s="1"/>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60"/>
    </row>
    <row r="41" spans="2:51" x14ac:dyDescent="0.2">
      <c r="B41" s="26" t="s">
        <v>66</v>
      </c>
      <c r="C41" s="1">
        <f>'Input data'!C42</f>
        <v>1.4239459999999999</v>
      </c>
      <c r="D41" s="1">
        <f>'Input data'!D42</f>
        <v>2.9472170000000002</v>
      </c>
      <c r="E41" s="2">
        <f>'Input data'!E42</f>
        <v>5.4723360000000003</v>
      </c>
      <c r="F41" s="2">
        <f>'Input data'!F42</f>
        <v>2.7681049999999998</v>
      </c>
      <c r="G41" s="2">
        <f>'Input data'!G42</f>
        <v>2.041757</v>
      </c>
      <c r="H41" s="1">
        <f>$G$41+($O$41-$G$41)/($O$10-$G$10)*(H10-$G$10)</f>
        <v>2.1052873750000001</v>
      </c>
      <c r="I41" s="1">
        <f>$G$41+($O$41-$G$41)/($O$10-$G$10)*(I10-$G$10)</f>
        <v>2.1688177500000001</v>
      </c>
      <c r="J41" s="1">
        <f t="shared" ref="J41:M41" si="12">$G$41+($O$41-$G$41)/($O$10-$G$10)*(J10-$G$10)</f>
        <v>2.2323481250000001</v>
      </c>
      <c r="K41" s="1">
        <f t="shared" si="12"/>
        <v>2.2958784999999997</v>
      </c>
      <c r="L41" s="1">
        <f t="shared" si="12"/>
        <v>2.3594088749999997</v>
      </c>
      <c r="M41" s="1">
        <f t="shared" si="12"/>
        <v>2.4229392499999998</v>
      </c>
      <c r="N41" s="1">
        <f>$G$41+($O$41-$G$41)/($O$10-$G$10)*(N10-$G$10)</f>
        <v>2.4864696249999998</v>
      </c>
      <c r="O41" s="252">
        <f>'Input data'!$C$61</f>
        <v>2.5499999999999998</v>
      </c>
      <c r="P41" s="1">
        <f>$O$41+('Input data'!$C$62-'Input data'!$C$61)/20*(P$10-2033)</f>
        <v>2.5225</v>
      </c>
      <c r="Q41" s="1">
        <f>$O$41+('Input data'!$C$62-'Input data'!$C$61)/20*(Q$10-2033)</f>
        <v>2.4949999999999997</v>
      </c>
      <c r="R41" s="1">
        <f>$O$41+('Input data'!$C$62-'Input data'!$C$61)/20*(R$10-2033)</f>
        <v>2.4674999999999998</v>
      </c>
      <c r="S41" s="1">
        <f>$O$41+('Input data'!$C$62-'Input data'!$C$61)/20*(S$10-2033)</f>
        <v>2.44</v>
      </c>
      <c r="T41" s="1">
        <f>$O$41+('Input data'!$C$62-'Input data'!$C$61)/20*(T$10-2033)</f>
        <v>2.4124999999999996</v>
      </c>
      <c r="U41" s="1">
        <f>$O$41+('Input data'!$C$62-'Input data'!$C$61)/20*(U$10-2033)</f>
        <v>2.3849999999999998</v>
      </c>
      <c r="V41" s="1">
        <f>$O$41+('Input data'!$C$62-'Input data'!$C$61)/20*(V$10-2033)</f>
        <v>2.3574999999999999</v>
      </c>
      <c r="W41" s="1">
        <f>$O$41+('Input data'!$C$62-'Input data'!$C$61)/20*(W$10-2033)</f>
        <v>2.33</v>
      </c>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60"/>
    </row>
    <row r="42" spans="2:51" x14ac:dyDescent="0.2">
      <c r="B42" s="26" t="s">
        <v>98</v>
      </c>
      <c r="C42" s="1">
        <v>1</v>
      </c>
      <c r="D42" s="1">
        <v>1</v>
      </c>
      <c r="E42" s="1">
        <v>1</v>
      </c>
      <c r="F42" s="1">
        <v>0.99999990000000005</v>
      </c>
      <c r="G42" s="1">
        <v>1</v>
      </c>
      <c r="H42" s="1">
        <v>1</v>
      </c>
      <c r="I42" s="1">
        <v>1</v>
      </c>
      <c r="J42" s="1">
        <v>1</v>
      </c>
      <c r="K42" s="1">
        <v>1</v>
      </c>
      <c r="L42" s="1">
        <v>1</v>
      </c>
      <c r="M42" s="1">
        <v>1</v>
      </c>
      <c r="N42" s="1">
        <v>1</v>
      </c>
      <c r="O42" s="1">
        <v>1</v>
      </c>
      <c r="P42" s="1">
        <v>1</v>
      </c>
      <c r="Q42" s="1">
        <v>1</v>
      </c>
      <c r="R42" s="1">
        <v>1</v>
      </c>
      <c r="S42" s="1">
        <v>1</v>
      </c>
      <c r="T42" s="1">
        <v>1</v>
      </c>
      <c r="U42" s="1">
        <v>1</v>
      </c>
      <c r="V42" s="1">
        <v>1</v>
      </c>
      <c r="W42" s="1">
        <v>1</v>
      </c>
      <c r="X42" s="1"/>
      <c r="Y42" s="63"/>
      <c r="Z42" s="63"/>
      <c r="AA42" s="63"/>
      <c r="AB42" s="63"/>
      <c r="AC42" s="63"/>
      <c r="AD42" s="63"/>
      <c r="AE42" s="63"/>
      <c r="AF42" s="63"/>
      <c r="AG42" s="63"/>
      <c r="AH42" s="63"/>
      <c r="AI42" s="63"/>
      <c r="AJ42" s="63"/>
      <c r="AK42" s="63"/>
      <c r="AL42" s="63"/>
      <c r="AM42" s="63"/>
      <c r="AN42" s="63"/>
      <c r="AO42" s="63"/>
      <c r="AP42" s="63"/>
      <c r="AQ42" s="63"/>
      <c r="AR42" s="63"/>
      <c r="AS42" s="63"/>
      <c r="AT42" s="63"/>
      <c r="AU42" s="63"/>
      <c r="AV42" s="63"/>
      <c r="AW42" s="63"/>
      <c r="AX42" s="63"/>
      <c r="AY42" s="60"/>
    </row>
    <row r="43" spans="2:51" x14ac:dyDescent="0.2">
      <c r="C43" s="36"/>
    </row>
    <row r="44" spans="2:51" s="71" customFormat="1" ht="12.75" x14ac:dyDescent="0.2">
      <c r="B44" s="75" t="s">
        <v>99</v>
      </c>
      <c r="C44" s="76"/>
    </row>
    <row r="45" spans="2:51" x14ac:dyDescent="0.2">
      <c r="C45" s="36"/>
    </row>
    <row r="46" spans="2:51" x14ac:dyDescent="0.2">
      <c r="B46" s="54" t="s">
        <v>68</v>
      </c>
      <c r="C46" s="55">
        <f>'Input data'!C49</f>
        <v>0.75</v>
      </c>
    </row>
    <row r="47" spans="2:51" x14ac:dyDescent="0.2">
      <c r="B47" s="56" t="s">
        <v>258</v>
      </c>
      <c r="C47" s="57">
        <f>'Input data'!C50</f>
        <v>0.63</v>
      </c>
    </row>
    <row r="48" spans="2:51" x14ac:dyDescent="0.2">
      <c r="C48" s="58"/>
    </row>
    <row r="49" spans="2:48" outlineLevel="1" x14ac:dyDescent="0.2">
      <c r="B49" s="26" t="s">
        <v>100</v>
      </c>
      <c r="C49" s="34"/>
      <c r="D49" s="34">
        <f>IF(AND(ABS((D12-C12)-('Input data'!D13-'Input data'!C13))&gt;0.0001,ABS(D12-C12)&gt;0.0001,D$10&gt;$C$5),4,IF(C49=4,3,IF(C49=3,2,IF(C49=2,1,0))))</f>
        <v>0</v>
      </c>
      <c r="E49" s="34">
        <f>IF(AND(ABS((E12-D12)-('Input data'!E13-'Input data'!D13))&gt;0.0001,ABS(E12-D12)&gt;0.0001,E$10&gt;$C$5),4,IF(D49=4,3,IF(D49=3,2,IF(D49=2,1,0))))</f>
        <v>0</v>
      </c>
      <c r="F49" s="34">
        <f>IF(AND(ABS((F12-E12)-('Input data'!F13-'Input data'!E13))&gt;0.0001,ABS(F12-E12)&gt;0.0001,F$10&gt;$C$5),4,IF(E49=4,3,IF(E49=3,2,IF(E49=2,1,0))))</f>
        <v>0</v>
      </c>
      <c r="G49" s="34">
        <f>IF(AND(ABS((G12-F12)-('Input data'!G13-'Input data'!F13))&gt;0.0001,ABS(G12-F12)&gt;0.0001,G$10&gt;$C$5),4,IF(F49=4,3,IF(F49=3,2,IF(F49=2,1,0))))</f>
        <v>0</v>
      </c>
      <c r="H49" s="34">
        <f>IF(AND(ABS((H12-G12)-('Input data'!H13-'Input data'!G13))&gt;0.0001,ABS(H12-G12)&gt;0.0001,H$10&gt;$C$5),4,IF(G49=4,3,IF(G49=3,2,IF(G49=2,1,0))))</f>
        <v>0</v>
      </c>
      <c r="I49" s="34">
        <f>IF(AND(ABS((I12-H12)-('Input data'!I13-'Input data'!H13))&gt;0.0001,ABS(I12-H12)&gt;0.0001,I$10&gt;$C$5),4,IF(H49=4,3,IF(H49=3,2,IF(H49=2,1,0))))</f>
        <v>0</v>
      </c>
      <c r="J49" s="34">
        <f>IF(AND(ABS((J12-I12)-('Input data'!J13-'Input data'!I13))&gt;0.0001,ABS(J12-I12)&gt;0.0001,J$10&gt;$C$5),4,IF(I49=4,3,IF(I49=3,2,IF(I49=2,1,0))))</f>
        <v>0</v>
      </c>
      <c r="K49" s="34">
        <f>IF(AND(ABS((K12-J12)-('Input data'!K13-'Input data'!J13))&gt;0.0001,ABS(K12-J12)&gt;0.0001,K$10&gt;$C$5),4,IF(J49=4,3,IF(J49=3,2,IF(J49=2,1,0))))</f>
        <v>0</v>
      </c>
      <c r="L49" s="34">
        <f>IF(AND(ABS((L12-K12)-('Input data'!L13-'Input data'!K13))&gt;0.0001,ABS(L12-K12)&gt;0.0001,L$10&gt;$C$5),4,IF(K49=4,3,IF(K49=3,2,IF(K49=2,1,0))))</f>
        <v>0</v>
      </c>
      <c r="M49" s="34">
        <f>IF(AND(ABS((M12-L12)-('Input data'!M13-'Input data'!L13))&gt;0.0001,ABS(M12-L12)&gt;0.0001,M$10&gt;$C$5),4,IF(L49=4,3,IF(L49=3,2,IF(L49=2,1,0))))</f>
        <v>0</v>
      </c>
      <c r="N49" s="34">
        <f>IF(AND(ABS((N12-M12)-('Input data'!N13-'Input data'!M13))&gt;0.0001,ABS(N12-M12)&gt;0.0001,N$10&gt;$C$5),4,IF(M49=4,3,IF(M49=3,2,IF(M49=2,1,0))))</f>
        <v>0</v>
      </c>
      <c r="O49" s="34">
        <f>IF(AND(ABS((O12-N12)-('Input data'!O13-'Input data'!N13))&gt;0.0001,ABS(O12-N12)&gt;0.0001,O$10&gt;$C$5),4,IF(N49=4,3,IF(N49=3,2,IF(N49=2,1,0))))</f>
        <v>0</v>
      </c>
      <c r="P49" s="34">
        <f>IF(AND(ABS((P12-O12)-('Input data'!P13-'Input data'!O13))&gt;0.0001,ABS(P12-O12)&gt;0.0001,P$10&gt;$C$5),4,IF(O49=4,3,IF(O49=3,2,IF(O49=2,1,0))))</f>
        <v>0</v>
      </c>
      <c r="Q49" s="34">
        <f>IF(AND(ABS((Q12-P12)-('Input data'!Q13-'Input data'!P13))&gt;0.0001,ABS(Q12-P12)&gt;0.0001,Q$10&gt;$C$5),4,IF(P49=4,3,IF(P49=3,2,IF(P49=2,1,0))))</f>
        <v>0</v>
      </c>
      <c r="R49" s="34">
        <f>IF(AND(ABS((R12-Q12)-('Input data'!R13-'Input data'!Q13))&gt;0.0001,ABS(R12-Q12)&gt;0.0001,R$10&gt;$C$5),4,IF(Q49=4,3,IF(Q49=3,2,IF(Q49=2,1,0))))</f>
        <v>0</v>
      </c>
      <c r="S49" s="34">
        <f>IF(AND(ABS((S12-R12)-('Input data'!S13-'Input data'!R13))&gt;0.0001,ABS(S12-R12)&gt;0.0001,S$10&gt;$C$5),4,IF(R49=4,3,IF(R49=3,2,IF(R49=2,1,0))))</f>
        <v>0</v>
      </c>
      <c r="T49" s="34">
        <f>IF(AND(ABS((T12-S12)-('Input data'!T13-'Input data'!S13))&gt;0.0001,ABS(T12-S12)&gt;0.0001,T$10&gt;$C$5),4,IF(S49=4,3,IF(S49=3,2,IF(S49=2,1,0))))</f>
        <v>0</v>
      </c>
      <c r="U49" s="34">
        <f>IF(AND(ABS((U12-T12)-('Input data'!U13-'Input data'!T13))&gt;0.0001,ABS(U12-T12)&gt;0.0001,U$10&gt;$C$5),4,IF(T49=4,3,IF(T49=3,2,IF(T49=2,1,0))))</f>
        <v>0</v>
      </c>
      <c r="V49" s="34">
        <f>IF(AND(ABS((V12-U12)-('Input data'!V13-'Input data'!U13))&gt;0.0001,ABS(V12-U12)&gt;0.0001,V$10&gt;$C$5),4,IF(U49=4,3,IF(U49=3,2,IF(U49=2,1,0))))</f>
        <v>0</v>
      </c>
      <c r="W49" s="34">
        <f>IF(AND(ABS((W12-V12)-('Input data'!W13-'Input data'!V13))&gt;0.0001,ABS(W12-V12)&gt;0.0001,W$10&gt;$C$5),4,IF(V49=4,3,IF(V49=3,2,IF(V49=2,1,0))))</f>
        <v>0</v>
      </c>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row>
    <row r="50" spans="2:48" outlineLevel="1" x14ac:dyDescent="0.2">
      <c r="B50" s="26" t="s">
        <v>101</v>
      </c>
      <c r="C50" s="34"/>
      <c r="D50" s="34">
        <f t="shared" ref="D50:W50" si="13">IF(C49=4,2/3*C29,IF(C49=3,1/3*B29,0))</f>
        <v>0</v>
      </c>
      <c r="E50" s="34">
        <f t="shared" si="13"/>
        <v>0</v>
      </c>
      <c r="F50" s="34">
        <f t="shared" si="13"/>
        <v>0</v>
      </c>
      <c r="G50" s="34">
        <f t="shared" si="13"/>
        <v>0</v>
      </c>
      <c r="H50" s="34">
        <f t="shared" si="13"/>
        <v>0</v>
      </c>
      <c r="I50" s="34">
        <f t="shared" si="13"/>
        <v>0</v>
      </c>
      <c r="J50" s="34">
        <f t="shared" si="13"/>
        <v>0</v>
      </c>
      <c r="K50" s="34">
        <f t="shared" si="13"/>
        <v>0</v>
      </c>
      <c r="L50" s="34">
        <f t="shared" si="13"/>
        <v>0</v>
      </c>
      <c r="M50" s="34">
        <f t="shared" si="13"/>
        <v>0</v>
      </c>
      <c r="N50" s="34">
        <f t="shared" si="13"/>
        <v>0</v>
      </c>
      <c r="O50" s="34">
        <f t="shared" si="13"/>
        <v>0</v>
      </c>
      <c r="P50" s="34">
        <f t="shared" si="13"/>
        <v>0</v>
      </c>
      <c r="Q50" s="34">
        <f t="shared" si="13"/>
        <v>0</v>
      </c>
      <c r="R50" s="34">
        <f t="shared" si="13"/>
        <v>0</v>
      </c>
      <c r="S50" s="34">
        <f t="shared" si="13"/>
        <v>0</v>
      </c>
      <c r="T50" s="34">
        <f t="shared" si="13"/>
        <v>0</v>
      </c>
      <c r="U50" s="34">
        <f t="shared" si="13"/>
        <v>0</v>
      </c>
      <c r="V50" s="34">
        <f t="shared" si="13"/>
        <v>0</v>
      </c>
      <c r="W50" s="34">
        <f t="shared" si="13"/>
        <v>0</v>
      </c>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row>
    <row r="51" spans="2:48" outlineLevel="1" x14ac:dyDescent="0.2">
      <c r="B51" s="26" t="s">
        <v>102</v>
      </c>
      <c r="C51" s="34"/>
      <c r="D51" s="34">
        <f>'Input data'!D30-$C$46*((D12-C12)-('Input data'!D13-'Input data'!C13))</f>
        <v>2.454758</v>
      </c>
      <c r="E51" s="34">
        <f>'Input data'!E30-$C$46*((E12-D12)-('Input data'!E13-'Input data'!D13))</f>
        <v>0.70371839999999997</v>
      </c>
      <c r="F51" s="34">
        <f>'Input data'!F30-$C$46*((F12-E12)-('Input data'!F13-'Input data'!E13))</f>
        <v>0.72849039999999998</v>
      </c>
      <c r="G51" s="34">
        <f>'Input data'!G30-$C$46*((G12-F12)-('Input data'!G13-'Input data'!F13))</f>
        <v>3.8211952499999997</v>
      </c>
      <c r="H51" s="34">
        <f>'Input data'!H30-$C$46*((H12-G12))</f>
        <v>0.57811400000000002</v>
      </c>
      <c r="I51" s="34">
        <f>'Input data'!I30-$C$46*((I12-H12))</f>
        <v>0.37569920000000001</v>
      </c>
      <c r="J51" s="34">
        <f>'Input data'!J30-$C$46*((J12-I12))</f>
        <v>0.3100425</v>
      </c>
      <c r="K51" s="34">
        <f>'Input data'!K30-$C$46*((K12-J12))</f>
        <v>0.34188239999999998</v>
      </c>
      <c r="L51" s="34">
        <f>'Input data'!L30-$C$46*((L12-K12))</f>
        <v>0.35059990000000002</v>
      </c>
      <c r="M51" s="34">
        <f>'Input data'!M30-$C$46*((M12-L12))</f>
        <v>0.37322290000000002</v>
      </c>
      <c r="N51" s="34">
        <f>'Input data'!N30-$C$46*((N12-M12))</f>
        <v>0.40285549999999998</v>
      </c>
      <c r="O51" s="34">
        <f>'Input data'!O30-$C$46*((O12-N12))</f>
        <v>0.3851077</v>
      </c>
      <c r="P51" s="34">
        <f>'Input data'!P30-$C$46*((P12-O12))</f>
        <v>0.5697139</v>
      </c>
      <c r="Q51" s="34">
        <f>'Input data'!Q30-$C$46*((Q12-P12))</f>
        <v>0.75431990000000004</v>
      </c>
      <c r="R51" s="34">
        <f>'Input data'!R30-$C$46*((R12-Q12))</f>
        <v>0.93892149999999996</v>
      </c>
      <c r="S51" s="34">
        <f>'Input data'!S30-$C$46*((S12-R12))</f>
        <v>1.0421119999999999</v>
      </c>
      <c r="T51" s="34">
        <f>'Input data'!T30-$C$46*((T12-S12))</f>
        <v>1.1754</v>
      </c>
      <c r="U51" s="34">
        <f>'Input data'!U30-$C$46*((U12-T12))</f>
        <v>1.328999</v>
      </c>
      <c r="V51" s="34">
        <f>'Input data'!V30-$C$46*((V12-U12))</f>
        <v>1.5112289999999999</v>
      </c>
      <c r="W51" s="34">
        <f>'Input data'!W30-$C$46*((W12-V12))</f>
        <v>1.5410790000000001</v>
      </c>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row>
    <row r="52" spans="2:48" x14ac:dyDescent="0.2">
      <c r="C52" s="36"/>
    </row>
    <row r="53" spans="2:48" s="71" customFormat="1" ht="12.75" outlineLevel="1" x14ac:dyDescent="0.2">
      <c r="B53" s="72" t="s">
        <v>103</v>
      </c>
      <c r="C53" s="73"/>
      <c r="E53" s="74"/>
      <c r="F53" s="73"/>
    </row>
    <row r="54" spans="2:48" outlineLevel="1" x14ac:dyDescent="0.2">
      <c r="B54" s="43"/>
      <c r="C54" s="29"/>
      <c r="E54" s="44"/>
      <c r="F54" s="29"/>
    </row>
    <row r="55" spans="2:48" outlineLevel="1" x14ac:dyDescent="0.2">
      <c r="B55" s="85"/>
      <c r="C55" s="86">
        <v>2021</v>
      </c>
      <c r="D55" s="86">
        <v>2022</v>
      </c>
      <c r="E55" s="86">
        <v>2023</v>
      </c>
      <c r="F55" s="86">
        <v>2024</v>
      </c>
      <c r="G55" s="86">
        <v>2025</v>
      </c>
      <c r="H55" s="86">
        <v>2026</v>
      </c>
      <c r="I55" s="86">
        <v>2027</v>
      </c>
      <c r="J55" s="86">
        <v>2028</v>
      </c>
      <c r="K55" s="86">
        <v>2029</v>
      </c>
      <c r="L55" s="86">
        <v>2030</v>
      </c>
      <c r="M55" s="86">
        <v>2031</v>
      </c>
      <c r="N55" s="86">
        <v>2032</v>
      </c>
      <c r="O55" s="86">
        <v>2033</v>
      </c>
      <c r="P55" s="86">
        <v>2034</v>
      </c>
      <c r="Q55" s="86">
        <v>2035</v>
      </c>
      <c r="R55" s="86">
        <v>2036</v>
      </c>
      <c r="S55" s="86">
        <v>2037</v>
      </c>
      <c r="T55" s="86">
        <v>2038</v>
      </c>
      <c r="U55" s="86">
        <v>2039</v>
      </c>
      <c r="V55" s="86">
        <v>2040</v>
      </c>
      <c r="W55" s="86">
        <v>2041</v>
      </c>
    </row>
    <row r="56" spans="2:48" ht="10.5" customHeight="1" outlineLevel="1" x14ac:dyDescent="0.2">
      <c r="B56" s="87" t="s">
        <v>104</v>
      </c>
      <c r="C56" s="45">
        <f>+'Input data'!C12</f>
        <v>112.97329999999999</v>
      </c>
      <c r="D56" s="45">
        <f>+C56+D57</f>
        <v>111.9181670256222</v>
      </c>
      <c r="E56" s="45">
        <f t="shared" ref="E56:T56" si="14">+D56+E57</f>
        <v>110.64326790048331</v>
      </c>
      <c r="F56" s="45">
        <f>+E56+F57</f>
        <v>112.40882173205914</v>
      </c>
      <c r="G56" s="45">
        <f>+F56+G57</f>
        <v>113.63932096556051</v>
      </c>
      <c r="H56" s="45">
        <f t="shared" si="14"/>
        <v>116.03190619954287</v>
      </c>
      <c r="I56" s="45">
        <f t="shared" si="14"/>
        <v>118.80119594747819</v>
      </c>
      <c r="J56" s="45">
        <f t="shared" si="14"/>
        <v>121.72557758104925</v>
      </c>
      <c r="K56" s="45">
        <f t="shared" si="14"/>
        <v>124.62747607403766</v>
      </c>
      <c r="L56" s="45">
        <f t="shared" si="14"/>
        <v>127.54369848106263</v>
      </c>
      <c r="M56" s="45">
        <f t="shared" si="14"/>
        <v>130.45417566615455</v>
      </c>
      <c r="N56" s="45">
        <f t="shared" si="14"/>
        <v>133.36242635175594</v>
      </c>
      <c r="O56" s="45">
        <f t="shared" si="14"/>
        <v>136.36172304301326</v>
      </c>
      <c r="P56" s="45">
        <f t="shared" si="14"/>
        <v>139.29644412483978</v>
      </c>
      <c r="Q56" s="45">
        <f t="shared" si="14"/>
        <v>142.10017074917681</v>
      </c>
      <c r="R56" s="45">
        <f>+Q56+R57</f>
        <v>144.76240765127753</v>
      </c>
      <c r="S56" s="45">
        <f t="shared" si="14"/>
        <v>147.3894343465804</v>
      </c>
      <c r="T56" s="45">
        <f t="shared" si="14"/>
        <v>149.92795787816519</v>
      </c>
      <c r="U56" s="45">
        <f t="shared" ref="U56" si="15">+T56+U57</f>
        <v>152.33414969996738</v>
      </c>
      <c r="V56" s="45">
        <f t="shared" ref="V56" si="16">+U56+V57</f>
        <v>154.54374424270151</v>
      </c>
      <c r="W56" s="45">
        <f t="shared" ref="W56" si="17">+V56+W57</f>
        <v>156.83056804942302</v>
      </c>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row>
    <row r="57" spans="2:48" outlineLevel="1" x14ac:dyDescent="0.2">
      <c r="B57" s="88" t="s">
        <v>105</v>
      </c>
      <c r="C57" s="47"/>
      <c r="D57" s="47">
        <f>-D58+D66+D71</f>
        <v>-1.0551329743777931</v>
      </c>
      <c r="E57" s="47">
        <f t="shared" ref="E57:T57" si="18">-E58+E66+E71</f>
        <v>-1.2748991251388937</v>
      </c>
      <c r="F57" s="47">
        <f>-F58+F66+F71</f>
        <v>1.7655538315758266</v>
      </c>
      <c r="G57" s="47">
        <f>-G58+G66+G71</f>
        <v>1.2304992335013765</v>
      </c>
      <c r="H57" s="47">
        <f t="shared" si="18"/>
        <v>2.3925852339823654</v>
      </c>
      <c r="I57" s="47">
        <f t="shared" si="18"/>
        <v>2.7692897479353142</v>
      </c>
      <c r="J57" s="47">
        <f t="shared" si="18"/>
        <v>2.9243816335710586</v>
      </c>
      <c r="K57" s="47">
        <f t="shared" si="18"/>
        <v>2.9018984929884053</v>
      </c>
      <c r="L57" s="47">
        <f t="shared" si="18"/>
        <v>2.9162224070249732</v>
      </c>
      <c r="M57" s="47">
        <f t="shared" si="18"/>
        <v>2.9104771850919224</v>
      </c>
      <c r="N57" s="47">
        <f t="shared" si="18"/>
        <v>2.908250685601383</v>
      </c>
      <c r="O57" s="47">
        <f t="shared" si="18"/>
        <v>2.9992966912573142</v>
      </c>
      <c r="P57" s="47">
        <f t="shared" si="18"/>
        <v>2.9347210818265119</v>
      </c>
      <c r="Q57" s="47">
        <f t="shared" si="18"/>
        <v>2.8037266243370351</v>
      </c>
      <c r="R57" s="47">
        <f>-R58+R66+R71</f>
        <v>2.6622369021007026</v>
      </c>
      <c r="S57" s="47">
        <f t="shared" si="18"/>
        <v>2.6270266953028623</v>
      </c>
      <c r="T57" s="47">
        <f t="shared" si="18"/>
        <v>2.5385235315847963</v>
      </c>
      <c r="U57" s="47">
        <f t="shared" ref="U57:W57" si="19">-U58+U66+U71</f>
        <v>2.4061918218022051</v>
      </c>
      <c r="V57" s="47">
        <f t="shared" si="19"/>
        <v>2.2095945427341346</v>
      </c>
      <c r="W57" s="47">
        <f t="shared" si="19"/>
        <v>2.286823806721507</v>
      </c>
    </row>
    <row r="58" spans="2:48" outlineLevel="1" x14ac:dyDescent="0.2">
      <c r="B58" s="84" t="s">
        <v>106</v>
      </c>
      <c r="C58" s="48"/>
      <c r="D58" s="48">
        <f>D59+D60-D61-D62-D63-D64-D65</f>
        <v>-2.836606425622207</v>
      </c>
      <c r="E58" s="48">
        <f>E59+E60-E61-E62-E63-E64-E65</f>
        <v>-3.7683152748611062</v>
      </c>
      <c r="F58" s="48">
        <f>F59+F60-F61-F62-F63-F64-F65</f>
        <v>-3.2777546315758266</v>
      </c>
      <c r="G58" s="48">
        <f t="shared" ref="G58:T58" si="20">G59+G60-G61-G62-G63-G64-G65</f>
        <v>-2.8465796335013764</v>
      </c>
      <c r="H58" s="48">
        <f t="shared" si="20"/>
        <v>-2.8596037689611098</v>
      </c>
      <c r="I58" s="48">
        <f t="shared" si="20"/>
        <v>-2.9609915723146329</v>
      </c>
      <c r="J58" s="48">
        <f t="shared" si="20"/>
        <v>-2.9942753746476107</v>
      </c>
      <c r="K58" s="48">
        <f t="shared" si="20"/>
        <v>-2.9670633536423865</v>
      </c>
      <c r="L58" s="48">
        <f t="shared" si="20"/>
        <v>-2.9525292608245075</v>
      </c>
      <c r="M58" s="48">
        <f t="shared" si="20"/>
        <v>-2.9385189342196871</v>
      </c>
      <c r="N58" s="48">
        <f t="shared" si="20"/>
        <v>-2.9406329223533847</v>
      </c>
      <c r="O58" s="48">
        <f t="shared" si="20"/>
        <v>-2.9766883278790259</v>
      </c>
      <c r="P58" s="48">
        <f t="shared" si="20"/>
        <v>-3.0235230474407548</v>
      </c>
      <c r="Q58" s="48">
        <f t="shared" si="20"/>
        <v>-3.0193073336655347</v>
      </c>
      <c r="R58" s="48">
        <f t="shared" si="20"/>
        <v>-3.0191137719396854</v>
      </c>
      <c r="S58" s="48">
        <f t="shared" si="20"/>
        <v>-3.0222896249348046</v>
      </c>
      <c r="T58" s="48">
        <f t="shared" si="20"/>
        <v>-3.0247992156588714</v>
      </c>
      <c r="U58" s="48">
        <f t="shared" ref="U58:W58" si="21">U59+U60-U61-U62-U63-U64-U65</f>
        <v>-3.0228575591330977</v>
      </c>
      <c r="V58" s="48">
        <f t="shared" si="21"/>
        <v>-3.0087270416169671</v>
      </c>
      <c r="W58" s="48">
        <f t="shared" si="21"/>
        <v>-3.0470716598627714</v>
      </c>
    </row>
    <row r="59" spans="2:48" outlineLevel="1" x14ac:dyDescent="0.2">
      <c r="B59" s="79" t="s">
        <v>107</v>
      </c>
      <c r="C59" s="1"/>
      <c r="D59" s="1">
        <f>D12</f>
        <v>-2.9834649999999998</v>
      </c>
      <c r="E59" s="1">
        <f>E12</f>
        <v>-3.6529590000000001</v>
      </c>
      <c r="F59" s="1">
        <f>F12</f>
        <v>-2.968391</v>
      </c>
      <c r="G59" s="1">
        <f t="shared" ref="G59:W59" si="22">IF(G12="",F59,G12)</f>
        <v>-2.968391</v>
      </c>
      <c r="H59" s="1">
        <f>IF(H12="",G59,H12)</f>
        <v>-2.968391</v>
      </c>
      <c r="I59" s="1">
        <f t="shared" si="22"/>
        <v>-2.968391</v>
      </c>
      <c r="J59" s="1">
        <f t="shared" si="22"/>
        <v>-2.968391</v>
      </c>
      <c r="K59" s="1">
        <f t="shared" si="22"/>
        <v>-2.968391</v>
      </c>
      <c r="L59" s="1">
        <f t="shared" si="22"/>
        <v>-2.968391</v>
      </c>
      <c r="M59" s="1">
        <f t="shared" si="22"/>
        <v>-2.968391</v>
      </c>
      <c r="N59" s="1">
        <f t="shared" si="22"/>
        <v>-2.968391</v>
      </c>
      <c r="O59" s="1">
        <f t="shared" si="22"/>
        <v>-2.968391</v>
      </c>
      <c r="P59" s="1">
        <f t="shared" si="22"/>
        <v>-2.968391</v>
      </c>
      <c r="Q59" s="1">
        <f t="shared" si="22"/>
        <v>-2.968391</v>
      </c>
      <c r="R59" s="1">
        <f t="shared" si="22"/>
        <v>-2.968391</v>
      </c>
      <c r="S59" s="1">
        <f t="shared" si="22"/>
        <v>-2.968391</v>
      </c>
      <c r="T59" s="1">
        <f t="shared" si="22"/>
        <v>-2.968391</v>
      </c>
      <c r="U59" s="1">
        <f t="shared" si="22"/>
        <v>-2.968391</v>
      </c>
      <c r="V59" s="1">
        <f t="shared" si="22"/>
        <v>-2.968391</v>
      </c>
      <c r="W59" s="1">
        <f t="shared" si="22"/>
        <v>-2.968391</v>
      </c>
    </row>
    <row r="60" spans="2:48" outlineLevel="1" x14ac:dyDescent="0.2">
      <c r="B60" s="79" t="s">
        <v>108</v>
      </c>
      <c r="C60" s="1"/>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c r="V60" s="1">
        <v>0</v>
      </c>
      <c r="W60" s="1">
        <v>0</v>
      </c>
    </row>
    <row r="61" spans="2:48" outlineLevel="1" x14ac:dyDescent="0.2">
      <c r="B61" s="79" t="s">
        <v>109</v>
      </c>
      <c r="C61" s="1"/>
      <c r="D61" s="1">
        <f t="shared" ref="D61:W61" si="23">-$C$47*D29</f>
        <v>-0.21885307437779322</v>
      </c>
      <c r="E61" s="1">
        <f t="shared" si="23"/>
        <v>5.1141674861106101E-2</v>
      </c>
      <c r="F61" s="1">
        <f t="shared" si="23"/>
        <v>0.27490083157582657</v>
      </c>
      <c r="G61" s="1">
        <f t="shared" si="23"/>
        <v>-9.4226366498626035E-2</v>
      </c>
      <c r="H61" s="1">
        <f>-$C$47*H29</f>
        <v>-6.2811431038893195E-2</v>
      </c>
      <c r="I61" s="1">
        <f t="shared" si="23"/>
        <v>-2.0930727685365191E-2</v>
      </c>
      <c r="J61" s="1">
        <f>-$C$47*J29</f>
        <v>5.9746476076538713E-6</v>
      </c>
      <c r="K61" s="1">
        <f t="shared" si="23"/>
        <v>6.8536423876164321E-6</v>
      </c>
      <c r="L61" s="1">
        <f t="shared" si="23"/>
        <v>5.6608245091460674E-6</v>
      </c>
      <c r="M61" s="1">
        <f t="shared" si="23"/>
        <v>8.234219684100097E-6</v>
      </c>
      <c r="N61" s="1">
        <f t="shared" si="23"/>
        <v>5.2223533837381098E-6</v>
      </c>
      <c r="O61" s="1">
        <f t="shared" si="23"/>
        <v>3.5278790229131829E-6</v>
      </c>
      <c r="P61" s="1">
        <f t="shared" si="23"/>
        <v>1.1474407524136865E-6</v>
      </c>
      <c r="Q61" s="1">
        <f t="shared" si="23"/>
        <v>-1.6663344704070937E-6</v>
      </c>
      <c r="R61" s="1">
        <f t="shared" si="23"/>
        <v>-2.2280603162450063E-6</v>
      </c>
      <c r="S61" s="1">
        <f t="shared" si="23"/>
        <v>-3.4750651936032995E-6</v>
      </c>
      <c r="T61" s="1">
        <f t="shared" si="23"/>
        <v>-9.8434113060541506E-7</v>
      </c>
      <c r="U61" s="1">
        <f t="shared" si="23"/>
        <v>2.5913309698033515E-7</v>
      </c>
      <c r="V61" s="1">
        <f t="shared" si="23"/>
        <v>2.7416169674499002E-6</v>
      </c>
      <c r="W61" s="1">
        <f t="shared" si="23"/>
        <v>2.5986277429890237E-7</v>
      </c>
    </row>
    <row r="62" spans="2:48" outlineLevel="1" x14ac:dyDescent="0.2">
      <c r="B62" s="79" t="s">
        <v>110</v>
      </c>
      <c r="C62" s="1"/>
      <c r="D62" s="1">
        <f t="shared" ref="D62:W62" si="24">-D13</f>
        <v>7.1994500000000003E-2</v>
      </c>
      <c r="E62" s="1">
        <f t="shared" si="24"/>
        <v>6.4214599999999997E-2</v>
      </c>
      <c r="F62" s="1">
        <f t="shared" si="24"/>
        <v>3.4462800000000002E-2</v>
      </c>
      <c r="G62" s="1">
        <f t="shared" si="24"/>
        <v>3.00179E-2</v>
      </c>
      <c r="H62" s="1">
        <f>-H13</f>
        <v>0</v>
      </c>
      <c r="I62" s="1">
        <f t="shared" si="24"/>
        <v>0</v>
      </c>
      <c r="J62" s="1">
        <f t="shared" si="24"/>
        <v>0</v>
      </c>
      <c r="K62" s="1">
        <f t="shared" si="24"/>
        <v>0</v>
      </c>
      <c r="L62" s="1">
        <f t="shared" si="24"/>
        <v>0</v>
      </c>
      <c r="M62" s="1">
        <f t="shared" si="24"/>
        <v>0</v>
      </c>
      <c r="N62" s="1">
        <f t="shared" si="24"/>
        <v>0</v>
      </c>
      <c r="O62" s="1">
        <f t="shared" si="24"/>
        <v>0</v>
      </c>
      <c r="P62" s="1">
        <f t="shared" si="24"/>
        <v>0</v>
      </c>
      <c r="Q62" s="1">
        <f t="shared" si="24"/>
        <v>0</v>
      </c>
      <c r="R62" s="1">
        <f t="shared" si="24"/>
        <v>0</v>
      </c>
      <c r="S62" s="1">
        <f t="shared" si="24"/>
        <v>0</v>
      </c>
      <c r="T62" s="1">
        <f t="shared" si="24"/>
        <v>0</v>
      </c>
      <c r="U62" s="1">
        <f t="shared" si="24"/>
        <v>0</v>
      </c>
      <c r="V62" s="1">
        <f t="shared" si="24"/>
        <v>0</v>
      </c>
      <c r="W62" s="1">
        <f t="shared" si="24"/>
        <v>0</v>
      </c>
    </row>
    <row r="63" spans="2:48" outlineLevel="1" x14ac:dyDescent="0.2">
      <c r="B63" s="79" t="s">
        <v>111</v>
      </c>
      <c r="C63" s="1"/>
      <c r="D63" s="1">
        <f>IF(D$55&lt;=$C$5,0,HLOOKUP(D$55,'Input data'!$C$9:$BB$26,12,FALSE)-HLOOKUP($C$5,'Input data'!$C$9:$BB$26,12,FALSE))</f>
        <v>0</v>
      </c>
      <c r="E63" s="1">
        <f>IF(E$55&lt;=$C$5,0,HLOOKUP(E$55,'Input data'!$C$9:$BB$26,12,FALSE)-HLOOKUP($C$5,'Input data'!$C$9:$BB$26,12,FALSE))</f>
        <v>0</v>
      </c>
      <c r="F63" s="1">
        <f>IF(F$55&lt;=$C$5,0,HLOOKUP(F$55,'Input data'!$C$9:$BB$26,12,FALSE)-HLOOKUP($C$5,'Input data'!$C$9:$BB$26,12,FALSE))</f>
        <v>0</v>
      </c>
      <c r="G63" s="1">
        <f>IF(G$55&lt;=$C$5,0,HLOOKUP(G$55,'Input data'!$C$9:$BB$26,12,FALSE)-HLOOKUP($C$5,'Input data'!$C$9:$BB$26,12,FALSE))</f>
        <v>-5.7969999999997412E-2</v>
      </c>
      <c r="H63" s="1">
        <f>IF(H$55&lt;=$C$5,0,HLOOKUP(H$55,'Input data'!$C$9:$BB$26,12,FALSE)-HLOOKUP($C$5,'Input data'!$C$9:$BB$26,12,FALSE))</f>
        <v>-4.6709999999997365E-2</v>
      </c>
      <c r="I63" s="1">
        <f>IF(I$55&lt;=$C$5,0,HLOOKUP(I$55,'Input data'!$C$9:$BB$26,12,FALSE)-HLOOKUP($C$5,'Input data'!$C$9:$BB$26,12,FALSE))</f>
        <v>1.2429999999998387E-2</v>
      </c>
      <c r="J63" s="1">
        <f>IF(J$55&lt;=$C$5,0,HLOOKUP(J$55,'Input data'!$C$9:$BB$26,12,FALSE)-HLOOKUP($C$5,'Input data'!$C$9:$BB$26,12,FALSE))</f>
        <v>2.4410000000003151E-2</v>
      </c>
      <c r="K63" s="1">
        <f>IF(K$55&lt;=$C$5,0,HLOOKUP(K$55,'Input data'!$C$9:$BB$26,12,FALSE)-HLOOKUP($C$5,'Input data'!$C$9:$BB$26,12,FALSE))</f>
        <v>-3.1700000000007833E-3</v>
      </c>
      <c r="L63" s="1">
        <f>IF(L$55&lt;=$C$5,0,HLOOKUP(L$55,'Input data'!$C$9:$BB$26,12,FALSE)-HLOOKUP($C$5,'Input data'!$C$9:$BB$26,12,FALSE))</f>
        <v>-1.8070000000001585E-2</v>
      </c>
      <c r="M63" s="1">
        <f>IF(M$55&lt;=$C$5,0,HLOOKUP(M$55,'Input data'!$C$9:$BB$26,12,FALSE)-HLOOKUP($C$5,'Input data'!$C$9:$BB$26,12,FALSE))</f>
        <v>-3.2449999999997203E-2</v>
      </c>
      <c r="N63" s="1">
        <f>IF(N$55&lt;=$C$5,0,HLOOKUP(N$55,'Input data'!$C$9:$BB$26,12,FALSE)-HLOOKUP($C$5,'Input data'!$C$9:$BB$26,12,FALSE))</f>
        <v>-3.0699999999999505E-2</v>
      </c>
      <c r="O63" s="1">
        <f>IF(O$55&lt;=$C$5,0,HLOOKUP(O$55,'Input data'!$C$9:$BB$26,12,FALSE)-HLOOKUP($C$5,'Input data'!$C$9:$BB$26,12,FALSE))</f>
        <v>4.9900000000029365E-3</v>
      </c>
      <c r="P63" s="1">
        <f>IF(P$55&lt;=$C$5,0,HLOOKUP(P$55,'Input data'!$C$9:$BB$26,12,FALSE)-HLOOKUP($C$5,'Input data'!$C$9:$BB$26,12,FALSE))</f>
        <v>5.1460000000002282E-2</v>
      </c>
      <c r="Q63" s="1">
        <f>IF(Q$55&lt;=$C$5,0,HLOOKUP(Q$55,'Input data'!$C$9:$BB$26,12,FALSE)-HLOOKUP($C$5,'Input data'!$C$9:$BB$26,12,FALSE))</f>
        <v>4.688000000000514E-2</v>
      </c>
      <c r="R63" s="1">
        <f>IF(R$55&lt;=$C$5,0,HLOOKUP(R$55,'Input data'!$C$9:$BB$26,12,FALSE)-HLOOKUP($C$5,'Input data'!$C$9:$BB$26,12,FALSE))</f>
        <v>4.6320000000001471E-2</v>
      </c>
      <c r="S63" s="1">
        <f>IF(S$55&lt;=$C$5,0,HLOOKUP(S$55,'Input data'!$C$9:$BB$26,12,FALSE)-HLOOKUP($C$5,'Input data'!$C$9:$BB$26,12,FALSE))</f>
        <v>4.912999999999812E-2</v>
      </c>
      <c r="T63" s="1">
        <f>IF(T$55&lt;=$C$5,0,HLOOKUP(T$55,'Input data'!$C$9:$BB$26,12,FALSE)-HLOOKUP($C$5,'Input data'!$C$9:$BB$26,12,FALSE))</f>
        <v>5.1270000000002369E-2</v>
      </c>
      <c r="U63" s="1">
        <f>IF(U$55&lt;=$C$5,0,HLOOKUP(U$55,'Input data'!$C$9:$BB$26,12,FALSE)-HLOOKUP($C$5,'Input data'!$C$9:$BB$26,12,FALSE))</f>
        <v>4.8960000000001003E-2</v>
      </c>
      <c r="V63" s="1">
        <f>IF(V$55&lt;=$C$5,0,HLOOKUP(V$55,'Input data'!$C$9:$BB$26,12,FALSE)-HLOOKUP($C$5,'Input data'!$C$9:$BB$26,12,FALSE))</f>
        <v>3.4459999999999269E-2</v>
      </c>
      <c r="W63" s="1">
        <f>IF(W$55&lt;=$C$5,0,HLOOKUP(W$55,'Input data'!$C$9:$BB$26,12,FALSE)-HLOOKUP($C$5,'Input data'!$C$9:$BB$26,12,FALSE))</f>
        <v>7.2439999999996729E-2</v>
      </c>
    </row>
    <row r="64" spans="2:48" outlineLevel="1" x14ac:dyDescent="0.2">
      <c r="B64" s="79" t="s">
        <v>112</v>
      </c>
      <c r="C64" s="1"/>
      <c r="D64" s="1">
        <f>IF(D$55&lt;=$C$5,0,-HLOOKUP(D$55,'Input data'!$C$9:$BB$26,18,FALSE)+HLOOKUP($C$5,'Input data'!$C$9:$BB$26,18,FALSE))</f>
        <v>0</v>
      </c>
      <c r="E64" s="1">
        <f>IF(E$55&lt;=$C$5,0,-HLOOKUP(E$55,'Input data'!$C$9:$BB$26,18,FALSE)+HLOOKUP($C$5,'Input data'!$C$9:$BB$26,18,FALSE))</f>
        <v>0</v>
      </c>
      <c r="F64" s="1">
        <f>IF(F$55&lt;=$C$5,0,-HLOOKUP(F$55,'Input data'!$C$9:$BB$26,18,FALSE)+HLOOKUP($C$5,'Input data'!$C$9:$BB$26,18,FALSE))</f>
        <v>0</v>
      </c>
      <c r="G64" s="1">
        <f>IF(G$55&lt;=$C$5,0,-HLOOKUP(G$55,'Input data'!$C$9:$BB$26,18,FALSE)+HLOOKUP($C$5,'Input data'!$C$9:$BB$26,18,FALSE))</f>
        <v>3.6709999999995357E-4</v>
      </c>
      <c r="H64" s="1">
        <f>IF(H$55&lt;=$C$5,0,-HLOOKUP(H$55,'Input data'!$C$9:$BB$26,18,FALSE)+HLOOKUP($C$5,'Input data'!$C$9:$BB$26,18,FALSE))</f>
        <v>7.3420000000001817E-4</v>
      </c>
      <c r="I64" s="1">
        <f>IF(I$55&lt;=$C$5,0,-HLOOKUP(I$55,'Input data'!$C$9:$BB$26,18,FALSE)+HLOOKUP($C$5,'Input data'!$C$9:$BB$26,18,FALSE))</f>
        <v>1.1012999999999717E-3</v>
      </c>
      <c r="J64" s="1">
        <f>IF(J$55&lt;=$C$5,0,-HLOOKUP(J$55,'Input data'!$C$9:$BB$26,18,FALSE)+HLOOKUP($C$5,'Input data'!$C$9:$BB$26,18,FALSE))</f>
        <v>1.4684000000000363E-3</v>
      </c>
      <c r="K64" s="1">
        <f>IF(K$55&lt;=$C$5,0,-HLOOKUP(K$55,'Input data'!$C$9:$BB$26,18,FALSE)+HLOOKUP($C$5,'Input data'!$C$9:$BB$26,18,FALSE))</f>
        <v>1.8354999999999899E-3</v>
      </c>
      <c r="L64" s="1">
        <f>IF(L$55&lt;=$C$5,0,-HLOOKUP(L$55,'Input data'!$C$9:$BB$26,18,FALSE)+HLOOKUP($C$5,'Input data'!$C$9:$BB$26,18,FALSE))</f>
        <v>2.2025999999999435E-3</v>
      </c>
      <c r="M64" s="1">
        <f>IF(M$55&lt;=$C$5,0,-HLOOKUP(M$55,'Input data'!$C$9:$BB$26,18,FALSE)+HLOOKUP($C$5,'Input data'!$C$9:$BB$26,18,FALSE))</f>
        <v>2.5697000000000081E-3</v>
      </c>
      <c r="N64" s="1">
        <f>IF(N$55&lt;=$C$5,0,-HLOOKUP(N$55,'Input data'!$C$9:$BB$26,18,FALSE)+HLOOKUP($C$5,'Input data'!$C$9:$BB$26,18,FALSE))</f>
        <v>2.9367000000000143E-3</v>
      </c>
      <c r="O64" s="1">
        <f>IF(O$55&lt;=$C$5,0,-HLOOKUP(O$55,'Input data'!$C$9:$BB$26,18,FALSE)+HLOOKUP($C$5,'Input data'!$C$9:$BB$26,18,FALSE))</f>
        <v>3.3037999999999679E-3</v>
      </c>
      <c r="P64" s="1">
        <f>IF(P$55&lt;=$C$5,0,-HLOOKUP(P$55,'Input data'!$C$9:$BB$26,18,FALSE)+HLOOKUP($C$5,'Input data'!$C$9:$BB$26,18,FALSE))</f>
        <v>3.6709000000000325E-3</v>
      </c>
      <c r="Q64" s="1">
        <f>IF(Q$55&lt;=$C$5,0,-HLOOKUP(Q$55,'Input data'!$C$9:$BB$26,18,FALSE)+HLOOKUP($C$5,'Input data'!$C$9:$BB$26,18,FALSE))</f>
        <v>4.037999999999986E-3</v>
      </c>
      <c r="R64" s="1">
        <f>IF(R$55&lt;=$C$5,0,-HLOOKUP(R$55,'Input data'!$C$9:$BB$26,18,FALSE)+HLOOKUP($C$5,'Input data'!$C$9:$BB$26,18,FALSE))</f>
        <v>4.4049999999999923E-3</v>
      </c>
      <c r="S64" s="1">
        <f>IF(S$55&lt;=$C$5,0,-HLOOKUP(S$55,'Input data'!$C$9:$BB$26,18,FALSE)+HLOOKUP($C$5,'Input data'!$C$9:$BB$26,18,FALSE))</f>
        <v>4.7720999999999458E-3</v>
      </c>
      <c r="T64" s="1">
        <f>IF(T$55&lt;=$C$5,0,-HLOOKUP(T$55,'Input data'!$C$9:$BB$26,18,FALSE)+HLOOKUP($C$5,'Input data'!$C$9:$BB$26,18,FALSE))</f>
        <v>5.1392000000000104E-3</v>
      </c>
      <c r="U64" s="1">
        <f>IF(U$55&lt;=$C$5,0,-HLOOKUP(U$55,'Input data'!$C$9:$BB$26,18,FALSE)+HLOOKUP($C$5,'Input data'!$C$9:$BB$26,18,FALSE))</f>
        <v>5.506299999999964E-3</v>
      </c>
      <c r="V64" s="1">
        <f>IF(V$55&lt;=$C$5,0,-HLOOKUP(V$55,'Input data'!$C$9:$BB$26,18,FALSE)+HLOOKUP($C$5,'Input data'!$C$9:$BB$26,18,FALSE))</f>
        <v>5.8732999999999702E-3</v>
      </c>
      <c r="W64" s="1">
        <f>IF(W$55&lt;=$C$5,0,-HLOOKUP(W$55,'Input data'!$C$9:$BB$26,18,FALSE)+HLOOKUP($C$5,'Input data'!$C$9:$BB$26,18,FALSE))</f>
        <v>6.2404000000000348E-3</v>
      </c>
    </row>
    <row r="65" spans="2:23" outlineLevel="1" x14ac:dyDescent="0.2">
      <c r="B65" s="79" t="s">
        <v>113</v>
      </c>
      <c r="C65" s="37"/>
      <c r="D65" s="37">
        <v>0</v>
      </c>
      <c r="E65" s="37">
        <v>0</v>
      </c>
      <c r="F65" s="37">
        <v>0</v>
      </c>
      <c r="G65" s="37">
        <v>0</v>
      </c>
      <c r="H65" s="37">
        <v>0</v>
      </c>
      <c r="I65" s="37">
        <v>0</v>
      </c>
      <c r="J65" s="37">
        <v>0</v>
      </c>
      <c r="K65" s="37">
        <v>0</v>
      </c>
      <c r="L65" s="37">
        <v>0</v>
      </c>
      <c r="M65" s="37">
        <v>0</v>
      </c>
      <c r="N65" s="37">
        <v>0</v>
      </c>
      <c r="O65" s="37">
        <v>0</v>
      </c>
      <c r="P65" s="37">
        <v>0</v>
      </c>
      <c r="Q65" s="37">
        <v>0</v>
      </c>
      <c r="R65" s="37">
        <v>0</v>
      </c>
      <c r="S65" s="37">
        <v>0</v>
      </c>
      <c r="T65" s="37">
        <v>0</v>
      </c>
      <c r="U65" s="37">
        <v>0</v>
      </c>
      <c r="V65" s="37">
        <v>0</v>
      </c>
      <c r="W65" s="37">
        <v>0</v>
      </c>
    </row>
    <row r="66" spans="2:23" outlineLevel="1" x14ac:dyDescent="0.2">
      <c r="B66" s="84" t="s">
        <v>114</v>
      </c>
      <c r="C66" s="48"/>
      <c r="D66" s="48">
        <f>SUM(D67:D70)</f>
        <v>-3.934345</v>
      </c>
      <c r="E66" s="48">
        <f t="shared" ref="E66:T66" si="25">SUM(E67:E70)</f>
        <v>-4.8243999999999998</v>
      </c>
      <c r="F66" s="48">
        <f t="shared" si="25"/>
        <v>-1.723009</v>
      </c>
      <c r="G66" s="48">
        <f>SUM(G67:G70)</f>
        <v>-1.6473709999999999</v>
      </c>
      <c r="H66" s="48">
        <f t="shared" si="25"/>
        <v>-0.46701853497874413</v>
      </c>
      <c r="I66" s="48">
        <f t="shared" si="25"/>
        <v>-0.19170182437931871</v>
      </c>
      <c r="J66" s="48">
        <f t="shared" si="25"/>
        <v>-6.9893741076552107E-2</v>
      </c>
      <c r="K66" s="48">
        <f t="shared" si="25"/>
        <v>-6.5164860653981194E-2</v>
      </c>
      <c r="L66" s="48">
        <f t="shared" si="25"/>
        <v>-3.6306853799534355E-2</v>
      </c>
      <c r="M66" s="48">
        <f t="shared" si="25"/>
        <v>-2.8041749127764692E-2</v>
      </c>
      <c r="N66" s="48">
        <f t="shared" si="25"/>
        <v>-3.2382236752001692E-2</v>
      </c>
      <c r="O66" s="48">
        <f t="shared" si="25"/>
        <v>2.260836337828831E-2</v>
      </c>
      <c r="P66" s="48">
        <f t="shared" si="25"/>
        <v>-8.8801965614242917E-2</v>
      </c>
      <c r="Q66" s="48">
        <f t="shared" si="25"/>
        <v>-0.2155807093284996</v>
      </c>
      <c r="R66" s="48">
        <f t="shared" si="25"/>
        <v>-0.35687686983898281</v>
      </c>
      <c r="S66" s="48">
        <f t="shared" si="25"/>
        <v>-0.39526292963194232</v>
      </c>
      <c r="T66" s="48">
        <f t="shared" si="25"/>
        <v>-0.48627568407407518</v>
      </c>
      <c r="U66" s="48">
        <f t="shared" ref="U66:W66" si="26">SUM(U67:U70)</f>
        <v>-0.61666573733089258</v>
      </c>
      <c r="V66" s="48">
        <f t="shared" si="26"/>
        <v>-0.79913249888283255</v>
      </c>
      <c r="W66" s="48">
        <f t="shared" si="26"/>
        <v>-0.76024785314126442</v>
      </c>
    </row>
    <row r="67" spans="2:23" outlineLevel="1" x14ac:dyDescent="0.2">
      <c r="B67" s="79" t="s">
        <v>115</v>
      </c>
      <c r="C67" s="34"/>
      <c r="D67" s="34">
        <f t="shared" ref="D67:W67" si="27">C56*D35/100*(1/(1+D32/100))</f>
        <v>1.9291893496307357</v>
      </c>
      <c r="E67" s="34">
        <f t="shared" si="27"/>
        <v>1.7238798121764787</v>
      </c>
      <c r="F67" s="34">
        <f t="shared" si="27"/>
        <v>2.0358592181765802</v>
      </c>
      <c r="G67" s="34">
        <f>F56*G35/100*(1/(1+G32/100))</f>
        <v>2.3311782251779984</v>
      </c>
      <c r="H67" s="34">
        <f>G56*H35/100*(1/(1+H32/100))</f>
        <v>2.5158073348694621</v>
      </c>
      <c r="I67" s="34">
        <f t="shared" si="27"/>
        <v>2.6964786662071814</v>
      </c>
      <c r="J67" s="34">
        <f t="shared" si="27"/>
        <v>2.8834298015147648</v>
      </c>
      <c r="K67" s="34">
        <f t="shared" si="27"/>
        <v>3.0722164428296033</v>
      </c>
      <c r="L67" s="34">
        <f t="shared" si="27"/>
        <v>3.2617670627885236</v>
      </c>
      <c r="M67" s="34">
        <f t="shared" si="27"/>
        <v>3.4521928835198592</v>
      </c>
      <c r="N67" s="34">
        <f t="shared" si="27"/>
        <v>3.643358188998544</v>
      </c>
      <c r="O67" s="34">
        <f t="shared" si="27"/>
        <v>3.8376844840882689</v>
      </c>
      <c r="P67" s="34">
        <f t="shared" si="27"/>
        <v>4.0197549663749186</v>
      </c>
      <c r="Q67" s="34">
        <f t="shared" si="27"/>
        <v>4.1927518643483586</v>
      </c>
      <c r="R67" s="34">
        <f t="shared" si="27"/>
        <v>4.3549782242374411</v>
      </c>
      <c r="S67" s="34">
        <f t="shared" si="27"/>
        <v>4.5102721646426431</v>
      </c>
      <c r="T67" s="34">
        <f t="shared" si="27"/>
        <v>4.6576855199603715</v>
      </c>
      <c r="U67" s="34">
        <f t="shared" si="27"/>
        <v>4.7964214531538936</v>
      </c>
      <c r="V67" s="34">
        <f t="shared" si="27"/>
        <v>4.9250431476025973</v>
      </c>
      <c r="W67" s="34">
        <f t="shared" si="27"/>
        <v>5.0507210654501851</v>
      </c>
    </row>
    <row r="68" spans="2:23" outlineLevel="1" x14ac:dyDescent="0.2">
      <c r="B68" s="79" t="s">
        <v>116</v>
      </c>
      <c r="C68" s="34"/>
      <c r="D68" s="34">
        <f t="shared" ref="D68:W68" si="28">-C56*(D23/100)*(1/(1+D32/100))</f>
        <v>-2.6292855605448602</v>
      </c>
      <c r="E68" s="34">
        <f t="shared" si="28"/>
        <v>-0.74150728760413609</v>
      </c>
      <c r="F68" s="34">
        <f t="shared" si="28"/>
        <v>-0.77864258776474582</v>
      </c>
      <c r="G68" s="34">
        <f t="shared" si="28"/>
        <v>-1.7293565956208126</v>
      </c>
      <c r="H68" s="34">
        <f t="shared" si="28"/>
        <v>-0.63972069005763443</v>
      </c>
      <c r="I68" s="34">
        <f t="shared" si="28"/>
        <v>-0.42508007233874512</v>
      </c>
      <c r="J68" s="34">
        <f t="shared" si="28"/>
        <v>-0.35917763980091699</v>
      </c>
      <c r="K68" s="34">
        <f t="shared" si="28"/>
        <v>-0.40543217155044409</v>
      </c>
      <c r="L68" s="34">
        <f t="shared" si="28"/>
        <v>-0.42538076263460722</v>
      </c>
      <c r="M68" s="34">
        <f t="shared" si="28"/>
        <v>-0.46303325761549624</v>
      </c>
      <c r="N68" s="34">
        <f t="shared" si="28"/>
        <v>-0.5107338991799184</v>
      </c>
      <c r="O68" s="34">
        <f t="shared" si="28"/>
        <v>-0.49889682088572329</v>
      </c>
      <c r="P68" s="34">
        <f t="shared" si="28"/>
        <v>-0.75346467052459609</v>
      </c>
      <c r="Q68" s="34">
        <f t="shared" si="28"/>
        <v>-1.0174878681646358</v>
      </c>
      <c r="R68" s="34">
        <f t="shared" si="28"/>
        <v>-1.2899684341735889</v>
      </c>
      <c r="S68" s="34">
        <f t="shared" si="28"/>
        <v>-1.4574652517412277</v>
      </c>
      <c r="T68" s="34">
        <f t="shared" si="28"/>
        <v>-1.6719532913174913</v>
      </c>
      <c r="U68" s="34">
        <f t="shared" si="28"/>
        <v>-1.9206011862905781</v>
      </c>
      <c r="V68" s="34">
        <f t="shared" si="28"/>
        <v>-2.2156124447886989</v>
      </c>
      <c r="W68" s="34">
        <f t="shared" si="28"/>
        <v>-2.2920895666370424</v>
      </c>
    </row>
    <row r="69" spans="2:23" outlineLevel="1" x14ac:dyDescent="0.2">
      <c r="B69" s="79" t="s">
        <v>117</v>
      </c>
      <c r="C69" s="34"/>
      <c r="D69" s="34">
        <f>-C56*D41/100*(1/(1+D41/100))</f>
        <v>-3.2342479962921198</v>
      </c>
      <c r="E69" s="34">
        <f t="shared" ref="E69:T69" si="29">-D56*E41/100*(1/(1+E41/100))</f>
        <v>-5.8067720664528109</v>
      </c>
      <c r="F69" s="34">
        <f>-E56*F41/100*(1/(1+F41/100))</f>
        <v>-2.9802260447603599</v>
      </c>
      <c r="G69" s="34">
        <f>-F56*G41/100*(1/(1+G41/100))</f>
        <v>-2.2491919522042716</v>
      </c>
      <c r="H69" s="34">
        <f t="shared" si="29"/>
        <v>-2.3431051797905718</v>
      </c>
      <c r="I69" s="34">
        <f t="shared" si="29"/>
        <v>-2.4631004182477549</v>
      </c>
      <c r="J69" s="34">
        <f t="shared" si="29"/>
        <v>-2.5941459027903999</v>
      </c>
      <c r="K69" s="34">
        <f t="shared" si="29"/>
        <v>-2.7319491319331402</v>
      </c>
      <c r="L69" s="34">
        <f t="shared" si="29"/>
        <v>-2.8726931539534508</v>
      </c>
      <c r="M69" s="34">
        <f t="shared" si="29"/>
        <v>-3.0172013750321276</v>
      </c>
      <c r="N69" s="34">
        <f t="shared" si="29"/>
        <v>-3.1650065265706275</v>
      </c>
      <c r="O69" s="34">
        <f t="shared" si="29"/>
        <v>-3.3161792998242574</v>
      </c>
      <c r="P69" s="34">
        <f t="shared" si="29"/>
        <v>-3.3550922614645655</v>
      </c>
      <c r="Q69" s="34">
        <f t="shared" si="29"/>
        <v>-3.3908447055122224</v>
      </c>
      <c r="R69" s="34">
        <f t="shared" si="29"/>
        <v>-3.4218866599028352</v>
      </c>
      <c r="S69" s="34">
        <f t="shared" si="29"/>
        <v>-3.4480698425333576</v>
      </c>
      <c r="T69" s="34">
        <f t="shared" si="29"/>
        <v>-3.4720079127169554</v>
      </c>
      <c r="U69" s="34">
        <f t="shared" ref="U69" si="30">-T56*U41/100*(1/(1+U41/100))</f>
        <v>-3.4924860041942081</v>
      </c>
      <c r="V69" s="34">
        <f t="shared" ref="V69" si="31">-U56*V41/100*(1/(1+V41/100))</f>
        <v>-3.508563201696731</v>
      </c>
      <c r="W69" s="34">
        <f t="shared" ref="W69" si="32">-V56*W41/100*(1/(1+W41/100))</f>
        <v>-3.518879351954407</v>
      </c>
    </row>
    <row r="70" spans="2:23" outlineLevel="1" x14ac:dyDescent="0.2">
      <c r="B70" s="79" t="s">
        <v>118</v>
      </c>
      <c r="C70" s="49"/>
      <c r="D70" s="49">
        <v>-7.9279375553298337E-7</v>
      </c>
      <c r="E70" s="49">
        <v>-4.5811953164331953E-7</v>
      </c>
      <c r="F70" s="49">
        <v>4.1434852549038226E-7</v>
      </c>
      <c r="G70" s="49">
        <v>-6.7735291420234489E-7</v>
      </c>
      <c r="H70" s="49">
        <v>0</v>
      </c>
      <c r="I70" s="49">
        <v>0</v>
      </c>
      <c r="J70" s="49">
        <v>0</v>
      </c>
      <c r="K70" s="49">
        <v>0</v>
      </c>
      <c r="L70" s="49">
        <v>0</v>
      </c>
      <c r="M70" s="49">
        <v>0</v>
      </c>
      <c r="N70" s="49">
        <v>0</v>
      </c>
      <c r="O70" s="49">
        <v>0</v>
      </c>
      <c r="P70" s="49">
        <v>0</v>
      </c>
      <c r="Q70" s="49">
        <v>0</v>
      </c>
      <c r="R70" s="49">
        <v>0</v>
      </c>
      <c r="S70" s="49">
        <v>0</v>
      </c>
      <c r="T70" s="49">
        <v>0</v>
      </c>
      <c r="U70" s="49">
        <v>0</v>
      </c>
      <c r="V70" s="49">
        <v>0</v>
      </c>
      <c r="W70" s="49">
        <v>0</v>
      </c>
    </row>
    <row r="71" spans="2:23" outlineLevel="1" x14ac:dyDescent="0.2">
      <c r="B71" s="84" t="s">
        <v>119</v>
      </c>
      <c r="C71" s="50"/>
      <c r="D71" s="50">
        <f>'Input data'!D16</f>
        <v>4.26056E-2</v>
      </c>
      <c r="E71" s="50">
        <f>'Input data'!E16</f>
        <v>-0.21881439999999999</v>
      </c>
      <c r="F71" s="50">
        <f>'Input data'!F16</f>
        <v>0.2108082</v>
      </c>
      <c r="G71" s="50">
        <f>'Input data'!G16</f>
        <v>3.1290600000000002E-2</v>
      </c>
      <c r="H71" s="50">
        <f>'Input data'!H16</f>
        <v>0</v>
      </c>
      <c r="I71" s="50">
        <f>'Input data'!I16</f>
        <v>0</v>
      </c>
      <c r="J71" s="50">
        <f>'Input data'!J16</f>
        <v>0</v>
      </c>
      <c r="K71" s="50">
        <f>'Input data'!K16</f>
        <v>0</v>
      </c>
      <c r="L71" s="50">
        <f>'Input data'!L16</f>
        <v>0</v>
      </c>
      <c r="M71" s="50">
        <f>'Input data'!M16</f>
        <v>0</v>
      </c>
      <c r="N71" s="50">
        <f>'Input data'!N16</f>
        <v>0</v>
      </c>
      <c r="O71" s="50">
        <f>'Input data'!O16</f>
        <v>0</v>
      </c>
      <c r="P71" s="50">
        <f>'Input data'!P16</f>
        <v>0</v>
      </c>
      <c r="Q71" s="50">
        <f>'Input data'!Q16</f>
        <v>0</v>
      </c>
      <c r="R71" s="50">
        <f>'Input data'!R16</f>
        <v>0</v>
      </c>
      <c r="S71" s="50">
        <f>'Input data'!S16</f>
        <v>0</v>
      </c>
      <c r="T71" s="50">
        <f>'Input data'!T16</f>
        <v>0</v>
      </c>
      <c r="U71" s="50">
        <f>'Input data'!U16</f>
        <v>0</v>
      </c>
      <c r="V71" s="50">
        <f>'Input data'!V16</f>
        <v>0</v>
      </c>
      <c r="W71" s="50">
        <f>'Input data'!W16</f>
        <v>0</v>
      </c>
    </row>
    <row r="72" spans="2:23" outlineLevel="1" x14ac:dyDescent="0.2">
      <c r="B72" s="79" t="s">
        <v>120</v>
      </c>
      <c r="C72" s="34"/>
      <c r="D72" s="34">
        <f t="shared" ref="D72:W72" si="33">D14</f>
        <v>4.2606100000000001E-2</v>
      </c>
      <c r="E72" s="34">
        <f t="shared" si="33"/>
        <v>-0.21881729999999999</v>
      </c>
      <c r="F72" s="34">
        <f t="shared" si="33"/>
        <v>0.21081169999999999</v>
      </c>
      <c r="G72" s="34">
        <f t="shared" si="33"/>
        <v>3.1292399999999998E-2</v>
      </c>
      <c r="H72" s="34">
        <f>H14</f>
        <v>0</v>
      </c>
      <c r="I72" s="34">
        <f t="shared" si="33"/>
        <v>0</v>
      </c>
      <c r="J72" s="34">
        <f t="shared" si="33"/>
        <v>0</v>
      </c>
      <c r="K72" s="34">
        <f t="shared" si="33"/>
        <v>0</v>
      </c>
      <c r="L72" s="34">
        <f t="shared" si="33"/>
        <v>0</v>
      </c>
      <c r="M72" s="34">
        <f t="shared" si="33"/>
        <v>0</v>
      </c>
      <c r="N72" s="34">
        <f t="shared" si="33"/>
        <v>0</v>
      </c>
      <c r="O72" s="34">
        <f t="shared" si="33"/>
        <v>0</v>
      </c>
      <c r="P72" s="34">
        <f t="shared" si="33"/>
        <v>0</v>
      </c>
      <c r="Q72" s="34">
        <f t="shared" si="33"/>
        <v>0</v>
      </c>
      <c r="R72" s="34">
        <f t="shared" si="33"/>
        <v>0</v>
      </c>
      <c r="S72" s="34">
        <f t="shared" si="33"/>
        <v>0</v>
      </c>
      <c r="T72" s="34">
        <f t="shared" si="33"/>
        <v>0</v>
      </c>
      <c r="U72" s="34">
        <f t="shared" si="33"/>
        <v>0</v>
      </c>
      <c r="V72" s="34">
        <f t="shared" si="33"/>
        <v>0</v>
      </c>
      <c r="W72" s="34">
        <f t="shared" si="33"/>
        <v>0</v>
      </c>
    </row>
    <row r="73" spans="2:23" outlineLevel="1" x14ac:dyDescent="0.2">
      <c r="B73" s="89" t="s">
        <v>121</v>
      </c>
      <c r="C73" s="49"/>
      <c r="D73" s="49">
        <f>+D71-D72</f>
        <v>-5.0000000000050004E-7</v>
      </c>
      <c r="E73" s="49">
        <f t="shared" ref="E73:T73" si="34">+E71-E72</f>
        <v>2.9000000000001247E-6</v>
      </c>
      <c r="F73" s="49">
        <f>+F71-F72</f>
        <v>-3.4999999999896225E-6</v>
      </c>
      <c r="G73" s="49">
        <f t="shared" si="34"/>
        <v>-1.799999999996249E-6</v>
      </c>
      <c r="H73" s="49">
        <f t="shared" si="34"/>
        <v>0</v>
      </c>
      <c r="I73" s="49">
        <f t="shared" si="34"/>
        <v>0</v>
      </c>
      <c r="J73" s="49">
        <f t="shared" si="34"/>
        <v>0</v>
      </c>
      <c r="K73" s="49">
        <f t="shared" si="34"/>
        <v>0</v>
      </c>
      <c r="L73" s="49">
        <f t="shared" si="34"/>
        <v>0</v>
      </c>
      <c r="M73" s="49">
        <f t="shared" si="34"/>
        <v>0</v>
      </c>
      <c r="N73" s="49">
        <f t="shared" si="34"/>
        <v>0</v>
      </c>
      <c r="O73" s="49">
        <f t="shared" si="34"/>
        <v>0</v>
      </c>
      <c r="P73" s="49">
        <f t="shared" si="34"/>
        <v>0</v>
      </c>
      <c r="Q73" s="49">
        <f t="shared" si="34"/>
        <v>0</v>
      </c>
      <c r="R73" s="49">
        <f t="shared" si="34"/>
        <v>0</v>
      </c>
      <c r="S73" s="49">
        <f t="shared" si="34"/>
        <v>0</v>
      </c>
      <c r="T73" s="49">
        <f t="shared" si="34"/>
        <v>0</v>
      </c>
      <c r="U73" s="49">
        <f t="shared" ref="U73:W73" si="35">+U71-U72</f>
        <v>0</v>
      </c>
      <c r="V73" s="49">
        <f t="shared" si="35"/>
        <v>0</v>
      </c>
      <c r="W73" s="49">
        <f t="shared" si="35"/>
        <v>0</v>
      </c>
    </row>
    <row r="74" spans="2:23" outlineLevel="1" x14ac:dyDescent="0.2">
      <c r="B74" s="79"/>
      <c r="C74" s="34"/>
      <c r="D74" s="34"/>
      <c r="E74" s="34"/>
      <c r="F74" s="34"/>
      <c r="G74" s="34"/>
      <c r="H74" s="34"/>
      <c r="I74" s="34"/>
      <c r="J74" s="34"/>
      <c r="K74" s="34"/>
      <c r="L74" s="34"/>
      <c r="M74" s="34"/>
      <c r="N74" s="34"/>
      <c r="O74" s="34"/>
      <c r="P74" s="34"/>
      <c r="Q74" s="34"/>
      <c r="R74" s="34"/>
      <c r="S74" s="34"/>
      <c r="T74" s="34"/>
      <c r="U74" s="34"/>
      <c r="V74" s="34"/>
      <c r="W74" s="34"/>
    </row>
    <row r="75" spans="2:23" ht="10.5" customHeight="1" outlineLevel="1" x14ac:dyDescent="0.2">
      <c r="B75" s="91" t="s">
        <v>122</v>
      </c>
    </row>
    <row r="76" spans="2:23" x14ac:dyDescent="0.2">
      <c r="B76" s="77" t="s">
        <v>41</v>
      </c>
      <c r="C76" s="77"/>
      <c r="D76" s="78">
        <f>D58-D67</f>
        <v>-4.7657957752529425</v>
      </c>
      <c r="E76" s="78">
        <f t="shared" ref="E76:T76" si="36">E58-E67</f>
        <v>-5.4921950870375849</v>
      </c>
      <c r="F76" s="78">
        <f t="shared" si="36"/>
        <v>-5.3136138497524072</v>
      </c>
      <c r="G76" s="78">
        <f t="shared" si="36"/>
        <v>-5.1777578586793744</v>
      </c>
      <c r="H76" s="78">
        <f t="shared" si="36"/>
        <v>-5.3754111038305723</v>
      </c>
      <c r="I76" s="78">
        <f t="shared" si="36"/>
        <v>-5.6574702385218139</v>
      </c>
      <c r="J76" s="78">
        <f t="shared" si="36"/>
        <v>-5.877705176162376</v>
      </c>
      <c r="K76" s="78">
        <f t="shared" si="36"/>
        <v>-6.0392797964719893</v>
      </c>
      <c r="L76" s="78">
        <f t="shared" si="36"/>
        <v>-6.2142963236130306</v>
      </c>
      <c r="M76" s="78">
        <f t="shared" si="36"/>
        <v>-6.3907118177395468</v>
      </c>
      <c r="N76" s="78">
        <f t="shared" si="36"/>
        <v>-6.5839911113519287</v>
      </c>
      <c r="O76" s="78">
        <f t="shared" si="36"/>
        <v>-6.8143728119672948</v>
      </c>
      <c r="P76" s="78">
        <f t="shared" si="36"/>
        <v>-7.043278013815673</v>
      </c>
      <c r="Q76" s="78">
        <f t="shared" si="36"/>
        <v>-7.2120591980138933</v>
      </c>
      <c r="R76" s="78">
        <f t="shared" si="36"/>
        <v>-7.3740919961771265</v>
      </c>
      <c r="S76" s="78">
        <f t="shared" si="36"/>
        <v>-7.5325617895774482</v>
      </c>
      <c r="T76" s="78">
        <f t="shared" si="36"/>
        <v>-7.6824847356192425</v>
      </c>
      <c r="U76" s="78">
        <f t="shared" ref="U76:W76" si="37">U58-U67</f>
        <v>-7.8192790122869908</v>
      </c>
      <c r="V76" s="78">
        <f t="shared" si="37"/>
        <v>-7.9337701892195645</v>
      </c>
      <c r="W76" s="78">
        <f t="shared" si="37"/>
        <v>-8.0977927253129565</v>
      </c>
    </row>
    <row r="77" spans="2:23" x14ac:dyDescent="0.2">
      <c r="B77" s="26" t="s">
        <v>42</v>
      </c>
      <c r="D77" s="34">
        <f>D59-D67-D63-D64-D65</f>
        <v>-4.9126543496307358</v>
      </c>
      <c r="E77" s="34">
        <f>E59-E67-E63-E64-E65</f>
        <v>-5.3768388121764783</v>
      </c>
      <c r="F77" s="34">
        <f t="shared" ref="F77:W77" si="38">F59-F67-F63-F64-F65</f>
        <v>-5.0042502181765798</v>
      </c>
      <c r="G77" s="34">
        <f t="shared" si="38"/>
        <v>-5.2419663251780015</v>
      </c>
      <c r="H77" s="34">
        <f t="shared" si="38"/>
        <v>-5.4382225348694648</v>
      </c>
      <c r="I77" s="34">
        <f t="shared" si="38"/>
        <v>-5.6784009662071799</v>
      </c>
      <c r="J77" s="34">
        <f t="shared" si="38"/>
        <v>-5.8776992015147682</v>
      </c>
      <c r="K77" s="34">
        <f t="shared" si="38"/>
        <v>-6.0392729428296033</v>
      </c>
      <c r="L77" s="34">
        <f t="shared" si="38"/>
        <v>-6.2142906627885228</v>
      </c>
      <c r="M77" s="34">
        <f t="shared" si="38"/>
        <v>-6.390703583519862</v>
      </c>
      <c r="N77" s="34">
        <f t="shared" si="38"/>
        <v>-6.5839858889985452</v>
      </c>
      <c r="O77" s="34">
        <f t="shared" si="38"/>
        <v>-6.8143692840882721</v>
      </c>
      <c r="P77" s="34">
        <f t="shared" si="38"/>
        <v>-7.0432768663749217</v>
      </c>
      <c r="Q77" s="34">
        <f t="shared" si="38"/>
        <v>-7.2120608643483628</v>
      </c>
      <c r="R77" s="34">
        <f t="shared" si="38"/>
        <v>-7.3740942242374423</v>
      </c>
      <c r="S77" s="34">
        <f t="shared" si="38"/>
        <v>-7.532565264642642</v>
      </c>
      <c r="T77" s="34">
        <f t="shared" si="38"/>
        <v>-7.6824857199603738</v>
      </c>
      <c r="U77" s="34">
        <f t="shared" si="38"/>
        <v>-7.8192787531538954</v>
      </c>
      <c r="V77" s="34">
        <f t="shared" si="38"/>
        <v>-7.9337674476025972</v>
      </c>
      <c r="W77" s="34">
        <f t="shared" si="38"/>
        <v>-8.0977924654501816</v>
      </c>
    </row>
    <row r="78" spans="2:23" x14ac:dyDescent="0.2">
      <c r="B78" s="35" t="s">
        <v>123</v>
      </c>
      <c r="C78" s="35"/>
      <c r="D78" s="285">
        <f>'Input data'!D45</f>
        <v>8.0562923137678624</v>
      </c>
      <c r="E78" s="285">
        <f>'Input data'!E45</f>
        <v>5.8829133991626774</v>
      </c>
      <c r="F78" s="285">
        <f>'Input data'!F45</f>
        <v>1.7503158678944781</v>
      </c>
      <c r="G78" s="49">
        <f>'Input data'!G33+G41-(G$12-F$12)/'Input data'!$C$64*100</f>
        <v>3.042287</v>
      </c>
      <c r="H78" s="49">
        <f>'Input data'!H33+H41-(H$12-G$12)/'Input data'!$C$64*100</f>
        <v>2.7335046749999998</v>
      </c>
      <c r="I78" s="49">
        <f>'Input data'!I33+I41-(I$12-H$12)/'Input data'!$C$64*100</f>
        <v>2.6112218500000002</v>
      </c>
      <c r="J78" s="49">
        <f>'Input data'!J33+J41-(J$12-I$12)/'Input data'!$C$64*100</f>
        <v>2.5757265250000003</v>
      </c>
      <c r="K78" s="49">
        <f>'Input data'!K33+K41-(K$12-J$12)/'Input data'!$C$64*100</f>
        <v>2.6377622999999999</v>
      </c>
      <c r="L78" s="49">
        <f>'Input data'!L33+L41-(L$12-K$12)/'Input data'!$C$64*100</f>
        <v>2.7100068749999999</v>
      </c>
      <c r="M78" s="49">
        <f>'Input data'!M33+M41-(M$12-L$12)/'Input data'!$C$64*100</f>
        <v>2.7961662499999997</v>
      </c>
      <c r="N78" s="49">
        <f>'Input data'!N33+N41-(N$12-M$12)/'Input data'!$C$64*100</f>
        <v>2.8893203249999999</v>
      </c>
      <c r="O78" s="49">
        <f>'Input data'!O33+O41-(O$12-N$12)/'Input data'!$C$64*100</f>
        <v>2.9351049999999996</v>
      </c>
      <c r="P78" s="49">
        <f>'Input data'!P33+P41-(P$12-O$12)/'Input data'!$C$64*100</f>
        <v>3.0922101</v>
      </c>
      <c r="Q78" s="49">
        <f>'Input data'!Q33+Q41-(Q$12-P$12)/'Input data'!$C$64*100</f>
        <v>3.2493153999999995</v>
      </c>
      <c r="R78" s="49">
        <f>'Input data'!R33+R41-(R$12-Q$12)/'Input data'!$C$64*100</f>
        <v>3.4064205999999997</v>
      </c>
      <c r="S78" s="49">
        <f>'Input data'!S33+S41-(S$12-R$12)/'Input data'!$C$64*100</f>
        <v>3.48211</v>
      </c>
      <c r="T78" s="49">
        <f>'Input data'!T33+T41-(T$12-S$12)/'Input data'!$C$64*100</f>
        <v>3.5879039999999995</v>
      </c>
      <c r="U78" s="49">
        <f>'Input data'!U33+U41-(U$12-T$12)/'Input data'!$C$64*100</f>
        <v>3.7140009999999997</v>
      </c>
      <c r="V78" s="49">
        <f>'Input data'!V33+V41-(V$12-U$12)/'Input data'!$C$64*100</f>
        <v>3.8687329999999998</v>
      </c>
      <c r="W78" s="49">
        <f>'Input data'!W33+W41-(W$12-V$12)/'Input data'!$C$64*100</f>
        <v>3.8710750000000003</v>
      </c>
    </row>
    <row r="79" spans="2:23" x14ac:dyDescent="0.2">
      <c r="D79" s="34"/>
      <c r="E79" s="34"/>
      <c r="F79" s="34"/>
      <c r="G79" s="34"/>
      <c r="H79" s="34"/>
      <c r="I79" s="34"/>
      <c r="J79" s="34"/>
      <c r="K79" s="34"/>
      <c r="L79" s="34"/>
      <c r="M79" s="34"/>
      <c r="N79" s="34"/>
      <c r="O79" s="34"/>
      <c r="P79" s="34"/>
      <c r="Q79" s="34"/>
      <c r="R79" s="34"/>
      <c r="S79" s="34"/>
      <c r="T79" s="34"/>
      <c r="U79" s="34"/>
      <c r="V79" s="34"/>
      <c r="W79" s="34"/>
    </row>
    <row r="80" spans="2:23" x14ac:dyDescent="0.2">
      <c r="D80" s="53"/>
    </row>
    <row r="81" spans="2:23" s="93" customFormat="1" ht="12.75" outlineLevel="1" x14ac:dyDescent="0.2">
      <c r="B81" s="94" t="s">
        <v>124</v>
      </c>
      <c r="C81" s="95"/>
      <c r="E81" s="96"/>
      <c r="F81" s="95"/>
    </row>
    <row r="82" spans="2:23" x14ac:dyDescent="0.2">
      <c r="C82" s="34"/>
      <c r="D82" s="34"/>
      <c r="E82" s="34"/>
      <c r="F82" s="34"/>
      <c r="G82" s="34"/>
      <c r="H82" s="34"/>
      <c r="I82" s="34"/>
      <c r="J82" s="34"/>
      <c r="K82" s="34"/>
      <c r="L82" s="34"/>
      <c r="M82" s="34"/>
      <c r="N82" s="34"/>
      <c r="O82" s="34"/>
      <c r="P82" s="34"/>
      <c r="Q82" s="34"/>
      <c r="R82" s="34"/>
      <c r="S82" s="34"/>
      <c r="T82" s="34"/>
      <c r="U82" s="34"/>
      <c r="V82" s="34"/>
      <c r="W82" s="34"/>
    </row>
    <row r="83" spans="2:23" x14ac:dyDescent="0.2">
      <c r="B83" s="26" t="s">
        <v>125</v>
      </c>
      <c r="D83" s="29">
        <f t="shared" ref="D83:W83" si="39">IF((D87-C87*D42/((1+D23/100)*(1+D41/100)))&gt;0,1,0)</f>
        <v>1</v>
      </c>
      <c r="E83" s="29">
        <f t="shared" si="39"/>
        <v>1</v>
      </c>
      <c r="F83" s="29">
        <f t="shared" si="39"/>
        <v>1</v>
      </c>
      <c r="G83" s="29">
        <f t="shared" si="39"/>
        <v>1</v>
      </c>
      <c r="H83" s="29">
        <f t="shared" si="39"/>
        <v>1</v>
      </c>
      <c r="I83" s="29">
        <f t="shared" si="39"/>
        <v>1</v>
      </c>
      <c r="J83" s="29">
        <f t="shared" si="39"/>
        <v>1</v>
      </c>
      <c r="K83" s="29">
        <f t="shared" si="39"/>
        <v>1</v>
      </c>
      <c r="L83" s="29">
        <f t="shared" si="39"/>
        <v>1</v>
      </c>
      <c r="M83" s="29">
        <f t="shared" si="39"/>
        <v>1</v>
      </c>
      <c r="N83" s="29">
        <f t="shared" si="39"/>
        <v>1</v>
      </c>
      <c r="O83" s="29">
        <f t="shared" si="39"/>
        <v>1</v>
      </c>
      <c r="P83" s="29">
        <f t="shared" si="39"/>
        <v>1</v>
      </c>
      <c r="Q83" s="29">
        <f t="shared" si="39"/>
        <v>1</v>
      </c>
      <c r="R83" s="29">
        <f t="shared" si="39"/>
        <v>1</v>
      </c>
      <c r="S83" s="29">
        <f t="shared" si="39"/>
        <v>1</v>
      </c>
      <c r="T83" s="29">
        <f t="shared" si="39"/>
        <v>1</v>
      </c>
      <c r="U83" s="29">
        <f t="shared" si="39"/>
        <v>1</v>
      </c>
      <c r="V83" s="29">
        <f t="shared" si="39"/>
        <v>1</v>
      </c>
      <c r="W83" s="29">
        <f t="shared" si="39"/>
        <v>1</v>
      </c>
    </row>
    <row r="84" spans="2:23" x14ac:dyDescent="0.2">
      <c r="B84" s="26" t="s">
        <v>126</v>
      </c>
      <c r="D84" s="29">
        <f t="shared" ref="D84:W84" si="40">IF(AND(D83=0,ABS(D87-C87*D42/((1+D23/100)*(1+D41/100)))&lt;((C93*C87*D42/((1+D23/100)*(1+D41/100))+(D38*C87*C94*D42/((1+D23/100)*(1+D41/100)))))),1,0)</f>
        <v>0</v>
      </c>
      <c r="E84" s="29">
        <f t="shared" si="40"/>
        <v>0</v>
      </c>
      <c r="F84" s="29">
        <f t="shared" si="40"/>
        <v>0</v>
      </c>
      <c r="G84" s="29">
        <f t="shared" si="40"/>
        <v>0</v>
      </c>
      <c r="H84" s="29">
        <f t="shared" si="40"/>
        <v>0</v>
      </c>
      <c r="I84" s="29">
        <f t="shared" si="40"/>
        <v>0</v>
      </c>
      <c r="J84" s="29">
        <f t="shared" si="40"/>
        <v>0</v>
      </c>
      <c r="K84" s="29">
        <f t="shared" si="40"/>
        <v>0</v>
      </c>
      <c r="L84" s="29">
        <f t="shared" si="40"/>
        <v>0</v>
      </c>
      <c r="M84" s="29">
        <f t="shared" si="40"/>
        <v>0</v>
      </c>
      <c r="N84" s="29">
        <f t="shared" si="40"/>
        <v>0</v>
      </c>
      <c r="O84" s="29">
        <f t="shared" si="40"/>
        <v>0</v>
      </c>
      <c r="P84" s="29">
        <f t="shared" si="40"/>
        <v>0</v>
      </c>
      <c r="Q84" s="29">
        <f t="shared" si="40"/>
        <v>0</v>
      </c>
      <c r="R84" s="29">
        <f t="shared" si="40"/>
        <v>0</v>
      </c>
      <c r="S84" s="29">
        <f t="shared" si="40"/>
        <v>0</v>
      </c>
      <c r="T84" s="29">
        <f t="shared" si="40"/>
        <v>0</v>
      </c>
      <c r="U84" s="29">
        <f t="shared" si="40"/>
        <v>0</v>
      </c>
      <c r="V84" s="29">
        <f t="shared" si="40"/>
        <v>0</v>
      </c>
      <c r="W84" s="29">
        <f t="shared" si="40"/>
        <v>0</v>
      </c>
    </row>
    <row r="86" spans="2:23" x14ac:dyDescent="0.2">
      <c r="B86" s="51"/>
      <c r="C86" s="86">
        <v>2021</v>
      </c>
      <c r="D86" s="86">
        <v>2022</v>
      </c>
      <c r="E86" s="86">
        <v>2023</v>
      </c>
      <c r="F86" s="86">
        <v>2024</v>
      </c>
      <c r="G86" s="86">
        <v>2025</v>
      </c>
      <c r="H86" s="86">
        <v>2026</v>
      </c>
      <c r="I86" s="86">
        <v>2027</v>
      </c>
      <c r="J86" s="86">
        <v>2028</v>
      </c>
      <c r="K86" s="86">
        <v>2029</v>
      </c>
      <c r="L86" s="86">
        <v>2030</v>
      </c>
      <c r="M86" s="86">
        <v>2031</v>
      </c>
      <c r="N86" s="86">
        <v>2032</v>
      </c>
      <c r="O86" s="86">
        <v>2033</v>
      </c>
      <c r="P86" s="86">
        <v>2034</v>
      </c>
      <c r="Q86" s="86">
        <v>2035</v>
      </c>
      <c r="R86" s="86">
        <v>2036</v>
      </c>
      <c r="S86" s="86">
        <v>2037</v>
      </c>
      <c r="T86" s="86">
        <v>2038</v>
      </c>
      <c r="U86" s="86">
        <v>2039</v>
      </c>
      <c r="V86" s="86">
        <v>2040</v>
      </c>
      <c r="W86" s="86">
        <v>2041</v>
      </c>
    </row>
    <row r="87" spans="2:23" x14ac:dyDescent="0.2">
      <c r="B87" s="106" t="s">
        <v>104</v>
      </c>
      <c r="C87" s="110">
        <f>C56</f>
        <v>112.97329999999999</v>
      </c>
      <c r="D87" s="110">
        <f>D56</f>
        <v>111.9181670256222</v>
      </c>
      <c r="E87" s="110">
        <f>E56</f>
        <v>110.64326790048331</v>
      </c>
      <c r="F87" s="110">
        <f>F56</f>
        <v>112.40882173205914</v>
      </c>
      <c r="G87" s="110">
        <f>G56</f>
        <v>113.63932096556051</v>
      </c>
      <c r="H87" s="110">
        <f t="shared" ref="H87:W87" si="41">G87*(1+H101/100)*H42-H59-H60+H61+H62+H63+H64+H65+H71</f>
        <v>116.03190619954289</v>
      </c>
      <c r="I87" s="110">
        <f t="shared" si="41"/>
        <v>118.80119594747821</v>
      </c>
      <c r="J87" s="110">
        <f t="shared" si="41"/>
        <v>121.72557758104924</v>
      </c>
      <c r="K87" s="110">
        <f t="shared" si="41"/>
        <v>124.62747607403766</v>
      </c>
      <c r="L87" s="110">
        <f t="shared" si="41"/>
        <v>127.54369848106265</v>
      </c>
      <c r="M87" s="110">
        <f t="shared" si="41"/>
        <v>130.45417566615461</v>
      </c>
      <c r="N87" s="110">
        <f t="shared" si="41"/>
        <v>133.36242635175597</v>
      </c>
      <c r="O87" s="110">
        <f t="shared" si="41"/>
        <v>136.36172304301326</v>
      </c>
      <c r="P87" s="110">
        <f t="shared" si="41"/>
        <v>139.29644412483975</v>
      </c>
      <c r="Q87" s="110">
        <f t="shared" si="41"/>
        <v>142.10017074917681</v>
      </c>
      <c r="R87" s="110">
        <f t="shared" si="41"/>
        <v>144.76240765127753</v>
      </c>
      <c r="S87" s="110">
        <f t="shared" si="41"/>
        <v>147.38943434658037</v>
      </c>
      <c r="T87" s="110">
        <f t="shared" si="41"/>
        <v>149.92795787816519</v>
      </c>
      <c r="U87" s="110">
        <f t="shared" si="41"/>
        <v>152.33414969996738</v>
      </c>
      <c r="V87" s="110">
        <f t="shared" si="41"/>
        <v>154.54374424270154</v>
      </c>
      <c r="W87" s="110">
        <f t="shared" si="41"/>
        <v>156.83056804942302</v>
      </c>
    </row>
    <row r="88" spans="2:23" x14ac:dyDescent="0.2">
      <c r="B88" s="26" t="s">
        <v>127</v>
      </c>
      <c r="C88" s="34"/>
      <c r="D88" s="254">
        <f>'Input data'!C66*$D$87</f>
        <v>88.101484042716237</v>
      </c>
      <c r="E88" s="34">
        <f t="shared" ref="E88:W88" si="42">IF(E87=0,0,IF(E83=1,D87*E42/((1+E23/100)*(1+E41/100))-E89-E90,IF(AND(E83=0,E84=1),(1-D93-E38*D94)*D87*E42/((1+E23/100)*(1+E41/100)),E87)))</f>
        <v>86.822089359001311</v>
      </c>
      <c r="F88" s="34">
        <f t="shared" si="42"/>
        <v>88.105043933307712</v>
      </c>
      <c r="G88" s="34">
        <f t="shared" si="42"/>
        <v>89.366405698247817</v>
      </c>
      <c r="H88" s="34">
        <f t="shared" si="42"/>
        <v>91.184507847738146</v>
      </c>
      <c r="I88" s="34">
        <f t="shared" si="42"/>
        <v>93.215949548246655</v>
      </c>
      <c r="J88" s="34">
        <f t="shared" si="42"/>
        <v>95.424699145325377</v>
      </c>
      <c r="K88" s="34">
        <f t="shared" si="42"/>
        <v>97.661369254209433</v>
      </c>
      <c r="L88" s="34">
        <f t="shared" si="42"/>
        <v>99.896557519645256</v>
      </c>
      <c r="M88" s="34">
        <f t="shared" si="42"/>
        <v>102.12367318515031</v>
      </c>
      <c r="N88" s="34">
        <f t="shared" si="42"/>
        <v>104.33285676307428</v>
      </c>
      <c r="O88" s="34">
        <f t="shared" si="42"/>
        <v>106.58423536094368</v>
      </c>
      <c r="P88" s="34">
        <f t="shared" si="42"/>
        <v>108.83449366409204</v>
      </c>
      <c r="Q88" s="34">
        <f t="shared" si="42"/>
        <v>111.02645165601216</v>
      </c>
      <c r="R88" s="34">
        <f t="shared" si="42"/>
        <v>113.10727290731029</v>
      </c>
      <c r="S88" s="34">
        <f t="shared" si="42"/>
        <v>115.1617661582311</v>
      </c>
      <c r="T88" s="34">
        <f t="shared" si="42"/>
        <v>117.15011233498913</v>
      </c>
      <c r="U88" s="34">
        <f t="shared" si="42"/>
        <v>119.03992777271611</v>
      </c>
      <c r="V88" s="34">
        <f t="shared" si="42"/>
        <v>120.78575514451836</v>
      </c>
      <c r="W88" s="34">
        <f t="shared" si="42"/>
        <v>122.55393709853777</v>
      </c>
    </row>
    <row r="89" spans="2:23" x14ac:dyDescent="0.2">
      <c r="B89" s="105" t="s">
        <v>128</v>
      </c>
      <c r="C89" s="34"/>
      <c r="D89" s="254">
        <f>'Input data'!C67*$D$87</f>
        <v>7.8233646950070748</v>
      </c>
      <c r="E89" s="34">
        <f t="shared" ref="E89:W89" si="43">IF(E87=0,0,IF(E83=1,E38*D87*D94*E42/((1+E23/100)*(1+E41/100)),IF(AND(E83=0,E84=1),(E38*D87*D94*E42/((1+E23/100)*(1+E41/100)))*(1-ABS(E87-D87*E42/((1+E23/100)*(1+E41/100)))/((E38*D87*D94*E42/((1+E23/100)*(1+E41/100)))+(D93*D87*E42/((1+E23/100)*(1+E41/100))))),0)))</f>
        <v>7.5445628892559551</v>
      </c>
      <c r="F89" s="34">
        <f t="shared" si="43"/>
        <v>7.6510882826547091</v>
      </c>
      <c r="G89" s="34">
        <f t="shared" si="43"/>
        <v>7.8076665622066308</v>
      </c>
      <c r="H89" s="34">
        <f t="shared" si="43"/>
        <v>8.0145530211255878</v>
      </c>
      <c r="I89" s="34">
        <f t="shared" si="43"/>
        <v>8.2422666237057136</v>
      </c>
      <c r="J89" s="34">
        <f t="shared" si="43"/>
        <v>8.4879431187450862</v>
      </c>
      <c r="K89" s="34">
        <f t="shared" si="43"/>
        <v>8.7384999629547888</v>
      </c>
      <c r="L89" s="34">
        <f t="shared" si="43"/>
        <v>8.9913385279675104</v>
      </c>
      <c r="M89" s="34">
        <f t="shared" si="43"/>
        <v>9.245863279002279</v>
      </c>
      <c r="N89" s="34">
        <f t="shared" si="43"/>
        <v>9.5011670419483565</v>
      </c>
      <c r="O89" s="34">
        <f t="shared" si="43"/>
        <v>9.7627322234939538</v>
      </c>
      <c r="P89" s="34">
        <f t="shared" si="43"/>
        <v>9.968847782450073</v>
      </c>
      <c r="Q89" s="34">
        <f t="shared" si="43"/>
        <v>10.169623242796485</v>
      </c>
      <c r="R89" s="34">
        <f t="shared" si="43"/>
        <v>10.360218977827888</v>
      </c>
      <c r="S89" s="34">
        <f t="shared" si="43"/>
        <v>10.548403162813514</v>
      </c>
      <c r="T89" s="34">
        <f t="shared" si="43"/>
        <v>10.730528513955358</v>
      </c>
      <c r="U89" s="34">
        <f t="shared" si="43"/>
        <v>10.903628804142496</v>
      </c>
      <c r="V89" s="34">
        <f t="shared" si="43"/>
        <v>11.063540305891626</v>
      </c>
      <c r="W89" s="34">
        <f t="shared" si="43"/>
        <v>11.225499406888579</v>
      </c>
    </row>
    <row r="90" spans="2:23" x14ac:dyDescent="0.2">
      <c r="B90" s="105" t="s">
        <v>129</v>
      </c>
      <c r="C90" s="34"/>
      <c r="D90" s="254">
        <f>'Input data'!C68*$D$87</f>
        <v>11.184916704595162</v>
      </c>
      <c r="E90" s="34">
        <f t="shared" ref="E90:W90" si="44">IF(E87=0,0,IF(E83=1,(1-D94)*D87*E42/((1+E23/100)*(1+E41/100)),IF(AND(E83=0,E84=1),(D93*D87*E42/((1+E23/100)*(1+E41/100)))*(1-ABS(E87-D87*E42/((1+E23/100)*(1+E41/100)))/((E38*D87*D94*E42/((1+E23/100)*(1+E41/100)))+(D93*D87*E42/((1+E23/100)*(1+E41/100))))),0)))</f>
        <v>11.003235423307965</v>
      </c>
      <c r="F90" s="34">
        <f t="shared" si="44"/>
        <v>11.128256363555845</v>
      </c>
      <c r="G90" s="34">
        <f t="shared" si="44"/>
        <v>11.256200923779607</v>
      </c>
      <c r="H90" s="34">
        <f t="shared" si="44"/>
        <v>11.457434226848576</v>
      </c>
      <c r="I90" s="34">
        <f t="shared" si="44"/>
        <v>11.685509537004021</v>
      </c>
      <c r="J90" s="34">
        <f t="shared" si="44"/>
        <v>11.935230140816422</v>
      </c>
      <c r="K90" s="34">
        <f t="shared" si="44"/>
        <v>12.188327060401438</v>
      </c>
      <c r="L90" s="34">
        <f t="shared" si="44"/>
        <v>12.441506109836833</v>
      </c>
      <c r="M90" s="34">
        <f t="shared" si="44"/>
        <v>12.69392738426245</v>
      </c>
      <c r="N90" s="34">
        <f t="shared" si="44"/>
        <v>12.944411435381417</v>
      </c>
      <c r="O90" s="34">
        <f t="shared" si="44"/>
        <v>13.200382646608348</v>
      </c>
      <c r="P90" s="34">
        <f t="shared" si="44"/>
        <v>13.449824664481973</v>
      </c>
      <c r="Q90" s="34">
        <f t="shared" si="44"/>
        <v>13.692036652354242</v>
      </c>
      <c r="R90" s="34">
        <f t="shared" si="44"/>
        <v>13.92082376996219</v>
      </c>
      <c r="S90" s="34">
        <f t="shared" si="44"/>
        <v>14.146703235958341</v>
      </c>
      <c r="T90" s="34">
        <f t="shared" si="44"/>
        <v>14.364832293601433</v>
      </c>
      <c r="U90" s="34">
        <f t="shared" si="44"/>
        <v>14.57131411082181</v>
      </c>
      <c r="V90" s="34">
        <f t="shared" si="44"/>
        <v>14.76067860307197</v>
      </c>
      <c r="W90" s="34">
        <f t="shared" si="44"/>
        <v>14.953338818683708</v>
      </c>
    </row>
    <row r="91" spans="2:23" x14ac:dyDescent="0.2">
      <c r="B91" s="105" t="s">
        <v>130</v>
      </c>
      <c r="C91" s="34"/>
      <c r="D91" s="254">
        <f>'Input data'!C69*$D$87</f>
        <v>4.3062797312435643</v>
      </c>
      <c r="E91" s="34">
        <f>IF(E87=0,0,IF(E83=1,'Input data'!$C$58*(E87-D87*E42/((1+E23/100)*(1+E41/100))),0))</f>
        <v>4.7570039815081167</v>
      </c>
      <c r="F91" s="34">
        <f>IF(F87=0,0,IF(F83=1,'Input data'!$C$58*(F87-E87*F42/((1+F23/100)*(1+F41/100))),0))</f>
        <v>4.9834734764809658</v>
      </c>
      <c r="G91" s="34">
        <f>IF(G87=0,0,IF(G83=1,'Input data'!$C$58*(G87-F87*G42/((1+G23/100)*(1+G41/100))),0))</f>
        <v>4.6989710508168585</v>
      </c>
      <c r="H91" s="34">
        <f>IF(H87=0,0,IF(H83=1,'Input data'!$C$58*(H87-G87*H42/((1+H23/100)*(1+H41/100))),0))</f>
        <v>4.849043860509048</v>
      </c>
      <c r="I91" s="34">
        <f>IF(I87=0,0,IF(I83=1,'Input data'!$C$58*(I87-H87*I42/((1+I23/100)*(1+I41/100))),0))</f>
        <v>5.1034833980544443</v>
      </c>
      <c r="J91" s="34">
        <f>IF(J87=0,0,IF(J83=1,'Input data'!$C$58*(J87-I87*J42/((1+J23/100)*(1+J41/100))),0))</f>
        <v>5.3021526442958047</v>
      </c>
      <c r="K91" s="34">
        <f>IF(K87=0,0,IF(K83=1,'Input data'!$C$58*(K87-J87*K42/((1+K23/100)*(1+K41/100))),0))</f>
        <v>5.4479056677377278</v>
      </c>
      <c r="L91" s="34">
        <f>IF(L87=0,0,IF(L83=1,'Input data'!$C$58*(L87-K87*L42/((1+L23/100)*(1+L41/100))),0))</f>
        <v>5.6057843490196317</v>
      </c>
      <c r="M91" s="34">
        <f>IF(M87=0,0,IF(M83=1,'Input data'!$C$58*(M87-L87*M42/((1+M23/100)*(1+M41/100))),0))</f>
        <v>5.7649250086211499</v>
      </c>
      <c r="N91" s="34">
        <f>IF(N87=0,0,IF(N83=1,'Input data'!$C$58*(N87-M87*N42/((1+N23/100)*(1+N41/100))),0))</f>
        <v>5.9392781425399086</v>
      </c>
      <c r="O91" s="34">
        <f>IF(O87=0,0,IF(O83=1,'Input data'!$C$58*(O87-N87*O42/((1+O23/100)*(1+O41/100))),0))</f>
        <v>6.1471005675347836</v>
      </c>
      <c r="P91" s="34">
        <f>IF(P87=0,0,IF(P83=1,'Input data'!$C$58*(P87-O87*P42/((1+P23/100)*(1+P41/100))),0))</f>
        <v>6.3535910744414181</v>
      </c>
      <c r="Q91" s="34">
        <f>IF(Q87=0,0,IF(Q83=1,'Input data'!$C$58*(Q87-P87*Q42/((1+Q23/100)*(1+Q41/100))),0))</f>
        <v>6.5058449856674381</v>
      </c>
      <c r="R91" s="34">
        <f>IF(R87=0,0,IF(R83=1,'Input data'!$C$58*(R87-Q87*R42/((1+R23/100)*(1+R41/100))),0))</f>
        <v>6.6520113215918943</v>
      </c>
      <c r="S91" s="34">
        <f>IF(S87=0,0,IF(S83=1,'Input data'!$C$58*(S87-R87*S42/((1+S23/100)*(1+S41/100))),0))</f>
        <v>6.794963546811668</v>
      </c>
      <c r="T91" s="34">
        <f>IF(T87=0,0,IF(T83=1,'Input data'!$C$58*(T87-S87*T42/((1+T23/100)*(1+T41/100))),0))</f>
        <v>6.9302058430772613</v>
      </c>
      <c r="U91" s="34">
        <f>IF(U87=0,0,IF(U83=1,'Input data'!$C$58*(U87-T87*U42/((1+U23/100)*(1+U41/100))),0))</f>
        <v>7.0536050463411009</v>
      </c>
      <c r="V91" s="34">
        <f>IF(V87=0,0,IF(V83=1,'Input data'!$C$58*(V87-U87*V42/((1+V23/100)*(1+V41/100))),0))</f>
        <v>7.1568850983899592</v>
      </c>
      <c r="W91" s="34">
        <f>IF(W87=0,0,IF(W83=1,'Input data'!$C$58*(W87-V87*W42/((1+W23/100)*(1+W41/100))),0))</f>
        <v>7.3048463345197687</v>
      </c>
    </row>
    <row r="92" spans="2:23" x14ac:dyDescent="0.2">
      <c r="B92" s="107" t="s">
        <v>131</v>
      </c>
      <c r="C92" s="49"/>
      <c r="D92" s="255">
        <f>'Input data'!C70*$D$87</f>
        <v>0.50211565206198738</v>
      </c>
      <c r="E92" s="49">
        <f>IF(E87=0,0,IF(E83=1,'Input data'!$C$57*(E87-D87*E42/((1+E23/100)*(1+E41/100))),0))</f>
        <v>0.51637624740995514</v>
      </c>
      <c r="F92" s="49">
        <f>IF(F87=0,0,IF(F83=1,'Input data'!$C$57*(F87-E87*F42/((1+F23/100)*(1+F41/100))),0))</f>
        <v>0.54095967605989981</v>
      </c>
      <c r="G92" s="49">
        <f>IF(G87=0,0,IF(G83=1,'Input data'!$C$57*(G87-F87*G42/((1+G23/100)*(1+G41/100))),0))</f>
        <v>0.51007673050960278</v>
      </c>
      <c r="H92" s="49">
        <f>IF(H87=0,0,IF(H83=1,'Input data'!$C$57*(H87-G87*H42/((1+H23/100)*(1+H41/100))),0))</f>
        <v>0.52636724332152462</v>
      </c>
      <c r="I92" s="49">
        <f>IF(I87=0,0,IF(I83=1,'Input data'!$C$57*(I87-H87*I42/((1+I23/100)*(1+I41/100))),0))</f>
        <v>0.55398684046736579</v>
      </c>
      <c r="J92" s="49">
        <f>IF(J87=0,0,IF(J83=1,'Input data'!$C$57*(J87-I87*J42/((1+J23/100)*(1+J41/100))),0))</f>
        <v>0.57555253186654642</v>
      </c>
      <c r="K92" s="49">
        <f>IF(K87=0,0,IF(K83=1,'Input data'!$C$57*(K87-J87*K42/((1+K23/100)*(1+K41/100))),0))</f>
        <v>0.59137412873427386</v>
      </c>
      <c r="L92" s="49">
        <f>IF(L87=0,0,IF(L83=1,'Input data'!$C$57*(L87-K87*L42/((1+L23/100)*(1+L41/100))),0))</f>
        <v>0.60851197459340967</v>
      </c>
      <c r="M92" s="49">
        <f>IF(M87=0,0,IF(M83=1,'Input data'!$C$57*(M87-L87*M42/((1+M23/100)*(1+M41/100))),0))</f>
        <v>0.62578680911842188</v>
      </c>
      <c r="N92" s="49">
        <f>IF(N87=0,0,IF(N83=1,'Input data'!$C$57*(N87-M87*N42/((1+N23/100)*(1+N41/100))),0))</f>
        <v>0.64471296881202622</v>
      </c>
      <c r="O92" s="49">
        <f>IF(O87=0,0,IF(O83=1,'Input data'!$C$57*(O87-N87*O42/((1+O23/100)*(1+O41/100))),0))</f>
        <v>0.66727224443249111</v>
      </c>
      <c r="P92" s="49">
        <f>IF(P87=0,0,IF(P83=1,'Input data'!$C$57*(P87-O87*P42/((1+P23/100)*(1+P41/100))),0))</f>
        <v>0.68968693937424796</v>
      </c>
      <c r="Q92" s="49">
        <f>IF(Q87=0,0,IF(Q83=1,'Input data'!$C$57*(Q87-P87*Q42/((1+Q23/100)*(1+Q41/100))),0))</f>
        <v>0.7062142123464803</v>
      </c>
      <c r="R92" s="49">
        <f>IF(R87=0,0,IF(R83=1,'Input data'!$C$57*(R87-Q87*R42/((1+R23/100)*(1+R41/100))),0))</f>
        <v>0.72208067458526226</v>
      </c>
      <c r="S92" s="49">
        <f>IF(S87=0,0,IF(S83=1,'Input data'!$C$57*(S87-R87*S42/((1+S23/100)*(1+S41/100))),0))</f>
        <v>0.73759824276574693</v>
      </c>
      <c r="T92" s="49">
        <f>IF(T87=0,0,IF(T83=1,'Input data'!$C$57*(T87-S87*T42/((1+T23/100)*(1+T41/100))),0))</f>
        <v>0.75227889254199376</v>
      </c>
      <c r="U92" s="49">
        <f>IF(U87=0,0,IF(U83=1,'Input data'!$C$57*(U87-T87*U42/((1+U23/100)*(1+U41/100))),0))</f>
        <v>0.76567396594585468</v>
      </c>
      <c r="V92" s="49">
        <f>IF(V87=0,0,IF(V83=1,'Input data'!$C$57*(V87-U87*V42/((1+V23/100)*(1+V41/100))),0))</f>
        <v>0.77688509082962798</v>
      </c>
      <c r="W92" s="49">
        <f>IF(W87=0,0,IF(W83=1,'Input data'!$C$57*(W87-V87*W42/((1+W23/100)*(1+W41/100))),0))</f>
        <v>0.79294639079318763</v>
      </c>
    </row>
    <row r="93" spans="2:23" x14ac:dyDescent="0.2">
      <c r="B93" s="26" t="s">
        <v>73</v>
      </c>
      <c r="C93" s="36"/>
      <c r="D93" s="36">
        <f>1-D94</f>
        <v>0.10442485672571578</v>
      </c>
      <c r="E93" s="36">
        <f>IF(E87&lt;&gt;0,(E90+E92)/(E88+E89+E90+E91+E92),0)</f>
        <v>0.10411489003632005</v>
      </c>
      <c r="F93" s="36">
        <f t="shared" ref="F93" si="45">IF(F87&lt;&gt;0,(F90+F92)/(F88+F89+F90+F91+F92),0)</f>
        <v>0.10381050045547867</v>
      </c>
      <c r="G93" s="36">
        <f>IF(G87&lt;&gt;0,(G90+G92)/(G88+G89+G90+G91+G92),0)</f>
        <v>0.10354054876705125</v>
      </c>
      <c r="H93" s="36">
        <f>IF(H87&lt;&gt;0,(H90+H92)/(H88+H89+H90+H91+H92),0)</f>
        <v>0.10328022578170239</v>
      </c>
      <c r="I93" s="36">
        <f t="shared" ref="I93:W93" si="46">IF(I87&lt;&gt;0,(I90+I92)/(I88+I89+I90+I91+I92),0)</f>
        <v>0.10302502664099818</v>
      </c>
      <c r="J93" s="36">
        <f t="shared" si="46"/>
        <v>0.10277858541564809</v>
      </c>
      <c r="K93" s="36">
        <f t="shared" si="46"/>
        <v>0.10254320790018769</v>
      </c>
      <c r="L93" s="36">
        <f t="shared" si="46"/>
        <v>0.10231801523591443</v>
      </c>
      <c r="M93" s="36">
        <f>IF(M87&lt;&gt;0,(M90+M92)/(M88+M89+M90+M91+M92),0)</f>
        <v>0.10210262818621738</v>
      </c>
      <c r="N93" s="36">
        <f t="shared" si="46"/>
        <v>0.10189619952137675</v>
      </c>
      <c r="O93" s="36">
        <f t="shared" si="46"/>
        <v>0.10169756278795697</v>
      </c>
      <c r="P93" s="36">
        <f t="shared" si="46"/>
        <v>0.1015066227475567</v>
      </c>
      <c r="Q93" s="36">
        <f t="shared" si="46"/>
        <v>0.10132465561998019</v>
      </c>
      <c r="R93" s="36">
        <f t="shared" si="46"/>
        <v>0.10115129115440785</v>
      </c>
      <c r="S93" s="36">
        <f t="shared" si="46"/>
        <v>0.10098621753119866</v>
      </c>
      <c r="T93" s="36">
        <f t="shared" si="46"/>
        <v>0.10082916755544639</v>
      </c>
      <c r="U93" s="36">
        <f t="shared" si="46"/>
        <v>0.10067990734168879</v>
      </c>
      <c r="V93" s="36">
        <f t="shared" si="46"/>
        <v>0.10053828946644906</v>
      </c>
      <c r="W93" s="36">
        <f t="shared" si="46"/>
        <v>0.1004031637793639</v>
      </c>
    </row>
    <row r="94" spans="2:23" x14ac:dyDescent="0.2">
      <c r="B94" s="35" t="s">
        <v>74</v>
      </c>
      <c r="C94" s="108"/>
      <c r="D94" s="108">
        <f>(D88+D89+D91)/D87</f>
        <v>0.89557514327428422</v>
      </c>
      <c r="E94" s="108">
        <f t="shared" ref="E94:F94" si="47">IF(E87&lt;&gt;0,(E88+E89+E91)/(E88+E89+E90+E91+E92),1)</f>
        <v>0.89588510996367998</v>
      </c>
      <c r="F94" s="108">
        <f t="shared" si="47"/>
        <v>0.89618949954452132</v>
      </c>
      <c r="G94" s="108">
        <f>IF(G87&lt;&gt;0,(G88+G89+G91)/(G88+G89+G90+G91+G92),1)</f>
        <v>0.89645945123294868</v>
      </c>
      <c r="H94" s="108">
        <f>IF(H87&lt;&gt;0,(H88+H89+H91)/(H88+H89+H90+H91+H92),1)</f>
        <v>0.89671977421829763</v>
      </c>
      <c r="I94" s="108">
        <f t="shared" ref="I94:W94" si="48">IF(I87&lt;&gt;0,(I88+I89+I91)/(I88+I89+I90+I91+I92),1)</f>
        <v>0.89697497335900189</v>
      </c>
      <c r="J94" s="108">
        <f t="shared" si="48"/>
        <v>0.89722141458435178</v>
      </c>
      <c r="K94" s="108">
        <f t="shared" si="48"/>
        <v>0.89745679209981233</v>
      </c>
      <c r="L94" s="108">
        <f t="shared" si="48"/>
        <v>0.89768198476408556</v>
      </c>
      <c r="M94" s="108">
        <f t="shared" si="48"/>
        <v>0.8978973718137826</v>
      </c>
      <c r="N94" s="108">
        <f t="shared" si="48"/>
        <v>0.89810380047862315</v>
      </c>
      <c r="O94" s="108">
        <f t="shared" si="48"/>
        <v>0.89830243721204306</v>
      </c>
      <c r="P94" s="108">
        <f t="shared" si="48"/>
        <v>0.89849337725244327</v>
      </c>
      <c r="Q94" s="108">
        <f t="shared" si="48"/>
        <v>0.89867534438001972</v>
      </c>
      <c r="R94" s="108">
        <f t="shared" si="48"/>
        <v>0.89884870884559198</v>
      </c>
      <c r="S94" s="108">
        <f t="shared" si="48"/>
        <v>0.89901378246880126</v>
      </c>
      <c r="T94" s="108">
        <f t="shared" si="48"/>
        <v>0.89917083244455354</v>
      </c>
      <c r="U94" s="108">
        <f t="shared" si="48"/>
        <v>0.89932009265831114</v>
      </c>
      <c r="V94" s="108">
        <f t="shared" si="48"/>
        <v>0.89946171053355095</v>
      </c>
      <c r="W94" s="108">
        <f t="shared" si="48"/>
        <v>0.89959683622063613</v>
      </c>
    </row>
    <row r="95" spans="2:23" x14ac:dyDescent="0.2">
      <c r="C95" s="36"/>
      <c r="D95" s="36"/>
      <c r="E95" s="253"/>
      <c r="F95" s="253"/>
      <c r="G95" s="253"/>
      <c r="H95" s="36"/>
      <c r="I95" s="36"/>
      <c r="J95" s="36"/>
      <c r="K95" s="36"/>
      <c r="L95" s="36"/>
      <c r="M95" s="36"/>
      <c r="N95" s="36"/>
      <c r="O95" s="36"/>
      <c r="P95" s="36"/>
      <c r="Q95" s="36"/>
      <c r="R95" s="36"/>
      <c r="S95" s="36"/>
      <c r="T95" s="36"/>
      <c r="U95" s="36"/>
      <c r="V95" s="36"/>
      <c r="W95" s="36"/>
    </row>
    <row r="96" spans="2:23" x14ac:dyDescent="0.2">
      <c r="B96" s="113" t="s">
        <v>132</v>
      </c>
      <c r="C96" s="115">
        <f>C35</f>
        <v>1.3072319999999999</v>
      </c>
      <c r="D96" s="115">
        <f>D35</f>
        <v>1.8011330000000001</v>
      </c>
      <c r="E96" s="115">
        <f>E98+E99</f>
        <v>1.6360269999999999</v>
      </c>
      <c r="F96" s="115">
        <f>F98+F99</f>
        <v>1.90473</v>
      </c>
      <c r="G96" s="115">
        <f>G98+G99</f>
        <v>2.1499329999999999</v>
      </c>
      <c r="H96" s="115">
        <f>H98+H99</f>
        <v>2.2735288450021978</v>
      </c>
      <c r="I96" s="115">
        <f t="shared" ref="I96:W96" si="49">I98+I99</f>
        <v>2.3832330509810404</v>
      </c>
      <c r="J96" s="115">
        <f t="shared" si="49"/>
        <v>2.4889795053267907</v>
      </c>
      <c r="K96" s="115">
        <f t="shared" si="49"/>
        <v>2.5906595591004873</v>
      </c>
      <c r="L96" s="115">
        <f t="shared" si="49"/>
        <v>2.6883566594647159</v>
      </c>
      <c r="M96" s="115">
        <f t="shared" si="49"/>
        <v>2.7826023685247629</v>
      </c>
      <c r="N96" s="115">
        <f t="shared" si="49"/>
        <v>2.8737996190675608</v>
      </c>
      <c r="O96" s="115">
        <f t="shared" si="49"/>
        <v>2.9623797609474916</v>
      </c>
      <c r="P96" s="115">
        <f t="shared" si="49"/>
        <v>3.0394394966699005</v>
      </c>
      <c r="Q96" s="115">
        <f t="shared" si="49"/>
        <v>3.1083183062860598</v>
      </c>
      <c r="R96" s="115">
        <f t="shared" si="49"/>
        <v>3.1698315853658028</v>
      </c>
      <c r="S96" s="115">
        <f t="shared" si="49"/>
        <v>3.2249199357753002</v>
      </c>
      <c r="T96" s="115">
        <f t="shared" si="49"/>
        <v>3.2743998224061914</v>
      </c>
      <c r="U96" s="115">
        <f t="shared" si="49"/>
        <v>3.3189812441653301</v>
      </c>
      <c r="V96" s="115">
        <f t="shared" si="49"/>
        <v>3.3592824631467342</v>
      </c>
      <c r="W96" s="115">
        <f t="shared" si="49"/>
        <v>3.3958359577732216</v>
      </c>
    </row>
    <row r="97" spans="2:25" x14ac:dyDescent="0.2">
      <c r="B97" s="33" t="s">
        <v>133</v>
      </c>
      <c r="C97" s="1"/>
      <c r="D97" s="34"/>
      <c r="E97" s="266">
        <f>((E35*D87)-(E37*D90+D92))/(D88+D89+D91)</f>
        <v>1.4390216422661701</v>
      </c>
      <c r="F97" s="266">
        <f>((F35*E87)-(F37*E90+E92))/(E88+E89+E91)</f>
        <v>1.7252325247430469</v>
      </c>
      <c r="G97" s="266">
        <f>((G35*F87)-(G37*F90+F92))/(F88+F89+F91)</f>
        <v>2.0824891183452205</v>
      </c>
      <c r="H97" s="34">
        <f t="shared" ref="H97:W97" si="50">IF(G87&gt;0,(G97*G88+H36*(G91+G89))/(G88+G89+G91),H36)</f>
        <v>2.2121339108496487</v>
      </c>
      <c r="I97" s="34">
        <f t="shared" si="50"/>
        <v>2.3359453299859347</v>
      </c>
      <c r="J97" s="34">
        <f t="shared" si="50"/>
        <v>2.455264156504132</v>
      </c>
      <c r="K97" s="34">
        <f t="shared" si="50"/>
        <v>2.569974551890096</v>
      </c>
      <c r="L97" s="34">
        <f t="shared" si="50"/>
        <v>2.6801767778036973</v>
      </c>
      <c r="M97" s="34">
        <f t="shared" si="50"/>
        <v>2.7864709856311354</v>
      </c>
      <c r="N97" s="34">
        <f t="shared" si="50"/>
        <v>2.8893128044039003</v>
      </c>
      <c r="O97" s="34">
        <f t="shared" si="50"/>
        <v>2.9891884979927332</v>
      </c>
      <c r="P97" s="34">
        <f t="shared" si="50"/>
        <v>3.0790241151762885</v>
      </c>
      <c r="Q97" s="34">
        <f t="shared" si="50"/>
        <v>3.1597032135425569</v>
      </c>
      <c r="R97" s="34">
        <f t="shared" si="50"/>
        <v>3.2321428377569017</v>
      </c>
      <c r="S97" s="34">
        <f t="shared" si="50"/>
        <v>3.2973974057075557</v>
      </c>
      <c r="T97" s="34">
        <f t="shared" si="50"/>
        <v>3.3563818866515409</v>
      </c>
      <c r="U97" s="34">
        <f t="shared" si="50"/>
        <v>3.4098917171607317</v>
      </c>
      <c r="V97" s="34">
        <f t="shared" si="50"/>
        <v>3.4586193901441122</v>
      </c>
      <c r="W97" s="34">
        <f t="shared" si="50"/>
        <v>3.5031613174639662</v>
      </c>
    </row>
    <row r="98" spans="2:25" x14ac:dyDescent="0.2">
      <c r="B98" s="26" t="s">
        <v>134</v>
      </c>
      <c r="C98" s="34"/>
      <c r="D98" s="34"/>
      <c r="E98" s="266">
        <f>E35</f>
        <v>1.6360269999999999</v>
      </c>
      <c r="F98" s="266">
        <f>F35</f>
        <v>1.90473</v>
      </c>
      <c r="G98" s="266">
        <f>G35</f>
        <v>2.1499329999999999</v>
      </c>
      <c r="H98" s="34">
        <f t="shared" ref="H98:W98" si="51">(H97*(G88+G89+G91)+H37*(G90+G92))/G87</f>
        <v>2.2735288450021978</v>
      </c>
      <c r="I98" s="34">
        <f t="shared" si="51"/>
        <v>2.3832330509810404</v>
      </c>
      <c r="J98" s="34">
        <f t="shared" si="51"/>
        <v>2.4889795053267907</v>
      </c>
      <c r="K98" s="34">
        <f t="shared" si="51"/>
        <v>2.5906595591004873</v>
      </c>
      <c r="L98" s="34">
        <f t="shared" si="51"/>
        <v>2.6883566594647159</v>
      </c>
      <c r="M98" s="34">
        <f t="shared" si="51"/>
        <v>2.7826023685247629</v>
      </c>
      <c r="N98" s="34">
        <f t="shared" si="51"/>
        <v>2.8737996190675608</v>
      </c>
      <c r="O98" s="34">
        <f t="shared" si="51"/>
        <v>2.9623797609474916</v>
      </c>
      <c r="P98" s="34">
        <f t="shared" si="51"/>
        <v>3.0394394966699005</v>
      </c>
      <c r="Q98" s="34">
        <f t="shared" si="51"/>
        <v>3.1083183062860598</v>
      </c>
      <c r="R98" s="34">
        <f t="shared" si="51"/>
        <v>3.1698315853658028</v>
      </c>
      <c r="S98" s="34">
        <f t="shared" si="51"/>
        <v>3.2249199357753002</v>
      </c>
      <c r="T98" s="34">
        <f t="shared" si="51"/>
        <v>3.2743998224061914</v>
      </c>
      <c r="U98" s="34">
        <f t="shared" si="51"/>
        <v>3.3189812441653301</v>
      </c>
      <c r="V98" s="34">
        <f t="shared" si="51"/>
        <v>3.3592824631467342</v>
      </c>
      <c r="W98" s="34">
        <f t="shared" si="51"/>
        <v>3.3958359577732216</v>
      </c>
    </row>
    <row r="99" spans="2:25" x14ac:dyDescent="0.2">
      <c r="B99" s="35" t="s">
        <v>135</v>
      </c>
      <c r="C99" s="114"/>
      <c r="D99" s="49"/>
      <c r="E99" s="49">
        <f t="shared" ref="E99:G99" si="52">E108</f>
        <v>0</v>
      </c>
      <c r="F99" s="49">
        <f t="shared" si="52"/>
        <v>0</v>
      </c>
      <c r="G99" s="49">
        <f t="shared" si="52"/>
        <v>0</v>
      </c>
      <c r="H99" s="49">
        <f>H108</f>
        <v>0</v>
      </c>
      <c r="I99" s="49">
        <f t="shared" ref="I99:W99" si="53">I108</f>
        <v>0</v>
      </c>
      <c r="J99" s="49">
        <f t="shared" si="53"/>
        <v>0</v>
      </c>
      <c r="K99" s="49">
        <f t="shared" si="53"/>
        <v>0</v>
      </c>
      <c r="L99" s="49">
        <f t="shared" si="53"/>
        <v>0</v>
      </c>
      <c r="M99" s="49">
        <f t="shared" si="53"/>
        <v>0</v>
      </c>
      <c r="N99" s="49">
        <f t="shared" si="53"/>
        <v>0</v>
      </c>
      <c r="O99" s="49">
        <f t="shared" si="53"/>
        <v>0</v>
      </c>
      <c r="P99" s="49">
        <f t="shared" si="53"/>
        <v>0</v>
      </c>
      <c r="Q99" s="49">
        <f t="shared" si="53"/>
        <v>0</v>
      </c>
      <c r="R99" s="49">
        <f t="shared" si="53"/>
        <v>0</v>
      </c>
      <c r="S99" s="49">
        <f t="shared" si="53"/>
        <v>0</v>
      </c>
      <c r="T99" s="49">
        <f t="shared" si="53"/>
        <v>0</v>
      </c>
      <c r="U99" s="49">
        <f t="shared" si="53"/>
        <v>0</v>
      </c>
      <c r="V99" s="49">
        <f t="shared" si="53"/>
        <v>0</v>
      </c>
      <c r="W99" s="49">
        <f t="shared" si="53"/>
        <v>0</v>
      </c>
    </row>
    <row r="100" spans="2:25" x14ac:dyDescent="0.2">
      <c r="G100" s="98"/>
      <c r="H100" s="98"/>
      <c r="I100" s="98"/>
      <c r="J100" s="98"/>
      <c r="K100" s="98"/>
      <c r="L100" s="98"/>
      <c r="M100" s="98"/>
      <c r="N100" s="98"/>
      <c r="O100" s="98"/>
      <c r="P100" s="98"/>
      <c r="Q100" s="98"/>
      <c r="R100" s="98"/>
      <c r="S100" s="98"/>
      <c r="T100" s="98"/>
      <c r="U100" s="98"/>
      <c r="V100" s="98"/>
      <c r="W100" s="98"/>
    </row>
    <row r="101" spans="2:25" x14ac:dyDescent="0.2">
      <c r="B101" s="113" t="s">
        <v>186</v>
      </c>
      <c r="C101" s="115">
        <f t="shared" ref="C101:W101" si="54">((1+C96/100)/((1+C23/100)*(1+C41/100))-1)*100</f>
        <v>-6.154246690176068</v>
      </c>
      <c r="D101" s="115">
        <f t="shared" si="54"/>
        <v>-3.4825434038009195</v>
      </c>
      <c r="E101" s="115">
        <f t="shared" si="54"/>
        <v>-4.3106491734947632</v>
      </c>
      <c r="F101" s="115">
        <f t="shared" si="54"/>
        <v>-1.5572654776414119</v>
      </c>
      <c r="G101" s="115">
        <f t="shared" si="54"/>
        <v>-1.4655169383180677</v>
      </c>
      <c r="H101" s="115">
        <f t="shared" si="54"/>
        <v>-0.41096561560788336</v>
      </c>
      <c r="I101" s="115">
        <f t="shared" si="54"/>
        <v>-0.16521475054424029</v>
      </c>
      <c r="J101" s="115">
        <f t="shared" si="54"/>
        <v>-5.8832523123308889E-2</v>
      </c>
      <c r="K101" s="115">
        <f t="shared" si="54"/>
        <v>-5.3534238201147222E-2</v>
      </c>
      <c r="L101" s="115">
        <f t="shared" si="54"/>
        <v>-2.9132302878343008E-2</v>
      </c>
      <c r="M101" s="115">
        <f t="shared" si="54"/>
        <v>-2.1985993398099257E-2</v>
      </c>
      <c r="N101" s="115">
        <f t="shared" si="54"/>
        <v>-2.4822690869552577E-2</v>
      </c>
      <c r="O101" s="115">
        <f t="shared" si="54"/>
        <v>1.6952573522210912E-2</v>
      </c>
      <c r="P101" s="115">
        <f t="shared" si="54"/>
        <v>-6.5122355183377945E-2</v>
      </c>
      <c r="Q101" s="115">
        <f t="shared" si="54"/>
        <v>-0.15476397167416556</v>
      </c>
      <c r="R101" s="115">
        <f t="shared" si="54"/>
        <v>-0.25114457495544196</v>
      </c>
      <c r="S101" s="115">
        <f t="shared" si="54"/>
        <v>-0.27304252260303974</v>
      </c>
      <c r="T101" s="115">
        <f t="shared" si="54"/>
        <v>-0.32992574144128373</v>
      </c>
      <c r="U101" s="115">
        <f t="shared" si="54"/>
        <v>-0.41130803491100654</v>
      </c>
      <c r="V101" s="115">
        <f t="shared" si="54"/>
        <v>-0.52459182688633366</v>
      </c>
      <c r="W101" s="115">
        <f t="shared" si="54"/>
        <v>-0.49193052547463756</v>
      </c>
    </row>
    <row r="102" spans="2:25" x14ac:dyDescent="0.2">
      <c r="F102" s="34"/>
      <c r="G102" s="34"/>
      <c r="H102" s="34"/>
      <c r="I102" s="34"/>
      <c r="J102" s="34"/>
      <c r="K102" s="34"/>
      <c r="L102" s="34"/>
      <c r="M102" s="34"/>
      <c r="N102" s="34"/>
      <c r="O102" s="34"/>
      <c r="P102" s="34"/>
      <c r="Q102" s="34"/>
      <c r="R102" s="34"/>
      <c r="S102" s="34"/>
      <c r="T102" s="34"/>
      <c r="U102" s="34"/>
      <c r="V102" s="34"/>
      <c r="W102" s="34"/>
    </row>
    <row r="104" spans="2:25" s="93" customFormat="1" ht="12.75" x14ac:dyDescent="0.2">
      <c r="B104" s="25" t="s">
        <v>136</v>
      </c>
    </row>
    <row r="105" spans="2:25" s="109" customFormat="1" ht="12.75" x14ac:dyDescent="0.2">
      <c r="C105" s="103"/>
      <c r="D105" s="103"/>
      <c r="E105" s="103"/>
      <c r="F105" s="103"/>
      <c r="G105" s="103"/>
      <c r="H105" s="103"/>
      <c r="I105" s="103"/>
      <c r="J105" s="103"/>
      <c r="K105" s="103"/>
      <c r="L105" s="103"/>
      <c r="M105" s="103"/>
      <c r="N105" s="103"/>
      <c r="O105" s="103"/>
      <c r="P105" s="103"/>
      <c r="Q105" s="103"/>
      <c r="R105" s="103"/>
      <c r="S105" s="103"/>
      <c r="T105" s="103"/>
      <c r="U105" s="103"/>
      <c r="V105" s="103"/>
      <c r="W105" s="103"/>
    </row>
    <row r="106" spans="2:25" x14ac:dyDescent="0.2">
      <c r="B106" s="120" t="s">
        <v>43</v>
      </c>
      <c r="C106" s="34">
        <v>112.97329999999999</v>
      </c>
      <c r="D106" s="34">
        <v>111.9182</v>
      </c>
      <c r="E106" s="34">
        <v>110.6433</v>
      </c>
      <c r="F106" s="34">
        <v>112.4088</v>
      </c>
      <c r="G106" s="34">
        <v>113.63930000000001</v>
      </c>
      <c r="H106" s="34">
        <v>116.0234</v>
      </c>
      <c r="I106" s="34">
        <v>118.7851</v>
      </c>
      <c r="J106" s="34">
        <v>121.7025</v>
      </c>
      <c r="K106" s="34">
        <v>124.59820000000001</v>
      </c>
      <c r="L106" s="34">
        <v>127.50879999999999</v>
      </c>
      <c r="M106" s="34">
        <v>130.41419999999999</v>
      </c>
      <c r="N106" s="34">
        <v>133.31800000000001</v>
      </c>
      <c r="O106" s="34">
        <v>136.31319999999999</v>
      </c>
      <c r="P106" s="34">
        <v>139.24440000000001</v>
      </c>
      <c r="Q106" s="34">
        <v>142.04499999999999</v>
      </c>
      <c r="R106" s="34">
        <v>144.7045</v>
      </c>
      <c r="S106" s="34">
        <v>147.32910000000001</v>
      </c>
      <c r="T106" s="34">
        <v>149.8656</v>
      </c>
      <c r="U106" s="34">
        <v>152.27010000000001</v>
      </c>
      <c r="V106" s="34">
        <v>154.47829999999999</v>
      </c>
      <c r="W106" s="34">
        <v>156.76390000000001</v>
      </c>
    </row>
    <row r="107" spans="2:25" x14ac:dyDescent="0.2">
      <c r="B107" s="26" t="s">
        <v>132</v>
      </c>
      <c r="C107" s="34">
        <v>1.3072319999999999</v>
      </c>
      <c r="D107" s="34">
        <v>1.8011330000000001</v>
      </c>
      <c r="E107" s="34">
        <v>1.6360269999999999</v>
      </c>
      <c r="F107" s="34">
        <v>1.90473</v>
      </c>
      <c r="G107" s="34">
        <v>2.1499329999999999</v>
      </c>
      <c r="H107" s="34">
        <v>2.2658580000000001</v>
      </c>
      <c r="I107" s="34">
        <v>2.3764509999999999</v>
      </c>
      <c r="J107" s="34">
        <v>2.4829970000000001</v>
      </c>
      <c r="K107" s="34">
        <v>2.5853929999999998</v>
      </c>
      <c r="L107" s="34">
        <v>2.6837249999999999</v>
      </c>
      <c r="M107" s="34">
        <v>2.7785350000000002</v>
      </c>
      <c r="N107" s="34">
        <v>2.8702320000000001</v>
      </c>
      <c r="O107" s="34">
        <v>2.9592550000000002</v>
      </c>
      <c r="P107" s="34">
        <v>3.0367069999999998</v>
      </c>
      <c r="Q107" s="34">
        <v>3.1059329999999998</v>
      </c>
      <c r="R107" s="34">
        <v>3.167751</v>
      </c>
      <c r="S107" s="34">
        <v>3.223106</v>
      </c>
      <c r="T107" s="34">
        <v>3.2728199999999998</v>
      </c>
      <c r="U107" s="34">
        <v>3.3176060000000001</v>
      </c>
      <c r="V107" s="34">
        <v>3.3580860000000001</v>
      </c>
      <c r="W107" s="34">
        <v>3.3947949999999998</v>
      </c>
    </row>
    <row r="108" spans="2:25" x14ac:dyDescent="0.2">
      <c r="B108" s="26" t="s">
        <v>185</v>
      </c>
      <c r="C108" s="34"/>
      <c r="D108" s="34">
        <v>0</v>
      </c>
      <c r="E108" s="34">
        <v>0</v>
      </c>
      <c r="F108" s="34">
        <v>0</v>
      </c>
      <c r="G108" s="34">
        <v>0</v>
      </c>
      <c r="H108" s="34">
        <v>0</v>
      </c>
      <c r="I108" s="34">
        <v>0</v>
      </c>
      <c r="J108" s="34">
        <v>0</v>
      </c>
      <c r="K108" s="34">
        <v>0</v>
      </c>
      <c r="L108" s="34">
        <v>0</v>
      </c>
      <c r="M108" s="34">
        <v>0</v>
      </c>
      <c r="N108" s="34">
        <v>0</v>
      </c>
      <c r="O108" s="34">
        <v>0</v>
      </c>
      <c r="P108" s="34">
        <v>0</v>
      </c>
      <c r="Q108" s="34">
        <v>0</v>
      </c>
      <c r="R108" s="34">
        <v>0</v>
      </c>
      <c r="S108" s="34">
        <v>0</v>
      </c>
      <c r="T108" s="34">
        <v>0</v>
      </c>
      <c r="U108" s="34">
        <v>0</v>
      </c>
      <c r="V108" s="34">
        <v>0</v>
      </c>
      <c r="W108" s="34">
        <v>0</v>
      </c>
    </row>
    <row r="109" spans="2:25" x14ac:dyDescent="0.2">
      <c r="C109" s="118"/>
      <c r="D109" s="118"/>
      <c r="E109" s="118"/>
      <c r="F109" s="118"/>
      <c r="G109" s="118"/>
      <c r="H109" s="118"/>
      <c r="I109" s="118"/>
      <c r="J109" s="118"/>
      <c r="K109" s="118"/>
      <c r="L109" s="118"/>
      <c r="M109" s="118"/>
      <c r="N109" s="118"/>
      <c r="O109" s="118"/>
      <c r="P109" s="118"/>
      <c r="Q109" s="118"/>
      <c r="R109" s="118"/>
      <c r="S109" s="118"/>
      <c r="T109" s="118"/>
      <c r="U109" s="118"/>
      <c r="V109" s="118"/>
      <c r="W109" s="118"/>
    </row>
    <row r="110" spans="2:25" x14ac:dyDescent="0.2">
      <c r="B110" s="26" t="s">
        <v>96</v>
      </c>
      <c r="C110" s="31">
        <v>2021</v>
      </c>
      <c r="D110" s="31">
        <v>2022</v>
      </c>
      <c r="E110" s="31">
        <v>2023</v>
      </c>
      <c r="F110" s="31">
        <v>2024</v>
      </c>
      <c r="G110" s="31">
        <v>2025</v>
      </c>
      <c r="H110" s="31">
        <v>2026</v>
      </c>
      <c r="I110" s="31">
        <v>2027</v>
      </c>
      <c r="J110" s="31">
        <v>2028</v>
      </c>
      <c r="K110" s="31">
        <v>2029</v>
      </c>
      <c r="L110" s="31">
        <v>2030</v>
      </c>
      <c r="M110" s="31">
        <v>2031</v>
      </c>
      <c r="N110" s="31">
        <v>2032</v>
      </c>
      <c r="O110" s="31">
        <v>2033</v>
      </c>
      <c r="P110" s="31">
        <v>2034</v>
      </c>
      <c r="Q110" s="31">
        <v>2035</v>
      </c>
      <c r="R110" s="31">
        <v>2036</v>
      </c>
      <c r="S110" s="31">
        <v>2037</v>
      </c>
      <c r="T110" s="31">
        <v>2038</v>
      </c>
      <c r="U110" s="31">
        <v>2039</v>
      </c>
      <c r="V110" s="31">
        <v>2040</v>
      </c>
      <c r="W110" s="31">
        <v>2041</v>
      </c>
    </row>
    <row r="111" spans="2:25" x14ac:dyDescent="0.2">
      <c r="B111" s="26" t="s">
        <v>137</v>
      </c>
      <c r="C111" s="34">
        <v>3.8019160000000003E-2</v>
      </c>
      <c r="D111" s="34">
        <v>7.8597440000000005E-2</v>
      </c>
      <c r="E111" s="34">
        <v>5.9475470000000003E-2</v>
      </c>
      <c r="F111" s="34">
        <v>9.6876959999999998E-2</v>
      </c>
      <c r="G111" s="34">
        <v>0.11684023</v>
      </c>
      <c r="H111" s="34">
        <v>0.13811532000000001</v>
      </c>
      <c r="I111" s="34">
        <v>0.13659083</v>
      </c>
      <c r="J111" s="34">
        <v>0.14219135999999999</v>
      </c>
      <c r="K111" s="34">
        <v>0.1389396</v>
      </c>
      <c r="L111" s="34">
        <v>0.12512538000000001</v>
      </c>
      <c r="M111" s="34">
        <v>0.12849179999999999</v>
      </c>
      <c r="N111" s="34">
        <v>7.2085140000000006E-2</v>
      </c>
      <c r="O111" s="34">
        <v>6.8681389999999995E-2</v>
      </c>
      <c r="P111" s="34">
        <v>6.8049499999999999E-2</v>
      </c>
      <c r="Q111" s="34">
        <v>6.8080779999999994E-2</v>
      </c>
      <c r="R111" s="34">
        <v>6.7666320000000002E-2</v>
      </c>
      <c r="S111" s="34">
        <v>6.9220519999999994E-2</v>
      </c>
      <c r="T111" s="34">
        <v>6.6629789999999994E-2</v>
      </c>
      <c r="U111" s="34">
        <v>6.6434309999999996E-2</v>
      </c>
      <c r="V111" s="34">
        <v>6.6393380000000002E-2</v>
      </c>
      <c r="W111" s="34">
        <v>6.621254E-2</v>
      </c>
      <c r="X111" s="38"/>
    </row>
    <row r="112" spans="2:25" x14ac:dyDescent="0.2">
      <c r="B112" s="26" t="s">
        <v>138</v>
      </c>
      <c r="C112" s="34">
        <v>3.0337050000000001E-2</v>
      </c>
      <c r="D112" s="34">
        <v>3.594311E-2</v>
      </c>
      <c r="E112" s="34">
        <v>4.1166179999999997E-2</v>
      </c>
      <c r="F112" s="34">
        <v>1.594102E-2</v>
      </c>
      <c r="G112" s="34">
        <v>1.5850139999999999E-2</v>
      </c>
      <c r="H112" s="34">
        <v>3.7528779999999998E-2</v>
      </c>
      <c r="I112" s="34">
        <v>3.4050280000000002E-2</v>
      </c>
      <c r="J112" s="34">
        <v>4.734439E-2</v>
      </c>
      <c r="K112" s="34">
        <v>4.4075929999999999E-2</v>
      </c>
      <c r="L112" s="34">
        <v>5.08599E-2</v>
      </c>
      <c r="M112" s="34">
        <v>6.6237939999999995E-2</v>
      </c>
      <c r="N112" s="34">
        <v>6.0253769999999998E-2</v>
      </c>
      <c r="O112" s="34">
        <v>9.0030589999999994E-2</v>
      </c>
      <c r="P112" s="34">
        <v>7.2952390000000006E-2</v>
      </c>
      <c r="Q112" s="34">
        <v>7.7366660000000004E-2</v>
      </c>
      <c r="R112" s="34">
        <v>9.0839359999999994E-2</v>
      </c>
      <c r="S112" s="34">
        <v>9.9621100000000004E-2</v>
      </c>
      <c r="T112" s="34">
        <v>0.10965455</v>
      </c>
      <c r="U112" s="34">
        <v>9.8654409999999998E-2</v>
      </c>
      <c r="V112" s="34">
        <v>0.10313576000000001</v>
      </c>
      <c r="W112" s="34">
        <v>0.11073872999999999</v>
      </c>
      <c r="X112" s="34"/>
      <c r="Y112" s="98"/>
    </row>
    <row r="113" spans="2:24" x14ac:dyDescent="0.2">
      <c r="B113" s="26" t="s">
        <v>139</v>
      </c>
      <c r="C113" s="34">
        <v>1E-3</v>
      </c>
      <c r="D113" s="34">
        <v>7.5373060000000006E-2</v>
      </c>
      <c r="E113" s="34">
        <v>4.6882050000000001E-2</v>
      </c>
      <c r="F113" s="34">
        <v>5.4216720000000003E-2</v>
      </c>
      <c r="G113" s="34">
        <v>6.7343109999999998E-2</v>
      </c>
      <c r="H113" s="34">
        <v>7.3281109999999997E-2</v>
      </c>
      <c r="I113" s="34">
        <v>6.3735609999999998E-2</v>
      </c>
      <c r="J113" s="34">
        <v>7.1999019999999997E-2</v>
      </c>
      <c r="K113" s="34">
        <v>7.7920139999999999E-2</v>
      </c>
      <c r="L113" s="34">
        <v>7.3665930000000004E-2</v>
      </c>
      <c r="M113" s="34">
        <v>9.2833230000000003E-2</v>
      </c>
      <c r="N113" s="34">
        <v>9.7499160000000001E-2</v>
      </c>
      <c r="O113" s="34">
        <v>0.10431984</v>
      </c>
      <c r="P113" s="34">
        <v>7.7692949999999997E-2</v>
      </c>
      <c r="Q113" s="34">
        <v>8.1896739999999996E-2</v>
      </c>
      <c r="R113" s="34">
        <v>7.226059E-2</v>
      </c>
      <c r="S113" s="34">
        <v>7.2475159999999997E-2</v>
      </c>
      <c r="T113" s="34">
        <v>7.2704249999999998E-2</v>
      </c>
      <c r="U113" s="34">
        <v>7.292216E-2</v>
      </c>
      <c r="V113" s="34">
        <v>7.3112590000000005E-2</v>
      </c>
      <c r="W113" s="34">
        <v>7.3435849999999997E-2</v>
      </c>
      <c r="X113" s="38"/>
    </row>
    <row r="114" spans="2:24" x14ac:dyDescent="0.2">
      <c r="B114" s="26" t="s">
        <v>140</v>
      </c>
      <c r="C114" s="34">
        <v>8.3818409999999996E-2</v>
      </c>
      <c r="D114" s="34">
        <v>6.9391629999999996E-2</v>
      </c>
      <c r="E114" s="34">
        <v>4.6492409999999998E-2</v>
      </c>
      <c r="F114" s="34">
        <v>4.9193250000000001E-2</v>
      </c>
      <c r="G114" s="34">
        <v>5.6712739999999998E-2</v>
      </c>
      <c r="H114" s="34">
        <v>6.4011879999999993E-2</v>
      </c>
      <c r="I114" s="34">
        <v>6.4931299999999997E-2</v>
      </c>
      <c r="J114" s="34">
        <v>6.3912460000000004E-2</v>
      </c>
      <c r="K114" s="34">
        <v>6.1693610000000003E-2</v>
      </c>
      <c r="L114" s="34">
        <v>5.4426040000000002E-2</v>
      </c>
      <c r="M114" s="34">
        <v>8.556656E-2</v>
      </c>
      <c r="N114" s="34">
        <v>8.1653809999999993E-2</v>
      </c>
      <c r="O114" s="34">
        <v>7.5878589999999996E-2</v>
      </c>
      <c r="P114" s="34">
        <v>6.1356269999999997E-2</v>
      </c>
      <c r="Q114" s="34">
        <v>8.1797350000000005E-2</v>
      </c>
      <c r="R114" s="34">
        <v>8.4442320000000001E-2</v>
      </c>
      <c r="S114" s="34">
        <v>6.0270190000000001E-2</v>
      </c>
      <c r="T114" s="34">
        <v>7.2970759999999996E-2</v>
      </c>
      <c r="U114" s="34">
        <v>5.7315959999999999E-2</v>
      </c>
      <c r="V114" s="34">
        <v>6.0796679999999999E-2</v>
      </c>
      <c r="W114" s="34">
        <v>5.7293660000000003E-2</v>
      </c>
      <c r="X114" s="38"/>
    </row>
    <row r="115" spans="2:24" x14ac:dyDescent="0.2">
      <c r="C115" s="38"/>
      <c r="D115" s="38"/>
      <c r="E115" s="34"/>
      <c r="F115" s="34"/>
      <c r="G115" s="38"/>
      <c r="H115" s="118"/>
      <c r="I115" s="118"/>
      <c r="J115" s="118"/>
      <c r="K115" s="118"/>
      <c r="L115" s="118"/>
      <c r="M115" s="118"/>
      <c r="N115" s="118"/>
      <c r="O115" s="118"/>
      <c r="P115" s="118"/>
      <c r="Q115" s="118"/>
      <c r="R115" s="118"/>
      <c r="S115" s="118"/>
      <c r="T115" s="118"/>
      <c r="U115" s="118"/>
      <c r="V115" s="118"/>
      <c r="W115" s="118"/>
      <c r="X115" s="38"/>
    </row>
    <row r="116" spans="2:24" x14ac:dyDescent="0.2">
      <c r="E116" s="34"/>
      <c r="F116" s="34"/>
      <c r="G116" s="121"/>
      <c r="H116" s="121"/>
      <c r="I116" s="121"/>
      <c r="J116" s="121"/>
      <c r="K116" s="121"/>
      <c r="L116" s="121"/>
      <c r="M116" s="121"/>
      <c r="N116" s="121"/>
      <c r="O116" s="121"/>
      <c r="P116" s="121"/>
      <c r="Q116" s="121"/>
      <c r="R116" s="121"/>
      <c r="S116" s="121"/>
      <c r="T116" s="121"/>
      <c r="U116" s="121"/>
      <c r="V116" s="121"/>
      <c r="W116" s="121"/>
    </row>
    <row r="117" spans="2:24" x14ac:dyDescent="0.2">
      <c r="D117" s="259"/>
      <c r="E117" s="259"/>
      <c r="F117" s="259"/>
      <c r="G117" s="259"/>
    </row>
    <row r="118" spans="2:24" x14ac:dyDescent="0.2">
      <c r="D118" s="259"/>
      <c r="E118" s="259"/>
      <c r="F118" s="259"/>
      <c r="G118" s="259"/>
      <c r="H118" s="259"/>
      <c r="I118" s="259"/>
      <c r="J118" s="259"/>
      <c r="K118" s="259"/>
      <c r="L118" s="259"/>
      <c r="M118" s="259"/>
      <c r="N118" s="259"/>
      <c r="O118" s="259"/>
      <c r="P118" s="259"/>
      <c r="Q118" s="259"/>
      <c r="R118" s="259"/>
      <c r="S118" s="259"/>
      <c r="T118" s="259"/>
      <c r="U118" s="121"/>
      <c r="V118" s="121"/>
      <c r="W118" s="121"/>
    </row>
    <row r="119" spans="2:24" x14ac:dyDescent="0.2">
      <c r="E119" s="34"/>
      <c r="F119" s="34"/>
      <c r="G119" s="121"/>
      <c r="H119" s="121"/>
      <c r="I119" s="121"/>
      <c r="J119" s="121"/>
      <c r="K119" s="121"/>
      <c r="L119" s="121"/>
      <c r="M119" s="121"/>
      <c r="N119" s="121"/>
      <c r="O119" s="121"/>
      <c r="P119" s="121"/>
      <c r="Q119" s="121"/>
      <c r="R119" s="121"/>
      <c r="S119" s="121"/>
      <c r="T119" s="121"/>
      <c r="U119" s="121"/>
      <c r="V119" s="121"/>
      <c r="W119" s="121"/>
      <c r="X119" s="121"/>
    </row>
    <row r="120" spans="2:24" x14ac:dyDescent="0.2">
      <c r="G120" s="121"/>
      <c r="H120" s="121"/>
      <c r="I120" s="121"/>
      <c r="J120" s="121"/>
      <c r="K120" s="121"/>
      <c r="L120" s="121"/>
      <c r="M120" s="121"/>
      <c r="N120" s="121"/>
      <c r="O120" s="121"/>
      <c r="P120" s="121"/>
      <c r="Q120" s="121"/>
      <c r="R120" s="121"/>
      <c r="S120" s="121"/>
      <c r="T120" s="121"/>
      <c r="U120" s="121"/>
      <c r="V120" s="121"/>
      <c r="W120" s="121"/>
      <c r="X120" s="121"/>
    </row>
    <row r="121" spans="2:24" x14ac:dyDescent="0.2">
      <c r="E121" s="34"/>
      <c r="F121" s="98"/>
      <c r="G121" s="98"/>
      <c r="H121" s="98"/>
      <c r="I121" s="98"/>
      <c r="J121" s="98"/>
      <c r="K121" s="98"/>
      <c r="L121" s="98"/>
      <c r="M121" s="98"/>
      <c r="N121" s="98"/>
      <c r="O121" s="98"/>
      <c r="P121" s="98"/>
      <c r="Q121" s="98"/>
      <c r="R121" s="98"/>
      <c r="S121" s="98"/>
      <c r="T121" s="98"/>
      <c r="U121" s="98"/>
      <c r="V121" s="98"/>
      <c r="W121" s="98"/>
      <c r="X121" s="121"/>
    </row>
    <row r="122" spans="2:24" x14ac:dyDescent="0.2">
      <c r="E122" s="34"/>
      <c r="F122" s="34"/>
      <c r="G122" s="121"/>
      <c r="H122" s="121"/>
      <c r="I122" s="121"/>
      <c r="J122" s="121"/>
      <c r="K122" s="121"/>
      <c r="L122" s="121"/>
      <c r="M122" s="121"/>
      <c r="N122" s="121"/>
      <c r="O122" s="121"/>
      <c r="P122" s="121"/>
      <c r="Q122" s="121"/>
      <c r="R122" s="121"/>
      <c r="S122" s="121"/>
      <c r="T122" s="121"/>
      <c r="U122" s="121"/>
      <c r="V122" s="121"/>
      <c r="W122" s="121"/>
      <c r="X122" s="121"/>
    </row>
    <row r="123" spans="2:24" x14ac:dyDescent="0.2">
      <c r="G123" s="121"/>
      <c r="H123" s="121"/>
      <c r="I123" s="121"/>
      <c r="J123" s="121"/>
      <c r="K123" s="121"/>
      <c r="L123" s="121"/>
      <c r="M123" s="121"/>
      <c r="N123" s="121"/>
      <c r="O123" s="121"/>
      <c r="P123" s="121"/>
      <c r="Q123" s="121"/>
      <c r="R123" s="121"/>
      <c r="S123" s="121"/>
      <c r="T123" s="121"/>
      <c r="U123" s="121"/>
      <c r="V123" s="121"/>
      <c r="W123" s="121"/>
      <c r="X123" s="121"/>
    </row>
  </sheetData>
  <conditionalFormatting sqref="U10:W43 U45:W52 U82:W103 U105:W129 U54:W80">
    <cfRule type="expression" dxfId="38" priority="1">
      <formula>U$10&gt;($C$6+10)</formula>
    </cfRule>
  </conditionalFormatting>
  <pageMargins left="0.7" right="0.7" top="0.75" bottom="0.75" header="0.3" footer="0.3"/>
  <pageSetup paperSize="9" orientation="portrait" r:id="rId1"/>
  <ignoredErrors>
    <ignoredError sqref="C5:C6 C46:C47" unlockedFormula="1"/>
    <ignoredError sqref="V35:W35 V56:W57 V66:W69 V76:W77 V97:W98 U84:U86 V83:W86 V100:W100 U88:U94 V88:W96" evalErro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FFC000"/>
  </sheetPr>
  <dimension ref="A1:AY135"/>
  <sheetViews>
    <sheetView zoomScaleNormal="100" workbookViewId="0"/>
  </sheetViews>
  <sheetFormatPr defaultColWidth="9.28515625" defaultRowHeight="11.25" outlineLevelRow="1" x14ac:dyDescent="0.2"/>
  <cols>
    <col min="1" max="1" width="9.28515625" style="26" customWidth="1"/>
    <col min="2" max="2" width="57.42578125" style="26" customWidth="1"/>
    <col min="3" max="38" width="9.28515625" style="26" customWidth="1"/>
    <col min="39" max="48" width="11.42578125" style="26" bestFit="1" customWidth="1"/>
    <col min="49" max="16384" width="9.28515625" style="26"/>
  </cols>
  <sheetData>
    <row r="1" spans="1:51" ht="24.75" customHeight="1" x14ac:dyDescent="0.2">
      <c r="B1" s="39"/>
    </row>
    <row r="2" spans="1:51" ht="11.25" customHeight="1" x14ac:dyDescent="0.2">
      <c r="B2" s="27"/>
    </row>
    <row r="3" spans="1:51" ht="11.25" customHeight="1" x14ac:dyDescent="0.2">
      <c r="B3" s="19" t="s">
        <v>15</v>
      </c>
      <c r="C3" s="20" t="str">
        <f>'Input data'!C3</f>
        <v>FR</v>
      </c>
    </row>
    <row r="4" spans="1:51" x14ac:dyDescent="0.2">
      <c r="B4" s="64" t="s">
        <v>38</v>
      </c>
      <c r="C4" s="21"/>
    </row>
    <row r="5" spans="1:51" x14ac:dyDescent="0.2">
      <c r="A5" s="29"/>
      <c r="B5" s="22" t="str">
        <f>'Input data'!B5</f>
        <v>Last year before the adjustment</v>
      </c>
      <c r="C5" s="23">
        <f>+'Input data'!C5</f>
        <v>2024</v>
      </c>
      <c r="J5" s="53"/>
      <c r="M5" s="38"/>
    </row>
    <row r="6" spans="1:51" x14ac:dyDescent="0.2">
      <c r="A6" s="29"/>
      <c r="B6" s="65" t="s">
        <v>44</v>
      </c>
      <c r="C6" s="23">
        <f>+C5+'Criteria results'!$F$5</f>
        <v>2028</v>
      </c>
      <c r="E6" s="43"/>
      <c r="F6" s="29"/>
    </row>
    <row r="7" spans="1:51" x14ac:dyDescent="0.2">
      <c r="A7" s="29"/>
      <c r="B7" s="24" t="s">
        <v>39</v>
      </c>
      <c r="C7" s="66">
        <f>C5+'Criteria results'!$F$5+10</f>
        <v>2038</v>
      </c>
      <c r="E7" s="43"/>
      <c r="F7" s="29"/>
      <c r="G7" s="53"/>
      <c r="H7" s="53"/>
      <c r="I7" s="53"/>
      <c r="J7" s="53"/>
      <c r="K7" s="53"/>
      <c r="L7" s="53"/>
      <c r="M7" s="53"/>
    </row>
    <row r="8" spans="1:51" x14ac:dyDescent="0.2">
      <c r="A8" s="29"/>
      <c r="C8" s="29"/>
      <c r="E8" s="43"/>
      <c r="F8" s="29"/>
      <c r="G8" s="29"/>
      <c r="H8" s="29"/>
      <c r="I8" s="29"/>
      <c r="J8" s="29"/>
      <c r="K8" s="29"/>
      <c r="L8" s="29"/>
      <c r="M8" s="29"/>
      <c r="N8" s="29"/>
      <c r="O8" s="29"/>
      <c r="P8" s="29"/>
      <c r="Q8" s="29"/>
      <c r="R8" s="29"/>
      <c r="S8" s="29"/>
      <c r="T8" s="29"/>
      <c r="U8" s="29"/>
      <c r="V8" s="29"/>
      <c r="W8" s="29"/>
    </row>
    <row r="9" spans="1:51" s="67" customFormat="1" ht="12.75" x14ac:dyDescent="0.2">
      <c r="B9" s="25" t="s">
        <v>45</v>
      </c>
    </row>
    <row r="10" spans="1:51"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1" x14ac:dyDescent="0.2">
      <c r="B11" s="28" t="s">
        <v>46</v>
      </c>
      <c r="C11" s="29"/>
      <c r="D11" s="29"/>
      <c r="E11" s="29"/>
      <c r="F11" s="263"/>
      <c r="G11" s="263"/>
      <c r="H11" s="263"/>
      <c r="I11" s="263"/>
      <c r="J11" s="263"/>
      <c r="K11" s="263"/>
      <c r="L11" s="263"/>
      <c r="M11" s="263"/>
      <c r="N11" s="263"/>
      <c r="O11" s="263"/>
      <c r="P11" s="263"/>
      <c r="Q11" s="263"/>
      <c r="R11" s="263"/>
      <c r="S11" s="263"/>
      <c r="T11" s="263"/>
      <c r="U11" s="263"/>
      <c r="V11" s="263"/>
      <c r="W11" s="263"/>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row>
    <row r="12" spans="1:51" x14ac:dyDescent="0.2">
      <c r="B12" s="26" t="s">
        <v>48</v>
      </c>
      <c r="C12" s="1">
        <f>'Input data'!C13</f>
        <v>-4.5038349999999996</v>
      </c>
      <c r="D12" s="2">
        <f>'Input data'!D13</f>
        <v>-2.9834649999999998</v>
      </c>
      <c r="E12" s="2">
        <f>'Input data'!E13</f>
        <v>-3.6529590000000001</v>
      </c>
      <c r="F12" s="2">
        <f>'Input data'!F13</f>
        <v>-2.968391</v>
      </c>
      <c r="G12" s="3">
        <f>IF(G10&lt;=$C$6,
IF(AND(F87=1,F77&lt;=-3.05,'Criteria results'!$F$6&lt;0.5),F12+0.5,
IF(AND(F78&lt;=-1.55,'Criteria results'!$F$5=4,'Criteria results'!$F$6&lt;0.4),F12+0.4,
IF(AND(F78&lt;=-1.55,'Criteria results'!$F$5=7,'Criteria results'!$F$6&lt;0.25),F12+0.25,
F12+'Criteria results'!$F$6))),F12)</f>
        <v>-2.0283910000000001</v>
      </c>
      <c r="H12" s="3">
        <f>IF(H10&lt;=$C$6,
IF(AND(G87=1,G77&lt;=-3.05,'Criteria results'!$F$6&lt;0.5),G12+0.5,
IF(AND(G78&lt;=-1.55,'Criteria results'!$F$5=4,'Criteria results'!$F$6&lt;0.4),G12+0.4,
IF(AND(G78&lt;=-1.55,'Criteria results'!$F$5=7,'Criteria results'!$F$6&lt;0.25),G12+0.25,
G12+'Criteria results'!$F$6))),G12)</f>
        <v>-1.0883910000000001</v>
      </c>
      <c r="I12" s="3">
        <f>IF(I10&lt;=$C$6,
IF(AND(H87=1,H77&lt;=-3.05,'Criteria results'!$F$6&lt;0.5),H12+0.5,
IF(AND(H78&lt;=-1.55,'Criteria results'!$F$5=4,'Criteria results'!$F$6&lt;0.4),H12+0.4,
IF(AND(H78&lt;=-1.55,'Criteria results'!$F$5=7,'Criteria results'!$F$6&lt;0.25),H12+0.25,
H12+'Criteria results'!$F$6))),H12)</f>
        <v>-0.14839100000000016</v>
      </c>
      <c r="J12" s="3">
        <f>IF(J10&lt;=$C$6,
IF(AND(I87=1,I77&lt;=-3.05,'Criteria results'!$F$6&lt;0.5+J91),I12+0.5+J91,
IF(AND(I78&lt;=-1.55,'Criteria results'!$F$5=4,'Criteria results'!$F$6&lt;0.4),I12+0.4,
IF(AND(I78&lt;=-1.55,'Criteria results'!$F$5=7,'Criteria results'!$F$6&lt;0.25),I12+0.25,
I12+'Criteria results'!$F$6))),I12)</f>
        <v>0.79160899999999979</v>
      </c>
      <c r="K12" s="119">
        <f>IF(K10&lt;=$C$6,
IF(AND(J87=1,J77&lt;=-3.05,'Criteria results'!$F$6&lt;0.5+K91),J12+0.5+K91,
IF(AND(J78&lt;=-1.55,'Criteria results'!$F$5=4,'Criteria results'!$F$6&lt;0.4),J12+0.4,
IF(AND(J78&lt;=-1.55,'Criteria results'!$F$5=7,'Criteria results'!$F$6&lt;0.25),J12+0.25,
J12+'Criteria results'!$F$6))),J12)</f>
        <v>0.79160899999999979</v>
      </c>
      <c r="L12" s="119">
        <f>IF(L10&lt;=$C$6,
IF(AND(K87=1,K77&lt;=-3.05,'Criteria results'!$F$6&lt;0.5+L91),K12+0.5+L91,
IF(AND(K78&lt;=-1.55,'Criteria results'!$F$5=4,'Criteria results'!$F$6&lt;0.4),K12+0.4,
IF(AND(K78&lt;=-1.55,'Criteria results'!$F$5=7,'Criteria results'!$F$6&lt;0.25),K12+0.25,
K12+'Criteria results'!$F$6))),K12)</f>
        <v>0.79160899999999979</v>
      </c>
      <c r="M12" s="119">
        <f>IF(M10&lt;=$C$6,
IF(AND(L87=1,L77&lt;=-3.05,'Criteria results'!$F$6&lt;0.5+M91),L12+0.5+M91,
IF(AND(L78&lt;=-1.55,'Criteria results'!$F$5=4,'Criteria results'!$F$6&lt;0.4),L12+0.4,
IF(AND(L78&lt;=-1.55,'Criteria results'!$F$5=7,'Criteria results'!$F$6&lt;0.25),L12+0.25,
L12+'Criteria results'!$F$6))),L12)</f>
        <v>0.79160899999999979</v>
      </c>
      <c r="N12" s="119">
        <f>M12</f>
        <v>0.79160899999999979</v>
      </c>
      <c r="O12" s="119">
        <f t="shared" ref="O12:W12" si="0">N12</f>
        <v>0.79160899999999979</v>
      </c>
      <c r="P12" s="119">
        <f t="shared" si="0"/>
        <v>0.79160899999999979</v>
      </c>
      <c r="Q12" s="119">
        <f t="shared" si="0"/>
        <v>0.79160899999999979</v>
      </c>
      <c r="R12" s="119">
        <f t="shared" si="0"/>
        <v>0.79160899999999979</v>
      </c>
      <c r="S12" s="119">
        <f t="shared" si="0"/>
        <v>0.79160899999999979</v>
      </c>
      <c r="T12" s="119">
        <f t="shared" si="0"/>
        <v>0.79160899999999979</v>
      </c>
      <c r="U12" s="119">
        <f t="shared" si="0"/>
        <v>0.79160899999999979</v>
      </c>
      <c r="V12" s="119">
        <f t="shared" si="0"/>
        <v>0.79160899999999979</v>
      </c>
      <c r="W12" s="119">
        <f t="shared" si="0"/>
        <v>0.79160899999999979</v>
      </c>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60"/>
    </row>
    <row r="13" spans="1:51" x14ac:dyDescent="0.2">
      <c r="B13" s="305" t="s">
        <v>192</v>
      </c>
      <c r="C13" s="29"/>
      <c r="D13" s="29"/>
      <c r="E13" s="29"/>
      <c r="F13" s="263"/>
      <c r="G13" s="263">
        <f>G12-F12</f>
        <v>0.94</v>
      </c>
      <c r="H13" s="263">
        <f t="shared" ref="H13:W13" si="1">H12-G12</f>
        <v>0.94</v>
      </c>
      <c r="I13" s="263">
        <f t="shared" si="1"/>
        <v>0.94</v>
      </c>
      <c r="J13" s="263">
        <f t="shared" si="1"/>
        <v>0.94</v>
      </c>
      <c r="K13" s="263">
        <f t="shared" si="1"/>
        <v>0</v>
      </c>
      <c r="L13" s="263">
        <f t="shared" si="1"/>
        <v>0</v>
      </c>
      <c r="M13" s="263">
        <f t="shared" si="1"/>
        <v>0</v>
      </c>
      <c r="N13" s="263">
        <f t="shared" si="1"/>
        <v>0</v>
      </c>
      <c r="O13" s="263">
        <f t="shared" si="1"/>
        <v>0</v>
      </c>
      <c r="P13" s="263">
        <f t="shared" si="1"/>
        <v>0</v>
      </c>
      <c r="Q13" s="263">
        <f t="shared" si="1"/>
        <v>0</v>
      </c>
      <c r="R13" s="263">
        <f t="shared" si="1"/>
        <v>0</v>
      </c>
      <c r="S13" s="263">
        <f t="shared" si="1"/>
        <v>0</v>
      </c>
      <c r="T13" s="263">
        <f t="shared" si="1"/>
        <v>0</v>
      </c>
      <c r="U13" s="263">
        <f t="shared" si="1"/>
        <v>0</v>
      </c>
      <c r="V13" s="263">
        <f t="shared" si="1"/>
        <v>0</v>
      </c>
      <c r="W13" s="263">
        <f t="shared" si="1"/>
        <v>0</v>
      </c>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row>
    <row r="14" spans="1:51" x14ac:dyDescent="0.2">
      <c r="B14" s="26" t="s">
        <v>49</v>
      </c>
      <c r="C14" s="1">
        <f>'Input data'!C14</f>
        <v>-8.3968899999999999E-2</v>
      </c>
      <c r="D14" s="2">
        <f>'Input data'!D14</f>
        <v>-7.1994500000000003E-2</v>
      </c>
      <c r="E14" s="2">
        <f>'Input data'!E14</f>
        <v>-6.4214599999999997E-2</v>
      </c>
      <c r="F14" s="2">
        <f>'Input data'!F14</f>
        <v>-3.4462800000000002E-2</v>
      </c>
      <c r="G14" s="2">
        <f>'Input data'!G14</f>
        <v>-3.00179E-2</v>
      </c>
      <c r="H14" s="2">
        <f>0</f>
        <v>0</v>
      </c>
      <c r="I14" s="2">
        <f>0</f>
        <v>0</v>
      </c>
      <c r="J14" s="2">
        <f>0</f>
        <v>0</v>
      </c>
      <c r="K14" s="2">
        <f>0</f>
        <v>0</v>
      </c>
      <c r="L14" s="2">
        <f>0</f>
        <v>0</v>
      </c>
      <c r="M14" s="2">
        <f>0</f>
        <v>0</v>
      </c>
      <c r="N14" s="2">
        <f>0</f>
        <v>0</v>
      </c>
      <c r="O14" s="2">
        <f>0</f>
        <v>0</v>
      </c>
      <c r="P14" s="2">
        <f>0</f>
        <v>0</v>
      </c>
      <c r="Q14" s="2">
        <f>0</f>
        <v>0</v>
      </c>
      <c r="R14" s="2">
        <f>0</f>
        <v>0</v>
      </c>
      <c r="S14" s="2">
        <f>0</f>
        <v>0</v>
      </c>
      <c r="T14" s="2">
        <f>0</f>
        <v>0</v>
      </c>
      <c r="U14" s="2">
        <f>0</f>
        <v>0</v>
      </c>
      <c r="V14" s="2">
        <f>0</f>
        <v>0</v>
      </c>
      <c r="W14" s="2">
        <f>0</f>
        <v>0</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60"/>
    </row>
    <row r="15" spans="1:51" x14ac:dyDescent="0.2">
      <c r="B15" s="26" t="s">
        <v>87</v>
      </c>
      <c r="C15" s="1">
        <f>'Input data'!C15</f>
        <v>-2.11246E-2</v>
      </c>
      <c r="D15" s="2">
        <f>'Input data'!D15</f>
        <v>4.2606100000000001E-2</v>
      </c>
      <c r="E15" s="2">
        <f>'Input data'!E15</f>
        <v>-0.21881729999999999</v>
      </c>
      <c r="F15" s="2">
        <f>'Input data'!F15</f>
        <v>0.21081169999999999</v>
      </c>
      <c r="G15" s="2">
        <f>'Input data'!G15</f>
        <v>3.1292399999999998E-2</v>
      </c>
      <c r="H15" s="2">
        <f>'Input data'!H15</f>
        <v>0</v>
      </c>
      <c r="I15" s="2">
        <f>'Input data'!I15</f>
        <v>0</v>
      </c>
      <c r="J15" s="2">
        <f>'Input data'!J15</f>
        <v>0</v>
      </c>
      <c r="K15" s="2">
        <f>'Input data'!K15</f>
        <v>0</v>
      </c>
      <c r="L15" s="2">
        <f>'Input data'!L15</f>
        <v>0</v>
      </c>
      <c r="M15" s="2">
        <f>'Input data'!M15</f>
        <v>0</v>
      </c>
      <c r="N15" s="2">
        <f>'Input data'!N15</f>
        <v>0</v>
      </c>
      <c r="O15" s="2">
        <f>'Input data'!O15</f>
        <v>0</v>
      </c>
      <c r="P15" s="2">
        <f>'Input data'!P15</f>
        <v>0</v>
      </c>
      <c r="Q15" s="2">
        <f>'Input data'!Q15</f>
        <v>0</v>
      </c>
      <c r="R15" s="2">
        <f>'Input data'!R15</f>
        <v>0</v>
      </c>
      <c r="S15" s="2">
        <f>'Input data'!S15</f>
        <v>0</v>
      </c>
      <c r="T15" s="2">
        <f>'Input data'!T15</f>
        <v>0</v>
      </c>
      <c r="U15" s="2">
        <f>'Input data'!U15</f>
        <v>0</v>
      </c>
      <c r="V15" s="2">
        <f>'Input data'!V15</f>
        <v>0</v>
      </c>
      <c r="W15" s="2">
        <f>'Input data'!W15</f>
        <v>0</v>
      </c>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60"/>
    </row>
    <row r="16" spans="1:51" ht="5.65" customHeight="1" x14ac:dyDescent="0.2">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ht="11.25" customHeight="1" x14ac:dyDescent="0.2">
      <c r="B17" s="30" t="str">
        <f>'Input data'!B19</f>
        <v>Cost of ageing and selected public revenue (based on the Commission-Council 2024 Ageing Report ("AR 2024"))</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x14ac:dyDescent="0.2">
      <c r="A18" s="61"/>
      <c r="B18" s="26" t="s">
        <v>52</v>
      </c>
      <c r="C18" s="1">
        <f>'Input data'!C20</f>
        <v>0</v>
      </c>
      <c r="D18" s="101">
        <f>'Input data'!D20</f>
        <v>28.278850000000006</v>
      </c>
      <c r="E18" s="101">
        <f>'Input data'!E20</f>
        <v>27.552319999999998</v>
      </c>
      <c r="F18" s="101">
        <f>'Input data'!F20</f>
        <v>27.639749999999999</v>
      </c>
      <c r="G18" s="101">
        <f>'Input data'!G20</f>
        <v>27.581780000000002</v>
      </c>
      <c r="H18" s="101">
        <f>'Input data'!H20</f>
        <v>27.593040000000002</v>
      </c>
      <c r="I18" s="101">
        <f>'Input data'!I20</f>
        <v>27.652179999999998</v>
      </c>
      <c r="J18" s="101">
        <f>'Input data'!J20</f>
        <v>27.664160000000003</v>
      </c>
      <c r="K18" s="101">
        <f>'Input data'!K20</f>
        <v>27.636579999999999</v>
      </c>
      <c r="L18" s="101">
        <f>'Input data'!L20</f>
        <v>27.621679999999998</v>
      </c>
      <c r="M18" s="101">
        <f>'Input data'!M20</f>
        <v>27.607300000000002</v>
      </c>
      <c r="N18" s="101">
        <f>'Input data'!N20</f>
        <v>27.60905</v>
      </c>
      <c r="O18" s="101">
        <f>'Input data'!O20</f>
        <v>27.644740000000002</v>
      </c>
      <c r="P18" s="101">
        <f>'Input data'!P20</f>
        <v>27.691210000000002</v>
      </c>
      <c r="Q18" s="101">
        <f>'Input data'!Q20</f>
        <v>27.686630000000005</v>
      </c>
      <c r="R18" s="101">
        <f>'Input data'!R20</f>
        <v>27.686070000000001</v>
      </c>
      <c r="S18" s="101">
        <f>'Input data'!S20</f>
        <v>27.688879999999997</v>
      </c>
      <c r="T18" s="101">
        <f>'Input data'!T20</f>
        <v>27.691020000000002</v>
      </c>
      <c r="U18" s="101">
        <f>'Input data'!U20</f>
        <v>27.68871</v>
      </c>
      <c r="V18" s="101">
        <f>'Input data'!V20</f>
        <v>27.674209999999999</v>
      </c>
      <c r="W18" s="101">
        <f>'Input data'!W20</f>
        <v>27.712189999999996</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spans="1:50" x14ac:dyDescent="0.2">
      <c r="A19" s="61"/>
      <c r="B19" s="26" t="s">
        <v>58</v>
      </c>
      <c r="C19" s="1">
        <f>'Input data'!C26</f>
        <v>0.45969460000000001</v>
      </c>
      <c r="D19" s="101">
        <f>'Input data'!D26</f>
        <v>0.51588199999999995</v>
      </c>
      <c r="E19" s="101">
        <f>'Input data'!E26</f>
        <v>0.5155149</v>
      </c>
      <c r="F19" s="101">
        <f>'Input data'!F26</f>
        <v>0.51514769999999999</v>
      </c>
      <c r="G19" s="101">
        <f>'Input data'!G26</f>
        <v>0.51478060000000003</v>
      </c>
      <c r="H19" s="101">
        <f>'Input data'!H26</f>
        <v>0.51441349999999997</v>
      </c>
      <c r="I19" s="101">
        <f>'Input data'!I26</f>
        <v>0.51404640000000001</v>
      </c>
      <c r="J19" s="101">
        <f>'Input data'!J26</f>
        <v>0.51367929999999995</v>
      </c>
      <c r="K19" s="101">
        <f>'Input data'!K26</f>
        <v>0.5133122</v>
      </c>
      <c r="L19" s="101">
        <f>'Input data'!L26</f>
        <v>0.51294510000000004</v>
      </c>
      <c r="M19" s="101">
        <f>'Input data'!M26</f>
        <v>0.51257799999999998</v>
      </c>
      <c r="N19" s="101">
        <f>'Input data'!N26</f>
        <v>0.51221099999999997</v>
      </c>
      <c r="O19" s="101">
        <f>'Input data'!O26</f>
        <v>0.51184390000000002</v>
      </c>
      <c r="P19" s="101">
        <f>'Input data'!P26</f>
        <v>0.51147679999999995</v>
      </c>
      <c r="Q19" s="101">
        <f>'Input data'!Q26</f>
        <v>0.5111097</v>
      </c>
      <c r="R19" s="101">
        <f>'Input data'!R26</f>
        <v>0.51074269999999999</v>
      </c>
      <c r="S19" s="101">
        <f>'Input data'!S26</f>
        <v>0.51037560000000004</v>
      </c>
      <c r="T19" s="101">
        <f>'Input data'!T26</f>
        <v>0.51000849999999998</v>
      </c>
      <c r="U19" s="101">
        <f>'Input data'!U26</f>
        <v>0.50964140000000002</v>
      </c>
      <c r="V19" s="101">
        <f>'Input data'!V26</f>
        <v>0.50927440000000002</v>
      </c>
      <c r="W19" s="101">
        <f>'Input data'!W26</f>
        <v>0.50890729999999995</v>
      </c>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1" spans="1:50" x14ac:dyDescent="0.2">
      <c r="B21" s="28" t="s">
        <v>88</v>
      </c>
    </row>
    <row r="22" spans="1:50" ht="10.5" customHeight="1" x14ac:dyDescent="0.2">
      <c r="B22" s="30" t="s">
        <v>89</v>
      </c>
    </row>
    <row r="23" spans="1:50" x14ac:dyDescent="0.2">
      <c r="B23" s="26" t="s">
        <v>61</v>
      </c>
      <c r="C23" s="34">
        <f>'Input data'!C31</f>
        <v>2321.011</v>
      </c>
      <c r="D23" s="100">
        <f>'Baseline NFPC'!D22</f>
        <v>2377.9862032033798</v>
      </c>
      <c r="E23" s="100">
        <f>'Baseline NFPC'!E22</f>
        <v>2394.7205296647835</v>
      </c>
      <c r="F23" s="100">
        <f>'Baseline NFPC'!F22</f>
        <v>2412.1658388302208</v>
      </c>
      <c r="G23" s="34">
        <f>IF(AND(G50&gt;1,F50&gt;1),IF(AND(G50&gt;0,F50&gt;0),G27*(G51/100+1),0)+IF(G50&gt;0,F23*(1+G52/100),0)-F23*(1+'Input data'!G30/100),IF(G50=1,G27,F23*(1+G52/100)))</f>
        <v>2433.6317508732877</v>
      </c>
      <c r="H23" s="34">
        <f>IF(AND(H50&gt;1,G50&gt;1),IF(AND(H50&gt;0,G50&gt;0),H27*(H51/100+1),0)+IF(H50&gt;0,G23*(1+H52/100),0)-G23*(1+'Input data'!H30/100),IF(H50=1,H27,G23*(1+H52/100)))</f>
        <v>2436.2397334613038</v>
      </c>
      <c r="I23" s="34">
        <f>IF(AND(I50&gt;1,H50&gt;1),IF(AND(I50&gt;0,H50&gt;0),I27*(I51/100+1),0)+IF(I50&gt;0,H23*(1+I52/100),0)-H23*(1+'Input data'!I30/100),IF(I50=1,I27,H23*(1+I52/100)))</f>
        <v>2438.584200582186</v>
      </c>
      <c r="J23" s="34">
        <f>IF(AND(J50&gt;1,I50&gt;1),IF(AND(J50&gt;0,I50&gt;0),J27*(J51/100+1),0)+IF(J50&gt;0,I23*(1+J52/100),0)-I23*(1+'Input data'!J30/100),IF(J50=1,J27,I23*(1+J52/100)))</f>
        <v>2441.3585428493939</v>
      </c>
      <c r="K23" s="34">
        <f>IF(AND(K50&gt;1,J50&gt;1),IF(AND(K50&gt;0,J50&gt;0),K27*(K51/100+1),0)+IF(K50&gt;0,J23*(1+K52/100),0)-J23*(1+'Input data'!K30/100),IF(K50=1,K27,J23*(1+K52/100)))</f>
        <v>2463.2103662141035</v>
      </c>
      <c r="L23" s="34">
        <f>IF(AND(L50&gt;1,K50&gt;1),IF(AND(L50&gt;0,K50&gt;0),L27*(L51/100+1),0)+IF(L50&gt;0,K23*(1+L52/100),0)-K23*(1+'Input data'!L30/100),IF(L50=1,L27,K23*(1+L52/100)))</f>
        <v>2485.3988955108389</v>
      </c>
      <c r="M23" s="34">
        <f>IF(AND(M50&gt;1,L50&gt;1),IF(AND(M50&gt;0,L50&gt;0),M27*(M51/100+1),0)+IF(M50&gt;0,L23*(1+M52/100),0)-L23*(1+'Input data'!M30/100),IF(M50=1,M27,L23*(1+M52/100)))</f>
        <v>2508.2782200879537</v>
      </c>
      <c r="N23" s="34">
        <f>IF(AND(N50&gt;1,M50&gt;1),IF(AND(N50&gt;0,M50&gt;0),N27*(N51/100+1),0)+IF(N50&gt;0,M23*(1+N52/100),0)-M23*(1+'Input data'!N30/100),IF(N50=1,N27,M23*(1+N52/100)))</f>
        <v>2518.3829568528804</v>
      </c>
      <c r="O23" s="34">
        <f>IF(AND(O50&gt;1,N50&gt;1),IF(AND(O50&gt;0,N50&gt;0),O27*(O51/100+1),0)+IF(O50&gt;0,N23*(1+O52/100),0)-N23*(1+'Input data'!O30/100),IF(O50=1,O27,N23*(1+O52/100)))</f>
        <v>2528.0814435352086</v>
      </c>
      <c r="P23" s="34">
        <f>IF(AND(P50&gt;1,O50&gt;1),IF(AND(P50&gt;0,O50&gt;0),P27*(P51/100+1),0)+IF(P50&gt;0,O23*(1+P52/100),0)-O23*(1+'Input data'!P30/100),IF(P50=1,P27,O23*(1+P52/100)))</f>
        <v>2542.4842749223494</v>
      </c>
      <c r="Q23" s="34">
        <f>IF(AND(Q50&gt;1,P50&gt;1),IF(AND(Q50&gt;0,P50&gt;0),Q27*(Q51/100+1),0)+IF(Q50&gt;0,P23*(1+Q52/100),0)-P23*(1+'Input data'!Q30/100),IF(Q50=1,Q27,P23*(1+Q52/100)))</f>
        <v>2561.6627397624598</v>
      </c>
      <c r="R23" s="34">
        <f>IF(AND(R50&gt;1,Q50&gt;1),IF(AND(R50&gt;0,Q50&gt;0),R27*(R51/100+1),0)+IF(R50&gt;0,Q23*(1+R52/100),0)-Q23*(1+'Input data'!R30/100),IF(R50=1,R27,Q23*(1+R52/100)))</f>
        <v>2585.7147419835783</v>
      </c>
      <c r="S23" s="34">
        <f>IF(AND(S50&gt;1,R50&gt;1),IF(AND(S50&gt;0,R50&gt;0),S27*(S51/100+1),0)+IF(S50&gt;0,R23*(1+S52/100),0)-R23*(1+'Input data'!S30/100),IF(S50=1,S27,R23*(1+S52/100)))</f>
        <v>2612.6607855955581</v>
      </c>
      <c r="T23" s="34">
        <f>IF(AND(T50&gt;1,S50&gt;1),IF(AND(T50&gt;0,S50&gt;0),T27*(T51/100+1),0)+IF(T50&gt;0,S23*(1+T52/100),0)-S23*(1+'Input data'!T30/100),IF(T50=1,T27,S23*(1+T52/100)))</f>
        <v>2643.3700004694483</v>
      </c>
      <c r="U23" s="34">
        <f>IF(AND(U50&gt;1,T50&gt;1),IF(AND(U50&gt;0,T50&gt;0),U27*(U51/100+1),0)+IF(U50&gt;0,T23*(1+U52/100),0)-T23*(1+'Input data'!U30/100),IF(U50=1,U27,T23*(1+U52/100)))</f>
        <v>2678.5003613419876</v>
      </c>
      <c r="V23" s="34">
        <f>IF(AND(V50&gt;1,U50&gt;1),IF(AND(V50&gt;0,U50&gt;0),V27*(V51/100+1),0)+IF(V50&gt;0,U23*(1+V52/100),0)-U23*(1+'Input data'!V30/100),IF(V50=1,V27,U23*(1+V52/100)))</f>
        <v>2718.9786355676924</v>
      </c>
      <c r="W23" s="34">
        <f>IF(AND(W50&gt;1,V50&gt;1),IF(AND(W50&gt;0,V50&gt;0),W27*(W51/100+1),0)+IF(W50&gt;0,V23*(1+W52/100),0)-V23*(1+'Input data'!W30/100),IF(W50=1,W27,V23*(1+W52/100)))</f>
        <v>2760.8802443349127</v>
      </c>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row>
    <row r="24" spans="1:50" x14ac:dyDescent="0.2">
      <c r="A24" s="61"/>
      <c r="B24" s="62" t="s">
        <v>60</v>
      </c>
      <c r="C24" s="34">
        <f>+'Input data'!C30</f>
        <v>6.4352099999999997</v>
      </c>
      <c r="D24" s="100">
        <f>'Baseline NFPC'!D23</f>
        <v>2.454758</v>
      </c>
      <c r="E24" s="100">
        <f>'Baseline NFPC'!E23</f>
        <v>0.70371839999999997</v>
      </c>
      <c r="F24" s="100">
        <f>'Baseline NFPC'!F23</f>
        <v>0.72849039999999998</v>
      </c>
      <c r="G24" s="34">
        <f t="shared" ref="G24:S24" si="2">100*(G23/F23-1)</f>
        <v>0.88990200000000907</v>
      </c>
      <c r="H24" s="34">
        <f t="shared" si="2"/>
        <v>0.10716422429482009</v>
      </c>
      <c r="I24" s="34">
        <f t="shared" si="2"/>
        <v>9.6233022090608245E-2</v>
      </c>
      <c r="J24" s="34">
        <f t="shared" si="2"/>
        <v>0.1137685656515508</v>
      </c>
      <c r="K24" s="34">
        <f t="shared" si="2"/>
        <v>0.8950681754104739</v>
      </c>
      <c r="L24" s="34">
        <f t="shared" si="2"/>
        <v>0.9007971710852658</v>
      </c>
      <c r="M24" s="34">
        <f t="shared" si="2"/>
        <v>0.92054939826520243</v>
      </c>
      <c r="N24" s="34">
        <f t="shared" si="2"/>
        <v>0.40285550000001003</v>
      </c>
      <c r="O24" s="34">
        <f t="shared" si="2"/>
        <v>0.38510769999999805</v>
      </c>
      <c r="P24" s="34">
        <f t="shared" si="2"/>
        <v>0.56971390000000177</v>
      </c>
      <c r="Q24" s="34">
        <f t="shared" si="2"/>
        <v>0.75431990000001115</v>
      </c>
      <c r="R24" s="34">
        <f t="shared" si="2"/>
        <v>0.93892149999998953</v>
      </c>
      <c r="S24" s="34">
        <f t="shared" si="2"/>
        <v>1.042111999999995</v>
      </c>
      <c r="T24" s="34">
        <f>100*(T23/S23-1)</f>
        <v>1.1754000000000042</v>
      </c>
      <c r="U24" s="34">
        <f t="shared" ref="U24" si="3">100*(U23/T23-1)</f>
        <v>1.3289990000000085</v>
      </c>
      <c r="V24" s="34">
        <f t="shared" ref="V24" si="4">100*(V23/U23-1)</f>
        <v>1.5112290000000028</v>
      </c>
      <c r="W24" s="34">
        <f t="shared" ref="W24" si="5">100*(W23/V23-1)</f>
        <v>1.5410790000000008</v>
      </c>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spans="1:50" ht="5.25" customHeight="1" x14ac:dyDescent="0.2">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row>
    <row r="26" spans="1:50" ht="15" x14ac:dyDescent="0.2">
      <c r="A26" s="224"/>
      <c r="B26" s="30" t="s">
        <v>90</v>
      </c>
      <c r="C26" s="223"/>
      <c r="D26" s="223"/>
      <c r="E26" s="223"/>
      <c r="F26" s="223"/>
    </row>
    <row r="27" spans="1:50" x14ac:dyDescent="0.2">
      <c r="B27" s="26" t="s">
        <v>61</v>
      </c>
      <c r="C27" s="34">
        <f>'Input data'!C34</f>
        <v>2344.1460000000002</v>
      </c>
      <c r="D27" s="100">
        <f>+C27*(1+'Input data'!D33/100)</f>
        <v>2369.7540134990404</v>
      </c>
      <c r="E27" s="100">
        <f>+D27*(1+'Input data'!E33/100)</f>
        <v>2396.6660775582618</v>
      </c>
      <c r="F27" s="100">
        <f>+E27*(1+'Input data'!F33/100)</f>
        <v>2422.7374665164953</v>
      </c>
      <c r="G27" s="34">
        <f>+F27*(1+'Input data'!G33/100)</f>
        <v>2446.9776816902327</v>
      </c>
      <c r="H27" s="34">
        <f>+G27*(1+'Input data'!H33/100)</f>
        <v>2462.3500188137496</v>
      </c>
      <c r="I27" s="34">
        <f>+H27*(1+'Input data'!I33/100)</f>
        <v>2473.2435562533324</v>
      </c>
      <c r="J27" s="34">
        <f>+I27*(1+'Input data'!J33/100)</f>
        <v>2481.7361404048984</v>
      </c>
      <c r="K27" s="34">
        <f>+J27*(1+'Input data'!K33/100)</f>
        <v>2490.2207942276877</v>
      </c>
      <c r="L27" s="34">
        <f>+K27*(1+'Input data'!L33/100)</f>
        <v>2498.9514585278339</v>
      </c>
      <c r="M27" s="34">
        <f>+L27*(1+'Input data'!M33/100)</f>
        <v>2508.2782200879537</v>
      </c>
      <c r="N27" s="34">
        <f>+M27*(1+'Input data'!N33/100)</f>
        <v>2518.3828364555252</v>
      </c>
      <c r="O27" s="34">
        <f>+N27*(1+'Input data'!O33/100)</f>
        <v>2528.081254677857</v>
      </c>
      <c r="P27" s="34">
        <f>+O27*(1+'Input data'!P33/100)</f>
        <v>2542.4839889219634</v>
      </c>
      <c r="Q27" s="34">
        <f>+P27*(1+'Input data'!Q33/100)</f>
        <v>2561.6623371929359</v>
      </c>
      <c r="R27" s="34">
        <f>+Q27*(1+'Input data'!R33/100)</f>
        <v>2585.7143125792818</v>
      </c>
      <c r="S27" s="34">
        <f>+R27*(1+'Input data'!S33/100)</f>
        <v>2612.6603000021018</v>
      </c>
      <c r="T27" s="34">
        <f>+S27*(1+'Input data'!T33/100)</f>
        <v>2643.3696136747385</v>
      </c>
      <c r="U27" s="34">
        <f>+T27*(1+'Input data'!U33/100)</f>
        <v>2678.5000222741719</v>
      </c>
      <c r="V27" s="34">
        <f>+U27*(1+'Input data'!V33/100)</f>
        <v>2718.9783985157865</v>
      </c>
      <c r="W27" s="34">
        <f>+V27*(1+'Input data'!W33/100)</f>
        <v>2760.8798948707135</v>
      </c>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row>
    <row r="28" spans="1:50" ht="5.25" customHeight="1" x14ac:dyDescent="0.2">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row>
    <row r="29" spans="1:50" x14ac:dyDescent="0.2">
      <c r="B29" s="30" t="s">
        <v>91</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row>
    <row r="30" spans="1:50" x14ac:dyDescent="0.2">
      <c r="B30" s="26" t="s">
        <v>91</v>
      </c>
      <c r="C30" s="34">
        <f>100*(C23/C27-1)</f>
        <v>-0.98692658221800622</v>
      </c>
      <c r="D30" s="100">
        <f t="shared" ref="D30:T30" si="6">100*(D23/D27-1)</f>
        <v>0.34738583234570353</v>
      </c>
      <c r="E30" s="100">
        <f t="shared" si="6"/>
        <v>-8.1177261684295399E-2</v>
      </c>
      <c r="F30" s="100">
        <f t="shared" si="6"/>
        <v>-0.43635052631083582</v>
      </c>
      <c r="G30" s="34">
        <f t="shared" si="6"/>
        <v>-0.54540468091749394</v>
      </c>
      <c r="H30" s="34">
        <f t="shared" si="6"/>
        <v>-1.0603807400632936</v>
      </c>
      <c r="I30" s="34">
        <f t="shared" si="6"/>
        <v>-1.4013725248980813</v>
      </c>
      <c r="J30" s="34">
        <f t="shared" si="6"/>
        <v>-1.6269899486138328</v>
      </c>
      <c r="K30" s="34">
        <f t="shared" si="6"/>
        <v>-1.0846599657425626</v>
      </c>
      <c r="L30" s="34">
        <f t="shared" si="6"/>
        <v>-0.54232998287125911</v>
      </c>
      <c r="M30" s="34">
        <f>100*(M23/M27-1)</f>
        <v>0</v>
      </c>
      <c r="N30" s="34">
        <f t="shared" si="6"/>
        <v>4.7807407810296354E-6</v>
      </c>
      <c r="O30" s="34">
        <f t="shared" si="6"/>
        <v>7.4703829788802523E-6</v>
      </c>
      <c r="P30" s="34">
        <f t="shared" si="6"/>
        <v>1.1248856912615679E-5</v>
      </c>
      <c r="Q30" s="34">
        <f t="shared" si="6"/>
        <v>1.5715167367424954E-5</v>
      </c>
      <c r="R30" s="34">
        <f t="shared" si="6"/>
        <v>1.6606795827378562E-5</v>
      </c>
      <c r="S30" s="34">
        <f t="shared" si="6"/>
        <v>1.8586168892831267E-5</v>
      </c>
      <c r="T30" s="34">
        <f t="shared" si="6"/>
        <v>1.4632638123401875E-5</v>
      </c>
      <c r="U30" s="34">
        <f t="shared" ref="U30:W30" si="7">100*(U23/U27-1)</f>
        <v>1.2658869241732873E-5</v>
      </c>
      <c r="V30" s="34">
        <f t="shared" si="7"/>
        <v>8.7184181429833529E-6</v>
      </c>
      <c r="W30" s="34">
        <f t="shared" si="7"/>
        <v>1.2657711034869124E-5</v>
      </c>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row>
    <row r="31" spans="1:50" ht="4.9000000000000004" customHeight="1" x14ac:dyDescent="0.2">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row>
    <row r="32" spans="1:50" x14ac:dyDescent="0.2">
      <c r="B32" s="30" t="s">
        <v>92</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row>
    <row r="33" spans="2:51" x14ac:dyDescent="0.2">
      <c r="B33" s="26" t="s">
        <v>60</v>
      </c>
      <c r="C33" s="1">
        <f t="shared" ref="C33:W33" si="8">100*((1+C24/100)*(1+C42/100)-1)</f>
        <v>7.9507899153866024</v>
      </c>
      <c r="D33" s="2">
        <f t="shared" si="8"/>
        <v>5.4743220450848451</v>
      </c>
      <c r="E33" s="2">
        <f t="shared" si="8"/>
        <v>6.2145642353418351</v>
      </c>
      <c r="F33" s="2">
        <f>100*((1+F24/100)*(1+F42/100)-1)</f>
        <v>3.5167607791869226</v>
      </c>
      <c r="G33" s="1">
        <f>100*((1+G24/100)*(1+G42/100)-1)</f>
        <v>2.9498286363781379</v>
      </c>
      <c r="H33" s="1">
        <f t="shared" si="8"/>
        <v>2.2147077141794203</v>
      </c>
      <c r="I33" s="1">
        <f t="shared" si="8"/>
        <v>2.2671378909550732</v>
      </c>
      <c r="J33" s="1">
        <f t="shared" si="8"/>
        <v>2.3486564010936961</v>
      </c>
      <c r="K33" s="1">
        <f t="shared" si="8"/>
        <v>3.2114963532100527</v>
      </c>
      <c r="L33" s="1">
        <f t="shared" si="8"/>
        <v>3.2814595344855979</v>
      </c>
      <c r="M33" s="1">
        <f t="shared" si="8"/>
        <v>3.3657930009513892</v>
      </c>
      <c r="N33" s="1">
        <f t="shared" si="8"/>
        <v>2.8993420046401708</v>
      </c>
      <c r="O33" s="1">
        <f t="shared" si="8"/>
        <v>2.9449279463499956</v>
      </c>
      <c r="P33" s="1">
        <f t="shared" si="8"/>
        <v>3.1065849331274986</v>
      </c>
      <c r="Q33" s="1">
        <f t="shared" si="8"/>
        <v>3.2681401815050082</v>
      </c>
      <c r="R33" s="1">
        <f t="shared" si="8"/>
        <v>3.4295893880124995</v>
      </c>
      <c r="S33" s="1">
        <f t="shared" si="8"/>
        <v>3.5075395327999859</v>
      </c>
      <c r="T33" s="1">
        <f t="shared" si="8"/>
        <v>3.6162565249999945</v>
      </c>
      <c r="U33" s="1">
        <f>100*((1+U24/100)*(1+U42/100)-1)</f>
        <v>3.7456956261499919</v>
      </c>
      <c r="V33" s="1">
        <f t="shared" si="8"/>
        <v>3.9043562236749985</v>
      </c>
      <c r="W33" s="1">
        <f t="shared" si="8"/>
        <v>3.9069861407000195</v>
      </c>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5" spans="2:51" x14ac:dyDescent="0.2">
      <c r="B35" s="28" t="s">
        <v>141</v>
      </c>
    </row>
    <row r="36" spans="2:51" x14ac:dyDescent="0.2">
      <c r="B36" s="26" t="s">
        <v>63</v>
      </c>
      <c r="C36" s="34">
        <f>'Input data'!C37</f>
        <v>1.3072319999999999</v>
      </c>
      <c r="D36" s="100">
        <f>'Input data'!D37</f>
        <v>1.8011330000000001</v>
      </c>
      <c r="E36" s="100">
        <f>'Input data'!E37</f>
        <v>1.6360269999999999</v>
      </c>
      <c r="F36" s="100">
        <f>'Input data'!F37</f>
        <v>1.90473</v>
      </c>
      <c r="G36" s="100">
        <f>'Input data'!G37</f>
        <v>2.1499329999999999</v>
      </c>
      <c r="H36" s="34">
        <f t="shared" ref="H36:W36" si="9">H109</f>
        <v>2.2624335955804127</v>
      </c>
      <c r="I36" s="34">
        <f t="shared" si="9"/>
        <v>2.3656571190916935</v>
      </c>
      <c r="J36" s="34">
        <f t="shared" si="9"/>
        <v>2.4608203898214027</v>
      </c>
      <c r="K36" s="34">
        <f t="shared" si="9"/>
        <v>2.5486874079195405</v>
      </c>
      <c r="L36" s="34">
        <f t="shared" si="9"/>
        <v>2.6329441517892573</v>
      </c>
      <c r="M36" s="34">
        <f t="shared" si="9"/>
        <v>2.7140434675168965</v>
      </c>
      <c r="N36" s="34">
        <f t="shared" si="9"/>
        <v>2.7922821441212311</v>
      </c>
      <c r="O36" s="34">
        <f t="shared" si="9"/>
        <v>2.8701685368371517</v>
      </c>
      <c r="P36" s="34">
        <f t="shared" si="9"/>
        <v>2.9399636293972873</v>
      </c>
      <c r="Q36" s="34">
        <f t="shared" si="9"/>
        <v>3.0043672828038184</v>
      </c>
      <c r="R36" s="34">
        <f t="shared" si="9"/>
        <v>3.0635576645735116</v>
      </c>
      <c r="S36" s="34">
        <f t="shared" si="9"/>
        <v>3.1180214262489456</v>
      </c>
      <c r="T36" s="34">
        <f t="shared" si="9"/>
        <v>3.168206362701508</v>
      </c>
      <c r="U36" s="34">
        <f t="shared" si="9"/>
        <v>3.2145062176713166</v>
      </c>
      <c r="V36" s="34">
        <f t="shared" si="9"/>
        <v>3.2572697643868134</v>
      </c>
      <c r="W36" s="34">
        <f t="shared" si="9"/>
        <v>3.2967924072889536</v>
      </c>
    </row>
    <row r="37" spans="2:51" x14ac:dyDescent="0.2">
      <c r="B37" s="32" t="s">
        <v>94</v>
      </c>
      <c r="C37" s="1"/>
      <c r="D37" s="2">
        <f>'Input data'!D$39</f>
        <v>1.7</v>
      </c>
      <c r="E37" s="2">
        <f>'Input data'!E$39</f>
        <v>2.99</v>
      </c>
      <c r="F37" s="166">
        <f>'Input data'!F$39</f>
        <v>2.964537</v>
      </c>
      <c r="G37" s="166">
        <f>'Input data'!G$39</f>
        <v>3.0634350000000001</v>
      </c>
      <c r="H37" s="1">
        <f>G37+($O$37-$G$37)/($O$10-$G$10)</f>
        <v>3.1385131250000002</v>
      </c>
      <c r="I37" s="1">
        <f t="shared" ref="I37:N37" si="10">H37+($O$37-$G$37)/($O$10-$G$10)</f>
        <v>3.2135912500000003</v>
      </c>
      <c r="J37" s="1">
        <f t="shared" si="10"/>
        <v>3.2886693750000004</v>
      </c>
      <c r="K37" s="1">
        <f t="shared" si="10"/>
        <v>3.3637475000000006</v>
      </c>
      <c r="L37" s="1">
        <f t="shared" si="10"/>
        <v>3.4388256250000007</v>
      </c>
      <c r="M37" s="1">
        <f t="shared" si="10"/>
        <v>3.5139037500000008</v>
      </c>
      <c r="N37" s="1">
        <f t="shared" si="10"/>
        <v>3.5889818750000009</v>
      </c>
      <c r="O37" s="252">
        <f>'Input data'!$C$52</f>
        <v>3.6640600000000001</v>
      </c>
      <c r="P37" s="1">
        <f>'Baseline NFPC'!P36</f>
        <v>3.680857</v>
      </c>
      <c r="Q37" s="1">
        <f>'Baseline NFPC'!Q36</f>
        <v>3.697654</v>
      </c>
      <c r="R37" s="1">
        <f>'Baseline NFPC'!R36</f>
        <v>3.7144509999999999</v>
      </c>
      <c r="S37" s="1">
        <f>'Baseline NFPC'!S36</f>
        <v>3.7312479999999999</v>
      </c>
      <c r="T37" s="1">
        <f>'Baseline NFPC'!T36</f>
        <v>3.7480450000000003</v>
      </c>
      <c r="U37" s="1">
        <f>'Baseline NFPC'!U36</f>
        <v>3.7648420000000002</v>
      </c>
      <c r="V37" s="1">
        <f>'Baseline NFPC'!V36</f>
        <v>3.7816390000000002</v>
      </c>
      <c r="W37" s="1">
        <f>'Baseline NFPC'!W36</f>
        <v>3.7984360000000001</v>
      </c>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60"/>
    </row>
    <row r="38" spans="2:51" x14ac:dyDescent="0.2">
      <c r="B38" s="32" t="s">
        <v>95</v>
      </c>
      <c r="C38" s="1"/>
      <c r="D38" s="2">
        <f>'Input data'!D$38</f>
        <v>0.35</v>
      </c>
      <c r="E38" s="2">
        <f>'Input data'!E$38</f>
        <v>3.43</v>
      </c>
      <c r="F38" s="166">
        <f>'Input data'!F$38</f>
        <v>3.5642079999999998</v>
      </c>
      <c r="G38" s="166">
        <f>'Input data'!G$38</f>
        <v>2.8163749999999999</v>
      </c>
      <c r="H38" s="1">
        <f>G38+($O$38-$G$38)/($O$10-$G$10)</f>
        <v>2.8050893749999997</v>
      </c>
      <c r="I38" s="1">
        <f t="shared" ref="I38:N38" si="11">H38+($O$38-$G$38)/($O$10-$G$10)</f>
        <v>2.7938037499999995</v>
      </c>
      <c r="J38" s="1">
        <f t="shared" si="11"/>
        <v>2.7825181249999993</v>
      </c>
      <c r="K38" s="1">
        <f t="shared" si="11"/>
        <v>2.7712324999999991</v>
      </c>
      <c r="L38" s="1">
        <f t="shared" si="11"/>
        <v>2.7599468749999989</v>
      </c>
      <c r="M38" s="1">
        <f t="shared" si="11"/>
        <v>2.7486612499999987</v>
      </c>
      <c r="N38" s="1">
        <f t="shared" si="11"/>
        <v>2.7373756249999985</v>
      </c>
      <c r="O38" s="252">
        <f>'Input data'!$C$53</f>
        <v>2.7260900000000001</v>
      </c>
      <c r="P38" s="1">
        <f>'Baseline NFPC'!P37</f>
        <v>2.6897855000000002</v>
      </c>
      <c r="Q38" s="1">
        <f>'Baseline NFPC'!Q37</f>
        <v>2.6534810000000002</v>
      </c>
      <c r="R38" s="1">
        <f>'Baseline NFPC'!R37</f>
        <v>2.6171765000000002</v>
      </c>
      <c r="S38" s="1">
        <f>'Baseline NFPC'!S37</f>
        <v>2.5808720000000003</v>
      </c>
      <c r="T38" s="1">
        <f>'Baseline NFPC'!T37</f>
        <v>2.5445675000000003</v>
      </c>
      <c r="U38" s="1">
        <f>'Baseline NFPC'!U37</f>
        <v>2.5082629999999999</v>
      </c>
      <c r="V38" s="1">
        <f>'Baseline NFPC'!V37</f>
        <v>2.4719584999999999</v>
      </c>
      <c r="W38" s="1">
        <f>'Baseline NFPC'!W37</f>
        <v>2.435654</v>
      </c>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60"/>
    </row>
    <row r="39" spans="2:51" s="5" customFormat="1" ht="12.75" x14ac:dyDescent="0.2">
      <c r="B39" s="26" t="s">
        <v>96</v>
      </c>
      <c r="C39" s="34">
        <f>'Baseline NFPC'!C38</f>
        <v>7.7938480000000004E-2</v>
      </c>
      <c r="D39" s="34">
        <f>'Baseline NFPC'!D38</f>
        <v>8.1557229999999994E-2</v>
      </c>
      <c r="E39" s="34">
        <f>'Baseline NFPC'!E38</f>
        <v>7.994946E-2</v>
      </c>
      <c r="F39" s="34">
        <f>'Baseline NFPC'!F38</f>
        <v>7.9901810000000004E-2</v>
      </c>
      <c r="G39" s="34">
        <f>'Baseline NFPC'!G38</f>
        <v>8.0347219999999997E-2</v>
      </c>
      <c r="H39" s="34">
        <f>'Baseline NFPC'!H38</f>
        <v>8.0792630000000004E-2</v>
      </c>
      <c r="I39" s="34">
        <f>'Baseline NFPC'!I38</f>
        <v>8.1238039999999997E-2</v>
      </c>
      <c r="J39" s="34">
        <f>'Baseline NFPC'!J38</f>
        <v>8.1683450000000005E-2</v>
      </c>
      <c r="K39" s="34">
        <f>'Baseline NFPC'!K38</f>
        <v>8.2128859999999998E-2</v>
      </c>
      <c r="L39" s="34">
        <f>'Baseline NFPC'!L38</f>
        <v>8.2574270000000005E-2</v>
      </c>
      <c r="M39" s="34">
        <f>'Baseline NFPC'!M38</f>
        <v>8.3019679999999998E-2</v>
      </c>
      <c r="N39" s="34">
        <f>'Baseline NFPC'!N38</f>
        <v>8.3465090000000006E-2</v>
      </c>
      <c r="O39" s="34">
        <f>'Baseline NFPC'!O38</f>
        <v>8.3910499999999999E-2</v>
      </c>
      <c r="P39" s="34">
        <f>'Baseline NFPC'!P38</f>
        <v>8.3910499999999999E-2</v>
      </c>
      <c r="Q39" s="34">
        <f>'Baseline NFPC'!Q38</f>
        <v>8.3910499999999999E-2</v>
      </c>
      <c r="R39" s="34">
        <f>'Baseline NFPC'!R38</f>
        <v>8.3910499999999999E-2</v>
      </c>
      <c r="S39" s="34">
        <f>'Baseline NFPC'!S38</f>
        <v>8.3910499999999999E-2</v>
      </c>
      <c r="T39" s="34">
        <f>'Baseline NFPC'!T38</f>
        <v>8.3910499999999999E-2</v>
      </c>
      <c r="U39" s="34">
        <f>'Baseline NFPC'!U38</f>
        <v>8.3910499999999999E-2</v>
      </c>
      <c r="V39" s="34">
        <f>'Baseline NFPC'!V38</f>
        <v>8.3910499999999999E-2</v>
      </c>
      <c r="W39" s="34">
        <f>'Baseline NFPC'!W38</f>
        <v>8.3910499999999999E-2</v>
      </c>
    </row>
    <row r="40" spans="2:51" x14ac:dyDescent="0.2">
      <c r="C40" s="1"/>
      <c r="D40" s="1"/>
      <c r="E40" s="104"/>
      <c r="F40" s="104"/>
      <c r="G40" s="104"/>
      <c r="H40" s="104"/>
      <c r="I40" s="104"/>
      <c r="J40" s="104"/>
      <c r="K40" s="104"/>
      <c r="L40" s="104"/>
      <c r="M40" s="104"/>
      <c r="N40" s="104"/>
      <c r="O40" s="1"/>
      <c r="P40" s="1"/>
      <c r="Q40" s="1"/>
      <c r="R40" s="1"/>
      <c r="S40" s="1"/>
      <c r="T40" s="1"/>
      <c r="U40" s="1"/>
      <c r="V40" s="1"/>
      <c r="W40" s="1"/>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60"/>
    </row>
    <row r="41" spans="2:51" x14ac:dyDescent="0.2">
      <c r="B41" s="28" t="s">
        <v>97</v>
      </c>
      <c r="C41" s="1"/>
      <c r="D41" s="1"/>
      <c r="E41" s="1"/>
      <c r="F41" s="1"/>
      <c r="G41" s="1"/>
      <c r="H41" s="1"/>
      <c r="I41" s="1"/>
      <c r="J41" s="1"/>
      <c r="K41" s="1"/>
      <c r="L41" s="1"/>
      <c r="M41" s="1"/>
      <c r="N41" s="1"/>
      <c r="O41" s="1"/>
      <c r="P41" s="1"/>
      <c r="Q41" s="1"/>
      <c r="R41" s="1"/>
      <c r="S41" s="1"/>
      <c r="T41" s="1"/>
      <c r="U41" s="1"/>
      <c r="V41" s="1"/>
      <c r="W41" s="1"/>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60"/>
    </row>
    <row r="42" spans="2:51" x14ac:dyDescent="0.2">
      <c r="B42" s="26" t="s">
        <v>142</v>
      </c>
      <c r="C42" s="1">
        <f>'Input data'!C42</f>
        <v>1.4239459999999999</v>
      </c>
      <c r="D42" s="2">
        <f>'Input data'!D42</f>
        <v>2.9472170000000002</v>
      </c>
      <c r="E42" s="2">
        <f>'Input data'!E42</f>
        <v>5.4723360000000003</v>
      </c>
      <c r="F42" s="2">
        <f>'Input data'!F42</f>
        <v>2.7681049999999998</v>
      </c>
      <c r="G42" s="2">
        <f>'Input data'!G42</f>
        <v>2.041757</v>
      </c>
      <c r="H42" s="1">
        <f>'Baseline NFPC'!H41</f>
        <v>2.1052873750000001</v>
      </c>
      <c r="I42" s="1">
        <f>'Baseline NFPC'!I41</f>
        <v>2.1688177500000001</v>
      </c>
      <c r="J42" s="1">
        <f>'Baseline NFPC'!J41</f>
        <v>2.2323481250000001</v>
      </c>
      <c r="K42" s="1">
        <f>'Baseline NFPC'!K41</f>
        <v>2.2958784999999997</v>
      </c>
      <c r="L42" s="1">
        <f>'Baseline NFPC'!L41</f>
        <v>2.3594088749999997</v>
      </c>
      <c r="M42" s="1">
        <f>'Baseline NFPC'!M41</f>
        <v>2.4229392499999998</v>
      </c>
      <c r="N42" s="1">
        <f>'Baseline NFPC'!N41</f>
        <v>2.4864696249999998</v>
      </c>
      <c r="O42" s="252">
        <f>'Baseline NFPC'!O41</f>
        <v>2.5499999999999998</v>
      </c>
      <c r="P42" s="1">
        <f>'Baseline NFPC'!P41</f>
        <v>2.5225</v>
      </c>
      <c r="Q42" s="1">
        <f>'Baseline NFPC'!Q41</f>
        <v>2.4949999999999997</v>
      </c>
      <c r="R42" s="1">
        <f>'Baseline NFPC'!R41</f>
        <v>2.4674999999999998</v>
      </c>
      <c r="S42" s="1">
        <f>'Baseline NFPC'!S41</f>
        <v>2.44</v>
      </c>
      <c r="T42" s="1">
        <f>'Baseline NFPC'!T41</f>
        <v>2.4124999999999996</v>
      </c>
      <c r="U42" s="1">
        <f>'Baseline NFPC'!U41</f>
        <v>2.3849999999999998</v>
      </c>
      <c r="V42" s="1">
        <f>'Baseline NFPC'!V41</f>
        <v>2.3574999999999999</v>
      </c>
      <c r="W42" s="1">
        <f>'Baseline NFPC'!W41</f>
        <v>2.33</v>
      </c>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60"/>
    </row>
    <row r="43" spans="2:51" x14ac:dyDescent="0.2">
      <c r="B43" s="26" t="s">
        <v>98</v>
      </c>
      <c r="C43" s="1">
        <f>'Baseline NFPC'!C42</f>
        <v>1</v>
      </c>
      <c r="D43" s="1">
        <f>'Baseline NFPC'!D42</f>
        <v>1</v>
      </c>
      <c r="E43" s="1">
        <f>'Baseline NFPC'!E42</f>
        <v>1</v>
      </c>
      <c r="F43" s="1">
        <f>'Baseline NFPC'!F42</f>
        <v>0.99999990000000005</v>
      </c>
      <c r="G43" s="1">
        <f>'Baseline NFPC'!G42</f>
        <v>1</v>
      </c>
      <c r="H43" s="1">
        <f>'Baseline NFPC'!H42</f>
        <v>1</v>
      </c>
      <c r="I43" s="1">
        <f>'Baseline NFPC'!I42</f>
        <v>1</v>
      </c>
      <c r="J43" s="1">
        <f>'Baseline NFPC'!J42</f>
        <v>1</v>
      </c>
      <c r="K43" s="1">
        <f>'Baseline NFPC'!K42</f>
        <v>1</v>
      </c>
      <c r="L43" s="1">
        <f>'Baseline NFPC'!L42</f>
        <v>1</v>
      </c>
      <c r="M43" s="1">
        <f>'Baseline NFPC'!M42</f>
        <v>1</v>
      </c>
      <c r="N43" s="1">
        <f>'Baseline NFPC'!N42</f>
        <v>1</v>
      </c>
      <c r="O43" s="1">
        <f>'Baseline NFPC'!O42</f>
        <v>1</v>
      </c>
      <c r="P43" s="1">
        <f>'Baseline NFPC'!P42</f>
        <v>1</v>
      </c>
      <c r="Q43" s="1">
        <f>'Baseline NFPC'!Q42</f>
        <v>1</v>
      </c>
      <c r="R43" s="1">
        <f>'Baseline NFPC'!R42</f>
        <v>1</v>
      </c>
      <c r="S43" s="1">
        <f>'Baseline NFPC'!S42</f>
        <v>1</v>
      </c>
      <c r="T43" s="1">
        <f>'Baseline NFPC'!T42</f>
        <v>1</v>
      </c>
      <c r="U43" s="1">
        <f>'Baseline NFPC'!U42</f>
        <v>1</v>
      </c>
      <c r="V43" s="1">
        <f>'Baseline NFPC'!V42</f>
        <v>1</v>
      </c>
      <c r="W43" s="1">
        <f>'Baseline NFPC'!W42</f>
        <v>1</v>
      </c>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3"/>
      <c r="AX43" s="63"/>
      <c r="AY43" s="60"/>
    </row>
    <row r="44" spans="2:51" x14ac:dyDescent="0.2">
      <c r="C44" s="1"/>
      <c r="D44" s="1"/>
      <c r="E44" s="1"/>
      <c r="F44" s="1"/>
      <c r="G44" s="1"/>
      <c r="H44" s="1"/>
      <c r="I44" s="1"/>
      <c r="J44" s="1"/>
      <c r="K44" s="1"/>
      <c r="L44" s="1"/>
      <c r="M44" s="1"/>
      <c r="N44" s="1"/>
      <c r="O44" s="1"/>
      <c r="P44" s="1"/>
      <c r="Q44" s="1"/>
      <c r="R44" s="1"/>
      <c r="S44" s="1"/>
      <c r="T44" s="1"/>
      <c r="U44" s="1"/>
      <c r="V44" s="1"/>
      <c r="W44" s="1"/>
    </row>
    <row r="45" spans="2:51" s="67" customFormat="1" ht="12.75" x14ac:dyDescent="0.2">
      <c r="B45" s="75" t="s">
        <v>99</v>
      </c>
      <c r="C45" s="68"/>
    </row>
    <row r="46" spans="2:51" x14ac:dyDescent="0.2">
      <c r="C46" s="36"/>
    </row>
    <row r="47" spans="2:51" x14ac:dyDescent="0.2">
      <c r="B47" s="54" t="s">
        <v>68</v>
      </c>
      <c r="C47" s="55">
        <f>'Input data'!C49</f>
        <v>0.75</v>
      </c>
    </row>
    <row r="48" spans="2:51" x14ac:dyDescent="0.2">
      <c r="B48" s="56" t="s">
        <v>258</v>
      </c>
      <c r="C48" s="57">
        <f>'Input data'!C50</f>
        <v>0.63</v>
      </c>
    </row>
    <row r="49" spans="2:48" x14ac:dyDescent="0.2">
      <c r="C49" s="58"/>
    </row>
    <row r="50" spans="2:48" outlineLevel="1" x14ac:dyDescent="0.2">
      <c r="B50" s="26" t="s">
        <v>100</v>
      </c>
      <c r="C50" s="34">
        <v>0</v>
      </c>
      <c r="D50" s="34">
        <f>IF(AND(ABS((D12-C12)-('Input data'!D13-'Input data'!C13))&gt;0.0001,ABS(D12-C12)&gt;0.0001,D$10&gt;$C$5),4,IF(C50=4,3,IF(C50=3,2,IF(C50=2,1,0))))</f>
        <v>0</v>
      </c>
      <c r="E50" s="34">
        <f>IF(AND(ABS((E12-D12)-('Input data'!E13-'Input data'!D13))&gt;0.0001,ABS(E12-D12)&gt;0.0001,E$10&gt;$C$5),4,IF(D50=4,3,IF(D50=3,2,IF(D50=2,1,0))))</f>
        <v>0</v>
      </c>
      <c r="F50" s="34">
        <f>IF(AND(ABS((F12-E12)-('Input data'!F13-'Input data'!E13))&gt;0.0001,ABS(F12-E12)&gt;0.0001,F$10&gt;$C$5),4,IF(E50=4,3,IF(E50=3,2,IF(E50=2,1,0))))</f>
        <v>0</v>
      </c>
      <c r="G50" s="34">
        <f>IF(AND(ABS((G12-F12)-('Input data'!G13-'Input data'!F13))&gt;0.0001,ABS(G12-F12)&gt;0.0001,G$10&gt;$C$5),4,IF(F50=4,3,IF(F50=3,2,IF(F50=2,1,0))))</f>
        <v>4</v>
      </c>
      <c r="H50" s="34">
        <f>IF(AND(ABS((H12-G12)-('Input data'!H13-'Input data'!G13))&gt;0.0001,ABS(H12-G12)&gt;0.0001,H$10&gt;$C$5),4,IF(G50=4,3,IF(G50=3,2,IF(G50=2,1,0))))</f>
        <v>4</v>
      </c>
      <c r="I50" s="34">
        <f>IF(AND(ABS((I12-H12)-('Input data'!I13-'Input data'!H13))&gt;0.0001,ABS(I12-H12)&gt;0.0001,I$10&gt;$C$5),4,IF(H50=4,3,IF(H50=3,2,IF(H50=2,1,0))))</f>
        <v>4</v>
      </c>
      <c r="J50" s="34">
        <f>IF(AND(ABS((J12-I12)-('Input data'!J13-'Input data'!I13))&gt;0.0001,ABS(J12-I12)&gt;0.0001,J$10&gt;$C$5),4,IF(I50=4,3,IF(I50=3,2,IF(I50=2,1,0))))</f>
        <v>4</v>
      </c>
      <c r="K50" s="34">
        <f>IF(AND(ABS((K12-J12)-('Input data'!K13-'Input data'!J13))&gt;0.0001,ABS(K12-J12)&gt;0.0001,K$10&gt;$C$5),4,IF(J50=4,3,IF(J50=3,2,IF(J50=2,1,0))))</f>
        <v>3</v>
      </c>
      <c r="L50" s="34">
        <f>IF(AND(ABS((L12-K12)-('Input data'!L13-'Input data'!K13))&gt;0.0001,ABS(L12-K12)&gt;0.0001,L$10&gt;$C$5),4,IF(K50=4,3,IF(K50=3,2,IF(K50=2,1,0))))</f>
        <v>2</v>
      </c>
      <c r="M50" s="34">
        <f>IF(AND(ABS((M12-L12)-('Input data'!M13-'Input data'!L13))&gt;0.0001,ABS(M12-L12)&gt;0.0001,M$10&gt;$C$5),4,IF(L50=4,3,IF(L50=3,2,IF(L50=2,1,0))))</f>
        <v>1</v>
      </c>
      <c r="N50" s="34">
        <f>IF(AND(ABS((N12-M12)-('Input data'!N13-'Input data'!M13))&gt;0.0001,ABS(N12-M12)&gt;0.0001,N$10&gt;$C$5),4,IF(M50=4,3,IF(M50=3,2,IF(M50=2,1,0))))</f>
        <v>0</v>
      </c>
      <c r="O50" s="34">
        <f>IF(AND(ABS((O12-N12)-('Input data'!O13-'Input data'!N13))&gt;0.0001,ABS(O12-N12)&gt;0.0001,O$10&gt;$C$5),4,IF(N50=4,3,IF(N50=3,2,IF(N50=2,1,0))))</f>
        <v>0</v>
      </c>
      <c r="P50" s="34">
        <f>IF(AND(ABS((P12-O12)-('Input data'!P13-'Input data'!O13))&gt;0.0001,ABS(P12-O12)&gt;0.0001,P$10&gt;$C$5),4,IF(O50=4,3,IF(O50=3,2,IF(O50=2,1,0))))</f>
        <v>0</v>
      </c>
      <c r="Q50" s="34">
        <f>IF(AND(ABS((Q12-P12)-('Input data'!Q13-'Input data'!P13))&gt;0.0001,ABS(Q12-P12)&gt;0.0001,Q$10&gt;$C$5),4,IF(P50=4,3,IF(P50=3,2,IF(P50=2,1,0))))</f>
        <v>0</v>
      </c>
      <c r="R50" s="34">
        <f>IF(AND(ABS((R12-Q12)-('Input data'!R13-'Input data'!Q13))&gt;0.0001,ABS(R12-Q12)&gt;0.0001,R$10&gt;$C$5),4,IF(Q50=4,3,IF(Q50=3,2,IF(Q50=2,1,0))))</f>
        <v>0</v>
      </c>
      <c r="S50" s="34">
        <f>IF(AND(ABS((S12-R12)-('Input data'!S13-'Input data'!R13))&gt;0.0001,ABS(S12-R12)&gt;0.0001,S$10&gt;$C$5),4,IF(R50=4,3,IF(R50=3,2,IF(R50=2,1,0))))</f>
        <v>0</v>
      </c>
      <c r="T50" s="34">
        <f>IF(AND(ABS((T12-S12)-('Input data'!T13-'Input data'!S13))&gt;0.0001,ABS(T12-S12)&gt;0.0001,T$10&gt;$C$5),4,IF(S50=4,3,IF(S50=3,2,IF(S50=2,1,0))))</f>
        <v>0</v>
      </c>
      <c r="U50" s="34">
        <f>IF(AND(ABS((U12-T12)-('Input data'!U13-'Input data'!T13))&gt;0.0001,ABS(U12-T12)&gt;0.0001,U$10&gt;$C$5),4,IF(T50=4,3,IF(T50=3,2,IF(T50=2,1,0))))</f>
        <v>0</v>
      </c>
      <c r="V50" s="34">
        <f>IF(AND(ABS((V12-U12)-('Input data'!V13-'Input data'!U13))&gt;0.0001,ABS(V12-U12)&gt;0.0001,V$10&gt;$C$5),4,IF(U50=4,3,IF(U50=3,2,IF(U50=2,1,0))))</f>
        <v>0</v>
      </c>
      <c r="W50" s="34">
        <f>IF(AND(ABS((W12-V12)-('Input data'!W13-'Input data'!V13))&gt;0.0001,ABS(W12-V12)&gt;0.0001,W$10&gt;$C$5),4,IF(V50=4,3,IF(V50=3,2,IF(V50=2,1,0))))</f>
        <v>0</v>
      </c>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row>
    <row r="51" spans="2:48" outlineLevel="1" x14ac:dyDescent="0.2">
      <c r="B51" s="26" t="s">
        <v>101</v>
      </c>
      <c r="C51" s="34">
        <v>0</v>
      </c>
      <c r="D51" s="34">
        <f t="shared" ref="D51:W51" si="12">IF(C50=4,2/3*C30,IF(C50=3,1/3*B30,0))</f>
        <v>0</v>
      </c>
      <c r="E51" s="34">
        <f t="shared" si="12"/>
        <v>0</v>
      </c>
      <c r="F51" s="34">
        <f t="shared" si="12"/>
        <v>0</v>
      </c>
      <c r="G51" s="34">
        <f t="shared" si="12"/>
        <v>0</v>
      </c>
      <c r="H51" s="34">
        <f t="shared" si="12"/>
        <v>-0.36360312061166261</v>
      </c>
      <c r="I51" s="34">
        <f t="shared" si="12"/>
        <v>-0.70692049337552909</v>
      </c>
      <c r="J51" s="34">
        <f t="shared" si="12"/>
        <v>-0.93424834993205419</v>
      </c>
      <c r="K51" s="34">
        <f t="shared" si="12"/>
        <v>-1.0846599657425551</v>
      </c>
      <c r="L51" s="34">
        <f t="shared" si="12"/>
        <v>-0.54232998287127754</v>
      </c>
      <c r="M51" s="34">
        <f t="shared" si="12"/>
        <v>0</v>
      </c>
      <c r="N51" s="34">
        <f t="shared" si="12"/>
        <v>0</v>
      </c>
      <c r="O51" s="34">
        <f t="shared" si="12"/>
        <v>0</v>
      </c>
      <c r="P51" s="34">
        <f t="shared" si="12"/>
        <v>0</v>
      </c>
      <c r="Q51" s="34">
        <f t="shared" si="12"/>
        <v>0</v>
      </c>
      <c r="R51" s="34">
        <f t="shared" si="12"/>
        <v>0</v>
      </c>
      <c r="S51" s="34">
        <f t="shared" si="12"/>
        <v>0</v>
      </c>
      <c r="T51" s="34">
        <f t="shared" si="12"/>
        <v>0</v>
      </c>
      <c r="U51" s="34">
        <f t="shared" si="12"/>
        <v>0</v>
      </c>
      <c r="V51" s="34">
        <f t="shared" si="12"/>
        <v>0</v>
      </c>
      <c r="W51" s="34">
        <f t="shared" si="12"/>
        <v>0</v>
      </c>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row>
    <row r="52" spans="2:48" outlineLevel="1" x14ac:dyDescent="0.2">
      <c r="B52" s="26" t="s">
        <v>102</v>
      </c>
      <c r="C52" s="34"/>
      <c r="D52" s="34">
        <f>'Input data'!D30-$C$47*((D12-C12)-('Input data'!D13-'Input data'!C13))</f>
        <v>2.454758</v>
      </c>
      <c r="E52" s="34">
        <f>'Input data'!E30-$C$47*((E12-D12)-('Input data'!E13-'Input data'!D13))</f>
        <v>0.70371839999999997</v>
      </c>
      <c r="F52" s="34">
        <f>'Input data'!F30-$C$47*((F12-E12)-('Input data'!F13-'Input data'!E13))</f>
        <v>0.72849039999999998</v>
      </c>
      <c r="G52" s="34">
        <f>'Input data'!G30-$C$47*((G12-F12))</f>
        <v>0.88990200000000008</v>
      </c>
      <c r="H52" s="34">
        <f>'Input data'!H30-$C$47*((H12-G12))</f>
        <v>-0.12688599999999994</v>
      </c>
      <c r="I52" s="34">
        <f>'Input data'!I30-$C$47*((I12-H12))</f>
        <v>-0.32930079999999995</v>
      </c>
      <c r="J52" s="34">
        <f>'Input data'!J30-$C$47*((J12-I12))</f>
        <v>-0.39495749999999996</v>
      </c>
      <c r="K52" s="34">
        <f>'Input data'!K30-$C$47*((K12-J12))</f>
        <v>0.34188239999999998</v>
      </c>
      <c r="L52" s="34">
        <f>'Input data'!L30-$C$47*((L12-K12))</f>
        <v>0.35059990000000002</v>
      </c>
      <c r="M52" s="34">
        <f>'Input data'!M30-$C$47*((M12-L12))</f>
        <v>0.37322290000000002</v>
      </c>
      <c r="N52" s="34">
        <f>'Input data'!N30-$C$47*((N12-M12))</f>
        <v>0.40285549999999998</v>
      </c>
      <c r="O52" s="34">
        <f>'Input data'!O30-$C$47*((O12-N12))</f>
        <v>0.3851077</v>
      </c>
      <c r="P52" s="34">
        <f>'Input data'!P30-$C$47*((P12-O12))</f>
        <v>0.5697139</v>
      </c>
      <c r="Q52" s="34">
        <f>'Input data'!Q30-$C$47*((Q12-P12))</f>
        <v>0.75431990000000004</v>
      </c>
      <c r="R52" s="34">
        <f>'Input data'!R30-$C$47*((R12-Q12))</f>
        <v>0.93892149999999996</v>
      </c>
      <c r="S52" s="34">
        <f>'Input data'!S30-$C$47*((S12-R12))</f>
        <v>1.0421119999999999</v>
      </c>
      <c r="T52" s="34">
        <f>'Input data'!T30-$C$47*((T12-S12))</f>
        <v>1.1754</v>
      </c>
      <c r="U52" s="34">
        <f>'Input data'!U30-$C$47*((U12-T12))</f>
        <v>1.328999</v>
      </c>
      <c r="V52" s="34">
        <f>'Input data'!V30-$C$47*((V12-U12))</f>
        <v>1.5112289999999999</v>
      </c>
      <c r="W52" s="34">
        <f>'Input data'!W30-$C$47*((W12-V12))</f>
        <v>1.5410790000000001</v>
      </c>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row>
    <row r="53" spans="2:48" x14ac:dyDescent="0.2">
      <c r="C53" s="36"/>
    </row>
    <row r="54" spans="2:48" s="67" customFormat="1" ht="12.75" outlineLevel="1" x14ac:dyDescent="0.2">
      <c r="B54" s="72" t="s">
        <v>103</v>
      </c>
      <c r="C54" s="69"/>
      <c r="E54" s="70"/>
      <c r="F54" s="69"/>
    </row>
    <row r="55" spans="2:48" outlineLevel="1" x14ac:dyDescent="0.2">
      <c r="B55" s="43"/>
      <c r="C55" s="29"/>
      <c r="E55" s="44"/>
      <c r="F55" s="29"/>
    </row>
    <row r="56" spans="2:48" outlineLevel="1" x14ac:dyDescent="0.2">
      <c r="B56" s="85"/>
      <c r="C56" s="86">
        <v>2021</v>
      </c>
      <c r="D56" s="86">
        <v>2022</v>
      </c>
      <c r="E56" s="86">
        <v>2023</v>
      </c>
      <c r="F56" s="86">
        <v>2024</v>
      </c>
      <c r="G56" s="86">
        <v>2025</v>
      </c>
      <c r="H56" s="86">
        <v>2026</v>
      </c>
      <c r="I56" s="86">
        <v>2027</v>
      </c>
      <c r="J56" s="86">
        <v>2028</v>
      </c>
      <c r="K56" s="86">
        <v>2029</v>
      </c>
      <c r="L56" s="86">
        <v>2030</v>
      </c>
      <c r="M56" s="86">
        <v>2031</v>
      </c>
      <c r="N56" s="86">
        <v>2032</v>
      </c>
      <c r="O56" s="86">
        <v>2033</v>
      </c>
      <c r="P56" s="86">
        <v>2034</v>
      </c>
      <c r="Q56" s="86">
        <v>2035</v>
      </c>
      <c r="R56" s="86">
        <v>2036</v>
      </c>
      <c r="S56" s="86">
        <v>2037</v>
      </c>
      <c r="T56" s="86">
        <v>2038</v>
      </c>
      <c r="U56" s="86">
        <v>2039</v>
      </c>
      <c r="V56" s="86">
        <v>2040</v>
      </c>
      <c r="W56" s="86">
        <v>2041</v>
      </c>
    </row>
    <row r="57" spans="2:48" ht="10.5" customHeight="1" outlineLevel="1" x14ac:dyDescent="0.2">
      <c r="B57" s="87" t="s">
        <v>104</v>
      </c>
      <c r="C57" s="45">
        <f>+'Input data'!C12</f>
        <v>112.97329999999999</v>
      </c>
      <c r="D57" s="45">
        <f>+C57+D58</f>
        <v>111.9181670256222</v>
      </c>
      <c r="E57" s="45">
        <f>+D57+E58</f>
        <v>110.64326790048331</v>
      </c>
      <c r="F57" s="45">
        <f>+E57+F58</f>
        <v>112.40882173205914</v>
      </c>
      <c r="G57" s="45">
        <f>+F57+G58</f>
        <v>113.96873574495558</v>
      </c>
      <c r="H57" s="45">
        <f t="shared" ref="H57:S57" si="13">+G57+H58</f>
        <v>115.77838065922458</v>
      </c>
      <c r="I57" s="45">
        <f t="shared" si="13"/>
        <v>116.92117165766111</v>
      </c>
      <c r="J57" s="45">
        <f t="shared" si="13"/>
        <v>117.28270034717907</v>
      </c>
      <c r="K57" s="45">
        <f t="shared" si="13"/>
        <v>116.3940420920207</v>
      </c>
      <c r="L57" s="45">
        <f t="shared" si="13"/>
        <v>115.17150448362032</v>
      </c>
      <c r="M57" s="45">
        <f t="shared" si="13"/>
        <v>113.59794901750452</v>
      </c>
      <c r="N57" s="45">
        <f t="shared" si="13"/>
        <v>112.63450426242881</v>
      </c>
      <c r="O57" s="45">
        <f t="shared" si="13"/>
        <v>111.7435099006877</v>
      </c>
      <c r="P57" s="45">
        <f t="shared" si="13"/>
        <v>110.80056765042947</v>
      </c>
      <c r="Q57" s="45">
        <f t="shared" si="13"/>
        <v>109.75097572995541</v>
      </c>
      <c r="R57" s="45">
        <f t="shared" si="13"/>
        <v>108.5958000998274</v>
      </c>
      <c r="S57" s="45">
        <f t="shared" si="13"/>
        <v>107.42353691390102</v>
      </c>
      <c r="T57" s="45">
        <f>+S57+T58</f>
        <v>106.19793615773025</v>
      </c>
      <c r="U57" s="45">
        <f>+T57+U58</f>
        <v>104.89116193207212</v>
      </c>
      <c r="V57" s="45">
        <f t="shared" ref="V57" si="14">+U57+V58</f>
        <v>103.46077033792356</v>
      </c>
      <c r="W57" s="45">
        <f t="shared" ref="W57" si="15">+V57+W58</f>
        <v>102.11438203227299</v>
      </c>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row>
    <row r="58" spans="2:48" outlineLevel="1" x14ac:dyDescent="0.2">
      <c r="B58" s="88" t="s">
        <v>105</v>
      </c>
      <c r="C58" s="47"/>
      <c r="D58" s="47">
        <f>-D59+D67+D72</f>
        <v>-1.0551329743777931</v>
      </c>
      <c r="E58" s="47">
        <f>-E59+E67+E72</f>
        <v>-1.2748991251388937</v>
      </c>
      <c r="F58" s="47">
        <f>-F59+F67+F72</f>
        <v>1.7655538315758266</v>
      </c>
      <c r="G58" s="47">
        <f>-G59+G67+G72</f>
        <v>1.559914012896445</v>
      </c>
      <c r="H58" s="47">
        <f t="shared" ref="H58:S58" si="16">-H59+H67+H72</f>
        <v>1.8096449142689994</v>
      </c>
      <c r="I58" s="47">
        <f t="shared" si="16"/>
        <v>1.1427909984365296</v>
      </c>
      <c r="J58" s="47">
        <f t="shared" si="16"/>
        <v>0.36152868951796968</v>
      </c>
      <c r="K58" s="47">
        <f t="shared" si="16"/>
        <v>-0.88865825515837937</v>
      </c>
      <c r="L58" s="47">
        <f t="shared" si="16"/>
        <v>-1.2225376084003687</v>
      </c>
      <c r="M58" s="47">
        <f t="shared" si="16"/>
        <v>-1.5735554661158118</v>
      </c>
      <c r="N58" s="47">
        <f t="shared" si="16"/>
        <v>-0.96344475507570904</v>
      </c>
      <c r="O58" s="47">
        <f t="shared" si="16"/>
        <v>-0.8909943617411088</v>
      </c>
      <c r="P58" s="47">
        <f t="shared" si="16"/>
        <v>-0.94294225025822043</v>
      </c>
      <c r="Q58" s="47">
        <f t="shared" si="16"/>
        <v>-1.0495919204740627</v>
      </c>
      <c r="R58" s="47">
        <f t="shared" si="16"/>
        <v>-1.1551756301280081</v>
      </c>
      <c r="S58" s="47">
        <f t="shared" si="16"/>
        <v>-1.1722631859263886</v>
      </c>
      <c r="T58" s="47">
        <f>-T59+T67+T72</f>
        <v>-1.2256007561707647</v>
      </c>
      <c r="U58" s="47">
        <f t="shared" ref="U58:W58" si="17">-U59+U67+U72</f>
        <v>-1.306774225658129</v>
      </c>
      <c r="V58" s="47">
        <f t="shared" si="17"/>
        <v>-1.4303915941485568</v>
      </c>
      <c r="W58" s="47">
        <f t="shared" si="17"/>
        <v>-1.3463883056505717</v>
      </c>
    </row>
    <row r="59" spans="2:48" outlineLevel="1" x14ac:dyDescent="0.2">
      <c r="B59" s="84" t="s">
        <v>106</v>
      </c>
      <c r="C59" s="48"/>
      <c r="D59" s="48">
        <f>D60+D61-D62-D63-D64-D65-D66</f>
        <v>-2.836606425622207</v>
      </c>
      <c r="E59" s="48">
        <f t="shared" ref="E59:R59" si="18">E60+E61-E62-E63-E64-E65-E66</f>
        <v>-3.7683152748611062</v>
      </c>
      <c r="F59" s="48">
        <f t="shared" si="18"/>
        <v>-3.2777546315758266</v>
      </c>
      <c r="G59" s="48">
        <f t="shared" si="18"/>
        <v>-2.4020138489780209</v>
      </c>
      <c r="H59" s="48">
        <f t="shared" si="18"/>
        <v>-1.7564308662398751</v>
      </c>
      <c r="I59" s="48">
        <f t="shared" si="18"/>
        <v>-1.0312556906857915</v>
      </c>
      <c r="J59" s="48">
        <f t="shared" si="18"/>
        <v>-0.2333946676267149</v>
      </c>
      <c r="K59" s="48">
        <f t="shared" si="18"/>
        <v>0.13548612158218931</v>
      </c>
      <c r="L59" s="48">
        <f t="shared" si="18"/>
        <v>0.49168691079111138</v>
      </c>
      <c r="M59" s="48">
        <f t="shared" si="18"/>
        <v>0.84736770000000017</v>
      </c>
      <c r="N59" s="48">
        <f t="shared" si="18"/>
        <v>0.84525371186669451</v>
      </c>
      <c r="O59" s="48">
        <f t="shared" si="18"/>
        <v>0.80919830634127676</v>
      </c>
      <c r="P59" s="48">
        <f t="shared" si="18"/>
        <v>0.76236358677985561</v>
      </c>
      <c r="Q59" s="48">
        <f t="shared" si="18"/>
        <v>0.76657930055543932</v>
      </c>
      <c r="R59" s="48">
        <f t="shared" si="18"/>
        <v>0.76677286228137276</v>
      </c>
      <c r="S59" s="48">
        <f>S60+S61-S62-S63-S64-S65-S66</f>
        <v>0.76359700928640739</v>
      </c>
      <c r="T59" s="48">
        <f>T60+T61-T62-T63-T64-T65-T66</f>
        <v>0.76108741856201834</v>
      </c>
      <c r="U59" s="48">
        <f>U60+U61-U62-U63-U64-U65-U66</f>
        <v>0.7630290750876243</v>
      </c>
      <c r="V59" s="48">
        <f t="shared" ref="V59:W59" si="19">V60+V61-V62-V63-V64-V65-V66</f>
        <v>0.77715959260343381</v>
      </c>
      <c r="W59" s="48">
        <f t="shared" si="19"/>
        <v>0.73881497435795818</v>
      </c>
    </row>
    <row r="60" spans="2:48" outlineLevel="1" x14ac:dyDescent="0.2">
      <c r="B60" s="79" t="s">
        <v>107</v>
      </c>
      <c r="C60" s="1"/>
      <c r="D60" s="1">
        <f>D12</f>
        <v>-2.9834649999999998</v>
      </c>
      <c r="E60" s="1">
        <f>E12</f>
        <v>-3.6529590000000001</v>
      </c>
      <c r="F60" s="1">
        <f>F12</f>
        <v>-2.968391</v>
      </c>
      <c r="G60" s="1">
        <f t="shared" ref="G60:W60" si="20">IF(G12="",F60,G12)</f>
        <v>-2.0283910000000001</v>
      </c>
      <c r="H60" s="1">
        <f t="shared" si="20"/>
        <v>-1.0883910000000001</v>
      </c>
      <c r="I60" s="1">
        <f t="shared" si="20"/>
        <v>-0.14839100000000016</v>
      </c>
      <c r="J60" s="1">
        <f t="shared" si="20"/>
        <v>0.79160899999999979</v>
      </c>
      <c r="K60" s="1">
        <f t="shared" si="20"/>
        <v>0.79160899999999979</v>
      </c>
      <c r="L60" s="1">
        <f t="shared" si="20"/>
        <v>0.79160899999999979</v>
      </c>
      <c r="M60" s="1">
        <f t="shared" si="20"/>
        <v>0.79160899999999979</v>
      </c>
      <c r="N60" s="1">
        <f t="shared" si="20"/>
        <v>0.79160899999999979</v>
      </c>
      <c r="O60" s="1">
        <f t="shared" si="20"/>
        <v>0.79160899999999979</v>
      </c>
      <c r="P60" s="1">
        <f t="shared" si="20"/>
        <v>0.79160899999999979</v>
      </c>
      <c r="Q60" s="1">
        <f t="shared" si="20"/>
        <v>0.79160899999999979</v>
      </c>
      <c r="R60" s="1">
        <f t="shared" si="20"/>
        <v>0.79160899999999979</v>
      </c>
      <c r="S60" s="1">
        <f t="shared" si="20"/>
        <v>0.79160899999999979</v>
      </c>
      <c r="T60" s="1">
        <f t="shared" si="20"/>
        <v>0.79160899999999979</v>
      </c>
      <c r="U60" s="1">
        <f t="shared" si="20"/>
        <v>0.79160899999999979</v>
      </c>
      <c r="V60" s="1">
        <f t="shared" si="20"/>
        <v>0.79160899999999979</v>
      </c>
      <c r="W60" s="1">
        <f t="shared" si="20"/>
        <v>0.79160899999999979</v>
      </c>
    </row>
    <row r="61" spans="2:48" outlineLevel="1" x14ac:dyDescent="0.2">
      <c r="B61" s="79" t="s">
        <v>108</v>
      </c>
      <c r="C61" s="1"/>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row>
    <row r="62" spans="2:48" outlineLevel="1" x14ac:dyDescent="0.2">
      <c r="B62" s="79" t="s">
        <v>109</v>
      </c>
      <c r="C62" s="1"/>
      <c r="D62" s="1">
        <f t="shared" ref="D62:W62" si="21">-$C$48*D30</f>
        <v>-0.21885307437779322</v>
      </c>
      <c r="E62" s="1">
        <f t="shared" si="21"/>
        <v>5.1141674861106101E-2</v>
      </c>
      <c r="F62" s="1">
        <f t="shared" si="21"/>
        <v>0.27490083157582657</v>
      </c>
      <c r="G62" s="1">
        <f t="shared" si="21"/>
        <v>0.34360494897802119</v>
      </c>
      <c r="H62" s="1">
        <f t="shared" si="21"/>
        <v>0.66803986623987499</v>
      </c>
      <c r="I62" s="1">
        <f t="shared" si="21"/>
        <v>0.88286469068579121</v>
      </c>
      <c r="J62" s="1">
        <f t="shared" si="21"/>
        <v>1.0250036676267147</v>
      </c>
      <c r="K62" s="1">
        <f t="shared" si="21"/>
        <v>0.68333577841781445</v>
      </c>
      <c r="L62" s="1">
        <f t="shared" si="21"/>
        <v>0.34166788920889324</v>
      </c>
      <c r="M62" s="1">
        <f>-$C$48*M30</f>
        <v>0</v>
      </c>
      <c r="N62" s="1">
        <f t="shared" si="21"/>
        <v>-3.0118666920486703E-6</v>
      </c>
      <c r="O62" s="1">
        <f t="shared" si="21"/>
        <v>-4.7063412766945589E-6</v>
      </c>
      <c r="P62" s="1">
        <f t="shared" si="21"/>
        <v>-7.0867798549478778E-6</v>
      </c>
      <c r="Q62" s="1">
        <f t="shared" si="21"/>
        <v>-9.9005554414777208E-6</v>
      </c>
      <c r="R62" s="1">
        <f t="shared" si="21"/>
        <v>-1.0462281371248494E-5</v>
      </c>
      <c r="S62" s="1">
        <f t="shared" si="21"/>
        <v>-1.1709286402483698E-5</v>
      </c>
      <c r="T62" s="1">
        <f t="shared" si="21"/>
        <v>-9.2185620177431815E-6</v>
      </c>
      <c r="U62" s="1">
        <f>-$C$48*U30</f>
        <v>-7.97508762229171E-6</v>
      </c>
      <c r="V62" s="1">
        <f t="shared" si="21"/>
        <v>-5.4926034300795123E-6</v>
      </c>
      <c r="W62" s="1">
        <f t="shared" si="21"/>
        <v>-7.9743579519675478E-6</v>
      </c>
    </row>
    <row r="63" spans="2:48" outlineLevel="1" x14ac:dyDescent="0.2">
      <c r="B63" s="79" t="s">
        <v>110</v>
      </c>
      <c r="C63" s="1"/>
      <c r="D63" s="1">
        <f t="shared" ref="D63:W63" si="22">-D14</f>
        <v>7.1994500000000003E-2</v>
      </c>
      <c r="E63" s="1">
        <f t="shared" si="22"/>
        <v>6.4214599999999997E-2</v>
      </c>
      <c r="F63" s="1">
        <f t="shared" si="22"/>
        <v>3.4462800000000002E-2</v>
      </c>
      <c r="G63" s="1">
        <f t="shared" si="22"/>
        <v>3.00179E-2</v>
      </c>
      <c r="H63" s="1">
        <f t="shared" si="22"/>
        <v>0</v>
      </c>
      <c r="I63" s="1">
        <f t="shared" si="22"/>
        <v>0</v>
      </c>
      <c r="J63" s="1">
        <f t="shared" si="22"/>
        <v>0</v>
      </c>
      <c r="K63" s="1">
        <f t="shared" si="22"/>
        <v>0</v>
      </c>
      <c r="L63" s="1">
        <f t="shared" si="22"/>
        <v>0</v>
      </c>
      <c r="M63" s="1">
        <f t="shared" si="22"/>
        <v>0</v>
      </c>
      <c r="N63" s="1">
        <f t="shared" si="22"/>
        <v>0</v>
      </c>
      <c r="O63" s="1">
        <f t="shared" si="22"/>
        <v>0</v>
      </c>
      <c r="P63" s="1">
        <f t="shared" si="22"/>
        <v>0</v>
      </c>
      <c r="Q63" s="1">
        <f t="shared" si="22"/>
        <v>0</v>
      </c>
      <c r="R63" s="1">
        <f t="shared" si="22"/>
        <v>0</v>
      </c>
      <c r="S63" s="1">
        <f t="shared" si="22"/>
        <v>0</v>
      </c>
      <c r="T63" s="1">
        <f t="shared" si="22"/>
        <v>0</v>
      </c>
      <c r="U63" s="1">
        <f t="shared" si="22"/>
        <v>0</v>
      </c>
      <c r="V63" s="1">
        <f t="shared" si="22"/>
        <v>0</v>
      </c>
      <c r="W63" s="1">
        <f t="shared" si="22"/>
        <v>0</v>
      </c>
    </row>
    <row r="64" spans="2:48" outlineLevel="1" x14ac:dyDescent="0.2">
      <c r="B64" s="79" t="s">
        <v>111</v>
      </c>
      <c r="C64" s="1"/>
      <c r="D64" s="1">
        <f>IF(D$56&lt;=$C$6,0,HLOOKUP(D$56,'Input data'!$C$9:$BB$26,12,FALSE)-HLOOKUP($C$6,'Input data'!$C$9:$BB$26,12,FALSE))</f>
        <v>0</v>
      </c>
      <c r="E64" s="1">
        <f>IF(E$56&lt;=$C$6,0,HLOOKUP(E$56,'Input data'!$C$9:$BB$26,12,FALSE)-HLOOKUP($C$6,'Input data'!$C$9:$BB$26,12,FALSE))</f>
        <v>0</v>
      </c>
      <c r="F64" s="1">
        <f>IF(F$56&lt;=$C$6,0,HLOOKUP(F$56,'Input data'!$C$9:$BB$26,12,FALSE)-HLOOKUP($C$6,'Input data'!$C$9:$BB$26,12,FALSE))</f>
        <v>0</v>
      </c>
      <c r="G64" s="1">
        <f>IF(G$56&lt;=$C$6,0,HLOOKUP(G$56,'Input data'!$C$9:$BB$26,12,FALSE)-HLOOKUP($C$6,'Input data'!$C$9:$BB$26,12,FALSE))</f>
        <v>0</v>
      </c>
      <c r="H64" s="1">
        <f>IF(H$56&lt;=$C$6,0,HLOOKUP(H$56,'Input data'!$C$9:$BB$26,12,FALSE)-HLOOKUP($C$6,'Input data'!$C$9:$BB$26,12,FALSE))</f>
        <v>0</v>
      </c>
      <c r="I64" s="1">
        <f>IF(I$56&lt;=$C$6,0,HLOOKUP(I$56,'Input data'!$C$9:$BB$26,12,FALSE)-HLOOKUP($C$6,'Input data'!$C$9:$BB$26,12,FALSE))</f>
        <v>0</v>
      </c>
      <c r="J64" s="1">
        <f>IF(J$56&lt;=$C$6,0,HLOOKUP(J$56,'Input data'!$C$9:$BB$26,12,FALSE)-HLOOKUP($C$6,'Input data'!$C$9:$BB$26,12,FALSE))</f>
        <v>0</v>
      </c>
      <c r="K64" s="1">
        <f>IF(K$56&lt;=$C$6,0,HLOOKUP(K$56,'Input data'!$C$9:$BB$26,12,FALSE)-HLOOKUP($C$6,'Input data'!$C$9:$BB$26,12,FALSE))</f>
        <v>-2.7580000000003935E-2</v>
      </c>
      <c r="L64" s="1">
        <f>IF(L$56&lt;=$C$6,0,HLOOKUP(L$56,'Input data'!$C$9:$BB$26,12,FALSE)-HLOOKUP($C$6,'Input data'!$C$9:$BB$26,12,FALSE))</f>
        <v>-4.2480000000004736E-2</v>
      </c>
      <c r="M64" s="1">
        <f>IF(M$56&lt;=$C$6,0,HLOOKUP(M$56,'Input data'!$C$9:$BB$26,12,FALSE)-HLOOKUP($C$6,'Input data'!$C$9:$BB$26,12,FALSE))</f>
        <v>-5.6860000000000355E-2</v>
      </c>
      <c r="N64" s="1">
        <f>IF(N$56&lt;=$C$6,0,HLOOKUP(N$56,'Input data'!$C$9:$BB$26,12,FALSE)-HLOOKUP($C$6,'Input data'!$C$9:$BB$26,12,FALSE))</f>
        <v>-5.5110000000002657E-2</v>
      </c>
      <c r="O64" s="1">
        <f>IF(O$56&lt;=$C$6,0,HLOOKUP(O$56,'Input data'!$C$9:$BB$26,12,FALSE)-HLOOKUP($C$6,'Input data'!$C$9:$BB$26,12,FALSE))</f>
        <v>-1.9420000000000215E-2</v>
      </c>
      <c r="P64" s="1">
        <f>IF(P$56&lt;=$C$6,0,HLOOKUP(P$56,'Input data'!$C$9:$BB$26,12,FALSE)-HLOOKUP($C$6,'Input data'!$C$9:$BB$26,12,FALSE))</f>
        <v>2.704999999999913E-2</v>
      </c>
      <c r="Q64" s="1">
        <f>IF(Q$56&lt;=$C$6,0,HLOOKUP(Q$56,'Input data'!$C$9:$BB$26,12,FALSE)-HLOOKUP($C$6,'Input data'!$C$9:$BB$26,12,FALSE))</f>
        <v>2.2470000000001988E-2</v>
      </c>
      <c r="R64" s="1">
        <f>IF(R$56&lt;=$C$6,0,HLOOKUP(R$56,'Input data'!$C$9:$BB$26,12,FALSE)-HLOOKUP($C$6,'Input data'!$C$9:$BB$26,12,FALSE))</f>
        <v>2.190999999999832E-2</v>
      </c>
      <c r="S64" s="1">
        <f>IF(S$56&lt;=$C$6,0,HLOOKUP(S$56,'Input data'!$C$9:$BB$26,12,FALSE)-HLOOKUP($C$6,'Input data'!$C$9:$BB$26,12,FALSE))</f>
        <v>2.4719999999994968E-2</v>
      </c>
      <c r="T64" s="1">
        <f>IF(T$56&lt;=$C$6,0,HLOOKUP(T$56,'Input data'!$C$9:$BB$26,12,FALSE)-HLOOKUP($C$6,'Input data'!$C$9:$BB$26,12,FALSE))</f>
        <v>2.6859999999999218E-2</v>
      </c>
      <c r="U64" s="1">
        <f>IF(U$56&lt;=$C$6,0,HLOOKUP(U$56,'Input data'!$C$9:$BB$26,12,FALSE)-HLOOKUP($C$6,'Input data'!$C$9:$BB$26,12,FALSE))</f>
        <v>2.4549999999997851E-2</v>
      </c>
      <c r="V64" s="1">
        <f>IF(V$56&lt;=$C$6,0,HLOOKUP(V$56,'Input data'!$C$9:$BB$26,12,FALSE)-HLOOKUP($C$6,'Input data'!$C$9:$BB$26,12,FALSE))</f>
        <v>1.0049999999996118E-2</v>
      </c>
      <c r="W64" s="1">
        <f>IF(W$56&lt;=$C$6,0,HLOOKUP(W$56,'Input data'!$C$9:$BB$26,12,FALSE)-HLOOKUP($C$6,'Input data'!$C$9:$BB$26,12,FALSE))</f>
        <v>4.8029999999993578E-2</v>
      </c>
    </row>
    <row r="65" spans="2:23" outlineLevel="1" x14ac:dyDescent="0.2">
      <c r="B65" s="79" t="s">
        <v>112</v>
      </c>
      <c r="C65" s="1"/>
      <c r="D65" s="1">
        <f>IF(D$56&lt;=$C$5,0,-HLOOKUP(D$56,'Input data'!$C$9:$BB$26,18,FALSE)+HLOOKUP($C$6,'Input data'!$C$9:$BB$26,18,FALSE))</f>
        <v>0</v>
      </c>
      <c r="E65" s="1">
        <f>IF(E$56&lt;=$C$5,0,-HLOOKUP(E$56,'Input data'!$C$9:$BB$26,18,FALSE)+HLOOKUP($C$6,'Input data'!$C$9:$BB$26,18,FALSE))</f>
        <v>0</v>
      </c>
      <c r="F65" s="1">
        <f>IF(F$56&lt;=$C$5,0,-HLOOKUP(F$56,'Input data'!$C$9:$BB$26,18,FALSE)+HLOOKUP($C$6,'Input data'!$C$9:$BB$26,18,FALSE))</f>
        <v>0</v>
      </c>
      <c r="G65" s="1">
        <f>IF(G$56&lt;=$C$6,0,-HLOOKUP(G$56,'Input data'!$C$9:$BB$26,18,FALSE)+HLOOKUP($C$6,'Input data'!$C$9:$BB$26,18,FALSE))</f>
        <v>0</v>
      </c>
      <c r="H65" s="1">
        <f>IF(H$56&lt;=$C$6,0,-HLOOKUP(H$56,'Input data'!$C$9:$BB$26,18,FALSE)+HLOOKUP($C$6,'Input data'!$C$9:$BB$26,18,FALSE))</f>
        <v>0</v>
      </c>
      <c r="I65" s="1">
        <f>IF(I$56&lt;=$C$6,0,-HLOOKUP(I$56,'Input data'!$C$9:$BB$26,18,FALSE)+HLOOKUP($C$6,'Input data'!$C$9:$BB$26,18,FALSE))</f>
        <v>0</v>
      </c>
      <c r="J65" s="1">
        <f>IF(J$56&lt;=$C$6,0,-HLOOKUP(J$56,'Input data'!$C$9:$BB$26,18,FALSE)+HLOOKUP($C$6,'Input data'!$C$9:$BB$26,18,FALSE))</f>
        <v>0</v>
      </c>
      <c r="K65" s="1">
        <f>IF(K$56&lt;=$C$6,0,-HLOOKUP(K$56,'Input data'!$C$9:$BB$26,18,FALSE)+HLOOKUP($C$6,'Input data'!$C$9:$BB$26,18,FALSE))</f>
        <v>3.6709999999995357E-4</v>
      </c>
      <c r="L65" s="1">
        <f>IF(L$56&lt;=$C$6,0,-HLOOKUP(L$56,'Input data'!$C$9:$BB$26,18,FALSE)+HLOOKUP($C$6,'Input data'!$C$9:$BB$26,18,FALSE))</f>
        <v>7.3419999999990715E-4</v>
      </c>
      <c r="M65" s="1">
        <f>IF(M$56&lt;=$C$6,0,-HLOOKUP(M$56,'Input data'!$C$9:$BB$26,18,FALSE)+HLOOKUP($C$6,'Input data'!$C$9:$BB$26,18,FALSE))</f>
        <v>1.1012999999999717E-3</v>
      </c>
      <c r="N65" s="1">
        <f>IF(N$56&lt;=$C$6,0,-HLOOKUP(N$56,'Input data'!$C$9:$BB$26,18,FALSE)+HLOOKUP($C$6,'Input data'!$C$9:$BB$26,18,FALSE))</f>
        <v>1.468299999999978E-3</v>
      </c>
      <c r="O65" s="1">
        <f>IF(O$56&lt;=$C$6,0,-HLOOKUP(O$56,'Input data'!$C$9:$BB$26,18,FALSE)+HLOOKUP($C$6,'Input data'!$C$9:$BB$26,18,FALSE))</f>
        <v>1.8353999999999315E-3</v>
      </c>
      <c r="P65" s="1">
        <f>IF(P$56&lt;=$C$6,0,-HLOOKUP(P$56,'Input data'!$C$9:$BB$26,18,FALSE)+HLOOKUP($C$6,'Input data'!$C$9:$BB$26,18,FALSE))</f>
        <v>2.2024999999999961E-3</v>
      </c>
      <c r="Q65" s="1">
        <f>IF(Q$56&lt;=$C$6,0,-HLOOKUP(Q$56,'Input data'!$C$9:$BB$26,18,FALSE)+HLOOKUP($C$6,'Input data'!$C$9:$BB$26,18,FALSE))</f>
        <v>2.5695999999999497E-3</v>
      </c>
      <c r="R65" s="1">
        <f>IF(R$56&lt;=$C$6,0,-HLOOKUP(R$56,'Input data'!$C$9:$BB$26,18,FALSE)+HLOOKUP($C$6,'Input data'!$C$9:$BB$26,18,FALSE))</f>
        <v>2.9365999999999559E-3</v>
      </c>
      <c r="S65" s="1">
        <f>IF(S$56&lt;=$C$6,0,-HLOOKUP(S$56,'Input data'!$C$9:$BB$26,18,FALSE)+HLOOKUP($C$6,'Input data'!$C$9:$BB$26,18,FALSE))</f>
        <v>3.3036999999999095E-3</v>
      </c>
      <c r="T65" s="1">
        <f>IF(T$56&lt;=$C$6,0,-HLOOKUP(T$56,'Input data'!$C$9:$BB$26,18,FALSE)+HLOOKUP($C$6,'Input data'!$C$9:$BB$26,18,FALSE))</f>
        <v>3.6707999999999741E-3</v>
      </c>
      <c r="U65" s="264">
        <f>IF(U$56&lt;=$C$6,0,-HLOOKUP(U$56,'Input data'!$C$9:$BB$26,18,FALSE)+HLOOKUP($C$6,'Input data'!$C$9:$BB$26,18,FALSE))</f>
        <v>4.0378999999999277E-3</v>
      </c>
      <c r="V65" s="264">
        <f>IF(V$56&lt;=$C$6,0,-HLOOKUP(V$56,'Input data'!$C$9:$BB$26,18,FALSE)+HLOOKUP($C$6,'Input data'!$C$9:$BB$26,18,FALSE))</f>
        <v>4.4048999999999339E-3</v>
      </c>
      <c r="W65" s="264">
        <f>IF(W$56&lt;=$C$6,0,-HLOOKUP(W$56,'Input data'!$C$9:$BB$26,18,FALSE)+HLOOKUP($C$6,'Input data'!$C$9:$BB$26,18,FALSE))</f>
        <v>4.7719999999999985E-3</v>
      </c>
    </row>
    <row r="66" spans="2:23" outlineLevel="1" x14ac:dyDescent="0.2">
      <c r="B66" s="79" t="s">
        <v>113</v>
      </c>
      <c r="C66" s="37"/>
      <c r="D66" s="37">
        <v>0</v>
      </c>
      <c r="E66" s="37">
        <v>0</v>
      </c>
      <c r="F66" s="37">
        <v>0</v>
      </c>
      <c r="G66" s="37">
        <v>0</v>
      </c>
      <c r="H66" s="37">
        <v>0</v>
      </c>
      <c r="I66" s="37">
        <v>0</v>
      </c>
      <c r="J66" s="37">
        <v>0</v>
      </c>
      <c r="K66" s="37">
        <v>0</v>
      </c>
      <c r="L66" s="37">
        <v>0</v>
      </c>
      <c r="M66" s="37">
        <v>0</v>
      </c>
      <c r="N66" s="37">
        <v>0</v>
      </c>
      <c r="O66" s="37">
        <v>0</v>
      </c>
      <c r="P66" s="37">
        <v>0</v>
      </c>
      <c r="Q66" s="37">
        <v>0</v>
      </c>
      <c r="R66" s="37">
        <v>0</v>
      </c>
      <c r="S66" s="37">
        <v>0</v>
      </c>
      <c r="T66" s="37">
        <v>0</v>
      </c>
      <c r="U66" s="265">
        <v>0</v>
      </c>
      <c r="V66" s="265">
        <v>0</v>
      </c>
      <c r="W66" s="265">
        <v>0</v>
      </c>
    </row>
    <row r="67" spans="2:23" outlineLevel="1" x14ac:dyDescent="0.2">
      <c r="B67" s="84" t="s">
        <v>114</v>
      </c>
      <c r="C67" s="48"/>
      <c r="D67" s="48">
        <f t="shared" ref="D67:O67" si="23">SUM(D68:D71)</f>
        <v>-3.934345</v>
      </c>
      <c r="E67" s="48">
        <f t="shared" si="23"/>
        <v>-4.8243999999999998</v>
      </c>
      <c r="F67" s="48">
        <f t="shared" si="23"/>
        <v>-1.723009</v>
      </c>
      <c r="G67" s="48">
        <f t="shared" si="23"/>
        <v>-0.87339043608157585</v>
      </c>
      <c r="H67" s="48">
        <f t="shared" si="23"/>
        <v>5.3214048029124328E-2</v>
      </c>
      <c r="I67" s="48">
        <f t="shared" si="23"/>
        <v>0.11153530775073817</v>
      </c>
      <c r="J67" s="48">
        <f t="shared" si="23"/>
        <v>0.12813402189125478</v>
      </c>
      <c r="K67" s="48">
        <f t="shared" si="23"/>
        <v>-0.75317213357619006</v>
      </c>
      <c r="L67" s="48">
        <f t="shared" si="23"/>
        <v>-0.73085069760925725</v>
      </c>
      <c r="M67" s="48">
        <f t="shared" si="23"/>
        <v>-0.72618776611581159</v>
      </c>
      <c r="N67" s="48">
        <f t="shared" si="23"/>
        <v>-0.11819104320901452</v>
      </c>
      <c r="O67" s="48">
        <f t="shared" si="23"/>
        <v>-8.1796055399832035E-2</v>
      </c>
      <c r="P67" s="48">
        <f t="shared" ref="P67:T67" si="24">SUM(P68:P71)</f>
        <v>-0.18057866347836482</v>
      </c>
      <c r="Q67" s="48">
        <f t="shared" si="24"/>
        <v>-0.28301261991862336</v>
      </c>
      <c r="R67" s="48">
        <f t="shared" si="24"/>
        <v>-0.3884027678466353</v>
      </c>
      <c r="S67" s="48">
        <f t="shared" si="24"/>
        <v>-0.40866617663998106</v>
      </c>
      <c r="T67" s="48">
        <f t="shared" si="24"/>
        <v>-0.46451333760874647</v>
      </c>
      <c r="U67" s="48">
        <f t="shared" ref="U67:W67" si="25">SUM(U68:U71)</f>
        <v>-0.54374515057050465</v>
      </c>
      <c r="V67" s="48">
        <f t="shared" si="25"/>
        <v>-0.65323200154512295</v>
      </c>
      <c r="W67" s="48">
        <f t="shared" si="25"/>
        <v>-0.60757333129261348</v>
      </c>
    </row>
    <row r="68" spans="2:23" outlineLevel="1" x14ac:dyDescent="0.2">
      <c r="B68" s="79" t="s">
        <v>115</v>
      </c>
      <c r="C68" s="34"/>
      <c r="D68" s="34">
        <f t="shared" ref="D68:E68" si="26">C57*D36/100*(1/(1+D33/100))</f>
        <v>1.9291893496307357</v>
      </c>
      <c r="E68" s="34">
        <f t="shared" si="26"/>
        <v>1.7238798121764787</v>
      </c>
      <c r="F68" s="34">
        <f>E57*F36/100*(1/(1+F33/100))</f>
        <v>2.0358592181765802</v>
      </c>
      <c r="G68" s="34">
        <f>F57*G36/100*(1/(1+G33/100))</f>
        <v>2.3474680680281832</v>
      </c>
      <c r="H68" s="34">
        <f t="shared" ref="H68:W68" si="27">G57*H36/100*(1/(1+H33/100))</f>
        <v>2.5225987762565869</v>
      </c>
      <c r="I68" s="34">
        <f t="shared" si="27"/>
        <v>2.6782009948830963</v>
      </c>
      <c r="J68" s="34">
        <f>I57*J36/100*(1/(1+J33/100))</f>
        <v>2.8111947272607885</v>
      </c>
      <c r="K68" s="34">
        <f t="shared" si="27"/>
        <v>2.8961593630878424</v>
      </c>
      <c r="L68" s="34">
        <f>K57*L36/100*(1/(1+L33/100))</f>
        <v>2.9672219371277579</v>
      </c>
      <c r="M68" s="34">
        <f t="shared" si="27"/>
        <v>3.0240223609079813</v>
      </c>
      <c r="N68" s="34">
        <f t="shared" si="27"/>
        <v>3.0826001262094369</v>
      </c>
      <c r="O68" s="34">
        <f t="shared" si="27"/>
        <v>3.1403199433463236</v>
      </c>
      <c r="P68" s="34">
        <f t="shared" si="27"/>
        <v>3.1862354392038985</v>
      </c>
      <c r="Q68" s="34">
        <f t="shared" si="27"/>
        <v>3.223507267391073</v>
      </c>
      <c r="R68" s="34">
        <f t="shared" si="27"/>
        <v>3.2507954917096025</v>
      </c>
      <c r="S68" s="34">
        <f t="shared" si="27"/>
        <v>3.2712982362469418</v>
      </c>
      <c r="T68" s="34">
        <f t="shared" si="27"/>
        <v>3.2846190797522787</v>
      </c>
      <c r="U68" s="34">
        <f t="shared" si="27"/>
        <v>3.290487610329726</v>
      </c>
      <c r="V68" s="34">
        <f t="shared" si="27"/>
        <v>3.2882048715768035</v>
      </c>
      <c r="W68" s="34">
        <f t="shared" si="27"/>
        <v>3.2826347368064916</v>
      </c>
    </row>
    <row r="69" spans="2:23" outlineLevel="1" x14ac:dyDescent="0.2">
      <c r="B69" s="79" t="s">
        <v>116</v>
      </c>
      <c r="C69" s="34"/>
      <c r="D69" s="34">
        <f t="shared" ref="D69:W69" si="28">-C57*(D24/100)*(1/(1+D33/100))</f>
        <v>-2.6292855605448602</v>
      </c>
      <c r="E69" s="34">
        <f t="shared" si="28"/>
        <v>-0.74150728760413609</v>
      </c>
      <c r="F69" s="34">
        <f t="shared" si="28"/>
        <v>-0.77864258776474582</v>
      </c>
      <c r="G69" s="34">
        <f t="shared" si="28"/>
        <v>-0.97166587455257325</v>
      </c>
      <c r="H69" s="34">
        <f t="shared" si="28"/>
        <v>-0.11948741461083527</v>
      </c>
      <c r="I69" s="34">
        <f t="shared" si="28"/>
        <v>-0.10894705467824994</v>
      </c>
      <c r="J69" s="34">
        <f t="shared" si="28"/>
        <v>-0.12996706025784929</v>
      </c>
      <c r="K69" s="34">
        <f t="shared" si="28"/>
        <v>-1.0170961212277587</v>
      </c>
      <c r="L69" s="34">
        <f t="shared" si="28"/>
        <v>-1.0151621047983266</v>
      </c>
      <c r="M69" s="34">
        <f t="shared" si="28"/>
        <v>-1.0256880547389495</v>
      </c>
      <c r="N69" s="34">
        <f t="shared" si="28"/>
        <v>-0.44474102223470735</v>
      </c>
      <c r="O69" s="34">
        <f t="shared" si="28"/>
        <v>-0.4213555319573361</v>
      </c>
      <c r="P69" s="34">
        <f t="shared" si="28"/>
        <v>-0.61743710032195487</v>
      </c>
      <c r="Q69" s="34">
        <f t="shared" si="28"/>
        <v>-0.80934035379272939</v>
      </c>
      <c r="R69" s="34">
        <f t="shared" si="28"/>
        <v>-0.99630629270172288</v>
      </c>
      <c r="S69" s="34">
        <f t="shared" si="28"/>
        <v>-1.0933405135938841</v>
      </c>
      <c r="T69" s="34">
        <f t="shared" si="28"/>
        <v>-1.2185889504523355</v>
      </c>
      <c r="U69" s="34">
        <f t="shared" si="28"/>
        <v>-1.3604125945068459</v>
      </c>
      <c r="V69" s="34">
        <f t="shared" si="28"/>
        <v>-1.5255815205111254</v>
      </c>
      <c r="W69" s="34">
        <f t="shared" si="28"/>
        <v>-1.5344610253221884</v>
      </c>
    </row>
    <row r="70" spans="2:23" outlineLevel="1" x14ac:dyDescent="0.2">
      <c r="B70" s="79" t="s">
        <v>117</v>
      </c>
      <c r="C70" s="34"/>
      <c r="D70" s="34">
        <f t="shared" ref="D70:W70" si="29">-C57*D42/100*(1/(1+D42/100))</f>
        <v>-3.2342479962921198</v>
      </c>
      <c r="E70" s="34">
        <f t="shared" si="29"/>
        <v>-5.8067720664528109</v>
      </c>
      <c r="F70" s="34">
        <f t="shared" si="29"/>
        <v>-2.9802260447603599</v>
      </c>
      <c r="G70" s="34">
        <f t="shared" si="29"/>
        <v>-2.2491919522042716</v>
      </c>
      <c r="H70" s="34">
        <f t="shared" si="29"/>
        <v>-2.3498973136166272</v>
      </c>
      <c r="I70" s="34">
        <f t="shared" si="29"/>
        <v>-2.457718632454108</v>
      </c>
      <c r="J70" s="34">
        <f t="shared" si="29"/>
        <v>-2.5530936451116846</v>
      </c>
      <c r="K70" s="34">
        <f t="shared" si="29"/>
        <v>-2.6322353754362737</v>
      </c>
      <c r="L70" s="34">
        <f t="shared" si="29"/>
        <v>-2.6829105299386886</v>
      </c>
      <c r="M70" s="34">
        <f t="shared" si="29"/>
        <v>-2.7245220722848433</v>
      </c>
      <c r="N70" s="34">
        <f t="shared" si="29"/>
        <v>-2.756050147183744</v>
      </c>
      <c r="O70" s="34">
        <f t="shared" si="29"/>
        <v>-2.8007604667888195</v>
      </c>
      <c r="P70" s="34">
        <f t="shared" si="29"/>
        <v>-2.7493770023603084</v>
      </c>
      <c r="Q70" s="34">
        <f t="shared" si="29"/>
        <v>-2.6971795335169668</v>
      </c>
      <c r="R70" s="34">
        <f t="shared" si="29"/>
        <v>-2.6428919668545148</v>
      </c>
      <c r="S70" s="34">
        <f t="shared" si="29"/>
        <v>-2.5866238992930386</v>
      </c>
      <c r="T70" s="34">
        <f t="shared" si="29"/>
        <v>-2.5305434669086897</v>
      </c>
      <c r="U70" s="34">
        <f t="shared" si="29"/>
        <v>-2.4738201663933848</v>
      </c>
      <c r="V70" s="34">
        <f t="shared" si="29"/>
        <v>-2.4158553526108011</v>
      </c>
      <c r="W70" s="34">
        <f t="shared" si="29"/>
        <v>-2.3557470427769167</v>
      </c>
    </row>
    <row r="71" spans="2:23" outlineLevel="1" x14ac:dyDescent="0.2">
      <c r="B71" s="79" t="s">
        <v>118</v>
      </c>
      <c r="C71" s="49"/>
      <c r="D71" s="49">
        <f>'Baseline NFPC'!D70</f>
        <v>-7.9279375553298337E-7</v>
      </c>
      <c r="E71" s="49">
        <f>'Baseline NFPC'!E70</f>
        <v>-4.5811953164331953E-7</v>
      </c>
      <c r="F71" s="49">
        <f>'Baseline NFPC'!F70</f>
        <v>4.1434852549038226E-7</v>
      </c>
      <c r="G71" s="49">
        <f>'Baseline NFPC'!G70</f>
        <v>-6.7735291420234489E-7</v>
      </c>
      <c r="H71" s="49">
        <v>0</v>
      </c>
      <c r="I71" s="49">
        <v>0</v>
      </c>
      <c r="J71" s="49">
        <v>0</v>
      </c>
      <c r="K71" s="49">
        <v>0</v>
      </c>
      <c r="L71" s="49">
        <v>0</v>
      </c>
      <c r="M71" s="49">
        <v>0</v>
      </c>
      <c r="N71" s="49">
        <v>0</v>
      </c>
      <c r="O71" s="49">
        <v>0</v>
      </c>
      <c r="P71" s="49">
        <v>0</v>
      </c>
      <c r="Q71" s="49">
        <v>0</v>
      </c>
      <c r="R71" s="49">
        <v>0</v>
      </c>
      <c r="S71" s="49">
        <v>0</v>
      </c>
      <c r="T71" s="49">
        <v>0</v>
      </c>
      <c r="U71" s="49">
        <v>0</v>
      </c>
      <c r="V71" s="49">
        <v>0</v>
      </c>
      <c r="W71" s="49">
        <v>0</v>
      </c>
    </row>
    <row r="72" spans="2:23" outlineLevel="1" x14ac:dyDescent="0.2">
      <c r="B72" s="84" t="s">
        <v>119</v>
      </c>
      <c r="C72" s="50"/>
      <c r="D72" s="50">
        <f>'Input data'!D16</f>
        <v>4.26056E-2</v>
      </c>
      <c r="E72" s="50">
        <f>'Input data'!E16</f>
        <v>-0.21881439999999999</v>
      </c>
      <c r="F72" s="50">
        <f>'Input data'!F16</f>
        <v>0.2108082</v>
      </c>
      <c r="G72" s="50">
        <f>'Input data'!G16</f>
        <v>3.1290600000000002E-2</v>
      </c>
      <c r="H72" s="50">
        <f>'Input data'!H16</f>
        <v>0</v>
      </c>
      <c r="I72" s="50">
        <f>'Input data'!I16</f>
        <v>0</v>
      </c>
      <c r="J72" s="50">
        <f>'Input data'!J16</f>
        <v>0</v>
      </c>
      <c r="K72" s="50">
        <f>'Input data'!K16</f>
        <v>0</v>
      </c>
      <c r="L72" s="50">
        <f>'Input data'!L16</f>
        <v>0</v>
      </c>
      <c r="M72" s="50">
        <f>'Input data'!M16</f>
        <v>0</v>
      </c>
      <c r="N72" s="50">
        <f>'Input data'!N16</f>
        <v>0</v>
      </c>
      <c r="O72" s="50">
        <f>'Input data'!O16</f>
        <v>0</v>
      </c>
      <c r="P72" s="50">
        <f>'Input data'!P16</f>
        <v>0</v>
      </c>
      <c r="Q72" s="50">
        <f>'Input data'!Q16</f>
        <v>0</v>
      </c>
      <c r="R72" s="50">
        <f>'Input data'!R16</f>
        <v>0</v>
      </c>
      <c r="S72" s="50">
        <f>'Input data'!S16</f>
        <v>0</v>
      </c>
      <c r="T72" s="50">
        <f>'Input data'!T16</f>
        <v>0</v>
      </c>
      <c r="U72" s="50">
        <f>'Input data'!U16</f>
        <v>0</v>
      </c>
      <c r="V72" s="50">
        <f>'Input data'!V16</f>
        <v>0</v>
      </c>
      <c r="W72" s="50">
        <f>'Input data'!W16</f>
        <v>0</v>
      </c>
    </row>
    <row r="73" spans="2:23" outlineLevel="1" x14ac:dyDescent="0.2">
      <c r="B73" s="79" t="s">
        <v>120</v>
      </c>
      <c r="C73" s="34"/>
      <c r="D73" s="34">
        <f t="shared" ref="D73:W73" si="30">D15</f>
        <v>4.2606100000000001E-2</v>
      </c>
      <c r="E73" s="34">
        <f t="shared" si="30"/>
        <v>-0.21881729999999999</v>
      </c>
      <c r="F73" s="34">
        <f t="shared" si="30"/>
        <v>0.21081169999999999</v>
      </c>
      <c r="G73" s="34">
        <f t="shared" si="30"/>
        <v>3.1292399999999998E-2</v>
      </c>
      <c r="H73" s="34">
        <f t="shared" si="30"/>
        <v>0</v>
      </c>
      <c r="I73" s="34">
        <f t="shared" si="30"/>
        <v>0</v>
      </c>
      <c r="J73" s="34">
        <f t="shared" si="30"/>
        <v>0</v>
      </c>
      <c r="K73" s="34">
        <f t="shared" si="30"/>
        <v>0</v>
      </c>
      <c r="L73" s="34">
        <f t="shared" si="30"/>
        <v>0</v>
      </c>
      <c r="M73" s="34">
        <f t="shared" si="30"/>
        <v>0</v>
      </c>
      <c r="N73" s="34">
        <f t="shared" si="30"/>
        <v>0</v>
      </c>
      <c r="O73" s="34">
        <f t="shared" si="30"/>
        <v>0</v>
      </c>
      <c r="P73" s="34">
        <f t="shared" si="30"/>
        <v>0</v>
      </c>
      <c r="Q73" s="34">
        <f t="shared" si="30"/>
        <v>0</v>
      </c>
      <c r="R73" s="34">
        <f t="shared" si="30"/>
        <v>0</v>
      </c>
      <c r="S73" s="34">
        <f t="shared" si="30"/>
        <v>0</v>
      </c>
      <c r="T73" s="34">
        <f t="shared" si="30"/>
        <v>0</v>
      </c>
      <c r="U73" s="34">
        <f t="shared" si="30"/>
        <v>0</v>
      </c>
      <c r="V73" s="34">
        <f t="shared" si="30"/>
        <v>0</v>
      </c>
      <c r="W73" s="34">
        <f t="shared" si="30"/>
        <v>0</v>
      </c>
    </row>
    <row r="74" spans="2:23" outlineLevel="1" x14ac:dyDescent="0.2">
      <c r="B74" s="89" t="s">
        <v>121</v>
      </c>
      <c r="C74" s="49"/>
      <c r="D74" s="49">
        <f>+D72-D73</f>
        <v>-5.0000000000050004E-7</v>
      </c>
      <c r="E74" s="49">
        <f t="shared" ref="E74:T74" si="31">+E72-E73</f>
        <v>2.9000000000001247E-6</v>
      </c>
      <c r="F74" s="49">
        <f t="shared" si="31"/>
        <v>-3.4999999999896225E-6</v>
      </c>
      <c r="G74" s="49">
        <f t="shared" si="31"/>
        <v>-1.799999999996249E-6</v>
      </c>
      <c r="H74" s="49">
        <f t="shared" si="31"/>
        <v>0</v>
      </c>
      <c r="I74" s="49">
        <f t="shared" si="31"/>
        <v>0</v>
      </c>
      <c r="J74" s="49">
        <f t="shared" si="31"/>
        <v>0</v>
      </c>
      <c r="K74" s="49">
        <f t="shared" si="31"/>
        <v>0</v>
      </c>
      <c r="L74" s="49">
        <f t="shared" si="31"/>
        <v>0</v>
      </c>
      <c r="M74" s="49">
        <f t="shared" si="31"/>
        <v>0</v>
      </c>
      <c r="N74" s="49">
        <f t="shared" si="31"/>
        <v>0</v>
      </c>
      <c r="O74" s="49">
        <f t="shared" si="31"/>
        <v>0</v>
      </c>
      <c r="P74" s="49">
        <f t="shared" si="31"/>
        <v>0</v>
      </c>
      <c r="Q74" s="49">
        <f t="shared" si="31"/>
        <v>0</v>
      </c>
      <c r="R74" s="49">
        <f t="shared" si="31"/>
        <v>0</v>
      </c>
      <c r="S74" s="49">
        <f t="shared" si="31"/>
        <v>0</v>
      </c>
      <c r="T74" s="49">
        <f t="shared" si="31"/>
        <v>0</v>
      </c>
      <c r="U74" s="49">
        <f t="shared" ref="U74:W74" si="32">+U72-U73</f>
        <v>0</v>
      </c>
      <c r="V74" s="49">
        <f t="shared" si="32"/>
        <v>0</v>
      </c>
      <c r="W74" s="49">
        <f t="shared" si="32"/>
        <v>0</v>
      </c>
    </row>
    <row r="75" spans="2:23" ht="10.5" customHeight="1" outlineLevel="1" x14ac:dyDescent="0.2"/>
    <row r="76" spans="2:23" ht="10.5" customHeight="1" outlineLevel="1" x14ac:dyDescent="0.2">
      <c r="B76" s="91" t="s">
        <v>122</v>
      </c>
    </row>
    <row r="77" spans="2:23" x14ac:dyDescent="0.2">
      <c r="B77" s="77" t="s">
        <v>41</v>
      </c>
      <c r="C77" s="77"/>
      <c r="D77" s="78">
        <f>D59-D68</f>
        <v>-4.7657957752529425</v>
      </c>
      <c r="E77" s="78">
        <f t="shared" ref="E77:T77" si="33">E59-E68</f>
        <v>-5.4921950870375849</v>
      </c>
      <c r="F77" s="78">
        <f t="shared" si="33"/>
        <v>-5.3136138497524072</v>
      </c>
      <c r="G77" s="78">
        <f>G59-G68</f>
        <v>-4.7494819170062037</v>
      </c>
      <c r="H77" s="78">
        <f t="shared" si="33"/>
        <v>-4.2790296424964618</v>
      </c>
      <c r="I77" s="78">
        <f t="shared" si="33"/>
        <v>-3.7094566855688877</v>
      </c>
      <c r="J77" s="78">
        <f t="shared" si="33"/>
        <v>-3.0445893948875034</v>
      </c>
      <c r="K77" s="78">
        <f t="shared" si="33"/>
        <v>-2.760673241505653</v>
      </c>
      <c r="L77" s="78">
        <f t="shared" si="33"/>
        <v>-2.4755350263366465</v>
      </c>
      <c r="M77" s="78">
        <f t="shared" si="33"/>
        <v>-2.1766546609079809</v>
      </c>
      <c r="N77" s="78">
        <f t="shared" si="33"/>
        <v>-2.2373464143427424</v>
      </c>
      <c r="O77" s="78">
        <f t="shared" si="33"/>
        <v>-2.3311216370050469</v>
      </c>
      <c r="P77" s="78">
        <f t="shared" si="33"/>
        <v>-2.423871852424043</v>
      </c>
      <c r="Q77" s="78">
        <f t="shared" si="33"/>
        <v>-2.4569279668356336</v>
      </c>
      <c r="R77" s="78">
        <f t="shared" si="33"/>
        <v>-2.4840226294282299</v>
      </c>
      <c r="S77" s="78">
        <f t="shared" si="33"/>
        <v>-2.5077012269605343</v>
      </c>
      <c r="T77" s="78">
        <f t="shared" si="33"/>
        <v>-2.5235316611902605</v>
      </c>
      <c r="U77" s="78">
        <f t="shared" ref="U77:W77" si="34">U59-U68</f>
        <v>-2.5274585352421015</v>
      </c>
      <c r="V77" s="78">
        <f t="shared" si="34"/>
        <v>-2.5110452789733699</v>
      </c>
      <c r="W77" s="78">
        <f t="shared" si="34"/>
        <v>-2.5438197624485337</v>
      </c>
    </row>
    <row r="78" spans="2:23" x14ac:dyDescent="0.2">
      <c r="B78" s="26" t="s">
        <v>42</v>
      </c>
      <c r="D78" s="34">
        <f>D60-D68-D64-D65-D66</f>
        <v>-4.9126543496307358</v>
      </c>
      <c r="E78" s="34">
        <f t="shared" ref="E78:W78" si="35">E60-E68-E64-E65-E66</f>
        <v>-5.3768388121764783</v>
      </c>
      <c r="F78" s="34">
        <f t="shared" si="35"/>
        <v>-5.0042502181765798</v>
      </c>
      <c r="G78" s="34">
        <f t="shared" si="35"/>
        <v>-4.3758590680281833</v>
      </c>
      <c r="H78" s="34">
        <f t="shared" si="35"/>
        <v>-3.610989776256587</v>
      </c>
      <c r="I78" s="34">
        <f t="shared" si="35"/>
        <v>-2.8265919948830964</v>
      </c>
      <c r="J78" s="34">
        <f t="shared" si="35"/>
        <v>-2.0195857272607887</v>
      </c>
      <c r="K78" s="34">
        <f t="shared" si="35"/>
        <v>-2.0773374630878387</v>
      </c>
      <c r="L78" s="34">
        <f t="shared" si="35"/>
        <v>-2.1338671371277531</v>
      </c>
      <c r="M78" s="34">
        <f t="shared" si="35"/>
        <v>-2.1766546609079809</v>
      </c>
      <c r="N78" s="34">
        <f t="shared" si="35"/>
        <v>-2.2373494262094344</v>
      </c>
      <c r="O78" s="34">
        <f t="shared" si="35"/>
        <v>-2.3311263433463236</v>
      </c>
      <c r="P78" s="34">
        <f t="shared" si="35"/>
        <v>-2.423878939203898</v>
      </c>
      <c r="Q78" s="34">
        <f t="shared" si="35"/>
        <v>-2.4569378673910753</v>
      </c>
      <c r="R78" s="34">
        <f t="shared" si="35"/>
        <v>-2.484033091709601</v>
      </c>
      <c r="S78" s="34">
        <f t="shared" si="35"/>
        <v>-2.507712936246937</v>
      </c>
      <c r="T78" s="34">
        <f t="shared" si="35"/>
        <v>-2.5235408797522783</v>
      </c>
      <c r="U78" s="34">
        <f t="shared" si="35"/>
        <v>-2.5274665103297238</v>
      </c>
      <c r="V78" s="34">
        <f t="shared" si="35"/>
        <v>-2.5110507715767998</v>
      </c>
      <c r="W78" s="34">
        <f t="shared" si="35"/>
        <v>-2.5438277368064854</v>
      </c>
    </row>
    <row r="79" spans="2:23" x14ac:dyDescent="0.2">
      <c r="B79" s="35" t="s">
        <v>123</v>
      </c>
      <c r="C79" s="35"/>
      <c r="D79" s="285">
        <f>'Input data'!D45</f>
        <v>8.0562923137678624</v>
      </c>
      <c r="E79" s="285">
        <f>'Input data'!E45</f>
        <v>5.8829133991626774</v>
      </c>
      <c r="F79" s="285">
        <f>'Input data'!F45</f>
        <v>1.7503158678944781</v>
      </c>
      <c r="G79" s="49">
        <f>'Input data'!G33+G42-(G$12-F$12)/'Input data'!$C$64*100</f>
        <v>1.3374545654688181</v>
      </c>
      <c r="H79" s="49">
        <f>'Input data'!H33+H42-(H$12-G$12)/'Input data'!$C$64*100</f>
        <v>1.028672240468818</v>
      </c>
      <c r="I79" s="49">
        <f>'Input data'!I33+I42-(I$12-H$12)/'Input data'!$C$64*100</f>
        <v>0.90638941546881835</v>
      </c>
      <c r="J79" s="49">
        <f>'Input data'!J33+J42-(J$12-I$12)/'Input data'!$C$64*100</f>
        <v>0.87089409046881849</v>
      </c>
      <c r="K79" s="49">
        <f>'Input data'!K33+K42-(K$12-J$12)/'Input data'!$C$64*100</f>
        <v>2.6377622999999999</v>
      </c>
      <c r="L79" s="49">
        <f>'Input data'!L33+L42-(L$12-K$12)/'Input data'!$C$64*100</f>
        <v>2.7100068749999999</v>
      </c>
      <c r="M79" s="49">
        <f>'Input data'!M33+M42-(M$12-L$12)/'Input data'!$C$64*100</f>
        <v>2.7961662499999997</v>
      </c>
      <c r="N79" s="49">
        <f>'Input data'!N33+N42-(N$12-M$12)/'Input data'!$C$64*100</f>
        <v>2.8893203249999999</v>
      </c>
      <c r="O79" s="49">
        <f>'Input data'!O33+O42-(O$12-N$12)/'Input data'!$C$64*100</f>
        <v>2.9351049999999996</v>
      </c>
      <c r="P79" s="49">
        <f>'Input data'!P33+P42-(P$12-O$12)/'Input data'!$C$64*100</f>
        <v>3.0922101</v>
      </c>
      <c r="Q79" s="49">
        <f>'Input data'!Q33+Q42-(Q$12-P$12)/'Input data'!$C$64*100</f>
        <v>3.2493153999999995</v>
      </c>
      <c r="R79" s="49">
        <f>'Input data'!R33+R42-(R$12-Q$12)/'Input data'!$C$64*100</f>
        <v>3.4064205999999997</v>
      </c>
      <c r="S79" s="49">
        <f>'Input data'!S33+S42-(S$12-R$12)/'Input data'!$C$64*100</f>
        <v>3.48211</v>
      </c>
      <c r="T79" s="49">
        <f>'Input data'!T33+T42-(T$12-S$12)/'Input data'!$C$64*100</f>
        <v>3.5879039999999995</v>
      </c>
      <c r="U79" s="49">
        <f>'Input data'!U33+U42-(U$12-T$12)/'Input data'!$C$64*100</f>
        <v>3.7140009999999997</v>
      </c>
      <c r="V79" s="49">
        <f>'Input data'!V33+V42-(V$12-U$12)/'Input data'!$C$64*100</f>
        <v>3.8687329999999998</v>
      </c>
      <c r="W79" s="49">
        <f>'Input data'!W33+W42-(W$12-V$12)/'Input data'!$C$64*100</f>
        <v>3.8710750000000003</v>
      </c>
    </row>
    <row r="80" spans="2:23" x14ac:dyDescent="0.2">
      <c r="D80" s="34"/>
      <c r="E80" s="34"/>
      <c r="F80" s="34"/>
      <c r="G80" s="34"/>
      <c r="H80" s="34"/>
      <c r="I80" s="34"/>
      <c r="J80" s="34"/>
      <c r="K80" s="34"/>
      <c r="L80" s="34"/>
      <c r="M80" s="34"/>
      <c r="N80" s="34"/>
      <c r="O80" s="34"/>
      <c r="P80" s="34"/>
      <c r="Q80" s="34"/>
      <c r="R80" s="34"/>
      <c r="S80" s="34"/>
      <c r="T80" s="34"/>
      <c r="U80" s="34"/>
      <c r="V80" s="34"/>
      <c r="W80" s="34"/>
    </row>
    <row r="81" spans="2:23" x14ac:dyDescent="0.2">
      <c r="B81" s="113" t="s">
        <v>143</v>
      </c>
      <c r="C81" s="51"/>
      <c r="D81" s="215">
        <f ca="1">AVERAGE(OFFSET($G$79,0,0,1,'Criteria results'!F5))</f>
        <v>1.0358525779688184</v>
      </c>
      <c r="E81" s="34"/>
      <c r="F81" s="34"/>
      <c r="G81" s="358"/>
      <c r="H81" s="358"/>
      <c r="I81" s="358"/>
      <c r="J81" s="358"/>
      <c r="K81" s="358"/>
      <c r="L81" s="358"/>
      <c r="M81" s="358"/>
      <c r="N81" s="358"/>
      <c r="O81" s="358"/>
      <c r="P81" s="358"/>
      <c r="Q81" s="358"/>
      <c r="R81" s="358"/>
      <c r="S81" s="358"/>
      <c r="T81" s="358"/>
      <c r="U81" s="34"/>
      <c r="V81" s="34"/>
      <c r="W81" s="34"/>
    </row>
    <row r="82" spans="2:23" x14ac:dyDescent="0.2">
      <c r="B82" s="77"/>
      <c r="C82" s="77"/>
      <c r="D82" s="78"/>
      <c r="E82" s="34"/>
      <c r="F82" s="34"/>
      <c r="G82" s="34"/>
      <c r="H82" s="34"/>
      <c r="I82" s="34"/>
      <c r="J82" s="34"/>
      <c r="K82" s="34"/>
      <c r="L82" s="34"/>
      <c r="M82" s="34"/>
      <c r="N82" s="34"/>
      <c r="O82" s="34"/>
      <c r="P82" s="34"/>
      <c r="Q82" s="34"/>
      <c r="R82" s="34"/>
      <c r="S82" s="34"/>
      <c r="T82" s="34"/>
      <c r="U82" s="34"/>
      <c r="V82" s="34"/>
      <c r="W82" s="34"/>
    </row>
    <row r="83" spans="2:23" x14ac:dyDescent="0.2">
      <c r="B83" s="51" t="s">
        <v>187</v>
      </c>
      <c r="C83" s="51"/>
      <c r="D83" s="51"/>
      <c r="E83" s="51"/>
      <c r="F83" s="51"/>
      <c r="G83" s="258"/>
      <c r="H83" s="258"/>
      <c r="I83" s="258"/>
      <c r="J83" s="258"/>
      <c r="K83" s="258">
        <f t="shared" ref="K83:W83" si="36">IF(K57&lt;J57,0,1)</f>
        <v>0</v>
      </c>
      <c r="L83" s="258">
        <f t="shared" si="36"/>
        <v>0</v>
      </c>
      <c r="M83" s="258">
        <f t="shared" si="36"/>
        <v>0</v>
      </c>
      <c r="N83" s="258">
        <f t="shared" si="36"/>
        <v>0</v>
      </c>
      <c r="O83" s="258">
        <f t="shared" si="36"/>
        <v>0</v>
      </c>
      <c r="P83" s="258">
        <f t="shared" si="36"/>
        <v>0</v>
      </c>
      <c r="Q83" s="258">
        <f t="shared" si="36"/>
        <v>0</v>
      </c>
      <c r="R83" s="258">
        <f t="shared" si="36"/>
        <v>0</v>
      </c>
      <c r="S83" s="258">
        <f t="shared" si="36"/>
        <v>0</v>
      </c>
      <c r="T83" s="258">
        <f t="shared" si="36"/>
        <v>0</v>
      </c>
      <c r="U83" s="258">
        <f t="shared" si="36"/>
        <v>0</v>
      </c>
      <c r="V83" s="258">
        <f t="shared" si="36"/>
        <v>0</v>
      </c>
      <c r="W83" s="258">
        <f t="shared" si="36"/>
        <v>0</v>
      </c>
    </row>
    <row r="84" spans="2:23" x14ac:dyDescent="0.2">
      <c r="B84" s="26" t="s">
        <v>261</v>
      </c>
      <c r="F84" s="29">
        <f t="shared" ref="F84:W84" si="37">IF(F57&gt;90,1,0)</f>
        <v>1</v>
      </c>
      <c r="G84" s="29">
        <f t="shared" si="37"/>
        <v>1</v>
      </c>
      <c r="H84" s="29">
        <f t="shared" si="37"/>
        <v>1</v>
      </c>
      <c r="I84" s="29">
        <f t="shared" si="37"/>
        <v>1</v>
      </c>
      <c r="J84" s="29">
        <f t="shared" si="37"/>
        <v>1</v>
      </c>
      <c r="K84" s="29">
        <f t="shared" si="37"/>
        <v>1</v>
      </c>
      <c r="L84" s="29">
        <f t="shared" si="37"/>
        <v>1</v>
      </c>
      <c r="M84" s="29">
        <f t="shared" si="37"/>
        <v>1</v>
      </c>
      <c r="N84" s="29">
        <f t="shared" si="37"/>
        <v>1</v>
      </c>
      <c r="O84" s="29">
        <f t="shared" si="37"/>
        <v>1</v>
      </c>
      <c r="P84" s="29">
        <f t="shared" si="37"/>
        <v>1</v>
      </c>
      <c r="Q84" s="29">
        <f t="shared" si="37"/>
        <v>1</v>
      </c>
      <c r="R84" s="29">
        <f t="shared" si="37"/>
        <v>1</v>
      </c>
      <c r="S84" s="29">
        <f t="shared" si="37"/>
        <v>1</v>
      </c>
      <c r="T84" s="29">
        <f t="shared" si="37"/>
        <v>1</v>
      </c>
      <c r="U84" s="29">
        <f t="shared" si="37"/>
        <v>1</v>
      </c>
      <c r="V84" s="29">
        <f t="shared" si="37"/>
        <v>1</v>
      </c>
      <c r="W84" s="29">
        <f t="shared" si="37"/>
        <v>1</v>
      </c>
    </row>
    <row r="85" spans="2:23" x14ac:dyDescent="0.2">
      <c r="B85" s="26" t="s">
        <v>262</v>
      </c>
      <c r="F85" s="29">
        <f t="shared" ref="F85:W85" si="38">IF(AND(F57&gt;60,F57&lt;=90),1,0)</f>
        <v>0</v>
      </c>
      <c r="G85" s="29">
        <f t="shared" si="38"/>
        <v>0</v>
      </c>
      <c r="H85" s="29">
        <f t="shared" si="38"/>
        <v>0</v>
      </c>
      <c r="I85" s="29">
        <f t="shared" si="38"/>
        <v>0</v>
      </c>
      <c r="J85" s="29">
        <f t="shared" si="38"/>
        <v>0</v>
      </c>
      <c r="K85" s="29">
        <f t="shared" si="38"/>
        <v>0</v>
      </c>
      <c r="L85" s="29">
        <f t="shared" si="38"/>
        <v>0</v>
      </c>
      <c r="M85" s="29">
        <f t="shared" si="38"/>
        <v>0</v>
      </c>
      <c r="N85" s="29">
        <f t="shared" si="38"/>
        <v>0</v>
      </c>
      <c r="O85" s="29">
        <f t="shared" si="38"/>
        <v>0</v>
      </c>
      <c r="P85" s="29">
        <f t="shared" si="38"/>
        <v>0</v>
      </c>
      <c r="Q85" s="29">
        <f t="shared" si="38"/>
        <v>0</v>
      </c>
      <c r="R85" s="29">
        <f t="shared" si="38"/>
        <v>0</v>
      </c>
      <c r="S85" s="29">
        <f t="shared" si="38"/>
        <v>0</v>
      </c>
      <c r="T85" s="29">
        <f t="shared" si="38"/>
        <v>0</v>
      </c>
      <c r="U85" s="29">
        <f t="shared" si="38"/>
        <v>0</v>
      </c>
      <c r="V85" s="29">
        <f t="shared" si="38"/>
        <v>0</v>
      </c>
      <c r="W85" s="29">
        <f t="shared" si="38"/>
        <v>0</v>
      </c>
    </row>
    <row r="86" spans="2:23" x14ac:dyDescent="0.2">
      <c r="B86" s="26" t="s">
        <v>263</v>
      </c>
      <c r="F86" s="29">
        <f t="shared" ref="F86:W86" si="39">IF(F57&gt;60,1,0)</f>
        <v>1</v>
      </c>
      <c r="G86" s="29">
        <f t="shared" si="39"/>
        <v>1</v>
      </c>
      <c r="H86" s="29">
        <f t="shared" si="39"/>
        <v>1</v>
      </c>
      <c r="I86" s="29">
        <f t="shared" si="39"/>
        <v>1</v>
      </c>
      <c r="J86" s="29">
        <f t="shared" si="39"/>
        <v>1</v>
      </c>
      <c r="K86" s="29">
        <f t="shared" si="39"/>
        <v>1</v>
      </c>
      <c r="L86" s="29">
        <f t="shared" si="39"/>
        <v>1</v>
      </c>
      <c r="M86" s="29">
        <f t="shared" si="39"/>
        <v>1</v>
      </c>
      <c r="N86" s="29">
        <f t="shared" si="39"/>
        <v>1</v>
      </c>
      <c r="O86" s="29">
        <f t="shared" si="39"/>
        <v>1</v>
      </c>
      <c r="P86" s="29">
        <f t="shared" si="39"/>
        <v>1</v>
      </c>
      <c r="Q86" s="29">
        <f t="shared" si="39"/>
        <v>1</v>
      </c>
      <c r="R86" s="29">
        <f t="shared" si="39"/>
        <v>1</v>
      </c>
      <c r="S86" s="29">
        <f t="shared" si="39"/>
        <v>1</v>
      </c>
      <c r="T86" s="29">
        <f t="shared" si="39"/>
        <v>1</v>
      </c>
      <c r="U86" s="29">
        <f t="shared" si="39"/>
        <v>1</v>
      </c>
      <c r="V86" s="29">
        <f t="shared" si="39"/>
        <v>1</v>
      </c>
      <c r="W86" s="29">
        <f t="shared" si="39"/>
        <v>1</v>
      </c>
    </row>
    <row r="87" spans="2:23" x14ac:dyDescent="0.2">
      <c r="B87" s="26" t="s">
        <v>264</v>
      </c>
      <c r="F87" s="366">
        <f>'Input data'!F17</f>
        <v>1</v>
      </c>
      <c r="G87" s="29">
        <f>IF(F87=0,0,IF(AND(E77&gt;-3.05,F77&gt;-3.05),0,1))</f>
        <v>1</v>
      </c>
      <c r="H87" s="29">
        <f t="shared" ref="H87:W87" si="40">IF(G87=0,0,IF(AND(F77&gt;-3.05,G77&gt;-3.05),0,1))</f>
        <v>1</v>
      </c>
      <c r="I87" s="29">
        <f t="shared" si="40"/>
        <v>1</v>
      </c>
      <c r="J87" s="29">
        <f t="shared" si="40"/>
        <v>1</v>
      </c>
      <c r="K87" s="29">
        <f t="shared" si="40"/>
        <v>1</v>
      </c>
      <c r="L87" s="29">
        <f t="shared" si="40"/>
        <v>0</v>
      </c>
      <c r="M87" s="29">
        <f t="shared" si="40"/>
        <v>0</v>
      </c>
      <c r="N87" s="29">
        <f t="shared" si="40"/>
        <v>0</v>
      </c>
      <c r="O87" s="29">
        <f t="shared" si="40"/>
        <v>0</v>
      </c>
      <c r="P87" s="29">
        <f t="shared" si="40"/>
        <v>0</v>
      </c>
      <c r="Q87" s="29">
        <f t="shared" si="40"/>
        <v>0</v>
      </c>
      <c r="R87" s="29">
        <f t="shared" si="40"/>
        <v>0</v>
      </c>
      <c r="S87" s="29">
        <f t="shared" si="40"/>
        <v>0</v>
      </c>
      <c r="T87" s="29">
        <f t="shared" si="40"/>
        <v>0</v>
      </c>
      <c r="U87" s="29">
        <f t="shared" si="40"/>
        <v>0</v>
      </c>
      <c r="V87" s="29">
        <f t="shared" si="40"/>
        <v>0</v>
      </c>
      <c r="W87" s="29">
        <f t="shared" si="40"/>
        <v>0</v>
      </c>
    </row>
    <row r="88" spans="2:23" x14ac:dyDescent="0.2">
      <c r="B88" s="26" t="s">
        <v>259</v>
      </c>
      <c r="F88" s="29">
        <f t="shared" ref="F88:W88" si="41">IF(F78&gt;=-1.55,1,0)</f>
        <v>0</v>
      </c>
      <c r="G88" s="29">
        <f t="shared" si="41"/>
        <v>0</v>
      </c>
      <c r="H88" s="29">
        <f t="shared" si="41"/>
        <v>0</v>
      </c>
      <c r="I88" s="29">
        <f t="shared" si="41"/>
        <v>0</v>
      </c>
      <c r="J88" s="29">
        <f t="shared" si="41"/>
        <v>0</v>
      </c>
      <c r="K88" s="29">
        <f t="shared" si="41"/>
        <v>0</v>
      </c>
      <c r="L88" s="29">
        <f t="shared" si="41"/>
        <v>0</v>
      </c>
      <c r="M88" s="29">
        <f t="shared" si="41"/>
        <v>0</v>
      </c>
      <c r="N88" s="29">
        <f t="shared" si="41"/>
        <v>0</v>
      </c>
      <c r="O88" s="29">
        <f t="shared" si="41"/>
        <v>0</v>
      </c>
      <c r="P88" s="29">
        <f t="shared" si="41"/>
        <v>0</v>
      </c>
      <c r="Q88" s="29">
        <f t="shared" si="41"/>
        <v>0</v>
      </c>
      <c r="R88" s="29">
        <f t="shared" si="41"/>
        <v>0</v>
      </c>
      <c r="S88" s="29">
        <f t="shared" si="41"/>
        <v>0</v>
      </c>
      <c r="T88" s="29">
        <f t="shared" si="41"/>
        <v>0</v>
      </c>
      <c r="U88" s="29">
        <f t="shared" si="41"/>
        <v>0</v>
      </c>
      <c r="V88" s="29">
        <f t="shared" si="41"/>
        <v>0</v>
      </c>
      <c r="W88" s="29">
        <f t="shared" si="41"/>
        <v>0</v>
      </c>
    </row>
    <row r="89" spans="2:23" x14ac:dyDescent="0.2">
      <c r="F89" s="29"/>
      <c r="G89" s="29"/>
      <c r="H89" s="29"/>
      <c r="I89" s="29"/>
      <c r="J89" s="29"/>
      <c r="K89" s="29"/>
      <c r="L89" s="29"/>
      <c r="M89" s="29"/>
      <c r="N89" s="29"/>
      <c r="O89" s="29"/>
      <c r="P89" s="29"/>
      <c r="Q89" s="29"/>
      <c r="R89" s="29"/>
      <c r="S89" s="29"/>
      <c r="T89" s="29"/>
      <c r="U89" s="29"/>
      <c r="V89" s="29"/>
      <c r="W89" s="29"/>
    </row>
    <row r="90" spans="2:23" x14ac:dyDescent="0.2">
      <c r="B90" s="26" t="s">
        <v>144</v>
      </c>
      <c r="F90" s="34">
        <f>E57*F36/100*(1/((1+'Input data'!F30/100)*(1+F42/100)))</f>
        <v>2.0358592181765802</v>
      </c>
      <c r="G90" s="34">
        <f>F57*G36/100*(1/((1+'Input data'!G30/100)*(1+G42/100)))</f>
        <v>2.3311782251779984</v>
      </c>
      <c r="H90" s="34">
        <f>G57*H36/100*(1/((1+'Input data'!H30/100)*(1+H42/100)))</f>
        <v>2.5107868891508875</v>
      </c>
      <c r="I90" s="34">
        <f>H57*I36/100*(1/((1+'Input data'!I30/100)*(1+I42/100)))</f>
        <v>2.6707443435055378</v>
      </c>
      <c r="J90" s="34">
        <f>I57*J36/100*(1/((1+'Input data'!J30/100)*(1+J42/100)))</f>
        <v>2.8056941389289758</v>
      </c>
      <c r="K90" s="34">
        <f>J57*K36/100*(1/((1+'Input data'!K30/100)*(1+K42/100)))</f>
        <v>2.9121259178769532</v>
      </c>
      <c r="L90" s="34">
        <f>K57*L36/100*(1/((1+'Input data'!L30/100)*(1+L42/100)))</f>
        <v>2.9834904737796455</v>
      </c>
      <c r="M90" s="34">
        <f>L57*M36/100*(1/((1+'Input data'!M30/100)*(1+M42/100)))</f>
        <v>3.0405120931458351</v>
      </c>
      <c r="N90" s="34">
        <f>M57*N36/100*(1/((1+'Input data'!N30/100)*(1+N42/100)))</f>
        <v>3.0826001262094369</v>
      </c>
      <c r="O90" s="34">
        <f>N57*O36/100*(1/((1+'Input data'!O30/100)*(1+O42/100)))</f>
        <v>3.1403199433463236</v>
      </c>
      <c r="P90" s="34">
        <f>O57*P36/100*(1/((1+'Input data'!P30/100)*(1+P42/100)))</f>
        <v>3.1862354392038985</v>
      </c>
      <c r="Q90" s="34">
        <f>P57*Q36/100*(1/((1+'Input data'!Q30/100)*(1+Q42/100)))</f>
        <v>3.223507267391073</v>
      </c>
      <c r="R90" s="34">
        <f>Q57*R36/100*(1/((1+'Input data'!R30/100)*(1+R42/100)))</f>
        <v>3.2507954917096025</v>
      </c>
      <c r="S90" s="34">
        <f>R57*S36/100*(1/((1+'Input data'!S30/100)*(1+S42/100)))</f>
        <v>3.2712982362469418</v>
      </c>
      <c r="T90" s="34">
        <f>S57*T36/100*(1/((1+'Input data'!T30/100)*(1+T42/100)))</f>
        <v>3.2846190797522787</v>
      </c>
      <c r="U90" s="34">
        <f>T57*U36/100*(1/((1+'Input data'!U30/100)*(1+U42/100)))</f>
        <v>3.290487610329726</v>
      </c>
      <c r="V90" s="34">
        <f>U57*V36/100*(1/((1+'Input data'!V30/100)*(1+V42/100)))</f>
        <v>3.2882048715768035</v>
      </c>
      <c r="W90" s="34">
        <f>V57*W36/100*(1/((1+'Input data'!W30/100)*(1+W42/100)))</f>
        <v>3.2826347368064916</v>
      </c>
    </row>
    <row r="91" spans="2:23" x14ac:dyDescent="0.2">
      <c r="B91" s="32" t="s">
        <v>260</v>
      </c>
      <c r="F91" s="34"/>
      <c r="G91" s="34">
        <f>G90-F90</f>
        <v>0.29531900700141822</v>
      </c>
      <c r="H91" s="34">
        <f t="shared" ref="H91:W91" si="42">H90-G90</f>
        <v>0.1796086639728891</v>
      </c>
      <c r="I91" s="34">
        <f t="shared" si="42"/>
        <v>0.15995745435465025</v>
      </c>
      <c r="J91" s="34">
        <f t="shared" si="42"/>
        <v>0.13494979542343799</v>
      </c>
      <c r="K91" s="34">
        <f t="shared" si="42"/>
        <v>0.1064317789479774</v>
      </c>
      <c r="L91" s="34">
        <f t="shared" si="42"/>
        <v>7.1364555902692306E-2</v>
      </c>
      <c r="M91" s="34">
        <f t="shared" si="42"/>
        <v>5.7021619366189658E-2</v>
      </c>
      <c r="N91" s="34">
        <f t="shared" si="42"/>
        <v>4.208803306360176E-2</v>
      </c>
      <c r="O91" s="34">
        <f t="shared" si="42"/>
        <v>5.7719817136886675E-2</v>
      </c>
      <c r="P91" s="34">
        <f t="shared" si="42"/>
        <v>4.5915495857574928E-2</v>
      </c>
      <c r="Q91" s="34">
        <f t="shared" si="42"/>
        <v>3.7271828187174449E-2</v>
      </c>
      <c r="R91" s="34">
        <f t="shared" si="42"/>
        <v>2.7288224318529508E-2</v>
      </c>
      <c r="S91" s="34">
        <f t="shared" si="42"/>
        <v>2.0502744537339357E-2</v>
      </c>
      <c r="T91" s="34">
        <f t="shared" si="42"/>
        <v>1.332084350533691E-2</v>
      </c>
      <c r="U91" s="34">
        <f t="shared" si="42"/>
        <v>5.8685305774472951E-3</v>
      </c>
      <c r="V91" s="34">
        <f t="shared" si="42"/>
        <v>-2.2827387529225085E-3</v>
      </c>
      <c r="W91" s="34">
        <f t="shared" si="42"/>
        <v>-5.5701347703118742E-3</v>
      </c>
    </row>
    <row r="92" spans="2:23" x14ac:dyDescent="0.2">
      <c r="D92" s="53"/>
    </row>
    <row r="93" spans="2:23" s="93" customFormat="1" ht="12.75" outlineLevel="1" x14ac:dyDescent="0.2">
      <c r="B93" s="94" t="s">
        <v>124</v>
      </c>
      <c r="C93" s="95"/>
      <c r="E93" s="96"/>
      <c r="F93" s="95"/>
    </row>
    <row r="94" spans="2:23" x14ac:dyDescent="0.2">
      <c r="C94" s="34"/>
      <c r="D94" s="34"/>
      <c r="E94" s="34"/>
      <c r="F94" s="34"/>
      <c r="G94" s="34"/>
      <c r="H94" s="34"/>
      <c r="I94" s="34"/>
      <c r="J94" s="34"/>
      <c r="K94" s="34"/>
      <c r="L94" s="34"/>
      <c r="M94" s="34"/>
      <c r="N94" s="34"/>
      <c r="O94" s="34"/>
      <c r="P94" s="34"/>
      <c r="Q94" s="34"/>
      <c r="R94" s="34"/>
      <c r="S94" s="34"/>
      <c r="T94" s="34"/>
      <c r="U94" s="34"/>
      <c r="V94" s="34"/>
      <c r="W94" s="34"/>
    </row>
    <row r="95" spans="2:23" x14ac:dyDescent="0.2">
      <c r="B95" s="26" t="s">
        <v>125</v>
      </c>
      <c r="D95" s="29">
        <f t="shared" ref="D95:W95" si="43">IF((D100-C100*D43/((1+D24/100)*(1+D42/100)))&gt;0,1,0)</f>
        <v>1</v>
      </c>
      <c r="E95" s="29">
        <f t="shared" si="43"/>
        <v>1</v>
      </c>
      <c r="F95" s="29">
        <f t="shared" si="43"/>
        <v>1</v>
      </c>
      <c r="G95" s="29">
        <f t="shared" si="43"/>
        <v>1</v>
      </c>
      <c r="H95" s="29">
        <f t="shared" si="43"/>
        <v>1</v>
      </c>
      <c r="I95" s="29">
        <f t="shared" si="43"/>
        <v>1</v>
      </c>
      <c r="J95" s="29">
        <f t="shared" si="43"/>
        <v>1</v>
      </c>
      <c r="K95" s="29">
        <f t="shared" si="43"/>
        <v>1</v>
      </c>
      <c r="L95" s="29">
        <f t="shared" si="43"/>
        <v>1</v>
      </c>
      <c r="M95" s="29">
        <f t="shared" si="43"/>
        <v>1</v>
      </c>
      <c r="N95" s="29">
        <f t="shared" si="43"/>
        <v>1</v>
      </c>
      <c r="O95" s="29">
        <f t="shared" si="43"/>
        <v>1</v>
      </c>
      <c r="P95" s="29">
        <f t="shared" si="43"/>
        <v>1</v>
      </c>
      <c r="Q95" s="29">
        <f t="shared" si="43"/>
        <v>1</v>
      </c>
      <c r="R95" s="29">
        <f t="shared" si="43"/>
        <v>1</v>
      </c>
      <c r="S95" s="29">
        <f t="shared" si="43"/>
        <v>1</v>
      </c>
      <c r="T95" s="29">
        <f t="shared" si="43"/>
        <v>1</v>
      </c>
      <c r="U95" s="29">
        <f t="shared" si="43"/>
        <v>1</v>
      </c>
      <c r="V95" s="29">
        <f t="shared" si="43"/>
        <v>1</v>
      </c>
      <c r="W95" s="29">
        <f t="shared" si="43"/>
        <v>1</v>
      </c>
    </row>
    <row r="96" spans="2:23" x14ac:dyDescent="0.2">
      <c r="B96" s="26" t="s">
        <v>126</v>
      </c>
      <c r="D96" s="29">
        <f t="shared" ref="D96:W96" si="44">IF(AND(D95=0,ABS(D100-C100*D43/((1+D24/100)*(1+D42/100)))&lt;((C106*C100*D43/((1+D24/100)*(1+D42/100))+(D39*C100*C107*D43/((1+D24/100)*(1+D42/100)))))),1,0)</f>
        <v>0</v>
      </c>
      <c r="E96" s="29">
        <f t="shared" si="44"/>
        <v>0</v>
      </c>
      <c r="F96" s="29">
        <f t="shared" si="44"/>
        <v>0</v>
      </c>
      <c r="G96" s="29">
        <f t="shared" si="44"/>
        <v>0</v>
      </c>
      <c r="H96" s="29">
        <f t="shared" si="44"/>
        <v>0</v>
      </c>
      <c r="I96" s="29">
        <f t="shared" si="44"/>
        <v>0</v>
      </c>
      <c r="J96" s="29">
        <f t="shared" si="44"/>
        <v>0</v>
      </c>
      <c r="K96" s="29">
        <f t="shared" si="44"/>
        <v>0</v>
      </c>
      <c r="L96" s="29">
        <f t="shared" si="44"/>
        <v>0</v>
      </c>
      <c r="M96" s="29">
        <f t="shared" si="44"/>
        <v>0</v>
      </c>
      <c r="N96" s="29">
        <f t="shared" si="44"/>
        <v>0</v>
      </c>
      <c r="O96" s="29">
        <f t="shared" si="44"/>
        <v>0</v>
      </c>
      <c r="P96" s="29">
        <f t="shared" si="44"/>
        <v>0</v>
      </c>
      <c r="Q96" s="29">
        <f t="shared" si="44"/>
        <v>0</v>
      </c>
      <c r="R96" s="29">
        <f t="shared" si="44"/>
        <v>0</v>
      </c>
      <c r="S96" s="29">
        <f t="shared" si="44"/>
        <v>0</v>
      </c>
      <c r="T96" s="29">
        <f t="shared" si="44"/>
        <v>0</v>
      </c>
      <c r="U96" s="29">
        <f t="shared" si="44"/>
        <v>0</v>
      </c>
      <c r="V96" s="29">
        <f t="shared" si="44"/>
        <v>0</v>
      </c>
      <c r="W96" s="29">
        <f t="shared" si="44"/>
        <v>0</v>
      </c>
    </row>
    <row r="98" spans="2:23" x14ac:dyDescent="0.2">
      <c r="H98" s="38"/>
      <c r="I98" s="38"/>
      <c r="J98" s="38"/>
      <c r="K98" s="38"/>
      <c r="L98" s="38"/>
      <c r="M98" s="38"/>
      <c r="N98" s="38"/>
      <c r="O98" s="38"/>
      <c r="P98" s="38"/>
      <c r="Q98" s="38"/>
      <c r="R98" s="38"/>
      <c r="S98" s="38"/>
      <c r="T98" s="38"/>
    </row>
    <row r="99" spans="2:23" x14ac:dyDescent="0.2">
      <c r="B99" s="51"/>
      <c r="C99" s="86">
        <v>2021</v>
      </c>
      <c r="D99" s="86">
        <v>2022</v>
      </c>
      <c r="E99" s="86">
        <v>2023</v>
      </c>
      <c r="F99" s="86">
        <v>2024</v>
      </c>
      <c r="G99" s="86">
        <v>2025</v>
      </c>
      <c r="H99" s="86">
        <v>2026</v>
      </c>
      <c r="I99" s="86">
        <v>2027</v>
      </c>
      <c r="J99" s="86">
        <v>2028</v>
      </c>
      <c r="K99" s="86">
        <v>2029</v>
      </c>
      <c r="L99" s="86">
        <v>2030</v>
      </c>
      <c r="M99" s="86">
        <v>2031</v>
      </c>
      <c r="N99" s="86">
        <v>2032</v>
      </c>
      <c r="O99" s="86">
        <v>2033</v>
      </c>
      <c r="P99" s="86">
        <v>2034</v>
      </c>
      <c r="Q99" s="86">
        <v>2035</v>
      </c>
      <c r="R99" s="86">
        <v>2036</v>
      </c>
      <c r="S99" s="86">
        <v>2037</v>
      </c>
      <c r="T99" s="86">
        <v>2038</v>
      </c>
      <c r="U99" s="86">
        <v>2039</v>
      </c>
      <c r="V99" s="86">
        <v>2040</v>
      </c>
      <c r="W99" s="86">
        <v>2041</v>
      </c>
    </row>
    <row r="100" spans="2:23" x14ac:dyDescent="0.2">
      <c r="B100" s="106" t="s">
        <v>104</v>
      </c>
      <c r="C100" s="110">
        <f>C57</f>
        <v>112.97329999999999</v>
      </c>
      <c r="D100" s="110">
        <f>D57</f>
        <v>111.9181670256222</v>
      </c>
      <c r="E100" s="110">
        <f>E57</f>
        <v>110.64326790048331</v>
      </c>
      <c r="F100" s="110">
        <f>F57</f>
        <v>112.40882173205914</v>
      </c>
      <c r="G100" s="110">
        <f>G57</f>
        <v>113.96873574495558</v>
      </c>
      <c r="H100" s="110">
        <f t="shared" ref="H100:W100" si="45">G100*(1+H113/100)*H43-H60-H61+H62+H63+H64+H65+H66+H72</f>
        <v>115.77838065922458</v>
      </c>
      <c r="I100" s="110">
        <f t="shared" si="45"/>
        <v>116.92117165766111</v>
      </c>
      <c r="J100" s="110">
        <f t="shared" si="45"/>
        <v>117.28270034717912</v>
      </c>
      <c r="K100" s="110">
        <f t="shared" si="45"/>
        <v>116.39404209202075</v>
      </c>
      <c r="L100" s="110">
        <f t="shared" si="45"/>
        <v>115.17150448362038</v>
      </c>
      <c r="M100" s="110">
        <f t="shared" si="45"/>
        <v>113.59794901750459</v>
      </c>
      <c r="N100" s="110">
        <f t="shared" si="45"/>
        <v>112.63450426242888</v>
      </c>
      <c r="O100" s="110">
        <f t="shared" si="45"/>
        <v>111.74350990068778</v>
      </c>
      <c r="P100" s="110">
        <f t="shared" si="45"/>
        <v>110.80056765042956</v>
      </c>
      <c r="Q100" s="110">
        <f t="shared" si="45"/>
        <v>109.75097572995551</v>
      </c>
      <c r="R100" s="110">
        <f t="shared" si="45"/>
        <v>108.5958000998275</v>
      </c>
      <c r="S100" s="110">
        <f t="shared" si="45"/>
        <v>107.42353691390113</v>
      </c>
      <c r="T100" s="110">
        <f t="shared" si="45"/>
        <v>106.19793615773037</v>
      </c>
      <c r="U100" s="110">
        <f t="shared" si="45"/>
        <v>104.89116193207225</v>
      </c>
      <c r="V100" s="110">
        <f t="shared" si="45"/>
        <v>103.46077033792369</v>
      </c>
      <c r="W100" s="110">
        <f t="shared" si="45"/>
        <v>102.11438203227311</v>
      </c>
    </row>
    <row r="101" spans="2:23" x14ac:dyDescent="0.2">
      <c r="B101" s="26" t="s">
        <v>127</v>
      </c>
      <c r="C101" s="34"/>
      <c r="D101" s="254">
        <f>'Input data'!C66*$D$100</f>
        <v>88.101484042716237</v>
      </c>
      <c r="E101" s="34">
        <f t="shared" ref="E101:W101" si="46">IF(E100=0,0,IF(E95=1,D100*E43/((1+E24/100)*(1+E42/100))-E102-E103,IF(AND(E95=0,E96=1),(1-D106-E39*D107)*D100*E43/((1+E24/100)*(1+E42/100)),E100)))</f>
        <v>86.822089359001311</v>
      </c>
      <c r="F101" s="34">
        <f t="shared" si="46"/>
        <v>88.105043933307712</v>
      </c>
      <c r="G101" s="34">
        <f t="shared" si="46"/>
        <v>89.990881634573597</v>
      </c>
      <c r="H101" s="34">
        <f t="shared" si="46"/>
        <v>91.876700047388979</v>
      </c>
      <c r="I101" s="34">
        <f t="shared" si="46"/>
        <v>93.264193434217304</v>
      </c>
      <c r="J101" s="34">
        <f t="shared" si="46"/>
        <v>94.08220278214425</v>
      </c>
      <c r="K101" s="34">
        <f t="shared" si="46"/>
        <v>93.553014237708155</v>
      </c>
      <c r="L101" s="34">
        <f t="shared" si="46"/>
        <v>92.748807858269885</v>
      </c>
      <c r="M101" s="34">
        <f t="shared" si="46"/>
        <v>91.666217106538468</v>
      </c>
      <c r="N101" s="34">
        <f t="shared" si="46"/>
        <v>90.789035858176319</v>
      </c>
      <c r="O101" s="34">
        <f t="shared" si="46"/>
        <v>89.945008395912538</v>
      </c>
      <c r="P101" s="34">
        <f t="shared" si="46"/>
        <v>89.103340976831205</v>
      </c>
      <c r="Q101" s="34">
        <f t="shared" si="46"/>
        <v>88.223136132673872</v>
      </c>
      <c r="R101" s="34">
        <f t="shared" si="46"/>
        <v>87.260816421305407</v>
      </c>
      <c r="S101" s="34">
        <f t="shared" si="46"/>
        <v>86.287023564621208</v>
      </c>
      <c r="T101" s="34">
        <f t="shared" si="46"/>
        <v>85.275566564699616</v>
      </c>
      <c r="U101" s="34">
        <f t="shared" si="46"/>
        <v>84.206842807567099</v>
      </c>
      <c r="V101" s="34">
        <f t="shared" si="46"/>
        <v>83.052818307016253</v>
      </c>
      <c r="W101" s="34">
        <f t="shared" si="46"/>
        <v>81.927030301685591</v>
      </c>
    </row>
    <row r="102" spans="2:23" x14ac:dyDescent="0.2">
      <c r="B102" s="105" t="s">
        <v>128</v>
      </c>
      <c r="C102" s="34"/>
      <c r="D102" s="254">
        <f>'Input data'!C67*$D$100</f>
        <v>7.8233646950070748</v>
      </c>
      <c r="E102" s="34">
        <f t="shared" ref="E102:W102" si="47">IF(E100=0,0,IF(E95=1,E39*D100*D107*E43/((1+E24/100)*(1+E42/100)),IF(AND(E95=0,E96=1),(E39*D100*D107*E43/((1+E24/100)*(1+E42/100)))*(1-ABS(E100-D100*E43/((1+E24/100)*(1+E42/100)))/((E39*D100*D107*E43/((1+E24/100)*(1+E42/100)))+(D106*D100*E43/((1+E24/100)*(1+E42/100))))),0)))</f>
        <v>7.5445628892559551</v>
      </c>
      <c r="F102" s="34">
        <f t="shared" si="47"/>
        <v>7.6510882826547091</v>
      </c>
      <c r="G102" s="34">
        <f t="shared" si="47"/>
        <v>7.8622250940045477</v>
      </c>
      <c r="H102" s="34">
        <f t="shared" si="47"/>
        <v>8.0753924248341047</v>
      </c>
      <c r="I102" s="34">
        <f t="shared" si="47"/>
        <v>8.2465324062575291</v>
      </c>
      <c r="J102" s="34">
        <f t="shared" si="47"/>
        <v>8.3685292471807706</v>
      </c>
      <c r="K102" s="34">
        <f t="shared" si="47"/>
        <v>8.3708944252313433</v>
      </c>
      <c r="L102" s="34">
        <f t="shared" si="47"/>
        <v>8.3479946679355717</v>
      </c>
      <c r="M102" s="34">
        <f t="shared" si="47"/>
        <v>8.2990876085490566</v>
      </c>
      <c r="N102" s="34">
        <f t="shared" si="47"/>
        <v>8.2677866017301138</v>
      </c>
      <c r="O102" s="34">
        <f t="shared" si="47"/>
        <v>8.2386389397599444</v>
      </c>
      <c r="P102" s="34">
        <f t="shared" si="47"/>
        <v>8.1615452344300365</v>
      </c>
      <c r="Q102" s="34">
        <f t="shared" si="47"/>
        <v>8.0809216397095796</v>
      </c>
      <c r="R102" s="34">
        <f t="shared" si="47"/>
        <v>7.9927766187910123</v>
      </c>
      <c r="S102" s="34">
        <f t="shared" si="47"/>
        <v>7.9035806990683204</v>
      </c>
      <c r="T102" s="34">
        <f t="shared" si="47"/>
        <v>7.8109348794274212</v>
      </c>
      <c r="U102" s="34">
        <f t="shared" si="47"/>
        <v>7.7130436310036954</v>
      </c>
      <c r="V102" s="34">
        <f t="shared" si="47"/>
        <v>7.6073391415913916</v>
      </c>
      <c r="W102" s="34">
        <f t="shared" si="47"/>
        <v>7.5042210134813123</v>
      </c>
    </row>
    <row r="103" spans="2:23" x14ac:dyDescent="0.2">
      <c r="B103" s="105" t="s">
        <v>129</v>
      </c>
      <c r="C103" s="34"/>
      <c r="D103" s="254">
        <f>'Input data'!C68*$D$100</f>
        <v>11.184916704595162</v>
      </c>
      <c r="E103" s="34">
        <f t="shared" ref="E103:W103" si="48">IF(E100=0,0,IF(E95=1,(1-D107)*D100*E43/((1+E24/100)*(1+E42/100)),IF(AND(E95=0,E96=1),(D106*D100*E43/((1+E24/100)*(1+E42/100)))*(1-ABS(E100-D100*E43/((1+E24/100)*(1+E42/100)))/((E39*D100*D107*E43/((1+E24/100)*(1+E42/100)))+(D106*D100*E43/((1+E24/100)*(1+E42/100))))),0)))</f>
        <v>11.003235423307965</v>
      </c>
      <c r="F103" s="34">
        <f t="shared" si="48"/>
        <v>11.128256363555845</v>
      </c>
      <c r="G103" s="34">
        <f t="shared" si="48"/>
        <v>11.334857176724176</v>
      </c>
      <c r="H103" s="34">
        <f t="shared" si="48"/>
        <v>11.547258544505024</v>
      </c>
      <c r="I103" s="34">
        <f t="shared" si="48"/>
        <v>11.700989131617387</v>
      </c>
      <c r="J103" s="34">
        <f t="shared" si="48"/>
        <v>11.787378922966562</v>
      </c>
      <c r="K103" s="34">
        <f t="shared" si="48"/>
        <v>11.709460187575596</v>
      </c>
      <c r="L103" s="34">
        <f t="shared" si="48"/>
        <v>11.599166931078289</v>
      </c>
      <c r="M103" s="34">
        <f t="shared" si="48"/>
        <v>11.455989641509074</v>
      </c>
      <c r="N103" s="34">
        <f t="shared" si="48"/>
        <v>11.340335388179676</v>
      </c>
      <c r="O103" s="34">
        <f t="shared" si="48"/>
        <v>11.228740928010247</v>
      </c>
      <c r="P103" s="34">
        <f t="shared" si="48"/>
        <v>11.111809586744286</v>
      </c>
      <c r="Q103" s="34">
        <f t="shared" si="48"/>
        <v>10.98998999073642</v>
      </c>
      <c r="R103" s="34">
        <f t="shared" si="48"/>
        <v>10.858184430302842</v>
      </c>
      <c r="S103" s="34">
        <f t="shared" si="48"/>
        <v>10.725231423251055</v>
      </c>
      <c r="T103" s="34">
        <f t="shared" si="48"/>
        <v>10.58790305241307</v>
      </c>
      <c r="U103" s="34">
        <f t="shared" si="48"/>
        <v>10.443816958259346</v>
      </c>
      <c r="V103" s="34">
        <f t="shared" si="48"/>
        <v>10.289567610342679</v>
      </c>
      <c r="W103" s="34">
        <f t="shared" si="48"/>
        <v>10.139310954657654</v>
      </c>
    </row>
    <row r="104" spans="2:23" x14ac:dyDescent="0.2">
      <c r="B104" s="105" t="s">
        <v>130</v>
      </c>
      <c r="C104" s="34"/>
      <c r="D104" s="254">
        <f>'Input data'!C69*$D$100</f>
        <v>4.3062797312435643</v>
      </c>
      <c r="E104" s="34">
        <f>IF(E100=0,0,IF(E95=1,'Input data'!$C$58*(E100-D100*E43/((1+E24/100)*(1+E42/100))),0))</f>
        <v>4.7570039815081167</v>
      </c>
      <c r="F104" s="34">
        <f>IF(F100=0,0,IF(F95=1,'Input data'!$C$58*(F100-E100*F43/((1+F24/100)*(1+F42/100))),0))</f>
        <v>4.9834734764809658</v>
      </c>
      <c r="G104" s="34">
        <f>IF(G100=0,0,IF(G95=1,'Input data'!$C$58*(G100-F100*G43/((1+G24/100)*(1+G42/100))),0))</f>
        <v>4.3126324461110297</v>
      </c>
      <c r="H104" s="34">
        <f>IF(H100=0,0,IF(H95=1,'Input data'!$C$58*(H100-G100*H43/((1+H24/100)*(1+H42/100))),0))</f>
        <v>3.8600214971646785</v>
      </c>
      <c r="I104" s="34">
        <f>IF(I100=0,0,IF(I95=1,'Input data'!$C$58*(I100-H100*I43/((1+I24/100)*(1+I42/100))),0))</f>
        <v>3.3462218646242849</v>
      </c>
      <c r="J104" s="34">
        <f>IF(J100=0,0,IF(J95=1,'Input data'!$C$58*(J100-I100*J43/((1+J24/100)*(1+J42/100))),0))</f>
        <v>2.7464592433739243</v>
      </c>
      <c r="K104" s="34">
        <f>IF(K100=0,0,IF(K95=1,'Input data'!$C$58*(K100-J100*K43/((1+K24/100)*(1+K42/100))),0))</f>
        <v>2.490344528822209</v>
      </c>
      <c r="L104" s="34">
        <f>IF(L100=0,0,IF(L95=1,'Input data'!$C$58*(L100-K100*L43/((1+L24/100)*(1+L42/100))),0))</f>
        <v>2.2331274183622254</v>
      </c>
      <c r="M104" s="34">
        <f>IF(M100=0,0,IF(M95=1,'Input data'!$C$58*(M100-L100*M43/((1+M24/100)*(1+M42/100))),0))</f>
        <v>1.9635138068608162</v>
      </c>
      <c r="N104" s="34">
        <f>IF(N100=0,0,IF(N95=1,'Input data'!$C$58*(N100-M100*N43/((1+N24/100)*(1+N42/100))),0))</f>
        <v>2.0182625448999847</v>
      </c>
      <c r="O104" s="34">
        <f>IF(O100=0,0,IF(O95=1,'Input data'!$C$58*(O100-N100*O43/((1+O24/100)*(1+O42/100))),0))</f>
        <v>2.1028551758514045</v>
      </c>
      <c r="P104" s="34">
        <f>IF(P100=0,0,IF(P95=1,'Input data'!$C$58*(P100-O100*P43/((1+P24/100)*(1+P42/100))),0))</f>
        <v>2.1865231696012595</v>
      </c>
      <c r="Q104" s="34">
        <f>IF(Q100=0,0,IF(Q95=1,'Input data'!$C$58*(Q100-P100*Q43/((1+Q24/100)*(1+Q42/100))),0))</f>
        <v>2.2163423863167462</v>
      </c>
      <c r="R104" s="34">
        <f>IF(R100=0,0,IF(R95=1,'Input data'!$C$58*(R100-Q100*R43/((1+R24/100)*(1+R42/100))),0))</f>
        <v>2.2407839043252076</v>
      </c>
      <c r="S104" s="34">
        <f>IF(S100=0,0,IF(S95=1,'Input data'!$C$58*(S100-R100*S43/((1+S24/100)*(1+S42/100))),0))</f>
        <v>2.2621438628049768</v>
      </c>
      <c r="T104" s="34">
        <f>IF(T100=0,0,IF(T95=1,'Input data'!$C$58*(T100-S100*T43/((1+T24/100)*(1+T42/100))),0))</f>
        <v>2.2764241603353517</v>
      </c>
      <c r="U104" s="34">
        <f>IF(U100=0,0,IF(U95=1,'Input data'!$C$58*(U100-T100*U43/((1+U24/100)*(1+U42/100))),0))</f>
        <v>2.2799665097751016</v>
      </c>
      <c r="V104" s="34">
        <f>IF(V100=0,0,IF(V95=1,'Input data'!$C$58*(V100-U100*V43/((1+V24/100)*(1+V42/100))),0))</f>
        <v>2.2651604608974347</v>
      </c>
      <c r="W104" s="34">
        <f>IF(W100=0,0,IF(W95=1,'Input data'!$C$58*(W100-V100*W43/((1+W24/100)*(1+W42/100))),0))</f>
        <v>2.2947256243438967</v>
      </c>
    </row>
    <row r="105" spans="2:23" x14ac:dyDescent="0.2">
      <c r="B105" s="107" t="s">
        <v>131</v>
      </c>
      <c r="C105" s="49"/>
      <c r="D105" s="255">
        <f>'Input data'!C70*$D$100</f>
        <v>0.50211565206198738</v>
      </c>
      <c r="E105" s="49">
        <f>IF(E100=0,0,IF(E95=1,'Input data'!$C$57*(E100-D100*E43/((1+E24/100)*(1+E42/100))),0))</f>
        <v>0.51637624740995514</v>
      </c>
      <c r="F105" s="49">
        <f>IF(F100=0,0,IF(F95=1,'Input data'!$C$57*(F100-E100*F43/((1+F24/100)*(1+F42/100))),0))</f>
        <v>0.54095967605989981</v>
      </c>
      <c r="G105" s="49">
        <f>IF(G100=0,0,IF(G95=1,'Input data'!$C$57*(G100-F100*G43/((1+G24/100)*(1+G42/100))),0))</f>
        <v>0.46813939354223971</v>
      </c>
      <c r="H105" s="49">
        <f>IF(H100=0,0,IF(H95=1,'Input data'!$C$57*(H100-G100*H43/((1+H24/100)*(1+H42/100))),0))</f>
        <v>0.41900814533178943</v>
      </c>
      <c r="I105" s="49">
        <f>IF(I100=0,0,IF(I95=1,'Input data'!$C$57*(I100-H100*I43/((1+I24/100)*(1+I42/100))),0))</f>
        <v>0.36323482094459608</v>
      </c>
      <c r="J105" s="49">
        <f>IF(J100=0,0,IF(J95=1,'Input data'!$C$57*(J100-I100*J43/((1+J24/100)*(1+J42/100))),0))</f>
        <v>0.29813015151359967</v>
      </c>
      <c r="K105" s="49">
        <f>IF(K100=0,0,IF(K95=1,'Input data'!$C$57*(K100-J100*K43/((1+K24/100)*(1+K42/100))),0))</f>
        <v>0.27032871268344788</v>
      </c>
      <c r="L105" s="49">
        <f>IF(L100=0,0,IF(L95=1,'Input data'!$C$57*(L100-K100*L43/((1+L24/100)*(1+L42/100))),0))</f>
        <v>0.2424076079744184</v>
      </c>
      <c r="M105" s="49">
        <f>IF(M100=0,0,IF(M95=1,'Input data'!$C$57*(M100-L100*M43/((1+M24/100)*(1+M42/100))),0))</f>
        <v>0.21314085404716912</v>
      </c>
      <c r="N105" s="49">
        <f>IF(N100=0,0,IF(N95=1,'Input data'!$C$57*(N100-M100*N43/((1+N24/100)*(1+N42/100))),0))</f>
        <v>0.21908386944278238</v>
      </c>
      <c r="O105" s="49">
        <f>IF(O100=0,0,IF(O95=1,'Input data'!$C$57*(O100-N100*O43/((1+O24/100)*(1+O42/100))),0))</f>
        <v>0.22826646115366445</v>
      </c>
      <c r="P105" s="49">
        <f>IF(P100=0,0,IF(P95=1,'Input data'!$C$57*(P100-O100*P43/((1+P24/100)*(1+P42/100))),0))</f>
        <v>0.23734868282276902</v>
      </c>
      <c r="Q105" s="49">
        <f>IF(Q100=0,0,IF(Q95=1,'Input data'!$C$57*(Q100-P100*Q43/((1+Q24/100)*(1+Q42/100))),0))</f>
        <v>0.24058558051890375</v>
      </c>
      <c r="R105" s="49">
        <f>IF(R100=0,0,IF(R95=1,'Input data'!$C$57*(R100-Q100*R43/((1+R24/100)*(1+R42/100))),0))</f>
        <v>0.24323872510303141</v>
      </c>
      <c r="S105" s="49">
        <f>IF(S100=0,0,IF(S95=1,'Input data'!$C$57*(S100-R100*S43/((1+S24/100)*(1+S42/100))),0))</f>
        <v>0.245557364155572</v>
      </c>
      <c r="T105" s="49">
        <f>IF(T100=0,0,IF(T95=1,'Input data'!$C$57*(T100-S100*T43/((1+T24/100)*(1+T42/100))),0))</f>
        <v>0.24710750085490998</v>
      </c>
      <c r="U105" s="49">
        <f>IF(U100=0,0,IF(U95=1,'Input data'!$C$57*(U100-T100*U43/((1+U24/100)*(1+U42/100))),0))</f>
        <v>0.24749202546700266</v>
      </c>
      <c r="V105" s="49">
        <f>IF(V100=0,0,IF(V95=1,'Input data'!$C$57*(V100-U100*V43/((1+V24/100)*(1+V42/100))),0))</f>
        <v>0.24588481807593507</v>
      </c>
      <c r="W105" s="49">
        <f>IF(W100=0,0,IF(W95=1,'Input data'!$C$57*(W100-V100*W43/((1+W24/100)*(1+W42/100))),0))</f>
        <v>0.24909413810465317</v>
      </c>
    </row>
    <row r="106" spans="2:23" x14ac:dyDescent="0.2">
      <c r="B106" s="26" t="s">
        <v>73</v>
      </c>
      <c r="C106" s="36"/>
      <c r="D106" s="260">
        <f>'Baseline NFPC'!$D$93</f>
        <v>0.10442485672571578</v>
      </c>
      <c r="E106" s="36">
        <f t="shared" ref="E106:G106" si="49">IF(E100&lt;&gt;0,(E103+E105)/(E101+E102+E103+E104+E105),0)</f>
        <v>0.10411489003632005</v>
      </c>
      <c r="F106" s="36">
        <f t="shared" si="49"/>
        <v>0.10381050045547867</v>
      </c>
      <c r="G106" s="36">
        <f t="shared" si="49"/>
        <v>0.10356345969020572</v>
      </c>
      <c r="H106" s="36">
        <f t="shared" ref="H106:W106" si="50">IF(H100&lt;&gt;0,(H103+H105)/(H101+H102+H103+H104+H105),0)</f>
        <v>0.10335493225680564</v>
      </c>
      <c r="I106" s="36">
        <f t="shared" si="50"/>
        <v>0.10318254411515292</v>
      </c>
      <c r="J106" s="36">
        <f t="shared" si="50"/>
        <v>0.10304596533593408</v>
      </c>
      <c r="K106" s="36">
        <f t="shared" si="50"/>
        <v>0.10292441679092011</v>
      </c>
      <c r="L106" s="36">
        <f t="shared" si="50"/>
        <v>0.10281687811707634</v>
      </c>
      <c r="M106" s="36">
        <f t="shared" si="50"/>
        <v>0.10272307375688727</v>
      </c>
      <c r="N106" s="36">
        <f t="shared" si="50"/>
        <v>0.10262769240489565</v>
      </c>
      <c r="O106" s="36">
        <f t="shared" si="50"/>
        <v>0.10252951065655933</v>
      </c>
      <c r="P106" s="36">
        <f t="shared" si="50"/>
        <v>0.10242870149702754</v>
      </c>
      <c r="Q106" s="36">
        <f t="shared" si="50"/>
        <v>0.10232779705656904</v>
      </c>
      <c r="R106" s="36">
        <f t="shared" si="50"/>
        <v>0.10222700274965336</v>
      </c>
      <c r="S106" s="36">
        <f t="shared" si="50"/>
        <v>0.10212649017691161</v>
      </c>
      <c r="T106" s="36">
        <f t="shared" si="50"/>
        <v>0.10202656421849189</v>
      </c>
      <c r="U106" s="36">
        <f>IF(U100&lt;&gt;0,(U103+U105)/(U101+U102+U103+U104+U105),0)</f>
        <v>0.10192764372893555</v>
      </c>
      <c r="V106" s="36">
        <f t="shared" si="50"/>
        <v>0.1018304077381959</v>
      </c>
      <c r="W106" s="34">
        <f t="shared" si="50"/>
        <v>0.10173302610281738</v>
      </c>
    </row>
    <row r="107" spans="2:23" x14ac:dyDescent="0.2">
      <c r="B107" s="35" t="s">
        <v>74</v>
      </c>
      <c r="C107" s="108"/>
      <c r="D107" s="261">
        <f>'Baseline NFPC'!$D$94</f>
        <v>0.89557514327428422</v>
      </c>
      <c r="E107" s="108">
        <f t="shared" ref="E107:G107" si="51">IF(E100&lt;&gt;0,(E101+E102+E104)/(E101+E102+E103+E104+E105),1)</f>
        <v>0.89588510996367998</v>
      </c>
      <c r="F107" s="108">
        <f t="shared" si="51"/>
        <v>0.89618949954452132</v>
      </c>
      <c r="G107" s="108">
        <f t="shared" si="51"/>
        <v>0.89643654030979425</v>
      </c>
      <c r="H107" s="108">
        <f t="shared" ref="H107:W107" si="52">IF(H100&lt;&gt;0,(H101+H102+H104)/(H101+H102+H103+H104+H105),1)</f>
        <v>0.8966450677431943</v>
      </c>
      <c r="I107" s="108">
        <f t="shared" si="52"/>
        <v>0.89681745588484707</v>
      </c>
      <c r="J107" s="108">
        <f t="shared" si="52"/>
        <v>0.89695403466406587</v>
      </c>
      <c r="K107" s="108">
        <f t="shared" si="52"/>
        <v>0.89707558320907976</v>
      </c>
      <c r="L107" s="108">
        <f t="shared" si="52"/>
        <v>0.89718312188292371</v>
      </c>
      <c r="M107" s="108">
        <f t="shared" si="52"/>
        <v>0.89727692624311273</v>
      </c>
      <c r="N107" s="108">
        <f t="shared" si="52"/>
        <v>0.89737230759510433</v>
      </c>
      <c r="O107" s="108">
        <f t="shared" si="52"/>
        <v>0.89747048934344076</v>
      </c>
      <c r="P107" s="108">
        <f t="shared" si="52"/>
        <v>0.89757129850297246</v>
      </c>
      <c r="Q107" s="108">
        <f t="shared" si="52"/>
        <v>0.89767220294343086</v>
      </c>
      <c r="R107" s="108">
        <f t="shared" si="52"/>
        <v>0.89777299725034665</v>
      </c>
      <c r="S107" s="108">
        <f t="shared" si="52"/>
        <v>0.89787350982308833</v>
      </c>
      <c r="T107" s="108">
        <f t="shared" si="52"/>
        <v>0.89797343578150812</v>
      </c>
      <c r="U107" s="108">
        <f t="shared" si="52"/>
        <v>0.89807235627106452</v>
      </c>
      <c r="V107" s="108">
        <f t="shared" si="52"/>
        <v>0.89816959226180415</v>
      </c>
      <c r="W107" s="49">
        <f t="shared" si="52"/>
        <v>0.89826697389718257</v>
      </c>
    </row>
    <row r="108" spans="2:23" x14ac:dyDescent="0.2">
      <c r="C108" s="38"/>
      <c r="D108" s="38"/>
      <c r="E108" s="38"/>
      <c r="F108" s="38"/>
      <c r="G108" s="38"/>
      <c r="H108" s="38"/>
      <c r="I108" s="38"/>
      <c r="J108" s="38"/>
      <c r="K108" s="38"/>
      <c r="L108" s="38"/>
      <c r="M108" s="38"/>
      <c r="N108" s="38"/>
      <c r="O108" s="38"/>
      <c r="P108" s="38"/>
      <c r="Q108" s="38"/>
      <c r="R108" s="38"/>
      <c r="S108" s="38"/>
      <c r="T108" s="38"/>
      <c r="U108" s="38"/>
      <c r="V108" s="38"/>
      <c r="W108" s="38"/>
    </row>
    <row r="109" spans="2:23" x14ac:dyDescent="0.2">
      <c r="B109" s="113" t="s">
        <v>132</v>
      </c>
      <c r="C109" s="115">
        <f>'Baseline NFPC'!C96</f>
        <v>1.3072319999999999</v>
      </c>
      <c r="D109" s="115">
        <f>'Baseline NFPC'!D96</f>
        <v>1.8011330000000001</v>
      </c>
      <c r="E109" s="115">
        <f>'Baseline NFPC'!E96</f>
        <v>1.6360269999999999</v>
      </c>
      <c r="F109" s="115">
        <f>'Baseline NFPC'!F96</f>
        <v>1.90473</v>
      </c>
      <c r="G109" s="115">
        <f>'Baseline NFPC'!G96</f>
        <v>2.1499329999999999</v>
      </c>
      <c r="H109" s="115">
        <f>H111</f>
        <v>2.2624335955804127</v>
      </c>
      <c r="I109" s="115">
        <f t="shared" ref="I109:V109" si="53">I111</f>
        <v>2.3656571190916935</v>
      </c>
      <c r="J109" s="115">
        <f t="shared" si="53"/>
        <v>2.4608203898214027</v>
      </c>
      <c r="K109" s="115">
        <f t="shared" si="53"/>
        <v>2.5486874079195405</v>
      </c>
      <c r="L109" s="115">
        <f t="shared" si="53"/>
        <v>2.6329441517892573</v>
      </c>
      <c r="M109" s="115">
        <f t="shared" si="53"/>
        <v>2.7140434675168965</v>
      </c>
      <c r="N109" s="115">
        <f t="shared" si="53"/>
        <v>2.7922821441212311</v>
      </c>
      <c r="O109" s="115">
        <f t="shared" si="53"/>
        <v>2.8701685368371517</v>
      </c>
      <c r="P109" s="115">
        <f t="shared" si="53"/>
        <v>2.9399636293972873</v>
      </c>
      <c r="Q109" s="115">
        <f t="shared" si="53"/>
        <v>3.0043672828038184</v>
      </c>
      <c r="R109" s="115">
        <f t="shared" si="53"/>
        <v>3.0635576645735116</v>
      </c>
      <c r="S109" s="115">
        <f t="shared" si="53"/>
        <v>3.1180214262489456</v>
      </c>
      <c r="T109" s="115">
        <f t="shared" si="53"/>
        <v>3.168206362701508</v>
      </c>
      <c r="U109" s="115">
        <f t="shared" si="53"/>
        <v>3.2145062176713166</v>
      </c>
      <c r="V109" s="115">
        <f t="shared" si="53"/>
        <v>3.2572697643868134</v>
      </c>
      <c r="W109" s="115">
        <f>W111</f>
        <v>3.2967924072889536</v>
      </c>
    </row>
    <row r="110" spans="2:23" x14ac:dyDescent="0.2">
      <c r="B110" s="33" t="s">
        <v>133</v>
      </c>
      <c r="C110" s="34"/>
      <c r="D110" s="34"/>
      <c r="E110" s="266">
        <f>((E36*D100)-(E38*(D103+D105)))/(D101+D102+D104)</f>
        <v>1.4268483678239055</v>
      </c>
      <c r="F110" s="266">
        <f>((F36*E100)-(F38*(E103+E105)))/(E101+E102+E104)</f>
        <v>1.7118745014922765</v>
      </c>
      <c r="G110" s="266">
        <f>((G36*F100)-(G38*(F103+F105)))/(F101+F102+F104)</f>
        <v>2.0727354010773258</v>
      </c>
      <c r="H110" s="34">
        <f t="shared" ref="H110:W110" si="54">IF(G100&gt;0,(G110*G101+H37*(G104+G102))/(G101+G102+G104),H37)</f>
        <v>2.1997416955847298</v>
      </c>
      <c r="I110" s="34">
        <f t="shared" si="54"/>
        <v>2.3163052990399926</v>
      </c>
      <c r="J110" s="34">
        <f t="shared" si="54"/>
        <v>2.4238077396616671</v>
      </c>
      <c r="K110" s="34">
        <f t="shared" si="54"/>
        <v>2.5231204636192186</v>
      </c>
      <c r="L110" s="34">
        <f t="shared" si="54"/>
        <v>2.6183727138168149</v>
      </c>
      <c r="M110" s="34">
        <f t="shared" si="54"/>
        <v>2.7100762815150259</v>
      </c>
      <c r="N110" s="34">
        <f t="shared" si="54"/>
        <v>2.7985680144567584</v>
      </c>
      <c r="O110" s="34">
        <f t="shared" si="54"/>
        <v>2.8866460318919049</v>
      </c>
      <c r="P110" s="34">
        <f t="shared" si="54"/>
        <v>2.9685446707670624</v>
      </c>
      <c r="Q110" s="34">
        <f t="shared" si="54"/>
        <v>3.0444095907303956</v>
      </c>
      <c r="R110" s="34">
        <f t="shared" si="54"/>
        <v>3.1144417189851099</v>
      </c>
      <c r="S110" s="34">
        <f t="shared" si="54"/>
        <v>3.1791851904101587</v>
      </c>
      <c r="T110" s="34">
        <f t="shared" si="54"/>
        <v>3.2391406841719954</v>
      </c>
      <c r="U110" s="34">
        <f t="shared" si="54"/>
        <v>3.2947486459330246</v>
      </c>
      <c r="V110" s="34">
        <f t="shared" si="54"/>
        <v>3.3463994722703716</v>
      </c>
      <c r="W110" s="34">
        <f t="shared" si="54"/>
        <v>3.3944243866932329</v>
      </c>
    </row>
    <row r="111" spans="2:23" x14ac:dyDescent="0.2">
      <c r="B111" s="35" t="s">
        <v>63</v>
      </c>
      <c r="C111" s="49"/>
      <c r="D111" s="49"/>
      <c r="E111" s="49">
        <f t="shared" ref="E111:W111" si="55">(E110*(D101+D102+D104)+E38*(D103+D105))/D100</f>
        <v>1.6360269999999999</v>
      </c>
      <c r="F111" s="49">
        <f t="shared" si="55"/>
        <v>1.90473</v>
      </c>
      <c r="G111" s="49">
        <f t="shared" si="55"/>
        <v>2.1499329999999999</v>
      </c>
      <c r="H111" s="49">
        <f t="shared" si="55"/>
        <v>2.2624335955804127</v>
      </c>
      <c r="I111" s="49">
        <f t="shared" si="55"/>
        <v>2.3656571190916935</v>
      </c>
      <c r="J111" s="49">
        <f t="shared" si="55"/>
        <v>2.4608203898214027</v>
      </c>
      <c r="K111" s="49">
        <f t="shared" si="55"/>
        <v>2.5486874079195405</v>
      </c>
      <c r="L111" s="49">
        <f t="shared" si="55"/>
        <v>2.6329441517892573</v>
      </c>
      <c r="M111" s="49">
        <f t="shared" si="55"/>
        <v>2.7140434675168965</v>
      </c>
      <c r="N111" s="49">
        <f t="shared" si="55"/>
        <v>2.7922821441212311</v>
      </c>
      <c r="O111" s="49">
        <f t="shared" si="55"/>
        <v>2.8701685368371517</v>
      </c>
      <c r="P111" s="49">
        <f t="shared" si="55"/>
        <v>2.9399636293972873</v>
      </c>
      <c r="Q111" s="49">
        <f t="shared" si="55"/>
        <v>3.0043672828038184</v>
      </c>
      <c r="R111" s="49">
        <f t="shared" si="55"/>
        <v>3.0635576645735116</v>
      </c>
      <c r="S111" s="49">
        <f t="shared" si="55"/>
        <v>3.1180214262489456</v>
      </c>
      <c r="T111" s="49">
        <f t="shared" si="55"/>
        <v>3.168206362701508</v>
      </c>
      <c r="U111" s="49">
        <f t="shared" si="55"/>
        <v>3.2145062176713166</v>
      </c>
      <c r="V111" s="49">
        <f t="shared" si="55"/>
        <v>3.2572697643868134</v>
      </c>
      <c r="W111" s="49">
        <f t="shared" si="55"/>
        <v>3.2967924072889536</v>
      </c>
    </row>
    <row r="112" spans="2:23" x14ac:dyDescent="0.2">
      <c r="C112" s="38"/>
      <c r="D112" s="38"/>
      <c r="E112" s="38"/>
      <c r="F112" s="38"/>
      <c r="G112" s="34"/>
      <c r="H112" s="34"/>
      <c r="I112" s="34"/>
      <c r="J112" s="34"/>
      <c r="K112" s="34"/>
      <c r="L112" s="34"/>
      <c r="M112" s="34"/>
      <c r="N112" s="34"/>
      <c r="O112" s="34"/>
      <c r="P112" s="34"/>
      <c r="Q112" s="34"/>
      <c r="R112" s="34"/>
      <c r="S112" s="34"/>
      <c r="T112" s="34"/>
      <c r="U112" s="34"/>
      <c r="V112" s="34"/>
      <c r="W112" s="34"/>
    </row>
    <row r="113" spans="2:25" x14ac:dyDescent="0.2">
      <c r="B113" s="113" t="s">
        <v>186</v>
      </c>
      <c r="C113" s="115">
        <f t="shared" ref="C113:W113" si="56">((1+C109/100)/((1+C24/100)*(1+C42/100))-1)*100</f>
        <v>-6.154246690176068</v>
      </c>
      <c r="D113" s="115">
        <f t="shared" si="56"/>
        <v>-3.4825434038009195</v>
      </c>
      <c r="E113" s="115">
        <f t="shared" si="56"/>
        <v>-4.3106491734947632</v>
      </c>
      <c r="F113" s="115">
        <f t="shared" si="56"/>
        <v>-1.5572654776414119</v>
      </c>
      <c r="G113" s="115">
        <f t="shared" si="56"/>
        <v>-0.7769761707942191</v>
      </c>
      <c r="H113" s="115">
        <f t="shared" si="56"/>
        <v>4.6691794623576754E-2</v>
      </c>
      <c r="I113" s="115">
        <f t="shared" si="56"/>
        <v>9.6335176840156578E-2</v>
      </c>
      <c r="J113" s="115">
        <f t="shared" si="56"/>
        <v>0.10959009397071284</v>
      </c>
      <c r="K113" s="115">
        <f t="shared" si="56"/>
        <v>-0.64218519129134455</v>
      </c>
      <c r="L113" s="115">
        <f t="shared" si="56"/>
        <v>-0.62791074566467264</v>
      </c>
      <c r="M113" s="115">
        <f t="shared" si="56"/>
        <v>-0.63052729003733043</v>
      </c>
      <c r="N113" s="115">
        <f t="shared" si="56"/>
        <v>-0.10404328971714838</v>
      </c>
      <c r="O113" s="115">
        <f t="shared" si="56"/>
        <v>-7.2620779871557239E-2</v>
      </c>
      <c r="P113" s="115">
        <f t="shared" si="56"/>
        <v>-0.1616010304659854</v>
      </c>
      <c r="Q113" s="115">
        <f t="shared" si="56"/>
        <v>-0.25542524367880848</v>
      </c>
      <c r="R113" s="115">
        <f t="shared" si="56"/>
        <v>-0.35389459206478513</v>
      </c>
      <c r="S113" s="115">
        <f t="shared" si="56"/>
        <v>-0.37631858346667268</v>
      </c>
      <c r="T113" s="115">
        <f t="shared" si="56"/>
        <v>-0.43241299900695918</v>
      </c>
      <c r="U113" s="115">
        <f t="shared" si="56"/>
        <v>-0.51201103358815558</v>
      </c>
      <c r="V113" s="115">
        <f t="shared" si="56"/>
        <v>-0.62277125118335164</v>
      </c>
      <c r="W113" s="115">
        <f t="shared" si="56"/>
        <v>-0.58724995890536702</v>
      </c>
    </row>
    <row r="114" spans="2:25" x14ac:dyDescent="0.2">
      <c r="F114" s="34"/>
      <c r="G114" s="34"/>
      <c r="H114" s="34"/>
      <c r="I114" s="34"/>
      <c r="J114" s="34"/>
      <c r="K114" s="34"/>
      <c r="L114" s="34"/>
      <c r="M114" s="34"/>
      <c r="N114" s="34"/>
      <c r="O114" s="34"/>
      <c r="P114" s="34"/>
      <c r="Q114" s="34"/>
      <c r="R114" s="34"/>
      <c r="S114" s="34"/>
      <c r="T114" s="34"/>
      <c r="U114" s="34"/>
      <c r="V114" s="34"/>
      <c r="W114" s="34"/>
    </row>
    <row r="115" spans="2:25" x14ac:dyDescent="0.2">
      <c r="F115" s="34"/>
      <c r="G115" s="34"/>
      <c r="H115" s="253"/>
      <c r="I115" s="253"/>
      <c r="J115" s="253"/>
      <c r="K115" s="253"/>
      <c r="L115" s="253"/>
      <c r="M115" s="253"/>
      <c r="N115" s="253"/>
      <c r="O115" s="253"/>
      <c r="P115" s="253"/>
      <c r="Q115" s="253"/>
      <c r="R115" s="253"/>
      <c r="S115" s="253"/>
      <c r="T115" s="253"/>
      <c r="U115" s="34"/>
      <c r="V115" s="34"/>
      <c r="W115" s="34"/>
    </row>
    <row r="116" spans="2:25" x14ac:dyDescent="0.2">
      <c r="T116" s="62"/>
      <c r="U116" s="62"/>
      <c r="V116" s="62"/>
      <c r="W116" s="62"/>
      <c r="X116" s="62"/>
      <c r="Y116" s="62"/>
    </row>
    <row r="117" spans="2:25" x14ac:dyDescent="0.2">
      <c r="T117" s="62"/>
      <c r="U117" s="116"/>
      <c r="V117" s="116"/>
      <c r="W117" s="116"/>
      <c r="X117" s="116"/>
      <c r="Y117" s="62"/>
    </row>
    <row r="118" spans="2:25" x14ac:dyDescent="0.2">
      <c r="H118" s="121"/>
      <c r="I118" s="121"/>
      <c r="J118" s="121"/>
      <c r="K118" s="121"/>
      <c r="L118" s="121"/>
      <c r="M118" s="121"/>
      <c r="N118" s="121"/>
      <c r="O118" s="121"/>
      <c r="P118" s="121"/>
      <c r="Q118" s="121"/>
      <c r="R118" s="121"/>
      <c r="S118" s="121"/>
      <c r="T118" s="121"/>
      <c r="U118" s="121"/>
      <c r="V118" s="121"/>
      <c r="W118" s="121"/>
    </row>
    <row r="119" spans="2:25" x14ac:dyDescent="0.2">
      <c r="E119" s="34"/>
      <c r="F119" s="34"/>
      <c r="G119" s="121"/>
      <c r="H119" s="121"/>
      <c r="I119" s="121"/>
      <c r="J119" s="121"/>
      <c r="K119" s="121"/>
      <c r="L119" s="121"/>
      <c r="M119" s="121"/>
      <c r="N119" s="121"/>
      <c r="O119" s="121"/>
      <c r="P119" s="121"/>
      <c r="Q119" s="121"/>
      <c r="R119" s="121"/>
      <c r="S119" s="121"/>
      <c r="T119" s="121"/>
      <c r="U119" s="121"/>
      <c r="V119" s="121"/>
      <c r="W119" s="121"/>
    </row>
    <row r="120" spans="2:25" x14ac:dyDescent="0.2">
      <c r="E120" s="34"/>
      <c r="F120" s="34"/>
      <c r="G120" s="121"/>
      <c r="H120" s="121"/>
      <c r="I120" s="121"/>
      <c r="J120" s="121"/>
      <c r="K120" s="121"/>
      <c r="L120" s="121"/>
      <c r="M120" s="121"/>
      <c r="N120" s="121"/>
      <c r="O120" s="121"/>
      <c r="P120" s="121"/>
      <c r="Q120" s="121"/>
      <c r="R120" s="121"/>
      <c r="S120" s="121"/>
      <c r="T120" s="121"/>
      <c r="U120" s="121"/>
      <c r="V120" s="121"/>
      <c r="W120" s="121"/>
    </row>
    <row r="123" spans="2:25" x14ac:dyDescent="0.2">
      <c r="E123" s="34"/>
      <c r="F123" s="34"/>
      <c r="G123" s="121"/>
      <c r="H123" s="121"/>
      <c r="I123" s="121"/>
      <c r="J123" s="121"/>
      <c r="K123" s="121"/>
      <c r="L123" s="121"/>
      <c r="M123" s="121"/>
      <c r="N123" s="121"/>
      <c r="O123" s="121"/>
      <c r="P123" s="121"/>
      <c r="Q123" s="121"/>
      <c r="R123" s="121"/>
      <c r="S123" s="121"/>
      <c r="T123" s="121"/>
      <c r="U123" s="121"/>
      <c r="V123" s="121"/>
      <c r="W123" s="121"/>
    </row>
    <row r="124" spans="2:25" x14ac:dyDescent="0.2">
      <c r="E124" s="34"/>
      <c r="F124" s="34"/>
      <c r="G124" s="121"/>
      <c r="H124" s="121"/>
      <c r="I124" s="121"/>
      <c r="J124" s="121"/>
      <c r="K124" s="121"/>
      <c r="L124" s="121"/>
      <c r="M124" s="121"/>
      <c r="N124" s="121"/>
      <c r="O124" s="121"/>
      <c r="P124" s="121"/>
      <c r="Q124" s="121"/>
      <c r="R124" s="121"/>
      <c r="S124" s="121"/>
      <c r="T124" s="121"/>
      <c r="U124" s="121"/>
      <c r="V124" s="121"/>
      <c r="W124" s="121"/>
      <c r="X124" s="53"/>
    </row>
    <row r="125" spans="2:25" x14ac:dyDescent="0.2">
      <c r="G125" s="53"/>
      <c r="H125" s="53"/>
      <c r="I125" s="53"/>
      <c r="J125" s="53"/>
      <c r="K125" s="53"/>
      <c r="L125" s="53"/>
      <c r="M125" s="53"/>
      <c r="N125" s="53"/>
      <c r="O125" s="53"/>
      <c r="P125" s="53"/>
      <c r="Q125" s="53"/>
      <c r="R125" s="53"/>
      <c r="S125" s="53"/>
      <c r="T125" s="53"/>
      <c r="U125" s="53"/>
      <c r="V125" s="53"/>
      <c r="W125" s="53"/>
      <c r="X125" s="53"/>
    </row>
    <row r="126" spans="2:25" x14ac:dyDescent="0.2">
      <c r="E126" s="34"/>
      <c r="F126" s="34"/>
      <c r="G126" s="121"/>
      <c r="H126" s="121"/>
      <c r="I126" s="121"/>
      <c r="J126" s="121"/>
      <c r="K126" s="121"/>
      <c r="L126" s="121"/>
      <c r="M126" s="121"/>
      <c r="N126" s="121"/>
      <c r="O126" s="121"/>
      <c r="P126" s="121"/>
      <c r="Q126" s="121"/>
      <c r="R126" s="121"/>
      <c r="S126" s="121"/>
      <c r="T126" s="121"/>
      <c r="U126" s="121"/>
      <c r="V126" s="121"/>
      <c r="W126" s="121"/>
      <c r="X126" s="53"/>
    </row>
    <row r="127" spans="2:25" x14ac:dyDescent="0.2">
      <c r="E127" s="34"/>
      <c r="F127" s="34"/>
      <c r="G127" s="121"/>
      <c r="H127" s="121"/>
      <c r="I127" s="121"/>
      <c r="J127" s="121"/>
      <c r="K127" s="121"/>
      <c r="L127" s="121"/>
      <c r="M127" s="121"/>
      <c r="N127" s="121"/>
      <c r="O127" s="121"/>
      <c r="P127" s="121"/>
      <c r="Q127" s="121"/>
      <c r="R127" s="121"/>
      <c r="S127" s="121"/>
      <c r="T127" s="121"/>
      <c r="U127" s="121"/>
      <c r="V127" s="121"/>
      <c r="W127" s="121"/>
      <c r="X127" s="53"/>
    </row>
    <row r="128" spans="2:25" x14ac:dyDescent="0.2">
      <c r="G128" s="53"/>
      <c r="H128" s="53"/>
      <c r="I128" s="53"/>
      <c r="J128" s="53"/>
      <c r="K128" s="53"/>
      <c r="L128" s="53"/>
      <c r="M128" s="53"/>
      <c r="N128" s="53"/>
      <c r="O128" s="53"/>
      <c r="P128" s="53"/>
      <c r="Q128" s="53"/>
      <c r="R128" s="53"/>
      <c r="S128" s="53"/>
      <c r="T128" s="53"/>
      <c r="U128" s="53"/>
      <c r="V128" s="53"/>
      <c r="W128" s="53"/>
      <c r="X128" s="53"/>
    </row>
    <row r="129" spans="5:24" x14ac:dyDescent="0.2">
      <c r="E129" s="34"/>
      <c r="F129" s="34"/>
      <c r="G129" s="121"/>
      <c r="H129" s="121"/>
      <c r="I129" s="121"/>
      <c r="J129" s="121"/>
      <c r="K129" s="121"/>
      <c r="L129" s="121"/>
      <c r="M129" s="121"/>
      <c r="N129" s="121"/>
      <c r="O129" s="121"/>
      <c r="P129" s="121"/>
      <c r="Q129" s="121"/>
      <c r="R129" s="121"/>
      <c r="S129" s="121"/>
      <c r="T129" s="121"/>
      <c r="U129" s="121"/>
      <c r="V129" s="121"/>
      <c r="W129" s="121"/>
      <c r="X129" s="121"/>
    </row>
    <row r="130" spans="5:24" x14ac:dyDescent="0.2">
      <c r="E130" s="34"/>
      <c r="F130" s="34"/>
      <c r="G130" s="121"/>
      <c r="H130" s="121"/>
      <c r="I130" s="121"/>
      <c r="J130" s="121"/>
      <c r="K130" s="121"/>
      <c r="L130" s="121"/>
      <c r="M130" s="121"/>
      <c r="N130" s="121"/>
      <c r="O130" s="121"/>
      <c r="P130" s="121"/>
      <c r="Q130" s="121"/>
      <c r="R130" s="121"/>
      <c r="S130" s="121"/>
      <c r="T130" s="121"/>
      <c r="U130" s="121"/>
      <c r="V130" s="121"/>
      <c r="W130" s="121"/>
      <c r="X130" s="121"/>
    </row>
    <row r="131" spans="5:24" x14ac:dyDescent="0.2">
      <c r="G131" s="121"/>
      <c r="H131" s="121"/>
      <c r="I131" s="121"/>
      <c r="J131" s="121"/>
      <c r="K131" s="121"/>
      <c r="L131" s="121"/>
      <c r="M131" s="121"/>
      <c r="N131" s="121"/>
      <c r="O131" s="121"/>
      <c r="P131" s="121"/>
      <c r="Q131" s="121"/>
      <c r="R131" s="121"/>
      <c r="S131" s="121"/>
      <c r="T131" s="121"/>
      <c r="U131" s="121"/>
      <c r="V131" s="121"/>
      <c r="W131" s="121"/>
      <c r="X131" s="121"/>
    </row>
    <row r="132" spans="5:24" x14ac:dyDescent="0.2">
      <c r="E132" s="34"/>
      <c r="F132" s="34"/>
      <c r="G132" s="121"/>
      <c r="H132" s="121"/>
      <c r="I132" s="121"/>
      <c r="J132" s="121"/>
      <c r="K132" s="121"/>
      <c r="L132" s="121"/>
      <c r="M132" s="121"/>
      <c r="N132" s="121"/>
      <c r="O132" s="121"/>
      <c r="P132" s="121"/>
      <c r="Q132" s="121"/>
      <c r="R132" s="121"/>
      <c r="S132" s="121"/>
      <c r="T132" s="121"/>
      <c r="U132" s="121"/>
      <c r="V132" s="121"/>
      <c r="W132" s="121"/>
      <c r="X132" s="121"/>
    </row>
    <row r="133" spans="5:24" x14ac:dyDescent="0.2">
      <c r="E133" s="34"/>
      <c r="F133" s="34"/>
      <c r="G133" s="121"/>
      <c r="H133" s="121"/>
      <c r="I133" s="121"/>
      <c r="J133" s="121"/>
      <c r="K133" s="121"/>
      <c r="L133" s="121"/>
      <c r="M133" s="121"/>
      <c r="N133" s="121"/>
      <c r="O133" s="121"/>
      <c r="P133" s="121"/>
      <c r="Q133" s="121"/>
      <c r="R133" s="121"/>
      <c r="S133" s="121"/>
      <c r="T133" s="121"/>
      <c r="U133" s="121"/>
      <c r="V133" s="121"/>
      <c r="W133" s="121"/>
      <c r="X133" s="121"/>
    </row>
    <row r="134" spans="5:24" x14ac:dyDescent="0.2">
      <c r="G134" s="121"/>
      <c r="H134" s="121"/>
      <c r="I134" s="121"/>
      <c r="J134" s="121"/>
      <c r="K134" s="121"/>
      <c r="L134" s="121"/>
      <c r="M134" s="121"/>
      <c r="N134" s="121"/>
      <c r="O134" s="121"/>
      <c r="P134" s="121"/>
      <c r="Q134" s="121"/>
      <c r="R134" s="121"/>
      <c r="S134" s="121"/>
      <c r="T134" s="121"/>
      <c r="U134" s="121"/>
      <c r="V134" s="121"/>
      <c r="W134" s="121"/>
      <c r="X134" s="121"/>
    </row>
    <row r="135" spans="5:24" x14ac:dyDescent="0.2">
      <c r="G135" s="121"/>
      <c r="H135" s="121"/>
      <c r="I135" s="121"/>
      <c r="J135" s="121"/>
      <c r="K135" s="121"/>
      <c r="L135" s="121"/>
      <c r="M135" s="121"/>
      <c r="N135" s="121"/>
      <c r="O135" s="121"/>
      <c r="P135" s="121"/>
      <c r="Q135" s="121"/>
      <c r="R135" s="121"/>
      <c r="S135" s="121"/>
      <c r="T135" s="121"/>
      <c r="U135" s="121"/>
      <c r="V135" s="121"/>
      <c r="W135" s="121"/>
      <c r="X135" s="121"/>
    </row>
  </sheetData>
  <conditionalFormatting sqref="G12:M12">
    <cfRule type="expression" dxfId="37" priority="4">
      <formula>AND(G10&gt;$C$5,G10&lt;=$C$6)</formula>
    </cfRule>
  </conditionalFormatting>
  <conditionalFormatting sqref="U10:W44 U46:W53 U94:W150 U55:W92">
    <cfRule type="expression" dxfId="36" priority="1">
      <formula>U$10&gt;$C$7</formula>
    </cfRule>
  </conditionalFormatting>
  <pageMargins left="0.7" right="0.7" top="0.75" bottom="0.75" header="0.3" footer="0.3"/>
  <pageSetup paperSize="9" orientation="portrait" r:id="rId1"/>
  <ignoredErrors>
    <ignoredError sqref="C5:C6 C47:C48" unlockedFormula="1"/>
  </ignoredErrors>
  <extLst>
    <ext xmlns:x14="http://schemas.microsoft.com/office/spreadsheetml/2009/9/main" uri="{78C0D931-6437-407d-A8EE-F0AAD7539E65}">
      <x14:conditionalFormattings>
        <x14:conditionalFormatting xmlns:xm="http://schemas.microsoft.com/office/excel/2006/main">
          <x14:cfRule type="expression" priority="48" id="{3F484ED4-3931-4998-AB2F-E78A0CF23E03}">
            <xm:f>OR('Criteria results'!#REF!=7,'Criteria results'!#REF!=10)</xm:f>
            <x14:dxf>
              <font>
                <color theme="0"/>
              </font>
            </x14:dxf>
          </x14:cfRule>
          <xm:sqref>K83:M83</xm:sqref>
        </x14:conditionalFormatting>
        <x14:conditionalFormatting xmlns:xm="http://schemas.microsoft.com/office/excel/2006/main">
          <x14:cfRule type="expression" priority="49" id="{2AB03453-3383-4490-89FD-BF0D6B58ED6B}">
            <xm:f>'Criteria results'!#REF!=10</xm:f>
            <x14:dxf>
              <font>
                <color theme="0"/>
              </font>
            </x14:dxf>
          </x14:cfRule>
          <xm:sqref>N83:P83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6BD62-F475-4E99-9E07-BEAA4AE832C8}">
  <sheetPr codeName="Sheet18">
    <tabColor rgb="FF92D050"/>
  </sheetPr>
  <dimension ref="A1:AY139"/>
  <sheetViews>
    <sheetView zoomScaleNormal="100" workbookViewId="0"/>
  </sheetViews>
  <sheetFormatPr defaultColWidth="9.28515625" defaultRowHeight="11.25" outlineLevelRow="1" x14ac:dyDescent="0.2"/>
  <cols>
    <col min="1" max="1" width="9.28515625" style="26" customWidth="1"/>
    <col min="2" max="2" width="57.42578125" style="26" customWidth="1"/>
    <col min="3" max="38" width="9.28515625" style="26" customWidth="1"/>
    <col min="39" max="48" width="11.42578125" style="26" bestFit="1" customWidth="1"/>
    <col min="49" max="16384" width="9.28515625" style="26"/>
  </cols>
  <sheetData>
    <row r="1" spans="1:51" ht="24.75" customHeight="1" x14ac:dyDescent="0.2">
      <c r="B1" s="39"/>
    </row>
    <row r="2" spans="1:51" ht="11.25" customHeight="1" x14ac:dyDescent="0.2">
      <c r="B2" s="27"/>
    </row>
    <row r="3" spans="1:51" ht="11.25" customHeight="1" x14ac:dyDescent="0.2">
      <c r="B3" s="19" t="s">
        <v>15</v>
      </c>
      <c r="C3" s="20" t="str">
        <f>'Input data'!C3</f>
        <v>FR</v>
      </c>
    </row>
    <row r="4" spans="1:51" x14ac:dyDescent="0.2">
      <c r="B4" s="64" t="s">
        <v>38</v>
      </c>
      <c r="C4" s="21"/>
    </row>
    <row r="5" spans="1:51" x14ac:dyDescent="0.2">
      <c r="A5" s="29"/>
      <c r="B5" s="22" t="str">
        <f>'Input data'!B5</f>
        <v>Last year before the adjustment</v>
      </c>
      <c r="C5" s="23">
        <f>+'Input data'!C5</f>
        <v>2024</v>
      </c>
      <c r="J5" s="53"/>
      <c r="M5" s="38"/>
    </row>
    <row r="6" spans="1:51" x14ac:dyDescent="0.2">
      <c r="A6" s="29"/>
      <c r="B6" s="65" t="s">
        <v>44</v>
      </c>
      <c r="C6" s="23">
        <f>+C5+'Criteria results'!$F$5</f>
        <v>2028</v>
      </c>
      <c r="E6" s="43"/>
      <c r="F6" s="29"/>
    </row>
    <row r="7" spans="1:51" x14ac:dyDescent="0.2">
      <c r="A7" s="29"/>
      <c r="B7" s="24" t="s">
        <v>39</v>
      </c>
      <c r="C7" s="66">
        <f>C5+'Criteria results'!$F$5+10</f>
        <v>2038</v>
      </c>
      <c r="E7" s="43"/>
      <c r="F7" s="29"/>
      <c r="G7" s="53"/>
      <c r="H7" s="53"/>
      <c r="I7" s="53"/>
      <c r="J7" s="53"/>
      <c r="K7" s="53"/>
      <c r="L7" s="53"/>
      <c r="M7" s="53"/>
    </row>
    <row r="8" spans="1:51" x14ac:dyDescent="0.2">
      <c r="A8" s="29"/>
      <c r="C8" s="29"/>
      <c r="E8" s="43"/>
      <c r="F8" s="29"/>
      <c r="G8" s="29"/>
      <c r="H8" s="29"/>
      <c r="I8" s="29"/>
      <c r="J8" s="29"/>
      <c r="K8" s="29"/>
      <c r="L8" s="29"/>
      <c r="M8" s="29"/>
      <c r="N8" s="29"/>
      <c r="O8" s="29"/>
      <c r="P8" s="29"/>
      <c r="Q8" s="29"/>
      <c r="R8" s="29"/>
      <c r="S8" s="29"/>
      <c r="T8" s="29"/>
      <c r="U8" s="29"/>
      <c r="V8" s="29"/>
      <c r="W8" s="29"/>
    </row>
    <row r="9" spans="1:51" s="67" customFormat="1" ht="12.75" x14ac:dyDescent="0.2">
      <c r="B9" s="25" t="s">
        <v>45</v>
      </c>
    </row>
    <row r="10" spans="1:51"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1" x14ac:dyDescent="0.2">
      <c r="B11" s="28" t="s">
        <v>46</v>
      </c>
      <c r="C11" s="29"/>
      <c r="D11" s="29"/>
      <c r="E11" s="29"/>
      <c r="F11" s="263"/>
      <c r="G11" s="263"/>
      <c r="H11" s="263"/>
      <c r="I11" s="263"/>
      <c r="J11" s="263"/>
      <c r="K11" s="263"/>
      <c r="L11" s="263"/>
      <c r="M11" s="263"/>
      <c r="N11" s="263"/>
      <c r="O11" s="263"/>
      <c r="P11" s="263"/>
      <c r="Q11" s="263"/>
      <c r="R11" s="263"/>
      <c r="S11" s="263"/>
      <c r="T11" s="263"/>
      <c r="U11" s="263"/>
      <c r="V11" s="263"/>
      <c r="W11" s="263"/>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row>
    <row r="12" spans="1:51" x14ac:dyDescent="0.2">
      <c r="B12" s="26" t="s">
        <v>48</v>
      </c>
      <c r="C12" s="1">
        <f>'Input data'!C13</f>
        <v>-4.5038349999999996</v>
      </c>
      <c r="D12" s="2">
        <f>'Input data'!D13</f>
        <v>-2.9834649999999998</v>
      </c>
      <c r="E12" s="2">
        <f>'Input data'!E13</f>
        <v>-3.6529590000000001</v>
      </c>
      <c r="F12" s="2">
        <f>'Input data'!F13</f>
        <v>-2.968391</v>
      </c>
      <c r="G12" s="3">
        <f>IF(G10&lt;=$C$6,F12+'Criteria results'!$F$6,F12)</f>
        <v>-2.0283910000000001</v>
      </c>
      <c r="H12" s="3">
        <f>IF(H10&lt;=$C$6,G12+'Criteria results'!$F$6,G12)</f>
        <v>-1.0883910000000001</v>
      </c>
      <c r="I12" s="3">
        <f>IF(I10&lt;=$C$6,H12+'Criteria results'!$F$6,H12)</f>
        <v>-0.14839100000000016</v>
      </c>
      <c r="J12" s="3">
        <f>IF(J10&lt;=$C$6,I12+'Criteria results'!$F$6,I12)</f>
        <v>0.79160899999999979</v>
      </c>
      <c r="K12" s="119">
        <f>IF(K10&lt;=$C$6,J12+'Criteria results'!$F$6,J12)</f>
        <v>0.79160899999999979</v>
      </c>
      <c r="L12" s="119">
        <f>IF(L10&lt;=$C$6,K12+'Criteria results'!$F$6,K12)</f>
        <v>0.79160899999999979</v>
      </c>
      <c r="M12" s="119">
        <f>IF(M10&lt;=$C$6,L12+'Criteria results'!$F$6,L12)</f>
        <v>0.79160899999999979</v>
      </c>
      <c r="N12" s="119">
        <f>M12</f>
        <v>0.79160899999999979</v>
      </c>
      <c r="O12" s="119">
        <f t="shared" ref="O12:W12" si="0">N12</f>
        <v>0.79160899999999979</v>
      </c>
      <c r="P12" s="119">
        <f t="shared" si="0"/>
        <v>0.79160899999999979</v>
      </c>
      <c r="Q12" s="119">
        <f t="shared" si="0"/>
        <v>0.79160899999999979</v>
      </c>
      <c r="R12" s="119">
        <f t="shared" si="0"/>
        <v>0.79160899999999979</v>
      </c>
      <c r="S12" s="119">
        <f t="shared" si="0"/>
        <v>0.79160899999999979</v>
      </c>
      <c r="T12" s="119">
        <f t="shared" si="0"/>
        <v>0.79160899999999979</v>
      </c>
      <c r="U12" s="119">
        <f t="shared" si="0"/>
        <v>0.79160899999999979</v>
      </c>
      <c r="V12" s="119">
        <f t="shared" si="0"/>
        <v>0.79160899999999979</v>
      </c>
      <c r="W12" s="119">
        <f t="shared" si="0"/>
        <v>0.79160899999999979</v>
      </c>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60"/>
    </row>
    <row r="13" spans="1:51" x14ac:dyDescent="0.2">
      <c r="B13" s="305" t="s">
        <v>192</v>
      </c>
      <c r="C13" s="29"/>
      <c r="D13" s="29"/>
      <c r="E13" s="29"/>
      <c r="F13" s="263"/>
      <c r="G13" s="263">
        <f>G12-F12</f>
        <v>0.94</v>
      </c>
      <c r="H13" s="263">
        <f t="shared" ref="H13:W13" si="1">H12-G12</f>
        <v>0.94</v>
      </c>
      <c r="I13" s="263">
        <f t="shared" si="1"/>
        <v>0.94</v>
      </c>
      <c r="J13" s="263">
        <f t="shared" si="1"/>
        <v>0.94</v>
      </c>
      <c r="K13" s="263">
        <f t="shared" si="1"/>
        <v>0</v>
      </c>
      <c r="L13" s="263">
        <f t="shared" si="1"/>
        <v>0</v>
      </c>
      <c r="M13" s="263">
        <f t="shared" si="1"/>
        <v>0</v>
      </c>
      <c r="N13" s="263">
        <f t="shared" si="1"/>
        <v>0</v>
      </c>
      <c r="O13" s="263">
        <f t="shared" si="1"/>
        <v>0</v>
      </c>
      <c r="P13" s="263">
        <f t="shared" si="1"/>
        <v>0</v>
      </c>
      <c r="Q13" s="263">
        <f t="shared" si="1"/>
        <v>0</v>
      </c>
      <c r="R13" s="263">
        <f t="shared" si="1"/>
        <v>0</v>
      </c>
      <c r="S13" s="263">
        <f t="shared" si="1"/>
        <v>0</v>
      </c>
      <c r="T13" s="263">
        <f t="shared" si="1"/>
        <v>0</v>
      </c>
      <c r="U13" s="263">
        <f t="shared" si="1"/>
        <v>0</v>
      </c>
      <c r="V13" s="263">
        <f t="shared" si="1"/>
        <v>0</v>
      </c>
      <c r="W13" s="263">
        <f t="shared" si="1"/>
        <v>0</v>
      </c>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row>
    <row r="14" spans="1:51" x14ac:dyDescent="0.2">
      <c r="B14" s="26" t="s">
        <v>49</v>
      </c>
      <c r="C14" s="1">
        <f>'Input data'!C14</f>
        <v>-8.3968899999999999E-2</v>
      </c>
      <c r="D14" s="2">
        <f>'Input data'!D14</f>
        <v>-7.1994500000000003E-2</v>
      </c>
      <c r="E14" s="2">
        <f>'Input data'!E14</f>
        <v>-6.4214599999999997E-2</v>
      </c>
      <c r="F14" s="2">
        <f>'Input data'!F14</f>
        <v>-3.4462800000000002E-2</v>
      </c>
      <c r="G14" s="2">
        <f>'Input data'!G14</f>
        <v>-3.00179E-2</v>
      </c>
      <c r="H14" s="2">
        <f>0</f>
        <v>0</v>
      </c>
      <c r="I14" s="2">
        <f>0</f>
        <v>0</v>
      </c>
      <c r="J14" s="2">
        <f>0</f>
        <v>0</v>
      </c>
      <c r="K14" s="2">
        <f>0</f>
        <v>0</v>
      </c>
      <c r="L14" s="2">
        <f>0</f>
        <v>0</v>
      </c>
      <c r="M14" s="2">
        <f>0</f>
        <v>0</v>
      </c>
      <c r="N14" s="2">
        <f>0</f>
        <v>0</v>
      </c>
      <c r="O14" s="2">
        <f>0</f>
        <v>0</v>
      </c>
      <c r="P14" s="2">
        <f>0</f>
        <v>0</v>
      </c>
      <c r="Q14" s="2">
        <f>0</f>
        <v>0</v>
      </c>
      <c r="R14" s="2">
        <f>0</f>
        <v>0</v>
      </c>
      <c r="S14" s="2">
        <f>0</f>
        <v>0</v>
      </c>
      <c r="T14" s="2">
        <f>0</f>
        <v>0</v>
      </c>
      <c r="U14" s="2">
        <f>0</f>
        <v>0</v>
      </c>
      <c r="V14" s="2">
        <f>0</f>
        <v>0</v>
      </c>
      <c r="W14" s="2">
        <f>0</f>
        <v>0</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60"/>
    </row>
    <row r="15" spans="1:51" x14ac:dyDescent="0.2">
      <c r="B15" s="26" t="s">
        <v>87</v>
      </c>
      <c r="C15" s="1">
        <f>'Input data'!C15</f>
        <v>-2.11246E-2</v>
      </c>
      <c r="D15" s="2">
        <f>'Input data'!D15</f>
        <v>4.2606100000000001E-2</v>
      </c>
      <c r="E15" s="2">
        <f>'Input data'!E15</f>
        <v>-0.21881729999999999</v>
      </c>
      <c r="F15" s="2">
        <f>'Input data'!F15</f>
        <v>0.21081169999999999</v>
      </c>
      <c r="G15" s="2">
        <f>'Input data'!G15</f>
        <v>3.1292399999999998E-2</v>
      </c>
      <c r="H15" s="2">
        <f>'Input data'!H15</f>
        <v>0</v>
      </c>
      <c r="I15" s="2">
        <f>'Input data'!I15</f>
        <v>0</v>
      </c>
      <c r="J15" s="2">
        <f>'Input data'!J15</f>
        <v>0</v>
      </c>
      <c r="K15" s="2">
        <f>'Input data'!K15</f>
        <v>0</v>
      </c>
      <c r="L15" s="2">
        <f>'Input data'!L15</f>
        <v>0</v>
      </c>
      <c r="M15" s="2">
        <f>'Input data'!M15</f>
        <v>0</v>
      </c>
      <c r="N15" s="2">
        <f>'Input data'!N15</f>
        <v>0</v>
      </c>
      <c r="O15" s="2">
        <f>'Input data'!O15</f>
        <v>0</v>
      </c>
      <c r="P15" s="2">
        <f>'Input data'!P15</f>
        <v>0</v>
      </c>
      <c r="Q15" s="2">
        <f>'Input data'!Q15</f>
        <v>0</v>
      </c>
      <c r="R15" s="2">
        <f>'Input data'!R15</f>
        <v>0</v>
      </c>
      <c r="S15" s="2">
        <f>'Input data'!S15</f>
        <v>0</v>
      </c>
      <c r="T15" s="2">
        <f>'Input data'!T15</f>
        <v>0</v>
      </c>
      <c r="U15" s="2">
        <f>'Input data'!U15</f>
        <v>0</v>
      </c>
      <c r="V15" s="2">
        <f>'Input data'!V15</f>
        <v>0</v>
      </c>
      <c r="W15" s="2">
        <f>'Input data'!W15</f>
        <v>0</v>
      </c>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60"/>
    </row>
    <row r="16" spans="1:51" ht="5.65" customHeight="1" x14ac:dyDescent="0.2">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ht="11.25" customHeight="1" x14ac:dyDescent="0.2">
      <c r="B17" s="30" t="str">
        <f>'Input data'!B19</f>
        <v>Cost of ageing and selected public revenue (based on the Commission-Council 2024 Ageing Report ("AR 2024"))</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x14ac:dyDescent="0.2">
      <c r="A18" s="61"/>
      <c r="B18" s="26" t="s">
        <v>52</v>
      </c>
      <c r="C18" s="1">
        <f>'Input data'!C20</f>
        <v>0</v>
      </c>
      <c r="D18" s="101">
        <f>'Input data'!D20</f>
        <v>28.278850000000006</v>
      </c>
      <c r="E18" s="101">
        <f>'Input data'!E20</f>
        <v>27.552319999999998</v>
      </c>
      <c r="F18" s="101">
        <f>'Input data'!F20</f>
        <v>27.639749999999999</v>
      </c>
      <c r="G18" s="101">
        <f>'Input data'!G20</f>
        <v>27.581780000000002</v>
      </c>
      <c r="H18" s="101">
        <f>'Input data'!H20</f>
        <v>27.593040000000002</v>
      </c>
      <c r="I18" s="101">
        <f>'Input data'!I20</f>
        <v>27.652179999999998</v>
      </c>
      <c r="J18" s="101">
        <f>'Input data'!J20</f>
        <v>27.664160000000003</v>
      </c>
      <c r="K18" s="101">
        <f>'Input data'!K20</f>
        <v>27.636579999999999</v>
      </c>
      <c r="L18" s="101">
        <f>'Input data'!L20</f>
        <v>27.621679999999998</v>
      </c>
      <c r="M18" s="101">
        <f>'Input data'!M20</f>
        <v>27.607300000000002</v>
      </c>
      <c r="N18" s="101">
        <f>'Input data'!N20</f>
        <v>27.60905</v>
      </c>
      <c r="O18" s="101">
        <f>'Input data'!O20</f>
        <v>27.644740000000002</v>
      </c>
      <c r="P18" s="101">
        <f>'Input data'!P20</f>
        <v>27.691210000000002</v>
      </c>
      <c r="Q18" s="101">
        <f>'Input data'!Q20</f>
        <v>27.686630000000005</v>
      </c>
      <c r="R18" s="101">
        <f>'Input data'!R20</f>
        <v>27.686070000000001</v>
      </c>
      <c r="S18" s="101">
        <f>'Input data'!S20</f>
        <v>27.688879999999997</v>
      </c>
      <c r="T18" s="101">
        <f>'Input data'!T20</f>
        <v>27.691020000000002</v>
      </c>
      <c r="U18" s="101">
        <f>'Input data'!U20</f>
        <v>27.68871</v>
      </c>
      <c r="V18" s="101">
        <f>'Input data'!V20</f>
        <v>27.674209999999999</v>
      </c>
      <c r="W18" s="101">
        <f>'Input data'!W20</f>
        <v>27.712189999999996</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spans="1:50" x14ac:dyDescent="0.2">
      <c r="A19" s="61"/>
      <c r="B19" s="26" t="s">
        <v>58</v>
      </c>
      <c r="C19" s="1">
        <f>'Input data'!C26</f>
        <v>0.45969460000000001</v>
      </c>
      <c r="D19" s="101">
        <f>'Input data'!D26</f>
        <v>0.51588199999999995</v>
      </c>
      <c r="E19" s="101">
        <f>'Input data'!E26</f>
        <v>0.5155149</v>
      </c>
      <c r="F19" s="101">
        <f>'Input data'!F26</f>
        <v>0.51514769999999999</v>
      </c>
      <c r="G19" s="101">
        <f>'Input data'!G26</f>
        <v>0.51478060000000003</v>
      </c>
      <c r="H19" s="101">
        <f>'Input data'!H26</f>
        <v>0.51441349999999997</v>
      </c>
      <c r="I19" s="101">
        <f>'Input data'!I26</f>
        <v>0.51404640000000001</v>
      </c>
      <c r="J19" s="101">
        <f>'Input data'!J26</f>
        <v>0.51367929999999995</v>
      </c>
      <c r="K19" s="101">
        <f>'Input data'!K26</f>
        <v>0.5133122</v>
      </c>
      <c r="L19" s="101">
        <f>'Input data'!L26</f>
        <v>0.51294510000000004</v>
      </c>
      <c r="M19" s="101">
        <f>'Input data'!M26</f>
        <v>0.51257799999999998</v>
      </c>
      <c r="N19" s="101">
        <f>'Input data'!N26</f>
        <v>0.51221099999999997</v>
      </c>
      <c r="O19" s="101">
        <f>'Input data'!O26</f>
        <v>0.51184390000000002</v>
      </c>
      <c r="P19" s="101">
        <f>'Input data'!P26</f>
        <v>0.51147679999999995</v>
      </c>
      <c r="Q19" s="101">
        <f>'Input data'!Q26</f>
        <v>0.5111097</v>
      </c>
      <c r="R19" s="101">
        <f>'Input data'!R26</f>
        <v>0.51074269999999999</v>
      </c>
      <c r="S19" s="101">
        <f>'Input data'!S26</f>
        <v>0.51037560000000004</v>
      </c>
      <c r="T19" s="101">
        <f>'Input data'!T26</f>
        <v>0.51000849999999998</v>
      </c>
      <c r="U19" s="101">
        <f>'Input data'!U26</f>
        <v>0.50964140000000002</v>
      </c>
      <c r="V19" s="101">
        <f>'Input data'!V26</f>
        <v>0.50927440000000002</v>
      </c>
      <c r="W19" s="101">
        <f>'Input data'!W26</f>
        <v>0.50890729999999995</v>
      </c>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1" spans="1:50" x14ac:dyDescent="0.2">
      <c r="B21" s="28" t="s">
        <v>88</v>
      </c>
    </row>
    <row r="22" spans="1:50" ht="10.5" customHeight="1" x14ac:dyDescent="0.2">
      <c r="B22" s="30" t="s">
        <v>89</v>
      </c>
    </row>
    <row r="23" spans="1:50" x14ac:dyDescent="0.2">
      <c r="B23" s="26" t="s">
        <v>61</v>
      </c>
      <c r="C23" s="34">
        <f>'Input data'!C31</f>
        <v>2321.011</v>
      </c>
      <c r="D23" s="100">
        <f>'Baseline NFPC'!D22</f>
        <v>2377.9862032033798</v>
      </c>
      <c r="E23" s="100">
        <f>'Baseline NFPC'!E22</f>
        <v>2394.7205296647835</v>
      </c>
      <c r="F23" s="100">
        <f>'Baseline NFPC'!F22</f>
        <v>2412.1658388302208</v>
      </c>
      <c r="G23" s="34">
        <f>IF(AND(G50&gt;1,F50&gt;1),IF(AND(G50&gt;0,F50&gt;0),G27*(G51/100+1),0)+IF(G50&gt;0,F23*(1+G52/100),0)-F23*(1+'Input data'!G30/100),IF(G50=1,G27,F23*(1+G52/100)))</f>
        <v>2433.6317508732877</v>
      </c>
      <c r="H23" s="34">
        <f>IF(AND(H50&gt;1,G50&gt;1),IF(AND(H50&gt;0,G50&gt;0),H27*(H51/100+1),0)+IF(H50&gt;0,G23*(1+H52/100),0)-G23*(1+'Input data'!H30/100),IF(H50=1,H27,G23*(1+H52/100)))</f>
        <v>2436.2397334613038</v>
      </c>
      <c r="I23" s="34">
        <f>IF(AND(I50&gt;1,H50&gt;1),IF(AND(I50&gt;0,H50&gt;0),I27*(I51/100+1),0)+IF(I50&gt;0,H23*(1+I52/100),0)-H23*(1+'Input data'!I30/100),IF(I50=1,I27,H23*(1+I52/100)))</f>
        <v>2438.584200582186</v>
      </c>
      <c r="J23" s="34">
        <f>IF(AND(J50&gt;1,I50&gt;1),IF(AND(J50&gt;0,I50&gt;0),J27*(J51/100+1),0)+IF(J50&gt;0,I23*(1+J52/100),0)-I23*(1+'Input data'!J30/100),IF(J50=1,J27,I23*(1+J52/100)))</f>
        <v>2441.3585428493939</v>
      </c>
      <c r="K23" s="34">
        <f>IF(AND(K50&gt;1,J50&gt;1),IF(AND(K50&gt;0,J50&gt;0),K27*(K51/100+1),0)+IF(K50&gt;0,J23*(1+K52/100),0)-J23*(1+'Input data'!K30/100),IF(K50=1,K27,J23*(1+K52/100)))</f>
        <v>2463.2103662141035</v>
      </c>
      <c r="L23" s="34">
        <f>IF(AND(L50&gt;1,K50&gt;1),IF(AND(L50&gt;0,K50&gt;0),L27*(L51/100+1),0)+IF(L50&gt;0,K23*(1+L52/100),0)-K23*(1+'Input data'!L30/100),IF(L50=1,L27,K23*(1+L52/100)))</f>
        <v>2485.3988955108389</v>
      </c>
      <c r="M23" s="34">
        <f>IF(AND(M50&gt;1,L50&gt;1),IF(AND(M50&gt;0,L50&gt;0),M27*(M51/100+1),0)+IF(M50&gt;0,L23*(1+M52/100),0)-L23*(1+'Input data'!M30/100),IF(M50=1,M27,L23*(1+M52/100)))</f>
        <v>2508.2782200879537</v>
      </c>
      <c r="N23" s="34">
        <f>IF(AND(N50&gt;1,M50&gt;1),IF(AND(N50&gt;0,M50&gt;0),N27*(N51/100+1),0)+IF(N50&gt;0,M23*(1+N52/100),0)-M23*(1+'Input data'!N30/100),IF(N50=1,N27,M23*(1+N52/100)))</f>
        <v>2518.3829568528804</v>
      </c>
      <c r="O23" s="34">
        <f>IF(AND(O50&gt;1,N50&gt;1),IF(AND(O50&gt;0,N50&gt;0),O27*(O51/100+1),0)+IF(O50&gt;0,N23*(1+O52/100),0)-N23*(1+'Input data'!O30/100),IF(O50=1,O27,N23*(1+O52/100)))</f>
        <v>2528.0814435352086</v>
      </c>
      <c r="P23" s="34">
        <f>IF(AND(P50&gt;1,O50&gt;1),IF(AND(P50&gt;0,O50&gt;0),P27*(P51/100+1),0)+IF(P50&gt;0,O23*(1+P52/100),0)-O23*(1+'Input data'!P30/100),IF(P50=1,P27,O23*(1+P52/100)))</f>
        <v>2542.4842749223494</v>
      </c>
      <c r="Q23" s="34">
        <f>IF(AND(Q50&gt;1,P50&gt;1),IF(AND(Q50&gt;0,P50&gt;0),Q27*(Q51/100+1),0)+IF(Q50&gt;0,P23*(1+Q52/100),0)-P23*(1+'Input data'!Q30/100),IF(Q50=1,Q27,P23*(1+Q52/100)))</f>
        <v>2561.6627397624598</v>
      </c>
      <c r="R23" s="34">
        <f>IF(AND(R50&gt;1,Q50&gt;1),IF(AND(R50&gt;0,Q50&gt;0),R27*(R51/100+1),0)+IF(R50&gt;0,Q23*(1+R52/100),0)-Q23*(1+'Input data'!R30/100),IF(R50=1,R27,Q23*(1+R52/100)))</f>
        <v>2585.7147419835783</v>
      </c>
      <c r="S23" s="34">
        <f>IF(AND(S50&gt;1,R50&gt;1),IF(AND(S50&gt;0,R50&gt;0),S27*(S51/100+1),0)+IF(S50&gt;0,R23*(1+S52/100),0)-R23*(1+'Input data'!S30/100),IF(S50=1,S27,R23*(1+S52/100)))</f>
        <v>2612.6607855955581</v>
      </c>
      <c r="T23" s="34">
        <f>IF(AND(T50&gt;1,S50&gt;1),IF(AND(T50&gt;0,S50&gt;0),T27*(T51/100+1),0)+IF(T50&gt;0,S23*(1+T52/100),0)-S23*(1+'Input data'!T30/100),IF(T50=1,T27,S23*(1+T52/100)))</f>
        <v>2643.3700004694483</v>
      </c>
      <c r="U23" s="34">
        <f>IF(AND(U50&gt;1,T50&gt;1),IF(AND(U50&gt;0,T50&gt;0),U27*(U51/100+1),0)+IF(U50&gt;0,T23*(1+U52/100),0)-T23*(1+'Input data'!U30/100),IF(U50=1,U27,T23*(1+U52/100)))</f>
        <v>2678.5003613419876</v>
      </c>
      <c r="V23" s="34">
        <f>IF(AND(V50&gt;1,U50&gt;1),IF(AND(V50&gt;0,U50&gt;0),V27*(V51/100+1),0)+IF(V50&gt;0,U23*(1+V52/100),0)-U23*(1+'Input data'!V30/100),IF(V50=1,V27,U23*(1+V52/100)))</f>
        <v>2718.9786355676924</v>
      </c>
      <c r="W23" s="34">
        <f>IF(AND(W50&gt;1,V50&gt;1),IF(AND(W50&gt;0,V50&gt;0),W27*(W51/100+1),0)+IF(W50&gt;0,V23*(1+W52/100),0)-V23*(1+'Input data'!W30/100),IF(W50=1,W27,V23*(1+W52/100)))</f>
        <v>2760.8802443349127</v>
      </c>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row>
    <row r="24" spans="1:50" x14ac:dyDescent="0.2">
      <c r="A24" s="61"/>
      <c r="B24" s="62" t="s">
        <v>60</v>
      </c>
      <c r="C24" s="34">
        <f>+'Input data'!C30</f>
        <v>6.4352099999999997</v>
      </c>
      <c r="D24" s="100">
        <f>'Baseline NFPC'!D23</f>
        <v>2.454758</v>
      </c>
      <c r="E24" s="100">
        <f>'Baseline NFPC'!E23</f>
        <v>0.70371839999999997</v>
      </c>
      <c r="F24" s="100">
        <f>'Baseline NFPC'!F23</f>
        <v>0.72849039999999998</v>
      </c>
      <c r="G24" s="34">
        <f t="shared" ref="G24:S24" si="2">100*(G23/F23-1)</f>
        <v>0.88990200000000907</v>
      </c>
      <c r="H24" s="34">
        <f t="shared" si="2"/>
        <v>0.10716422429482009</v>
      </c>
      <c r="I24" s="34">
        <f t="shared" si="2"/>
        <v>9.6233022090608245E-2</v>
      </c>
      <c r="J24" s="34">
        <f t="shared" si="2"/>
        <v>0.1137685656515508</v>
      </c>
      <c r="K24" s="34">
        <f t="shared" si="2"/>
        <v>0.8950681754104739</v>
      </c>
      <c r="L24" s="34">
        <f t="shared" si="2"/>
        <v>0.9007971710852658</v>
      </c>
      <c r="M24" s="34">
        <f t="shared" si="2"/>
        <v>0.92054939826520243</v>
      </c>
      <c r="N24" s="34">
        <f t="shared" si="2"/>
        <v>0.40285550000001003</v>
      </c>
      <c r="O24" s="34">
        <f t="shared" si="2"/>
        <v>0.38510769999999805</v>
      </c>
      <c r="P24" s="34">
        <f t="shared" si="2"/>
        <v>0.56971390000000177</v>
      </c>
      <c r="Q24" s="34">
        <f t="shared" si="2"/>
        <v>0.75431990000001115</v>
      </c>
      <c r="R24" s="34">
        <f t="shared" si="2"/>
        <v>0.93892149999998953</v>
      </c>
      <c r="S24" s="34">
        <f t="shared" si="2"/>
        <v>1.042111999999995</v>
      </c>
      <c r="T24" s="34">
        <f>100*(T23/S23-1)</f>
        <v>1.1754000000000042</v>
      </c>
      <c r="U24" s="34">
        <f t="shared" ref="U24:W24" si="3">100*(U23/T23-1)</f>
        <v>1.3289990000000085</v>
      </c>
      <c r="V24" s="34">
        <f t="shared" si="3"/>
        <v>1.5112290000000028</v>
      </c>
      <c r="W24" s="34">
        <f t="shared" si="3"/>
        <v>1.5410790000000008</v>
      </c>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spans="1:50" ht="5.25" customHeight="1" x14ac:dyDescent="0.2">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row>
    <row r="26" spans="1:50" ht="15" x14ac:dyDescent="0.2">
      <c r="A26" s="224"/>
      <c r="B26" s="30" t="s">
        <v>90</v>
      </c>
      <c r="C26" s="223"/>
      <c r="D26" s="223"/>
      <c r="E26" s="223"/>
      <c r="F26" s="223"/>
    </row>
    <row r="27" spans="1:50" x14ac:dyDescent="0.2">
      <c r="B27" s="26" t="s">
        <v>61</v>
      </c>
      <c r="C27" s="34">
        <f>'Input data'!C34</f>
        <v>2344.1460000000002</v>
      </c>
      <c r="D27" s="100">
        <f>+C27*(1+'Input data'!D33/100)</f>
        <v>2369.7540134990404</v>
      </c>
      <c r="E27" s="100">
        <f>+D27*(1+'Input data'!E33/100)</f>
        <v>2396.6660775582618</v>
      </c>
      <c r="F27" s="100">
        <f>+E27*(1+'Input data'!F33/100)</f>
        <v>2422.7374665164953</v>
      </c>
      <c r="G27" s="34">
        <f>+F27*(1+'Input data'!G33/100)</f>
        <v>2446.9776816902327</v>
      </c>
      <c r="H27" s="34">
        <f>+G27*(1+'Input data'!H33/100)</f>
        <v>2462.3500188137496</v>
      </c>
      <c r="I27" s="34">
        <f>+H27*(1+'Input data'!I33/100)</f>
        <v>2473.2435562533324</v>
      </c>
      <c r="J27" s="34">
        <f>+I27*(1+'Input data'!J33/100)</f>
        <v>2481.7361404048984</v>
      </c>
      <c r="K27" s="34">
        <f>+J27*(1+'Input data'!K33/100)</f>
        <v>2490.2207942276877</v>
      </c>
      <c r="L27" s="34">
        <f>+K27*(1+'Input data'!L33/100)</f>
        <v>2498.9514585278339</v>
      </c>
      <c r="M27" s="34">
        <f>+L27*(1+'Input data'!M33/100)</f>
        <v>2508.2782200879537</v>
      </c>
      <c r="N27" s="34">
        <f>+M27*(1+'Input data'!N33/100)</f>
        <v>2518.3828364555252</v>
      </c>
      <c r="O27" s="34">
        <f>+N27*(1+'Input data'!O33/100)</f>
        <v>2528.081254677857</v>
      </c>
      <c r="P27" s="34">
        <f>+O27*(1+'Input data'!P33/100)</f>
        <v>2542.4839889219634</v>
      </c>
      <c r="Q27" s="34">
        <f>+P27*(1+'Input data'!Q33/100)</f>
        <v>2561.6623371929359</v>
      </c>
      <c r="R27" s="34">
        <f>+Q27*(1+'Input data'!R33/100)</f>
        <v>2585.7143125792818</v>
      </c>
      <c r="S27" s="34">
        <f>+R27*(1+'Input data'!S33/100)</f>
        <v>2612.6603000021018</v>
      </c>
      <c r="T27" s="34">
        <f>+S27*(1+'Input data'!T33/100)</f>
        <v>2643.3696136747385</v>
      </c>
      <c r="U27" s="34">
        <f>+T27*(1+'Input data'!U33/100)</f>
        <v>2678.5000222741719</v>
      </c>
      <c r="V27" s="34">
        <f>+U27*(1+'Input data'!V33/100)</f>
        <v>2718.9783985157865</v>
      </c>
      <c r="W27" s="34">
        <f>+V27*(1+'Input data'!W33/100)</f>
        <v>2760.8798948707135</v>
      </c>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row>
    <row r="28" spans="1:50" ht="5.25" customHeight="1" x14ac:dyDescent="0.2">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row>
    <row r="29" spans="1:50" x14ac:dyDescent="0.2">
      <c r="B29" s="30" t="s">
        <v>91</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row>
    <row r="30" spans="1:50" x14ac:dyDescent="0.2">
      <c r="B30" s="26" t="s">
        <v>91</v>
      </c>
      <c r="C30" s="34">
        <f>100*(C23/C27-1)</f>
        <v>-0.98692658221800622</v>
      </c>
      <c r="D30" s="100">
        <f t="shared" ref="D30:W30" si="4">100*(D23/D27-1)</f>
        <v>0.34738583234570353</v>
      </c>
      <c r="E30" s="100">
        <f t="shared" si="4"/>
        <v>-8.1177261684295399E-2</v>
      </c>
      <c r="F30" s="100">
        <f t="shared" si="4"/>
        <v>-0.43635052631083582</v>
      </c>
      <c r="G30" s="34">
        <f t="shared" si="4"/>
        <v>-0.54540468091749394</v>
      </c>
      <c r="H30" s="34">
        <f t="shared" si="4"/>
        <v>-1.0603807400632936</v>
      </c>
      <c r="I30" s="34">
        <f t="shared" si="4"/>
        <v>-1.4013725248980813</v>
      </c>
      <c r="J30" s="34">
        <f t="shared" si="4"/>
        <v>-1.6269899486138328</v>
      </c>
      <c r="K30" s="34">
        <f t="shared" si="4"/>
        <v>-1.0846599657425626</v>
      </c>
      <c r="L30" s="34">
        <f t="shared" si="4"/>
        <v>-0.54232998287125911</v>
      </c>
      <c r="M30" s="34">
        <f>100*(M23/M27-1)</f>
        <v>0</v>
      </c>
      <c r="N30" s="34">
        <f t="shared" si="4"/>
        <v>4.7807407810296354E-6</v>
      </c>
      <c r="O30" s="34">
        <f t="shared" si="4"/>
        <v>7.4703829788802523E-6</v>
      </c>
      <c r="P30" s="34">
        <f t="shared" si="4"/>
        <v>1.1248856912615679E-5</v>
      </c>
      <c r="Q30" s="34">
        <f t="shared" si="4"/>
        <v>1.5715167367424954E-5</v>
      </c>
      <c r="R30" s="34">
        <f t="shared" si="4"/>
        <v>1.6606795827378562E-5</v>
      </c>
      <c r="S30" s="34">
        <f t="shared" si="4"/>
        <v>1.8586168892831267E-5</v>
      </c>
      <c r="T30" s="34">
        <f t="shared" si="4"/>
        <v>1.4632638123401875E-5</v>
      </c>
      <c r="U30" s="34">
        <f t="shared" si="4"/>
        <v>1.2658869241732873E-5</v>
      </c>
      <c r="V30" s="34">
        <f t="shared" si="4"/>
        <v>8.7184181429833529E-6</v>
      </c>
      <c r="W30" s="34">
        <f t="shared" si="4"/>
        <v>1.2657711034869124E-5</v>
      </c>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row>
    <row r="31" spans="1:50" ht="4.9000000000000004" customHeight="1" x14ac:dyDescent="0.2">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row>
    <row r="32" spans="1:50" x14ac:dyDescent="0.2">
      <c r="B32" s="30" t="s">
        <v>92</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row>
    <row r="33" spans="2:51" x14ac:dyDescent="0.2">
      <c r="B33" s="26" t="s">
        <v>60</v>
      </c>
      <c r="C33" s="1">
        <f t="shared" ref="C33:W33" si="5">100*((1+C24/100)*(1+C42/100)-1)</f>
        <v>7.9507899153866024</v>
      </c>
      <c r="D33" s="2">
        <f t="shared" si="5"/>
        <v>5.4743220450848451</v>
      </c>
      <c r="E33" s="2">
        <f t="shared" si="5"/>
        <v>6.2145642353418351</v>
      </c>
      <c r="F33" s="2">
        <f>100*((1+F24/100)*(1+F42/100)-1)</f>
        <v>3.5167607791869226</v>
      </c>
      <c r="G33" s="1">
        <f>100*((1+G24/100)*(1+G42/100)-1)</f>
        <v>2.9498286363781379</v>
      </c>
      <c r="H33" s="1">
        <f t="shared" si="5"/>
        <v>2.2147077141794203</v>
      </c>
      <c r="I33" s="1">
        <f t="shared" si="5"/>
        <v>2.2671378909550732</v>
      </c>
      <c r="J33" s="1">
        <f t="shared" si="5"/>
        <v>2.3486564010936961</v>
      </c>
      <c r="K33" s="1">
        <f t="shared" si="5"/>
        <v>3.2114963532100527</v>
      </c>
      <c r="L33" s="1">
        <f t="shared" si="5"/>
        <v>3.2814595344855979</v>
      </c>
      <c r="M33" s="1">
        <f t="shared" si="5"/>
        <v>3.3657930009513892</v>
      </c>
      <c r="N33" s="1">
        <f t="shared" si="5"/>
        <v>2.8993420046401708</v>
      </c>
      <c r="O33" s="1">
        <f t="shared" si="5"/>
        <v>2.9449279463499956</v>
      </c>
      <c r="P33" s="1">
        <f t="shared" si="5"/>
        <v>3.1065849331274986</v>
      </c>
      <c r="Q33" s="1">
        <f t="shared" si="5"/>
        <v>3.2681401815050082</v>
      </c>
      <c r="R33" s="1">
        <f t="shared" si="5"/>
        <v>3.4295893880124995</v>
      </c>
      <c r="S33" s="1">
        <f t="shared" si="5"/>
        <v>3.5075395327999859</v>
      </c>
      <c r="T33" s="1">
        <f t="shared" si="5"/>
        <v>3.6162565249999945</v>
      </c>
      <c r="U33" s="1">
        <f>100*((1+U24/100)*(1+U42/100)-1)</f>
        <v>3.7456956261499919</v>
      </c>
      <c r="V33" s="1">
        <f t="shared" si="5"/>
        <v>3.9043562236749985</v>
      </c>
      <c r="W33" s="1">
        <f t="shared" si="5"/>
        <v>3.9069861407000195</v>
      </c>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5" spans="2:51" x14ac:dyDescent="0.2">
      <c r="B35" s="28" t="s">
        <v>141</v>
      </c>
    </row>
    <row r="36" spans="2:51" x14ac:dyDescent="0.2">
      <c r="B36" s="26" t="s">
        <v>63</v>
      </c>
      <c r="C36" s="34">
        <f>'Input data'!C37</f>
        <v>1.3072319999999999</v>
      </c>
      <c r="D36" s="100">
        <f>'Input data'!D37</f>
        <v>1.8011330000000001</v>
      </c>
      <c r="E36" s="100">
        <f>'Input data'!E37</f>
        <v>1.6360269999999999</v>
      </c>
      <c r="F36" s="100">
        <f>'Input data'!F37</f>
        <v>1.90473</v>
      </c>
      <c r="G36" s="100">
        <f>'Input data'!G37</f>
        <v>2.1499329999999999</v>
      </c>
      <c r="H36" s="34">
        <f t="shared" ref="H36:W36" si="6">H101</f>
        <v>2.2624335955804127</v>
      </c>
      <c r="I36" s="34">
        <f t="shared" si="6"/>
        <v>2.3656571190916935</v>
      </c>
      <c r="J36" s="34">
        <f t="shared" si="6"/>
        <v>2.4608203898214027</v>
      </c>
      <c r="K36" s="34">
        <f t="shared" si="6"/>
        <v>2.5486874079195405</v>
      </c>
      <c r="L36" s="34">
        <f t="shared" si="6"/>
        <v>2.6329441517892573</v>
      </c>
      <c r="M36" s="34">
        <f t="shared" si="6"/>
        <v>2.7140434675168965</v>
      </c>
      <c r="N36" s="34">
        <f t="shared" si="6"/>
        <v>2.7922821441212311</v>
      </c>
      <c r="O36" s="34">
        <f t="shared" si="6"/>
        <v>2.8701685368371517</v>
      </c>
      <c r="P36" s="34">
        <f t="shared" si="6"/>
        <v>2.9399636293972873</v>
      </c>
      <c r="Q36" s="34">
        <f t="shared" si="6"/>
        <v>3.0043672828038184</v>
      </c>
      <c r="R36" s="34">
        <f t="shared" si="6"/>
        <v>3.0635576645735116</v>
      </c>
      <c r="S36" s="34">
        <f t="shared" si="6"/>
        <v>3.1180214262489456</v>
      </c>
      <c r="T36" s="34">
        <f t="shared" si="6"/>
        <v>3.168206362701508</v>
      </c>
      <c r="U36" s="34">
        <f t="shared" si="6"/>
        <v>3.2145062176713166</v>
      </c>
      <c r="V36" s="34">
        <f t="shared" si="6"/>
        <v>3.2572697643868134</v>
      </c>
      <c r="W36" s="34">
        <f t="shared" si="6"/>
        <v>3.2967924072889536</v>
      </c>
    </row>
    <row r="37" spans="2:51" x14ac:dyDescent="0.2">
      <c r="B37" s="32" t="s">
        <v>94</v>
      </c>
      <c r="C37" s="1"/>
      <c r="D37" s="2">
        <f>'Input data'!D$39</f>
        <v>1.7</v>
      </c>
      <c r="E37" s="2">
        <f>'Input data'!E$39</f>
        <v>2.99</v>
      </c>
      <c r="F37" s="166">
        <f>'Input data'!F$39</f>
        <v>2.964537</v>
      </c>
      <c r="G37" s="166">
        <f>'Input data'!G$39</f>
        <v>3.0634350000000001</v>
      </c>
      <c r="H37" s="1">
        <f>G37+($O$37-$G$37)/($O$10-$G$10)</f>
        <v>3.1385131250000002</v>
      </c>
      <c r="I37" s="1">
        <f t="shared" ref="I37:N37" si="7">H37+($O$37-$G$37)/($O$10-$G$10)</f>
        <v>3.2135912500000003</v>
      </c>
      <c r="J37" s="1">
        <f t="shared" si="7"/>
        <v>3.2886693750000004</v>
      </c>
      <c r="K37" s="1">
        <f t="shared" si="7"/>
        <v>3.3637475000000006</v>
      </c>
      <c r="L37" s="1">
        <f t="shared" si="7"/>
        <v>3.4388256250000007</v>
      </c>
      <c r="M37" s="1">
        <f t="shared" si="7"/>
        <v>3.5139037500000008</v>
      </c>
      <c r="N37" s="1">
        <f t="shared" si="7"/>
        <v>3.5889818750000009</v>
      </c>
      <c r="O37" s="252">
        <f>'Input data'!$C$52</f>
        <v>3.6640600000000001</v>
      </c>
      <c r="P37" s="1">
        <f>'Baseline NFPC'!P36</f>
        <v>3.680857</v>
      </c>
      <c r="Q37" s="1">
        <f>'Baseline NFPC'!Q36</f>
        <v>3.697654</v>
      </c>
      <c r="R37" s="1">
        <f>'Baseline NFPC'!R36</f>
        <v>3.7144509999999999</v>
      </c>
      <c r="S37" s="1">
        <f>'Baseline NFPC'!S36</f>
        <v>3.7312479999999999</v>
      </c>
      <c r="T37" s="1">
        <f>'Baseline NFPC'!T36</f>
        <v>3.7480450000000003</v>
      </c>
      <c r="U37" s="1">
        <f>'Baseline NFPC'!U36</f>
        <v>3.7648420000000002</v>
      </c>
      <c r="V37" s="1">
        <f>'Baseline NFPC'!V36</f>
        <v>3.7816390000000002</v>
      </c>
      <c r="W37" s="1">
        <f>'Baseline NFPC'!W36</f>
        <v>3.7984360000000001</v>
      </c>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60"/>
    </row>
    <row r="38" spans="2:51" x14ac:dyDescent="0.2">
      <c r="B38" s="32" t="s">
        <v>95</v>
      </c>
      <c r="C38" s="1"/>
      <c r="D38" s="2">
        <f>'Input data'!D$38</f>
        <v>0.35</v>
      </c>
      <c r="E38" s="2">
        <f>'Input data'!E$38</f>
        <v>3.43</v>
      </c>
      <c r="F38" s="166">
        <f>'Input data'!F$38</f>
        <v>3.5642079999999998</v>
      </c>
      <c r="G38" s="166">
        <f>'Input data'!G$38</f>
        <v>2.8163749999999999</v>
      </c>
      <c r="H38" s="1">
        <f>G38+($O$38-$G$38)/($O$10-$G$10)</f>
        <v>2.8050893749999997</v>
      </c>
      <c r="I38" s="1">
        <f t="shared" ref="I38:N38" si="8">H38+($O$38-$G$38)/($O$10-$G$10)</f>
        <v>2.7938037499999995</v>
      </c>
      <c r="J38" s="1">
        <f t="shared" si="8"/>
        <v>2.7825181249999993</v>
      </c>
      <c r="K38" s="1">
        <f t="shared" si="8"/>
        <v>2.7712324999999991</v>
      </c>
      <c r="L38" s="1">
        <f t="shared" si="8"/>
        <v>2.7599468749999989</v>
      </c>
      <c r="M38" s="1">
        <f t="shared" si="8"/>
        <v>2.7486612499999987</v>
      </c>
      <c r="N38" s="1">
        <f t="shared" si="8"/>
        <v>2.7373756249999985</v>
      </c>
      <c r="O38" s="252">
        <f>'Input data'!$C$53</f>
        <v>2.7260900000000001</v>
      </c>
      <c r="P38" s="1">
        <f>'Baseline NFPC'!P37</f>
        <v>2.6897855000000002</v>
      </c>
      <c r="Q38" s="1">
        <f>'Baseline NFPC'!Q37</f>
        <v>2.6534810000000002</v>
      </c>
      <c r="R38" s="1">
        <f>'Baseline NFPC'!R37</f>
        <v>2.6171765000000002</v>
      </c>
      <c r="S38" s="1">
        <f>'Baseline NFPC'!S37</f>
        <v>2.5808720000000003</v>
      </c>
      <c r="T38" s="1">
        <f>'Baseline NFPC'!T37</f>
        <v>2.5445675000000003</v>
      </c>
      <c r="U38" s="1">
        <f>'Baseline NFPC'!U37</f>
        <v>2.5082629999999999</v>
      </c>
      <c r="V38" s="1">
        <f>'Baseline NFPC'!V37</f>
        <v>2.4719584999999999</v>
      </c>
      <c r="W38" s="1">
        <f>'Baseline NFPC'!W37</f>
        <v>2.435654</v>
      </c>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60"/>
    </row>
    <row r="39" spans="2:51" s="5" customFormat="1" ht="12.75" x14ac:dyDescent="0.2">
      <c r="B39" s="26" t="s">
        <v>96</v>
      </c>
      <c r="C39" s="34">
        <f>'Baseline NFPC'!C38</f>
        <v>7.7938480000000004E-2</v>
      </c>
      <c r="D39" s="34">
        <f>'Baseline NFPC'!D38</f>
        <v>8.1557229999999994E-2</v>
      </c>
      <c r="E39" s="34">
        <f>'Baseline NFPC'!E38</f>
        <v>7.994946E-2</v>
      </c>
      <c r="F39" s="34">
        <f>'Baseline NFPC'!F38</f>
        <v>7.9901810000000004E-2</v>
      </c>
      <c r="G39" s="34">
        <f>'Baseline NFPC'!G38</f>
        <v>8.0347219999999997E-2</v>
      </c>
      <c r="H39" s="34">
        <f>'Baseline NFPC'!H38</f>
        <v>8.0792630000000004E-2</v>
      </c>
      <c r="I39" s="34">
        <f>'Baseline NFPC'!I38</f>
        <v>8.1238039999999997E-2</v>
      </c>
      <c r="J39" s="34">
        <f>'Baseline NFPC'!J38</f>
        <v>8.1683450000000005E-2</v>
      </c>
      <c r="K39" s="34">
        <f>'Baseline NFPC'!K38</f>
        <v>8.2128859999999998E-2</v>
      </c>
      <c r="L39" s="34">
        <f>'Baseline NFPC'!L38</f>
        <v>8.2574270000000005E-2</v>
      </c>
      <c r="M39" s="34">
        <f>'Baseline NFPC'!M38</f>
        <v>8.3019679999999998E-2</v>
      </c>
      <c r="N39" s="34">
        <f>'Baseline NFPC'!N38</f>
        <v>8.3465090000000006E-2</v>
      </c>
      <c r="O39" s="34">
        <f>'Baseline NFPC'!O38</f>
        <v>8.3910499999999999E-2</v>
      </c>
      <c r="P39" s="34">
        <f>'Baseline NFPC'!P38</f>
        <v>8.3910499999999999E-2</v>
      </c>
      <c r="Q39" s="34">
        <f>'Baseline NFPC'!Q38</f>
        <v>8.3910499999999999E-2</v>
      </c>
      <c r="R39" s="34">
        <f>'Baseline NFPC'!R38</f>
        <v>8.3910499999999999E-2</v>
      </c>
      <c r="S39" s="34">
        <f>'Baseline NFPC'!S38</f>
        <v>8.3910499999999999E-2</v>
      </c>
      <c r="T39" s="34">
        <f>'Baseline NFPC'!T38</f>
        <v>8.3910499999999999E-2</v>
      </c>
      <c r="U39" s="34">
        <f>'Baseline NFPC'!U38</f>
        <v>8.3910499999999999E-2</v>
      </c>
      <c r="V39" s="34">
        <f>'Baseline NFPC'!V38</f>
        <v>8.3910499999999999E-2</v>
      </c>
      <c r="W39" s="34">
        <f>'Baseline NFPC'!W38</f>
        <v>8.3910499999999999E-2</v>
      </c>
    </row>
    <row r="40" spans="2:51" x14ac:dyDescent="0.2">
      <c r="C40" s="1"/>
      <c r="D40" s="1"/>
      <c r="E40" s="104"/>
      <c r="F40" s="104"/>
      <c r="G40" s="104"/>
      <c r="H40" s="104"/>
      <c r="I40" s="104"/>
      <c r="J40" s="104"/>
      <c r="K40" s="104"/>
      <c r="L40" s="104"/>
      <c r="M40" s="104"/>
      <c r="N40" s="104"/>
      <c r="O40" s="1"/>
      <c r="P40" s="1"/>
      <c r="Q40" s="1"/>
      <c r="R40" s="1"/>
      <c r="S40" s="1"/>
      <c r="T40" s="1"/>
      <c r="U40" s="1"/>
      <c r="V40" s="1"/>
      <c r="W40" s="1"/>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60"/>
    </row>
    <row r="41" spans="2:51" x14ac:dyDescent="0.2">
      <c r="B41" s="28" t="s">
        <v>97</v>
      </c>
      <c r="C41" s="1"/>
      <c r="D41" s="1"/>
      <c r="E41" s="1"/>
      <c r="F41" s="1"/>
      <c r="G41" s="1"/>
      <c r="H41" s="1"/>
      <c r="I41" s="1"/>
      <c r="J41" s="1"/>
      <c r="K41" s="1"/>
      <c r="L41" s="1"/>
      <c r="M41" s="1"/>
      <c r="N41" s="1"/>
      <c r="O41" s="1"/>
      <c r="P41" s="1"/>
      <c r="Q41" s="1"/>
      <c r="R41" s="1"/>
      <c r="S41" s="1"/>
      <c r="T41" s="1"/>
      <c r="U41" s="1"/>
      <c r="V41" s="1"/>
      <c r="W41" s="1"/>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60"/>
    </row>
    <row r="42" spans="2:51" x14ac:dyDescent="0.2">
      <c r="B42" s="26" t="s">
        <v>142</v>
      </c>
      <c r="C42" s="1">
        <f>'Input data'!C42</f>
        <v>1.4239459999999999</v>
      </c>
      <c r="D42" s="2">
        <f>'Input data'!D42</f>
        <v>2.9472170000000002</v>
      </c>
      <c r="E42" s="2">
        <f>'Input data'!E42</f>
        <v>5.4723360000000003</v>
      </c>
      <c r="F42" s="2">
        <f>'Input data'!F42</f>
        <v>2.7681049999999998</v>
      </c>
      <c r="G42" s="2">
        <f>'Input data'!G42</f>
        <v>2.041757</v>
      </c>
      <c r="H42" s="1">
        <f>'Baseline NFPC'!H41</f>
        <v>2.1052873750000001</v>
      </c>
      <c r="I42" s="1">
        <f>'Baseline NFPC'!I41</f>
        <v>2.1688177500000001</v>
      </c>
      <c r="J42" s="1">
        <f>'Baseline NFPC'!J41</f>
        <v>2.2323481250000001</v>
      </c>
      <c r="K42" s="1">
        <f>'Baseline NFPC'!K41</f>
        <v>2.2958784999999997</v>
      </c>
      <c r="L42" s="1">
        <f>'Baseline NFPC'!L41</f>
        <v>2.3594088749999997</v>
      </c>
      <c r="M42" s="1">
        <f>'Baseline NFPC'!M41</f>
        <v>2.4229392499999998</v>
      </c>
      <c r="N42" s="1">
        <f>'Baseline NFPC'!N41</f>
        <v>2.4864696249999998</v>
      </c>
      <c r="O42" s="252">
        <f>'Baseline NFPC'!O41</f>
        <v>2.5499999999999998</v>
      </c>
      <c r="P42" s="1">
        <f>'Baseline NFPC'!P41</f>
        <v>2.5225</v>
      </c>
      <c r="Q42" s="1">
        <f>'Baseline NFPC'!Q41</f>
        <v>2.4949999999999997</v>
      </c>
      <c r="R42" s="1">
        <f>'Baseline NFPC'!R41</f>
        <v>2.4674999999999998</v>
      </c>
      <c r="S42" s="1">
        <f>'Baseline NFPC'!S41</f>
        <v>2.44</v>
      </c>
      <c r="T42" s="1">
        <f>'Baseline NFPC'!T41</f>
        <v>2.4124999999999996</v>
      </c>
      <c r="U42" s="1">
        <f>'Baseline NFPC'!U41</f>
        <v>2.3849999999999998</v>
      </c>
      <c r="V42" s="1">
        <f>'Baseline NFPC'!V41</f>
        <v>2.3574999999999999</v>
      </c>
      <c r="W42" s="1">
        <f>'Baseline NFPC'!W41</f>
        <v>2.33</v>
      </c>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60"/>
    </row>
    <row r="43" spans="2:51" x14ac:dyDescent="0.2">
      <c r="B43" s="26" t="s">
        <v>98</v>
      </c>
      <c r="C43" s="1">
        <f>'Baseline NFPC'!C42</f>
        <v>1</v>
      </c>
      <c r="D43" s="1">
        <f>'Baseline NFPC'!D42</f>
        <v>1</v>
      </c>
      <c r="E43" s="1">
        <f>'Baseline NFPC'!E42</f>
        <v>1</v>
      </c>
      <c r="F43" s="1">
        <f>'Baseline NFPC'!F42</f>
        <v>0.99999990000000005</v>
      </c>
      <c r="G43" s="1">
        <f>'Baseline NFPC'!G42</f>
        <v>1</v>
      </c>
      <c r="H43" s="1">
        <f>'Baseline NFPC'!H42</f>
        <v>1</v>
      </c>
      <c r="I43" s="1">
        <f>'Baseline NFPC'!I42</f>
        <v>1</v>
      </c>
      <c r="J43" s="1">
        <f>'Baseline NFPC'!J42</f>
        <v>1</v>
      </c>
      <c r="K43" s="1">
        <f>'Baseline NFPC'!K42</f>
        <v>1</v>
      </c>
      <c r="L43" s="1">
        <f>'Baseline NFPC'!L42</f>
        <v>1</v>
      </c>
      <c r="M43" s="1">
        <f>'Baseline NFPC'!M42</f>
        <v>1</v>
      </c>
      <c r="N43" s="1">
        <f>'Baseline NFPC'!N42</f>
        <v>1</v>
      </c>
      <c r="O43" s="1">
        <f>'Baseline NFPC'!O42</f>
        <v>1</v>
      </c>
      <c r="P43" s="1">
        <f>'Baseline NFPC'!P42</f>
        <v>1</v>
      </c>
      <c r="Q43" s="1">
        <f>'Baseline NFPC'!Q42</f>
        <v>1</v>
      </c>
      <c r="R43" s="1">
        <f>'Baseline NFPC'!R42</f>
        <v>1</v>
      </c>
      <c r="S43" s="1">
        <f>'Baseline NFPC'!S42</f>
        <v>1</v>
      </c>
      <c r="T43" s="1">
        <f>'Baseline NFPC'!T42</f>
        <v>1</v>
      </c>
      <c r="U43" s="1">
        <f>'Baseline NFPC'!U42</f>
        <v>1</v>
      </c>
      <c r="V43" s="1">
        <f>'Baseline NFPC'!V42</f>
        <v>1</v>
      </c>
      <c r="W43" s="1">
        <f>'Baseline NFPC'!W42</f>
        <v>1</v>
      </c>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3"/>
      <c r="AX43" s="63"/>
      <c r="AY43" s="60"/>
    </row>
    <row r="44" spans="2:51" x14ac:dyDescent="0.2">
      <c r="C44" s="1"/>
      <c r="D44" s="1"/>
      <c r="E44" s="1"/>
      <c r="F44" s="1"/>
      <c r="G44" s="1"/>
      <c r="H44" s="1"/>
      <c r="I44" s="1"/>
      <c r="J44" s="1"/>
      <c r="K44" s="1"/>
      <c r="L44" s="1"/>
      <c r="M44" s="1"/>
      <c r="N44" s="1"/>
      <c r="O44" s="1"/>
      <c r="P44" s="1"/>
      <c r="Q44" s="1"/>
      <c r="R44" s="1"/>
      <c r="S44" s="1"/>
      <c r="T44" s="1"/>
      <c r="U44" s="1"/>
      <c r="V44" s="1"/>
      <c r="W44" s="1"/>
    </row>
    <row r="45" spans="2:51" s="67" customFormat="1" ht="12.75" x14ac:dyDescent="0.2">
      <c r="B45" s="75" t="s">
        <v>99</v>
      </c>
      <c r="C45" s="68"/>
    </row>
    <row r="46" spans="2:51" x14ac:dyDescent="0.2">
      <c r="C46" s="36"/>
    </row>
    <row r="47" spans="2:51" x14ac:dyDescent="0.2">
      <c r="B47" s="54" t="s">
        <v>68</v>
      </c>
      <c r="C47" s="55">
        <f>'Input data'!C49</f>
        <v>0.75</v>
      </c>
    </row>
    <row r="48" spans="2:51" x14ac:dyDescent="0.2">
      <c r="B48" s="56" t="s">
        <v>258</v>
      </c>
      <c r="C48" s="57">
        <f>'Input data'!C50</f>
        <v>0.63</v>
      </c>
    </row>
    <row r="49" spans="2:48" x14ac:dyDescent="0.2">
      <c r="C49" s="58"/>
    </row>
    <row r="50" spans="2:48" outlineLevel="1" x14ac:dyDescent="0.2">
      <c r="B50" s="26" t="s">
        <v>100</v>
      </c>
      <c r="C50" s="34">
        <v>0</v>
      </c>
      <c r="D50" s="34">
        <f>IF(AND(ABS((D12-C12)-('Input data'!D13-'Input data'!C13))&gt;0.0001,ABS(D12-C12)&gt;0.0001,D$10&gt;$C$5),4,IF(C50=4,3,IF(C50=3,2,IF(C50=2,1,0))))</f>
        <v>0</v>
      </c>
      <c r="E50" s="34">
        <f>IF(AND(ABS((E12-D12)-('Input data'!E13-'Input data'!D13))&gt;0.0001,ABS(E12-D12)&gt;0.0001,E$10&gt;$C$5),4,IF(D50=4,3,IF(D50=3,2,IF(D50=2,1,0))))</f>
        <v>0</v>
      </c>
      <c r="F50" s="34">
        <f>IF(AND(ABS((F12-E12)-('Input data'!F13-'Input data'!E13))&gt;0.0001,ABS(F12-E12)&gt;0.0001,F$10&gt;$C$5),4,IF(E50=4,3,IF(E50=3,2,IF(E50=2,1,0))))</f>
        <v>0</v>
      </c>
      <c r="G50" s="34">
        <f>IF(AND(ABS((G12-F12)-('Input data'!G13-'Input data'!F13))&gt;0.0001,ABS(G12-F12)&gt;0.0001,G$10&gt;$C$5),4,IF(F50=4,3,IF(F50=3,2,IF(F50=2,1,0))))</f>
        <v>4</v>
      </c>
      <c r="H50" s="34">
        <f>IF(AND(ABS((H12-G12)-('Input data'!H13-'Input data'!G13))&gt;0.0001,ABS(H12-G12)&gt;0.0001,H$10&gt;$C$5),4,IF(G50=4,3,IF(G50=3,2,IF(G50=2,1,0))))</f>
        <v>4</v>
      </c>
      <c r="I50" s="34">
        <f>IF(AND(ABS((I12-H12)-('Input data'!I13-'Input data'!H13))&gt;0.0001,ABS(I12-H12)&gt;0.0001,I$10&gt;$C$5),4,IF(H50=4,3,IF(H50=3,2,IF(H50=2,1,0))))</f>
        <v>4</v>
      </c>
      <c r="J50" s="34">
        <f>IF(AND(ABS((J12-I12)-('Input data'!J13-'Input data'!I13))&gt;0.0001,ABS(J12-I12)&gt;0.0001,J$10&gt;$C$5),4,IF(I50=4,3,IF(I50=3,2,IF(I50=2,1,0))))</f>
        <v>4</v>
      </c>
      <c r="K50" s="34">
        <f>IF(AND(ABS((K12-J12)-('Input data'!K13-'Input data'!J13))&gt;0.0001,ABS(K12-J12)&gt;0.0001,K$10&gt;$C$5),4,IF(J50=4,3,IF(J50=3,2,IF(J50=2,1,0))))</f>
        <v>3</v>
      </c>
      <c r="L50" s="34">
        <f>IF(AND(ABS((L12-K12)-('Input data'!L13-'Input data'!K13))&gt;0.0001,ABS(L12-K12)&gt;0.0001,L$10&gt;$C$5),4,IF(K50=4,3,IF(K50=3,2,IF(K50=2,1,0))))</f>
        <v>2</v>
      </c>
      <c r="M50" s="34">
        <f>IF(AND(ABS((M12-L12)-('Input data'!M13-'Input data'!L13))&gt;0.0001,ABS(M12-L12)&gt;0.0001,M$10&gt;$C$5),4,IF(L50=4,3,IF(L50=3,2,IF(L50=2,1,0))))</f>
        <v>1</v>
      </c>
      <c r="N50" s="34">
        <f>IF(AND(ABS((N12-M12)-('Input data'!N13-'Input data'!M13))&gt;0.0001,ABS(N12-M12)&gt;0.0001,N$10&gt;$C$5),4,IF(M50=4,3,IF(M50=3,2,IF(M50=2,1,0))))</f>
        <v>0</v>
      </c>
      <c r="O50" s="34">
        <f>IF(AND(ABS((O12-N12)-('Input data'!O13-'Input data'!N13))&gt;0.0001,ABS(O12-N12)&gt;0.0001,O$10&gt;$C$5),4,IF(N50=4,3,IF(N50=3,2,IF(N50=2,1,0))))</f>
        <v>0</v>
      </c>
      <c r="P50" s="34">
        <f>IF(AND(ABS((P12-O12)-('Input data'!P13-'Input data'!O13))&gt;0.0001,ABS(P12-O12)&gt;0.0001,P$10&gt;$C$5),4,IF(O50=4,3,IF(O50=3,2,IF(O50=2,1,0))))</f>
        <v>0</v>
      </c>
      <c r="Q50" s="34">
        <f>IF(AND(ABS((Q12-P12)-('Input data'!Q13-'Input data'!P13))&gt;0.0001,ABS(Q12-P12)&gt;0.0001,Q$10&gt;$C$5),4,IF(P50=4,3,IF(P50=3,2,IF(P50=2,1,0))))</f>
        <v>0</v>
      </c>
      <c r="R50" s="34">
        <f>IF(AND(ABS((R12-Q12)-('Input data'!R13-'Input data'!Q13))&gt;0.0001,ABS(R12-Q12)&gt;0.0001,R$10&gt;$C$5),4,IF(Q50=4,3,IF(Q50=3,2,IF(Q50=2,1,0))))</f>
        <v>0</v>
      </c>
      <c r="S50" s="34">
        <f>IF(AND(ABS((S12-R12)-('Input data'!S13-'Input data'!R13))&gt;0.0001,ABS(S12-R12)&gt;0.0001,S$10&gt;$C$5),4,IF(R50=4,3,IF(R50=3,2,IF(R50=2,1,0))))</f>
        <v>0</v>
      </c>
      <c r="T50" s="34">
        <f>IF(AND(ABS((T12-S12)-('Input data'!T13-'Input data'!S13))&gt;0.0001,ABS(T12-S12)&gt;0.0001,T$10&gt;$C$5),4,IF(S50=4,3,IF(S50=3,2,IF(S50=2,1,0))))</f>
        <v>0</v>
      </c>
      <c r="U50" s="34">
        <f>IF(AND(ABS((U12-T12)-('Input data'!U13-'Input data'!T13))&gt;0.0001,ABS(U12-T12)&gt;0.0001,U$10&gt;$C$5),4,IF(T50=4,3,IF(T50=3,2,IF(T50=2,1,0))))</f>
        <v>0</v>
      </c>
      <c r="V50" s="34">
        <f>IF(AND(ABS((V12-U12)-('Input data'!V13-'Input data'!U13))&gt;0.0001,ABS(V12-U12)&gt;0.0001,V$10&gt;$C$5),4,IF(U50=4,3,IF(U50=3,2,IF(U50=2,1,0))))</f>
        <v>0</v>
      </c>
      <c r="W50" s="34">
        <f>IF(AND(ABS((W12-V12)-('Input data'!W13-'Input data'!V13))&gt;0.0001,ABS(W12-V12)&gt;0.0001,W$10&gt;$C$5),4,IF(V50=4,3,IF(V50=3,2,IF(V50=2,1,0))))</f>
        <v>0</v>
      </c>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row>
    <row r="51" spans="2:48" outlineLevel="1" x14ac:dyDescent="0.2">
      <c r="B51" s="26" t="s">
        <v>101</v>
      </c>
      <c r="C51" s="34">
        <v>0</v>
      </c>
      <c r="D51" s="34">
        <f t="shared" ref="D51:W51" si="9">IF(C50=4,2/3*C30,IF(C50=3,1/3*B30,0))</f>
        <v>0</v>
      </c>
      <c r="E51" s="34">
        <f t="shared" si="9"/>
        <v>0</v>
      </c>
      <c r="F51" s="34">
        <f t="shared" si="9"/>
        <v>0</v>
      </c>
      <c r="G51" s="34">
        <f t="shared" si="9"/>
        <v>0</v>
      </c>
      <c r="H51" s="34">
        <f t="shared" si="9"/>
        <v>-0.36360312061166261</v>
      </c>
      <c r="I51" s="34">
        <f t="shared" si="9"/>
        <v>-0.70692049337552909</v>
      </c>
      <c r="J51" s="34">
        <f t="shared" si="9"/>
        <v>-0.93424834993205419</v>
      </c>
      <c r="K51" s="34">
        <f t="shared" si="9"/>
        <v>-1.0846599657425551</v>
      </c>
      <c r="L51" s="34">
        <f t="shared" si="9"/>
        <v>-0.54232998287127754</v>
      </c>
      <c r="M51" s="34">
        <f t="shared" si="9"/>
        <v>0</v>
      </c>
      <c r="N51" s="34">
        <f t="shared" si="9"/>
        <v>0</v>
      </c>
      <c r="O51" s="34">
        <f t="shared" si="9"/>
        <v>0</v>
      </c>
      <c r="P51" s="34">
        <f t="shared" si="9"/>
        <v>0</v>
      </c>
      <c r="Q51" s="34">
        <f t="shared" si="9"/>
        <v>0</v>
      </c>
      <c r="R51" s="34">
        <f t="shared" si="9"/>
        <v>0</v>
      </c>
      <c r="S51" s="34">
        <f t="shared" si="9"/>
        <v>0</v>
      </c>
      <c r="T51" s="34">
        <f t="shared" si="9"/>
        <v>0</v>
      </c>
      <c r="U51" s="34">
        <f t="shared" si="9"/>
        <v>0</v>
      </c>
      <c r="V51" s="34">
        <f t="shared" si="9"/>
        <v>0</v>
      </c>
      <c r="W51" s="34">
        <f t="shared" si="9"/>
        <v>0</v>
      </c>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row>
    <row r="52" spans="2:48" outlineLevel="1" x14ac:dyDescent="0.2">
      <c r="B52" s="26" t="s">
        <v>102</v>
      </c>
      <c r="C52" s="34"/>
      <c r="D52" s="34">
        <f>'Input data'!D30-$C$47*((D12-C12)-('Input data'!D13-'Input data'!C13))</f>
        <v>2.454758</v>
      </c>
      <c r="E52" s="34">
        <f>'Input data'!E30-$C$47*((E12-D12)-('Input data'!E13-'Input data'!D13))</f>
        <v>0.70371839999999997</v>
      </c>
      <c r="F52" s="34">
        <f>'Input data'!F30-$C$47*((F12-E12)-('Input data'!F13-'Input data'!E13))</f>
        <v>0.72849039999999998</v>
      </c>
      <c r="G52" s="34">
        <f>'Input data'!G30-$C$47*((G12-F12))</f>
        <v>0.88990200000000008</v>
      </c>
      <c r="H52" s="34">
        <f>'Input data'!H30-$C$47*((H12-G12))</f>
        <v>-0.12688599999999994</v>
      </c>
      <c r="I52" s="34">
        <f>'Input data'!I30-$C$47*((I12-H12))</f>
        <v>-0.32930079999999995</v>
      </c>
      <c r="J52" s="34">
        <f>'Input data'!J30-$C$47*((J12-I12))</f>
        <v>-0.39495749999999996</v>
      </c>
      <c r="K52" s="34">
        <f>'Input data'!K30-$C$47*((K12-J12))</f>
        <v>0.34188239999999998</v>
      </c>
      <c r="L52" s="34">
        <f>'Input data'!L30-$C$47*((L12-K12))</f>
        <v>0.35059990000000002</v>
      </c>
      <c r="M52" s="34">
        <f>'Input data'!M30-$C$47*((M12-L12))</f>
        <v>0.37322290000000002</v>
      </c>
      <c r="N52" s="34">
        <f>'Input data'!N30-$C$47*((N12-M12))</f>
        <v>0.40285549999999998</v>
      </c>
      <c r="O52" s="34">
        <f>'Input data'!O30-$C$47*((O12-N12))</f>
        <v>0.3851077</v>
      </c>
      <c r="P52" s="34">
        <f>'Input data'!P30-$C$47*((P12-O12))</f>
        <v>0.5697139</v>
      </c>
      <c r="Q52" s="34">
        <f>'Input data'!Q30-$C$47*((Q12-P12))</f>
        <v>0.75431990000000004</v>
      </c>
      <c r="R52" s="34">
        <f>'Input data'!R30-$C$47*((R12-Q12))</f>
        <v>0.93892149999999996</v>
      </c>
      <c r="S52" s="34">
        <f>'Input data'!S30-$C$47*((S12-R12))</f>
        <v>1.0421119999999999</v>
      </c>
      <c r="T52" s="34">
        <f>'Input data'!T30-$C$47*((T12-S12))</f>
        <v>1.1754</v>
      </c>
      <c r="U52" s="34">
        <f>'Input data'!U30-$C$47*((U12-T12))</f>
        <v>1.328999</v>
      </c>
      <c r="V52" s="34">
        <f>'Input data'!V30-$C$47*((V12-U12))</f>
        <v>1.5112289999999999</v>
      </c>
      <c r="W52" s="34">
        <f>'Input data'!W30-$C$47*((W12-V12))</f>
        <v>1.5410790000000001</v>
      </c>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row>
    <row r="53" spans="2:48" x14ac:dyDescent="0.2">
      <c r="C53" s="36"/>
    </row>
    <row r="54" spans="2:48" s="67" customFormat="1" ht="12.75" outlineLevel="1" x14ac:dyDescent="0.2">
      <c r="B54" s="72" t="s">
        <v>103</v>
      </c>
      <c r="C54" s="69"/>
      <c r="E54" s="70"/>
      <c r="F54" s="69"/>
    </row>
    <row r="55" spans="2:48" outlineLevel="1" x14ac:dyDescent="0.2">
      <c r="B55" s="43"/>
      <c r="C55" s="29"/>
      <c r="E55" s="44"/>
      <c r="F55" s="29"/>
    </row>
    <row r="56" spans="2:48" outlineLevel="1" x14ac:dyDescent="0.2">
      <c r="B56" s="85"/>
      <c r="C56" s="86">
        <v>2021</v>
      </c>
      <c r="D56" s="86">
        <v>2022</v>
      </c>
      <c r="E56" s="86">
        <v>2023</v>
      </c>
      <c r="F56" s="86">
        <v>2024</v>
      </c>
      <c r="G56" s="86">
        <v>2025</v>
      </c>
      <c r="H56" s="86">
        <v>2026</v>
      </c>
      <c r="I56" s="86">
        <v>2027</v>
      </c>
      <c r="J56" s="86">
        <v>2028</v>
      </c>
      <c r="K56" s="86">
        <v>2029</v>
      </c>
      <c r="L56" s="86">
        <v>2030</v>
      </c>
      <c r="M56" s="86">
        <v>2031</v>
      </c>
      <c r="N56" s="86">
        <v>2032</v>
      </c>
      <c r="O56" s="86">
        <v>2033</v>
      </c>
      <c r="P56" s="86">
        <v>2034</v>
      </c>
      <c r="Q56" s="86">
        <v>2035</v>
      </c>
      <c r="R56" s="86">
        <v>2036</v>
      </c>
      <c r="S56" s="86">
        <v>2037</v>
      </c>
      <c r="T56" s="86">
        <v>2038</v>
      </c>
      <c r="U56" s="86">
        <v>2039</v>
      </c>
      <c r="V56" s="86">
        <v>2040</v>
      </c>
      <c r="W56" s="86">
        <v>2041</v>
      </c>
    </row>
    <row r="57" spans="2:48" ht="10.5" customHeight="1" outlineLevel="1" x14ac:dyDescent="0.2">
      <c r="B57" s="87" t="s">
        <v>104</v>
      </c>
      <c r="C57" s="45">
        <f>+'Input data'!C12</f>
        <v>112.97329999999999</v>
      </c>
      <c r="D57" s="45">
        <f>+C57+D58</f>
        <v>111.9181670256222</v>
      </c>
      <c r="E57" s="45">
        <f>+D57+E58</f>
        <v>110.64326790048331</v>
      </c>
      <c r="F57" s="45">
        <f>+E57+F58</f>
        <v>112.40882173205914</v>
      </c>
      <c r="G57" s="45">
        <f>+F57+G58</f>
        <v>113.96873574495558</v>
      </c>
      <c r="H57" s="45">
        <f t="shared" ref="H57:S57" si="10">+G57+H58</f>
        <v>115.77838065922458</v>
      </c>
      <c r="I57" s="45">
        <f t="shared" si="10"/>
        <v>116.92117165766111</v>
      </c>
      <c r="J57" s="45">
        <f t="shared" si="10"/>
        <v>117.28270034717907</v>
      </c>
      <c r="K57" s="45">
        <f t="shared" si="10"/>
        <v>116.3940420920207</v>
      </c>
      <c r="L57" s="45">
        <f t="shared" si="10"/>
        <v>115.17150448362032</v>
      </c>
      <c r="M57" s="45">
        <f t="shared" si="10"/>
        <v>113.59794901750452</v>
      </c>
      <c r="N57" s="45">
        <f t="shared" si="10"/>
        <v>112.63450426242881</v>
      </c>
      <c r="O57" s="45">
        <f t="shared" si="10"/>
        <v>111.7435099006877</v>
      </c>
      <c r="P57" s="45">
        <f t="shared" si="10"/>
        <v>110.80056765042947</v>
      </c>
      <c r="Q57" s="45">
        <f t="shared" si="10"/>
        <v>109.75097572995541</v>
      </c>
      <c r="R57" s="45">
        <f t="shared" si="10"/>
        <v>108.5958000998274</v>
      </c>
      <c r="S57" s="45">
        <f t="shared" si="10"/>
        <v>107.42353691390102</v>
      </c>
      <c r="T57" s="45">
        <f>+S57+T58</f>
        <v>106.19793615773025</v>
      </c>
      <c r="U57" s="45">
        <f>+T57+U58</f>
        <v>104.89116193207212</v>
      </c>
      <c r="V57" s="45">
        <f t="shared" ref="V57:W57" si="11">+U57+V58</f>
        <v>103.46077033792356</v>
      </c>
      <c r="W57" s="45">
        <f t="shared" si="11"/>
        <v>102.11438203227299</v>
      </c>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row>
    <row r="58" spans="2:48" outlineLevel="1" x14ac:dyDescent="0.2">
      <c r="B58" s="88" t="s">
        <v>105</v>
      </c>
      <c r="C58" s="47"/>
      <c r="D58" s="47">
        <f>-D59+D67+D72</f>
        <v>-1.0551329743777931</v>
      </c>
      <c r="E58" s="47">
        <f>-E59+E67+E72</f>
        <v>-1.2748991251388937</v>
      </c>
      <c r="F58" s="47">
        <f>-F59+F67+F72</f>
        <v>1.7655538315758266</v>
      </c>
      <c r="G58" s="47">
        <f>-G59+G67+G72</f>
        <v>1.559914012896445</v>
      </c>
      <c r="H58" s="47">
        <f t="shared" ref="H58:S58" si="12">-H59+H67+H72</f>
        <v>1.8096449142689994</v>
      </c>
      <c r="I58" s="47">
        <f t="shared" si="12"/>
        <v>1.1427909984365296</v>
      </c>
      <c r="J58" s="47">
        <f t="shared" si="12"/>
        <v>0.36152868951796968</v>
      </c>
      <c r="K58" s="47">
        <f t="shared" si="12"/>
        <v>-0.88865825515837937</v>
      </c>
      <c r="L58" s="47">
        <f t="shared" si="12"/>
        <v>-1.2225376084003687</v>
      </c>
      <c r="M58" s="47">
        <f t="shared" si="12"/>
        <v>-1.5735554661158118</v>
      </c>
      <c r="N58" s="47">
        <f t="shared" si="12"/>
        <v>-0.96344475507570904</v>
      </c>
      <c r="O58" s="47">
        <f t="shared" si="12"/>
        <v>-0.8909943617411088</v>
      </c>
      <c r="P58" s="47">
        <f t="shared" si="12"/>
        <v>-0.94294225025822043</v>
      </c>
      <c r="Q58" s="47">
        <f t="shared" si="12"/>
        <v>-1.0495919204740627</v>
      </c>
      <c r="R58" s="47">
        <f t="shared" si="12"/>
        <v>-1.1551756301280081</v>
      </c>
      <c r="S58" s="47">
        <f t="shared" si="12"/>
        <v>-1.1722631859263886</v>
      </c>
      <c r="T58" s="47">
        <f>-T59+T67+T72</f>
        <v>-1.2256007561707647</v>
      </c>
      <c r="U58" s="47">
        <f t="shared" ref="U58:W58" si="13">-U59+U67+U72</f>
        <v>-1.306774225658129</v>
      </c>
      <c r="V58" s="47">
        <f t="shared" si="13"/>
        <v>-1.4303915941485568</v>
      </c>
      <c r="W58" s="47">
        <f t="shared" si="13"/>
        <v>-1.3463883056505717</v>
      </c>
    </row>
    <row r="59" spans="2:48" outlineLevel="1" x14ac:dyDescent="0.2">
      <c r="B59" s="84" t="s">
        <v>106</v>
      </c>
      <c r="C59" s="48"/>
      <c r="D59" s="48">
        <f>D60+D61-D62-D63-D64-D65-D66</f>
        <v>-2.836606425622207</v>
      </c>
      <c r="E59" s="48">
        <f>E60+E61-E62-E63-E64-E65-E66</f>
        <v>-3.7683152748611062</v>
      </c>
      <c r="F59" s="48">
        <f t="shared" ref="F59:R59" si="14">F60+F61-F62-F63-F64-F65-F66</f>
        <v>-3.2777546315758266</v>
      </c>
      <c r="G59" s="48">
        <f t="shared" si="14"/>
        <v>-2.4020138489780209</v>
      </c>
      <c r="H59" s="48">
        <f t="shared" si="14"/>
        <v>-1.7564308662398751</v>
      </c>
      <c r="I59" s="48">
        <f t="shared" si="14"/>
        <v>-1.0312556906857915</v>
      </c>
      <c r="J59" s="48">
        <f t="shared" si="14"/>
        <v>-0.2333946676267149</v>
      </c>
      <c r="K59" s="48">
        <f t="shared" si="14"/>
        <v>0.13548612158218931</v>
      </c>
      <c r="L59" s="48">
        <f t="shared" si="14"/>
        <v>0.49168691079111138</v>
      </c>
      <c r="M59" s="48">
        <f t="shared" si="14"/>
        <v>0.84736770000000017</v>
      </c>
      <c r="N59" s="48">
        <f t="shared" si="14"/>
        <v>0.84525371186669451</v>
      </c>
      <c r="O59" s="48">
        <f t="shared" si="14"/>
        <v>0.80919830634127676</v>
      </c>
      <c r="P59" s="48">
        <f t="shared" si="14"/>
        <v>0.76236358677985561</v>
      </c>
      <c r="Q59" s="48">
        <f t="shared" si="14"/>
        <v>0.76657930055543932</v>
      </c>
      <c r="R59" s="48">
        <f t="shared" si="14"/>
        <v>0.76677286228137276</v>
      </c>
      <c r="S59" s="48">
        <f>S60+S61-S62-S63-S64-S65-S66</f>
        <v>0.76359700928640739</v>
      </c>
      <c r="T59" s="48">
        <f>T60+T61-T62-T63-T64-T65-T66</f>
        <v>0.76108741856201834</v>
      </c>
      <c r="U59" s="48">
        <f>U60+U61-U62-U63-U64-U65-U66</f>
        <v>0.7630290750876243</v>
      </c>
      <c r="V59" s="48">
        <f t="shared" ref="V59:W59" si="15">V60+V61-V62-V63-V64-V65-V66</f>
        <v>0.77715959260343381</v>
      </c>
      <c r="W59" s="48">
        <f t="shared" si="15"/>
        <v>0.73881497435795818</v>
      </c>
    </row>
    <row r="60" spans="2:48" outlineLevel="1" x14ac:dyDescent="0.2">
      <c r="B60" s="79" t="s">
        <v>107</v>
      </c>
      <c r="C60" s="1"/>
      <c r="D60" s="1">
        <f>D12</f>
        <v>-2.9834649999999998</v>
      </c>
      <c r="E60" s="1">
        <f>E12</f>
        <v>-3.6529590000000001</v>
      </c>
      <c r="F60" s="1">
        <f>F12</f>
        <v>-2.968391</v>
      </c>
      <c r="G60" s="1">
        <f t="shared" ref="G60:W60" si="16">IF(G12="",F60,G12)</f>
        <v>-2.0283910000000001</v>
      </c>
      <c r="H60" s="1">
        <f t="shared" si="16"/>
        <v>-1.0883910000000001</v>
      </c>
      <c r="I60" s="1">
        <f t="shared" si="16"/>
        <v>-0.14839100000000016</v>
      </c>
      <c r="J60" s="1">
        <f t="shared" si="16"/>
        <v>0.79160899999999979</v>
      </c>
      <c r="K60" s="1">
        <f t="shared" si="16"/>
        <v>0.79160899999999979</v>
      </c>
      <c r="L60" s="1">
        <f t="shared" si="16"/>
        <v>0.79160899999999979</v>
      </c>
      <c r="M60" s="1">
        <f t="shared" si="16"/>
        <v>0.79160899999999979</v>
      </c>
      <c r="N60" s="1">
        <f t="shared" si="16"/>
        <v>0.79160899999999979</v>
      </c>
      <c r="O60" s="1">
        <f t="shared" si="16"/>
        <v>0.79160899999999979</v>
      </c>
      <c r="P60" s="1">
        <f t="shared" si="16"/>
        <v>0.79160899999999979</v>
      </c>
      <c r="Q60" s="1">
        <f t="shared" si="16"/>
        <v>0.79160899999999979</v>
      </c>
      <c r="R60" s="1">
        <f t="shared" si="16"/>
        <v>0.79160899999999979</v>
      </c>
      <c r="S60" s="1">
        <f t="shared" si="16"/>
        <v>0.79160899999999979</v>
      </c>
      <c r="T60" s="1">
        <f t="shared" si="16"/>
        <v>0.79160899999999979</v>
      </c>
      <c r="U60" s="1">
        <f t="shared" si="16"/>
        <v>0.79160899999999979</v>
      </c>
      <c r="V60" s="1">
        <f t="shared" si="16"/>
        <v>0.79160899999999979</v>
      </c>
      <c r="W60" s="1">
        <f t="shared" si="16"/>
        <v>0.79160899999999979</v>
      </c>
    </row>
    <row r="61" spans="2:48" outlineLevel="1" x14ac:dyDescent="0.2">
      <c r="B61" s="79" t="s">
        <v>108</v>
      </c>
      <c r="C61" s="1"/>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row>
    <row r="62" spans="2:48" outlineLevel="1" x14ac:dyDescent="0.2">
      <c r="B62" s="79" t="s">
        <v>109</v>
      </c>
      <c r="C62" s="1"/>
      <c r="D62" s="1">
        <f t="shared" ref="D62:W62" si="17">-$C$48*D30</f>
        <v>-0.21885307437779322</v>
      </c>
      <c r="E62" s="1">
        <f t="shared" si="17"/>
        <v>5.1141674861106101E-2</v>
      </c>
      <c r="F62" s="1">
        <f t="shared" si="17"/>
        <v>0.27490083157582657</v>
      </c>
      <c r="G62" s="1">
        <f t="shared" si="17"/>
        <v>0.34360494897802119</v>
      </c>
      <c r="H62" s="1">
        <f t="shared" si="17"/>
        <v>0.66803986623987499</v>
      </c>
      <c r="I62" s="1">
        <f t="shared" si="17"/>
        <v>0.88286469068579121</v>
      </c>
      <c r="J62" s="1">
        <f t="shared" si="17"/>
        <v>1.0250036676267147</v>
      </c>
      <c r="K62" s="1">
        <f t="shared" si="17"/>
        <v>0.68333577841781445</v>
      </c>
      <c r="L62" s="1">
        <f t="shared" si="17"/>
        <v>0.34166788920889324</v>
      </c>
      <c r="M62" s="1">
        <f>-$C$48*M30</f>
        <v>0</v>
      </c>
      <c r="N62" s="1">
        <f t="shared" si="17"/>
        <v>-3.0118666920486703E-6</v>
      </c>
      <c r="O62" s="1">
        <f t="shared" si="17"/>
        <v>-4.7063412766945589E-6</v>
      </c>
      <c r="P62" s="1">
        <f t="shared" si="17"/>
        <v>-7.0867798549478778E-6</v>
      </c>
      <c r="Q62" s="1">
        <f t="shared" si="17"/>
        <v>-9.9005554414777208E-6</v>
      </c>
      <c r="R62" s="1">
        <f t="shared" si="17"/>
        <v>-1.0462281371248494E-5</v>
      </c>
      <c r="S62" s="1">
        <f t="shared" si="17"/>
        <v>-1.1709286402483698E-5</v>
      </c>
      <c r="T62" s="1">
        <f t="shared" si="17"/>
        <v>-9.2185620177431815E-6</v>
      </c>
      <c r="U62" s="1">
        <f>-$C$48*U30</f>
        <v>-7.97508762229171E-6</v>
      </c>
      <c r="V62" s="1">
        <f t="shared" si="17"/>
        <v>-5.4926034300795123E-6</v>
      </c>
      <c r="W62" s="1">
        <f t="shared" si="17"/>
        <v>-7.9743579519675478E-6</v>
      </c>
    </row>
    <row r="63" spans="2:48" outlineLevel="1" x14ac:dyDescent="0.2">
      <c r="B63" s="79" t="s">
        <v>110</v>
      </c>
      <c r="C63" s="1"/>
      <c r="D63" s="1">
        <f t="shared" ref="D63:W63" si="18">-D14</f>
        <v>7.1994500000000003E-2</v>
      </c>
      <c r="E63" s="1">
        <f t="shared" si="18"/>
        <v>6.4214599999999997E-2</v>
      </c>
      <c r="F63" s="1">
        <f t="shared" si="18"/>
        <v>3.4462800000000002E-2</v>
      </c>
      <c r="G63" s="1">
        <f t="shared" si="18"/>
        <v>3.00179E-2</v>
      </c>
      <c r="H63" s="1">
        <f t="shared" si="18"/>
        <v>0</v>
      </c>
      <c r="I63" s="1">
        <f t="shared" si="18"/>
        <v>0</v>
      </c>
      <c r="J63" s="1">
        <f t="shared" si="18"/>
        <v>0</v>
      </c>
      <c r="K63" s="1">
        <f t="shared" si="18"/>
        <v>0</v>
      </c>
      <c r="L63" s="1">
        <f t="shared" si="18"/>
        <v>0</v>
      </c>
      <c r="M63" s="1">
        <f t="shared" si="18"/>
        <v>0</v>
      </c>
      <c r="N63" s="1">
        <f t="shared" si="18"/>
        <v>0</v>
      </c>
      <c r="O63" s="1">
        <f t="shared" si="18"/>
        <v>0</v>
      </c>
      <c r="P63" s="1">
        <f t="shared" si="18"/>
        <v>0</v>
      </c>
      <c r="Q63" s="1">
        <f t="shared" si="18"/>
        <v>0</v>
      </c>
      <c r="R63" s="1">
        <f t="shared" si="18"/>
        <v>0</v>
      </c>
      <c r="S63" s="1">
        <f t="shared" si="18"/>
        <v>0</v>
      </c>
      <c r="T63" s="1">
        <f t="shared" si="18"/>
        <v>0</v>
      </c>
      <c r="U63" s="1">
        <f t="shared" si="18"/>
        <v>0</v>
      </c>
      <c r="V63" s="1">
        <f t="shared" si="18"/>
        <v>0</v>
      </c>
      <c r="W63" s="1">
        <f t="shared" si="18"/>
        <v>0</v>
      </c>
    </row>
    <row r="64" spans="2:48" outlineLevel="1" x14ac:dyDescent="0.2">
      <c r="B64" s="79" t="s">
        <v>111</v>
      </c>
      <c r="C64" s="1"/>
      <c r="D64" s="1">
        <f>IF(D$56&lt;=$C$6,0,HLOOKUP(D$56,'Input data'!$C$9:$BB$26,12,FALSE)-HLOOKUP($C$6,'Input data'!$C$9:$BB$26,12,FALSE))</f>
        <v>0</v>
      </c>
      <c r="E64" s="1">
        <f>IF(E$56&lt;=$C$6,0,HLOOKUP(E$56,'Input data'!$C$9:$BB$26,12,FALSE)-HLOOKUP($C$6,'Input data'!$C$9:$BB$26,12,FALSE))</f>
        <v>0</v>
      </c>
      <c r="F64" s="1">
        <f>IF(F$56&lt;=$C$6,0,HLOOKUP(F$56,'Input data'!$C$9:$BB$26,12,FALSE)-HLOOKUP($C$6,'Input data'!$C$9:$BB$26,12,FALSE))</f>
        <v>0</v>
      </c>
      <c r="G64" s="1">
        <f>IF(G$56&lt;=$C$6,0,HLOOKUP(G$56,'Input data'!$C$9:$BB$26,12,FALSE)-HLOOKUP($C$6,'Input data'!$C$9:$BB$26,12,FALSE))</f>
        <v>0</v>
      </c>
      <c r="H64" s="1">
        <f>IF(H$56&lt;=$C$6,0,HLOOKUP(H$56,'Input data'!$C$9:$BB$26,12,FALSE)-HLOOKUP($C$6,'Input data'!$C$9:$BB$26,12,FALSE))</f>
        <v>0</v>
      </c>
      <c r="I64" s="1">
        <f>IF(I$56&lt;=$C$6,0,HLOOKUP(I$56,'Input data'!$C$9:$BB$26,12,FALSE)-HLOOKUP($C$6,'Input data'!$C$9:$BB$26,12,FALSE))</f>
        <v>0</v>
      </c>
      <c r="J64" s="1">
        <f>IF(J$56&lt;=$C$6,0,HLOOKUP(J$56,'Input data'!$C$9:$BB$26,12,FALSE)-HLOOKUP($C$6,'Input data'!$C$9:$BB$26,12,FALSE))</f>
        <v>0</v>
      </c>
      <c r="K64" s="1">
        <f>IF(K$56&lt;=$C$6,0,HLOOKUP(K$56,'Input data'!$C$9:$BB$26,12,FALSE)-HLOOKUP($C$6,'Input data'!$C$9:$BB$26,12,FALSE))</f>
        <v>-2.7580000000003935E-2</v>
      </c>
      <c r="L64" s="1">
        <f>IF(L$56&lt;=$C$6,0,HLOOKUP(L$56,'Input data'!$C$9:$BB$26,12,FALSE)-HLOOKUP($C$6,'Input data'!$C$9:$BB$26,12,FALSE))</f>
        <v>-4.2480000000004736E-2</v>
      </c>
      <c r="M64" s="1">
        <f>IF(M$56&lt;=$C$6,0,HLOOKUP(M$56,'Input data'!$C$9:$BB$26,12,FALSE)-HLOOKUP($C$6,'Input data'!$C$9:$BB$26,12,FALSE))</f>
        <v>-5.6860000000000355E-2</v>
      </c>
      <c r="N64" s="1">
        <f>IF(N$56&lt;=$C$6,0,HLOOKUP(N$56,'Input data'!$C$9:$BB$26,12,FALSE)-HLOOKUP($C$6,'Input data'!$C$9:$BB$26,12,FALSE))</f>
        <v>-5.5110000000002657E-2</v>
      </c>
      <c r="O64" s="1">
        <f>IF(O$56&lt;=$C$6,0,HLOOKUP(O$56,'Input data'!$C$9:$BB$26,12,FALSE)-HLOOKUP($C$6,'Input data'!$C$9:$BB$26,12,FALSE))</f>
        <v>-1.9420000000000215E-2</v>
      </c>
      <c r="P64" s="1">
        <f>IF(P$56&lt;=$C$6,0,HLOOKUP(P$56,'Input data'!$C$9:$BB$26,12,FALSE)-HLOOKUP($C$6,'Input data'!$C$9:$BB$26,12,FALSE))</f>
        <v>2.704999999999913E-2</v>
      </c>
      <c r="Q64" s="1">
        <f>IF(Q$56&lt;=$C$6,0,HLOOKUP(Q$56,'Input data'!$C$9:$BB$26,12,FALSE)-HLOOKUP($C$6,'Input data'!$C$9:$BB$26,12,FALSE))</f>
        <v>2.2470000000001988E-2</v>
      </c>
      <c r="R64" s="1">
        <f>IF(R$56&lt;=$C$6,0,HLOOKUP(R$56,'Input data'!$C$9:$BB$26,12,FALSE)-HLOOKUP($C$6,'Input data'!$C$9:$BB$26,12,FALSE))</f>
        <v>2.190999999999832E-2</v>
      </c>
      <c r="S64" s="1">
        <f>IF(S$56&lt;=$C$6,0,HLOOKUP(S$56,'Input data'!$C$9:$BB$26,12,FALSE)-HLOOKUP($C$6,'Input data'!$C$9:$BB$26,12,FALSE))</f>
        <v>2.4719999999994968E-2</v>
      </c>
      <c r="T64" s="1">
        <f>IF(T$56&lt;=$C$6,0,HLOOKUP(T$56,'Input data'!$C$9:$BB$26,12,FALSE)-HLOOKUP($C$6,'Input data'!$C$9:$BB$26,12,FALSE))</f>
        <v>2.6859999999999218E-2</v>
      </c>
      <c r="U64" s="1">
        <f>IF(U$56&lt;=$C$6,0,HLOOKUP(U$56,'Input data'!$C$9:$BB$26,12,FALSE)-HLOOKUP($C$6,'Input data'!$C$9:$BB$26,12,FALSE))</f>
        <v>2.4549999999997851E-2</v>
      </c>
      <c r="V64" s="1">
        <f>IF(V$56&lt;=$C$6,0,HLOOKUP(V$56,'Input data'!$C$9:$BB$26,12,FALSE)-HLOOKUP($C$6,'Input data'!$C$9:$BB$26,12,FALSE))</f>
        <v>1.0049999999996118E-2</v>
      </c>
      <c r="W64" s="1">
        <f>IF(W$56&lt;=$C$6,0,HLOOKUP(W$56,'Input data'!$C$9:$BB$26,12,FALSE)-HLOOKUP($C$6,'Input data'!$C$9:$BB$26,12,FALSE))</f>
        <v>4.8029999999993578E-2</v>
      </c>
    </row>
    <row r="65" spans="2:23" outlineLevel="1" x14ac:dyDescent="0.2">
      <c r="B65" s="79" t="s">
        <v>112</v>
      </c>
      <c r="C65" s="1"/>
      <c r="D65" s="1">
        <f>IF(D$56&lt;=$C$5,0,-HLOOKUP(D$56,'Input data'!$C$9:$BB$26,18,FALSE)+HLOOKUP($C$6,'Input data'!$C$9:$BB$26,18,FALSE))</f>
        <v>0</v>
      </c>
      <c r="E65" s="1">
        <f>IF(E$56&lt;=$C$5,0,-HLOOKUP(E$56,'Input data'!$C$9:$BB$26,18,FALSE)+HLOOKUP($C$6,'Input data'!$C$9:$BB$26,18,FALSE))</f>
        <v>0</v>
      </c>
      <c r="F65" s="1">
        <f>IF(F$56&lt;=$C$5,0,-HLOOKUP(F$56,'Input data'!$C$9:$BB$26,18,FALSE)+HLOOKUP($C$6,'Input data'!$C$9:$BB$26,18,FALSE))</f>
        <v>0</v>
      </c>
      <c r="G65" s="1">
        <f>IF(G$56&lt;=$C$6,0,-HLOOKUP(G$56,'Input data'!$C$9:$BB$26,18,FALSE)+HLOOKUP($C$6,'Input data'!$C$9:$BB$26,18,FALSE))</f>
        <v>0</v>
      </c>
      <c r="H65" s="1">
        <f>IF(H$56&lt;=$C$6,0,-HLOOKUP(H$56,'Input data'!$C$9:$BB$26,18,FALSE)+HLOOKUP($C$6,'Input data'!$C$9:$BB$26,18,FALSE))</f>
        <v>0</v>
      </c>
      <c r="I65" s="1">
        <f>IF(I$56&lt;=$C$6,0,-HLOOKUP(I$56,'Input data'!$C$9:$BB$26,18,FALSE)+HLOOKUP($C$6,'Input data'!$C$9:$BB$26,18,FALSE))</f>
        <v>0</v>
      </c>
      <c r="J65" s="1">
        <f>IF(J$56&lt;=$C$6,0,-HLOOKUP(J$56,'Input data'!$C$9:$BB$26,18,FALSE)+HLOOKUP($C$6,'Input data'!$C$9:$BB$26,18,FALSE))</f>
        <v>0</v>
      </c>
      <c r="K65" s="1">
        <f>IF(K$56&lt;=$C$6,0,-HLOOKUP(K$56,'Input data'!$C$9:$BB$26,18,FALSE)+HLOOKUP($C$6,'Input data'!$C$9:$BB$26,18,FALSE))</f>
        <v>3.6709999999995357E-4</v>
      </c>
      <c r="L65" s="1">
        <f>IF(L$56&lt;=$C$6,0,-HLOOKUP(L$56,'Input data'!$C$9:$BB$26,18,FALSE)+HLOOKUP($C$6,'Input data'!$C$9:$BB$26,18,FALSE))</f>
        <v>7.3419999999990715E-4</v>
      </c>
      <c r="M65" s="1">
        <f>IF(M$56&lt;=$C$6,0,-HLOOKUP(M$56,'Input data'!$C$9:$BB$26,18,FALSE)+HLOOKUP($C$6,'Input data'!$C$9:$BB$26,18,FALSE))</f>
        <v>1.1012999999999717E-3</v>
      </c>
      <c r="N65" s="1">
        <f>IF(N$56&lt;=$C$6,0,-HLOOKUP(N$56,'Input data'!$C$9:$BB$26,18,FALSE)+HLOOKUP($C$6,'Input data'!$C$9:$BB$26,18,FALSE))</f>
        <v>1.468299999999978E-3</v>
      </c>
      <c r="O65" s="1">
        <f>IF(O$56&lt;=$C$6,0,-HLOOKUP(O$56,'Input data'!$C$9:$BB$26,18,FALSE)+HLOOKUP($C$6,'Input data'!$C$9:$BB$26,18,FALSE))</f>
        <v>1.8353999999999315E-3</v>
      </c>
      <c r="P65" s="1">
        <f>IF(P$56&lt;=$C$6,0,-HLOOKUP(P$56,'Input data'!$C$9:$BB$26,18,FALSE)+HLOOKUP($C$6,'Input data'!$C$9:$BB$26,18,FALSE))</f>
        <v>2.2024999999999961E-3</v>
      </c>
      <c r="Q65" s="1">
        <f>IF(Q$56&lt;=$C$6,0,-HLOOKUP(Q$56,'Input data'!$C$9:$BB$26,18,FALSE)+HLOOKUP($C$6,'Input data'!$C$9:$BB$26,18,FALSE))</f>
        <v>2.5695999999999497E-3</v>
      </c>
      <c r="R65" s="1">
        <f>IF(R$56&lt;=$C$6,0,-HLOOKUP(R$56,'Input data'!$C$9:$BB$26,18,FALSE)+HLOOKUP($C$6,'Input data'!$C$9:$BB$26,18,FALSE))</f>
        <v>2.9365999999999559E-3</v>
      </c>
      <c r="S65" s="1">
        <f>IF(S$56&lt;=$C$6,0,-HLOOKUP(S$56,'Input data'!$C$9:$BB$26,18,FALSE)+HLOOKUP($C$6,'Input data'!$C$9:$BB$26,18,FALSE))</f>
        <v>3.3036999999999095E-3</v>
      </c>
      <c r="T65" s="1">
        <f>IF(T$56&lt;=$C$6,0,-HLOOKUP(T$56,'Input data'!$C$9:$BB$26,18,FALSE)+HLOOKUP($C$6,'Input data'!$C$9:$BB$26,18,FALSE))</f>
        <v>3.6707999999999741E-3</v>
      </c>
      <c r="U65" s="264">
        <f>IF(U$56&lt;=$C$6,0,-HLOOKUP(U$56,'Input data'!$C$9:$BB$26,18,FALSE)+HLOOKUP($C$6,'Input data'!$C$9:$BB$26,18,FALSE))</f>
        <v>4.0378999999999277E-3</v>
      </c>
      <c r="V65" s="264">
        <f>IF(V$56&lt;=$C$6,0,-HLOOKUP(V$56,'Input data'!$C$9:$BB$26,18,FALSE)+HLOOKUP($C$6,'Input data'!$C$9:$BB$26,18,FALSE))</f>
        <v>4.4048999999999339E-3</v>
      </c>
      <c r="W65" s="264">
        <f>IF(W$56&lt;=$C$6,0,-HLOOKUP(W$56,'Input data'!$C$9:$BB$26,18,FALSE)+HLOOKUP($C$6,'Input data'!$C$9:$BB$26,18,FALSE))</f>
        <v>4.7719999999999985E-3</v>
      </c>
    </row>
    <row r="66" spans="2:23" outlineLevel="1" x14ac:dyDescent="0.2">
      <c r="B66" s="79" t="s">
        <v>113</v>
      </c>
      <c r="C66" s="37"/>
      <c r="D66" s="37">
        <v>0</v>
      </c>
      <c r="E66" s="37">
        <v>0</v>
      </c>
      <c r="F66" s="37">
        <v>0</v>
      </c>
      <c r="G66" s="37">
        <v>0</v>
      </c>
      <c r="H66" s="37">
        <v>0</v>
      </c>
      <c r="I66" s="37">
        <v>0</v>
      </c>
      <c r="J66" s="37">
        <v>0</v>
      </c>
      <c r="K66" s="37">
        <v>0</v>
      </c>
      <c r="L66" s="37">
        <v>0</v>
      </c>
      <c r="M66" s="37">
        <v>0</v>
      </c>
      <c r="N66" s="37">
        <v>0</v>
      </c>
      <c r="O66" s="37">
        <v>0</v>
      </c>
      <c r="P66" s="37">
        <v>0</v>
      </c>
      <c r="Q66" s="37">
        <v>0</v>
      </c>
      <c r="R66" s="37">
        <v>0</v>
      </c>
      <c r="S66" s="37">
        <v>0</v>
      </c>
      <c r="T66" s="37">
        <v>0</v>
      </c>
      <c r="U66" s="265">
        <v>0</v>
      </c>
      <c r="V66" s="265">
        <v>0</v>
      </c>
      <c r="W66" s="265">
        <v>0</v>
      </c>
    </row>
    <row r="67" spans="2:23" outlineLevel="1" x14ac:dyDescent="0.2">
      <c r="B67" s="84" t="s">
        <v>114</v>
      </c>
      <c r="C67" s="48"/>
      <c r="D67" s="48">
        <f t="shared" ref="D67:O67" si="19">SUM(D68:D71)</f>
        <v>-3.934345</v>
      </c>
      <c r="E67" s="48">
        <f t="shared" si="19"/>
        <v>-4.8243999999999998</v>
      </c>
      <c r="F67" s="48">
        <f t="shared" si="19"/>
        <v>-1.723009</v>
      </c>
      <c r="G67" s="48">
        <f t="shared" si="19"/>
        <v>-0.87339043608157585</v>
      </c>
      <c r="H67" s="48">
        <f t="shared" si="19"/>
        <v>5.3214048029124328E-2</v>
      </c>
      <c r="I67" s="48">
        <f t="shared" si="19"/>
        <v>0.11153530775073817</v>
      </c>
      <c r="J67" s="48">
        <f t="shared" si="19"/>
        <v>0.12813402189125478</v>
      </c>
      <c r="K67" s="48">
        <f t="shared" si="19"/>
        <v>-0.75317213357619006</v>
      </c>
      <c r="L67" s="48">
        <f t="shared" si="19"/>
        <v>-0.73085069760925725</v>
      </c>
      <c r="M67" s="48">
        <f t="shared" si="19"/>
        <v>-0.72618776611581159</v>
      </c>
      <c r="N67" s="48">
        <f t="shared" si="19"/>
        <v>-0.11819104320901452</v>
      </c>
      <c r="O67" s="48">
        <f t="shared" si="19"/>
        <v>-8.1796055399832035E-2</v>
      </c>
      <c r="P67" s="48">
        <f t="shared" ref="P67:W67" si="20">SUM(P68:P71)</f>
        <v>-0.18057866347836482</v>
      </c>
      <c r="Q67" s="48">
        <f t="shared" si="20"/>
        <v>-0.28301261991862336</v>
      </c>
      <c r="R67" s="48">
        <f t="shared" si="20"/>
        <v>-0.3884027678466353</v>
      </c>
      <c r="S67" s="48">
        <f t="shared" si="20"/>
        <v>-0.40866617663998106</v>
      </c>
      <c r="T67" s="48">
        <f t="shared" si="20"/>
        <v>-0.46451333760874647</v>
      </c>
      <c r="U67" s="48">
        <f t="shared" si="20"/>
        <v>-0.54374515057050465</v>
      </c>
      <c r="V67" s="48">
        <f t="shared" si="20"/>
        <v>-0.65323200154512295</v>
      </c>
      <c r="W67" s="48">
        <f t="shared" si="20"/>
        <v>-0.60757333129261348</v>
      </c>
    </row>
    <row r="68" spans="2:23" outlineLevel="1" x14ac:dyDescent="0.2">
      <c r="B68" s="79" t="s">
        <v>115</v>
      </c>
      <c r="C68" s="34"/>
      <c r="D68" s="34">
        <f t="shared" ref="D68:E68" si="21">C57*D36/100*(1/(1+D33/100))</f>
        <v>1.9291893496307357</v>
      </c>
      <c r="E68" s="34">
        <f t="shared" si="21"/>
        <v>1.7238798121764787</v>
      </c>
      <c r="F68" s="34">
        <f>E57*F36/100*(1/(1+F33/100))</f>
        <v>2.0358592181765802</v>
      </c>
      <c r="G68" s="34">
        <f>F57*G36/100*(1/(1+G33/100))</f>
        <v>2.3474680680281832</v>
      </c>
      <c r="H68" s="34">
        <f t="shared" ref="H68:W68" si="22">G57*H36/100*(1/(1+H33/100))</f>
        <v>2.5225987762565869</v>
      </c>
      <c r="I68" s="34">
        <f t="shared" si="22"/>
        <v>2.6782009948830963</v>
      </c>
      <c r="J68" s="34">
        <f>I57*J36/100*(1/(1+J33/100))</f>
        <v>2.8111947272607885</v>
      </c>
      <c r="K68" s="34">
        <f t="shared" si="22"/>
        <v>2.8961593630878424</v>
      </c>
      <c r="L68" s="34">
        <f t="shared" si="22"/>
        <v>2.9672219371277579</v>
      </c>
      <c r="M68" s="34">
        <f t="shared" si="22"/>
        <v>3.0240223609079813</v>
      </c>
      <c r="N68" s="34">
        <f t="shared" si="22"/>
        <v>3.0826001262094369</v>
      </c>
      <c r="O68" s="34">
        <f t="shared" si="22"/>
        <v>3.1403199433463236</v>
      </c>
      <c r="P68" s="34">
        <f t="shared" si="22"/>
        <v>3.1862354392038985</v>
      </c>
      <c r="Q68" s="34">
        <f t="shared" si="22"/>
        <v>3.223507267391073</v>
      </c>
      <c r="R68" s="34">
        <f t="shared" si="22"/>
        <v>3.2507954917096025</v>
      </c>
      <c r="S68" s="34">
        <f t="shared" si="22"/>
        <v>3.2712982362469418</v>
      </c>
      <c r="T68" s="34">
        <f t="shared" si="22"/>
        <v>3.2846190797522787</v>
      </c>
      <c r="U68" s="34">
        <f t="shared" si="22"/>
        <v>3.290487610329726</v>
      </c>
      <c r="V68" s="34">
        <f t="shared" si="22"/>
        <v>3.2882048715768035</v>
      </c>
      <c r="W68" s="34">
        <f t="shared" si="22"/>
        <v>3.2826347368064916</v>
      </c>
    </row>
    <row r="69" spans="2:23" outlineLevel="1" x14ac:dyDescent="0.2">
      <c r="B69" s="79" t="s">
        <v>116</v>
      </c>
      <c r="C69" s="34"/>
      <c r="D69" s="34">
        <f t="shared" ref="D69:W69" si="23">-C57*(D24/100)*(1/(1+D33/100))</f>
        <v>-2.6292855605448602</v>
      </c>
      <c r="E69" s="34">
        <f t="shared" si="23"/>
        <v>-0.74150728760413609</v>
      </c>
      <c r="F69" s="34">
        <f t="shared" si="23"/>
        <v>-0.77864258776474582</v>
      </c>
      <c r="G69" s="34">
        <f t="shared" si="23"/>
        <v>-0.97166587455257325</v>
      </c>
      <c r="H69" s="34">
        <f t="shared" si="23"/>
        <v>-0.11948741461083527</v>
      </c>
      <c r="I69" s="34">
        <f t="shared" si="23"/>
        <v>-0.10894705467824994</v>
      </c>
      <c r="J69" s="34">
        <f t="shared" si="23"/>
        <v>-0.12996706025784929</v>
      </c>
      <c r="K69" s="34">
        <f t="shared" si="23"/>
        <v>-1.0170961212277587</v>
      </c>
      <c r="L69" s="34">
        <f t="shared" si="23"/>
        <v>-1.0151621047983266</v>
      </c>
      <c r="M69" s="34">
        <f t="shared" si="23"/>
        <v>-1.0256880547389495</v>
      </c>
      <c r="N69" s="34">
        <f t="shared" si="23"/>
        <v>-0.44474102223470735</v>
      </c>
      <c r="O69" s="34">
        <f t="shared" si="23"/>
        <v>-0.4213555319573361</v>
      </c>
      <c r="P69" s="34">
        <f t="shared" si="23"/>
        <v>-0.61743710032195487</v>
      </c>
      <c r="Q69" s="34">
        <f t="shared" si="23"/>
        <v>-0.80934035379272939</v>
      </c>
      <c r="R69" s="34">
        <f t="shared" si="23"/>
        <v>-0.99630629270172288</v>
      </c>
      <c r="S69" s="34">
        <f t="shared" si="23"/>
        <v>-1.0933405135938841</v>
      </c>
      <c r="T69" s="34">
        <f t="shared" si="23"/>
        <v>-1.2185889504523355</v>
      </c>
      <c r="U69" s="34">
        <f t="shared" si="23"/>
        <v>-1.3604125945068459</v>
      </c>
      <c r="V69" s="34">
        <f t="shared" si="23"/>
        <v>-1.5255815205111254</v>
      </c>
      <c r="W69" s="34">
        <f t="shared" si="23"/>
        <v>-1.5344610253221884</v>
      </c>
    </row>
    <row r="70" spans="2:23" outlineLevel="1" x14ac:dyDescent="0.2">
      <c r="B70" s="79" t="s">
        <v>117</v>
      </c>
      <c r="C70" s="34"/>
      <c r="D70" s="34">
        <f t="shared" ref="D70:W70" si="24">-C57*D42/100*(1/(1+D42/100))</f>
        <v>-3.2342479962921198</v>
      </c>
      <c r="E70" s="34">
        <f t="shared" si="24"/>
        <v>-5.8067720664528109</v>
      </c>
      <c r="F70" s="34">
        <f t="shared" si="24"/>
        <v>-2.9802260447603599</v>
      </c>
      <c r="G70" s="34">
        <f t="shared" si="24"/>
        <v>-2.2491919522042716</v>
      </c>
      <c r="H70" s="34">
        <f t="shared" si="24"/>
        <v>-2.3498973136166272</v>
      </c>
      <c r="I70" s="34">
        <f t="shared" si="24"/>
        <v>-2.457718632454108</v>
      </c>
      <c r="J70" s="34">
        <f t="shared" si="24"/>
        <v>-2.5530936451116846</v>
      </c>
      <c r="K70" s="34">
        <f t="shared" si="24"/>
        <v>-2.6322353754362737</v>
      </c>
      <c r="L70" s="34">
        <f t="shared" si="24"/>
        <v>-2.6829105299386886</v>
      </c>
      <c r="M70" s="34">
        <f t="shared" si="24"/>
        <v>-2.7245220722848433</v>
      </c>
      <c r="N70" s="34">
        <f t="shared" si="24"/>
        <v>-2.756050147183744</v>
      </c>
      <c r="O70" s="34">
        <f t="shared" si="24"/>
        <v>-2.8007604667888195</v>
      </c>
      <c r="P70" s="34">
        <f t="shared" si="24"/>
        <v>-2.7493770023603084</v>
      </c>
      <c r="Q70" s="34">
        <f t="shared" si="24"/>
        <v>-2.6971795335169668</v>
      </c>
      <c r="R70" s="34">
        <f t="shared" si="24"/>
        <v>-2.6428919668545148</v>
      </c>
      <c r="S70" s="34">
        <f t="shared" si="24"/>
        <v>-2.5866238992930386</v>
      </c>
      <c r="T70" s="34">
        <f t="shared" si="24"/>
        <v>-2.5305434669086897</v>
      </c>
      <c r="U70" s="34">
        <f t="shared" si="24"/>
        <v>-2.4738201663933848</v>
      </c>
      <c r="V70" s="34">
        <f t="shared" si="24"/>
        <v>-2.4158553526108011</v>
      </c>
      <c r="W70" s="34">
        <f t="shared" si="24"/>
        <v>-2.3557470427769167</v>
      </c>
    </row>
    <row r="71" spans="2:23" outlineLevel="1" x14ac:dyDescent="0.2">
      <c r="B71" s="79" t="s">
        <v>118</v>
      </c>
      <c r="C71" s="49"/>
      <c r="D71" s="49">
        <f>'Baseline NFPC'!D70</f>
        <v>-7.9279375553298337E-7</v>
      </c>
      <c r="E71" s="49">
        <f>'Baseline NFPC'!E70</f>
        <v>-4.5811953164331953E-7</v>
      </c>
      <c r="F71" s="49">
        <f>'Baseline NFPC'!F70</f>
        <v>4.1434852549038226E-7</v>
      </c>
      <c r="G71" s="49">
        <f>'Baseline NFPC'!G70</f>
        <v>-6.7735291420234489E-7</v>
      </c>
      <c r="H71" s="49">
        <v>0</v>
      </c>
      <c r="I71" s="49">
        <v>0</v>
      </c>
      <c r="J71" s="49">
        <v>0</v>
      </c>
      <c r="K71" s="49">
        <v>0</v>
      </c>
      <c r="L71" s="49">
        <v>0</v>
      </c>
      <c r="M71" s="49">
        <v>0</v>
      </c>
      <c r="N71" s="49">
        <v>0</v>
      </c>
      <c r="O71" s="49">
        <v>0</v>
      </c>
      <c r="P71" s="49">
        <v>0</v>
      </c>
      <c r="Q71" s="49">
        <v>0</v>
      </c>
      <c r="R71" s="49">
        <v>0</v>
      </c>
      <c r="S71" s="49">
        <v>0</v>
      </c>
      <c r="T71" s="49">
        <v>0</v>
      </c>
      <c r="U71" s="49">
        <v>0</v>
      </c>
      <c r="V71" s="49">
        <v>0</v>
      </c>
      <c r="W71" s="49">
        <v>0</v>
      </c>
    </row>
    <row r="72" spans="2:23" outlineLevel="1" x14ac:dyDescent="0.2">
      <c r="B72" s="84" t="s">
        <v>119</v>
      </c>
      <c r="C72" s="50"/>
      <c r="D72" s="50">
        <f>'Input data'!D16</f>
        <v>4.26056E-2</v>
      </c>
      <c r="E72" s="50">
        <f>'Input data'!E16</f>
        <v>-0.21881439999999999</v>
      </c>
      <c r="F72" s="50">
        <f>'Input data'!F16</f>
        <v>0.2108082</v>
      </c>
      <c r="G72" s="50">
        <f>'Input data'!G16</f>
        <v>3.1290600000000002E-2</v>
      </c>
      <c r="H72" s="50">
        <f>'Input data'!H16</f>
        <v>0</v>
      </c>
      <c r="I72" s="50">
        <f>'Input data'!I16</f>
        <v>0</v>
      </c>
      <c r="J72" s="50">
        <f>'Input data'!J16</f>
        <v>0</v>
      </c>
      <c r="K72" s="50">
        <f>'Input data'!K16</f>
        <v>0</v>
      </c>
      <c r="L72" s="50">
        <f>'Input data'!L16</f>
        <v>0</v>
      </c>
      <c r="M72" s="50">
        <f>'Input data'!M16</f>
        <v>0</v>
      </c>
      <c r="N72" s="50">
        <f>'Input data'!N16</f>
        <v>0</v>
      </c>
      <c r="O72" s="50">
        <f>'Input data'!O16</f>
        <v>0</v>
      </c>
      <c r="P72" s="50">
        <f>'Input data'!P16</f>
        <v>0</v>
      </c>
      <c r="Q72" s="50">
        <f>'Input data'!Q16</f>
        <v>0</v>
      </c>
      <c r="R72" s="50">
        <f>'Input data'!R16</f>
        <v>0</v>
      </c>
      <c r="S72" s="50">
        <f>'Input data'!S16</f>
        <v>0</v>
      </c>
      <c r="T72" s="50">
        <f>'Input data'!T16</f>
        <v>0</v>
      </c>
      <c r="U72" s="50">
        <f>'Input data'!U16</f>
        <v>0</v>
      </c>
      <c r="V72" s="50">
        <f>'Input data'!V16</f>
        <v>0</v>
      </c>
      <c r="W72" s="50">
        <f>'Input data'!W16</f>
        <v>0</v>
      </c>
    </row>
    <row r="73" spans="2:23" outlineLevel="1" x14ac:dyDescent="0.2">
      <c r="B73" s="79" t="s">
        <v>120</v>
      </c>
      <c r="C73" s="34"/>
      <c r="D73" s="34">
        <f t="shared" ref="D73:W73" si="25">D15</f>
        <v>4.2606100000000001E-2</v>
      </c>
      <c r="E73" s="34">
        <f t="shared" si="25"/>
        <v>-0.21881729999999999</v>
      </c>
      <c r="F73" s="34">
        <f t="shared" si="25"/>
        <v>0.21081169999999999</v>
      </c>
      <c r="G73" s="34">
        <f t="shared" si="25"/>
        <v>3.1292399999999998E-2</v>
      </c>
      <c r="H73" s="34">
        <f t="shared" si="25"/>
        <v>0</v>
      </c>
      <c r="I73" s="34">
        <f t="shared" si="25"/>
        <v>0</v>
      </c>
      <c r="J73" s="34">
        <f t="shared" si="25"/>
        <v>0</v>
      </c>
      <c r="K73" s="34">
        <f t="shared" si="25"/>
        <v>0</v>
      </c>
      <c r="L73" s="34">
        <f t="shared" si="25"/>
        <v>0</v>
      </c>
      <c r="M73" s="34">
        <f t="shared" si="25"/>
        <v>0</v>
      </c>
      <c r="N73" s="34">
        <f t="shared" si="25"/>
        <v>0</v>
      </c>
      <c r="O73" s="34">
        <f t="shared" si="25"/>
        <v>0</v>
      </c>
      <c r="P73" s="34">
        <f t="shared" si="25"/>
        <v>0</v>
      </c>
      <c r="Q73" s="34">
        <f t="shared" si="25"/>
        <v>0</v>
      </c>
      <c r="R73" s="34">
        <f t="shared" si="25"/>
        <v>0</v>
      </c>
      <c r="S73" s="34">
        <f t="shared" si="25"/>
        <v>0</v>
      </c>
      <c r="T73" s="34">
        <f t="shared" si="25"/>
        <v>0</v>
      </c>
      <c r="U73" s="34">
        <f t="shared" si="25"/>
        <v>0</v>
      </c>
      <c r="V73" s="34">
        <f t="shared" si="25"/>
        <v>0</v>
      </c>
      <c r="W73" s="34">
        <f t="shared" si="25"/>
        <v>0</v>
      </c>
    </row>
    <row r="74" spans="2:23" outlineLevel="1" x14ac:dyDescent="0.2">
      <c r="B74" s="89" t="s">
        <v>121</v>
      </c>
      <c r="C74" s="49"/>
      <c r="D74" s="49">
        <f>+D72-D73</f>
        <v>-5.0000000000050004E-7</v>
      </c>
      <c r="E74" s="49">
        <f t="shared" ref="E74:W74" si="26">+E72-E73</f>
        <v>2.9000000000001247E-6</v>
      </c>
      <c r="F74" s="49">
        <f t="shared" si="26"/>
        <v>-3.4999999999896225E-6</v>
      </c>
      <c r="G74" s="49">
        <f t="shared" si="26"/>
        <v>-1.799999999996249E-6</v>
      </c>
      <c r="H74" s="49">
        <f t="shared" si="26"/>
        <v>0</v>
      </c>
      <c r="I74" s="49">
        <f t="shared" si="26"/>
        <v>0</v>
      </c>
      <c r="J74" s="49">
        <f t="shared" si="26"/>
        <v>0</v>
      </c>
      <c r="K74" s="49">
        <f t="shared" si="26"/>
        <v>0</v>
      </c>
      <c r="L74" s="49">
        <f t="shared" si="26"/>
        <v>0</v>
      </c>
      <c r="M74" s="49">
        <f t="shared" si="26"/>
        <v>0</v>
      </c>
      <c r="N74" s="49">
        <f t="shared" si="26"/>
        <v>0</v>
      </c>
      <c r="O74" s="49">
        <f t="shared" si="26"/>
        <v>0</v>
      </c>
      <c r="P74" s="49">
        <f t="shared" si="26"/>
        <v>0</v>
      </c>
      <c r="Q74" s="49">
        <f t="shared" si="26"/>
        <v>0</v>
      </c>
      <c r="R74" s="49">
        <f t="shared" si="26"/>
        <v>0</v>
      </c>
      <c r="S74" s="49">
        <f t="shared" si="26"/>
        <v>0</v>
      </c>
      <c r="T74" s="49">
        <f t="shared" si="26"/>
        <v>0</v>
      </c>
      <c r="U74" s="49">
        <f t="shared" si="26"/>
        <v>0</v>
      </c>
      <c r="V74" s="49">
        <f t="shared" si="26"/>
        <v>0</v>
      </c>
      <c r="W74" s="49">
        <f t="shared" si="26"/>
        <v>0</v>
      </c>
    </row>
    <row r="75" spans="2:23" ht="10.5" customHeight="1" outlineLevel="1" x14ac:dyDescent="0.2"/>
    <row r="76" spans="2:23" ht="10.5" customHeight="1" outlineLevel="1" x14ac:dyDescent="0.2">
      <c r="B76" s="91" t="s">
        <v>122</v>
      </c>
    </row>
    <row r="77" spans="2:23" x14ac:dyDescent="0.2">
      <c r="B77" s="77" t="s">
        <v>41</v>
      </c>
      <c r="C77" s="77"/>
      <c r="D77" s="78">
        <f>D59-D68</f>
        <v>-4.7657957752529425</v>
      </c>
      <c r="E77" s="78">
        <f t="shared" ref="E77:W77" si="27">E59-E68</f>
        <v>-5.4921950870375849</v>
      </c>
      <c r="F77" s="78">
        <f t="shared" si="27"/>
        <v>-5.3136138497524072</v>
      </c>
      <c r="G77" s="78">
        <f>G59-G68</f>
        <v>-4.7494819170062037</v>
      </c>
      <c r="H77" s="78">
        <f t="shared" si="27"/>
        <v>-4.2790296424964618</v>
      </c>
      <c r="I77" s="78">
        <f t="shared" si="27"/>
        <v>-3.7094566855688877</v>
      </c>
      <c r="J77" s="78">
        <f t="shared" si="27"/>
        <v>-3.0445893948875034</v>
      </c>
      <c r="K77" s="78">
        <f t="shared" si="27"/>
        <v>-2.760673241505653</v>
      </c>
      <c r="L77" s="78">
        <f t="shared" si="27"/>
        <v>-2.4755350263366465</v>
      </c>
      <c r="M77" s="78">
        <f t="shared" si="27"/>
        <v>-2.1766546609079809</v>
      </c>
      <c r="N77" s="78">
        <f t="shared" si="27"/>
        <v>-2.2373464143427424</v>
      </c>
      <c r="O77" s="78">
        <f t="shared" si="27"/>
        <v>-2.3311216370050469</v>
      </c>
      <c r="P77" s="78">
        <f t="shared" si="27"/>
        <v>-2.423871852424043</v>
      </c>
      <c r="Q77" s="78">
        <f t="shared" si="27"/>
        <v>-2.4569279668356336</v>
      </c>
      <c r="R77" s="78">
        <f t="shared" si="27"/>
        <v>-2.4840226294282299</v>
      </c>
      <c r="S77" s="78">
        <f t="shared" si="27"/>
        <v>-2.5077012269605343</v>
      </c>
      <c r="T77" s="78">
        <f t="shared" si="27"/>
        <v>-2.5235316611902605</v>
      </c>
      <c r="U77" s="78">
        <f t="shared" si="27"/>
        <v>-2.5274585352421015</v>
      </c>
      <c r="V77" s="78">
        <f t="shared" si="27"/>
        <v>-2.5110452789733699</v>
      </c>
      <c r="W77" s="78">
        <f t="shared" si="27"/>
        <v>-2.5438197624485337</v>
      </c>
    </row>
    <row r="78" spans="2:23" x14ac:dyDescent="0.2">
      <c r="B78" s="26" t="s">
        <v>42</v>
      </c>
      <c r="D78" s="34">
        <f>D60-D68-D64-D65-D66</f>
        <v>-4.9126543496307358</v>
      </c>
      <c r="E78" s="34">
        <f t="shared" ref="E78:W78" si="28">E60-E68-E64-E65-E66</f>
        <v>-5.3768388121764783</v>
      </c>
      <c r="F78" s="34">
        <f t="shared" si="28"/>
        <v>-5.0042502181765798</v>
      </c>
      <c r="G78" s="34">
        <f t="shared" si="28"/>
        <v>-4.3758590680281833</v>
      </c>
      <c r="H78" s="34">
        <f t="shared" si="28"/>
        <v>-3.610989776256587</v>
      </c>
      <c r="I78" s="34">
        <f t="shared" si="28"/>
        <v>-2.8265919948830964</v>
      </c>
      <c r="J78" s="34">
        <f t="shared" si="28"/>
        <v>-2.0195857272607887</v>
      </c>
      <c r="K78" s="34">
        <f t="shared" si="28"/>
        <v>-2.0773374630878387</v>
      </c>
      <c r="L78" s="34">
        <f t="shared" si="28"/>
        <v>-2.1338671371277531</v>
      </c>
      <c r="M78" s="34">
        <f t="shared" si="28"/>
        <v>-2.1766546609079809</v>
      </c>
      <c r="N78" s="34">
        <f t="shared" si="28"/>
        <v>-2.2373494262094344</v>
      </c>
      <c r="O78" s="34">
        <f t="shared" si="28"/>
        <v>-2.3311263433463236</v>
      </c>
      <c r="P78" s="34">
        <f t="shared" si="28"/>
        <v>-2.423878939203898</v>
      </c>
      <c r="Q78" s="34">
        <f t="shared" si="28"/>
        <v>-2.4569378673910753</v>
      </c>
      <c r="R78" s="34">
        <f t="shared" si="28"/>
        <v>-2.484033091709601</v>
      </c>
      <c r="S78" s="34">
        <f t="shared" si="28"/>
        <v>-2.507712936246937</v>
      </c>
      <c r="T78" s="34">
        <f t="shared" si="28"/>
        <v>-2.5235408797522783</v>
      </c>
      <c r="U78" s="34">
        <f t="shared" si="28"/>
        <v>-2.5274665103297238</v>
      </c>
      <c r="V78" s="34">
        <f t="shared" si="28"/>
        <v>-2.5110507715767998</v>
      </c>
      <c r="W78" s="34">
        <f t="shared" si="28"/>
        <v>-2.5438277368064854</v>
      </c>
    </row>
    <row r="79" spans="2:23" x14ac:dyDescent="0.2">
      <c r="B79" s="35" t="s">
        <v>123</v>
      </c>
      <c r="C79" s="35"/>
      <c r="D79" s="285">
        <f>'Input data'!D45</f>
        <v>8.0562923137678624</v>
      </c>
      <c r="E79" s="285">
        <f>'Input data'!E45</f>
        <v>5.8829133991626774</v>
      </c>
      <c r="F79" s="285">
        <f>'Input data'!F45</f>
        <v>1.7503158678944781</v>
      </c>
      <c r="G79" s="49">
        <f>'Input data'!G33+G42-(G$12-F$12)/'Input data'!$C$64*100</f>
        <v>1.3374545654688181</v>
      </c>
      <c r="H79" s="49">
        <f>'Input data'!H33+H42-(H$12-G$12)/'Input data'!$C$64*100</f>
        <v>1.028672240468818</v>
      </c>
      <c r="I79" s="49">
        <f>'Input data'!I33+I42-(I$12-H$12)/'Input data'!$C$64*100</f>
        <v>0.90638941546881835</v>
      </c>
      <c r="J79" s="49">
        <f>'Input data'!J33+J42-(J$12-I$12)/'Input data'!$C$64*100</f>
        <v>0.87089409046881849</v>
      </c>
      <c r="K79" s="49">
        <f>'Input data'!K33+K42-(K$12-J$12)/'Input data'!$C$64*100</f>
        <v>2.6377622999999999</v>
      </c>
      <c r="L79" s="49">
        <f>'Input data'!L33+L42-(L$12-K$12)/'Input data'!$C$64*100</f>
        <v>2.7100068749999999</v>
      </c>
      <c r="M79" s="49">
        <f>'Input data'!M33+M42-(M$12-L$12)/'Input data'!$C$64*100</f>
        <v>2.7961662499999997</v>
      </c>
      <c r="N79" s="49">
        <f>'Input data'!N33+N42-(N$12-M$12)/'Input data'!$C$64*100</f>
        <v>2.8893203249999999</v>
      </c>
      <c r="O79" s="49">
        <f>'Input data'!O33+O42-(O$12-N$12)/'Input data'!$C$64*100</f>
        <v>2.9351049999999996</v>
      </c>
      <c r="P79" s="49">
        <f>'Input data'!P33+P42-(P$12-O$12)/'Input data'!$C$64*100</f>
        <v>3.0922101</v>
      </c>
      <c r="Q79" s="49">
        <f>'Input data'!Q33+Q42-(Q$12-P$12)/'Input data'!$C$64*100</f>
        <v>3.2493153999999995</v>
      </c>
      <c r="R79" s="49">
        <f>'Input data'!R33+R42-(R$12-Q$12)/'Input data'!$C$64*100</f>
        <v>3.4064205999999997</v>
      </c>
      <c r="S79" s="49">
        <f>'Input data'!S33+S42-(S$12-R$12)/'Input data'!$C$64*100</f>
        <v>3.48211</v>
      </c>
      <c r="T79" s="49">
        <f>'Input data'!T33+T42-(T$12-S$12)/'Input data'!$C$64*100</f>
        <v>3.5879039999999995</v>
      </c>
      <c r="U79" s="49">
        <f>'Input data'!U33+U42-(U$12-T$12)/'Input data'!$C$64*100</f>
        <v>3.7140009999999997</v>
      </c>
      <c r="V79" s="49">
        <f>'Input data'!V33+V42-(V$12-U$12)/'Input data'!$C$64*100</f>
        <v>3.8687329999999998</v>
      </c>
      <c r="W79" s="49">
        <f>'Input data'!W33+W42-(W$12-V$12)/'Input data'!$C$64*100</f>
        <v>3.8710750000000003</v>
      </c>
    </row>
    <row r="80" spans="2:23" x14ac:dyDescent="0.2">
      <c r="D80" s="34"/>
      <c r="E80" s="34"/>
      <c r="F80" s="34"/>
      <c r="G80" s="34"/>
      <c r="H80" s="34"/>
      <c r="I80" s="34"/>
      <c r="J80" s="34"/>
      <c r="K80" s="34"/>
      <c r="L80" s="34"/>
      <c r="M80" s="34"/>
      <c r="N80" s="34"/>
      <c r="O80" s="34"/>
      <c r="P80" s="34"/>
      <c r="Q80" s="34"/>
      <c r="R80" s="34"/>
      <c r="S80" s="34"/>
      <c r="T80" s="34"/>
      <c r="U80" s="34"/>
      <c r="V80" s="34"/>
      <c r="W80" s="34"/>
    </row>
    <row r="81" spans="2:23" x14ac:dyDescent="0.2">
      <c r="B81" s="113" t="s">
        <v>143</v>
      </c>
      <c r="C81" s="51"/>
      <c r="D81" s="215">
        <f ca="1">AVERAGE(OFFSET($G$79,0,0,1,'Criteria results'!F5))</f>
        <v>1.0358525779688184</v>
      </c>
      <c r="E81" s="34"/>
      <c r="F81" s="34"/>
      <c r="G81" s="34"/>
      <c r="H81" s="34"/>
      <c r="I81" s="36"/>
      <c r="J81" s="36"/>
      <c r="K81" s="36"/>
      <c r="L81" s="36"/>
      <c r="M81" s="34"/>
      <c r="N81" s="34"/>
      <c r="O81" s="34"/>
      <c r="P81" s="34"/>
      <c r="Q81" s="34"/>
      <c r="R81" s="34"/>
      <c r="S81" s="34"/>
      <c r="T81" s="34"/>
      <c r="U81" s="34"/>
      <c r="V81" s="34"/>
      <c r="W81" s="34"/>
    </row>
    <row r="82" spans="2:23" x14ac:dyDescent="0.2">
      <c r="B82" s="87"/>
      <c r="C82" s="77"/>
      <c r="D82" s="330"/>
      <c r="E82" s="34"/>
      <c r="F82" s="34"/>
      <c r="G82" s="34"/>
      <c r="H82" s="34"/>
      <c r="I82" s="36"/>
      <c r="J82" s="36"/>
      <c r="K82" s="36"/>
      <c r="L82" s="36"/>
      <c r="M82" s="34"/>
      <c r="N82" s="34"/>
      <c r="O82" s="34"/>
      <c r="P82" s="34"/>
      <c r="Q82" s="34"/>
      <c r="R82" s="34"/>
      <c r="S82" s="34"/>
      <c r="T82" s="34"/>
      <c r="U82" s="34"/>
      <c r="V82" s="34"/>
      <c r="W82" s="34"/>
    </row>
    <row r="83" spans="2:23" x14ac:dyDescent="0.2">
      <c r="B83" s="51" t="s">
        <v>218</v>
      </c>
      <c r="C83" s="51"/>
      <c r="D83" s="51"/>
      <c r="E83" s="51"/>
      <c r="F83" s="51"/>
      <c r="G83" s="258"/>
      <c r="H83" s="258"/>
      <c r="I83" s="258"/>
      <c r="J83" s="258"/>
      <c r="K83" s="258">
        <f t="shared" ref="K83:W83" si="29">IF(K57&lt;J57,0,1)</f>
        <v>0</v>
      </c>
      <c r="L83" s="258">
        <f t="shared" si="29"/>
        <v>0</v>
      </c>
      <c r="M83" s="258">
        <f t="shared" si="29"/>
        <v>0</v>
      </c>
      <c r="N83" s="258">
        <f t="shared" si="29"/>
        <v>0</v>
      </c>
      <c r="O83" s="258">
        <f t="shared" si="29"/>
        <v>0</v>
      </c>
      <c r="P83" s="258">
        <f t="shared" si="29"/>
        <v>0</v>
      </c>
      <c r="Q83" s="258">
        <f t="shared" si="29"/>
        <v>0</v>
      </c>
      <c r="R83" s="258">
        <f t="shared" si="29"/>
        <v>0</v>
      </c>
      <c r="S83" s="258">
        <f t="shared" si="29"/>
        <v>0</v>
      </c>
      <c r="T83" s="258">
        <f t="shared" si="29"/>
        <v>0</v>
      </c>
      <c r="U83" s="78">
        <f t="shared" si="29"/>
        <v>0</v>
      </c>
      <c r="V83" s="78">
        <f t="shared" si="29"/>
        <v>0</v>
      </c>
      <c r="W83" s="78">
        <f t="shared" si="29"/>
        <v>0</v>
      </c>
    </row>
    <row r="84" spans="2:23" x14ac:dyDescent="0.2">
      <c r="B84" s="77"/>
      <c r="C84" s="77"/>
      <c r="D84" s="78"/>
      <c r="E84" s="34"/>
      <c r="F84" s="34"/>
      <c r="G84" s="34"/>
      <c r="H84" s="34"/>
      <c r="I84" s="34"/>
      <c r="J84" s="34"/>
      <c r="K84" s="34"/>
      <c r="L84" s="34"/>
      <c r="M84" s="34"/>
      <c r="N84" s="34"/>
      <c r="O84" s="34"/>
      <c r="P84" s="34"/>
      <c r="Q84" s="34"/>
      <c r="R84" s="34"/>
      <c r="S84" s="34"/>
      <c r="T84" s="34"/>
      <c r="U84" s="34"/>
      <c r="V84" s="34"/>
      <c r="W84" s="34"/>
    </row>
    <row r="85" spans="2:23" s="93" customFormat="1" ht="12.75" outlineLevel="1" x14ac:dyDescent="0.2">
      <c r="B85" s="94" t="s">
        <v>124</v>
      </c>
      <c r="C85" s="95"/>
      <c r="E85" s="96"/>
      <c r="F85" s="95"/>
    </row>
    <row r="86" spans="2:23" x14ac:dyDescent="0.2">
      <c r="C86" s="34"/>
      <c r="D86" s="34"/>
      <c r="E86" s="34"/>
      <c r="F86" s="34"/>
      <c r="G86" s="34"/>
      <c r="H86" s="34"/>
      <c r="I86" s="34"/>
      <c r="J86" s="34"/>
      <c r="K86" s="34"/>
      <c r="L86" s="34"/>
      <c r="M86" s="34"/>
      <c r="N86" s="34"/>
      <c r="O86" s="34"/>
      <c r="P86" s="34"/>
      <c r="Q86" s="34"/>
      <c r="R86" s="34"/>
      <c r="S86" s="34"/>
      <c r="T86" s="34"/>
      <c r="U86" s="34"/>
      <c r="V86" s="34"/>
      <c r="W86" s="34"/>
    </row>
    <row r="87" spans="2:23" x14ac:dyDescent="0.2">
      <c r="B87" s="26" t="s">
        <v>125</v>
      </c>
      <c r="D87" s="29">
        <f t="shared" ref="D87:W87" si="30">IF((D92-C92*D43/((1+D24/100)*(1+D42/100)))&gt;0,1,0)</f>
        <v>1</v>
      </c>
      <c r="E87" s="29">
        <f t="shared" si="30"/>
        <v>1</v>
      </c>
      <c r="F87" s="29">
        <f t="shared" si="30"/>
        <v>1</v>
      </c>
      <c r="G87" s="29">
        <f t="shared" si="30"/>
        <v>1</v>
      </c>
      <c r="H87" s="29">
        <f t="shared" si="30"/>
        <v>1</v>
      </c>
      <c r="I87" s="29">
        <f t="shared" si="30"/>
        <v>1</v>
      </c>
      <c r="J87" s="29">
        <f t="shared" si="30"/>
        <v>1</v>
      </c>
      <c r="K87" s="29">
        <f t="shared" si="30"/>
        <v>1</v>
      </c>
      <c r="L87" s="29">
        <f t="shared" si="30"/>
        <v>1</v>
      </c>
      <c r="M87" s="29">
        <f t="shared" si="30"/>
        <v>1</v>
      </c>
      <c r="N87" s="29">
        <f t="shared" si="30"/>
        <v>1</v>
      </c>
      <c r="O87" s="29">
        <f t="shared" si="30"/>
        <v>1</v>
      </c>
      <c r="P87" s="29">
        <f t="shared" si="30"/>
        <v>1</v>
      </c>
      <c r="Q87" s="29">
        <f t="shared" si="30"/>
        <v>1</v>
      </c>
      <c r="R87" s="29">
        <f t="shared" si="30"/>
        <v>1</v>
      </c>
      <c r="S87" s="29">
        <f t="shared" si="30"/>
        <v>1</v>
      </c>
      <c r="T87" s="29">
        <f t="shared" si="30"/>
        <v>1</v>
      </c>
      <c r="U87" s="29">
        <f t="shared" si="30"/>
        <v>1</v>
      </c>
      <c r="V87" s="29">
        <f t="shared" si="30"/>
        <v>1</v>
      </c>
      <c r="W87" s="29">
        <f t="shared" si="30"/>
        <v>1</v>
      </c>
    </row>
    <row r="88" spans="2:23" x14ac:dyDescent="0.2">
      <c r="B88" s="26" t="s">
        <v>126</v>
      </c>
      <c r="D88" s="29">
        <f t="shared" ref="D88:W88" si="31">IF(AND(D87=0,ABS(D92-C92*D43/((1+D24/100)*(1+D42/100)))&lt;((C98*C92*D43/((1+D24/100)*(1+D42/100))+(D39*C92*C99*D43/((1+D24/100)*(1+D42/100)))))),1,0)</f>
        <v>0</v>
      </c>
      <c r="E88" s="29">
        <f t="shared" si="31"/>
        <v>0</v>
      </c>
      <c r="F88" s="29">
        <f t="shared" si="31"/>
        <v>0</v>
      </c>
      <c r="G88" s="29">
        <f t="shared" si="31"/>
        <v>0</v>
      </c>
      <c r="H88" s="29">
        <f t="shared" si="31"/>
        <v>0</v>
      </c>
      <c r="I88" s="29">
        <f t="shared" si="31"/>
        <v>0</v>
      </c>
      <c r="J88" s="29">
        <f t="shared" si="31"/>
        <v>0</v>
      </c>
      <c r="K88" s="29">
        <f t="shared" si="31"/>
        <v>0</v>
      </c>
      <c r="L88" s="29">
        <f t="shared" si="31"/>
        <v>0</v>
      </c>
      <c r="M88" s="29">
        <f t="shared" si="31"/>
        <v>0</v>
      </c>
      <c r="N88" s="29">
        <f t="shared" si="31"/>
        <v>0</v>
      </c>
      <c r="O88" s="29">
        <f t="shared" si="31"/>
        <v>0</v>
      </c>
      <c r="P88" s="29">
        <f t="shared" si="31"/>
        <v>0</v>
      </c>
      <c r="Q88" s="29">
        <f t="shared" si="31"/>
        <v>0</v>
      </c>
      <c r="R88" s="29">
        <f t="shared" si="31"/>
        <v>0</v>
      </c>
      <c r="S88" s="29">
        <f t="shared" si="31"/>
        <v>0</v>
      </c>
      <c r="T88" s="29">
        <f t="shared" si="31"/>
        <v>0</v>
      </c>
      <c r="U88" s="29">
        <f t="shared" si="31"/>
        <v>0</v>
      </c>
      <c r="V88" s="29">
        <f t="shared" si="31"/>
        <v>0</v>
      </c>
      <c r="W88" s="29">
        <f t="shared" si="31"/>
        <v>0</v>
      </c>
    </row>
    <row r="90" spans="2:23" x14ac:dyDescent="0.2">
      <c r="H90" s="38"/>
      <c r="I90" s="38"/>
      <c r="J90" s="38"/>
      <c r="K90" s="38"/>
      <c r="L90" s="38"/>
      <c r="M90" s="38"/>
      <c r="N90" s="38"/>
      <c r="O90" s="38"/>
      <c r="P90" s="38"/>
      <c r="Q90" s="38"/>
      <c r="R90" s="38"/>
      <c r="S90" s="38"/>
      <c r="T90" s="38"/>
    </row>
    <row r="91" spans="2:23" x14ac:dyDescent="0.2">
      <c r="B91" s="51"/>
      <c r="C91" s="86">
        <v>2021</v>
      </c>
      <c r="D91" s="86">
        <v>2022</v>
      </c>
      <c r="E91" s="86">
        <v>2023</v>
      </c>
      <c r="F91" s="86">
        <v>2024</v>
      </c>
      <c r="G91" s="86">
        <v>2025</v>
      </c>
      <c r="H91" s="86">
        <v>2026</v>
      </c>
      <c r="I91" s="86">
        <v>2027</v>
      </c>
      <c r="J91" s="86">
        <v>2028</v>
      </c>
      <c r="K91" s="86">
        <v>2029</v>
      </c>
      <c r="L91" s="86">
        <v>2030</v>
      </c>
      <c r="M91" s="86">
        <v>2031</v>
      </c>
      <c r="N91" s="86">
        <v>2032</v>
      </c>
      <c r="O91" s="86">
        <v>2033</v>
      </c>
      <c r="P91" s="86">
        <v>2034</v>
      </c>
      <c r="Q91" s="86">
        <v>2035</v>
      </c>
      <c r="R91" s="86">
        <v>2036</v>
      </c>
      <c r="S91" s="86">
        <v>2037</v>
      </c>
      <c r="T91" s="86">
        <v>2038</v>
      </c>
      <c r="U91" s="86">
        <v>2039</v>
      </c>
      <c r="V91" s="86">
        <v>2040</v>
      </c>
      <c r="W91" s="86">
        <v>2041</v>
      </c>
    </row>
    <row r="92" spans="2:23" x14ac:dyDescent="0.2">
      <c r="B92" s="106" t="s">
        <v>104</v>
      </c>
      <c r="C92" s="110">
        <f>C57</f>
        <v>112.97329999999999</v>
      </c>
      <c r="D92" s="110">
        <f>D57</f>
        <v>111.9181670256222</v>
      </c>
      <c r="E92" s="110">
        <f>E57</f>
        <v>110.64326790048331</v>
      </c>
      <c r="F92" s="110">
        <f>F57</f>
        <v>112.40882173205914</v>
      </c>
      <c r="G92" s="110">
        <f>G57</f>
        <v>113.96873574495558</v>
      </c>
      <c r="H92" s="110">
        <f t="shared" ref="H92:W92" si="32">G92*(1+H106/100)*H43-H60-H61+H62+H63+H64+H65+H66+H72</f>
        <v>115.77838065922458</v>
      </c>
      <c r="I92" s="110">
        <f t="shared" si="32"/>
        <v>116.92117165766111</v>
      </c>
      <c r="J92" s="110">
        <f t="shared" si="32"/>
        <v>117.28270034717912</v>
      </c>
      <c r="K92" s="110">
        <f t="shared" si="32"/>
        <v>116.39404209202075</v>
      </c>
      <c r="L92" s="110">
        <f t="shared" si="32"/>
        <v>115.17150448362038</v>
      </c>
      <c r="M92" s="110">
        <f t="shared" si="32"/>
        <v>113.59794901750459</v>
      </c>
      <c r="N92" s="110">
        <f t="shared" si="32"/>
        <v>112.63450426242888</v>
      </c>
      <c r="O92" s="110">
        <f t="shared" si="32"/>
        <v>111.74350990068778</v>
      </c>
      <c r="P92" s="110">
        <f t="shared" si="32"/>
        <v>110.80056765042956</v>
      </c>
      <c r="Q92" s="110">
        <f t="shared" si="32"/>
        <v>109.75097572995551</v>
      </c>
      <c r="R92" s="110">
        <f t="shared" si="32"/>
        <v>108.5958000998275</v>
      </c>
      <c r="S92" s="110">
        <f t="shared" si="32"/>
        <v>107.42353691390113</v>
      </c>
      <c r="T92" s="110">
        <f t="shared" si="32"/>
        <v>106.19793615773037</v>
      </c>
      <c r="U92" s="110">
        <f t="shared" si="32"/>
        <v>104.89116193207225</v>
      </c>
      <c r="V92" s="110">
        <f t="shared" si="32"/>
        <v>103.46077033792369</v>
      </c>
      <c r="W92" s="110">
        <f t="shared" si="32"/>
        <v>102.11438203227311</v>
      </c>
    </row>
    <row r="93" spans="2:23" x14ac:dyDescent="0.2">
      <c r="B93" s="26" t="s">
        <v>127</v>
      </c>
      <c r="C93" s="34"/>
      <c r="D93" s="254">
        <f>'Input data'!C66*$D$92</f>
        <v>88.101484042716237</v>
      </c>
      <c r="E93" s="34">
        <f t="shared" ref="E93:W93" si="33">IF(E92=0,0,IF(E87=1,D92*E43/((1+E24/100)*(1+E42/100))-E94-E95,IF(AND(E87=0,E88=1),(1-D98-E39*D99)*D92*E43/((1+E24/100)*(1+E42/100)),E92)))</f>
        <v>86.822089359001311</v>
      </c>
      <c r="F93" s="34">
        <f t="shared" si="33"/>
        <v>88.105043933307712</v>
      </c>
      <c r="G93" s="34">
        <f t="shared" si="33"/>
        <v>89.990881634573597</v>
      </c>
      <c r="H93" s="34">
        <f t="shared" si="33"/>
        <v>91.876700047388979</v>
      </c>
      <c r="I93" s="34">
        <f t="shared" si="33"/>
        <v>93.264193434217304</v>
      </c>
      <c r="J93" s="34">
        <f t="shared" si="33"/>
        <v>94.08220278214425</v>
      </c>
      <c r="K93" s="34">
        <f t="shared" si="33"/>
        <v>93.553014237708155</v>
      </c>
      <c r="L93" s="34">
        <f t="shared" si="33"/>
        <v>92.748807858269885</v>
      </c>
      <c r="M93" s="34">
        <f t="shared" si="33"/>
        <v>91.666217106538468</v>
      </c>
      <c r="N93" s="34">
        <f t="shared" si="33"/>
        <v>90.789035858176319</v>
      </c>
      <c r="O93" s="34">
        <f t="shared" si="33"/>
        <v>89.945008395912538</v>
      </c>
      <c r="P93" s="34">
        <f t="shared" si="33"/>
        <v>89.103340976831205</v>
      </c>
      <c r="Q93" s="34">
        <f t="shared" si="33"/>
        <v>88.223136132673872</v>
      </c>
      <c r="R93" s="34">
        <f t="shared" si="33"/>
        <v>87.260816421305407</v>
      </c>
      <c r="S93" s="34">
        <f t="shared" si="33"/>
        <v>86.287023564621208</v>
      </c>
      <c r="T93" s="34">
        <f t="shared" si="33"/>
        <v>85.275566564699616</v>
      </c>
      <c r="U93" s="34">
        <f t="shared" si="33"/>
        <v>84.206842807567099</v>
      </c>
      <c r="V93" s="34">
        <f t="shared" si="33"/>
        <v>83.052818307016253</v>
      </c>
      <c r="W93" s="34">
        <f t="shared" si="33"/>
        <v>81.927030301685591</v>
      </c>
    </row>
    <row r="94" spans="2:23" x14ac:dyDescent="0.2">
      <c r="B94" s="105" t="s">
        <v>128</v>
      </c>
      <c r="C94" s="34"/>
      <c r="D94" s="254">
        <f>'Input data'!C67*$D$92</f>
        <v>7.8233646950070748</v>
      </c>
      <c r="E94" s="34">
        <f t="shared" ref="E94:W94" si="34">IF(E92=0,0,IF(E87=1,E39*D92*D99*E43/((1+E24/100)*(1+E42/100)),IF(AND(E87=0,E88=1),(E39*D92*D99*E43/((1+E24/100)*(1+E42/100)))*(1-ABS(E92-D92*E43/((1+E24/100)*(1+E42/100)))/((E39*D92*D99*E43/((1+E24/100)*(1+E42/100)))+(D98*D92*E43/((1+E24/100)*(1+E42/100))))),0)))</f>
        <v>7.5445628892559551</v>
      </c>
      <c r="F94" s="34">
        <f t="shared" si="34"/>
        <v>7.6510882826547091</v>
      </c>
      <c r="G94" s="34">
        <f t="shared" si="34"/>
        <v>7.8622250940045477</v>
      </c>
      <c r="H94" s="34">
        <f t="shared" si="34"/>
        <v>8.0753924248341047</v>
      </c>
      <c r="I94" s="34">
        <f t="shared" si="34"/>
        <v>8.2465324062575291</v>
      </c>
      <c r="J94" s="34">
        <f t="shared" si="34"/>
        <v>8.3685292471807706</v>
      </c>
      <c r="K94" s="34">
        <f t="shared" si="34"/>
        <v>8.3708944252313433</v>
      </c>
      <c r="L94" s="34">
        <f t="shared" si="34"/>
        <v>8.3479946679355717</v>
      </c>
      <c r="M94" s="34">
        <f t="shared" si="34"/>
        <v>8.2990876085490566</v>
      </c>
      <c r="N94" s="34">
        <f t="shared" si="34"/>
        <v>8.2677866017301138</v>
      </c>
      <c r="O94" s="34">
        <f t="shared" si="34"/>
        <v>8.2386389397599444</v>
      </c>
      <c r="P94" s="34">
        <f t="shared" si="34"/>
        <v>8.1615452344300365</v>
      </c>
      <c r="Q94" s="34">
        <f t="shared" si="34"/>
        <v>8.0809216397095796</v>
      </c>
      <c r="R94" s="34">
        <f t="shared" si="34"/>
        <v>7.9927766187910123</v>
      </c>
      <c r="S94" s="34">
        <f t="shared" si="34"/>
        <v>7.9035806990683204</v>
      </c>
      <c r="T94" s="34">
        <f t="shared" si="34"/>
        <v>7.8109348794274212</v>
      </c>
      <c r="U94" s="34">
        <f t="shared" si="34"/>
        <v>7.7130436310036954</v>
      </c>
      <c r="V94" s="34">
        <f t="shared" si="34"/>
        <v>7.6073391415913916</v>
      </c>
      <c r="W94" s="34">
        <f t="shared" si="34"/>
        <v>7.5042210134813123</v>
      </c>
    </row>
    <row r="95" spans="2:23" x14ac:dyDescent="0.2">
      <c r="B95" s="105" t="s">
        <v>129</v>
      </c>
      <c r="C95" s="34"/>
      <c r="D95" s="254">
        <f>'Input data'!C68*$D$92</f>
        <v>11.184916704595162</v>
      </c>
      <c r="E95" s="34">
        <f t="shared" ref="E95:W95" si="35">IF(E92=0,0,IF(E87=1,(1-D99)*D92*E43/((1+E24/100)*(1+E42/100)),IF(AND(E87=0,E88=1),(D98*D92*E43/((1+E24/100)*(1+E42/100)))*(1-ABS(E92-D92*E43/((1+E24/100)*(1+E42/100)))/((E39*D92*D99*E43/((1+E24/100)*(1+E42/100)))+(D98*D92*E43/((1+E24/100)*(1+E42/100))))),0)))</f>
        <v>11.003235423307965</v>
      </c>
      <c r="F95" s="34">
        <f t="shared" si="35"/>
        <v>11.128256363555845</v>
      </c>
      <c r="G95" s="34">
        <f t="shared" si="35"/>
        <v>11.334857176724176</v>
      </c>
      <c r="H95" s="34">
        <f t="shared" si="35"/>
        <v>11.547258544505024</v>
      </c>
      <c r="I95" s="34">
        <f t="shared" si="35"/>
        <v>11.700989131617387</v>
      </c>
      <c r="J95" s="34">
        <f t="shared" si="35"/>
        <v>11.787378922966562</v>
      </c>
      <c r="K95" s="34">
        <f t="shared" si="35"/>
        <v>11.709460187575596</v>
      </c>
      <c r="L95" s="34">
        <f t="shared" si="35"/>
        <v>11.599166931078289</v>
      </c>
      <c r="M95" s="34">
        <f t="shared" si="35"/>
        <v>11.455989641509074</v>
      </c>
      <c r="N95" s="34">
        <f t="shared" si="35"/>
        <v>11.340335388179676</v>
      </c>
      <c r="O95" s="34">
        <f t="shared" si="35"/>
        <v>11.228740928010247</v>
      </c>
      <c r="P95" s="34">
        <f t="shared" si="35"/>
        <v>11.111809586744286</v>
      </c>
      <c r="Q95" s="34">
        <f t="shared" si="35"/>
        <v>10.98998999073642</v>
      </c>
      <c r="R95" s="34">
        <f t="shared" si="35"/>
        <v>10.858184430302842</v>
      </c>
      <c r="S95" s="34">
        <f t="shared" si="35"/>
        <v>10.725231423251055</v>
      </c>
      <c r="T95" s="34">
        <f t="shared" si="35"/>
        <v>10.58790305241307</v>
      </c>
      <c r="U95" s="34">
        <f t="shared" si="35"/>
        <v>10.443816958259346</v>
      </c>
      <c r="V95" s="34">
        <f t="shared" si="35"/>
        <v>10.289567610342679</v>
      </c>
      <c r="W95" s="34">
        <f t="shared" si="35"/>
        <v>10.139310954657654</v>
      </c>
    </row>
    <row r="96" spans="2:23" x14ac:dyDescent="0.2">
      <c r="B96" s="105" t="s">
        <v>130</v>
      </c>
      <c r="C96" s="34"/>
      <c r="D96" s="254">
        <f>'Input data'!C69*$D$92</f>
        <v>4.3062797312435643</v>
      </c>
      <c r="E96" s="34">
        <f>IF(E92=0,0,IF(E87=1,'Input data'!$C$58*(E92-D92*E43/((1+E24/100)*(1+E42/100))),0))</f>
        <v>4.7570039815081167</v>
      </c>
      <c r="F96" s="34">
        <f>IF(F92=0,0,IF(F87=1,'Input data'!$C$58*(F92-E92*F43/((1+F24/100)*(1+F42/100))),0))</f>
        <v>4.9834734764809658</v>
      </c>
      <c r="G96" s="34">
        <f>IF(G92=0,0,IF(G87=1,'Input data'!$C$58*(G92-F92*G43/((1+G24/100)*(1+G42/100))),0))</f>
        <v>4.3126324461110297</v>
      </c>
      <c r="H96" s="34">
        <f>IF(H92=0,0,IF(H87=1,'Input data'!$C$58*(H92-G92*H43/((1+H24/100)*(1+H42/100))),0))</f>
        <v>3.8600214971646785</v>
      </c>
      <c r="I96" s="34">
        <f>IF(I92=0,0,IF(I87=1,'Input data'!$C$58*(I92-H92*I43/((1+I24/100)*(1+I42/100))),0))</f>
        <v>3.3462218646242849</v>
      </c>
      <c r="J96" s="34">
        <f>IF(J92=0,0,IF(J87=1,'Input data'!$C$58*(J92-I92*J43/((1+J24/100)*(1+J42/100))),0))</f>
        <v>2.7464592433739243</v>
      </c>
      <c r="K96" s="34">
        <f>IF(K92=0,0,IF(K87=1,'Input data'!$C$58*(K92-J92*K43/((1+K24/100)*(1+K42/100))),0))</f>
        <v>2.490344528822209</v>
      </c>
      <c r="L96" s="34">
        <f>IF(L92=0,0,IF(L87=1,'Input data'!$C$58*(L92-K92*L43/((1+L24/100)*(1+L42/100))),0))</f>
        <v>2.2331274183622254</v>
      </c>
      <c r="M96" s="34">
        <f>IF(M92=0,0,IF(M87=1,'Input data'!$C$58*(M92-L92*M43/((1+M24/100)*(1+M42/100))),0))</f>
        <v>1.9635138068608162</v>
      </c>
      <c r="N96" s="34">
        <f>IF(N92=0,0,IF(N87=1,'Input data'!$C$58*(N92-M92*N43/((1+N24/100)*(1+N42/100))),0))</f>
        <v>2.0182625448999847</v>
      </c>
      <c r="O96" s="34">
        <f>IF(O92=0,0,IF(O87=1,'Input data'!$C$58*(O92-N92*O43/((1+O24/100)*(1+O42/100))),0))</f>
        <v>2.1028551758514045</v>
      </c>
      <c r="P96" s="34">
        <f>IF(P92=0,0,IF(P87=1,'Input data'!$C$58*(P92-O92*P43/((1+P24/100)*(1+P42/100))),0))</f>
        <v>2.1865231696012595</v>
      </c>
      <c r="Q96" s="34">
        <f>IF(Q92=0,0,IF(Q87=1,'Input data'!$C$58*(Q92-P92*Q43/((1+Q24/100)*(1+Q42/100))),0))</f>
        <v>2.2163423863167462</v>
      </c>
      <c r="R96" s="34">
        <f>IF(R92=0,0,IF(R87=1,'Input data'!$C$58*(R92-Q92*R43/((1+R24/100)*(1+R42/100))),0))</f>
        <v>2.2407839043252076</v>
      </c>
      <c r="S96" s="34">
        <f>IF(S92=0,0,IF(S87=1,'Input data'!$C$58*(S92-R92*S43/((1+S24/100)*(1+S42/100))),0))</f>
        <v>2.2621438628049768</v>
      </c>
      <c r="T96" s="34">
        <f>IF(T92=0,0,IF(T87=1,'Input data'!$C$58*(T92-S92*T43/((1+T24/100)*(1+T42/100))),0))</f>
        <v>2.2764241603353517</v>
      </c>
      <c r="U96" s="34">
        <f>IF(U92=0,0,IF(U87=1,'Input data'!$C$58*(U92-T92*U43/((1+U24/100)*(1+U42/100))),0))</f>
        <v>2.2799665097751016</v>
      </c>
      <c r="V96" s="34">
        <f>IF(V92=0,0,IF(V87=1,'Input data'!$C$58*(V92-U92*V43/((1+V24/100)*(1+V42/100))),0))</f>
        <v>2.2651604608974347</v>
      </c>
      <c r="W96" s="34">
        <f>IF(W92=0,0,IF(W87=1,'Input data'!$C$58*(W92-V92*W43/((1+W24/100)*(1+W42/100))),0))</f>
        <v>2.2947256243438967</v>
      </c>
    </row>
    <row r="97" spans="2:25" x14ac:dyDescent="0.2">
      <c r="B97" s="107" t="s">
        <v>131</v>
      </c>
      <c r="C97" s="49"/>
      <c r="D97" s="255">
        <f>'Input data'!C70*$D$92</f>
        <v>0.50211565206198738</v>
      </c>
      <c r="E97" s="49">
        <f>IF(E92=0,0,IF(E87=1,'Input data'!$C$57*(E92-D92*E43/((1+E24/100)*(1+E42/100))),0))</f>
        <v>0.51637624740995514</v>
      </c>
      <c r="F97" s="49">
        <f>IF(F92=0,0,IF(F87=1,'Input data'!$C$57*(F92-E92*F43/((1+F24/100)*(1+F42/100))),0))</f>
        <v>0.54095967605989981</v>
      </c>
      <c r="G97" s="49">
        <f>IF(G92=0,0,IF(G87=1,'Input data'!$C$57*(G92-F92*G43/((1+G24/100)*(1+G42/100))),0))</f>
        <v>0.46813939354223971</v>
      </c>
      <c r="H97" s="49">
        <f>IF(H92=0,0,IF(H87=1,'Input data'!$C$57*(H92-G92*H43/((1+H24/100)*(1+H42/100))),0))</f>
        <v>0.41900814533178943</v>
      </c>
      <c r="I97" s="49">
        <f>IF(I92=0,0,IF(I87=1,'Input data'!$C$57*(I92-H92*I43/((1+I24/100)*(1+I42/100))),0))</f>
        <v>0.36323482094459608</v>
      </c>
      <c r="J97" s="49">
        <f>IF(J92=0,0,IF(J87=1,'Input data'!$C$57*(J92-I92*J43/((1+J24/100)*(1+J42/100))),0))</f>
        <v>0.29813015151359967</v>
      </c>
      <c r="K97" s="49">
        <f>IF(K92=0,0,IF(K87=1,'Input data'!$C$57*(K92-J92*K43/((1+K24/100)*(1+K42/100))),0))</f>
        <v>0.27032871268344788</v>
      </c>
      <c r="L97" s="49">
        <f>IF(L92=0,0,IF(L87=1,'Input data'!$C$57*(L92-K92*L43/((1+L24/100)*(1+L42/100))),0))</f>
        <v>0.2424076079744184</v>
      </c>
      <c r="M97" s="49">
        <f>IF(M92=0,0,IF(M87=1,'Input data'!$C$57*(M92-L92*M43/((1+M24/100)*(1+M42/100))),0))</f>
        <v>0.21314085404716912</v>
      </c>
      <c r="N97" s="49">
        <f>IF(N92=0,0,IF(N87=1,'Input data'!$C$57*(N92-M92*N43/((1+N24/100)*(1+N42/100))),0))</f>
        <v>0.21908386944278238</v>
      </c>
      <c r="O97" s="49">
        <f>IF(O92=0,0,IF(O87=1,'Input data'!$C$57*(O92-N92*O43/((1+O24/100)*(1+O42/100))),0))</f>
        <v>0.22826646115366445</v>
      </c>
      <c r="P97" s="49">
        <f>IF(P92=0,0,IF(P87=1,'Input data'!$C$57*(P92-O92*P43/((1+P24/100)*(1+P42/100))),0))</f>
        <v>0.23734868282276902</v>
      </c>
      <c r="Q97" s="49">
        <f>IF(Q92=0,0,IF(Q87=1,'Input data'!$C$57*(Q92-P92*Q43/((1+Q24/100)*(1+Q42/100))),0))</f>
        <v>0.24058558051890375</v>
      </c>
      <c r="R97" s="49">
        <f>IF(R92=0,0,IF(R87=1,'Input data'!$C$57*(R92-Q92*R43/((1+R24/100)*(1+R42/100))),0))</f>
        <v>0.24323872510303141</v>
      </c>
      <c r="S97" s="49">
        <f>IF(S92=0,0,IF(S87=1,'Input data'!$C$57*(S92-R92*S43/((1+S24/100)*(1+S42/100))),0))</f>
        <v>0.245557364155572</v>
      </c>
      <c r="T97" s="49">
        <f>IF(T92=0,0,IF(T87=1,'Input data'!$C$57*(T92-S92*T43/((1+T24/100)*(1+T42/100))),0))</f>
        <v>0.24710750085490998</v>
      </c>
      <c r="U97" s="49">
        <f>IF(U92=0,0,IF(U87=1,'Input data'!$C$57*(U92-T92*U43/((1+U24/100)*(1+U42/100))),0))</f>
        <v>0.24749202546700266</v>
      </c>
      <c r="V97" s="49">
        <f>IF(V92=0,0,IF(V87=1,'Input data'!$C$57*(V92-U92*V43/((1+V24/100)*(1+V42/100))),0))</f>
        <v>0.24588481807593507</v>
      </c>
      <c r="W97" s="49">
        <f>IF(W92=0,0,IF(W87=1,'Input data'!$C$57*(W92-V92*W43/((1+W24/100)*(1+W42/100))),0))</f>
        <v>0.24909413810465317</v>
      </c>
    </row>
    <row r="98" spans="2:25" x14ac:dyDescent="0.2">
      <c r="B98" s="26" t="s">
        <v>73</v>
      </c>
      <c r="C98" s="36"/>
      <c r="D98" s="260">
        <f>'Baseline NFPC'!$D$93</f>
        <v>0.10442485672571578</v>
      </c>
      <c r="E98" s="36">
        <f t="shared" ref="E98:W98" si="36">IF(E92&lt;&gt;0,(E95+E97)/(E93+E94+E95+E96+E97),0)</f>
        <v>0.10411489003632005</v>
      </c>
      <c r="F98" s="36">
        <f t="shared" si="36"/>
        <v>0.10381050045547867</v>
      </c>
      <c r="G98" s="36">
        <f t="shared" si="36"/>
        <v>0.10356345969020572</v>
      </c>
      <c r="H98" s="36">
        <f t="shared" si="36"/>
        <v>0.10335493225680564</v>
      </c>
      <c r="I98" s="36">
        <f t="shared" si="36"/>
        <v>0.10318254411515292</v>
      </c>
      <c r="J98" s="36">
        <f t="shared" si="36"/>
        <v>0.10304596533593408</v>
      </c>
      <c r="K98" s="36">
        <f t="shared" si="36"/>
        <v>0.10292441679092011</v>
      </c>
      <c r="L98" s="36">
        <f t="shared" si="36"/>
        <v>0.10281687811707634</v>
      </c>
      <c r="M98" s="36">
        <f t="shared" si="36"/>
        <v>0.10272307375688727</v>
      </c>
      <c r="N98" s="36">
        <f t="shared" si="36"/>
        <v>0.10262769240489565</v>
      </c>
      <c r="O98" s="36">
        <f t="shared" si="36"/>
        <v>0.10252951065655933</v>
      </c>
      <c r="P98" s="36">
        <f t="shared" si="36"/>
        <v>0.10242870149702754</v>
      </c>
      <c r="Q98" s="36">
        <f t="shared" si="36"/>
        <v>0.10232779705656904</v>
      </c>
      <c r="R98" s="36">
        <f t="shared" si="36"/>
        <v>0.10222700274965336</v>
      </c>
      <c r="S98" s="36">
        <f t="shared" si="36"/>
        <v>0.10212649017691161</v>
      </c>
      <c r="T98" s="36">
        <f t="shared" si="36"/>
        <v>0.10202656421849189</v>
      </c>
      <c r="U98" s="36">
        <f>IF(U92&lt;&gt;0,(U95+U97)/(U93+U94+U95+U96+U97),0)</f>
        <v>0.10192764372893555</v>
      </c>
      <c r="V98" s="36">
        <f t="shared" si="36"/>
        <v>0.1018304077381959</v>
      </c>
      <c r="W98" s="34">
        <f t="shared" si="36"/>
        <v>0.10173302610281738</v>
      </c>
    </row>
    <row r="99" spans="2:25" x14ac:dyDescent="0.2">
      <c r="B99" s="35" t="s">
        <v>74</v>
      </c>
      <c r="C99" s="108"/>
      <c r="D99" s="261">
        <f>'Baseline NFPC'!$D$94</f>
        <v>0.89557514327428422</v>
      </c>
      <c r="E99" s="108">
        <f t="shared" ref="E99:W99" si="37">IF(E92&lt;&gt;0,(E93+E94+E96)/(E93+E94+E95+E96+E97),1)</f>
        <v>0.89588510996367998</v>
      </c>
      <c r="F99" s="108">
        <f t="shared" si="37"/>
        <v>0.89618949954452132</v>
      </c>
      <c r="G99" s="108">
        <f t="shared" si="37"/>
        <v>0.89643654030979425</v>
      </c>
      <c r="H99" s="108">
        <f t="shared" si="37"/>
        <v>0.8966450677431943</v>
      </c>
      <c r="I99" s="108">
        <f t="shared" si="37"/>
        <v>0.89681745588484707</v>
      </c>
      <c r="J99" s="108">
        <f t="shared" si="37"/>
        <v>0.89695403466406587</v>
      </c>
      <c r="K99" s="108">
        <f t="shared" si="37"/>
        <v>0.89707558320907976</v>
      </c>
      <c r="L99" s="108">
        <f t="shared" si="37"/>
        <v>0.89718312188292371</v>
      </c>
      <c r="M99" s="108">
        <f t="shared" si="37"/>
        <v>0.89727692624311273</v>
      </c>
      <c r="N99" s="108">
        <f t="shared" si="37"/>
        <v>0.89737230759510433</v>
      </c>
      <c r="O99" s="108">
        <f t="shared" si="37"/>
        <v>0.89747048934344076</v>
      </c>
      <c r="P99" s="108">
        <f t="shared" si="37"/>
        <v>0.89757129850297246</v>
      </c>
      <c r="Q99" s="108">
        <f t="shared" si="37"/>
        <v>0.89767220294343086</v>
      </c>
      <c r="R99" s="108">
        <f t="shared" si="37"/>
        <v>0.89777299725034665</v>
      </c>
      <c r="S99" s="108">
        <f t="shared" si="37"/>
        <v>0.89787350982308833</v>
      </c>
      <c r="T99" s="108">
        <f t="shared" si="37"/>
        <v>0.89797343578150812</v>
      </c>
      <c r="U99" s="108">
        <f t="shared" si="37"/>
        <v>0.89807235627106452</v>
      </c>
      <c r="V99" s="108">
        <f t="shared" si="37"/>
        <v>0.89816959226180415</v>
      </c>
      <c r="W99" s="49">
        <f t="shared" si="37"/>
        <v>0.89826697389718257</v>
      </c>
    </row>
    <row r="100" spans="2:25" x14ac:dyDescent="0.2">
      <c r="C100" s="38"/>
      <c r="D100" s="38"/>
      <c r="E100" s="38"/>
      <c r="F100" s="38"/>
      <c r="G100" s="38"/>
      <c r="H100" s="38"/>
      <c r="I100" s="38"/>
      <c r="J100" s="38"/>
      <c r="K100" s="38"/>
      <c r="L100" s="38"/>
      <c r="M100" s="38"/>
      <c r="N100" s="38"/>
      <c r="O100" s="38"/>
      <c r="P100" s="38"/>
      <c r="Q100" s="38"/>
      <c r="R100" s="38"/>
      <c r="S100" s="38"/>
      <c r="T100" s="38"/>
      <c r="U100" s="38"/>
      <c r="V100" s="38"/>
      <c r="W100" s="38"/>
    </row>
    <row r="101" spans="2:25" x14ac:dyDescent="0.2">
      <c r="B101" s="113" t="s">
        <v>132</v>
      </c>
      <c r="C101" s="115">
        <f>'Baseline NFPC'!C96</f>
        <v>1.3072319999999999</v>
      </c>
      <c r="D101" s="115">
        <f>'Baseline NFPC'!D96</f>
        <v>1.8011330000000001</v>
      </c>
      <c r="E101" s="115">
        <f>'Baseline NFPC'!E96</f>
        <v>1.6360269999999999</v>
      </c>
      <c r="F101" s="115">
        <f>'Baseline NFPC'!F96</f>
        <v>1.90473</v>
      </c>
      <c r="G101" s="115">
        <f>'Baseline NFPC'!G96</f>
        <v>2.1499329999999999</v>
      </c>
      <c r="H101" s="115">
        <f t="shared" ref="H101:W101" si="38">H103+H104</f>
        <v>2.2624335955804127</v>
      </c>
      <c r="I101" s="115">
        <f t="shared" si="38"/>
        <v>2.3656571190916935</v>
      </c>
      <c r="J101" s="115">
        <f>J103+J104</f>
        <v>2.4608203898214027</v>
      </c>
      <c r="K101" s="115">
        <f t="shared" si="38"/>
        <v>2.5486874079195405</v>
      </c>
      <c r="L101" s="115">
        <f t="shared" si="38"/>
        <v>2.6329441517892573</v>
      </c>
      <c r="M101" s="115">
        <f t="shared" si="38"/>
        <v>2.7140434675168965</v>
      </c>
      <c r="N101" s="115">
        <f t="shared" si="38"/>
        <v>2.7922821441212311</v>
      </c>
      <c r="O101" s="115">
        <f t="shared" si="38"/>
        <v>2.8701685368371517</v>
      </c>
      <c r="P101" s="115">
        <f t="shared" si="38"/>
        <v>2.9399636293972873</v>
      </c>
      <c r="Q101" s="115">
        <f t="shared" si="38"/>
        <v>3.0043672828038184</v>
      </c>
      <c r="R101" s="115">
        <f t="shared" si="38"/>
        <v>3.0635576645735116</v>
      </c>
      <c r="S101" s="115">
        <f t="shared" si="38"/>
        <v>3.1180214262489456</v>
      </c>
      <c r="T101" s="115">
        <f t="shared" si="38"/>
        <v>3.168206362701508</v>
      </c>
      <c r="U101" s="115">
        <f t="shared" si="38"/>
        <v>3.2145062176713166</v>
      </c>
      <c r="V101" s="115">
        <f t="shared" si="38"/>
        <v>3.2572697643868134</v>
      </c>
      <c r="W101" s="115">
        <f t="shared" si="38"/>
        <v>3.2967924072889536</v>
      </c>
    </row>
    <row r="102" spans="2:25" x14ac:dyDescent="0.2">
      <c r="B102" s="33" t="s">
        <v>133</v>
      </c>
      <c r="C102" s="34"/>
      <c r="D102" s="34"/>
      <c r="E102" s="266">
        <f>((E36*D92)-(E38*(D95+D97)))/(D93+D94+D96)</f>
        <v>1.4268483678239055</v>
      </c>
      <c r="F102" s="266">
        <f>((F36*E92)-(F38*(E95+E97)))/(E93+E94+E96)</f>
        <v>1.7118745014922765</v>
      </c>
      <c r="G102" s="266">
        <f>((G36*F92)-(G38*(F95+F97)))/(F93+F94+F96)</f>
        <v>2.0727354010773258</v>
      </c>
      <c r="H102" s="34">
        <f t="shared" ref="H102:W102" si="39">IF(G92&gt;0,(G102*G93+H37*(G96+G94))/(G93+G94+G96),H37)</f>
        <v>2.1997416955847298</v>
      </c>
      <c r="I102" s="34">
        <f t="shared" si="39"/>
        <v>2.3163052990399926</v>
      </c>
      <c r="J102" s="34">
        <f t="shared" si="39"/>
        <v>2.4238077396616671</v>
      </c>
      <c r="K102" s="34">
        <f t="shared" si="39"/>
        <v>2.5231204636192186</v>
      </c>
      <c r="L102" s="34">
        <f t="shared" si="39"/>
        <v>2.6183727138168149</v>
      </c>
      <c r="M102" s="34">
        <f t="shared" si="39"/>
        <v>2.7100762815150259</v>
      </c>
      <c r="N102" s="34">
        <f t="shared" si="39"/>
        <v>2.7985680144567584</v>
      </c>
      <c r="O102" s="34">
        <f t="shared" si="39"/>
        <v>2.8866460318919049</v>
      </c>
      <c r="P102" s="34">
        <f t="shared" si="39"/>
        <v>2.9685446707670624</v>
      </c>
      <c r="Q102" s="34">
        <f t="shared" si="39"/>
        <v>3.0444095907303956</v>
      </c>
      <c r="R102" s="34">
        <f t="shared" si="39"/>
        <v>3.1144417189851099</v>
      </c>
      <c r="S102" s="34">
        <f t="shared" si="39"/>
        <v>3.1791851904101587</v>
      </c>
      <c r="T102" s="34">
        <f t="shared" si="39"/>
        <v>3.2391406841719954</v>
      </c>
      <c r="U102" s="34">
        <f t="shared" si="39"/>
        <v>3.2947486459330246</v>
      </c>
      <c r="V102" s="34">
        <f t="shared" si="39"/>
        <v>3.3463994722703716</v>
      </c>
      <c r="W102" s="34">
        <f t="shared" si="39"/>
        <v>3.3944243866932329</v>
      </c>
    </row>
    <row r="103" spans="2:25" x14ac:dyDescent="0.2">
      <c r="B103" s="26" t="s">
        <v>134</v>
      </c>
      <c r="C103" s="34"/>
      <c r="D103" s="34"/>
      <c r="E103" s="34">
        <f t="shared" ref="E103:W103" si="40">(E102*(D93+D94+D96)+E38*(D95+D97))/D92</f>
        <v>1.6360269999999999</v>
      </c>
      <c r="F103" s="34">
        <f t="shared" si="40"/>
        <v>1.90473</v>
      </c>
      <c r="G103" s="34">
        <f t="shared" si="40"/>
        <v>2.1499329999999999</v>
      </c>
      <c r="H103" s="34">
        <f t="shared" si="40"/>
        <v>2.2624335955804127</v>
      </c>
      <c r="I103" s="34">
        <f t="shared" si="40"/>
        <v>2.3656571190916935</v>
      </c>
      <c r="J103" s="34">
        <f t="shared" si="40"/>
        <v>2.4608203898214027</v>
      </c>
      <c r="K103" s="34">
        <f t="shared" si="40"/>
        <v>2.5486874079195405</v>
      </c>
      <c r="L103" s="34">
        <f t="shared" si="40"/>
        <v>2.6329441517892573</v>
      </c>
      <c r="M103" s="34">
        <f t="shared" si="40"/>
        <v>2.7140434675168965</v>
      </c>
      <c r="N103" s="34">
        <f t="shared" si="40"/>
        <v>2.7922821441212311</v>
      </c>
      <c r="O103" s="34">
        <f t="shared" si="40"/>
        <v>2.8701685368371517</v>
      </c>
      <c r="P103" s="34">
        <f t="shared" si="40"/>
        <v>2.9399636293972873</v>
      </c>
      <c r="Q103" s="34">
        <f t="shared" si="40"/>
        <v>3.0043672828038184</v>
      </c>
      <c r="R103" s="34">
        <f t="shared" si="40"/>
        <v>3.0635576645735116</v>
      </c>
      <c r="S103" s="34">
        <f t="shared" si="40"/>
        <v>3.1180214262489456</v>
      </c>
      <c r="T103" s="34">
        <f t="shared" si="40"/>
        <v>3.168206362701508</v>
      </c>
      <c r="U103" s="34">
        <f t="shared" si="40"/>
        <v>3.2145062176713166</v>
      </c>
      <c r="V103" s="34">
        <f t="shared" si="40"/>
        <v>3.2572697643868134</v>
      </c>
      <c r="W103" s="34">
        <f t="shared" si="40"/>
        <v>3.2967924072889536</v>
      </c>
    </row>
    <row r="104" spans="2:25" x14ac:dyDescent="0.2">
      <c r="B104" s="35" t="s">
        <v>135</v>
      </c>
      <c r="C104" s="114"/>
      <c r="D104" s="114"/>
      <c r="E104" s="49">
        <f>IF('Criteria results'!$F$5=4,E115,E120)</f>
        <v>0</v>
      </c>
      <c r="F104" s="49">
        <f>IF('Criteria results'!$F$5=4,F115,F120)</f>
        <v>0</v>
      </c>
      <c r="G104" s="49">
        <f>IF('Criteria results'!$F$5=4,G115,G120)</f>
        <v>0</v>
      </c>
      <c r="H104" s="49">
        <f>IF('Criteria results'!$F$5=4,H115,H120)</f>
        <v>0</v>
      </c>
      <c r="I104" s="49">
        <f>IF('Criteria results'!$F$5=4,I115,I120)</f>
        <v>0</v>
      </c>
      <c r="J104" s="49">
        <f>IF('Criteria results'!$F$5=4,J115,J120)</f>
        <v>0</v>
      </c>
      <c r="K104" s="49">
        <f>IF('Criteria results'!$F$5=4,K115,K120)</f>
        <v>0</v>
      </c>
      <c r="L104" s="49">
        <f>IF('Criteria results'!$F$5=4,L115,L120)</f>
        <v>0</v>
      </c>
      <c r="M104" s="49">
        <f>IF('Criteria results'!$F$5=4,M115,M120)</f>
        <v>0</v>
      </c>
      <c r="N104" s="49">
        <f>IF('Criteria results'!$F$5=4,N115,N120)</f>
        <v>0</v>
      </c>
      <c r="O104" s="49">
        <f>IF('Criteria results'!$F$5=4,O115,O120)</f>
        <v>0</v>
      </c>
      <c r="P104" s="49">
        <f>IF('Criteria results'!$F$5=4,P115,P120)</f>
        <v>0</v>
      </c>
      <c r="Q104" s="49">
        <f>IF('Criteria results'!$F$5=4,Q115,Q120)</f>
        <v>0</v>
      </c>
      <c r="R104" s="49">
        <f>IF('Criteria results'!$F$5=4,R115,R120)</f>
        <v>0</v>
      </c>
      <c r="S104" s="49">
        <f>IF('Criteria results'!$F$5=4,S115,S120)</f>
        <v>0</v>
      </c>
      <c r="T104" s="49">
        <f>IF('Criteria results'!$F$5=4,T115,T120)</f>
        <v>0</v>
      </c>
      <c r="U104" s="49">
        <f>IF('Criteria results'!$F$5=4,U115,U120)</f>
        <v>0</v>
      </c>
      <c r="V104" s="49">
        <f>IF('Criteria results'!$F$5=4,V115,V120)</f>
        <v>0</v>
      </c>
      <c r="W104" s="49">
        <f>IF('Criteria results'!$F$5=4,W115,W120)</f>
        <v>0</v>
      </c>
    </row>
    <row r="105" spans="2:25" x14ac:dyDescent="0.2">
      <c r="C105" s="38"/>
      <c r="D105" s="38"/>
      <c r="E105" s="38"/>
      <c r="F105" s="38"/>
      <c r="G105" s="34"/>
      <c r="H105" s="34"/>
      <c r="I105" s="34"/>
      <c r="J105" s="34"/>
      <c r="K105" s="34"/>
      <c r="L105" s="34"/>
      <c r="M105" s="34"/>
      <c r="N105" s="34"/>
      <c r="O105" s="34"/>
      <c r="P105" s="34"/>
      <c r="Q105" s="34"/>
      <c r="R105" s="34"/>
      <c r="S105" s="34"/>
      <c r="T105" s="34"/>
      <c r="U105" s="34"/>
      <c r="V105" s="34"/>
      <c r="W105" s="34"/>
    </row>
    <row r="106" spans="2:25" x14ac:dyDescent="0.2">
      <c r="B106" s="113" t="s">
        <v>186</v>
      </c>
      <c r="C106" s="115">
        <f t="shared" ref="C106:W106" si="41">((1+C101/100)/((1+C24/100)*(1+C42/100))-1)*100</f>
        <v>-6.154246690176068</v>
      </c>
      <c r="D106" s="115">
        <f t="shared" si="41"/>
        <v>-3.4825434038009195</v>
      </c>
      <c r="E106" s="115">
        <f t="shared" si="41"/>
        <v>-4.3106491734947632</v>
      </c>
      <c r="F106" s="115">
        <f t="shared" si="41"/>
        <v>-1.5572654776414119</v>
      </c>
      <c r="G106" s="115">
        <f t="shared" si="41"/>
        <v>-0.7769761707942191</v>
      </c>
      <c r="H106" s="115">
        <f t="shared" si="41"/>
        <v>4.6691794623576754E-2</v>
      </c>
      <c r="I106" s="115">
        <f t="shared" si="41"/>
        <v>9.6335176840156578E-2</v>
      </c>
      <c r="J106" s="115">
        <f t="shared" si="41"/>
        <v>0.10959009397071284</v>
      </c>
      <c r="K106" s="115">
        <f t="shared" si="41"/>
        <v>-0.64218519129134455</v>
      </c>
      <c r="L106" s="115">
        <f t="shared" si="41"/>
        <v>-0.62791074566467264</v>
      </c>
      <c r="M106" s="115">
        <f t="shared" si="41"/>
        <v>-0.63052729003733043</v>
      </c>
      <c r="N106" s="115">
        <f t="shared" si="41"/>
        <v>-0.10404328971714838</v>
      </c>
      <c r="O106" s="115">
        <f t="shared" si="41"/>
        <v>-7.2620779871557239E-2</v>
      </c>
      <c r="P106" s="115">
        <f t="shared" si="41"/>
        <v>-0.1616010304659854</v>
      </c>
      <c r="Q106" s="115">
        <f t="shared" si="41"/>
        <v>-0.25542524367880848</v>
      </c>
      <c r="R106" s="115">
        <f t="shared" si="41"/>
        <v>-0.35389459206478513</v>
      </c>
      <c r="S106" s="115">
        <f t="shared" si="41"/>
        <v>-0.37631858346667268</v>
      </c>
      <c r="T106" s="115">
        <f t="shared" si="41"/>
        <v>-0.43241299900695918</v>
      </c>
      <c r="U106" s="115">
        <f t="shared" si="41"/>
        <v>-0.51201103358815558</v>
      </c>
      <c r="V106" s="115">
        <f t="shared" si="41"/>
        <v>-0.62277125118335164</v>
      </c>
      <c r="W106" s="115">
        <f t="shared" si="41"/>
        <v>-0.58724995890536702</v>
      </c>
    </row>
    <row r="107" spans="2:25" x14ac:dyDescent="0.2">
      <c r="F107" s="34"/>
      <c r="G107" s="34"/>
      <c r="H107" s="34"/>
      <c r="I107" s="34"/>
      <c r="J107" s="34"/>
      <c r="K107" s="34"/>
      <c r="L107" s="34"/>
      <c r="M107" s="34"/>
      <c r="N107" s="34"/>
      <c r="O107" s="34"/>
      <c r="P107" s="34"/>
      <c r="Q107" s="34"/>
      <c r="R107" s="34"/>
      <c r="S107" s="34"/>
      <c r="T107" s="34"/>
      <c r="U107" s="34"/>
      <c r="V107" s="34"/>
      <c r="W107" s="34"/>
    </row>
    <row r="108" spans="2:25" x14ac:dyDescent="0.2">
      <c r="F108" s="34"/>
      <c r="G108" s="34"/>
      <c r="H108" s="253"/>
      <c r="I108" s="253"/>
      <c r="J108" s="253"/>
      <c r="K108" s="253"/>
      <c r="L108" s="253"/>
      <c r="M108" s="253"/>
      <c r="N108" s="253"/>
      <c r="O108" s="253"/>
      <c r="P108" s="253"/>
      <c r="Q108" s="253"/>
      <c r="R108" s="253"/>
      <c r="S108" s="253"/>
      <c r="T108" s="253"/>
      <c r="U108" s="34"/>
      <c r="V108" s="34"/>
      <c r="W108" s="34"/>
    </row>
    <row r="109" spans="2:25" x14ac:dyDescent="0.2">
      <c r="T109" s="62"/>
      <c r="U109" s="62"/>
      <c r="V109" s="62"/>
      <c r="W109" s="62"/>
      <c r="X109" s="62"/>
      <c r="Y109" s="62"/>
    </row>
    <row r="110" spans="2:25" s="25" customFormat="1" ht="12.75" outlineLevel="1" x14ac:dyDescent="0.2">
      <c r="B110" s="25" t="s">
        <v>136</v>
      </c>
      <c r="C110" s="112"/>
      <c r="D110" s="112"/>
      <c r="E110" s="112"/>
      <c r="F110" s="112"/>
      <c r="G110" s="112"/>
      <c r="H110" s="112"/>
      <c r="I110" s="112"/>
      <c r="J110" s="112"/>
      <c r="K110" s="112"/>
      <c r="L110" s="112"/>
      <c r="M110" s="112"/>
      <c r="N110" s="112"/>
      <c r="O110" s="112"/>
      <c r="P110" s="112"/>
      <c r="Q110" s="112"/>
      <c r="R110" s="112"/>
      <c r="S110" s="112"/>
      <c r="T110" s="112"/>
      <c r="U110" s="112"/>
      <c r="V110" s="112"/>
      <c r="W110" s="112"/>
    </row>
    <row r="111" spans="2:25" s="102" customFormat="1" ht="12.75" outlineLevel="1" x14ac:dyDescent="0.2">
      <c r="C111" s="124"/>
      <c r="D111" s="124"/>
      <c r="E111" s="124"/>
      <c r="F111" s="124"/>
      <c r="G111" s="124"/>
      <c r="H111" s="124"/>
      <c r="I111" s="124"/>
      <c r="J111" s="124"/>
      <c r="K111" s="124"/>
      <c r="L111" s="124"/>
      <c r="M111" s="124"/>
      <c r="N111" s="124"/>
      <c r="O111" s="124"/>
      <c r="P111" s="124"/>
      <c r="Q111" s="124"/>
      <c r="R111" s="124"/>
      <c r="S111" s="124"/>
      <c r="T111" s="124"/>
      <c r="U111" s="124"/>
      <c r="V111" s="124"/>
      <c r="W111" s="124"/>
    </row>
    <row r="112" spans="2:25" s="102" customFormat="1" ht="12.75" outlineLevel="1" x14ac:dyDescent="0.2">
      <c r="B112" s="106" t="s">
        <v>293</v>
      </c>
      <c r="C112" s="125"/>
      <c r="D112" s="125"/>
      <c r="E112" s="125"/>
      <c r="F112" s="125"/>
      <c r="G112" s="125"/>
      <c r="H112" s="37"/>
      <c r="I112" s="37"/>
      <c r="J112" s="37"/>
      <c r="K112" s="37"/>
      <c r="L112" s="37"/>
      <c r="M112" s="37"/>
      <c r="N112" s="37"/>
      <c r="O112" s="37"/>
      <c r="P112" s="37"/>
      <c r="Q112" s="37"/>
      <c r="R112" s="37"/>
      <c r="S112" s="37"/>
      <c r="T112" s="37"/>
      <c r="U112" s="125"/>
      <c r="V112" s="125"/>
      <c r="W112" s="125"/>
    </row>
    <row r="113" spans="1:51" outlineLevel="1" x14ac:dyDescent="0.2">
      <c r="B113" s="120" t="s">
        <v>43</v>
      </c>
      <c r="C113" s="34">
        <v>112.97332763671875</v>
      </c>
      <c r="D113" s="34">
        <v>111.91819000244141</v>
      </c>
      <c r="E113" s="34">
        <v>110.64328002929688</v>
      </c>
      <c r="F113" s="34">
        <v>112.4088134765625</v>
      </c>
      <c r="G113" s="34">
        <v>113.96873474121094</v>
      </c>
      <c r="H113" s="34">
        <v>115.77838134765625</v>
      </c>
      <c r="I113" s="34">
        <v>116.92116546630859</v>
      </c>
      <c r="J113" s="34">
        <v>117.28270721435547</v>
      </c>
      <c r="K113" s="34">
        <v>116.39405822753906</v>
      </c>
      <c r="L113" s="34">
        <v>115.17153167724609</v>
      </c>
      <c r="M113" s="34">
        <v>113.59796905517578</v>
      </c>
      <c r="N113" s="34">
        <v>112.63455200195313</v>
      </c>
      <c r="O113" s="34">
        <v>111.74357604980469</v>
      </c>
      <c r="P113" s="34">
        <v>110.80066680908203</v>
      </c>
      <c r="Q113" s="34">
        <v>109.75110626220703</v>
      </c>
      <c r="R113" s="34">
        <v>108.595947265625</v>
      </c>
      <c r="S113" s="34">
        <v>107.42369842529297</v>
      </c>
      <c r="T113" s="34">
        <v>106.1981201171875</v>
      </c>
      <c r="U113" s="34">
        <v>104.89136505126953</v>
      </c>
      <c r="V113" s="34">
        <v>103.46097564697266</v>
      </c>
      <c r="W113" s="34">
        <v>102.11459350585938</v>
      </c>
      <c r="X113" s="116"/>
      <c r="Y113" s="62"/>
    </row>
    <row r="114" spans="1:51" x14ac:dyDescent="0.2">
      <c r="B114" s="26" t="s">
        <v>132</v>
      </c>
      <c r="C114" s="1">
        <v>1.3072322607040405</v>
      </c>
      <c r="D114" s="1">
        <v>1.8011331558227539</v>
      </c>
      <c r="E114" s="1">
        <v>1.636027455329895</v>
      </c>
      <c r="F114" s="1">
        <v>1.904729962348938</v>
      </c>
      <c r="G114" s="1">
        <v>2.1499323844909668</v>
      </c>
      <c r="H114" s="1">
        <v>2.2624330520629883</v>
      </c>
      <c r="I114" s="1">
        <v>2.365656852722168</v>
      </c>
      <c r="J114" s="1">
        <v>2.4608199596405029</v>
      </c>
      <c r="K114" s="1">
        <v>2.548687219619751</v>
      </c>
      <c r="L114" s="1">
        <v>2.632943868637085</v>
      </c>
      <c r="M114" s="1">
        <v>2.714043140411377</v>
      </c>
      <c r="N114" s="1">
        <v>2.7922821044921875</v>
      </c>
      <c r="O114" s="1">
        <v>2.8701686859130859</v>
      </c>
      <c r="P114" s="1">
        <v>2.9399635791778564</v>
      </c>
      <c r="Q114" s="1">
        <v>3.0043673515319824</v>
      </c>
      <c r="R114" s="1">
        <v>3.0635578632354736</v>
      </c>
      <c r="S114" s="1">
        <v>3.1180219650268555</v>
      </c>
      <c r="T114" s="1">
        <v>3.1682069301605225</v>
      </c>
      <c r="U114" s="1">
        <v>3.2145068645477295</v>
      </c>
      <c r="V114" s="1">
        <v>3.2572705745697021</v>
      </c>
      <c r="W114" s="1">
        <v>3.2967932224273682</v>
      </c>
      <c r="X114" s="117"/>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59"/>
      <c r="AW114" s="59"/>
      <c r="AX114" s="59"/>
      <c r="AY114" s="60"/>
    </row>
    <row r="115" spans="1:51" x14ac:dyDescent="0.2">
      <c r="B115" s="26" t="s">
        <v>185</v>
      </c>
      <c r="C115" s="1"/>
      <c r="D115" s="1"/>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17"/>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59"/>
      <c r="AW115" s="59"/>
      <c r="AX115" s="59"/>
      <c r="AY115" s="60"/>
    </row>
    <row r="116" spans="1:51" x14ac:dyDescent="0.2">
      <c r="C116" s="1"/>
      <c r="D116" s="1"/>
      <c r="E116" s="99"/>
      <c r="F116" s="99"/>
      <c r="G116" s="99"/>
      <c r="H116" s="99"/>
      <c r="I116" s="99"/>
      <c r="J116" s="99"/>
      <c r="K116" s="99"/>
      <c r="L116" s="99"/>
      <c r="M116" s="99"/>
      <c r="N116" s="99"/>
      <c r="O116" s="99"/>
      <c r="P116" s="99"/>
      <c r="Q116" s="99"/>
      <c r="R116" s="99"/>
      <c r="S116" s="99"/>
      <c r="T116" s="99"/>
      <c r="U116" s="103"/>
      <c r="V116" s="103"/>
      <c r="W116" s="103"/>
      <c r="X116" s="117"/>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60"/>
    </row>
    <row r="117" spans="1:51" x14ac:dyDescent="0.2">
      <c r="B117" s="106" t="s">
        <v>294</v>
      </c>
      <c r="C117" s="37"/>
      <c r="D117" s="37"/>
      <c r="E117" s="37"/>
      <c r="F117" s="37"/>
      <c r="G117" s="37"/>
      <c r="H117" s="37"/>
      <c r="I117" s="37"/>
      <c r="J117" s="37"/>
      <c r="K117" s="37"/>
      <c r="L117" s="37"/>
      <c r="M117" s="37"/>
      <c r="N117" s="37"/>
      <c r="O117" s="37"/>
      <c r="P117" s="37"/>
      <c r="Q117" s="37"/>
      <c r="R117" s="37"/>
      <c r="S117" s="37"/>
      <c r="T117" s="37"/>
      <c r="U117" s="37"/>
      <c r="V117" s="126"/>
      <c r="W117" s="126"/>
      <c r="X117" s="117"/>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59"/>
      <c r="AX117" s="59"/>
      <c r="AY117" s="60"/>
    </row>
    <row r="118" spans="1:51" outlineLevel="1" x14ac:dyDescent="0.2">
      <c r="B118" s="120" t="s">
        <v>43</v>
      </c>
      <c r="C118" s="34">
        <v>112.97332763671875</v>
      </c>
      <c r="D118" s="34">
        <v>111.91819000244141</v>
      </c>
      <c r="E118" s="34">
        <v>110.64328002929688</v>
      </c>
      <c r="F118" s="34">
        <v>112.4088134765625</v>
      </c>
      <c r="G118" s="34">
        <v>113.85755157470703</v>
      </c>
      <c r="H118" s="34">
        <v>115.91837310791016</v>
      </c>
      <c r="I118" s="34">
        <v>117.68885040283203</v>
      </c>
      <c r="J118" s="34">
        <v>119.06128692626953</v>
      </c>
      <c r="K118" s="34">
        <v>119.91290283203125</v>
      </c>
      <c r="L118" s="34">
        <v>120.22420501708984</v>
      </c>
      <c r="M118" s="34">
        <v>119.97254943847656</v>
      </c>
      <c r="N118" s="34">
        <v>118.94666290283203</v>
      </c>
      <c r="O118" s="34">
        <v>117.75776672363281</v>
      </c>
      <c r="P118" s="34">
        <v>116.27363586425781</v>
      </c>
      <c r="Q118" s="34">
        <v>115.12895202636719</v>
      </c>
      <c r="R118" s="34">
        <v>113.87078094482422</v>
      </c>
      <c r="S118" s="34">
        <v>112.59217834472656</v>
      </c>
      <c r="T118" s="34">
        <v>111.2554931640625</v>
      </c>
      <c r="U118" s="34">
        <v>109.83209228515625</v>
      </c>
      <c r="V118" s="34">
        <v>108.27840423583984</v>
      </c>
      <c r="W118" s="34">
        <v>106.80964660644531</v>
      </c>
      <c r="X118" s="116"/>
      <c r="Y118" s="62"/>
    </row>
    <row r="119" spans="1:51" x14ac:dyDescent="0.2">
      <c r="B119" s="26" t="s">
        <v>132</v>
      </c>
      <c r="C119" s="1">
        <v>1.3072322607040405</v>
      </c>
      <c r="D119" s="1">
        <v>1.8011331558227539</v>
      </c>
      <c r="E119" s="1">
        <v>1.636027455329895</v>
      </c>
      <c r="F119" s="1">
        <v>1.904729962348938</v>
      </c>
      <c r="G119" s="1">
        <v>2.1499323844909668</v>
      </c>
      <c r="H119" s="1">
        <v>2.2639875411987305</v>
      </c>
      <c r="I119" s="1">
        <v>2.3703134059906006</v>
      </c>
      <c r="J119" s="1">
        <v>2.4700503349304199</v>
      </c>
      <c r="K119" s="1">
        <v>2.5639047622680664</v>
      </c>
      <c r="L119" s="1">
        <v>2.6525614261627197</v>
      </c>
      <c r="M119" s="1">
        <v>2.7366275787353516</v>
      </c>
      <c r="N119" s="1">
        <v>2.8166155815124512</v>
      </c>
      <c r="O119" s="1">
        <v>2.894641637802124</v>
      </c>
      <c r="P119" s="1">
        <v>2.9630436897277832</v>
      </c>
      <c r="Q119" s="1">
        <v>3.0248775482177734</v>
      </c>
      <c r="R119" s="1">
        <v>3.0817551612854004</v>
      </c>
      <c r="S119" s="1">
        <v>3.1341395378112793</v>
      </c>
      <c r="T119" s="1">
        <v>3.1824572086334229</v>
      </c>
      <c r="U119" s="1">
        <v>3.2270829677581787</v>
      </c>
      <c r="V119" s="1">
        <v>3.2683494091033936</v>
      </c>
      <c r="W119" s="1">
        <v>3.3065369129180908</v>
      </c>
      <c r="X119" s="117"/>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60"/>
    </row>
    <row r="120" spans="1:51" x14ac:dyDescent="0.2">
      <c r="B120" s="26" t="s">
        <v>185</v>
      </c>
      <c r="C120" s="1"/>
      <c r="D120" s="1"/>
      <c r="E120" s="1"/>
      <c r="F120" s="1"/>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17"/>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60"/>
    </row>
    <row r="121" spans="1:51" x14ac:dyDescent="0.2">
      <c r="T121" s="62"/>
      <c r="U121" s="116"/>
      <c r="V121" s="116"/>
      <c r="W121" s="116"/>
      <c r="X121" s="116"/>
      <c r="Y121" s="62"/>
    </row>
    <row r="122" spans="1:51" x14ac:dyDescent="0.2">
      <c r="H122" s="121"/>
      <c r="I122" s="121"/>
      <c r="J122" s="121"/>
      <c r="K122" s="121"/>
      <c r="L122" s="121"/>
      <c r="M122" s="121"/>
      <c r="N122" s="121"/>
      <c r="O122" s="121"/>
      <c r="P122" s="121"/>
      <c r="Q122" s="121"/>
      <c r="R122" s="121"/>
      <c r="S122" s="121"/>
      <c r="T122" s="121"/>
      <c r="U122" s="121"/>
      <c r="V122" s="121"/>
      <c r="W122" s="121"/>
    </row>
    <row r="123" spans="1:51" x14ac:dyDescent="0.2">
      <c r="E123" s="34"/>
      <c r="F123" s="34"/>
      <c r="G123" s="121"/>
      <c r="H123" s="121"/>
      <c r="I123" s="121"/>
      <c r="J123" s="121"/>
      <c r="K123" s="121"/>
      <c r="L123" s="121"/>
      <c r="M123" s="121"/>
      <c r="N123" s="121"/>
      <c r="O123" s="121"/>
      <c r="P123" s="121"/>
      <c r="Q123" s="121"/>
      <c r="R123" s="121"/>
      <c r="S123" s="121"/>
      <c r="T123" s="121"/>
      <c r="U123" s="121"/>
      <c r="V123" s="121"/>
      <c r="W123" s="121"/>
    </row>
    <row r="124" spans="1:51" x14ac:dyDescent="0.2">
      <c r="A124" s="60"/>
      <c r="C124" s="34"/>
      <c r="D124" s="34"/>
      <c r="E124" s="34"/>
      <c r="F124" s="34"/>
      <c r="G124" s="34"/>
      <c r="H124" s="34"/>
      <c r="I124" s="34"/>
      <c r="J124" s="34"/>
      <c r="K124" s="34"/>
      <c r="L124" s="34"/>
      <c r="M124" s="34"/>
      <c r="N124" s="34"/>
      <c r="O124" s="34"/>
      <c r="P124" s="34"/>
      <c r="Q124" s="34"/>
      <c r="R124" s="34"/>
      <c r="S124" s="34"/>
      <c r="T124" s="34"/>
      <c r="U124" s="34"/>
      <c r="V124" s="34"/>
      <c r="W124" s="34"/>
    </row>
    <row r="125" spans="1:51" x14ac:dyDescent="0.2">
      <c r="C125" s="61"/>
      <c r="D125" s="61"/>
      <c r="E125" s="61"/>
      <c r="F125" s="61"/>
      <c r="G125" s="61"/>
      <c r="H125" s="61"/>
      <c r="I125" s="61"/>
      <c r="J125" s="61"/>
      <c r="K125" s="61"/>
      <c r="L125" s="61"/>
      <c r="M125" s="61"/>
      <c r="N125" s="61"/>
      <c r="O125" s="61"/>
      <c r="P125" s="61"/>
      <c r="Q125" s="61"/>
      <c r="R125" s="61"/>
      <c r="S125" s="61"/>
      <c r="T125" s="61"/>
      <c r="U125" s="61"/>
      <c r="V125" s="61"/>
      <c r="W125" s="61"/>
      <c r="X125" s="61"/>
    </row>
    <row r="127" spans="1:51" x14ac:dyDescent="0.2">
      <c r="E127" s="34"/>
      <c r="F127" s="34"/>
      <c r="G127" s="121"/>
      <c r="H127" s="121"/>
      <c r="I127" s="121"/>
      <c r="J127" s="121"/>
      <c r="K127" s="121"/>
      <c r="L127" s="121"/>
      <c r="M127" s="121"/>
      <c r="N127" s="121"/>
      <c r="O127" s="121"/>
      <c r="P127" s="121"/>
      <c r="Q127" s="121"/>
      <c r="R127" s="121"/>
      <c r="S127" s="121"/>
      <c r="T127" s="121"/>
      <c r="U127" s="121"/>
      <c r="V127" s="121"/>
      <c r="W127" s="121"/>
    </row>
    <row r="128" spans="1:51" x14ac:dyDescent="0.2">
      <c r="E128" s="34"/>
      <c r="F128" s="34"/>
      <c r="G128" s="121"/>
      <c r="H128" s="121"/>
      <c r="I128" s="121"/>
      <c r="J128" s="121"/>
      <c r="K128" s="121"/>
      <c r="L128" s="121"/>
      <c r="M128" s="121"/>
      <c r="N128" s="121"/>
      <c r="O128" s="121"/>
      <c r="P128" s="121"/>
      <c r="Q128" s="121"/>
      <c r="R128" s="121"/>
      <c r="S128" s="121"/>
      <c r="T128" s="121"/>
      <c r="U128" s="121"/>
      <c r="V128" s="121"/>
      <c r="W128" s="121"/>
      <c r="X128" s="53"/>
    </row>
    <row r="129" spans="5:24" x14ac:dyDescent="0.2">
      <c r="G129" s="53"/>
      <c r="H129" s="53"/>
      <c r="I129" s="53"/>
      <c r="J129" s="53"/>
      <c r="K129" s="53"/>
      <c r="L129" s="53"/>
      <c r="M129" s="53"/>
      <c r="N129" s="53"/>
      <c r="O129" s="53"/>
      <c r="P129" s="53"/>
      <c r="Q129" s="53"/>
      <c r="R129" s="53"/>
      <c r="S129" s="53"/>
      <c r="T129" s="53"/>
      <c r="U129" s="53"/>
      <c r="V129" s="53"/>
      <c r="W129" s="53"/>
      <c r="X129" s="53"/>
    </row>
    <row r="130" spans="5:24" x14ac:dyDescent="0.2">
      <c r="E130" s="34"/>
      <c r="F130" s="34"/>
      <c r="G130" s="121"/>
      <c r="H130" s="121"/>
      <c r="I130" s="121"/>
      <c r="J130" s="121"/>
      <c r="K130" s="121"/>
      <c r="L130" s="121"/>
      <c r="M130" s="121"/>
      <c r="N130" s="121"/>
      <c r="O130" s="121"/>
      <c r="P130" s="121"/>
      <c r="Q130" s="121"/>
      <c r="R130" s="121"/>
      <c r="S130" s="121"/>
      <c r="T130" s="121"/>
      <c r="U130" s="121"/>
      <c r="V130" s="121"/>
      <c r="W130" s="121"/>
      <c r="X130" s="53"/>
    </row>
    <row r="131" spans="5:24" x14ac:dyDescent="0.2">
      <c r="E131" s="34"/>
      <c r="F131" s="34"/>
      <c r="G131" s="121"/>
      <c r="H131" s="121"/>
      <c r="I131" s="121"/>
      <c r="J131" s="121"/>
      <c r="K131" s="121"/>
      <c r="L131" s="121"/>
      <c r="M131" s="121"/>
      <c r="N131" s="121"/>
      <c r="O131" s="121"/>
      <c r="P131" s="121"/>
      <c r="Q131" s="121"/>
      <c r="R131" s="121"/>
      <c r="S131" s="121"/>
      <c r="T131" s="121"/>
      <c r="U131" s="121"/>
      <c r="V131" s="121"/>
      <c r="W131" s="121"/>
      <c r="X131" s="53"/>
    </row>
    <row r="132" spans="5:24" x14ac:dyDescent="0.2">
      <c r="G132" s="53"/>
      <c r="H132" s="53"/>
      <c r="I132" s="53"/>
      <c r="J132" s="53"/>
      <c r="K132" s="53"/>
      <c r="L132" s="53"/>
      <c r="M132" s="53"/>
      <c r="N132" s="53"/>
      <c r="O132" s="53"/>
      <c r="P132" s="53"/>
      <c r="Q132" s="53"/>
      <c r="R132" s="53"/>
      <c r="S132" s="53"/>
      <c r="T132" s="53"/>
      <c r="U132" s="53"/>
      <c r="V132" s="53"/>
      <c r="W132" s="53"/>
      <c r="X132" s="53"/>
    </row>
    <row r="133" spans="5:24" x14ac:dyDescent="0.2">
      <c r="E133" s="34"/>
      <c r="F133" s="34"/>
      <c r="G133" s="121"/>
      <c r="H133" s="121"/>
      <c r="I133" s="121"/>
      <c r="J133" s="121"/>
      <c r="K133" s="121"/>
      <c r="L133" s="121"/>
      <c r="M133" s="121"/>
      <c r="N133" s="121"/>
      <c r="O133" s="121"/>
      <c r="P133" s="121"/>
      <c r="Q133" s="121"/>
      <c r="R133" s="121"/>
      <c r="S133" s="121"/>
      <c r="T133" s="121"/>
      <c r="U133" s="121"/>
      <c r="V133" s="121"/>
      <c r="W133" s="121"/>
      <c r="X133" s="121"/>
    </row>
    <row r="134" spans="5:24" x14ac:dyDescent="0.2">
      <c r="E134" s="34"/>
      <c r="F134" s="34"/>
      <c r="G134" s="121"/>
      <c r="H134" s="121"/>
      <c r="I134" s="121"/>
      <c r="J134" s="121"/>
      <c r="K134" s="121"/>
      <c r="L134" s="121"/>
      <c r="M134" s="121"/>
      <c r="N134" s="121"/>
      <c r="O134" s="121"/>
      <c r="P134" s="121"/>
      <c r="Q134" s="121"/>
      <c r="R134" s="121"/>
      <c r="S134" s="121"/>
      <c r="T134" s="121"/>
      <c r="U134" s="121"/>
      <c r="V134" s="121"/>
      <c r="W134" s="121"/>
      <c r="X134" s="121"/>
    </row>
    <row r="135" spans="5:24" x14ac:dyDescent="0.2">
      <c r="G135" s="121"/>
      <c r="H135" s="121"/>
      <c r="I135" s="121"/>
      <c r="J135" s="121"/>
      <c r="K135" s="121"/>
      <c r="L135" s="121"/>
      <c r="M135" s="121"/>
      <c r="N135" s="121"/>
      <c r="O135" s="121"/>
      <c r="P135" s="121"/>
      <c r="Q135" s="121"/>
      <c r="R135" s="121"/>
      <c r="S135" s="121"/>
      <c r="T135" s="121"/>
      <c r="U135" s="121"/>
      <c r="V135" s="121"/>
      <c r="W135" s="121"/>
      <c r="X135" s="121"/>
    </row>
    <row r="136" spans="5:24" x14ac:dyDescent="0.2">
      <c r="E136" s="34"/>
      <c r="F136" s="34"/>
      <c r="G136" s="121"/>
      <c r="H136" s="121"/>
      <c r="I136" s="121"/>
      <c r="J136" s="121"/>
      <c r="K136" s="121"/>
      <c r="L136" s="121"/>
      <c r="M136" s="121"/>
      <c r="N136" s="121"/>
      <c r="O136" s="121"/>
      <c r="P136" s="121"/>
      <c r="Q136" s="121"/>
      <c r="R136" s="121"/>
      <c r="S136" s="121"/>
      <c r="T136" s="121"/>
      <c r="U136" s="121"/>
      <c r="V136" s="121"/>
      <c r="W136" s="121"/>
      <c r="X136" s="121"/>
    </row>
    <row r="137" spans="5:24" x14ac:dyDescent="0.2">
      <c r="E137" s="34"/>
      <c r="F137" s="34"/>
      <c r="G137" s="121"/>
      <c r="H137" s="121"/>
      <c r="I137" s="121"/>
      <c r="J137" s="121"/>
      <c r="K137" s="121"/>
      <c r="L137" s="121"/>
      <c r="M137" s="121"/>
      <c r="N137" s="121"/>
      <c r="O137" s="121"/>
      <c r="P137" s="121"/>
      <c r="Q137" s="121"/>
      <c r="R137" s="121"/>
      <c r="S137" s="121"/>
      <c r="T137" s="121"/>
      <c r="U137" s="121"/>
      <c r="V137" s="121"/>
      <c r="W137" s="121"/>
      <c r="X137" s="121"/>
    </row>
    <row r="138" spans="5:24" x14ac:dyDescent="0.2">
      <c r="G138" s="121"/>
      <c r="H138" s="121"/>
      <c r="I138" s="121"/>
      <c r="J138" s="121"/>
      <c r="K138" s="121"/>
      <c r="L138" s="121"/>
      <c r="M138" s="121"/>
      <c r="N138" s="121"/>
      <c r="O138" s="121"/>
      <c r="P138" s="121"/>
      <c r="Q138" s="121"/>
      <c r="R138" s="121"/>
      <c r="S138" s="121"/>
      <c r="T138" s="121"/>
      <c r="U138" s="121"/>
      <c r="V138" s="121"/>
      <c r="W138" s="121"/>
      <c r="X138" s="121"/>
    </row>
    <row r="139" spans="5:24" x14ac:dyDescent="0.2">
      <c r="G139" s="121"/>
      <c r="H139" s="121"/>
      <c r="I139" s="121"/>
      <c r="J139" s="121"/>
      <c r="K139" s="121"/>
      <c r="L139" s="121"/>
      <c r="M139" s="121"/>
      <c r="N139" s="121"/>
      <c r="O139" s="121"/>
      <c r="P139" s="121"/>
      <c r="Q139" s="121"/>
      <c r="R139" s="121"/>
      <c r="S139" s="121"/>
      <c r="T139" s="121"/>
      <c r="U139" s="121"/>
      <c r="V139" s="121"/>
      <c r="W139" s="121"/>
      <c r="X139" s="121"/>
    </row>
  </sheetData>
  <conditionalFormatting sqref="G12:M12">
    <cfRule type="expression" dxfId="33" priority="6">
      <formula>AND(G10&gt;$C$5,G10&lt;=$C$6)</formula>
    </cfRule>
  </conditionalFormatting>
  <conditionalFormatting sqref="U10:W44 U46:W53 U86:W109 U111:W123 U126:W150 U55:W78 U80:W84">
    <cfRule type="expression" dxfId="32" priority="2">
      <formula>U$10&gt;$C$7</formula>
    </cfRule>
  </conditionalFormatting>
  <conditionalFormatting sqref="U79:W79">
    <cfRule type="expression" dxfId="31" priority="1">
      <formula>U$10&gt;$C$7</formula>
    </cfRule>
  </conditionalFormatting>
  <pageMargins left="0.7" right="0.7" top="0.75" bottom="0.75" header="0.3" footer="0.3"/>
  <pageSetup paperSize="9" orientation="portrait" r:id="rId1"/>
  <ignoredErrors>
    <ignoredError sqref="C47:C48 C5:C6"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92D050"/>
  </sheetPr>
  <dimension ref="A1:BB129"/>
  <sheetViews>
    <sheetView zoomScaleNormal="100" workbookViewId="0"/>
  </sheetViews>
  <sheetFormatPr defaultColWidth="9.28515625" defaultRowHeight="11.25" outlineLevelRow="1" x14ac:dyDescent="0.2"/>
  <cols>
    <col min="1" max="1" width="9.28515625" style="26" customWidth="1"/>
    <col min="2" max="2" width="57.42578125" style="26" customWidth="1"/>
    <col min="3" max="38" width="9.28515625" style="26" customWidth="1"/>
    <col min="39" max="48" width="11.42578125" style="26" bestFit="1" customWidth="1"/>
    <col min="49" max="16384" width="9.28515625" style="26"/>
  </cols>
  <sheetData>
    <row r="1" spans="1:51" ht="24.75" customHeight="1" x14ac:dyDescent="0.2">
      <c r="B1" s="39"/>
    </row>
    <row r="2" spans="1:51" ht="11.25" customHeight="1" x14ac:dyDescent="0.2">
      <c r="B2" s="27"/>
    </row>
    <row r="3" spans="1:51" ht="11.25" customHeight="1" x14ac:dyDescent="0.2">
      <c r="B3" s="19" t="s">
        <v>15</v>
      </c>
      <c r="C3" s="20" t="str">
        <f>'Input data'!C3</f>
        <v>FR</v>
      </c>
    </row>
    <row r="4" spans="1:51" x14ac:dyDescent="0.2">
      <c r="B4" s="64" t="s">
        <v>38</v>
      </c>
      <c r="C4" s="21"/>
    </row>
    <row r="5" spans="1:51" x14ac:dyDescent="0.2">
      <c r="A5" s="29"/>
      <c r="B5" s="22" t="str">
        <f>'Input data'!B5</f>
        <v>Last year before the adjustment</v>
      </c>
      <c r="C5" s="23">
        <f>+'Input data'!C5</f>
        <v>2024</v>
      </c>
    </row>
    <row r="6" spans="1:51" x14ac:dyDescent="0.2">
      <c r="A6" s="29"/>
      <c r="B6" s="65" t="s">
        <v>44</v>
      </c>
      <c r="C6" s="23">
        <f>+C5+'Criteria results'!F5</f>
        <v>2028</v>
      </c>
      <c r="E6" s="43"/>
      <c r="F6" s="29"/>
    </row>
    <row r="7" spans="1:51" x14ac:dyDescent="0.2">
      <c r="A7" s="29"/>
      <c r="B7" s="24" t="s">
        <v>39</v>
      </c>
      <c r="C7" s="66">
        <f>C5+'Criteria results'!F5+10</f>
        <v>2038</v>
      </c>
      <c r="E7" s="43"/>
      <c r="F7" s="29"/>
    </row>
    <row r="8" spans="1:51" x14ac:dyDescent="0.2">
      <c r="A8" s="29"/>
      <c r="C8" s="29"/>
      <c r="E8" s="43"/>
      <c r="F8" s="29"/>
    </row>
    <row r="9" spans="1:51" s="67" customFormat="1" ht="12.75" x14ac:dyDescent="0.2">
      <c r="B9" s="25" t="s">
        <v>45</v>
      </c>
    </row>
    <row r="10" spans="1:51"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1" x14ac:dyDescent="0.2">
      <c r="B11" s="28" t="s">
        <v>46</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row>
    <row r="12" spans="1:51" x14ac:dyDescent="0.2">
      <c r="B12" s="26" t="s">
        <v>48</v>
      </c>
      <c r="C12" s="1">
        <f>'Input data'!C13</f>
        <v>-4.5038349999999996</v>
      </c>
      <c r="D12" s="2">
        <f>'Input data'!D13</f>
        <v>-2.9834649999999998</v>
      </c>
      <c r="E12" s="2">
        <f>'Input data'!E13</f>
        <v>-3.6529590000000001</v>
      </c>
      <c r="F12" s="2">
        <f>'Input data'!F13</f>
        <v>-2.968391</v>
      </c>
      <c r="G12" s="3">
        <f>'Adjust. no safeguard'!G12</f>
        <v>-2.0283910000000001</v>
      </c>
      <c r="H12" s="3">
        <f>'Adjust. no safeguard'!H12</f>
        <v>-1.0883910000000001</v>
      </c>
      <c r="I12" s="3">
        <f>'Adjust. no safeguard'!I12</f>
        <v>-0.14839100000000016</v>
      </c>
      <c r="J12" s="3">
        <f>'Adjust. no safeguard'!J12</f>
        <v>0.79160899999999979</v>
      </c>
      <c r="K12" s="119">
        <f>'Adjust. no safeguard'!K12</f>
        <v>0.79160899999999979</v>
      </c>
      <c r="L12" s="119">
        <f>'Adjust. no safeguard'!L12</f>
        <v>0.79160899999999979</v>
      </c>
      <c r="M12" s="119">
        <f>'Adjust. no safeguard'!M12</f>
        <v>0.79160899999999979</v>
      </c>
      <c r="N12" s="119">
        <f>IF(N10&lt;=$C$6,M12+'Criteria results'!$F$6,M12)</f>
        <v>0.79160899999999979</v>
      </c>
      <c r="O12" s="119">
        <f>IF(O10&lt;=$C$6,N12+'Criteria results'!$F$6,N12)</f>
        <v>0.79160899999999979</v>
      </c>
      <c r="P12" s="119">
        <f>IF(P10&lt;=$C$6,O12+'Criteria results'!$F$6,O12)</f>
        <v>0.79160899999999979</v>
      </c>
      <c r="Q12" s="119">
        <f>IF(Q10&lt;=$C$6,P12+'Criteria results'!$F$6,P12)</f>
        <v>0.79160899999999979</v>
      </c>
      <c r="R12" s="119">
        <f>IF(R10&lt;=$C$6,Q12+'Criteria results'!$F$6,Q12)</f>
        <v>0.79160899999999979</v>
      </c>
      <c r="S12" s="119">
        <f>IF(S10&lt;=$C$6,R12+'Criteria results'!$F$6,R12)</f>
        <v>0.79160899999999979</v>
      </c>
      <c r="T12" s="119">
        <f>IF(T10&lt;=$C$6,S12+'Criteria results'!$F$6,S12)</f>
        <v>0.79160899999999979</v>
      </c>
      <c r="U12" s="119">
        <f>IF(U10&lt;=$C$6,T12+'Criteria results'!$F$6,T12)</f>
        <v>0.79160899999999979</v>
      </c>
      <c r="V12" s="119">
        <f>IF(V10&lt;=$C$6,U12+'Criteria results'!$F$6,U12)</f>
        <v>0.79160899999999979</v>
      </c>
      <c r="W12" s="119">
        <f>IF(W10&lt;=$C$6,V12+'Criteria results'!$F$6,V12)</f>
        <v>0.79160899999999979</v>
      </c>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60"/>
    </row>
    <row r="13" spans="1:51" x14ac:dyDescent="0.2">
      <c r="B13" s="26" t="s">
        <v>49</v>
      </c>
      <c r="C13" s="1">
        <f>'Input data'!C14</f>
        <v>-8.3968899999999999E-2</v>
      </c>
      <c r="D13" s="2">
        <f>'Input data'!D14</f>
        <v>-7.1994500000000003E-2</v>
      </c>
      <c r="E13" s="2">
        <f>'Input data'!E14</f>
        <v>-6.4214599999999997E-2</v>
      </c>
      <c r="F13" s="2">
        <f>'Input data'!F14</f>
        <v>-3.4462800000000002E-2</v>
      </c>
      <c r="G13" s="2">
        <f>'Input data'!G14</f>
        <v>-3.00179E-2</v>
      </c>
      <c r="H13" s="2">
        <f>0</f>
        <v>0</v>
      </c>
      <c r="I13" s="2">
        <f>0</f>
        <v>0</v>
      </c>
      <c r="J13" s="2">
        <f>0</f>
        <v>0</v>
      </c>
      <c r="K13" s="2">
        <f>0</f>
        <v>0</v>
      </c>
      <c r="L13" s="2">
        <f>0</f>
        <v>0</v>
      </c>
      <c r="M13" s="2">
        <f>0</f>
        <v>0</v>
      </c>
      <c r="N13" s="2">
        <f>0</f>
        <v>0</v>
      </c>
      <c r="O13" s="2">
        <f>0</f>
        <v>0</v>
      </c>
      <c r="P13" s="2">
        <f>0</f>
        <v>0</v>
      </c>
      <c r="Q13" s="2">
        <f>0</f>
        <v>0</v>
      </c>
      <c r="R13" s="2">
        <f>0</f>
        <v>0</v>
      </c>
      <c r="S13" s="2">
        <f>0</f>
        <v>0</v>
      </c>
      <c r="T13" s="2">
        <f>0</f>
        <v>0</v>
      </c>
      <c r="U13" s="2">
        <f>0</f>
        <v>0</v>
      </c>
      <c r="V13" s="2">
        <f>0</f>
        <v>0</v>
      </c>
      <c r="W13" s="2">
        <f>0</f>
        <v>0</v>
      </c>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60"/>
    </row>
    <row r="14" spans="1:51" x14ac:dyDescent="0.2">
      <c r="B14" s="26" t="s">
        <v>87</v>
      </c>
      <c r="C14" s="1">
        <f>'Input data'!C15</f>
        <v>-2.11246E-2</v>
      </c>
      <c r="D14" s="2">
        <f>'Input data'!D15</f>
        <v>4.2606100000000001E-2</v>
      </c>
      <c r="E14" s="2">
        <f>'Input data'!E15</f>
        <v>-0.21881729999999999</v>
      </c>
      <c r="F14" s="2">
        <f>'Input data'!F15</f>
        <v>0.21081169999999999</v>
      </c>
      <c r="G14" s="2">
        <f>'Input data'!G15</f>
        <v>3.1292399999999998E-2</v>
      </c>
      <c r="H14" s="2">
        <f>'Input data'!H15</f>
        <v>0</v>
      </c>
      <c r="I14" s="2">
        <f>'Input data'!I15</f>
        <v>0</v>
      </c>
      <c r="J14" s="2">
        <f>'Input data'!J15</f>
        <v>0</v>
      </c>
      <c r="K14" s="2">
        <f>'Input data'!K15</f>
        <v>0</v>
      </c>
      <c r="L14" s="2">
        <f>'Input data'!L15</f>
        <v>0</v>
      </c>
      <c r="M14" s="2">
        <f>'Input data'!M15</f>
        <v>0</v>
      </c>
      <c r="N14" s="2">
        <f>'Input data'!N15</f>
        <v>0</v>
      </c>
      <c r="O14" s="2">
        <f>'Input data'!O15</f>
        <v>0</v>
      </c>
      <c r="P14" s="2">
        <f>'Input data'!P15</f>
        <v>0</v>
      </c>
      <c r="Q14" s="2">
        <f>'Input data'!Q15</f>
        <v>0</v>
      </c>
      <c r="R14" s="2">
        <f>'Input data'!R15</f>
        <v>0</v>
      </c>
      <c r="S14" s="2">
        <f>'Input data'!S15</f>
        <v>0</v>
      </c>
      <c r="T14" s="2">
        <f>'Input data'!T15</f>
        <v>0</v>
      </c>
      <c r="U14" s="2">
        <f>'Input data'!U15</f>
        <v>0</v>
      </c>
      <c r="V14" s="2">
        <f>'Input data'!V15</f>
        <v>0</v>
      </c>
      <c r="W14" s="2">
        <f>'Input data'!W15</f>
        <v>0</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60"/>
    </row>
    <row r="15" spans="1:51" ht="5.65" customHeight="1" x14ac:dyDescent="0.2">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spans="1:51" ht="11.25" customHeight="1" x14ac:dyDescent="0.2">
      <c r="B16" s="30" t="str">
        <f>'Input data'!B19</f>
        <v>Cost of ageing and selected public revenue (based on the Commission-Council 2024 Ageing Report ("AR 2024"))</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x14ac:dyDescent="0.2">
      <c r="A17" s="61"/>
      <c r="B17" s="26" t="s">
        <v>52</v>
      </c>
      <c r="C17" s="1">
        <f>'Input data'!C20</f>
        <v>0</v>
      </c>
      <c r="D17" s="101">
        <f>'Input data'!D20</f>
        <v>28.278850000000006</v>
      </c>
      <c r="E17" s="101">
        <f>'Input data'!E20</f>
        <v>27.552319999999998</v>
      </c>
      <c r="F17" s="101">
        <f>'Input data'!F20</f>
        <v>27.639749999999999</v>
      </c>
      <c r="G17" s="101">
        <f>'Input data'!G20</f>
        <v>27.581780000000002</v>
      </c>
      <c r="H17" s="101">
        <f>'Input data'!H20</f>
        <v>27.593040000000002</v>
      </c>
      <c r="I17" s="101">
        <f>'Input data'!I20</f>
        <v>27.652179999999998</v>
      </c>
      <c r="J17" s="101">
        <f>'Input data'!J20</f>
        <v>27.664160000000003</v>
      </c>
      <c r="K17" s="101">
        <f>'Input data'!K20</f>
        <v>27.636579999999999</v>
      </c>
      <c r="L17" s="101">
        <f>'Input data'!L20</f>
        <v>27.621679999999998</v>
      </c>
      <c r="M17" s="101">
        <f>'Input data'!M20</f>
        <v>27.607300000000002</v>
      </c>
      <c r="N17" s="101">
        <f>'Input data'!N20</f>
        <v>27.60905</v>
      </c>
      <c r="O17" s="101">
        <f>'Input data'!O20</f>
        <v>27.644740000000002</v>
      </c>
      <c r="P17" s="101">
        <f>'Input data'!P20</f>
        <v>27.691210000000002</v>
      </c>
      <c r="Q17" s="101">
        <f>'Input data'!Q20</f>
        <v>27.686630000000005</v>
      </c>
      <c r="R17" s="101">
        <f>'Input data'!R20</f>
        <v>27.686070000000001</v>
      </c>
      <c r="S17" s="101">
        <f>'Input data'!S20</f>
        <v>27.688879999999997</v>
      </c>
      <c r="T17" s="101">
        <f>'Input data'!T20</f>
        <v>27.691020000000002</v>
      </c>
      <c r="U17" s="101">
        <f>'Input data'!U20</f>
        <v>27.68871</v>
      </c>
      <c r="V17" s="101">
        <f>'Input data'!V20</f>
        <v>27.674209999999999</v>
      </c>
      <c r="W17" s="101">
        <f>'Input data'!W20</f>
        <v>27.712189999999996</v>
      </c>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x14ac:dyDescent="0.2">
      <c r="A18" s="61"/>
      <c r="B18" s="26" t="s">
        <v>58</v>
      </c>
      <c r="C18" s="1">
        <f>'Input data'!C26</f>
        <v>0.45969460000000001</v>
      </c>
      <c r="D18" s="101">
        <f>'Input data'!D26</f>
        <v>0.51588199999999995</v>
      </c>
      <c r="E18" s="101">
        <f>'Input data'!E26</f>
        <v>0.5155149</v>
      </c>
      <c r="F18" s="101">
        <f>'Input data'!F26</f>
        <v>0.51514769999999999</v>
      </c>
      <c r="G18" s="101">
        <f>'Input data'!G26</f>
        <v>0.51478060000000003</v>
      </c>
      <c r="H18" s="101">
        <f>'Input data'!H26</f>
        <v>0.51441349999999997</v>
      </c>
      <c r="I18" s="101">
        <f>'Input data'!I26</f>
        <v>0.51404640000000001</v>
      </c>
      <c r="J18" s="101">
        <f>'Input data'!J26</f>
        <v>0.51367929999999995</v>
      </c>
      <c r="K18" s="101">
        <f>'Input data'!K26</f>
        <v>0.5133122</v>
      </c>
      <c r="L18" s="101">
        <f>'Input data'!L26</f>
        <v>0.51294510000000004</v>
      </c>
      <c r="M18" s="101">
        <f>'Input data'!M26</f>
        <v>0.51257799999999998</v>
      </c>
      <c r="N18" s="101">
        <f>'Input data'!N26</f>
        <v>0.51221099999999997</v>
      </c>
      <c r="O18" s="101">
        <f>'Input data'!O26</f>
        <v>0.51184390000000002</v>
      </c>
      <c r="P18" s="101">
        <f>'Input data'!P26</f>
        <v>0.51147679999999995</v>
      </c>
      <c r="Q18" s="101">
        <f>'Input data'!Q26</f>
        <v>0.5111097</v>
      </c>
      <c r="R18" s="101">
        <f>'Input data'!R26</f>
        <v>0.51074269999999999</v>
      </c>
      <c r="S18" s="101">
        <f>'Input data'!S26</f>
        <v>0.51037560000000004</v>
      </c>
      <c r="T18" s="101">
        <f>'Input data'!T26</f>
        <v>0.51000849999999998</v>
      </c>
      <c r="U18" s="101">
        <f>'Input data'!U26</f>
        <v>0.50964140000000002</v>
      </c>
      <c r="V18" s="101">
        <f>'Input data'!V26</f>
        <v>0.50927440000000002</v>
      </c>
      <c r="W18" s="101">
        <f>'Input data'!W26</f>
        <v>0.50890729999999995</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20" spans="1:50" x14ac:dyDescent="0.2">
      <c r="B20" s="28" t="s">
        <v>88</v>
      </c>
    </row>
    <row r="21" spans="1:50" ht="10.5" customHeight="1" x14ac:dyDescent="0.2">
      <c r="B21" s="30" t="s">
        <v>89</v>
      </c>
    </row>
    <row r="22" spans="1:50" x14ac:dyDescent="0.2">
      <c r="B22" s="26" t="s">
        <v>61</v>
      </c>
      <c r="C22" s="34">
        <f>'Input data'!C31</f>
        <v>2321.011</v>
      </c>
      <c r="D22" s="100">
        <f>'Baseline NFPC'!D22</f>
        <v>2377.9862032033798</v>
      </c>
      <c r="E22" s="100">
        <f>'Baseline NFPC'!E22</f>
        <v>2394.7205296647835</v>
      </c>
      <c r="F22" s="100">
        <f>'Baseline NFPC'!F22</f>
        <v>2412.1658388302208</v>
      </c>
      <c r="G22" s="34">
        <f>IF(AND(G49&gt;1,F49&gt;1),IF(AND(G49&gt;0,F49&gt;0),G26*(G50/100+1),0)+IF(G49&gt;0,F22*(1+G51/100),0)-F22*(1+'Input data'!G30/100),IF(G49=1,G26,F22*(1+G51/100)))</f>
        <v>2433.6317508732877</v>
      </c>
      <c r="H22" s="34">
        <f>IF(AND(H49&gt;1,G49&gt;1),IF(AND(H49&gt;0,G49&gt;0),H26*(H50/100+1),0)+IF(H49&gt;0,G22*(1+H51/100),0)-G22*(1+'Input data'!H30/100),IF(H49=1,H26,G22*(1+H51/100)))</f>
        <v>2436.2397334613038</v>
      </c>
      <c r="I22" s="34">
        <f>IF(AND(I49&gt;1,H49&gt;1),IF(AND(I49&gt;0,H49&gt;0),I26*(I50/100+1),0)+IF(I49&gt;0,H22*(1+I51/100),0)-H22*(1+'Input data'!I30/100),IF(I49=1,I26,H22*(1+I51/100)))</f>
        <v>2438.584200582186</v>
      </c>
      <c r="J22" s="34">
        <f>IF(AND(J49&gt;1,I49&gt;1),IF(AND(J49&gt;0,I49&gt;0),J26*(J50/100+1),0)+IF(J49&gt;0,I22*(1+J51/100),0)-I22*(1+'Input data'!J30/100),IF(J49=1,J26,I22*(1+J51/100)))</f>
        <v>2441.3585428493939</v>
      </c>
      <c r="K22" s="34">
        <f>IF(AND(K49&gt;1,J49&gt;1),IF(AND(K49&gt;0,J49&gt;0),K26*(K50/100+1),0)+IF(K49&gt;0,J22*(1+K51/100),0)-J22*(1+'Input data'!K30/100),IF(K49=1,K26,J22*(1+K51/100)))</f>
        <v>2463.2103662141035</v>
      </c>
      <c r="L22" s="34">
        <f>IF(AND(L49&gt;1,K49&gt;1),IF(AND(L49&gt;0,K49&gt;0),L26*(L50/100+1),0)+IF(L49&gt;0,K22*(1+L51/100),0)-K22*(1+'Input data'!L30/100),IF(L49=1,L26,K22*(1+L51/100)))</f>
        <v>2485.3988955108389</v>
      </c>
      <c r="M22" s="34">
        <f>IF(AND(M49&gt;1,L49&gt;1),IF(AND(M49&gt;0,L49&gt;0),M26*(M50/100+1),0)+IF(M49&gt;0,L22*(1+M51/100),0)-L22*(1+'Input data'!M30/100),IF(M49=1,M26,L22*(1+M51/100)))</f>
        <v>2508.2782200879537</v>
      </c>
      <c r="N22" s="34">
        <f>IF(AND(N49&gt;1,M49&gt;1),IF(AND(N49&gt;0,M49&gt;0),N26*(N50/100+1),0)+IF(N49&gt;0,M22*(1+N51/100),0)-M22*(1+'Input data'!N30/100),IF(N49=1,N26,M22*(1+N51/100)))</f>
        <v>2518.3829568528804</v>
      </c>
      <c r="O22" s="34">
        <f>IF(AND(O49&gt;1,N49&gt;1),IF(AND(O49&gt;0,N49&gt;0),O26*(O50/100+1),0)+IF(O49&gt;0,N22*(1+O51/100),0)-N22*(1+'Input data'!O30/100),IF(O49=1,O26,N22*(1+O51/100)))</f>
        <v>2528.0814435352086</v>
      </c>
      <c r="P22" s="34">
        <f>IF(AND(P49&gt;1,O49&gt;1),IF(AND(P49&gt;0,O49&gt;0),P26*(P50/100+1),0)+IF(P49&gt;0,O22*(1+P51/100),0)-O22*(1+'Input data'!P30/100),IF(P49=1,P26,O22*(1+P51/100)))</f>
        <v>2542.4842749223494</v>
      </c>
      <c r="Q22" s="34">
        <f>IF(AND(Q49&gt;1,P49&gt;1),IF(AND(Q49&gt;0,P49&gt;0),Q26*(Q50/100+1),0)+IF(Q49&gt;0,P22*(1+Q51/100),0)-P22*(1+'Input data'!Q30/100),IF(Q49=1,Q26,P22*(1+Q51/100)))</f>
        <v>2561.6627397624598</v>
      </c>
      <c r="R22" s="34">
        <f>IF(AND(R49&gt;1,Q49&gt;1),IF(AND(R49&gt;0,Q49&gt;0),R26*(R50/100+1),0)+IF(R49&gt;0,Q22*(1+R51/100),0)-Q22*(1+'Input data'!R30/100),IF(R49=1,R26,Q22*(1+R51/100)))</f>
        <v>2585.7147419835783</v>
      </c>
      <c r="S22" s="34">
        <f>IF(AND(S49&gt;1,R49&gt;1),IF(AND(S49&gt;0,R49&gt;0),S26*(S50/100+1),0)+IF(S49&gt;0,R22*(1+S51/100),0)-R22*(1+'Input data'!S30/100),IF(S49=1,S26,R22*(1+S51/100)))</f>
        <v>2612.6607855955581</v>
      </c>
      <c r="T22" s="34">
        <f>IF(AND(T49&gt;1,S49&gt;1),IF(AND(T49&gt;0,S49&gt;0),T26*(T50/100+1),0)+IF(T49&gt;0,S22*(1+T51/100),0)-S22*(1+'Input data'!T30/100),IF(T49=1,T26,S22*(1+T51/100)))</f>
        <v>2643.3700004694483</v>
      </c>
      <c r="U22" s="34">
        <f>IF(AND(U49&gt;1,T49&gt;1),IF(AND(U49&gt;0,T49&gt;0),U26*(U50/100+1),0)+IF(U49&gt;0,T22*(1+U51/100),0)-T22*(1+'Input data'!U30/100),IF(U49=1,U26,T22*(1+U51/100)))</f>
        <v>2678.5003613419876</v>
      </c>
      <c r="V22" s="34">
        <f>IF(AND(V49&gt;1,U49&gt;1),IF(AND(V49&gt;0,U49&gt;0),V26*(V50/100+1),0)+IF(V49&gt;0,U22*(1+V51/100),0)-U22*(1+'Input data'!V30/100),IF(V49=1,V26,U22*(1+V51/100)))</f>
        <v>2718.9786355676924</v>
      </c>
      <c r="W22" s="34">
        <f>IF(AND(W49&gt;1,V49&gt;1),IF(AND(W49&gt;0,V49&gt;0),W26*(W50/100+1),0)+IF(W49&gt;0,V22*(1+W51/100),0)-V22*(1+'Input data'!W30/100),IF(W49=1,W26,V22*(1+W51/100)))</f>
        <v>2760.8802443349127</v>
      </c>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row>
    <row r="23" spans="1:50" x14ac:dyDescent="0.2">
      <c r="A23" s="61"/>
      <c r="B23" s="62" t="s">
        <v>60</v>
      </c>
      <c r="C23" s="34">
        <f>+'Input data'!C30</f>
        <v>6.4352099999999997</v>
      </c>
      <c r="D23" s="100">
        <f>'Baseline NFPC'!D23</f>
        <v>2.454758</v>
      </c>
      <c r="E23" s="100">
        <f>'Baseline NFPC'!E23</f>
        <v>0.70371839999999997</v>
      </c>
      <c r="F23" s="100">
        <f>'Baseline NFPC'!F23</f>
        <v>0.72849039999999998</v>
      </c>
      <c r="G23" s="34">
        <f t="shared" ref="G23:T23" si="0">100*(G22/F22-1)</f>
        <v>0.88990200000000907</v>
      </c>
      <c r="H23" s="34">
        <f t="shared" si="0"/>
        <v>0.10716422429482009</v>
      </c>
      <c r="I23" s="34">
        <f t="shared" si="0"/>
        <v>9.6233022090608245E-2</v>
      </c>
      <c r="J23" s="34">
        <f t="shared" si="0"/>
        <v>0.1137685656515508</v>
      </c>
      <c r="K23" s="34">
        <f t="shared" si="0"/>
        <v>0.8950681754104739</v>
      </c>
      <c r="L23" s="34">
        <f t="shared" si="0"/>
        <v>0.9007971710852658</v>
      </c>
      <c r="M23" s="34">
        <f t="shared" si="0"/>
        <v>0.92054939826520243</v>
      </c>
      <c r="N23" s="34">
        <f t="shared" si="0"/>
        <v>0.40285550000001003</v>
      </c>
      <c r="O23" s="34">
        <f t="shared" si="0"/>
        <v>0.38510769999999805</v>
      </c>
      <c r="P23" s="34">
        <f t="shared" si="0"/>
        <v>0.56971390000000177</v>
      </c>
      <c r="Q23" s="34">
        <f t="shared" si="0"/>
        <v>0.75431990000001115</v>
      </c>
      <c r="R23" s="34">
        <f t="shared" si="0"/>
        <v>0.93892149999998953</v>
      </c>
      <c r="S23" s="34">
        <f t="shared" si="0"/>
        <v>1.042111999999995</v>
      </c>
      <c r="T23" s="34">
        <f t="shared" si="0"/>
        <v>1.1754000000000042</v>
      </c>
      <c r="U23" s="34">
        <f t="shared" ref="U23" si="1">100*(U22/T22-1)</f>
        <v>1.3289990000000085</v>
      </c>
      <c r="V23" s="34">
        <f t="shared" ref="V23" si="2">100*(V22/U22-1)</f>
        <v>1.5112290000000028</v>
      </c>
      <c r="W23" s="34">
        <f t="shared" ref="W23" si="3">100*(W22/V22-1)</f>
        <v>1.5410790000000008</v>
      </c>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spans="1:50" ht="5.25" customHeight="1" x14ac:dyDescent="0.2">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row>
    <row r="25" spans="1:50" ht="15" x14ac:dyDescent="0.2">
      <c r="A25" s="224"/>
      <c r="B25" s="30" t="s">
        <v>90</v>
      </c>
      <c r="C25" s="223"/>
      <c r="D25" s="223"/>
      <c r="E25" s="223"/>
      <c r="F25" s="223"/>
    </row>
    <row r="26" spans="1:50" x14ac:dyDescent="0.2">
      <c r="B26" s="26" t="s">
        <v>61</v>
      </c>
      <c r="C26" s="34">
        <f>'Input data'!C34</f>
        <v>2344.1460000000002</v>
      </c>
      <c r="D26" s="100">
        <f>+C26*(1+'Input data'!D33/100)</f>
        <v>2369.7540134990404</v>
      </c>
      <c r="E26" s="100">
        <f>+D26*(1+'Input data'!E33/100)</f>
        <v>2396.6660775582618</v>
      </c>
      <c r="F26" s="100">
        <f>+E26*(1+'Input data'!F33/100)</f>
        <v>2422.7374665164953</v>
      </c>
      <c r="G26" s="34">
        <f>+F26*(1+'Input data'!G33/100)</f>
        <v>2446.9776816902327</v>
      </c>
      <c r="H26" s="34">
        <f>+G26*(1+'Input data'!H33/100)</f>
        <v>2462.3500188137496</v>
      </c>
      <c r="I26" s="34">
        <f>+H26*(1+'Input data'!I33/100)</f>
        <v>2473.2435562533324</v>
      </c>
      <c r="J26" s="34">
        <f>+I26*(1+'Input data'!J33/100)</f>
        <v>2481.7361404048984</v>
      </c>
      <c r="K26" s="34">
        <f>+J26*(1+'Input data'!K33/100)</f>
        <v>2490.2207942276877</v>
      </c>
      <c r="L26" s="34">
        <f>+K26*(1+'Input data'!L33/100)</f>
        <v>2498.9514585278339</v>
      </c>
      <c r="M26" s="34">
        <f>+L26*(1+'Input data'!M33/100)</f>
        <v>2508.2782200879537</v>
      </c>
      <c r="N26" s="34">
        <f>+M26*(1+'Input data'!N33/100)</f>
        <v>2518.3828364555252</v>
      </c>
      <c r="O26" s="34">
        <f>+N26*(1+'Input data'!O33/100)</f>
        <v>2528.081254677857</v>
      </c>
      <c r="P26" s="34">
        <f>+O26*(1+'Input data'!P33/100)</f>
        <v>2542.4839889219634</v>
      </c>
      <c r="Q26" s="34">
        <f>+P26*(1+'Input data'!Q33/100)</f>
        <v>2561.6623371929359</v>
      </c>
      <c r="R26" s="34">
        <f>+Q26*(1+'Input data'!R33/100)</f>
        <v>2585.7143125792818</v>
      </c>
      <c r="S26" s="34">
        <f>+R26*(1+'Input data'!S33/100)</f>
        <v>2612.6603000021018</v>
      </c>
      <c r="T26" s="34">
        <f>+S26*(1+'Input data'!T33/100)</f>
        <v>2643.3696136747385</v>
      </c>
      <c r="U26" s="34">
        <f>+T26*(1+'Input data'!U33/100)</f>
        <v>2678.5000222741719</v>
      </c>
      <c r="V26" s="34">
        <f>+U26*(1+'Input data'!V33/100)</f>
        <v>2718.9783985157865</v>
      </c>
      <c r="W26" s="34">
        <f>+V26*(1+'Input data'!W33/100)</f>
        <v>2760.8798948707135</v>
      </c>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row>
    <row r="27" spans="1:50" ht="5.25" customHeight="1" x14ac:dyDescent="0.2">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row>
    <row r="28" spans="1:50" x14ac:dyDescent="0.2">
      <c r="B28" s="30" t="s">
        <v>91</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row>
    <row r="29" spans="1:50" x14ac:dyDescent="0.2">
      <c r="B29" s="26" t="s">
        <v>91</v>
      </c>
      <c r="C29" s="34">
        <f>100*(C22/C26-1)</f>
        <v>-0.98692658221800622</v>
      </c>
      <c r="D29" s="100">
        <f t="shared" ref="D29:T29" si="4">100*(D22/D26-1)</f>
        <v>0.34738583234570353</v>
      </c>
      <c r="E29" s="100">
        <f t="shared" si="4"/>
        <v>-8.1177261684295399E-2</v>
      </c>
      <c r="F29" s="100">
        <f t="shared" si="4"/>
        <v>-0.43635052631083582</v>
      </c>
      <c r="G29" s="34">
        <f t="shared" si="4"/>
        <v>-0.54540468091749394</v>
      </c>
      <c r="H29" s="34">
        <f t="shared" si="4"/>
        <v>-1.0603807400632936</v>
      </c>
      <c r="I29" s="34">
        <f t="shared" si="4"/>
        <v>-1.4013725248980813</v>
      </c>
      <c r="J29" s="34">
        <f t="shared" si="4"/>
        <v>-1.6269899486138328</v>
      </c>
      <c r="K29" s="34">
        <f t="shared" si="4"/>
        <v>-1.0846599657425626</v>
      </c>
      <c r="L29" s="34">
        <f t="shared" si="4"/>
        <v>-0.54232998287125911</v>
      </c>
      <c r="M29" s="34">
        <f t="shared" si="4"/>
        <v>0</v>
      </c>
      <c r="N29" s="34">
        <f t="shared" si="4"/>
        <v>4.7807407810296354E-6</v>
      </c>
      <c r="O29" s="34">
        <f t="shared" si="4"/>
        <v>7.4703829788802523E-6</v>
      </c>
      <c r="P29" s="34">
        <f t="shared" si="4"/>
        <v>1.1248856912615679E-5</v>
      </c>
      <c r="Q29" s="34">
        <f t="shared" si="4"/>
        <v>1.5715167367424954E-5</v>
      </c>
      <c r="R29" s="34">
        <f t="shared" si="4"/>
        <v>1.6606795827378562E-5</v>
      </c>
      <c r="S29" s="34">
        <f t="shared" si="4"/>
        <v>1.8586168892831267E-5</v>
      </c>
      <c r="T29" s="34">
        <f t="shared" si="4"/>
        <v>1.4632638123401875E-5</v>
      </c>
      <c r="U29" s="34">
        <f t="shared" ref="U29:W29" si="5">100*(U22/U26-1)</f>
        <v>1.2658869241732873E-5</v>
      </c>
      <c r="V29" s="34">
        <f t="shared" si="5"/>
        <v>8.7184181429833529E-6</v>
      </c>
      <c r="W29" s="34">
        <f t="shared" si="5"/>
        <v>1.2657711034869124E-5</v>
      </c>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row>
    <row r="30" spans="1:50" ht="5.25" customHeight="1" x14ac:dyDescent="0.2">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row>
    <row r="31" spans="1:50" x14ac:dyDescent="0.2">
      <c r="B31" s="30" t="s">
        <v>92</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row>
    <row r="32" spans="1:50" x14ac:dyDescent="0.2">
      <c r="B32" s="26" t="s">
        <v>60</v>
      </c>
      <c r="C32" s="1">
        <f t="shared" ref="C32:W32" si="6">100*((1+C23/100)*(1+C41/100)-1)</f>
        <v>7.9507899153866024</v>
      </c>
      <c r="D32" s="2">
        <f t="shared" si="6"/>
        <v>5.4743220450848451</v>
      </c>
      <c r="E32" s="2">
        <f t="shared" si="6"/>
        <v>6.2145642353418351</v>
      </c>
      <c r="F32" s="2">
        <f t="shared" si="6"/>
        <v>3.5167607791869226</v>
      </c>
      <c r="G32" s="1">
        <f t="shared" si="6"/>
        <v>2.9498286363781379</v>
      </c>
      <c r="H32" s="1">
        <f t="shared" si="6"/>
        <v>2.2147077141794203</v>
      </c>
      <c r="I32" s="1">
        <f t="shared" si="6"/>
        <v>2.2671378909550732</v>
      </c>
      <c r="J32" s="1">
        <f t="shared" si="6"/>
        <v>2.3486564010936961</v>
      </c>
      <c r="K32" s="1">
        <f t="shared" si="6"/>
        <v>3.2114963532100527</v>
      </c>
      <c r="L32" s="1">
        <f t="shared" si="6"/>
        <v>3.2814595344855979</v>
      </c>
      <c r="M32" s="1">
        <f t="shared" si="6"/>
        <v>3.3657930009513892</v>
      </c>
      <c r="N32" s="1">
        <f t="shared" si="6"/>
        <v>2.8993420046401708</v>
      </c>
      <c r="O32" s="1">
        <f t="shared" si="6"/>
        <v>2.9449279463499956</v>
      </c>
      <c r="P32" s="1">
        <f t="shared" si="6"/>
        <v>3.1065849331274986</v>
      </c>
      <c r="Q32" s="1">
        <f t="shared" si="6"/>
        <v>3.2681401815050082</v>
      </c>
      <c r="R32" s="1">
        <f t="shared" si="6"/>
        <v>3.4295893880124995</v>
      </c>
      <c r="S32" s="1">
        <f t="shared" si="6"/>
        <v>3.5075395327999859</v>
      </c>
      <c r="T32" s="1">
        <f t="shared" si="6"/>
        <v>3.6162565249999945</v>
      </c>
      <c r="U32" s="1">
        <f t="shared" si="6"/>
        <v>3.7456956261499919</v>
      </c>
      <c r="V32" s="1">
        <f t="shared" si="6"/>
        <v>3.9043562236749985</v>
      </c>
      <c r="W32" s="1">
        <f t="shared" si="6"/>
        <v>3.9069861407000195</v>
      </c>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4" spans="2:51" x14ac:dyDescent="0.2">
      <c r="B34" s="28" t="s">
        <v>141</v>
      </c>
    </row>
    <row r="35" spans="2:51" x14ac:dyDescent="0.2">
      <c r="B35" s="26" t="s">
        <v>63</v>
      </c>
      <c r="C35" s="34">
        <f>'Input data'!C37</f>
        <v>1.3072319999999999</v>
      </c>
      <c r="D35" s="100">
        <f>'Input data'!D37</f>
        <v>1.8011330000000001</v>
      </c>
      <c r="E35" s="100">
        <f>'Input data'!E37</f>
        <v>1.6360269999999999</v>
      </c>
      <c r="F35" s="100">
        <f>'Input data'!F37</f>
        <v>1.90473</v>
      </c>
      <c r="G35" s="100">
        <f>'Input data'!G37</f>
        <v>2.1499329999999999</v>
      </c>
      <c r="H35" s="34">
        <f>H92</f>
        <v>2.2624335955804127</v>
      </c>
      <c r="I35" s="34">
        <f t="shared" ref="I35:W35" si="7">I92</f>
        <v>2.3656571190916935</v>
      </c>
      <c r="J35" s="34">
        <f t="shared" si="7"/>
        <v>2.4608203898214027</v>
      </c>
      <c r="K35" s="34">
        <f>K92</f>
        <v>3.070323000912131</v>
      </c>
      <c r="L35" s="34">
        <f t="shared" si="7"/>
        <v>2.8594980314120284</v>
      </c>
      <c r="M35" s="34">
        <f t="shared" si="7"/>
        <v>2.9185889903465982</v>
      </c>
      <c r="N35" s="34">
        <f t="shared" si="7"/>
        <v>2.9773437994038079</v>
      </c>
      <c r="O35" s="34">
        <f t="shared" si="7"/>
        <v>3.0374261642423095</v>
      </c>
      <c r="P35" s="34">
        <f t="shared" si="7"/>
        <v>3.0908434327862935</v>
      </c>
      <c r="Q35" s="34">
        <f t="shared" si="7"/>
        <v>3.1402820573225805</v>
      </c>
      <c r="R35" s="34">
        <f t="shared" si="7"/>
        <v>3.1858903931884037</v>
      </c>
      <c r="S35" s="34">
        <f t="shared" si="7"/>
        <v>3.2280450926594395</v>
      </c>
      <c r="T35" s="34">
        <f t="shared" si="7"/>
        <v>3.2670890490181952</v>
      </c>
      <c r="U35" s="34">
        <f t="shared" si="7"/>
        <v>3.3033206150766965</v>
      </c>
      <c r="V35" s="34">
        <f t="shared" si="7"/>
        <v>3.3370011335153538</v>
      </c>
      <c r="W35" s="34">
        <f t="shared" si="7"/>
        <v>3.3683486259392277</v>
      </c>
    </row>
    <row r="36" spans="2:51" x14ac:dyDescent="0.2">
      <c r="B36" s="32" t="s">
        <v>94</v>
      </c>
      <c r="C36" s="1"/>
      <c r="D36" s="2">
        <f>'Input data'!D$39</f>
        <v>1.7</v>
      </c>
      <c r="E36" s="2">
        <f>'Input data'!E$39</f>
        <v>2.99</v>
      </c>
      <c r="F36" s="166">
        <f>'Input data'!F$39</f>
        <v>2.964537</v>
      </c>
      <c r="G36" s="166">
        <f>'Input data'!G$39</f>
        <v>3.0634350000000001</v>
      </c>
      <c r="H36" s="1">
        <f>G36+($O$36-$G$36)/($O$10-$G$10)</f>
        <v>3.1385131250000002</v>
      </c>
      <c r="I36" s="1">
        <f t="shared" ref="I36:J36" si="8">H36+($O$36-$G$36)/($O$10-$G$10)</f>
        <v>3.2135912500000003</v>
      </c>
      <c r="J36" s="1">
        <f t="shared" si="8"/>
        <v>3.2886693750000004</v>
      </c>
      <c r="K36" s="1">
        <f>IF('Criteria results'!$F$5=4,IF(J56&gt;90,G36+('Input data'!$C$52-$G$36)/($O$10-$G$10)*(K10-$G$10)+1+0.06*(J56-90),G36+('Input data'!$C$52-$G$36)/($O$10-$G$10)*(K10-$G$10)+1),G36+('Input data'!$C$52-$G$36)/($O$10-$G$10)*(K10-$G$10))</f>
        <v>6.0007095208307444</v>
      </c>
      <c r="L36" s="1">
        <f>$G$36+('Input data'!$C$52-$G$36)/($O$10-$G$10)*(L10-$G$10)</f>
        <v>3.4388256250000002</v>
      </c>
      <c r="M36" s="1">
        <f>$G$36+('Input data'!$C$52-$G$36)/($O$10-$G$10)*(M10-$G$10)</f>
        <v>3.5139037499999999</v>
      </c>
      <c r="N36" s="1">
        <f>IF('Criteria results'!$F$5=7,IF(M56&gt;90,G36+('Input data'!$C$52-$G$36)/($O$10-$G$10)*(N10-$G$10)+1+0.06*(M56-90),G36+('Input data'!$C$52-$G$36)/($O$10-$G$10)*(N10-$G$10)+1),G36+('Input data'!$C$52-$G$36)/($O$10-$G$10)*(N10-$G$10))</f>
        <v>3.588981875</v>
      </c>
      <c r="O36" s="252">
        <f>'Baseline NFPC'!O36</f>
        <v>3.6640600000000001</v>
      </c>
      <c r="P36" s="1">
        <f>'Baseline NFPC'!P36</f>
        <v>3.680857</v>
      </c>
      <c r="Q36" s="1">
        <f>'Baseline NFPC'!Q36</f>
        <v>3.697654</v>
      </c>
      <c r="R36" s="1">
        <f>'Baseline NFPC'!R36</f>
        <v>3.7144509999999999</v>
      </c>
      <c r="S36" s="1">
        <f>'Baseline NFPC'!S36</f>
        <v>3.7312479999999999</v>
      </c>
      <c r="T36" s="1">
        <f>'Baseline NFPC'!T36</f>
        <v>3.7480450000000003</v>
      </c>
      <c r="U36" s="1">
        <f>'Baseline NFPC'!U36</f>
        <v>3.7648420000000002</v>
      </c>
      <c r="V36" s="1">
        <f>'Baseline NFPC'!V36</f>
        <v>3.7816390000000002</v>
      </c>
      <c r="W36" s="1">
        <f>'Baseline NFPC'!W36</f>
        <v>3.7984360000000001</v>
      </c>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60"/>
    </row>
    <row r="37" spans="2:51" x14ac:dyDescent="0.2">
      <c r="B37" s="32" t="s">
        <v>95</v>
      </c>
      <c r="C37" s="1"/>
      <c r="D37" s="2">
        <f>'Input data'!D$38</f>
        <v>0.35</v>
      </c>
      <c r="E37" s="2">
        <f>'Input data'!E$38</f>
        <v>3.43</v>
      </c>
      <c r="F37" s="166">
        <f>'Input data'!F$38</f>
        <v>3.5642079999999998</v>
      </c>
      <c r="G37" s="166">
        <f>'Input data'!G$38</f>
        <v>2.8163749999999999</v>
      </c>
      <c r="H37" s="1">
        <f>G37+($O$37-$G$37)/($O$10-$G$10)</f>
        <v>2.8050893749999997</v>
      </c>
      <c r="I37" s="1">
        <f t="shared" ref="I37:J37" si="9">H37+($O$37-$G$37)/($O$10-$G$10)</f>
        <v>2.7938037499999995</v>
      </c>
      <c r="J37" s="1">
        <f t="shared" si="9"/>
        <v>2.7825181249999993</v>
      </c>
      <c r="K37" s="1">
        <f>IF('Criteria results'!$F$5=4,IF(J56&gt;90,G37+('Input data'!$C$53-$G$37)/($O$10-$G$10)*(K10-$G$10)+1+0.06*(J56-90),G37+('Input data'!$C$53-$G$37)/($O$10-$G$10)*(K10-$G$10)+1),G37+('Input data'!$C$53-$G$37)/($O$10-$G$10)*(K10-$G$10))</f>
        <v>5.4081945208307438</v>
      </c>
      <c r="L37" s="1">
        <f>$G$37+('Input data'!$C$53-$G$37)/($O$10-$G$10)*(L10-$G$10)</f>
        <v>2.7599468749999998</v>
      </c>
      <c r="M37" s="1">
        <f>$G$37+('Input data'!$C$53-$G$37)/($O$10-$G$10)*(M10-$G$10)</f>
        <v>2.7486612500000001</v>
      </c>
      <c r="N37" s="1">
        <f>IF('Criteria results'!$F$5=7,IF(M56&gt;90,G37+('Input data'!$C$53-$G$37)/($O$10-$G$10)*(N10-$G$10)+1+0.06*(M56-90),G37+('Input data'!$C$53-$G$37)/($O$10-$G$10)*(N10-$G$10)+1),G37+('Input data'!$C$53-$G$37)/($O$10-$G$10)*(N10-$G$10))</f>
        <v>2.7373756250000003</v>
      </c>
      <c r="O37" s="252">
        <f>'Baseline NFPC'!O37</f>
        <v>2.7260900000000001</v>
      </c>
      <c r="P37" s="1">
        <f>'Baseline NFPC'!P37</f>
        <v>2.6897855000000002</v>
      </c>
      <c r="Q37" s="1">
        <f>'Baseline NFPC'!Q37</f>
        <v>2.6534810000000002</v>
      </c>
      <c r="R37" s="1">
        <f>'Baseline NFPC'!R37</f>
        <v>2.6171765000000002</v>
      </c>
      <c r="S37" s="1">
        <f>'Baseline NFPC'!S37</f>
        <v>2.5808720000000003</v>
      </c>
      <c r="T37" s="1">
        <f>'Baseline NFPC'!T37</f>
        <v>2.5445675000000003</v>
      </c>
      <c r="U37" s="1">
        <f>'Baseline NFPC'!U37</f>
        <v>2.5082629999999999</v>
      </c>
      <c r="V37" s="1">
        <f>'Baseline NFPC'!V37</f>
        <v>2.4719584999999999</v>
      </c>
      <c r="W37" s="1">
        <f>'Baseline NFPC'!W37</f>
        <v>2.435654</v>
      </c>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60"/>
    </row>
    <row r="38" spans="2:51" s="5" customFormat="1" ht="12.75" x14ac:dyDescent="0.2">
      <c r="B38" s="26" t="s">
        <v>96</v>
      </c>
      <c r="C38" s="34">
        <f>'Baseline NFPC'!C38</f>
        <v>7.7938480000000004E-2</v>
      </c>
      <c r="D38" s="34">
        <f>'Baseline NFPC'!D38</f>
        <v>8.1557229999999994E-2</v>
      </c>
      <c r="E38" s="34">
        <f>'Baseline NFPC'!E38</f>
        <v>7.994946E-2</v>
      </c>
      <c r="F38" s="34">
        <f>'Baseline NFPC'!F38</f>
        <v>7.9901810000000004E-2</v>
      </c>
      <c r="G38" s="34">
        <f>'Baseline NFPC'!G38</f>
        <v>8.0347219999999997E-2</v>
      </c>
      <c r="H38" s="34">
        <f>'Baseline NFPC'!H38</f>
        <v>8.0792630000000004E-2</v>
      </c>
      <c r="I38" s="34">
        <f>'Baseline NFPC'!I38</f>
        <v>8.1238039999999997E-2</v>
      </c>
      <c r="J38" s="34">
        <f>'Baseline NFPC'!J38</f>
        <v>8.1683450000000005E-2</v>
      </c>
      <c r="K38" s="34">
        <f>'Baseline NFPC'!K38</f>
        <v>8.2128859999999998E-2</v>
      </c>
      <c r="L38" s="34">
        <f>'Baseline NFPC'!L38</f>
        <v>8.2574270000000005E-2</v>
      </c>
      <c r="M38" s="34">
        <f>'Baseline NFPC'!M38</f>
        <v>8.3019679999999998E-2</v>
      </c>
      <c r="N38" s="34">
        <f>'Baseline NFPC'!N38</f>
        <v>8.3465090000000006E-2</v>
      </c>
      <c r="O38" s="34">
        <f>'Baseline NFPC'!O38</f>
        <v>8.3910499999999999E-2</v>
      </c>
      <c r="P38" s="34">
        <f>'Baseline NFPC'!P38</f>
        <v>8.3910499999999999E-2</v>
      </c>
      <c r="Q38" s="34">
        <f>'Baseline NFPC'!Q38</f>
        <v>8.3910499999999999E-2</v>
      </c>
      <c r="R38" s="34">
        <f>'Baseline NFPC'!R38</f>
        <v>8.3910499999999999E-2</v>
      </c>
      <c r="S38" s="34">
        <f>'Baseline NFPC'!S38</f>
        <v>8.3910499999999999E-2</v>
      </c>
      <c r="T38" s="34">
        <f>'Baseline NFPC'!T38</f>
        <v>8.3910499999999999E-2</v>
      </c>
      <c r="U38" s="34">
        <f>'Baseline NFPC'!U38</f>
        <v>8.3910499999999999E-2</v>
      </c>
      <c r="V38" s="34">
        <f>'Baseline NFPC'!V38</f>
        <v>8.3910499999999999E-2</v>
      </c>
      <c r="W38" s="34">
        <f>'Baseline NFPC'!W38</f>
        <v>8.3910499999999999E-2</v>
      </c>
    </row>
    <row r="39" spans="2:51" x14ac:dyDescent="0.2">
      <c r="C39" s="1"/>
      <c r="D39" s="1"/>
      <c r="E39" s="1"/>
      <c r="F39" s="1"/>
      <c r="G39" s="99"/>
      <c r="H39" s="99"/>
      <c r="I39" s="99"/>
      <c r="J39" s="99"/>
      <c r="K39" s="99"/>
      <c r="L39" s="99"/>
      <c r="M39" s="99"/>
      <c r="N39" s="99"/>
      <c r="O39" s="1"/>
      <c r="P39" s="1"/>
      <c r="Q39" s="1"/>
      <c r="R39" s="1"/>
      <c r="S39" s="1"/>
      <c r="T39" s="1"/>
      <c r="U39" s="1"/>
      <c r="V39" s="1"/>
      <c r="W39" s="1"/>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60"/>
    </row>
    <row r="40" spans="2:51" x14ac:dyDescent="0.2">
      <c r="B40" s="28" t="s">
        <v>97</v>
      </c>
      <c r="C40" s="1"/>
      <c r="D40" s="1"/>
      <c r="E40" s="1"/>
      <c r="F40" s="1"/>
      <c r="G40" s="99"/>
      <c r="H40" s="99"/>
      <c r="I40" s="99"/>
      <c r="J40" s="99"/>
      <c r="K40" s="99"/>
      <c r="L40" s="99"/>
      <c r="M40" s="99"/>
      <c r="N40" s="99"/>
      <c r="O40" s="1"/>
      <c r="P40" s="1"/>
      <c r="Q40" s="1"/>
      <c r="R40" s="1"/>
      <c r="S40" s="1"/>
      <c r="T40" s="1"/>
      <c r="U40" s="1"/>
      <c r="V40" s="1"/>
      <c r="W40" s="1"/>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60"/>
    </row>
    <row r="41" spans="2:51" x14ac:dyDescent="0.2">
      <c r="B41" s="26" t="s">
        <v>142</v>
      </c>
      <c r="C41" s="1">
        <f>'Input data'!C42</f>
        <v>1.4239459999999999</v>
      </c>
      <c r="D41" s="2">
        <f>'Input data'!D42</f>
        <v>2.9472170000000002</v>
      </c>
      <c r="E41" s="2">
        <f>'Input data'!E42</f>
        <v>5.4723360000000003</v>
      </c>
      <c r="F41" s="2">
        <f>'Input data'!F42</f>
        <v>2.7681049999999998</v>
      </c>
      <c r="G41" s="2">
        <f>'Input data'!G42</f>
        <v>2.041757</v>
      </c>
      <c r="H41" s="1">
        <f>'Baseline NFPC'!H41</f>
        <v>2.1052873750000001</v>
      </c>
      <c r="I41" s="1">
        <f>'Baseline NFPC'!I41</f>
        <v>2.1688177500000001</v>
      </c>
      <c r="J41" s="1">
        <f>'Baseline NFPC'!J41</f>
        <v>2.2323481250000001</v>
      </c>
      <c r="K41" s="1">
        <f>'Baseline NFPC'!K41</f>
        <v>2.2958784999999997</v>
      </c>
      <c r="L41" s="1">
        <f>'Baseline NFPC'!L41</f>
        <v>2.3594088749999997</v>
      </c>
      <c r="M41" s="1">
        <f>'Baseline NFPC'!M41</f>
        <v>2.4229392499999998</v>
      </c>
      <c r="N41" s="1">
        <f>'Baseline NFPC'!N41</f>
        <v>2.4864696249999998</v>
      </c>
      <c r="O41" s="252">
        <f>'Baseline NFPC'!O41</f>
        <v>2.5499999999999998</v>
      </c>
      <c r="P41" s="1">
        <f>'Baseline NFPC'!P41</f>
        <v>2.5225</v>
      </c>
      <c r="Q41" s="1">
        <f>'Baseline NFPC'!Q41</f>
        <v>2.4949999999999997</v>
      </c>
      <c r="R41" s="1">
        <f>'Baseline NFPC'!R41</f>
        <v>2.4674999999999998</v>
      </c>
      <c r="S41" s="1">
        <f>'Baseline NFPC'!S41</f>
        <v>2.44</v>
      </c>
      <c r="T41" s="1">
        <f>'Baseline NFPC'!T41</f>
        <v>2.4124999999999996</v>
      </c>
      <c r="U41" s="1">
        <f>'Baseline NFPC'!U41</f>
        <v>2.3849999999999998</v>
      </c>
      <c r="V41" s="1">
        <f>'Baseline NFPC'!V41</f>
        <v>2.3574999999999999</v>
      </c>
      <c r="W41" s="1">
        <f>'Baseline NFPC'!W41</f>
        <v>2.33</v>
      </c>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60"/>
    </row>
    <row r="42" spans="2:51" x14ac:dyDescent="0.2">
      <c r="B42" s="26" t="s">
        <v>98</v>
      </c>
      <c r="C42" s="1">
        <f>'Baseline NFPC'!C42</f>
        <v>1</v>
      </c>
      <c r="D42" s="1">
        <f>'Baseline NFPC'!D42</f>
        <v>1</v>
      </c>
      <c r="E42" s="1">
        <f>'Baseline NFPC'!E42</f>
        <v>1</v>
      </c>
      <c r="F42" s="1">
        <f>'Baseline NFPC'!F42</f>
        <v>0.99999990000000005</v>
      </c>
      <c r="G42" s="1">
        <f>'Baseline NFPC'!G42</f>
        <v>1</v>
      </c>
      <c r="H42" s="1">
        <f>'Baseline NFPC'!H42</f>
        <v>1</v>
      </c>
      <c r="I42" s="1">
        <f>'Baseline NFPC'!I42</f>
        <v>1</v>
      </c>
      <c r="J42" s="1">
        <f>'Baseline NFPC'!J42</f>
        <v>1</v>
      </c>
      <c r="K42" s="1">
        <f>'Baseline NFPC'!K42</f>
        <v>1</v>
      </c>
      <c r="L42" s="1">
        <f>'Baseline NFPC'!L42</f>
        <v>1</v>
      </c>
      <c r="M42" s="1">
        <f>'Baseline NFPC'!M42</f>
        <v>1</v>
      </c>
      <c r="N42" s="1">
        <f>'Baseline NFPC'!N42</f>
        <v>1</v>
      </c>
      <c r="O42" s="1">
        <f>'Baseline NFPC'!O42</f>
        <v>1</v>
      </c>
      <c r="P42" s="1">
        <f>'Baseline NFPC'!P42</f>
        <v>1</v>
      </c>
      <c r="Q42" s="1">
        <f>'Baseline NFPC'!Q42</f>
        <v>1</v>
      </c>
      <c r="R42" s="1">
        <f>'Baseline NFPC'!R42</f>
        <v>1</v>
      </c>
      <c r="S42" s="1">
        <f>'Baseline NFPC'!S42</f>
        <v>1</v>
      </c>
      <c r="T42" s="1">
        <f>'Baseline NFPC'!T42</f>
        <v>1</v>
      </c>
      <c r="U42" s="1">
        <f>'Baseline NFPC'!U42</f>
        <v>1</v>
      </c>
      <c r="V42" s="1">
        <f>'Baseline NFPC'!V42</f>
        <v>1</v>
      </c>
      <c r="W42" s="1">
        <f>'Baseline NFPC'!W42</f>
        <v>1</v>
      </c>
      <c r="X42" s="63"/>
      <c r="Y42" s="63"/>
      <c r="Z42" s="63"/>
      <c r="AA42" s="63"/>
      <c r="AB42" s="63"/>
      <c r="AC42" s="63"/>
      <c r="AD42" s="63"/>
      <c r="AE42" s="63"/>
      <c r="AF42" s="63"/>
      <c r="AG42" s="63"/>
      <c r="AH42" s="63"/>
      <c r="AI42" s="63"/>
      <c r="AJ42" s="63"/>
      <c r="AK42" s="63"/>
      <c r="AL42" s="63"/>
      <c r="AM42" s="63"/>
      <c r="AN42" s="63"/>
      <c r="AO42" s="63"/>
      <c r="AP42" s="63"/>
      <c r="AQ42" s="63"/>
      <c r="AR42" s="63"/>
      <c r="AS42" s="63"/>
      <c r="AT42" s="63"/>
      <c r="AU42" s="63"/>
      <c r="AV42" s="63"/>
      <c r="AW42" s="63"/>
      <c r="AX42" s="63"/>
      <c r="AY42" s="60"/>
    </row>
    <row r="43" spans="2:51" x14ac:dyDescent="0.2">
      <c r="C43" s="36"/>
    </row>
    <row r="44" spans="2:51" s="67" customFormat="1" ht="12.75" x14ac:dyDescent="0.2">
      <c r="B44" s="75" t="s">
        <v>99</v>
      </c>
      <c r="C44" s="68"/>
    </row>
    <row r="45" spans="2:51" x14ac:dyDescent="0.2">
      <c r="C45" s="36"/>
    </row>
    <row r="46" spans="2:51" x14ac:dyDescent="0.2">
      <c r="B46" s="54" t="s">
        <v>68</v>
      </c>
      <c r="C46" s="55">
        <f>'Input data'!C49</f>
        <v>0.75</v>
      </c>
    </row>
    <row r="47" spans="2:51" x14ac:dyDescent="0.2">
      <c r="B47" s="56" t="s">
        <v>258</v>
      </c>
      <c r="C47" s="57">
        <f>'Input data'!C50</f>
        <v>0.63</v>
      </c>
    </row>
    <row r="48" spans="2:51" x14ac:dyDescent="0.2">
      <c r="C48" s="58"/>
    </row>
    <row r="49" spans="2:48" outlineLevel="1" x14ac:dyDescent="0.2">
      <c r="B49" s="26" t="s">
        <v>100</v>
      </c>
      <c r="C49" s="34">
        <v>0</v>
      </c>
      <c r="D49" s="34">
        <f>IF(AND(ABS((D12-C12)-('Input data'!D13-'Input data'!C13))&gt;0.0001,ABS(D12-C12)&gt;0.0001,D$10&gt;$C$5),4,IF(C49=4,3,IF(C49=3,2,IF(C49=2,1,0))))</f>
        <v>0</v>
      </c>
      <c r="E49" s="34">
        <f>IF(AND(ABS((E12-D12)-('Input data'!E13-'Input data'!D13))&gt;0.0001,ABS(E12-D12)&gt;0.0001,E$10&gt;$C$5),4,IF(D49=4,3,IF(D49=3,2,IF(D49=2,1,0))))</f>
        <v>0</v>
      </c>
      <c r="F49" s="34">
        <f>IF(AND(ABS((F12-E12)-('Input data'!F13-'Input data'!E13))&gt;0.0001,ABS(F12-E12)&gt;0.0001,F$10&gt;$C$5),4,IF(E49=4,3,IF(E49=3,2,IF(E49=2,1,0))))</f>
        <v>0</v>
      </c>
      <c r="G49" s="34">
        <f>IF(AND(ABS((G12-F12)-('Input data'!G13-'Input data'!F13))&gt;0.0001,ABS(G12-F12)&gt;0.0001,G$10&gt;$C$5),4,IF(F49=4,3,IF(F49=3,2,IF(F49=2,1,0))))</f>
        <v>4</v>
      </c>
      <c r="H49" s="34">
        <f>IF(AND(ABS((H12-G12)-('Input data'!H13-'Input data'!G13))&gt;0.0001,ABS(H12-G12)&gt;0.0001,H$10&gt;$C$5),4,IF(G49=4,3,IF(G49=3,2,IF(G49=2,1,0))))</f>
        <v>4</v>
      </c>
      <c r="I49" s="34">
        <f>IF(AND(ABS((I12-H12)-('Input data'!I13-'Input data'!H13))&gt;0.0001,ABS(I12-H12)&gt;0.0001,I$10&gt;$C$5),4,IF(H49=4,3,IF(H49=3,2,IF(H49=2,1,0))))</f>
        <v>4</v>
      </c>
      <c r="J49" s="34">
        <f>IF(AND(ABS((J12-I12)-('Input data'!J13-'Input data'!I13))&gt;0.0001,ABS(J12-I12)&gt;0.0001,J$10&gt;$C$5),4,IF(I49=4,3,IF(I49=3,2,IF(I49=2,1,0))))</f>
        <v>4</v>
      </c>
      <c r="K49" s="34">
        <f>IF(AND(ABS((K12-J12)-('Input data'!K13-'Input data'!J13))&gt;0.0001,ABS(K12-J12)&gt;0.0001,K$10&gt;$C$5),4,IF(J49=4,3,IF(J49=3,2,IF(J49=2,1,0))))</f>
        <v>3</v>
      </c>
      <c r="L49" s="34">
        <f>IF(AND(ABS((L12-K12)-('Input data'!L13-'Input data'!K13))&gt;0.0001,ABS(L12-K12)&gt;0.0001,L$10&gt;$C$5),4,IF(K49=4,3,IF(K49=3,2,IF(K49=2,1,0))))</f>
        <v>2</v>
      </c>
      <c r="M49" s="34">
        <f>IF(AND(ABS((M12-L12)-('Input data'!M13-'Input data'!L13))&gt;0.0001,ABS(M12-L12)&gt;0.0001,M$10&gt;$C$5),4,IF(L49=4,3,IF(L49=3,2,IF(L49=2,1,0))))</f>
        <v>1</v>
      </c>
      <c r="N49" s="34">
        <f>IF(AND(ABS((N12-M12)-('Input data'!N13-'Input data'!M13))&gt;0.0001,ABS(N12-M12)&gt;0.0001,N$10&gt;$C$5),4,IF(M49=4,3,IF(M49=3,2,IF(M49=2,1,0))))</f>
        <v>0</v>
      </c>
      <c r="O49" s="34">
        <f>IF(AND(ABS((O12-N12)-('Input data'!O13-'Input data'!N13))&gt;0.0001,ABS(O12-N12)&gt;0.0001,O$10&gt;$C$5),4,IF(N49=4,3,IF(N49=3,2,IF(N49=2,1,0))))</f>
        <v>0</v>
      </c>
      <c r="P49" s="34">
        <f>IF(AND(ABS((P12-O12)-('Input data'!P13-'Input data'!O13))&gt;0.0001,ABS(P12-O12)&gt;0.0001,P$10&gt;$C$5),4,IF(O49=4,3,IF(O49=3,2,IF(O49=2,1,0))))</f>
        <v>0</v>
      </c>
      <c r="Q49" s="34">
        <f>IF(AND(ABS((Q12-P12)-('Input data'!Q13-'Input data'!P13))&gt;0.0001,ABS(Q12-P12)&gt;0.0001,Q$10&gt;$C$5),4,IF(P49=4,3,IF(P49=3,2,IF(P49=2,1,0))))</f>
        <v>0</v>
      </c>
      <c r="R49" s="34">
        <f>IF(AND(ABS((R12-Q12)-('Input data'!R13-'Input data'!Q13))&gt;0.0001,ABS(R12-Q12)&gt;0.0001,R$10&gt;$C$5),4,IF(Q49=4,3,IF(Q49=3,2,IF(Q49=2,1,0))))</f>
        <v>0</v>
      </c>
      <c r="S49" s="34">
        <f>IF(AND(ABS((S12-R12)-('Input data'!S13-'Input data'!R13))&gt;0.0001,ABS(S12-R12)&gt;0.0001,S$10&gt;$C$5),4,IF(R49=4,3,IF(R49=3,2,IF(R49=2,1,0))))</f>
        <v>0</v>
      </c>
      <c r="T49" s="34">
        <f>IF(AND(ABS((T12-S12)-('Input data'!T13-'Input data'!S13))&gt;0.0001,ABS(T12-S12)&gt;0.0001,T$10&gt;$C$5),4,IF(S49=4,3,IF(S49=3,2,IF(S49=2,1,0))))</f>
        <v>0</v>
      </c>
      <c r="U49" s="34">
        <f>IF(AND(ABS((U12-T12)-('Input data'!U13-'Input data'!T13))&gt;0.0001,ABS(U12-T12)&gt;0.0001,U$10&gt;$C$5),4,IF(T49=4,3,IF(T49=3,2,IF(T49=2,1,0))))</f>
        <v>0</v>
      </c>
      <c r="V49" s="34">
        <f>IF(AND(ABS((V12-U12)-('Input data'!V13-'Input data'!U13))&gt;0.0001,ABS(V12-U12)&gt;0.0001,V$10&gt;$C$5),4,IF(U49=4,3,IF(U49=3,2,IF(U49=2,1,0))))</f>
        <v>0</v>
      </c>
      <c r="W49" s="34">
        <f>IF(AND(ABS((W12-V12)-('Input data'!W13-'Input data'!V13))&gt;0.0001,ABS(W12-V12)&gt;0.0001,W$10&gt;$C$5),4,IF(V49=4,3,IF(V49=3,2,IF(V49=2,1,0))))</f>
        <v>0</v>
      </c>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row>
    <row r="50" spans="2:48" outlineLevel="1" x14ac:dyDescent="0.2">
      <c r="B50" s="26" t="s">
        <v>101</v>
      </c>
      <c r="C50" s="34">
        <v>0</v>
      </c>
      <c r="D50" s="34">
        <f t="shared" ref="D50:W50" si="10">IF(C49=4,2/3*C29,IF(C49=3,1/3*B29,0))</f>
        <v>0</v>
      </c>
      <c r="E50" s="34">
        <f t="shared" si="10"/>
        <v>0</v>
      </c>
      <c r="F50" s="34">
        <f t="shared" si="10"/>
        <v>0</v>
      </c>
      <c r="G50" s="34">
        <f t="shared" si="10"/>
        <v>0</v>
      </c>
      <c r="H50" s="34">
        <f t="shared" si="10"/>
        <v>-0.36360312061166261</v>
      </c>
      <c r="I50" s="34">
        <f t="shared" si="10"/>
        <v>-0.70692049337552909</v>
      </c>
      <c r="J50" s="34">
        <f t="shared" si="10"/>
        <v>-0.93424834993205419</v>
      </c>
      <c r="K50" s="34">
        <f t="shared" si="10"/>
        <v>-1.0846599657425551</v>
      </c>
      <c r="L50" s="34">
        <f t="shared" si="10"/>
        <v>-0.54232998287127754</v>
      </c>
      <c r="M50" s="34">
        <f t="shared" si="10"/>
        <v>0</v>
      </c>
      <c r="N50" s="34">
        <f t="shared" si="10"/>
        <v>0</v>
      </c>
      <c r="O50" s="34">
        <f t="shared" si="10"/>
        <v>0</v>
      </c>
      <c r="P50" s="34">
        <f t="shared" si="10"/>
        <v>0</v>
      </c>
      <c r="Q50" s="34">
        <f t="shared" si="10"/>
        <v>0</v>
      </c>
      <c r="R50" s="34">
        <f t="shared" si="10"/>
        <v>0</v>
      </c>
      <c r="S50" s="34">
        <f t="shared" si="10"/>
        <v>0</v>
      </c>
      <c r="T50" s="34">
        <f t="shared" si="10"/>
        <v>0</v>
      </c>
      <c r="U50" s="34">
        <f t="shared" si="10"/>
        <v>0</v>
      </c>
      <c r="V50" s="34">
        <f t="shared" si="10"/>
        <v>0</v>
      </c>
      <c r="W50" s="34">
        <f t="shared" si="10"/>
        <v>0</v>
      </c>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row>
    <row r="51" spans="2:48" outlineLevel="1" x14ac:dyDescent="0.2">
      <c r="B51" s="26" t="s">
        <v>102</v>
      </c>
      <c r="C51" s="34"/>
      <c r="D51" s="34">
        <f>'Input data'!D30-$C$46*((D12-C12)-('Input data'!D13-'Input data'!C13))</f>
        <v>2.454758</v>
      </c>
      <c r="E51" s="34">
        <f>'Input data'!E30-$C$46*((E12-D12)-('Input data'!E13-'Input data'!D13))</f>
        <v>0.70371839999999997</v>
      </c>
      <c r="F51" s="34">
        <f>'Input data'!F30-$C$46*((F12-E12)-('Input data'!F13-'Input data'!E13))</f>
        <v>0.72849039999999998</v>
      </c>
      <c r="G51" s="34">
        <f>'Input data'!G30-$C$46*((G12-F12))</f>
        <v>0.88990200000000008</v>
      </c>
      <c r="H51" s="34">
        <f>'Input data'!H30-$C$46*((H12-G12))</f>
        <v>-0.12688599999999994</v>
      </c>
      <c r="I51" s="34">
        <f>'Input data'!I30-$C$46*((I12-H12))</f>
        <v>-0.32930079999999995</v>
      </c>
      <c r="J51" s="34">
        <f>'Input data'!J30-$C$46*((J12-I12))</f>
        <v>-0.39495749999999996</v>
      </c>
      <c r="K51" s="34">
        <f>'Input data'!K30-$C$46*((K12-J12))</f>
        <v>0.34188239999999998</v>
      </c>
      <c r="L51" s="34">
        <f>'Input data'!L30-$C$46*((L12-K12))</f>
        <v>0.35059990000000002</v>
      </c>
      <c r="M51" s="34">
        <f>'Input data'!M30-$C$46*((M12-L12))</f>
        <v>0.37322290000000002</v>
      </c>
      <c r="N51" s="34">
        <f>'Input data'!N30-$C$46*((N12-M12))</f>
        <v>0.40285549999999998</v>
      </c>
      <c r="O51" s="34">
        <f>'Input data'!O30-$C$46*((O12-N12))</f>
        <v>0.3851077</v>
      </c>
      <c r="P51" s="34">
        <f>'Input data'!P30-$C$46*((P12-O12))</f>
        <v>0.5697139</v>
      </c>
      <c r="Q51" s="34">
        <f>'Input data'!Q30-$C$46*((Q12-P12))</f>
        <v>0.75431990000000004</v>
      </c>
      <c r="R51" s="34">
        <f>'Input data'!R30-$C$46*((R12-Q12))</f>
        <v>0.93892149999999996</v>
      </c>
      <c r="S51" s="34">
        <f>'Input data'!S30-$C$46*((S12-R12))</f>
        <v>1.0421119999999999</v>
      </c>
      <c r="T51" s="34">
        <f>'Input data'!T30-$C$46*((T12-S12))</f>
        <v>1.1754</v>
      </c>
      <c r="U51" s="34">
        <f>'Input data'!U30-$C$46*((U12-T12))</f>
        <v>1.328999</v>
      </c>
      <c r="V51" s="34">
        <f>'Input data'!V30-$C$46*((V12-U12))</f>
        <v>1.5112289999999999</v>
      </c>
      <c r="W51" s="34">
        <f>'Input data'!W30-$C$46*((W12-V12))</f>
        <v>1.5410790000000001</v>
      </c>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row>
    <row r="52" spans="2:48" x14ac:dyDescent="0.2">
      <c r="C52" s="36"/>
    </row>
    <row r="53" spans="2:48" s="67" customFormat="1" ht="12.75" outlineLevel="1" x14ac:dyDescent="0.2">
      <c r="B53" s="72" t="s">
        <v>103</v>
      </c>
      <c r="C53" s="69"/>
      <c r="E53" s="70"/>
      <c r="F53" s="69"/>
    </row>
    <row r="54" spans="2:48" outlineLevel="1" x14ac:dyDescent="0.2">
      <c r="B54" s="43"/>
      <c r="C54" s="29"/>
      <c r="E54" s="44"/>
      <c r="F54" s="29"/>
    </row>
    <row r="55" spans="2:48" outlineLevel="1" x14ac:dyDescent="0.2">
      <c r="B55" s="85"/>
      <c r="C55" s="86">
        <v>2021</v>
      </c>
      <c r="D55" s="86">
        <v>2022</v>
      </c>
      <c r="E55" s="86">
        <v>2023</v>
      </c>
      <c r="F55" s="86">
        <v>2024</v>
      </c>
      <c r="G55" s="86">
        <v>2025</v>
      </c>
      <c r="H55" s="86">
        <v>2026</v>
      </c>
      <c r="I55" s="86">
        <v>2027</v>
      </c>
      <c r="J55" s="86">
        <v>2028</v>
      </c>
      <c r="K55" s="86">
        <v>2029</v>
      </c>
      <c r="L55" s="86">
        <v>2030</v>
      </c>
      <c r="M55" s="86">
        <v>2031</v>
      </c>
      <c r="N55" s="86">
        <v>2032</v>
      </c>
      <c r="O55" s="86">
        <v>2033</v>
      </c>
      <c r="P55" s="86">
        <v>2034</v>
      </c>
      <c r="Q55" s="86">
        <v>2035</v>
      </c>
      <c r="R55" s="86">
        <v>2036</v>
      </c>
      <c r="S55" s="86">
        <v>2037</v>
      </c>
      <c r="T55" s="86">
        <v>2038</v>
      </c>
      <c r="U55" s="86">
        <v>2039</v>
      </c>
      <c r="V55" s="86">
        <v>2040</v>
      </c>
      <c r="W55" s="86">
        <v>2041</v>
      </c>
    </row>
    <row r="56" spans="2:48" ht="10.5" customHeight="1" outlineLevel="1" x14ac:dyDescent="0.2">
      <c r="B56" s="87" t="s">
        <v>104</v>
      </c>
      <c r="C56" s="45">
        <f>+'Input data'!C12</f>
        <v>112.97329999999999</v>
      </c>
      <c r="D56" s="45">
        <f>+C56+D57</f>
        <v>111.9181670256222</v>
      </c>
      <c r="E56" s="45">
        <f t="shared" ref="E56:T56" si="11">+D56+E57</f>
        <v>110.64326790048331</v>
      </c>
      <c r="F56" s="45">
        <f>+E56+F57</f>
        <v>112.40882173205914</v>
      </c>
      <c r="G56" s="45">
        <f>+F56+G57</f>
        <v>113.96873574495558</v>
      </c>
      <c r="H56" s="45">
        <f>+G56+H57</f>
        <v>115.77838065922458</v>
      </c>
      <c r="I56" s="45">
        <f t="shared" si="11"/>
        <v>116.92117165766111</v>
      </c>
      <c r="J56" s="45">
        <f t="shared" si="11"/>
        <v>117.28270034717907</v>
      </c>
      <c r="K56" s="45">
        <f>+J56+K57</f>
        <v>116.98679418946153</v>
      </c>
      <c r="L56" s="45">
        <f t="shared" si="11"/>
        <v>116.01715195408033</v>
      </c>
      <c r="M56" s="45">
        <f t="shared" si="11"/>
        <v>114.66784512947714</v>
      </c>
      <c r="N56" s="45">
        <f t="shared" si="11"/>
        <v>113.90951420591533</v>
      </c>
      <c r="O56" s="46">
        <f t="shared" si="11"/>
        <v>113.20266603255503</v>
      </c>
      <c r="P56" s="46">
        <f>+O56+P57</f>
        <v>112.4230195553843</v>
      </c>
      <c r="Q56" s="46">
        <f t="shared" si="11"/>
        <v>111.51724731139043</v>
      </c>
      <c r="R56" s="46">
        <f t="shared" si="11"/>
        <v>110.48771945572528</v>
      </c>
      <c r="S56" s="46">
        <f t="shared" si="11"/>
        <v>109.42577989640755</v>
      </c>
      <c r="T56" s="46">
        <f t="shared" si="11"/>
        <v>108.29594799068535</v>
      </c>
      <c r="U56" s="46">
        <f t="shared" ref="U56" si="12">+T56+U57</f>
        <v>107.07114148085759</v>
      </c>
      <c r="V56" s="46">
        <f t="shared" ref="V56" si="13">+U56+V57</f>
        <v>105.70933501360727</v>
      </c>
      <c r="W56" s="46">
        <f t="shared" ref="W56" si="14">+V56+W57</f>
        <v>104.42253943069194</v>
      </c>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row>
    <row r="57" spans="2:48" outlineLevel="1" x14ac:dyDescent="0.2">
      <c r="B57" s="88" t="s">
        <v>105</v>
      </c>
      <c r="C57" s="47"/>
      <c r="D57" s="47">
        <f>-D58+D66+D71</f>
        <v>-1.0551329743777931</v>
      </c>
      <c r="E57" s="47">
        <f t="shared" ref="E57:S57" si="15">-E58+E66+E71</f>
        <v>-1.2748991251388937</v>
      </c>
      <c r="F57" s="47">
        <f>-F58+F66+F71</f>
        <v>1.7655538315758266</v>
      </c>
      <c r="G57" s="47">
        <f>-G58+G66+G71</f>
        <v>1.559914012896445</v>
      </c>
      <c r="H57" s="47">
        <f>-H58+H66+H71</f>
        <v>1.8096449142689994</v>
      </c>
      <c r="I57" s="47">
        <f t="shared" si="15"/>
        <v>1.1427909984365296</v>
      </c>
      <c r="J57" s="47">
        <f t="shared" si="15"/>
        <v>0.36152868951796968</v>
      </c>
      <c r="K57" s="47">
        <f t="shared" si="15"/>
        <v>-0.29590615771753759</v>
      </c>
      <c r="L57" s="47">
        <f t="shared" si="15"/>
        <v>-0.96964223538120631</v>
      </c>
      <c r="M57" s="47">
        <f t="shared" si="15"/>
        <v>-1.3493068246031934</v>
      </c>
      <c r="N57" s="47">
        <f t="shared" si="15"/>
        <v>-0.75833092356182075</v>
      </c>
      <c r="O57" s="47">
        <f t="shared" si="15"/>
        <v>-0.70684817336029859</v>
      </c>
      <c r="P57" s="47">
        <f>-P58+P66+P71</f>
        <v>-0.7796464771707351</v>
      </c>
      <c r="Q57" s="47">
        <f t="shared" si="15"/>
        <v>-0.90577224399386935</v>
      </c>
      <c r="R57" s="47">
        <f t="shared" si="15"/>
        <v>-1.029527855665157</v>
      </c>
      <c r="S57" s="47">
        <f t="shared" si="15"/>
        <v>-1.0619395593177421</v>
      </c>
      <c r="T57" s="47">
        <f>-T58+T66+T71</f>
        <v>-1.1298319057222055</v>
      </c>
      <c r="U57" s="47">
        <f>-U58+U66+U71</f>
        <v>-1.2248065098277572</v>
      </c>
      <c r="V57" s="47">
        <f t="shared" ref="V57:W57" si="16">-V58+V66+V71</f>
        <v>-1.3618064672503214</v>
      </c>
      <c r="W57" s="47">
        <f t="shared" si="16"/>
        <v>-1.2867955829153312</v>
      </c>
    </row>
    <row r="58" spans="2:48" outlineLevel="1" x14ac:dyDescent="0.2">
      <c r="B58" s="84" t="s">
        <v>106</v>
      </c>
      <c r="C58" s="48"/>
      <c r="D58" s="48">
        <f>D59+D60-D61-D62-D63-D64-D65</f>
        <v>-2.836606425622207</v>
      </c>
      <c r="E58" s="48">
        <f t="shared" ref="E58:S58" si="17">E59+E60-E61-E62-E63-E64-E65</f>
        <v>-3.7683152748611062</v>
      </c>
      <c r="F58" s="48">
        <f t="shared" si="17"/>
        <v>-3.2777546315758266</v>
      </c>
      <c r="G58" s="48">
        <f t="shared" si="17"/>
        <v>-2.4020138489780209</v>
      </c>
      <c r="H58" s="48">
        <f t="shared" si="17"/>
        <v>-1.7564308662398751</v>
      </c>
      <c r="I58" s="48">
        <f t="shared" si="17"/>
        <v>-1.0312556906857915</v>
      </c>
      <c r="J58" s="48">
        <f t="shared" si="17"/>
        <v>-0.2333946676267149</v>
      </c>
      <c r="K58" s="48">
        <f t="shared" si="17"/>
        <v>0.13548612158218931</v>
      </c>
      <c r="L58" s="48">
        <f t="shared" si="17"/>
        <v>0.49168691079111138</v>
      </c>
      <c r="M58" s="48">
        <f t="shared" si="17"/>
        <v>0.84736770000000017</v>
      </c>
      <c r="N58" s="48">
        <f t="shared" si="17"/>
        <v>0.84525371186669451</v>
      </c>
      <c r="O58" s="48">
        <f t="shared" si="17"/>
        <v>0.80919830634127676</v>
      </c>
      <c r="P58" s="48">
        <f t="shared" si="17"/>
        <v>0.76236358677985561</v>
      </c>
      <c r="Q58" s="48">
        <f t="shared" si="17"/>
        <v>0.76657930055543932</v>
      </c>
      <c r="R58" s="48">
        <f t="shared" si="17"/>
        <v>0.76677286228137276</v>
      </c>
      <c r="S58" s="48">
        <f t="shared" si="17"/>
        <v>0.76359700928640739</v>
      </c>
      <c r="T58" s="48">
        <f>T59+T60-T61-T62-T63-T64-T65</f>
        <v>0.76108741856201834</v>
      </c>
      <c r="U58" s="48">
        <f>U59+U60-U61-U62-U63-U64-U65</f>
        <v>0.7630290750876243</v>
      </c>
      <c r="V58" s="48">
        <f t="shared" ref="V58:W58" si="18">V59+V60-V61-V62-V63-V64-V65</f>
        <v>0.77715959260343381</v>
      </c>
      <c r="W58" s="48">
        <f t="shared" si="18"/>
        <v>0.73881497435795818</v>
      </c>
    </row>
    <row r="59" spans="2:48" outlineLevel="1" x14ac:dyDescent="0.2">
      <c r="B59" s="79" t="s">
        <v>107</v>
      </c>
      <c r="C59" s="1"/>
      <c r="D59" s="1">
        <f>D12</f>
        <v>-2.9834649999999998</v>
      </c>
      <c r="E59" s="1">
        <f>E12</f>
        <v>-3.6529590000000001</v>
      </c>
      <c r="F59" s="1">
        <f>F12</f>
        <v>-2.968391</v>
      </c>
      <c r="G59" s="1">
        <f t="shared" ref="G59:W59" si="19">IF(G12="",F59,G12)</f>
        <v>-2.0283910000000001</v>
      </c>
      <c r="H59" s="1">
        <f t="shared" si="19"/>
        <v>-1.0883910000000001</v>
      </c>
      <c r="I59" s="1">
        <f t="shared" si="19"/>
        <v>-0.14839100000000016</v>
      </c>
      <c r="J59" s="1">
        <f t="shared" si="19"/>
        <v>0.79160899999999979</v>
      </c>
      <c r="K59" s="1">
        <f t="shared" si="19"/>
        <v>0.79160899999999979</v>
      </c>
      <c r="L59" s="1">
        <f t="shared" si="19"/>
        <v>0.79160899999999979</v>
      </c>
      <c r="M59" s="1">
        <f t="shared" si="19"/>
        <v>0.79160899999999979</v>
      </c>
      <c r="N59" s="1">
        <f t="shared" si="19"/>
        <v>0.79160899999999979</v>
      </c>
      <c r="O59" s="1">
        <f t="shared" si="19"/>
        <v>0.79160899999999979</v>
      </c>
      <c r="P59" s="1">
        <f t="shared" si="19"/>
        <v>0.79160899999999979</v>
      </c>
      <c r="Q59" s="1">
        <f t="shared" si="19"/>
        <v>0.79160899999999979</v>
      </c>
      <c r="R59" s="1">
        <f t="shared" si="19"/>
        <v>0.79160899999999979</v>
      </c>
      <c r="S59" s="1">
        <f t="shared" si="19"/>
        <v>0.79160899999999979</v>
      </c>
      <c r="T59" s="1">
        <f t="shared" si="19"/>
        <v>0.79160899999999979</v>
      </c>
      <c r="U59" s="1">
        <f t="shared" si="19"/>
        <v>0.79160899999999979</v>
      </c>
      <c r="V59" s="1">
        <f t="shared" si="19"/>
        <v>0.79160899999999979</v>
      </c>
      <c r="W59" s="1">
        <f t="shared" si="19"/>
        <v>0.79160899999999979</v>
      </c>
    </row>
    <row r="60" spans="2:48" outlineLevel="1" x14ac:dyDescent="0.2">
      <c r="B60" s="79" t="s">
        <v>108</v>
      </c>
      <c r="C60" s="1"/>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c r="V60" s="1">
        <v>0</v>
      </c>
      <c r="W60" s="1">
        <v>0</v>
      </c>
    </row>
    <row r="61" spans="2:48" outlineLevel="1" x14ac:dyDescent="0.2">
      <c r="B61" s="79" t="s">
        <v>109</v>
      </c>
      <c r="C61" s="1"/>
      <c r="D61" s="1">
        <f t="shared" ref="D61:W61" si="20">-$C$47*D29</f>
        <v>-0.21885307437779322</v>
      </c>
      <c r="E61" s="1">
        <f t="shared" si="20"/>
        <v>5.1141674861106101E-2</v>
      </c>
      <c r="F61" s="1">
        <f t="shared" si="20"/>
        <v>0.27490083157582657</v>
      </c>
      <c r="G61" s="1">
        <f t="shared" si="20"/>
        <v>0.34360494897802119</v>
      </c>
      <c r="H61" s="1">
        <f t="shared" si="20"/>
        <v>0.66803986623987499</v>
      </c>
      <c r="I61" s="1">
        <f t="shared" si="20"/>
        <v>0.88286469068579121</v>
      </c>
      <c r="J61" s="1">
        <f t="shared" si="20"/>
        <v>1.0250036676267147</v>
      </c>
      <c r="K61" s="1">
        <f t="shared" si="20"/>
        <v>0.68333577841781445</v>
      </c>
      <c r="L61" s="1">
        <f t="shared" si="20"/>
        <v>0.34166788920889324</v>
      </c>
      <c r="M61" s="1">
        <f t="shared" si="20"/>
        <v>0</v>
      </c>
      <c r="N61" s="1">
        <f t="shared" si="20"/>
        <v>-3.0118666920486703E-6</v>
      </c>
      <c r="O61" s="1">
        <f t="shared" si="20"/>
        <v>-4.7063412766945589E-6</v>
      </c>
      <c r="P61" s="1">
        <f t="shared" si="20"/>
        <v>-7.0867798549478778E-6</v>
      </c>
      <c r="Q61" s="1">
        <f t="shared" si="20"/>
        <v>-9.9005554414777208E-6</v>
      </c>
      <c r="R61" s="1">
        <f t="shared" si="20"/>
        <v>-1.0462281371248494E-5</v>
      </c>
      <c r="S61" s="1">
        <f t="shared" si="20"/>
        <v>-1.1709286402483698E-5</v>
      </c>
      <c r="T61" s="1">
        <f t="shared" si="20"/>
        <v>-9.2185620177431815E-6</v>
      </c>
      <c r="U61" s="1">
        <f t="shared" si="20"/>
        <v>-7.97508762229171E-6</v>
      </c>
      <c r="V61" s="1">
        <f t="shared" si="20"/>
        <v>-5.4926034300795123E-6</v>
      </c>
      <c r="W61" s="1">
        <f t="shared" si="20"/>
        <v>-7.9743579519675478E-6</v>
      </c>
    </row>
    <row r="62" spans="2:48" outlineLevel="1" x14ac:dyDescent="0.2">
      <c r="B62" s="79" t="s">
        <v>110</v>
      </c>
      <c r="C62" s="1"/>
      <c r="D62" s="1">
        <f t="shared" ref="D62:W62" si="21">-D13</f>
        <v>7.1994500000000003E-2</v>
      </c>
      <c r="E62" s="1">
        <f t="shared" si="21"/>
        <v>6.4214599999999997E-2</v>
      </c>
      <c r="F62" s="1">
        <f t="shared" si="21"/>
        <v>3.4462800000000002E-2</v>
      </c>
      <c r="G62" s="1">
        <f t="shared" si="21"/>
        <v>3.00179E-2</v>
      </c>
      <c r="H62" s="1">
        <f t="shared" si="21"/>
        <v>0</v>
      </c>
      <c r="I62" s="1">
        <f t="shared" si="21"/>
        <v>0</v>
      </c>
      <c r="J62" s="1">
        <f t="shared" si="21"/>
        <v>0</v>
      </c>
      <c r="K62" s="1">
        <f t="shared" si="21"/>
        <v>0</v>
      </c>
      <c r="L62" s="1">
        <f t="shared" si="21"/>
        <v>0</v>
      </c>
      <c r="M62" s="1">
        <f t="shared" si="21"/>
        <v>0</v>
      </c>
      <c r="N62" s="1">
        <f t="shared" si="21"/>
        <v>0</v>
      </c>
      <c r="O62" s="1">
        <f t="shared" si="21"/>
        <v>0</v>
      </c>
      <c r="P62" s="1">
        <f t="shared" si="21"/>
        <v>0</v>
      </c>
      <c r="Q62" s="1">
        <f t="shared" si="21"/>
        <v>0</v>
      </c>
      <c r="R62" s="1">
        <f t="shared" si="21"/>
        <v>0</v>
      </c>
      <c r="S62" s="1">
        <f t="shared" si="21"/>
        <v>0</v>
      </c>
      <c r="T62" s="1">
        <f t="shared" si="21"/>
        <v>0</v>
      </c>
      <c r="U62" s="1">
        <f t="shared" si="21"/>
        <v>0</v>
      </c>
      <c r="V62" s="1">
        <f t="shared" si="21"/>
        <v>0</v>
      </c>
      <c r="W62" s="1">
        <f t="shared" si="21"/>
        <v>0</v>
      </c>
    </row>
    <row r="63" spans="2:48" outlineLevel="1" x14ac:dyDescent="0.2">
      <c r="B63" s="79" t="s">
        <v>111</v>
      </c>
      <c r="C63" s="1"/>
      <c r="D63" s="1">
        <f>IF(D$55&lt;=$C$6,0,HLOOKUP(D$55,'Input data'!$C$9:$BB$26,12,FALSE)-HLOOKUP($C$6,'Input data'!$C$9:$BB$26,12,FALSE))</f>
        <v>0</v>
      </c>
      <c r="E63" s="1">
        <f>IF(E$55&lt;=$C$6,0,HLOOKUP(E$55,'Input data'!$C$9:$BB$26,12,FALSE)-HLOOKUP($C$6,'Input data'!$C$9:$BB$26,12,FALSE))</f>
        <v>0</v>
      </c>
      <c r="F63" s="1">
        <f>IF(F$55&lt;=$C$6,0,HLOOKUP(F$55,'Input data'!$C$9:$BB$26,12,FALSE)-HLOOKUP($C$6,'Input data'!$C$9:$BB$26,12,FALSE))</f>
        <v>0</v>
      </c>
      <c r="G63" s="1">
        <f>IF(G$55&lt;=$C$6,0,HLOOKUP(G$55,'Input data'!$C$9:$BB$26,12,FALSE)-HLOOKUP($C$6,'Input data'!$C$9:$BB$26,12,FALSE))</f>
        <v>0</v>
      </c>
      <c r="H63" s="1">
        <f>IF(H$55&lt;=$C$6,0,HLOOKUP(H$55,'Input data'!$C$9:$BB$26,12,FALSE)-HLOOKUP($C$6,'Input data'!$C$9:$BB$26,12,FALSE))</f>
        <v>0</v>
      </c>
      <c r="I63" s="1">
        <f>IF(I$55&lt;=$C$6,0,HLOOKUP(I$55,'Input data'!$C$9:$BB$26,12,FALSE)-HLOOKUP($C$6,'Input data'!$C$9:$BB$26,12,FALSE))</f>
        <v>0</v>
      </c>
      <c r="J63" s="1">
        <f>IF(J$55&lt;=$C$6,0,HLOOKUP(J$55,'Input data'!$C$9:$BB$26,12,FALSE)-HLOOKUP($C$6,'Input data'!$C$9:$BB$26,12,FALSE))</f>
        <v>0</v>
      </c>
      <c r="K63" s="1">
        <f>IF(K$55&lt;=$C$6,0,HLOOKUP(K$55,'Input data'!$C$9:$BB$26,12,FALSE)-HLOOKUP($C$6,'Input data'!$C$9:$BB$26,12,FALSE))</f>
        <v>-2.7580000000003935E-2</v>
      </c>
      <c r="L63" s="1">
        <f>IF(L$55&lt;=$C$6,0,HLOOKUP(L$55,'Input data'!$C$9:$BB$26,12,FALSE)-HLOOKUP($C$6,'Input data'!$C$9:$BB$26,12,FALSE))</f>
        <v>-4.2480000000004736E-2</v>
      </c>
      <c r="M63" s="1">
        <f>IF(M$55&lt;=$C$6,0,HLOOKUP(M$55,'Input data'!$C$9:$BB$26,12,FALSE)-HLOOKUP($C$6,'Input data'!$C$9:$BB$26,12,FALSE))</f>
        <v>-5.6860000000000355E-2</v>
      </c>
      <c r="N63" s="1">
        <f>IF(N$55&lt;=$C$6,0,HLOOKUP(N$55,'Input data'!$C$9:$BB$26,12,FALSE)-HLOOKUP($C$6,'Input data'!$C$9:$BB$26,12,FALSE))</f>
        <v>-5.5110000000002657E-2</v>
      </c>
      <c r="O63" s="1">
        <f>IF(O$55&lt;=$C$6,0,HLOOKUP(O$55,'Input data'!$C$9:$BB$26,12,FALSE)-HLOOKUP($C$6,'Input data'!$C$9:$BB$26,12,FALSE))</f>
        <v>-1.9420000000000215E-2</v>
      </c>
      <c r="P63" s="1">
        <f>IF(P$55&lt;=$C$6,0,HLOOKUP(P$55,'Input data'!$C$9:$BB$26,12,FALSE)-HLOOKUP($C$6,'Input data'!$C$9:$BB$26,12,FALSE))</f>
        <v>2.704999999999913E-2</v>
      </c>
      <c r="Q63" s="1">
        <f>IF(Q$55&lt;=$C$6,0,HLOOKUP(Q$55,'Input data'!$C$9:$BB$26,12,FALSE)-HLOOKUP($C$6,'Input data'!$C$9:$BB$26,12,FALSE))</f>
        <v>2.2470000000001988E-2</v>
      </c>
      <c r="R63" s="1">
        <f>IF(R$55&lt;=$C$6,0,HLOOKUP(R$55,'Input data'!$C$9:$BB$26,12,FALSE)-HLOOKUP($C$6,'Input data'!$C$9:$BB$26,12,FALSE))</f>
        <v>2.190999999999832E-2</v>
      </c>
      <c r="S63" s="1">
        <f>IF(S$55&lt;=$C$6,0,HLOOKUP(S$55,'Input data'!$C$9:$BB$26,12,FALSE)-HLOOKUP($C$6,'Input data'!$C$9:$BB$26,12,FALSE))</f>
        <v>2.4719999999994968E-2</v>
      </c>
      <c r="T63" s="1">
        <f>IF(T$55&lt;=$C$6,0,HLOOKUP(T$55,'Input data'!$C$9:$BB$26,12,FALSE)-HLOOKUP($C$6,'Input data'!$C$9:$BB$26,12,FALSE))</f>
        <v>2.6859999999999218E-2</v>
      </c>
      <c r="U63" s="1">
        <f>IF(U$55&lt;=$C$6,0,HLOOKUP(U$55,'Input data'!$C$9:$BB$26,12,FALSE)-HLOOKUP($C$6,'Input data'!$C$9:$BB$26,12,FALSE))</f>
        <v>2.4549999999997851E-2</v>
      </c>
      <c r="V63" s="1">
        <f>IF(V$55&lt;=$C$6,0,HLOOKUP(V$55,'Input data'!$C$9:$BB$26,12,FALSE)-HLOOKUP($C$6,'Input data'!$C$9:$BB$26,12,FALSE))</f>
        <v>1.0049999999996118E-2</v>
      </c>
      <c r="W63" s="1">
        <f>IF(W$55&lt;=$C$6,0,HLOOKUP(W$55,'Input data'!$C$9:$BB$26,12,FALSE)-HLOOKUP($C$6,'Input data'!$C$9:$BB$26,12,FALSE))</f>
        <v>4.8029999999993578E-2</v>
      </c>
    </row>
    <row r="64" spans="2:48" outlineLevel="1" x14ac:dyDescent="0.2">
      <c r="B64" s="79" t="s">
        <v>112</v>
      </c>
      <c r="C64" s="1"/>
      <c r="D64" s="1">
        <f>IF(D$55&lt;=$C$5,0,-HLOOKUP(D$55,'Input data'!$C$9:$BB$26,18,FALSE)+HLOOKUP($C$6,'Input data'!$C$9:$BB$26,18,FALSE))</f>
        <v>0</v>
      </c>
      <c r="E64" s="1">
        <f>IF(E$55&lt;=$C$5,0,-HLOOKUP(E$55,'Input data'!$C$9:$BB$26,18,FALSE)+HLOOKUP($C$6,'Input data'!$C$9:$BB$26,18,FALSE))</f>
        <v>0</v>
      </c>
      <c r="F64" s="1">
        <f>IF(F$55&lt;=$C$5,0,-HLOOKUP(F$55,'Input data'!$C$9:$BB$26,18,FALSE)+HLOOKUP($C$6,'Input data'!$C$9:$BB$26,18,FALSE))</f>
        <v>0</v>
      </c>
      <c r="G64" s="1">
        <f>IF(G$55&lt;=$C$6,0,-HLOOKUP(G$55,'Input data'!$C$9:$BB$26,18,FALSE)+HLOOKUP($C$6,'Input data'!$C$9:$BB$26,18,FALSE))</f>
        <v>0</v>
      </c>
      <c r="H64" s="1">
        <f>IF(H$55&lt;=$C$6,0,-HLOOKUP(H$55,'Input data'!$C$9:$BB$26,18,FALSE)+HLOOKUP($C$6,'Input data'!$C$9:$BB$26,18,FALSE))</f>
        <v>0</v>
      </c>
      <c r="I64" s="1">
        <f>IF(I$55&lt;=$C$6,0,-HLOOKUP(I$55,'Input data'!$C$9:$BB$26,18,FALSE)+HLOOKUP($C$6,'Input data'!$C$9:$BB$26,18,FALSE))</f>
        <v>0</v>
      </c>
      <c r="J64" s="1">
        <f>IF(J$55&lt;=$C$6,0,-HLOOKUP(J$55,'Input data'!$C$9:$BB$26,18,FALSE)+HLOOKUP($C$6,'Input data'!$C$9:$BB$26,18,FALSE))</f>
        <v>0</v>
      </c>
      <c r="K64" s="1">
        <f>IF(K$55&lt;=$C$6,0,-HLOOKUP(K$55,'Input data'!$C$9:$BB$26,18,FALSE)+HLOOKUP($C$6,'Input data'!$C$9:$BB$26,18,FALSE))</f>
        <v>3.6709999999995357E-4</v>
      </c>
      <c r="L64" s="1">
        <f>IF(L$55&lt;=$C$6,0,-HLOOKUP(L$55,'Input data'!$C$9:$BB$26,18,FALSE)+HLOOKUP($C$6,'Input data'!$C$9:$BB$26,18,FALSE))</f>
        <v>7.3419999999990715E-4</v>
      </c>
      <c r="M64" s="1">
        <f>IF(M$55&lt;=$C$6,0,-HLOOKUP(M$55,'Input data'!$C$9:$BB$26,18,FALSE)+HLOOKUP($C$6,'Input data'!$C$9:$BB$26,18,FALSE))</f>
        <v>1.1012999999999717E-3</v>
      </c>
      <c r="N64" s="1">
        <f>IF(N$55&lt;=$C$6,0,-HLOOKUP(N$55,'Input data'!$C$9:$BB$26,18,FALSE)+HLOOKUP($C$6,'Input data'!$C$9:$BB$26,18,FALSE))</f>
        <v>1.468299999999978E-3</v>
      </c>
      <c r="O64" s="1">
        <f>IF(O$55&lt;=$C$6,0,-HLOOKUP(O$55,'Input data'!$C$9:$BB$26,18,FALSE)+HLOOKUP($C$6,'Input data'!$C$9:$BB$26,18,FALSE))</f>
        <v>1.8353999999999315E-3</v>
      </c>
      <c r="P64" s="1">
        <f>IF(P$55&lt;=$C$6,0,-HLOOKUP(P$55,'Input data'!$C$9:$BB$26,18,FALSE)+HLOOKUP($C$6,'Input data'!$C$9:$BB$26,18,FALSE))</f>
        <v>2.2024999999999961E-3</v>
      </c>
      <c r="Q64" s="1">
        <f>IF(Q$55&lt;=$C$6,0,-HLOOKUP(Q$55,'Input data'!$C$9:$BB$26,18,FALSE)+HLOOKUP($C$6,'Input data'!$C$9:$BB$26,18,FALSE))</f>
        <v>2.5695999999999497E-3</v>
      </c>
      <c r="R64" s="1">
        <f>IF(R$55&lt;=$C$6,0,-HLOOKUP(R$55,'Input data'!$C$9:$BB$26,18,FALSE)+HLOOKUP($C$6,'Input data'!$C$9:$BB$26,18,FALSE))</f>
        <v>2.9365999999999559E-3</v>
      </c>
      <c r="S64" s="1">
        <f>IF(S$55&lt;=$C$6,0,-HLOOKUP(S$55,'Input data'!$C$9:$BB$26,18,FALSE)+HLOOKUP($C$6,'Input data'!$C$9:$BB$26,18,FALSE))</f>
        <v>3.3036999999999095E-3</v>
      </c>
      <c r="T64" s="1">
        <f>IF(T$55&lt;=$C$6,0,-HLOOKUP(T$55,'Input data'!$C$9:$BB$26,18,FALSE)+HLOOKUP($C$6,'Input data'!$C$9:$BB$26,18,FALSE))</f>
        <v>3.6707999999999741E-3</v>
      </c>
      <c r="U64" s="1">
        <f>IF(U$55&lt;=$C$6,0,-HLOOKUP(U$55,'Input data'!$C$9:$BB$26,18,FALSE)+HLOOKUP($C$6,'Input data'!$C$9:$BB$26,18,FALSE))</f>
        <v>4.0378999999999277E-3</v>
      </c>
      <c r="V64" s="1">
        <f>IF(V$55&lt;=$C$6,0,-HLOOKUP(V$55,'Input data'!$C$9:$BB$26,18,FALSE)+HLOOKUP($C$6,'Input data'!$C$9:$BB$26,18,FALSE))</f>
        <v>4.4048999999999339E-3</v>
      </c>
      <c r="W64" s="1">
        <f>IF(W$55&lt;=$C$6,0,-HLOOKUP(W$55,'Input data'!$C$9:$BB$26,18,FALSE)+HLOOKUP($C$6,'Input data'!$C$9:$BB$26,18,FALSE))</f>
        <v>4.7719999999999985E-3</v>
      </c>
    </row>
    <row r="65" spans="2:23" outlineLevel="1" x14ac:dyDescent="0.2">
      <c r="B65" s="79" t="s">
        <v>113</v>
      </c>
      <c r="C65" s="37"/>
      <c r="D65" s="37">
        <v>0</v>
      </c>
      <c r="E65" s="37">
        <v>0</v>
      </c>
      <c r="F65" s="37">
        <v>0</v>
      </c>
      <c r="G65" s="37">
        <v>0</v>
      </c>
      <c r="H65" s="37">
        <v>0</v>
      </c>
      <c r="I65" s="37">
        <v>0</v>
      </c>
      <c r="J65" s="37">
        <v>0</v>
      </c>
      <c r="K65" s="37">
        <v>0</v>
      </c>
      <c r="L65" s="37">
        <v>0</v>
      </c>
      <c r="M65" s="37">
        <v>0</v>
      </c>
      <c r="N65" s="37">
        <v>0</v>
      </c>
      <c r="O65" s="37">
        <v>0</v>
      </c>
      <c r="P65" s="37">
        <v>0</v>
      </c>
      <c r="Q65" s="37">
        <v>0</v>
      </c>
      <c r="R65" s="37">
        <v>0</v>
      </c>
      <c r="S65" s="37">
        <v>0</v>
      </c>
      <c r="T65" s="37">
        <v>0</v>
      </c>
      <c r="U65" s="37">
        <v>0</v>
      </c>
      <c r="V65" s="37">
        <v>0</v>
      </c>
      <c r="W65" s="37">
        <v>0</v>
      </c>
    </row>
    <row r="66" spans="2:23" outlineLevel="1" x14ac:dyDescent="0.2">
      <c r="B66" s="84" t="s">
        <v>114</v>
      </c>
      <c r="C66" s="48"/>
      <c r="D66" s="48">
        <f t="shared" ref="D66:T66" si="22">SUM(D67:D70)</f>
        <v>-3.934345</v>
      </c>
      <c r="E66" s="48">
        <f t="shared" si="22"/>
        <v>-4.8243999999999998</v>
      </c>
      <c r="F66" s="48">
        <f t="shared" si="22"/>
        <v>-1.723009</v>
      </c>
      <c r="G66" s="48">
        <f>SUM(G67:G70)</f>
        <v>-0.87339043608157585</v>
      </c>
      <c r="H66" s="48">
        <f>SUM(H67:H70)</f>
        <v>5.3214048029124328E-2</v>
      </c>
      <c r="I66" s="48">
        <f t="shared" si="22"/>
        <v>0.11153530775073817</v>
      </c>
      <c r="J66" s="48">
        <f t="shared" si="22"/>
        <v>0.12813402189125478</v>
      </c>
      <c r="K66" s="48">
        <f t="shared" si="22"/>
        <v>-0.16042003613534828</v>
      </c>
      <c r="L66" s="48">
        <f t="shared" si="22"/>
        <v>-0.47795532459009493</v>
      </c>
      <c r="M66" s="48">
        <f t="shared" si="22"/>
        <v>-0.50193912460319323</v>
      </c>
      <c r="N66" s="48">
        <f t="shared" si="22"/>
        <v>8.6922788304873766E-2</v>
      </c>
      <c r="O66" s="48">
        <f t="shared" si="22"/>
        <v>0.10235013298097817</v>
      </c>
      <c r="P66" s="48">
        <f t="shared" si="22"/>
        <v>-1.7282890390879491E-2</v>
      </c>
      <c r="Q66" s="48">
        <f t="shared" si="22"/>
        <v>-0.13919294343843003</v>
      </c>
      <c r="R66" s="48">
        <f t="shared" si="22"/>
        <v>-0.26275499338378427</v>
      </c>
      <c r="S66" s="48">
        <f t="shared" si="22"/>
        <v>-0.29834255003133459</v>
      </c>
      <c r="T66" s="48">
        <f t="shared" si="22"/>
        <v>-0.36874448716018726</v>
      </c>
      <c r="U66" s="48">
        <f>SUM(U67:U70)</f>
        <v>-0.46177743474013289</v>
      </c>
      <c r="V66" s="48">
        <f t="shared" ref="V66:W66" si="23">SUM(V67:V70)</f>
        <v>-0.58464687464688758</v>
      </c>
      <c r="W66" s="48">
        <f t="shared" si="23"/>
        <v>-0.54798060855737307</v>
      </c>
    </row>
    <row r="67" spans="2:23" outlineLevel="1" x14ac:dyDescent="0.2">
      <c r="B67" s="79" t="s">
        <v>115</v>
      </c>
      <c r="C67" s="34"/>
      <c r="D67" s="34">
        <f>C56*D35/100*(1/(1+D32/100))</f>
        <v>1.9291893496307357</v>
      </c>
      <c r="E67" s="34">
        <f t="shared" ref="E67:F67" si="24">D56*E35/100*(1/(1+E32/100))</f>
        <v>1.7238798121764787</v>
      </c>
      <c r="F67" s="34">
        <f t="shared" si="24"/>
        <v>2.0358592181765802</v>
      </c>
      <c r="G67" s="34">
        <f>F56*G35/100*(1/(1+G32/100))</f>
        <v>2.3474680680281832</v>
      </c>
      <c r="H67" s="34">
        <f t="shared" ref="H67:W67" si="25">G56*H35/100*(1/(1+H32/100))</f>
        <v>2.5225987762565869</v>
      </c>
      <c r="I67" s="34">
        <f t="shared" si="25"/>
        <v>2.6782009948830963</v>
      </c>
      <c r="J67" s="34">
        <f t="shared" si="25"/>
        <v>2.8111947272607885</v>
      </c>
      <c r="K67" s="34">
        <f t="shared" si="25"/>
        <v>3.4889114605286844</v>
      </c>
      <c r="L67" s="34">
        <f t="shared" si="25"/>
        <v>3.2389502355383759</v>
      </c>
      <c r="M67" s="34">
        <f t="shared" si="25"/>
        <v>3.2758069430322139</v>
      </c>
      <c r="N67" s="34">
        <f t="shared" si="25"/>
        <v>3.3178598719499051</v>
      </c>
      <c r="O67" s="34">
        <f t="shared" si="25"/>
        <v>3.3609401231063343</v>
      </c>
      <c r="P67" s="34">
        <f t="shared" si="25"/>
        <v>3.3934953534495809</v>
      </c>
      <c r="Q67" s="34">
        <f t="shared" si="25"/>
        <v>3.4186728890371483</v>
      </c>
      <c r="R67" s="34">
        <f t="shared" si="25"/>
        <v>3.4350105128170543</v>
      </c>
      <c r="S67" s="34">
        <f t="shared" si="25"/>
        <v>3.4457329601112474</v>
      </c>
      <c r="T67" s="34">
        <f t="shared" si="25"/>
        <v>3.4502671604775821</v>
      </c>
      <c r="U67" s="34">
        <f t="shared" si="25"/>
        <v>3.4482031795903656</v>
      </c>
      <c r="V67" s="34">
        <f t="shared" si="25"/>
        <v>3.4387058779253881</v>
      </c>
      <c r="W67" s="34">
        <f t="shared" si="25"/>
        <v>3.4267752974750536</v>
      </c>
    </row>
    <row r="68" spans="2:23" outlineLevel="1" x14ac:dyDescent="0.2">
      <c r="B68" s="79" t="s">
        <v>116</v>
      </c>
      <c r="C68" s="34"/>
      <c r="D68" s="34">
        <f t="shared" ref="D68:W68" si="26">-C56*(D23/100)*(1/(1+D32/100))</f>
        <v>-2.6292855605448602</v>
      </c>
      <c r="E68" s="34">
        <f t="shared" si="26"/>
        <v>-0.74150728760413609</v>
      </c>
      <c r="F68" s="34">
        <f t="shared" si="26"/>
        <v>-0.77864258776474582</v>
      </c>
      <c r="G68" s="34">
        <f t="shared" si="26"/>
        <v>-0.97166587455257325</v>
      </c>
      <c r="H68" s="34">
        <f>-G56*(H23/100)*(1/(1+H32/100))</f>
        <v>-0.11948741461083527</v>
      </c>
      <c r="I68" s="34">
        <f t="shared" si="26"/>
        <v>-0.10894705467824994</v>
      </c>
      <c r="J68" s="34">
        <f t="shared" si="26"/>
        <v>-0.12996706025784929</v>
      </c>
      <c r="K68" s="34">
        <f t="shared" si="26"/>
        <v>-1.0170961212277587</v>
      </c>
      <c r="L68" s="34">
        <f t="shared" si="26"/>
        <v>-1.0203319524644634</v>
      </c>
      <c r="M68" s="34">
        <f t="shared" si="26"/>
        <v>-1.0332191755041071</v>
      </c>
      <c r="N68" s="34">
        <f t="shared" si="26"/>
        <v>-0.44892971309258828</v>
      </c>
      <c r="O68" s="34">
        <f t="shared" si="26"/>
        <v>-0.42612522927616969</v>
      </c>
      <c r="P68" s="34">
        <f t="shared" si="26"/>
        <v>-0.62549964580471151</v>
      </c>
      <c r="Q68" s="34">
        <f t="shared" si="26"/>
        <v>-0.82119151869750351</v>
      </c>
      <c r="R68" s="34">
        <f t="shared" si="26"/>
        <v>-1.0123402958575018</v>
      </c>
      <c r="S68" s="34">
        <f t="shared" si="26"/>
        <v>-1.1123883227941855</v>
      </c>
      <c r="T68" s="34">
        <f t="shared" si="26"/>
        <v>-1.2413019539960446</v>
      </c>
      <c r="U68" s="34">
        <f t="shared" si="26"/>
        <v>-1.3872884625720912</v>
      </c>
      <c r="V68" s="34">
        <f t="shared" si="26"/>
        <v>-1.5572880671205818</v>
      </c>
      <c r="W68" s="34">
        <f t="shared" si="26"/>
        <v>-1.5678102343652236</v>
      </c>
    </row>
    <row r="69" spans="2:23" outlineLevel="1" x14ac:dyDescent="0.2">
      <c r="B69" s="79" t="s">
        <v>117</v>
      </c>
      <c r="C69" s="34"/>
      <c r="D69" s="34">
        <f t="shared" ref="D69:T69" si="27">-C56*D41/100*(1/(1+D41/100))</f>
        <v>-3.2342479962921198</v>
      </c>
      <c r="E69" s="34">
        <f t="shared" si="27"/>
        <v>-5.8067720664528109</v>
      </c>
      <c r="F69" s="34">
        <f t="shared" si="27"/>
        <v>-2.9802260447603599</v>
      </c>
      <c r="G69" s="34">
        <f t="shared" si="27"/>
        <v>-2.2491919522042716</v>
      </c>
      <c r="H69" s="34">
        <f>-G56*H41/100*(1/(1+H41/100))</f>
        <v>-2.3498973136166272</v>
      </c>
      <c r="I69" s="34">
        <f t="shared" si="27"/>
        <v>-2.457718632454108</v>
      </c>
      <c r="J69" s="34">
        <f t="shared" si="27"/>
        <v>-2.5530936451116846</v>
      </c>
      <c r="K69" s="34">
        <f t="shared" si="27"/>
        <v>-2.6322353754362737</v>
      </c>
      <c r="L69" s="34">
        <f t="shared" si="27"/>
        <v>-2.6965736076640074</v>
      </c>
      <c r="M69" s="34">
        <f t="shared" si="27"/>
        <v>-2.7445268921313</v>
      </c>
      <c r="N69" s="34">
        <f t="shared" si="27"/>
        <v>-2.7820073705524431</v>
      </c>
      <c r="O69" s="34">
        <f t="shared" si="27"/>
        <v>-2.8324647608491866</v>
      </c>
      <c r="P69" s="34">
        <f t="shared" si="27"/>
        <v>-2.7852785980357488</v>
      </c>
      <c r="Q69" s="34">
        <f t="shared" si="27"/>
        <v>-2.7366743137780749</v>
      </c>
      <c r="R69" s="34">
        <f t="shared" si="27"/>
        <v>-2.6854252103433369</v>
      </c>
      <c r="S69" s="34">
        <f>-R56*S41/100*(1/(1+S41/100))</f>
        <v>-2.6316871873483962</v>
      </c>
      <c r="T69" s="34">
        <f t="shared" si="27"/>
        <v>-2.577709693641725</v>
      </c>
      <c r="U69" s="34">
        <f t="shared" ref="U69" si="28">-T56*U41/100*(1/(1+U41/100))</f>
        <v>-2.5226921517584073</v>
      </c>
      <c r="V69" s="34">
        <f t="shared" ref="V69" si="29">-U56*V41/100*(1/(1+V41/100))</f>
        <v>-2.4660646854516939</v>
      </c>
      <c r="W69" s="34">
        <f t="shared" ref="W69" si="30">-V56*W41/100*(1/(1+W41/100))</f>
        <v>-2.4069456716672031</v>
      </c>
    </row>
    <row r="70" spans="2:23" outlineLevel="1" x14ac:dyDescent="0.2">
      <c r="B70" s="79" t="s">
        <v>118</v>
      </c>
      <c r="C70" s="49"/>
      <c r="D70" s="49">
        <f>'Baseline NFPC'!D70</f>
        <v>-7.9279375553298337E-7</v>
      </c>
      <c r="E70" s="49">
        <f>'Baseline NFPC'!E70</f>
        <v>-4.5811953164331953E-7</v>
      </c>
      <c r="F70" s="49">
        <f>'Baseline NFPC'!F70</f>
        <v>4.1434852549038226E-7</v>
      </c>
      <c r="G70" s="49">
        <f>'Baseline NFPC'!G70</f>
        <v>-6.7735291420234489E-7</v>
      </c>
      <c r="H70" s="49">
        <f>'Baseline NFPC'!H70</f>
        <v>0</v>
      </c>
      <c r="I70" s="49">
        <f>'Baseline NFPC'!I70</f>
        <v>0</v>
      </c>
      <c r="J70" s="49">
        <f>'Baseline NFPC'!J70</f>
        <v>0</v>
      </c>
      <c r="K70" s="49">
        <f>'Baseline NFPC'!K70</f>
        <v>0</v>
      </c>
      <c r="L70" s="49">
        <f>'Baseline NFPC'!L70</f>
        <v>0</v>
      </c>
      <c r="M70" s="49">
        <f>'Baseline NFPC'!M70</f>
        <v>0</v>
      </c>
      <c r="N70" s="49">
        <f>'Baseline NFPC'!N70</f>
        <v>0</v>
      </c>
      <c r="O70" s="49">
        <f>'Baseline NFPC'!O70</f>
        <v>0</v>
      </c>
      <c r="P70" s="49">
        <f>'Baseline NFPC'!P70</f>
        <v>0</v>
      </c>
      <c r="Q70" s="49">
        <f>'Baseline NFPC'!Q70</f>
        <v>0</v>
      </c>
      <c r="R70" s="49">
        <f>'Baseline NFPC'!R70</f>
        <v>0</v>
      </c>
      <c r="S70" s="49">
        <f>'Baseline NFPC'!S70</f>
        <v>0</v>
      </c>
      <c r="T70" s="49">
        <f>'Baseline NFPC'!T70</f>
        <v>0</v>
      </c>
      <c r="U70" s="49">
        <f>'Baseline NFPC'!U70</f>
        <v>0</v>
      </c>
      <c r="V70" s="49">
        <f>'Baseline NFPC'!V70</f>
        <v>0</v>
      </c>
      <c r="W70" s="49">
        <f>'Baseline NFPC'!W70</f>
        <v>0</v>
      </c>
    </row>
    <row r="71" spans="2:23" outlineLevel="1" x14ac:dyDescent="0.2">
      <c r="B71" s="84" t="s">
        <v>119</v>
      </c>
      <c r="C71" s="50"/>
      <c r="D71" s="50">
        <f>'Input data'!D16</f>
        <v>4.26056E-2</v>
      </c>
      <c r="E71" s="50">
        <f>'Input data'!E16</f>
        <v>-0.21881439999999999</v>
      </c>
      <c r="F71" s="50">
        <f>'Input data'!F16</f>
        <v>0.2108082</v>
      </c>
      <c r="G71" s="50">
        <f>'Input data'!G16</f>
        <v>3.1290600000000002E-2</v>
      </c>
      <c r="H71" s="50">
        <f>'Input data'!H16</f>
        <v>0</v>
      </c>
      <c r="I71" s="50">
        <f>'Input data'!I16</f>
        <v>0</v>
      </c>
      <c r="J71" s="50">
        <f>'Input data'!J16</f>
        <v>0</v>
      </c>
      <c r="K71" s="50">
        <f>'Input data'!K16</f>
        <v>0</v>
      </c>
      <c r="L71" s="50">
        <f>'Input data'!L16</f>
        <v>0</v>
      </c>
      <c r="M71" s="50">
        <f>'Input data'!M16</f>
        <v>0</v>
      </c>
      <c r="N71" s="50">
        <f>'Input data'!N16</f>
        <v>0</v>
      </c>
      <c r="O71" s="50">
        <f>'Input data'!O16</f>
        <v>0</v>
      </c>
      <c r="P71" s="50">
        <f>'Input data'!P16</f>
        <v>0</v>
      </c>
      <c r="Q71" s="50">
        <f>'Input data'!Q16</f>
        <v>0</v>
      </c>
      <c r="R71" s="50">
        <f>'Input data'!R16</f>
        <v>0</v>
      </c>
      <c r="S71" s="50">
        <f>'Input data'!S16</f>
        <v>0</v>
      </c>
      <c r="T71" s="50">
        <f>'Input data'!T16</f>
        <v>0</v>
      </c>
      <c r="U71" s="50">
        <f>'Input data'!U16</f>
        <v>0</v>
      </c>
      <c r="V71" s="50">
        <f>'Input data'!V16</f>
        <v>0</v>
      </c>
      <c r="W71" s="50">
        <f>'Input data'!W16</f>
        <v>0</v>
      </c>
    </row>
    <row r="72" spans="2:23" outlineLevel="1" x14ac:dyDescent="0.2">
      <c r="B72" s="79" t="s">
        <v>120</v>
      </c>
      <c r="C72" s="34"/>
      <c r="D72" s="34">
        <f t="shared" ref="D72:W72" si="31">D14</f>
        <v>4.2606100000000001E-2</v>
      </c>
      <c r="E72" s="34">
        <f t="shared" si="31"/>
        <v>-0.21881729999999999</v>
      </c>
      <c r="F72" s="34">
        <f t="shared" si="31"/>
        <v>0.21081169999999999</v>
      </c>
      <c r="G72" s="34">
        <f t="shared" si="31"/>
        <v>3.1292399999999998E-2</v>
      </c>
      <c r="H72" s="34">
        <f t="shared" si="31"/>
        <v>0</v>
      </c>
      <c r="I72" s="34">
        <f t="shared" si="31"/>
        <v>0</v>
      </c>
      <c r="J72" s="34">
        <f t="shared" si="31"/>
        <v>0</v>
      </c>
      <c r="K72" s="34">
        <f t="shared" si="31"/>
        <v>0</v>
      </c>
      <c r="L72" s="34">
        <f t="shared" si="31"/>
        <v>0</v>
      </c>
      <c r="M72" s="34">
        <f t="shared" si="31"/>
        <v>0</v>
      </c>
      <c r="N72" s="34">
        <f t="shared" si="31"/>
        <v>0</v>
      </c>
      <c r="O72" s="34">
        <f t="shared" si="31"/>
        <v>0</v>
      </c>
      <c r="P72" s="34">
        <f t="shared" si="31"/>
        <v>0</v>
      </c>
      <c r="Q72" s="34">
        <f t="shared" si="31"/>
        <v>0</v>
      </c>
      <c r="R72" s="34">
        <f t="shared" si="31"/>
        <v>0</v>
      </c>
      <c r="S72" s="34">
        <f t="shared" si="31"/>
        <v>0</v>
      </c>
      <c r="T72" s="34">
        <f t="shared" si="31"/>
        <v>0</v>
      </c>
      <c r="U72" s="34">
        <f t="shared" si="31"/>
        <v>0</v>
      </c>
      <c r="V72" s="34">
        <f t="shared" si="31"/>
        <v>0</v>
      </c>
      <c r="W72" s="34">
        <f t="shared" si="31"/>
        <v>0</v>
      </c>
    </row>
    <row r="73" spans="2:23" outlineLevel="1" x14ac:dyDescent="0.2">
      <c r="B73" s="89" t="s">
        <v>121</v>
      </c>
      <c r="C73" s="49"/>
      <c r="D73" s="49">
        <f>+D71-D72</f>
        <v>-5.0000000000050004E-7</v>
      </c>
      <c r="E73" s="49">
        <f t="shared" ref="E73:T73" si="32">+E71-E72</f>
        <v>2.9000000000001247E-6</v>
      </c>
      <c r="F73" s="49">
        <f t="shared" si="32"/>
        <v>-3.4999999999896225E-6</v>
      </c>
      <c r="G73" s="49">
        <f t="shared" si="32"/>
        <v>-1.799999999996249E-6</v>
      </c>
      <c r="H73" s="49">
        <f t="shared" si="32"/>
        <v>0</v>
      </c>
      <c r="I73" s="49">
        <f t="shared" si="32"/>
        <v>0</v>
      </c>
      <c r="J73" s="49">
        <f t="shared" si="32"/>
        <v>0</v>
      </c>
      <c r="K73" s="49">
        <f t="shared" si="32"/>
        <v>0</v>
      </c>
      <c r="L73" s="49">
        <f t="shared" si="32"/>
        <v>0</v>
      </c>
      <c r="M73" s="49">
        <f t="shared" si="32"/>
        <v>0</v>
      </c>
      <c r="N73" s="49">
        <f t="shared" si="32"/>
        <v>0</v>
      </c>
      <c r="O73" s="49">
        <f t="shared" si="32"/>
        <v>0</v>
      </c>
      <c r="P73" s="49">
        <f t="shared" si="32"/>
        <v>0</v>
      </c>
      <c r="Q73" s="49">
        <f t="shared" si="32"/>
        <v>0</v>
      </c>
      <c r="R73" s="49">
        <f t="shared" si="32"/>
        <v>0</v>
      </c>
      <c r="S73" s="49">
        <f t="shared" si="32"/>
        <v>0</v>
      </c>
      <c r="T73" s="49">
        <f t="shared" si="32"/>
        <v>0</v>
      </c>
      <c r="U73" s="49">
        <f t="shared" ref="U73:W73" si="33">+U71-U72</f>
        <v>0</v>
      </c>
      <c r="V73" s="49">
        <f t="shared" si="33"/>
        <v>0</v>
      </c>
      <c r="W73" s="49">
        <f t="shared" si="33"/>
        <v>0</v>
      </c>
    </row>
    <row r="74" spans="2:23" outlineLevel="1" x14ac:dyDescent="0.2">
      <c r="B74" s="79"/>
      <c r="C74" s="34"/>
      <c r="D74" s="34"/>
      <c r="E74" s="34"/>
      <c r="F74" s="34"/>
      <c r="G74" s="34"/>
      <c r="H74" s="34"/>
      <c r="I74" s="34"/>
      <c r="J74" s="34"/>
      <c r="K74" s="34"/>
      <c r="L74" s="34"/>
      <c r="M74" s="34"/>
      <c r="N74" s="34"/>
      <c r="O74" s="34"/>
      <c r="P74" s="34"/>
      <c r="Q74" s="34"/>
      <c r="R74" s="34"/>
      <c r="S74" s="34"/>
      <c r="T74" s="34"/>
      <c r="U74" s="34"/>
      <c r="V74" s="34"/>
      <c r="W74" s="34"/>
    </row>
    <row r="75" spans="2:23" x14ac:dyDescent="0.2">
      <c r="B75" s="51" t="s">
        <v>187</v>
      </c>
      <c r="C75" s="51"/>
      <c r="D75" s="51"/>
      <c r="E75" s="51"/>
      <c r="F75" s="51"/>
      <c r="G75" s="51"/>
      <c r="H75" s="51"/>
      <c r="I75" s="51"/>
      <c r="J75" s="51"/>
      <c r="K75" s="51">
        <f t="shared" ref="K75:W75" si="34">IF(K56&lt;J56,0,1)</f>
        <v>0</v>
      </c>
      <c r="L75" s="51">
        <f t="shared" si="34"/>
        <v>0</v>
      </c>
      <c r="M75" s="51">
        <f t="shared" si="34"/>
        <v>0</v>
      </c>
      <c r="N75" s="51">
        <f t="shared" si="34"/>
        <v>0</v>
      </c>
      <c r="O75" s="51">
        <f t="shared" si="34"/>
        <v>0</v>
      </c>
      <c r="P75" s="51">
        <f t="shared" si="34"/>
        <v>0</v>
      </c>
      <c r="Q75" s="51">
        <f t="shared" si="34"/>
        <v>0</v>
      </c>
      <c r="R75" s="51">
        <f t="shared" si="34"/>
        <v>0</v>
      </c>
      <c r="S75" s="51">
        <f t="shared" si="34"/>
        <v>0</v>
      </c>
      <c r="T75" s="51">
        <f t="shared" si="34"/>
        <v>0</v>
      </c>
      <c r="U75" s="51">
        <f t="shared" si="34"/>
        <v>0</v>
      </c>
      <c r="V75" s="51">
        <f t="shared" si="34"/>
        <v>0</v>
      </c>
      <c r="W75" s="51">
        <f t="shared" si="34"/>
        <v>0</v>
      </c>
    </row>
    <row r="76" spans="2:23" x14ac:dyDescent="0.2">
      <c r="D76" s="53"/>
    </row>
    <row r="77" spans="2:23" s="93" customFormat="1" ht="12.75" outlineLevel="1" x14ac:dyDescent="0.2">
      <c r="B77" s="94" t="s">
        <v>124</v>
      </c>
      <c r="C77" s="95"/>
      <c r="E77" s="96"/>
      <c r="F77" s="95"/>
    </row>
    <row r="78" spans="2:23" x14ac:dyDescent="0.2">
      <c r="C78" s="34"/>
      <c r="D78" s="34"/>
      <c r="E78" s="34"/>
      <c r="F78" s="34"/>
      <c r="G78" s="34"/>
      <c r="H78" s="34"/>
      <c r="I78" s="34"/>
      <c r="J78" s="34"/>
      <c r="K78" s="34"/>
      <c r="L78" s="34"/>
      <c r="M78" s="34"/>
      <c r="N78" s="34"/>
      <c r="O78" s="34"/>
      <c r="P78" s="34"/>
      <c r="Q78" s="34"/>
      <c r="R78" s="34"/>
      <c r="S78" s="34"/>
      <c r="T78" s="34"/>
      <c r="U78" s="34"/>
      <c r="V78" s="34"/>
      <c r="W78" s="34"/>
    </row>
    <row r="79" spans="2:23" x14ac:dyDescent="0.2">
      <c r="B79" s="26" t="s">
        <v>125</v>
      </c>
      <c r="E79" s="111">
        <f t="shared" ref="E79:F79" si="35">IF((E83-D83*E42/((1+E23/100)*(1+E41/100)))&gt;0,1,0)</f>
        <v>1</v>
      </c>
      <c r="F79" s="111">
        <f t="shared" si="35"/>
        <v>1</v>
      </c>
      <c r="G79" s="111">
        <f>IF((G83-F83*G42/((1+G23/100)*(1+G41/100)))&gt;0,1,0)</f>
        <v>1</v>
      </c>
      <c r="H79" s="111">
        <f t="shared" ref="H79:W79" si="36">IF((H83-G83*H42/((1+H23/100)*(1+H41/100)))&gt;0,1,0)</f>
        <v>1</v>
      </c>
      <c r="I79" s="111">
        <f t="shared" si="36"/>
        <v>1</v>
      </c>
      <c r="J79" s="111">
        <f t="shared" si="36"/>
        <v>1</v>
      </c>
      <c r="K79" s="111">
        <f t="shared" si="36"/>
        <v>1</v>
      </c>
      <c r="L79" s="111">
        <f t="shared" si="36"/>
        <v>1</v>
      </c>
      <c r="M79" s="111">
        <f t="shared" si="36"/>
        <v>1</v>
      </c>
      <c r="N79" s="111">
        <f t="shared" si="36"/>
        <v>1</v>
      </c>
      <c r="O79" s="111">
        <f t="shared" si="36"/>
        <v>1</v>
      </c>
      <c r="P79" s="111">
        <f t="shared" si="36"/>
        <v>1</v>
      </c>
      <c r="Q79" s="111">
        <f t="shared" si="36"/>
        <v>1</v>
      </c>
      <c r="R79" s="111">
        <f t="shared" si="36"/>
        <v>1</v>
      </c>
      <c r="S79" s="111">
        <f t="shared" si="36"/>
        <v>1</v>
      </c>
      <c r="T79" s="111">
        <f t="shared" si="36"/>
        <v>1</v>
      </c>
      <c r="U79" s="111">
        <f t="shared" si="36"/>
        <v>1</v>
      </c>
      <c r="V79" s="111">
        <f t="shared" si="36"/>
        <v>1</v>
      </c>
      <c r="W79" s="111">
        <f t="shared" si="36"/>
        <v>1</v>
      </c>
    </row>
    <row r="80" spans="2:23" x14ac:dyDescent="0.2">
      <c r="B80" s="26" t="s">
        <v>126</v>
      </c>
      <c r="E80" s="111">
        <f t="shared" ref="E80:F80" si="37">IF(AND(E79=0,ABS(E83-D83*E42/((1+E23/100)*(1+E41/100)))&lt;((D89*D83*E42/((1+E23/100)*(1+E41/100))+(E38*D83*D90*E42/((1+E23/100)*(1+E41/100)))))),1,0)</f>
        <v>0</v>
      </c>
      <c r="F80" s="111">
        <f t="shared" si="37"/>
        <v>0</v>
      </c>
      <c r="G80" s="111">
        <f>IF(AND(G79=0,ABS(G83-F83*G42/((1+G23/100)*(1+G41/100)))&lt;((F89*F83*G42/((1+G23/100)*(1+G41/100))+(G38*F83*F90*G42/((1+G23/100)*(1+G41/100)))))),1,0)</f>
        <v>0</v>
      </c>
      <c r="H80" s="111">
        <f t="shared" ref="H80:W80" si="38">IF(AND(H79=0,ABS(H83-G83*H42/((1+H23/100)*(1+H41/100)))&lt;((G89*G83*H42/((1+H23/100)*(1+H41/100))+(H38*G83*G90*H42/((1+H23/100)*(1+H41/100)))))),1,0)</f>
        <v>0</v>
      </c>
      <c r="I80" s="111">
        <f t="shared" si="38"/>
        <v>0</v>
      </c>
      <c r="J80" s="111">
        <f t="shared" si="38"/>
        <v>0</v>
      </c>
      <c r="K80" s="111">
        <f t="shared" si="38"/>
        <v>0</v>
      </c>
      <c r="L80" s="111">
        <f t="shared" si="38"/>
        <v>0</v>
      </c>
      <c r="M80" s="111">
        <f t="shared" si="38"/>
        <v>0</v>
      </c>
      <c r="N80" s="111">
        <f t="shared" si="38"/>
        <v>0</v>
      </c>
      <c r="O80" s="111">
        <f t="shared" si="38"/>
        <v>0</v>
      </c>
      <c r="P80" s="111">
        <f t="shared" si="38"/>
        <v>0</v>
      </c>
      <c r="Q80" s="111">
        <f t="shared" si="38"/>
        <v>0</v>
      </c>
      <c r="R80" s="111">
        <f t="shared" si="38"/>
        <v>0</v>
      </c>
      <c r="S80" s="111">
        <f t="shared" si="38"/>
        <v>0</v>
      </c>
      <c r="T80" s="111">
        <f t="shared" si="38"/>
        <v>0</v>
      </c>
      <c r="U80" s="111">
        <f t="shared" si="38"/>
        <v>0</v>
      </c>
      <c r="V80" s="111">
        <f t="shared" si="38"/>
        <v>0</v>
      </c>
      <c r="W80" s="111">
        <f t="shared" si="38"/>
        <v>0</v>
      </c>
    </row>
    <row r="82" spans="2:23" x14ac:dyDescent="0.2">
      <c r="B82" s="51"/>
      <c r="C82" s="86">
        <v>2021</v>
      </c>
      <c r="D82" s="86">
        <v>2022</v>
      </c>
      <c r="E82" s="86">
        <v>2023</v>
      </c>
      <c r="F82" s="86">
        <v>2024</v>
      </c>
      <c r="G82" s="86">
        <v>2025</v>
      </c>
      <c r="H82" s="86">
        <v>2026</v>
      </c>
      <c r="I82" s="86">
        <v>2027</v>
      </c>
      <c r="J82" s="86">
        <v>2028</v>
      </c>
      <c r="K82" s="86">
        <v>2029</v>
      </c>
      <c r="L82" s="86">
        <v>2030</v>
      </c>
      <c r="M82" s="86">
        <v>2031</v>
      </c>
      <c r="N82" s="86">
        <v>2032</v>
      </c>
      <c r="O82" s="86">
        <v>2033</v>
      </c>
      <c r="P82" s="86">
        <v>2034</v>
      </c>
      <c r="Q82" s="86">
        <v>2035</v>
      </c>
      <c r="R82" s="86">
        <v>2036</v>
      </c>
      <c r="S82" s="86">
        <v>2037</v>
      </c>
      <c r="T82" s="86">
        <v>2038</v>
      </c>
      <c r="U82" s="86">
        <v>2039</v>
      </c>
      <c r="V82" s="86">
        <v>2040</v>
      </c>
      <c r="W82" s="86">
        <v>2041</v>
      </c>
    </row>
    <row r="83" spans="2:23" x14ac:dyDescent="0.2">
      <c r="B83" s="106" t="s">
        <v>104</v>
      </c>
      <c r="C83" s="110">
        <f>C56</f>
        <v>112.97329999999999</v>
      </c>
      <c r="D83" s="110">
        <f>D56</f>
        <v>111.9181670256222</v>
      </c>
      <c r="E83" s="110">
        <f>E56</f>
        <v>110.64326790048331</v>
      </c>
      <c r="F83" s="110">
        <f>F56</f>
        <v>112.40882173205914</v>
      </c>
      <c r="G83" s="110">
        <f>G56</f>
        <v>113.96873574495558</v>
      </c>
      <c r="H83" s="110">
        <f>G83*(1+H97/100)*H42-H59-H60+H61+H62+H63+H64+H65+H71</f>
        <v>115.77838065922458</v>
      </c>
      <c r="I83" s="110">
        <f t="shared" ref="I83:T83" si="39">H83*(1+I97/100)*I42-I59-I60+I61+I62+I63+I64+I65+I71</f>
        <v>116.92117165766111</v>
      </c>
      <c r="J83" s="110">
        <f t="shared" si="39"/>
        <v>117.28270034717912</v>
      </c>
      <c r="K83" s="110">
        <f t="shared" si="39"/>
        <v>116.98679418946159</v>
      </c>
      <c r="L83" s="110">
        <f t="shared" si="39"/>
        <v>116.0171519540804</v>
      </c>
      <c r="M83" s="110">
        <f t="shared" si="39"/>
        <v>114.66784512947724</v>
      </c>
      <c r="N83" s="110">
        <f t="shared" si="39"/>
        <v>113.9095142059154</v>
      </c>
      <c r="O83" s="110">
        <f t="shared" si="39"/>
        <v>113.20266603255511</v>
      </c>
      <c r="P83" s="110">
        <f t="shared" si="39"/>
        <v>112.42301955538439</v>
      </c>
      <c r="Q83" s="110">
        <f t="shared" si="39"/>
        <v>111.51724731139052</v>
      </c>
      <c r="R83" s="110">
        <f t="shared" si="39"/>
        <v>110.48771945572537</v>
      </c>
      <c r="S83" s="110">
        <f t="shared" si="39"/>
        <v>109.42577989640765</v>
      </c>
      <c r="T83" s="110">
        <f t="shared" si="39"/>
        <v>108.29594799068546</v>
      </c>
      <c r="U83" s="110">
        <f>T83*(1+U97/100)*U42-U59-U60+U61+U62+U63+U64+U65+U71</f>
        <v>107.07114148085772</v>
      </c>
      <c r="V83" s="110">
        <f t="shared" ref="V83:W83" si="40">U83*(1+V97/100)*V42-V59-V60+V61+V62+V63+V64+V65+V71</f>
        <v>105.7093350136074</v>
      </c>
      <c r="W83" s="110">
        <f t="shared" si="40"/>
        <v>104.42253943069205</v>
      </c>
    </row>
    <row r="84" spans="2:23" x14ac:dyDescent="0.2">
      <c r="B84" s="26" t="s">
        <v>127</v>
      </c>
      <c r="C84" s="34"/>
      <c r="D84" s="254">
        <f>'Input data'!C66*$D$83</f>
        <v>88.101484042716237</v>
      </c>
      <c r="E84" s="34">
        <f t="shared" ref="E84" si="41">IF(E83=0,0,IF(E79=1,D83*E42/((1+E23/100)*(1+E41/100))-E85-E86,IF(AND(E79=0,E80=1),(1-D89-E38*D90)*D83*E42/((1+E23/100)*(1+E41/100)),E83)))</f>
        <v>86.822089359001311</v>
      </c>
      <c r="F84" s="34">
        <f t="shared" ref="F84" si="42">IF(F83=0,0,IF(F79=1,E83*F42/((1+F23/100)*(1+F41/100))-F85-F86,IF(AND(F79=0,F80=1),(1-E89-F38*E90)*E83*F42/((1+F23/100)*(1+F41/100)),F83)))</f>
        <v>88.105043933307712</v>
      </c>
      <c r="G84" s="34">
        <f t="shared" ref="G84" si="43">IF(G83=0,0,IF(G79=1,F83*G42/((1+G23/100)*(1+G41/100))-G85-G86,IF(AND(G79=0,G80=1),(1-F89-G38*F90)*F83*G42/((1+G23/100)*(1+G41/100)),G83)))</f>
        <v>89.990881634573597</v>
      </c>
      <c r="H84" s="34">
        <f t="shared" ref="H84:W84" si="44">IF(H83=0,0,IF(H79=1,G83*H42/((1+H23/100)*(1+H41/100))-H85-H86,IF(AND(H79=0,H80=1),(1-G89-H38*G90)*G83*H42/((1+H23/100)*(1+H41/100)),H83)))</f>
        <v>91.876700047388979</v>
      </c>
      <c r="I84" s="34">
        <f t="shared" si="44"/>
        <v>93.264193434217304</v>
      </c>
      <c r="J84" s="34">
        <f t="shared" si="44"/>
        <v>94.08220278214425</v>
      </c>
      <c r="K84" s="34">
        <f t="shared" si="44"/>
        <v>93.553014237708155</v>
      </c>
      <c r="L84" s="34">
        <f t="shared" si="44"/>
        <v>93.223777746311768</v>
      </c>
      <c r="M84" s="34">
        <f t="shared" si="44"/>
        <v>92.342949486199814</v>
      </c>
      <c r="N84" s="34">
        <f t="shared" si="44"/>
        <v>91.648687409937224</v>
      </c>
      <c r="O84" s="34">
        <f t="shared" si="44"/>
        <v>90.968515712252739</v>
      </c>
      <c r="P84" s="34">
        <f t="shared" si="44"/>
        <v>90.272834162759608</v>
      </c>
      <c r="Q84" s="34">
        <f t="shared" si="44"/>
        <v>89.521474256693324</v>
      </c>
      <c r="R84" s="34">
        <f t="shared" si="44"/>
        <v>88.67203736957903</v>
      </c>
      <c r="S84" s="34">
        <f t="shared" si="44"/>
        <v>87.797496573018179</v>
      </c>
      <c r="T84" s="34">
        <f t="shared" si="44"/>
        <v>86.87244264639321</v>
      </c>
      <c r="U84" s="34">
        <f t="shared" si="44"/>
        <v>85.878011072883297</v>
      </c>
      <c r="V84" s="34">
        <f t="shared" si="44"/>
        <v>84.786626285749819</v>
      </c>
      <c r="W84" s="34">
        <f t="shared" si="44"/>
        <v>83.715340977974265</v>
      </c>
    </row>
    <row r="85" spans="2:23" x14ac:dyDescent="0.2">
      <c r="B85" s="105" t="s">
        <v>128</v>
      </c>
      <c r="C85" s="34"/>
      <c r="D85" s="254">
        <f>'Input data'!C67*$D$83</f>
        <v>7.8233646950070748</v>
      </c>
      <c r="E85" s="34">
        <f t="shared" ref="E85" si="45">IF(E83=0,0,IF(E79=1,E38*D83*D90*E42/((1+E23/100)*(1+E41/100)),IF(AND(E79=0,E80=1),(E38*D83*D90*E42/((1+E23/100)*(1+E41/100)))*(1-ABS(E83-D83*E42/((1+E23/100)*(1+E41/100)))/((E38*D83*D90*E42/((1+E23/100)*(1+E41/100)))+(D89*D83*E42/((1+E23/100)*(1+E41/100))))),0)))</f>
        <v>7.5445628892559551</v>
      </c>
      <c r="F85" s="34">
        <f t="shared" ref="F85" si="46">IF(F83=0,0,IF(F79=1,F38*E83*E90*F42/((1+F23/100)*(1+F41/100)),IF(AND(F79=0,F80=1),(F38*E83*E90*F42/((1+F23/100)*(1+F41/100)))*(1-ABS(F83-E83*F42/((1+F23/100)*(1+F41/100)))/((F38*E83*E90*F42/((1+F23/100)*(1+F41/100)))+(E89*E83*F42/((1+F23/100)*(1+F41/100))))),0)))</f>
        <v>7.6510882826547091</v>
      </c>
      <c r="G85" s="34">
        <f t="shared" ref="G85" si="47">IF(G83=0,0,IF(G79=1,G38*F83*F90*G42/((1+G23/100)*(1+G41/100)),IF(AND(G79=0,G80=1),(G38*F83*F90*G42/((1+G23/100)*(1+G41/100)))*(1-ABS(G83-F83*G42/((1+G23/100)*(1+G41/100)))/((G38*F83*F90*G42/((1+G23/100)*(1+G41/100)))+(F89*F83*G42/((1+G23/100)*(1+G41/100))))),0)))</f>
        <v>7.8622250940045477</v>
      </c>
      <c r="H85" s="34">
        <f t="shared" ref="H85:W85" si="48">IF(H83=0,0,IF(H79=1,H38*G83*G90*H42/((1+H23/100)*(1+H41/100)),IF(AND(H79=0,H80=1),(H38*G83*G90*H42/((1+H23/100)*(1+H41/100)))*(1-ABS(H83-G83*H42/((1+H23/100)*(1+H41/100)))/((H38*G83*G90*H42/((1+H23/100)*(1+H41/100)))+(G89*G83*H42/((1+H23/100)*(1+H41/100))))),0)))</f>
        <v>8.0753924248341047</v>
      </c>
      <c r="I85" s="34">
        <f t="shared" si="48"/>
        <v>8.2465324062575291</v>
      </c>
      <c r="J85" s="34">
        <f t="shared" si="48"/>
        <v>8.3685292471807706</v>
      </c>
      <c r="K85" s="34">
        <f t="shared" si="48"/>
        <v>8.3708944252313433</v>
      </c>
      <c r="L85" s="34">
        <f t="shared" si="48"/>
        <v>8.3907450405210895</v>
      </c>
      <c r="M85" s="34">
        <f t="shared" si="48"/>
        <v>8.3603562141884051</v>
      </c>
      <c r="N85" s="34">
        <f t="shared" si="48"/>
        <v>8.3460715566767423</v>
      </c>
      <c r="O85" s="34">
        <f t="shared" si="48"/>
        <v>8.3323885249999954</v>
      </c>
      <c r="P85" s="34">
        <f t="shared" si="48"/>
        <v>8.2686665997309667</v>
      </c>
      <c r="Q85" s="34">
        <f t="shared" si="48"/>
        <v>8.1998447374588039</v>
      </c>
      <c r="R85" s="34">
        <f t="shared" si="48"/>
        <v>8.1220393768295143</v>
      </c>
      <c r="S85" s="34">
        <f t="shared" si="48"/>
        <v>8.0419345884766074</v>
      </c>
      <c r="T85" s="34">
        <f t="shared" si="48"/>
        <v>7.9572029792724166</v>
      </c>
      <c r="U85" s="34">
        <f t="shared" si="48"/>
        <v>7.8661166273941285</v>
      </c>
      <c r="V85" s="34">
        <f t="shared" si="48"/>
        <v>7.766149710208893</v>
      </c>
      <c r="W85" s="34">
        <f t="shared" si="48"/>
        <v>7.6680238329686237</v>
      </c>
    </row>
    <row r="86" spans="2:23" x14ac:dyDescent="0.2">
      <c r="B86" s="105" t="s">
        <v>129</v>
      </c>
      <c r="C86" s="34"/>
      <c r="D86" s="254">
        <f>'Input data'!C68*$D$83</f>
        <v>11.184916704595162</v>
      </c>
      <c r="E86" s="34">
        <f t="shared" ref="E86" si="49">IF(E83=0,0,IF(E79=1,(1-D90)*D83*E42/((1+E23/100)*(1+E41/100)),IF(AND(E79=0,E80=1),(D89*D83*E42/((1+E23/100)*(1+E41/100)))*(1-ABS(E83-D83*E42/((1+E23/100)*(1+E41/100)))/((E38*D83*D90*E42/((1+E23/100)*(1+E41/100)))+(D89*D83*E42/((1+E23/100)*(1+E41/100))))),0)))</f>
        <v>11.003235423307965</v>
      </c>
      <c r="F86" s="34">
        <f t="shared" ref="F86" si="50">IF(F83=0,0,IF(F79=1,(1-E90)*E83*F42/((1+F23/100)*(1+F41/100)),IF(AND(F79=0,F80=1),(E89*E83*F42/((1+F23/100)*(1+F41/100)))*(1-ABS(F83-E83*F42/((1+F23/100)*(1+F41/100)))/((F38*E83*E90*F42/((1+F23/100)*(1+F41/100)))+(E89*E83*F42/((1+F23/100)*(1+F41/100))))),0)))</f>
        <v>11.128256363555845</v>
      </c>
      <c r="G86" s="34">
        <f t="shared" ref="G86" si="51">IF(G83=0,0,IF(G79=1,(1-F90)*F83*G42/((1+G23/100)*(1+G41/100)),IF(AND(G79=0,G80=1),(F89*F83*G42/((1+G23/100)*(1+G41/100)))*(1-ABS(G83-F83*G42/((1+G23/100)*(1+G41/100)))/((G38*F83*F90*G42/((1+G23/100)*(1+G41/100)))+(F89*F83*G42/((1+G23/100)*(1+G41/100))))),0)))</f>
        <v>11.334857176724176</v>
      </c>
      <c r="H86" s="34">
        <f t="shared" ref="H86:W86" si="52">IF(H83=0,0,IF(H79=1,(1-G90)*G83*H42/((1+H23/100)*(1+H41/100)),IF(AND(H79=0,H80=1),(G89*G83*H42/((1+H23/100)*(1+H41/100)))*(1-ABS(H83-G83*H42/((1+H23/100)*(1+H41/100)))/((H38*G83*G90*H42/((1+H23/100)*(1+H41/100)))+(G89*G83*H42/((1+H23/100)*(1+H41/100))))),0)))</f>
        <v>11.547258544505024</v>
      </c>
      <c r="I86" s="34">
        <f t="shared" si="52"/>
        <v>11.700989131617387</v>
      </c>
      <c r="J86" s="34">
        <f t="shared" si="52"/>
        <v>11.787378922966562</v>
      </c>
      <c r="K86" s="34">
        <f t="shared" si="52"/>
        <v>11.709460187575596</v>
      </c>
      <c r="L86" s="34">
        <f t="shared" si="52"/>
        <v>11.655365842500279</v>
      </c>
      <c r="M86" s="34">
        <f t="shared" si="52"/>
        <v>11.536100186056803</v>
      </c>
      <c r="N86" s="34">
        <f t="shared" si="52"/>
        <v>11.442149079218217</v>
      </c>
      <c r="O86" s="34">
        <f t="shared" si="52"/>
        <v>11.350019978537309</v>
      </c>
      <c r="P86" s="34">
        <f t="shared" si="52"/>
        <v>11.250387026224084</v>
      </c>
      <c r="Q86" s="34">
        <f t="shared" si="52"/>
        <v>11.143834728756669</v>
      </c>
      <c r="R86" s="34">
        <f t="shared" si="52"/>
        <v>11.025405058781121</v>
      </c>
      <c r="S86" s="34">
        <f t="shared" si="52"/>
        <v>10.904212784088003</v>
      </c>
      <c r="T86" s="34">
        <f t="shared" si="52"/>
        <v>10.777122623104251</v>
      </c>
      <c r="U86" s="34">
        <f t="shared" si="52"/>
        <v>10.641839676077554</v>
      </c>
      <c r="V86" s="34">
        <f t="shared" si="52"/>
        <v>10.495012732326725</v>
      </c>
      <c r="W86" s="34">
        <f t="shared" si="52"/>
        <v>10.351214296632051</v>
      </c>
    </row>
    <row r="87" spans="2:23" x14ac:dyDescent="0.2">
      <c r="B87" s="105" t="s">
        <v>130</v>
      </c>
      <c r="C87" s="34"/>
      <c r="D87" s="254">
        <f>'Input data'!C69*$D$83</f>
        <v>4.3062797312435643</v>
      </c>
      <c r="E87" s="34">
        <f>IF(E83=0,0,IF(E79=1,'Input data'!$C$58*(E83-D83*E42/((1+E23/100)*(1+E41/100))),0))</f>
        <v>4.7570039815081167</v>
      </c>
      <c r="F87" s="34">
        <f>IF(F83=0,0,IF(F79=1,'Input data'!$C$58*(F83-E83*F42/((1+F23/100)*(1+F41/100))),0))</f>
        <v>4.9834734764809658</v>
      </c>
      <c r="G87" s="34">
        <f>IF(G83=0,0,IF(G79=1,'Input data'!$C$58*(G83-F83*G42/((1+G23/100)*(1+G41/100))),0))</f>
        <v>4.3126324461110297</v>
      </c>
      <c r="H87" s="34">
        <f>IF(H83=0,0,IF(H79=1,'Input data'!$C$58*(H83-G83*H42/((1+H23/100)*(1+H41/100))),0))</f>
        <v>3.8600214971646785</v>
      </c>
      <c r="I87" s="34">
        <f>IF(I83=0,0,IF(I79=1,'Input data'!$C$58*(I83-H83*I42/((1+I23/100)*(1+I41/100))),0))</f>
        <v>3.3462218646242849</v>
      </c>
      <c r="J87" s="34">
        <f>IF(J83=0,0,IF(J79=1,'Input data'!$C$58*(J83-I83*J42/((1+J23/100)*(1+J41/100))),0))</f>
        <v>2.7464592433739243</v>
      </c>
      <c r="K87" s="34">
        <f>IF(K83=0,0,IF(K79=1,'Input data'!$C$58*(K83-J83*K42/((1+K23/100)*(1+K41/100))),0))</f>
        <v>3.0250535703039123</v>
      </c>
      <c r="L87" s="34">
        <f>IF(L83=0,0,IF(L79=1,'Input data'!$C$58*(L83-K83*L42/((1+L23/100)*(1+L41/100))),0))</f>
        <v>2.4782477285457043</v>
      </c>
      <c r="M87" s="34">
        <f>IF(M83=0,0,IF(M79=1,'Input data'!$C$58*(M83-L83*M42/((1+M23/100)*(1+M41/100))),0))</f>
        <v>2.1906433153834981</v>
      </c>
      <c r="N87" s="34">
        <f>IF(N83=0,0,IF(N79=1,'Input data'!$C$58*(N83-M83*N42/((1+N23/100)*(1+N41/100))),0))</f>
        <v>2.2304853504998601</v>
      </c>
      <c r="O87" s="34">
        <f>IF(O83=0,0,IF(O79=1,'Input data'!$C$58*(O83-N83*O42/((1+O23/100)*(1+O41/100))),0))</f>
        <v>2.3018719408030752</v>
      </c>
      <c r="P87" s="34">
        <f>IF(P83=0,0,IF(P79=1,'Input data'!$C$58*(P83-O83*P42/((1+P23/100)*(1+P41/100))),0))</f>
        <v>2.3734879236061288</v>
      </c>
      <c r="Q87" s="34">
        <f>IF(Q83=0,0,IF(Q79=1,'Input data'!$C$58*(Q83-P83*Q42/((1+Q23/100)*(1+Q41/100))),0))</f>
        <v>2.3923971365759242</v>
      </c>
      <c r="R87" s="34">
        <f>IF(R83=0,0,IF(R79=1,'Input data'!$C$58*(R83-Q83*R42/((1+R23/100)*(1+R41/100))),0))</f>
        <v>2.4069603510862998</v>
      </c>
      <c r="S87" s="34">
        <f>IF(S83=0,0,IF(S79=1,'Input data'!$C$58*(S83-R83*S42/((1+S23/100)*(1+S41/100))),0))</f>
        <v>2.4194977117433516</v>
      </c>
      <c r="T87" s="34">
        <f>IF(T83=0,0,IF(T79=1,'Input data'!$C$58*(T83-S83*T42/((1+T23/100)*(1+T41/100))),0))</f>
        <v>2.4258517656535425</v>
      </c>
      <c r="U87" s="34">
        <f>IF(U83=0,0,IF(U79=1,'Input data'!$C$58*(U83-T83*U42/((1+U23/100)*(1+U41/100))),0))</f>
        <v>2.4222383654634916</v>
      </c>
      <c r="V87" s="34">
        <f>IF(V83=0,0,IF(V79=1,'Input data'!$C$58*(V83-U83*V42/((1+V23/100)*(1+V41/100))),0))</f>
        <v>2.4009242130530639</v>
      </c>
      <c r="W87" s="34">
        <f>IF(W83=0,0,IF(W79=1,'Input data'!$C$58*(W83-V83*W42/((1+W23/100)*(1+W41/100))),0))</f>
        <v>2.4247517539290628</v>
      </c>
    </row>
    <row r="88" spans="2:23" x14ac:dyDescent="0.2">
      <c r="B88" s="107" t="s">
        <v>131</v>
      </c>
      <c r="C88" s="49"/>
      <c r="D88" s="255">
        <f>'Input data'!C70*$D$83</f>
        <v>0.50211565206198738</v>
      </c>
      <c r="E88" s="49">
        <f>IF(E83=0,0,IF(E79=1,'Input data'!$C$57*(E83-D83*E42/((1+E23/100)*(1+E41/100))),0))</f>
        <v>0.51637624740995514</v>
      </c>
      <c r="F88" s="49">
        <f>IF(F83=0,0,IF(F79=1,'Input data'!$C$57*(F83-E83*F42/((1+F23/100)*(1+F41/100))),0))</f>
        <v>0.54095967605989981</v>
      </c>
      <c r="G88" s="49">
        <f>IF(G83=0,0,IF(G79=1,'Input data'!$C$57*(G83-F83*G42/((1+G23/100)*(1+G41/100))),0))</f>
        <v>0.46813939354223971</v>
      </c>
      <c r="H88" s="49">
        <f>IF(H83=0,0,IF(H79=1,'Input data'!$C$57*(H83-G83*H42/((1+H23/100)*(1+H41/100))),0))</f>
        <v>0.41900814533178943</v>
      </c>
      <c r="I88" s="49">
        <f>IF(I83=0,0,IF(I79=1,'Input data'!$C$57*(I83-H83*I42/((1+I23/100)*(1+I41/100))),0))</f>
        <v>0.36323482094459608</v>
      </c>
      <c r="J88" s="49">
        <f>IF(J83=0,0,IF(J79=1,'Input data'!$C$57*(J83-I83*J42/((1+J23/100)*(1+J41/100))),0))</f>
        <v>0.29813015151359967</v>
      </c>
      <c r="K88" s="49">
        <f>IF(K83=0,0,IF(K79=1,'Input data'!$C$57*(K83-J83*K42/((1+K23/100)*(1+K41/100))),0))</f>
        <v>0.32837176864258127</v>
      </c>
      <c r="L88" s="49">
        <f>IF(L83=0,0,IF(L79=1,'Input data'!$C$57*(L83-K83*L42/((1+L23/100)*(1+L41/100))),0))</f>
        <v>0.26901559620157584</v>
      </c>
      <c r="M88" s="49">
        <f>IF(M83=0,0,IF(M79=1,'Input data'!$C$57*(M83-L83*M42/((1+M23/100)*(1+M41/100))),0))</f>
        <v>0.23779592764873189</v>
      </c>
      <c r="N88" s="49">
        <f>IF(N83=0,0,IF(N79=1,'Input data'!$C$57*(N83-M83*N42/((1+N23/100)*(1+N41/100))),0))</f>
        <v>0.24212080958335669</v>
      </c>
      <c r="O88" s="49">
        <f>IF(O83=0,0,IF(O79=1,'Input data'!$C$57*(O83-N83*O42/((1+O23/100)*(1+O41/100))),0))</f>
        <v>0.24986987596199778</v>
      </c>
      <c r="P88" s="49">
        <f>IF(P83=0,0,IF(P79=1,'Input data'!$C$57*(P83-O83*P42/((1+P23/100)*(1+P41/100))),0))</f>
        <v>0.25764384306359617</v>
      </c>
      <c r="Q88" s="49">
        <f>IF(Q83=0,0,IF(Q79=1,'Input data'!$C$57*(Q83-P83*Q42/((1+Q23/100)*(1+Q41/100))),0))</f>
        <v>0.25969645190579499</v>
      </c>
      <c r="R88" s="49">
        <f>IF(R83=0,0,IF(R79=1,'Input data'!$C$57*(R83-Q83*R42/((1+R23/100)*(1+R41/100))),0))</f>
        <v>0.26127729944940159</v>
      </c>
      <c r="S88" s="49">
        <f>IF(S83=0,0,IF(S79=1,'Input data'!$C$57*(S83-R83*S42/((1+S23/100)*(1+S41/100))),0))</f>
        <v>0.26263823908150613</v>
      </c>
      <c r="T88" s="49">
        <f>IF(T83=0,0,IF(T79=1,'Input data'!$C$57*(T83-S83*T42/((1+T23/100)*(1+T41/100))),0))</f>
        <v>0.26332797626203819</v>
      </c>
      <c r="U88" s="49">
        <f>IF(U83=0,0,IF(U79=1,'Input data'!$C$57*(U83-T83*U42/((1+U23/100)*(1+U41/100))),0))</f>
        <v>0.26293573903924372</v>
      </c>
      <c r="V88" s="49">
        <f>IF(V83=0,0,IF(V79=1,'Input data'!$C$57*(V83-U83*V42/((1+V23/100)*(1+V41/100))),0))</f>
        <v>0.26062207226889739</v>
      </c>
      <c r="W88" s="49">
        <f>IF(W83=0,0,IF(W79=1,'Input data'!$C$57*(W83-V83*W42/((1+W23/100)*(1+W41/100))),0))</f>
        <v>0.26320856918804753</v>
      </c>
    </row>
    <row r="89" spans="2:23" x14ac:dyDescent="0.2">
      <c r="B89" s="26" t="s">
        <v>73</v>
      </c>
      <c r="C89" s="36"/>
      <c r="D89" s="260">
        <f>'Baseline NFPC'!$D$93</f>
        <v>0.10442485672571578</v>
      </c>
      <c r="E89" s="36">
        <f t="shared" ref="E89:G89" si="53">IF(E83&lt;&gt;0,(E86+E88)/(E84+E85+E86+E87+E88),0)</f>
        <v>0.10411489003632005</v>
      </c>
      <c r="F89" s="36">
        <f t="shared" si="53"/>
        <v>0.10381050045547867</v>
      </c>
      <c r="G89" s="36">
        <f t="shared" si="53"/>
        <v>0.10356345969020572</v>
      </c>
      <c r="H89" s="36">
        <f t="shared" ref="H89" si="54">IF(H83&lt;&gt;0,(H86+H88)/(H84+H85+H86+H87+H88),0)</f>
        <v>0.10335493225680564</v>
      </c>
      <c r="I89" s="36">
        <f t="shared" ref="I89:W89" si="55">IF(I83&lt;&gt;0,(I86+I88)/(I84+I85+I86+I87+I88),0)</f>
        <v>0.10318254411515292</v>
      </c>
      <c r="J89" s="36">
        <f t="shared" si="55"/>
        <v>0.10304596533593408</v>
      </c>
      <c r="K89" s="36">
        <f t="shared" si="55"/>
        <v>0.10289906685298818</v>
      </c>
      <c r="L89" s="36">
        <f t="shared" si="55"/>
        <v>0.10278119431359189</v>
      </c>
      <c r="M89" s="36">
        <f t="shared" si="55"/>
        <v>0.10267827131844184</v>
      </c>
      <c r="N89" s="36">
        <f t="shared" si="55"/>
        <v>0.10257501289734058</v>
      </c>
      <c r="O89" s="36">
        <f t="shared" si="55"/>
        <v>0.10247011188909086</v>
      </c>
      <c r="P89" s="36">
        <f t="shared" si="55"/>
        <v>0.10236365216661283</v>
      </c>
      <c r="Q89" s="36">
        <f t="shared" si="55"/>
        <v>0.10225800452929304</v>
      </c>
      <c r="R89" s="36">
        <f t="shared" si="55"/>
        <v>0.10215327471532547</v>
      </c>
      <c r="S89" s="36">
        <f t="shared" si="55"/>
        <v>0.10204954475756134</v>
      </c>
      <c r="T89" s="36">
        <f t="shared" si="55"/>
        <v>0.10194703314583738</v>
      </c>
      <c r="U89" s="36">
        <f t="shared" si="55"/>
        <v>0.10184607415497074</v>
      </c>
      <c r="V89" s="36">
        <f t="shared" si="55"/>
        <v>0.10174725631573699</v>
      </c>
      <c r="W89" s="36">
        <f t="shared" si="55"/>
        <v>0.10164877165111626</v>
      </c>
    </row>
    <row r="90" spans="2:23" x14ac:dyDescent="0.2">
      <c r="B90" s="35" t="s">
        <v>74</v>
      </c>
      <c r="C90" s="108"/>
      <c r="D90" s="261">
        <f>'Baseline NFPC'!$D$94</f>
        <v>0.89557514327428422</v>
      </c>
      <c r="E90" s="108">
        <f t="shared" ref="E90:G90" si="56">IF(E83&lt;&gt;0,(E84+E85+E87)/(E84+E85+E86+E87+E88),1)</f>
        <v>0.89588510996367998</v>
      </c>
      <c r="F90" s="108">
        <f t="shared" si="56"/>
        <v>0.89618949954452132</v>
      </c>
      <c r="G90" s="108">
        <f t="shared" si="56"/>
        <v>0.89643654030979425</v>
      </c>
      <c r="H90" s="108">
        <f t="shared" ref="H90" si="57">IF(H83&lt;&gt;0,(H84+H85+H87)/(H84+H85+H86+H87+H88),1)</f>
        <v>0.8966450677431943</v>
      </c>
      <c r="I90" s="108">
        <f t="shared" ref="I90:W90" si="58">IF(I83&lt;&gt;0,(I84+I85+I87)/(I84+I85+I86+I87+I88),1)</f>
        <v>0.89681745588484707</v>
      </c>
      <c r="J90" s="108">
        <f t="shared" si="58"/>
        <v>0.89695403466406587</v>
      </c>
      <c r="K90" s="108">
        <f t="shared" si="58"/>
        <v>0.89710093314701178</v>
      </c>
      <c r="L90" s="108">
        <f t="shared" si="58"/>
        <v>0.89721880568640822</v>
      </c>
      <c r="M90" s="108">
        <f t="shared" si="58"/>
        <v>0.89732172868155813</v>
      </c>
      <c r="N90" s="108">
        <f t="shared" si="58"/>
        <v>0.8974249871026595</v>
      </c>
      <c r="O90" s="108">
        <f t="shared" si="58"/>
        <v>0.89752988811090928</v>
      </c>
      <c r="P90" s="108">
        <f t="shared" si="58"/>
        <v>0.89763634783338719</v>
      </c>
      <c r="Q90" s="108">
        <f t="shared" si="58"/>
        <v>0.89774199547070688</v>
      </c>
      <c r="R90" s="108">
        <f t="shared" si="58"/>
        <v>0.89784672528467457</v>
      </c>
      <c r="S90" s="108">
        <f t="shared" si="58"/>
        <v>0.89795045524243866</v>
      </c>
      <c r="T90" s="108">
        <f t="shared" si="58"/>
        <v>0.89805296685416269</v>
      </c>
      <c r="U90" s="108">
        <f t="shared" si="58"/>
        <v>0.89815392584502918</v>
      </c>
      <c r="V90" s="108">
        <f t="shared" si="58"/>
        <v>0.898252743684263</v>
      </c>
      <c r="W90" s="108">
        <f t="shared" si="58"/>
        <v>0.8983512283488837</v>
      </c>
    </row>
    <row r="92" spans="2:23" x14ac:dyDescent="0.2">
      <c r="B92" s="113" t="s">
        <v>132</v>
      </c>
      <c r="C92" s="113"/>
      <c r="D92" s="113"/>
      <c r="E92" s="115">
        <f t="shared" ref="E92:G92" si="59">E94+E95</f>
        <v>1.6360269999999999</v>
      </c>
      <c r="F92" s="115">
        <f t="shared" si="59"/>
        <v>1.90473</v>
      </c>
      <c r="G92" s="115">
        <f t="shared" si="59"/>
        <v>2.1499329999999999</v>
      </c>
      <c r="H92" s="115">
        <f t="shared" ref="H92:W92" si="60">H94+H95</f>
        <v>2.2624335955804127</v>
      </c>
      <c r="I92" s="115">
        <f t="shared" si="60"/>
        <v>2.3656571190916935</v>
      </c>
      <c r="J92" s="115">
        <f>J94+J95</f>
        <v>2.4608203898214027</v>
      </c>
      <c r="K92" s="115">
        <f t="shared" si="60"/>
        <v>3.070323000912131</v>
      </c>
      <c r="L92" s="115">
        <f t="shared" si="60"/>
        <v>2.8594980314120284</v>
      </c>
      <c r="M92" s="115">
        <f t="shared" si="60"/>
        <v>2.9185889903465982</v>
      </c>
      <c r="N92" s="115">
        <f t="shared" si="60"/>
        <v>2.9773437994038079</v>
      </c>
      <c r="O92" s="115">
        <f t="shared" si="60"/>
        <v>3.0374261642423095</v>
      </c>
      <c r="P92" s="115">
        <f t="shared" si="60"/>
        <v>3.0908434327862935</v>
      </c>
      <c r="Q92" s="115">
        <f t="shared" si="60"/>
        <v>3.1402820573225805</v>
      </c>
      <c r="R92" s="115">
        <f t="shared" si="60"/>
        <v>3.1858903931884037</v>
      </c>
      <c r="S92" s="115">
        <f t="shared" si="60"/>
        <v>3.2280450926594395</v>
      </c>
      <c r="T92" s="115">
        <f t="shared" si="60"/>
        <v>3.2670890490181952</v>
      </c>
      <c r="U92" s="115">
        <f t="shared" si="60"/>
        <v>3.3033206150766965</v>
      </c>
      <c r="V92" s="115">
        <f t="shared" si="60"/>
        <v>3.3370011335153538</v>
      </c>
      <c r="W92" s="115">
        <f t="shared" si="60"/>
        <v>3.3683486259392277</v>
      </c>
    </row>
    <row r="93" spans="2:23" x14ac:dyDescent="0.2">
      <c r="B93" s="33" t="s">
        <v>133</v>
      </c>
      <c r="C93" s="97"/>
      <c r="D93" s="97"/>
      <c r="E93" s="266">
        <f>((E35*D83)-(E37*(D86+D88)))/(D84+D85+D87)</f>
        <v>1.4268483678239055</v>
      </c>
      <c r="F93" s="266">
        <f t="shared" ref="F93:G93" si="61">((F35*E83)-(F37*(E86+E88)))/(E84+E85+E87)</f>
        <v>1.7118745014922765</v>
      </c>
      <c r="G93" s="266">
        <f t="shared" si="61"/>
        <v>2.0727354010773258</v>
      </c>
      <c r="H93" s="34">
        <f t="shared" ref="H93:W93" si="62">IF(G83&gt;0,(G93*G84+H36*(G87+G85))/(G84+G85+G87),H36)</f>
        <v>2.1997416955847298</v>
      </c>
      <c r="I93" s="34">
        <f t="shared" si="62"/>
        <v>2.3163052990399926</v>
      </c>
      <c r="J93" s="34">
        <f t="shared" si="62"/>
        <v>2.4238077396616671</v>
      </c>
      <c r="K93" s="34">
        <f t="shared" si="62"/>
        <v>2.8017381924479743</v>
      </c>
      <c r="L93" s="34">
        <f t="shared" si="62"/>
        <v>2.8709167254746899</v>
      </c>
      <c r="M93" s="34">
        <f t="shared" si="62"/>
        <v>2.9380551183291375</v>
      </c>
      <c r="N93" s="34">
        <f t="shared" si="62"/>
        <v>3.0048027547947895</v>
      </c>
      <c r="O93" s="34">
        <f t="shared" si="62"/>
        <v>3.0730116577615694</v>
      </c>
      <c r="P93" s="34">
        <f t="shared" si="62"/>
        <v>3.1366318257869064</v>
      </c>
      <c r="Q93" s="34">
        <f t="shared" si="62"/>
        <v>3.1957953330788302</v>
      </c>
      <c r="R93" s="34">
        <f t="shared" si="62"/>
        <v>3.2506701942436496</v>
      </c>
      <c r="S93" s="34">
        <f t="shared" si="62"/>
        <v>3.3016777616451676</v>
      </c>
      <c r="T93" s="34">
        <f t="shared" si="62"/>
        <v>3.3492015917808442</v>
      </c>
      <c r="U93" s="34">
        <f t="shared" si="62"/>
        <v>3.393575608967538</v>
      </c>
      <c r="V93" s="34">
        <f t="shared" si="62"/>
        <v>3.4350925560043502</v>
      </c>
      <c r="W93" s="34">
        <f t="shared" si="62"/>
        <v>3.4739971973875177</v>
      </c>
    </row>
    <row r="94" spans="2:23" x14ac:dyDescent="0.2">
      <c r="B94" s="26" t="s">
        <v>134</v>
      </c>
      <c r="C94" s="97"/>
      <c r="D94" s="97"/>
      <c r="E94" s="34">
        <f t="shared" ref="E94" si="63">(E93*(D84+D85+D87)+E37*(D86+D88))/D83</f>
        <v>1.6360269999999999</v>
      </c>
      <c r="F94" s="34">
        <f t="shared" ref="F94" si="64">(F93*(E84+E85+E87)+F37*(E86+E88))/E83</f>
        <v>1.90473</v>
      </c>
      <c r="G94" s="34">
        <f t="shared" ref="G94" si="65">(G93*(F84+F85+F87)+G37*(F86+F88))/F83</f>
        <v>2.1499329999999999</v>
      </c>
      <c r="H94" s="34">
        <f t="shared" ref="H94:W94" si="66">(H93*(G84+G85+G87)+H37*(G86+G88))/G83</f>
        <v>2.2624335955804127</v>
      </c>
      <c r="I94" s="34">
        <f t="shared" si="66"/>
        <v>2.3656571190916935</v>
      </c>
      <c r="J94" s="34">
        <f>(J93*(I84+I85+I87)+J37*(I86+I88))/I83</f>
        <v>2.4608203898214027</v>
      </c>
      <c r="K94" s="34">
        <f>(K93*(J84+J85+J87)+K37*(J86+J88))/J83</f>
        <v>3.070323000912131</v>
      </c>
      <c r="L94" s="34">
        <f t="shared" si="66"/>
        <v>2.8594980314120284</v>
      </c>
      <c r="M94" s="34">
        <f t="shared" si="66"/>
        <v>2.9185889903465982</v>
      </c>
      <c r="N94" s="34">
        <f t="shared" si="66"/>
        <v>2.9773437994038079</v>
      </c>
      <c r="O94" s="34">
        <f t="shared" si="66"/>
        <v>3.0374261642423095</v>
      </c>
      <c r="P94" s="34">
        <f t="shared" si="66"/>
        <v>3.0908434327862935</v>
      </c>
      <c r="Q94" s="34">
        <f t="shared" si="66"/>
        <v>3.1402820573225805</v>
      </c>
      <c r="R94" s="34">
        <f t="shared" si="66"/>
        <v>3.1858903931884037</v>
      </c>
      <c r="S94" s="34">
        <f t="shared" si="66"/>
        <v>3.2280450926594395</v>
      </c>
      <c r="T94" s="34">
        <f t="shared" si="66"/>
        <v>3.2670890490181952</v>
      </c>
      <c r="U94" s="97">
        <f t="shared" si="66"/>
        <v>3.3033206150766965</v>
      </c>
      <c r="V94" s="97">
        <f t="shared" si="66"/>
        <v>3.3370011335153538</v>
      </c>
      <c r="W94" s="97">
        <f t="shared" si="66"/>
        <v>3.3683486259392277</v>
      </c>
    </row>
    <row r="95" spans="2:23" x14ac:dyDescent="0.2">
      <c r="B95" s="35" t="s">
        <v>135</v>
      </c>
      <c r="C95" s="35"/>
      <c r="D95" s="35"/>
      <c r="E95" s="49">
        <f>IF('Criteria results'!$F$5=4,E104,E109)</f>
        <v>0</v>
      </c>
      <c r="F95" s="49">
        <f>IF('Criteria results'!$F$5=4,F104,F109)</f>
        <v>0</v>
      </c>
      <c r="G95" s="49">
        <f>IF('Criteria results'!$F$5=4,G104,G109)</f>
        <v>0</v>
      </c>
      <c r="H95" s="49">
        <f>IF('Criteria results'!$F$5=4,H104,H109)</f>
        <v>0</v>
      </c>
      <c r="I95" s="49">
        <f>IF('Criteria results'!$F$5=4,I104,I109)</f>
        <v>0</v>
      </c>
      <c r="J95" s="49">
        <f>IF('Criteria results'!$F$5=4,J104,J109)</f>
        <v>0</v>
      </c>
      <c r="K95" s="49">
        <f>IF('Criteria results'!$F$5=4,K104,K109)</f>
        <v>0</v>
      </c>
      <c r="L95" s="49">
        <f>IF('Criteria results'!$F$5=4,L104,L109)</f>
        <v>0</v>
      </c>
      <c r="M95" s="49">
        <f>IF('Criteria results'!$F$5=4,M104,M109)</f>
        <v>0</v>
      </c>
      <c r="N95" s="49">
        <f>IF('Criteria results'!$F$5=4,N104,N109)</f>
        <v>0</v>
      </c>
      <c r="O95" s="49">
        <f>IF('Criteria results'!$F$5=4,O104,O109)</f>
        <v>0</v>
      </c>
      <c r="P95" s="49">
        <f>IF('Criteria results'!$F$5=4,P104,P109)</f>
        <v>0</v>
      </c>
      <c r="Q95" s="49">
        <f>IF('Criteria results'!$F$5=4,Q104,Q109)</f>
        <v>0</v>
      </c>
      <c r="R95" s="49">
        <f>IF('Criteria results'!$F$5=4,R104,R109)</f>
        <v>0</v>
      </c>
      <c r="S95" s="49">
        <f>IF('Criteria results'!$F$5=4,S104,S109)</f>
        <v>0</v>
      </c>
      <c r="T95" s="49">
        <f>IF('Criteria results'!$F$5=4,T104,T109)</f>
        <v>0</v>
      </c>
      <c r="U95" s="49">
        <f>IF('Criteria results'!$F$5=4,U104,U109)</f>
        <v>0</v>
      </c>
      <c r="V95" s="49">
        <f>IF('Criteria results'!$F$5=4,V104,V109)</f>
        <v>0</v>
      </c>
      <c r="W95" s="49">
        <f>IF('Criteria results'!$F$5=4,W104,W109)</f>
        <v>0</v>
      </c>
    </row>
    <row r="97" spans="1:54" x14ac:dyDescent="0.2">
      <c r="B97" s="113" t="s">
        <v>186</v>
      </c>
      <c r="C97" s="115">
        <f t="shared" ref="C97:T97" si="67">((1+C92/100)/((1+C23/100)*(1+C41/100))-1)*100</f>
        <v>-7.3651984590557884</v>
      </c>
      <c r="D97" s="115">
        <f t="shared" si="67"/>
        <v>-5.1901941050115035</v>
      </c>
      <c r="E97" s="115">
        <f>((1+E92/100)/((1+E23/100)*(1+E41/100))-1)*100</f>
        <v>-4.3106491734947632</v>
      </c>
      <c r="F97" s="115">
        <f t="shared" si="67"/>
        <v>-1.5572654776414119</v>
      </c>
      <c r="G97" s="115">
        <f t="shared" si="67"/>
        <v>-0.7769761707942191</v>
      </c>
      <c r="H97" s="115">
        <f t="shared" si="67"/>
        <v>4.6691794623576754E-2</v>
      </c>
      <c r="I97" s="115">
        <f t="shared" si="67"/>
        <v>9.6335176840156578E-2</v>
      </c>
      <c r="J97" s="115">
        <f t="shared" si="67"/>
        <v>0.10959009397071284</v>
      </c>
      <c r="K97" s="115">
        <f t="shared" si="67"/>
        <v>-0.13678064681361679</v>
      </c>
      <c r="L97" s="115">
        <f t="shared" si="67"/>
        <v>-0.40855493810355581</v>
      </c>
      <c r="M97" s="115">
        <f t="shared" si="67"/>
        <v>-0.4326421707040673</v>
      </c>
      <c r="N97" s="115">
        <f t="shared" si="67"/>
        <v>7.5803978182986675E-2</v>
      </c>
      <c r="O97" s="115">
        <f t="shared" si="67"/>
        <v>8.985213719370222E-2</v>
      </c>
      <c r="P97" s="115">
        <f t="shared" si="67"/>
        <v>-1.5267211450575857E-2</v>
      </c>
      <c r="Q97" s="115">
        <f t="shared" si="67"/>
        <v>-0.12381178159857065</v>
      </c>
      <c r="R97" s="115">
        <f t="shared" si="67"/>
        <v>-0.23561825611612131</v>
      </c>
      <c r="S97" s="115">
        <f t="shared" si="67"/>
        <v>-0.27002326729250736</v>
      </c>
      <c r="T97" s="115">
        <f t="shared" si="67"/>
        <v>-0.336981365368616</v>
      </c>
      <c r="U97" s="115">
        <f>((1+U92/100)/((1+U23/100)*(1+U41/100))-1)*100</f>
        <v>-0.42640324343421465</v>
      </c>
      <c r="V97" s="115">
        <f t="shared" ref="V97:W97" si="68">((1+V92/100)/((1+V23/100)*(1+V41/100))-1)*100</f>
        <v>-0.54603590338242469</v>
      </c>
      <c r="W97" s="115">
        <f t="shared" si="68"/>
        <v>-0.51838431155286635</v>
      </c>
    </row>
    <row r="98" spans="1:54" ht="15" x14ac:dyDescent="0.2">
      <c r="A98" s="224"/>
      <c r="F98" s="223"/>
      <c r="G98" s="223"/>
      <c r="H98" s="223"/>
      <c r="I98" s="223"/>
      <c r="J98" s="223"/>
      <c r="K98" s="223"/>
      <c r="L98" s="223"/>
      <c r="M98" s="223"/>
      <c r="N98" s="223"/>
      <c r="O98" s="223"/>
      <c r="P98" s="223"/>
      <c r="Q98" s="223"/>
      <c r="R98" s="223"/>
      <c r="S98" s="223"/>
      <c r="T98" s="223"/>
      <c r="U98" s="77"/>
      <c r="V98" s="77"/>
      <c r="W98" s="77"/>
    </row>
    <row r="99" spans="1:54" s="25" customFormat="1" ht="12.75" outlineLevel="1" x14ac:dyDescent="0.2">
      <c r="B99" s="25" t="s">
        <v>136</v>
      </c>
      <c r="C99" s="112"/>
      <c r="D99" s="112"/>
      <c r="E99" s="112"/>
      <c r="F99" s="112"/>
      <c r="G99" s="112"/>
      <c r="H99" s="112"/>
      <c r="I99" s="112"/>
      <c r="J99" s="112"/>
      <c r="K99" s="112"/>
      <c r="L99" s="112"/>
      <c r="M99" s="112"/>
      <c r="N99" s="112"/>
      <c r="O99" s="112"/>
      <c r="P99" s="112"/>
      <c r="Q99" s="112"/>
      <c r="R99" s="112"/>
      <c r="S99" s="112"/>
      <c r="T99" s="112"/>
      <c r="U99" s="112"/>
      <c r="V99" s="112"/>
      <c r="W99" s="112"/>
    </row>
    <row r="100" spans="1:54" s="127" customFormat="1" ht="12.75" outlineLevel="1" x14ac:dyDescent="0.2">
      <c r="C100" s="128"/>
      <c r="D100" s="128"/>
      <c r="E100" s="128"/>
      <c r="F100" s="128"/>
      <c r="G100" s="128"/>
      <c r="H100" s="128"/>
      <c r="I100" s="128"/>
      <c r="J100" s="128"/>
      <c r="K100" s="128"/>
      <c r="L100" s="128"/>
      <c r="M100" s="128"/>
      <c r="N100" s="128"/>
      <c r="O100" s="128"/>
      <c r="P100" s="128"/>
      <c r="Q100" s="128"/>
      <c r="R100" s="128"/>
      <c r="S100" s="128"/>
      <c r="T100" s="128"/>
      <c r="U100" s="128"/>
      <c r="V100" s="128"/>
      <c r="W100" s="128"/>
    </row>
    <row r="101" spans="1:54" s="127" customFormat="1" ht="12.75" outlineLevel="1" x14ac:dyDescent="0.2">
      <c r="B101" s="106" t="s">
        <v>293</v>
      </c>
      <c r="C101" s="129"/>
      <c r="D101" s="129"/>
      <c r="E101" s="129"/>
      <c r="F101" s="129"/>
      <c r="G101" s="129"/>
      <c r="H101" s="129"/>
      <c r="I101" s="129"/>
      <c r="J101" s="129"/>
      <c r="K101" s="129"/>
      <c r="L101" s="129"/>
      <c r="M101" s="129"/>
      <c r="N101" s="129"/>
      <c r="O101" s="129"/>
      <c r="P101" s="129"/>
      <c r="Q101" s="129"/>
      <c r="R101" s="129"/>
      <c r="S101" s="129"/>
      <c r="T101" s="129"/>
      <c r="U101" s="129"/>
      <c r="V101" s="129"/>
      <c r="W101" s="129"/>
    </row>
    <row r="102" spans="1:54" outlineLevel="1" x14ac:dyDescent="0.2">
      <c r="B102" s="120" t="s">
        <v>43</v>
      </c>
      <c r="C102" s="34">
        <v>112.97332763671875</v>
      </c>
      <c r="D102" s="34">
        <v>111.91819000244141</v>
      </c>
      <c r="E102" s="34">
        <v>110.64328002929688</v>
      </c>
      <c r="F102" s="34">
        <v>112.4088134765625</v>
      </c>
      <c r="G102" s="34">
        <v>113.96873474121094</v>
      </c>
      <c r="H102" s="34">
        <v>115.77838134765625</v>
      </c>
      <c r="I102" s="34">
        <v>116.92116546630859</v>
      </c>
      <c r="J102" s="34">
        <v>117.28270721435547</v>
      </c>
      <c r="K102" s="34">
        <v>116.98680877685547</v>
      </c>
      <c r="L102" s="34">
        <v>116.01717376708984</v>
      </c>
      <c r="M102" s="34">
        <v>114.66786193847656</v>
      </c>
      <c r="N102" s="34">
        <v>113.90956878662109</v>
      </c>
      <c r="O102" s="34">
        <v>113.20274353027344</v>
      </c>
      <c r="P102" s="34">
        <v>112.42313385009766</v>
      </c>
      <c r="Q102" s="34">
        <v>111.51739501953125</v>
      </c>
      <c r="R102" s="34">
        <v>110.48789215087891</v>
      </c>
      <c r="S102" s="34">
        <v>109.42597198486328</v>
      </c>
      <c r="T102" s="34">
        <v>108.29616546630859</v>
      </c>
      <c r="U102" s="34">
        <v>107.07138061523438</v>
      </c>
      <c r="V102" s="34">
        <v>105.70957946777344</v>
      </c>
      <c r="W102" s="34">
        <v>104.42279052734375</v>
      </c>
      <c r="X102" s="34"/>
      <c r="Y102" s="34"/>
      <c r="Z102" s="34"/>
    </row>
    <row r="103" spans="1:54" s="5" customFormat="1" ht="12.75" x14ac:dyDescent="0.2">
      <c r="A103" s="26"/>
      <c r="B103" s="26" t="s">
        <v>132</v>
      </c>
      <c r="C103" s="1">
        <v>1.3072322607040405</v>
      </c>
      <c r="D103" s="1">
        <v>1.8011331558227539</v>
      </c>
      <c r="E103" s="1">
        <v>1.636027455329895</v>
      </c>
      <c r="F103" s="1">
        <v>1.904729962348938</v>
      </c>
      <c r="G103" s="1">
        <v>2.1499323844909668</v>
      </c>
      <c r="H103" s="1">
        <v>2.2624330520629883</v>
      </c>
      <c r="I103" s="1">
        <v>2.365656852722168</v>
      </c>
      <c r="J103" s="1">
        <v>2.4608199596405029</v>
      </c>
      <c r="K103" s="1">
        <v>3.0703227519989014</v>
      </c>
      <c r="L103" s="1">
        <v>2.8594980239868164</v>
      </c>
      <c r="M103" s="1">
        <v>2.9185888767242432</v>
      </c>
      <c r="N103" s="1">
        <v>2.9773437976837158</v>
      </c>
      <c r="O103" s="1">
        <v>3.0374264717102051</v>
      </c>
      <c r="P103" s="1">
        <v>3.0908439159393311</v>
      </c>
      <c r="Q103" s="1">
        <v>3.1402823925018311</v>
      </c>
      <c r="R103" s="1">
        <v>3.1858909130096436</v>
      </c>
      <c r="S103" s="1">
        <v>3.2280457019805908</v>
      </c>
      <c r="T103" s="1">
        <v>3.26708984375</v>
      </c>
      <c r="U103" s="99">
        <v>3.303321361541748</v>
      </c>
      <c r="V103" s="99">
        <v>3.3370018005371094</v>
      </c>
      <c r="W103" s="99">
        <v>3.368349552154541</v>
      </c>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row>
    <row r="104" spans="1:54" s="5" customFormat="1" ht="12.75" x14ac:dyDescent="0.2">
      <c r="B104" s="26" t="s">
        <v>185</v>
      </c>
      <c r="C104" s="1"/>
      <c r="D104" s="1"/>
      <c r="E104" s="1"/>
      <c r="F104" s="1"/>
      <c r="G104" s="1">
        <v>0</v>
      </c>
      <c r="H104" s="1">
        <v>0</v>
      </c>
      <c r="I104" s="1">
        <v>0</v>
      </c>
      <c r="J104" s="1">
        <v>0</v>
      </c>
      <c r="K104" s="1">
        <v>0</v>
      </c>
      <c r="L104" s="1">
        <v>0</v>
      </c>
      <c r="M104" s="1">
        <v>0</v>
      </c>
      <c r="N104" s="1">
        <v>0</v>
      </c>
      <c r="O104" s="1">
        <v>0</v>
      </c>
      <c r="P104" s="1">
        <v>0</v>
      </c>
      <c r="Q104" s="1">
        <v>0</v>
      </c>
      <c r="R104" s="1">
        <v>0</v>
      </c>
      <c r="S104" s="1">
        <v>0</v>
      </c>
      <c r="T104" s="1">
        <v>0</v>
      </c>
      <c r="U104" s="1">
        <v>0</v>
      </c>
      <c r="V104" s="1">
        <v>0</v>
      </c>
      <c r="W104" s="1">
        <v>0</v>
      </c>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row>
    <row r="105" spans="1:54" s="5" customFormat="1" ht="12.75" x14ac:dyDescent="0.2">
      <c r="B105" s="26"/>
      <c r="C105" s="1"/>
      <c r="D105" s="1"/>
      <c r="E105" s="1"/>
      <c r="F105" s="1"/>
      <c r="G105" s="222"/>
      <c r="H105" s="222"/>
      <c r="I105" s="222"/>
      <c r="J105" s="222"/>
      <c r="K105" s="222"/>
      <c r="L105" s="222"/>
      <c r="M105" s="222"/>
      <c r="N105" s="222"/>
      <c r="O105" s="222"/>
      <c r="P105" s="222"/>
      <c r="Q105" s="222"/>
      <c r="R105" s="222"/>
      <c r="S105" s="222"/>
      <c r="T105" s="222"/>
      <c r="U105" s="222"/>
      <c r="V105" s="222"/>
      <c r="W105" s="222"/>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row>
    <row r="106" spans="1:54" s="5" customFormat="1" ht="12.75" x14ac:dyDescent="0.2">
      <c r="B106" s="106" t="s">
        <v>294</v>
      </c>
      <c r="C106" s="37"/>
      <c r="D106" s="37"/>
      <c r="E106" s="37"/>
      <c r="F106" s="37"/>
      <c r="G106" s="225"/>
      <c r="H106" s="225"/>
      <c r="I106" s="225"/>
      <c r="J106" s="225"/>
      <c r="K106" s="225"/>
      <c r="L106" s="225"/>
      <c r="M106" s="225"/>
      <c r="N106" s="225"/>
      <c r="O106" s="225"/>
      <c r="P106" s="225"/>
      <c r="Q106" s="225"/>
      <c r="R106" s="225"/>
      <c r="S106" s="225"/>
      <c r="T106" s="225"/>
      <c r="U106" s="37"/>
      <c r="V106" s="37"/>
      <c r="W106" s="37"/>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row>
    <row r="107" spans="1:54" outlineLevel="1" x14ac:dyDescent="0.2">
      <c r="B107" s="120" t="s">
        <v>43</v>
      </c>
      <c r="C107" s="34">
        <v>112.97332763671875</v>
      </c>
      <c r="D107" s="34">
        <v>111.91819000244141</v>
      </c>
      <c r="E107" s="34">
        <v>110.64328002929688</v>
      </c>
      <c r="F107" s="34">
        <v>112.4088134765625</v>
      </c>
      <c r="G107" s="34">
        <v>113.85755157470703</v>
      </c>
      <c r="H107" s="34">
        <v>115.91837310791016</v>
      </c>
      <c r="I107" s="34">
        <v>117.68885040283203</v>
      </c>
      <c r="J107" s="34">
        <v>119.06128692626953</v>
      </c>
      <c r="K107" s="34">
        <v>119.91290283203125</v>
      </c>
      <c r="L107" s="34">
        <v>120.22420501708984</v>
      </c>
      <c r="M107" s="34">
        <v>119.97254943847656</v>
      </c>
      <c r="N107" s="34">
        <v>119.58876037597656</v>
      </c>
      <c r="O107" s="34">
        <v>118.67523193359375</v>
      </c>
      <c r="P107" s="34">
        <v>117.43418121337891</v>
      </c>
      <c r="Q107" s="34">
        <v>116.50807952880859</v>
      </c>
      <c r="R107" s="34">
        <v>115.44246673583984</v>
      </c>
      <c r="S107" s="34">
        <v>114.33369445800781</v>
      </c>
      <c r="T107" s="34">
        <v>113.14570617675781</v>
      </c>
      <c r="U107" s="34">
        <v>111.85127258300781</v>
      </c>
      <c r="V107" s="34">
        <v>110.40785217285156</v>
      </c>
      <c r="W107" s="34">
        <v>109.03538513183594</v>
      </c>
      <c r="X107" s="34"/>
      <c r="Y107" s="34"/>
      <c r="Z107" s="34"/>
    </row>
    <row r="108" spans="1:54" x14ac:dyDescent="0.2">
      <c r="B108" s="26" t="s">
        <v>132</v>
      </c>
      <c r="C108" s="1">
        <v>1.3072322607040405</v>
      </c>
      <c r="D108" s="1">
        <v>1.8011331558227539</v>
      </c>
      <c r="E108" s="1">
        <v>1.636027455329895</v>
      </c>
      <c r="F108" s="1">
        <v>1.904729962348938</v>
      </c>
      <c r="G108" s="1">
        <v>2.1499323844909668</v>
      </c>
      <c r="H108" s="1">
        <v>2.2639875411987305</v>
      </c>
      <c r="I108" s="1">
        <v>2.3703134059906006</v>
      </c>
      <c r="J108" s="1">
        <v>2.4700503349304199</v>
      </c>
      <c r="K108" s="1">
        <v>2.5639047622680664</v>
      </c>
      <c r="L108" s="1">
        <v>2.6525614261627197</v>
      </c>
      <c r="M108" s="1">
        <v>2.7366275787353516</v>
      </c>
      <c r="N108" s="1">
        <v>3.3694863319396973</v>
      </c>
      <c r="O108" s="1">
        <v>3.1350278854370117</v>
      </c>
      <c r="P108" s="1">
        <v>3.1792480945587158</v>
      </c>
      <c r="Q108" s="1">
        <v>3.2194950580596924</v>
      </c>
      <c r="R108" s="1">
        <v>3.2568142414093018</v>
      </c>
      <c r="S108" s="1">
        <v>3.2915003299713135</v>
      </c>
      <c r="T108" s="1">
        <v>3.3238208293914795</v>
      </c>
      <c r="U108" s="1">
        <v>3.3540065288543701</v>
      </c>
      <c r="V108" s="1">
        <v>3.3822579383850098</v>
      </c>
      <c r="W108" s="1">
        <v>3.4087398052215576</v>
      </c>
      <c r="X108" s="1"/>
      <c r="Y108" s="1"/>
      <c r="Z108" s="1"/>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59"/>
      <c r="AW108" s="59"/>
      <c r="AX108" s="59"/>
      <c r="AY108" s="60"/>
    </row>
    <row r="109" spans="1:54" x14ac:dyDescent="0.2">
      <c r="B109" s="26" t="s">
        <v>185</v>
      </c>
      <c r="C109" s="34"/>
      <c r="D109" s="34"/>
      <c r="E109" s="34"/>
      <c r="F109" s="34"/>
      <c r="G109" s="34">
        <v>0</v>
      </c>
      <c r="H109" s="34">
        <v>0</v>
      </c>
      <c r="I109" s="34">
        <v>0</v>
      </c>
      <c r="J109" s="34">
        <v>0</v>
      </c>
      <c r="K109" s="34">
        <v>0</v>
      </c>
      <c r="L109" s="34">
        <v>0</v>
      </c>
      <c r="M109" s="34">
        <v>0</v>
      </c>
      <c r="N109" s="34">
        <v>0</v>
      </c>
      <c r="O109" s="34">
        <v>0</v>
      </c>
      <c r="P109" s="34">
        <v>0</v>
      </c>
      <c r="Q109" s="34">
        <v>0</v>
      </c>
      <c r="R109" s="34">
        <v>0</v>
      </c>
      <c r="S109" s="34">
        <v>0</v>
      </c>
      <c r="T109" s="34">
        <v>0</v>
      </c>
      <c r="U109" s="34">
        <v>0</v>
      </c>
      <c r="V109" s="34">
        <v>0</v>
      </c>
      <c r="W109" s="34">
        <v>0</v>
      </c>
    </row>
    <row r="112" spans="1:54" x14ac:dyDescent="0.2">
      <c r="E112" s="34"/>
      <c r="F112" s="34"/>
      <c r="G112" s="121"/>
      <c r="H112" s="121"/>
      <c r="I112" s="121"/>
      <c r="J112" s="121"/>
      <c r="K112" s="121"/>
      <c r="L112" s="121"/>
      <c r="M112" s="121"/>
      <c r="N112" s="121"/>
      <c r="O112" s="121"/>
      <c r="P112" s="121"/>
      <c r="Q112" s="121"/>
      <c r="R112" s="121"/>
      <c r="S112" s="121"/>
      <c r="T112" s="121"/>
      <c r="U112" s="121"/>
      <c r="V112" s="121"/>
      <c r="W112" s="121"/>
    </row>
    <row r="113" spans="5:23" x14ac:dyDescent="0.2">
      <c r="E113" s="34"/>
      <c r="F113" s="34"/>
      <c r="G113" s="121"/>
      <c r="H113" s="121"/>
      <c r="I113" s="121"/>
      <c r="J113" s="121"/>
      <c r="K113" s="121"/>
      <c r="L113" s="121"/>
      <c r="M113" s="121"/>
      <c r="N113" s="121"/>
      <c r="O113" s="121"/>
      <c r="P113" s="121"/>
      <c r="Q113" s="121"/>
      <c r="R113" s="121"/>
      <c r="S113" s="121"/>
      <c r="T113" s="121"/>
      <c r="U113" s="121"/>
      <c r="V113" s="121"/>
      <c r="W113" s="121"/>
    </row>
    <row r="115" spans="5:23" x14ac:dyDescent="0.2">
      <c r="E115" s="34"/>
      <c r="F115" s="34"/>
      <c r="G115" s="121"/>
      <c r="H115" s="121"/>
      <c r="I115" s="121"/>
      <c r="J115" s="121"/>
      <c r="K115" s="121"/>
      <c r="L115" s="121"/>
      <c r="M115" s="121"/>
      <c r="N115" s="121"/>
      <c r="O115" s="121"/>
      <c r="P115" s="121"/>
      <c r="Q115" s="121"/>
      <c r="R115" s="121"/>
      <c r="S115" s="121"/>
      <c r="T115" s="121"/>
      <c r="U115" s="121"/>
      <c r="V115" s="121"/>
      <c r="W115" s="121"/>
    </row>
    <row r="116" spans="5:23" x14ac:dyDescent="0.2">
      <c r="E116" s="34"/>
      <c r="F116" s="34"/>
      <c r="G116" s="121"/>
      <c r="H116" s="121"/>
      <c r="I116" s="121"/>
      <c r="J116" s="121"/>
      <c r="K116" s="121"/>
      <c r="L116" s="121"/>
      <c r="M116" s="121"/>
      <c r="N116" s="121"/>
      <c r="O116" s="121"/>
      <c r="P116" s="121"/>
      <c r="Q116" s="121"/>
      <c r="R116" s="121"/>
      <c r="S116" s="121"/>
      <c r="T116" s="121"/>
      <c r="U116" s="121"/>
      <c r="V116" s="121"/>
      <c r="W116" s="121"/>
    </row>
    <row r="117" spans="5:23" x14ac:dyDescent="0.2">
      <c r="G117" s="53"/>
      <c r="H117" s="53"/>
      <c r="I117" s="53"/>
      <c r="J117" s="53"/>
      <c r="K117" s="53"/>
      <c r="L117" s="53"/>
      <c r="M117" s="53"/>
      <c r="N117" s="53"/>
      <c r="O117" s="53"/>
      <c r="P117" s="53"/>
      <c r="Q117" s="53"/>
      <c r="R117" s="53"/>
      <c r="S117" s="53"/>
      <c r="T117" s="53"/>
      <c r="U117" s="53"/>
      <c r="V117" s="53"/>
      <c r="W117" s="53"/>
    </row>
    <row r="118" spans="5:23" x14ac:dyDescent="0.2">
      <c r="E118" s="34"/>
      <c r="F118" s="34"/>
      <c r="G118" s="121"/>
      <c r="H118" s="121"/>
      <c r="I118" s="121"/>
      <c r="J118" s="121"/>
      <c r="K118" s="121"/>
      <c r="L118" s="121"/>
      <c r="M118" s="121"/>
      <c r="N118" s="121"/>
      <c r="O118" s="121"/>
      <c r="P118" s="121"/>
      <c r="Q118" s="121"/>
      <c r="R118" s="121"/>
      <c r="S118" s="121"/>
      <c r="T118" s="121"/>
      <c r="U118" s="121"/>
      <c r="V118" s="121"/>
      <c r="W118" s="121"/>
    </row>
    <row r="119" spans="5:23" x14ac:dyDescent="0.2">
      <c r="E119" s="34"/>
      <c r="F119" s="34"/>
      <c r="G119" s="121"/>
      <c r="H119" s="121"/>
      <c r="I119" s="121"/>
      <c r="J119" s="121"/>
      <c r="K119" s="121"/>
      <c r="L119" s="121"/>
      <c r="M119" s="121"/>
      <c r="N119" s="121"/>
      <c r="O119" s="121"/>
      <c r="P119" s="121"/>
      <c r="Q119" s="121"/>
      <c r="R119" s="121"/>
      <c r="S119" s="121"/>
      <c r="T119" s="121"/>
      <c r="U119" s="121"/>
      <c r="V119" s="121"/>
      <c r="W119" s="121"/>
    </row>
    <row r="120" spans="5:23" x14ac:dyDescent="0.2">
      <c r="G120" s="53"/>
      <c r="H120" s="53"/>
      <c r="I120" s="53"/>
      <c r="J120" s="53"/>
      <c r="K120" s="53"/>
      <c r="L120" s="53"/>
      <c r="M120" s="53"/>
      <c r="N120" s="53"/>
      <c r="O120" s="53"/>
      <c r="P120" s="53"/>
      <c r="Q120" s="53"/>
      <c r="R120" s="53"/>
      <c r="S120" s="53"/>
      <c r="T120" s="53"/>
      <c r="U120" s="53"/>
      <c r="V120" s="53"/>
      <c r="W120" s="53"/>
    </row>
    <row r="121" spans="5:23" x14ac:dyDescent="0.2">
      <c r="E121" s="34"/>
      <c r="F121" s="34"/>
      <c r="G121" s="121"/>
      <c r="H121" s="121"/>
      <c r="I121" s="121"/>
      <c r="J121" s="121"/>
      <c r="K121" s="121"/>
      <c r="L121" s="121"/>
      <c r="M121" s="121"/>
      <c r="N121" s="121"/>
      <c r="O121" s="121"/>
      <c r="P121" s="121"/>
      <c r="Q121" s="121"/>
      <c r="R121" s="121"/>
      <c r="S121" s="121"/>
      <c r="T121" s="121"/>
      <c r="U121" s="121"/>
      <c r="V121" s="121"/>
      <c r="W121" s="121"/>
    </row>
    <row r="122" spans="5:23" x14ac:dyDescent="0.2">
      <c r="E122" s="34"/>
      <c r="F122" s="34"/>
      <c r="G122" s="121"/>
      <c r="H122" s="121"/>
      <c r="I122" s="121"/>
      <c r="J122" s="121"/>
      <c r="K122" s="121"/>
      <c r="L122" s="121"/>
      <c r="M122" s="121"/>
      <c r="N122" s="121"/>
      <c r="O122" s="121"/>
      <c r="P122" s="121"/>
      <c r="Q122" s="121"/>
      <c r="R122" s="121"/>
      <c r="S122" s="121"/>
      <c r="T122" s="121"/>
      <c r="U122" s="121"/>
      <c r="V122" s="121"/>
      <c r="W122" s="121"/>
    </row>
    <row r="123" spans="5:23" x14ac:dyDescent="0.2">
      <c r="G123" s="121"/>
      <c r="H123" s="121"/>
      <c r="I123" s="121"/>
      <c r="J123" s="121"/>
      <c r="K123" s="121"/>
      <c r="L123" s="121"/>
      <c r="M123" s="121"/>
      <c r="N123" s="121"/>
      <c r="O123" s="121"/>
      <c r="P123" s="121"/>
      <c r="Q123" s="121"/>
      <c r="R123" s="121"/>
      <c r="S123" s="121"/>
      <c r="T123" s="121"/>
      <c r="U123" s="121"/>
      <c r="V123" s="121"/>
      <c r="W123" s="121"/>
    </row>
    <row r="124" spans="5:23" x14ac:dyDescent="0.2">
      <c r="E124" s="34"/>
      <c r="F124" s="34"/>
      <c r="G124" s="121"/>
      <c r="H124" s="121"/>
      <c r="I124" s="121"/>
      <c r="J124" s="121"/>
      <c r="K124" s="121"/>
      <c r="L124" s="121"/>
      <c r="M124" s="121"/>
      <c r="N124" s="121"/>
      <c r="O124" s="121"/>
      <c r="P124" s="121"/>
      <c r="Q124" s="121"/>
      <c r="R124" s="121"/>
      <c r="S124" s="121"/>
      <c r="T124" s="121"/>
      <c r="U124" s="121"/>
      <c r="V124" s="121"/>
      <c r="W124" s="121"/>
    </row>
    <row r="125" spans="5:23" x14ac:dyDescent="0.2">
      <c r="E125" s="34"/>
      <c r="F125" s="34"/>
      <c r="G125" s="121"/>
      <c r="H125" s="121"/>
      <c r="I125" s="121"/>
      <c r="J125" s="121"/>
      <c r="K125" s="121"/>
      <c r="L125" s="121"/>
      <c r="M125" s="121"/>
      <c r="N125" s="121"/>
      <c r="O125" s="121"/>
      <c r="P125" s="121"/>
      <c r="Q125" s="121"/>
      <c r="R125" s="121"/>
      <c r="S125" s="121"/>
      <c r="T125" s="121"/>
      <c r="U125" s="121"/>
      <c r="V125" s="121"/>
      <c r="W125" s="121"/>
    </row>
    <row r="126" spans="5:23" x14ac:dyDescent="0.2">
      <c r="G126" s="121"/>
      <c r="H126" s="121"/>
      <c r="I126" s="121"/>
      <c r="J126" s="121"/>
      <c r="K126" s="121"/>
      <c r="L126" s="121"/>
      <c r="M126" s="121"/>
      <c r="N126" s="121"/>
      <c r="O126" s="121"/>
      <c r="P126" s="121"/>
      <c r="Q126" s="121"/>
      <c r="R126" s="121"/>
      <c r="S126" s="121"/>
      <c r="T126" s="121"/>
      <c r="U126" s="121"/>
      <c r="V126" s="121"/>
      <c r="W126" s="121"/>
    </row>
    <row r="127" spans="5:23" x14ac:dyDescent="0.2">
      <c r="G127" s="121"/>
      <c r="H127" s="121"/>
      <c r="I127" s="121"/>
      <c r="J127" s="121"/>
      <c r="K127" s="121"/>
      <c r="L127" s="121"/>
      <c r="M127" s="121"/>
      <c r="N127" s="121"/>
      <c r="O127" s="121"/>
      <c r="P127" s="121"/>
      <c r="Q127" s="121"/>
      <c r="R127" s="121"/>
      <c r="S127" s="121"/>
      <c r="T127" s="121"/>
      <c r="U127" s="121"/>
      <c r="V127" s="121"/>
      <c r="W127" s="121"/>
    </row>
    <row r="128" spans="5:23" x14ac:dyDescent="0.2">
      <c r="G128" s="121"/>
      <c r="H128" s="121"/>
      <c r="I128" s="121"/>
      <c r="J128" s="121"/>
      <c r="K128" s="121"/>
      <c r="L128" s="121"/>
      <c r="M128" s="121"/>
      <c r="N128" s="121"/>
      <c r="O128" s="121"/>
      <c r="P128" s="121"/>
      <c r="Q128" s="121"/>
      <c r="R128" s="121"/>
      <c r="S128" s="121"/>
      <c r="T128" s="121"/>
      <c r="U128" s="121"/>
      <c r="V128" s="121"/>
      <c r="W128" s="121"/>
    </row>
    <row r="129" spans="7:23" x14ac:dyDescent="0.2">
      <c r="G129" s="121"/>
      <c r="H129" s="121"/>
      <c r="I129" s="121"/>
      <c r="J129" s="121"/>
      <c r="K129" s="121"/>
      <c r="L129" s="121"/>
      <c r="M129" s="121"/>
      <c r="N129" s="121"/>
      <c r="O129" s="121"/>
      <c r="P129" s="121"/>
      <c r="Q129" s="121"/>
      <c r="R129" s="121"/>
      <c r="S129" s="121"/>
      <c r="T129" s="121"/>
      <c r="U129" s="121"/>
      <c r="V129" s="121"/>
      <c r="W129" s="121"/>
    </row>
  </sheetData>
  <conditionalFormatting sqref="K36:N36">
    <cfRule type="expression" dxfId="30" priority="8">
      <formula>K10=$C$6+1</formula>
    </cfRule>
  </conditionalFormatting>
  <conditionalFormatting sqref="K37:N37">
    <cfRule type="expression" dxfId="29" priority="9">
      <formula>K10=$C$6+1</formula>
    </cfRule>
  </conditionalFormatting>
  <conditionalFormatting sqref="U10:W43 U45:W52 U54:W76 U78:W98 U100:W130">
    <cfRule type="expression" dxfId="28" priority="3">
      <formula>U$10&gt;$C$7</formula>
    </cfRule>
  </conditionalFormatting>
  <conditionalFormatting sqref="G12:M12">
    <cfRule type="expression" dxfId="27" priority="50">
      <formula>AND(G10&gt;$C$5,G10&lt;=$C$6)</formula>
    </cfRule>
  </conditionalFormatting>
  <pageMargins left="0.7" right="0.7" top="0.75" bottom="0.75" header="0.3" footer="0.3"/>
  <pageSetup paperSize="9" orientation="portrait" r:id="rId1"/>
  <ignoredErrors>
    <ignoredError sqref="C5 C46:C47" unlockedFormula="1"/>
  </ignoredErrors>
  <extLst>
    <ext xmlns:x14="http://schemas.microsoft.com/office/spreadsheetml/2009/9/main" uri="{78C0D931-6437-407d-A8EE-F0AAD7539E65}">
      <x14:conditionalFormattings>
        <x14:conditionalFormatting xmlns:xm="http://schemas.microsoft.com/office/excel/2006/main">
          <x14:cfRule type="expression" priority="7" id="{61052BD5-AD8A-4BB2-862D-CE762EAD4EEA}">
            <xm:f>'Criteria results'!$F$5=7</xm:f>
            <x14:dxf>
              <fill>
                <patternFill>
                  <bgColor theme="0" tint="-0.34998626667073579"/>
                </patternFill>
              </fill>
            </x14:dxf>
          </x14:cfRule>
          <xm:sqref>N36:N37</xm:sqref>
        </x14:conditionalFormatting>
        <x14:conditionalFormatting xmlns:xm="http://schemas.microsoft.com/office/excel/2006/main">
          <x14:cfRule type="expression" priority="5" id="{47F7DBED-0C23-454F-801E-ED2E3DAA754C}">
            <xm:f>'Criteria results'!$F$5=7</xm:f>
            <x14:dxf>
              <fill>
                <patternFill>
                  <bgColor theme="0"/>
                </patternFill>
              </fill>
            </x14:dxf>
          </x14:cfRule>
          <xm:sqref>K35:M35</xm:sqref>
        </x14:conditionalFormatting>
        <x14:conditionalFormatting xmlns:xm="http://schemas.microsoft.com/office/excel/2006/main">
          <x14:cfRule type="expression" priority="52" id="{6869C80F-226A-4E6B-8E82-1C590454F27E}">
            <xm:f>AND($N$10&gt;2024,$N$10&lt;=2024+'Criteria results'!$F$5)</xm:f>
            <x14:dxf>
              <fill>
                <patternFill>
                  <bgColor theme="0" tint="-0.14996795556505021"/>
                </patternFill>
              </fill>
            </x14:dxf>
          </x14:cfRule>
          <xm:sqref>N12</xm:sqref>
        </x14:conditionalFormatting>
        <x14:conditionalFormatting xmlns:xm="http://schemas.microsoft.com/office/excel/2006/main">
          <x14:cfRule type="expression" priority="53" id="{EF89FFEC-805B-44CB-80CA-34B558135CB5}">
            <xm:f>AND($O$10&gt;2024,$O$10&lt;=2024+'Criteria results'!#REF!)</xm:f>
            <x14:dxf>
              <fill>
                <patternFill>
                  <bgColor theme="0" tint="-0.14996795556505021"/>
                </patternFill>
              </fill>
            </x14:dxf>
          </x14:cfRule>
          <xm:sqref>O12</xm:sqref>
        </x14:conditionalFormatting>
        <x14:conditionalFormatting xmlns:xm="http://schemas.microsoft.com/office/excel/2006/main">
          <x14:cfRule type="expression" priority="54" id="{FBE5528E-1123-4677-9DE6-5E90CA8A7C56}">
            <xm:f>AND($P$10&gt;2024,$P$10&lt;=2024+'Criteria results'!#REF!)</xm:f>
            <x14:dxf>
              <fill>
                <patternFill>
                  <bgColor theme="0" tint="-0.14996795556505021"/>
                </patternFill>
              </fill>
            </x14:dxf>
          </x14:cfRule>
          <xm:sqref>P12</xm:sqref>
        </x14:conditionalFormatting>
        <x14:conditionalFormatting xmlns:xm="http://schemas.microsoft.com/office/excel/2006/main">
          <x14:cfRule type="expression" priority="55" id="{8951C7CF-B485-425C-9942-73B06456B0B5}">
            <xm:f>OR('Criteria results'!#REF!=7,'Criteria results'!#REF!=10)</xm:f>
            <x14:dxf>
              <font>
                <color theme="0"/>
              </font>
            </x14:dxf>
          </x14:cfRule>
          <xm:sqref>K75:M75</xm:sqref>
        </x14:conditionalFormatting>
        <x14:conditionalFormatting xmlns:xm="http://schemas.microsoft.com/office/excel/2006/main">
          <x14:cfRule type="expression" priority="56" id="{116E26F3-65D6-4A9D-BBEB-1F21709D15A5}">
            <xm:f>OR('Criteria results'!#REF!=10)</xm:f>
            <x14:dxf>
              <font>
                <color theme="0"/>
              </font>
            </x14:dxf>
          </x14:cfRule>
          <xm:sqref>N75:P75</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92D050"/>
  </sheetPr>
  <dimension ref="A1:BB129"/>
  <sheetViews>
    <sheetView zoomScaleNormal="100" workbookViewId="0"/>
  </sheetViews>
  <sheetFormatPr defaultColWidth="9.28515625" defaultRowHeight="11.25" outlineLevelRow="1" x14ac:dyDescent="0.2"/>
  <cols>
    <col min="1" max="1" width="9.28515625" style="26" customWidth="1"/>
    <col min="2" max="2" width="57.42578125" style="26" customWidth="1"/>
    <col min="3" max="38" width="9.28515625" style="26" customWidth="1"/>
    <col min="39" max="48" width="11.42578125" style="26" bestFit="1" customWidth="1"/>
    <col min="49" max="16384" width="9.28515625" style="26"/>
  </cols>
  <sheetData>
    <row r="1" spans="1:51" ht="24.75" customHeight="1" x14ac:dyDescent="0.2">
      <c r="B1" s="39"/>
    </row>
    <row r="2" spans="1:51" ht="11.25" customHeight="1" x14ac:dyDescent="0.2">
      <c r="B2" s="27"/>
    </row>
    <row r="3" spans="1:51" ht="11.25" customHeight="1" x14ac:dyDescent="0.2">
      <c r="B3" s="19" t="s">
        <v>15</v>
      </c>
      <c r="C3" s="20" t="str">
        <f>'Input data'!C3</f>
        <v>FR</v>
      </c>
    </row>
    <row r="4" spans="1:51" x14ac:dyDescent="0.2">
      <c r="B4" s="64" t="s">
        <v>38</v>
      </c>
      <c r="C4" s="21"/>
    </row>
    <row r="5" spans="1:51" x14ac:dyDescent="0.2">
      <c r="A5" s="29"/>
      <c r="B5" s="22" t="str">
        <f>'Input data'!B5</f>
        <v>Last year before the adjustment</v>
      </c>
      <c r="C5" s="23">
        <f>+'Input data'!C5</f>
        <v>2024</v>
      </c>
      <c r="K5" s="80"/>
    </row>
    <row r="6" spans="1:51" x14ac:dyDescent="0.2">
      <c r="A6" s="29"/>
      <c r="B6" s="65" t="s">
        <v>44</v>
      </c>
      <c r="C6" s="23">
        <f>+C5+'Criteria results'!F5</f>
        <v>2028</v>
      </c>
      <c r="E6" s="43"/>
      <c r="F6" s="29"/>
    </row>
    <row r="7" spans="1:51" x14ac:dyDescent="0.2">
      <c r="A7" s="29"/>
      <c r="B7" s="24" t="s">
        <v>39</v>
      </c>
      <c r="C7" s="66">
        <f>C5+'Criteria results'!F5+10</f>
        <v>2038</v>
      </c>
      <c r="E7" s="43"/>
      <c r="F7" s="29"/>
    </row>
    <row r="8" spans="1:51" x14ac:dyDescent="0.2">
      <c r="A8" s="29"/>
      <c r="C8" s="29"/>
      <c r="E8" s="43"/>
      <c r="F8" s="29"/>
    </row>
    <row r="9" spans="1:51" s="67" customFormat="1" ht="12.75" x14ac:dyDescent="0.2">
      <c r="B9" s="25" t="s">
        <v>45</v>
      </c>
    </row>
    <row r="10" spans="1:51"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1" x14ac:dyDescent="0.2">
      <c r="B11" s="28" t="s">
        <v>46</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row>
    <row r="12" spans="1:51" x14ac:dyDescent="0.2">
      <c r="B12" s="26" t="s">
        <v>48</v>
      </c>
      <c r="C12" s="1">
        <f>'Adjustment scenario'!C12</f>
        <v>-4.5038349999999996</v>
      </c>
      <c r="D12" s="2">
        <f>'Adjustment scenario'!D12</f>
        <v>-2.9834649999999998</v>
      </c>
      <c r="E12" s="2">
        <f>'Adjustment scenario'!E12</f>
        <v>-3.6529590000000001</v>
      </c>
      <c r="F12" s="2">
        <f>'Adjust. no safeguard'!F12</f>
        <v>-2.968391</v>
      </c>
      <c r="G12" s="3">
        <f>'Adjust. no safeguard'!G12</f>
        <v>-2.0283910000000001</v>
      </c>
      <c r="H12" s="3">
        <f>'Adjust. no safeguard'!H12</f>
        <v>-1.0883910000000001</v>
      </c>
      <c r="I12" s="3">
        <f>'Adjust. no safeguard'!I12</f>
        <v>-0.14839100000000016</v>
      </c>
      <c r="J12" s="3">
        <f>'Adjust. no safeguard'!J12</f>
        <v>0.79160899999999979</v>
      </c>
      <c r="K12" s="3">
        <f>IF(AND('Criteria results'!$F$5=4,'Criteria results'!$F$5=4),'Adjust. no safeguard'!K12-0.25,IF(AND('Criteria results'!$F$5=4,'Criteria results'!$F$5=7),'Adjust. no safeguard'!K12-0.5/3,IF(AND('Criteria results'!$F$5=7,'Criteria results'!$F$5=7),'Adjust. no safeguard'!K12,'Adjust. no safeguard'!K12)))</f>
        <v>0.54160899999999979</v>
      </c>
      <c r="L12" s="3">
        <f>IF(AND('Criteria results'!$F$5=4,'Criteria results'!$F$5=4),'Adjust. no safeguard'!L12-0.5,IF(AND('Criteria results'!$F$5=4,'Criteria results'!$F$5=7),'Adjust. no safeguard'!L12-0.5*2/3,IF(AND('Criteria results'!$F$5=7,'Criteria results'!$F$5=7),'Adjust. no safeguard'!L12,'Adjust. no safeguard'!L12)))</f>
        <v>0.29160899999999979</v>
      </c>
      <c r="M12" s="3">
        <f>IF('Criteria results'!$F$5=4,'Adjust. no safeguard'!M12-0.5,'Adjust. no safeguard'!M12)</f>
        <v>0.29160899999999979</v>
      </c>
      <c r="N12" s="3">
        <f>IF('Criteria results'!$F$5=4,'Adjust. no safeguard'!N12-0.5,IF(AND('Criteria results'!$F$5=7,'Criteria results'!$F$5=7),'Adjust. no safeguard'!N12-0.25,'Adjust. no safeguard'!N12-1/3*0.5))</f>
        <v>0.29160899999999979</v>
      </c>
      <c r="O12" s="3">
        <f>IF('Criteria results'!$F$5=4,'Adjust. no safeguard'!N12-0.5,IF(AND('Criteria results'!$F$5=7,'Criteria results'!$F$5=7),'Adjust. no safeguard'!O12-0.5,'Adjust. no safeguard'!O12-2/3*0.5))</f>
        <v>0.29160899999999979</v>
      </c>
      <c r="P12" s="3">
        <f>'Adjust. no safeguard'!P12-0.5</f>
        <v>0.29160899999999979</v>
      </c>
      <c r="Q12" s="3">
        <f>'Adjust. no safeguard'!Q12-0.5</f>
        <v>0.29160899999999979</v>
      </c>
      <c r="R12" s="3">
        <f>'Adjust. no safeguard'!R12-0.5</f>
        <v>0.29160899999999979</v>
      </c>
      <c r="S12" s="3">
        <f>'Adjust. no safeguard'!S12-0.5</f>
        <v>0.29160899999999979</v>
      </c>
      <c r="T12" s="3">
        <f>'Adjust. no safeguard'!T12-0.5</f>
        <v>0.29160899999999979</v>
      </c>
      <c r="U12" s="3">
        <f>'Adjust. no safeguard'!U12-0.5</f>
        <v>0.29160899999999979</v>
      </c>
      <c r="V12" s="3">
        <f>'Adjust. no safeguard'!V12-0.5</f>
        <v>0.29160899999999979</v>
      </c>
      <c r="W12" s="3">
        <f>'Adjust. no safeguard'!W12-0.5</f>
        <v>0.29160899999999979</v>
      </c>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60"/>
    </row>
    <row r="13" spans="1:51" x14ac:dyDescent="0.2">
      <c r="B13" s="26" t="s">
        <v>49</v>
      </c>
      <c r="C13" s="1">
        <f>'Input data'!C14</f>
        <v>-8.3968899999999999E-2</v>
      </c>
      <c r="D13" s="2">
        <f>'Input data'!D14</f>
        <v>-7.1994500000000003E-2</v>
      </c>
      <c r="E13" s="2">
        <f>'Input data'!E14</f>
        <v>-6.4214599999999997E-2</v>
      </c>
      <c r="F13" s="2">
        <f>'Input data'!F14</f>
        <v>-3.4462800000000002E-2</v>
      </c>
      <c r="G13" s="2">
        <f>'Input data'!G14</f>
        <v>-3.00179E-2</v>
      </c>
      <c r="H13" s="2">
        <f>0</f>
        <v>0</v>
      </c>
      <c r="I13" s="2">
        <f>0</f>
        <v>0</v>
      </c>
      <c r="J13" s="2">
        <f>0</f>
        <v>0</v>
      </c>
      <c r="K13" s="2">
        <f>0</f>
        <v>0</v>
      </c>
      <c r="L13" s="2">
        <f>0</f>
        <v>0</v>
      </c>
      <c r="M13" s="2">
        <f>0</f>
        <v>0</v>
      </c>
      <c r="N13" s="2">
        <f>0</f>
        <v>0</v>
      </c>
      <c r="O13" s="2">
        <f>0</f>
        <v>0</v>
      </c>
      <c r="P13" s="2">
        <f>0</f>
        <v>0</v>
      </c>
      <c r="Q13" s="2">
        <f>0</f>
        <v>0</v>
      </c>
      <c r="R13" s="2">
        <f>0</f>
        <v>0</v>
      </c>
      <c r="S13" s="2">
        <f>0</f>
        <v>0</v>
      </c>
      <c r="T13" s="2">
        <f>0</f>
        <v>0</v>
      </c>
      <c r="U13" s="2">
        <f>0</f>
        <v>0</v>
      </c>
      <c r="V13" s="2">
        <f>0</f>
        <v>0</v>
      </c>
      <c r="W13" s="2">
        <f>0</f>
        <v>0</v>
      </c>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60"/>
    </row>
    <row r="14" spans="1:51" x14ac:dyDescent="0.2">
      <c r="B14" s="26" t="s">
        <v>87</v>
      </c>
      <c r="C14" s="1">
        <f>'Input data'!C15</f>
        <v>-2.11246E-2</v>
      </c>
      <c r="D14" s="2">
        <f>'Input data'!D15</f>
        <v>4.2606100000000001E-2</v>
      </c>
      <c r="E14" s="2">
        <f>'Input data'!E15</f>
        <v>-0.21881729999999999</v>
      </c>
      <c r="F14" s="2">
        <f>'Input data'!F15</f>
        <v>0.21081169999999999</v>
      </c>
      <c r="G14" s="2">
        <f>'Input data'!G15</f>
        <v>3.1292399999999998E-2</v>
      </c>
      <c r="H14" s="2">
        <f>'Input data'!H15</f>
        <v>0</v>
      </c>
      <c r="I14" s="2">
        <f>'Input data'!I15</f>
        <v>0</v>
      </c>
      <c r="J14" s="2">
        <f>'Input data'!J15</f>
        <v>0</v>
      </c>
      <c r="K14" s="2">
        <f>'Input data'!K15</f>
        <v>0</v>
      </c>
      <c r="L14" s="2">
        <f>'Input data'!L15</f>
        <v>0</v>
      </c>
      <c r="M14" s="2">
        <f>'Input data'!M15</f>
        <v>0</v>
      </c>
      <c r="N14" s="2">
        <f>'Input data'!N15</f>
        <v>0</v>
      </c>
      <c r="O14" s="2">
        <f>'Input data'!O15</f>
        <v>0</v>
      </c>
      <c r="P14" s="2">
        <f>'Input data'!P15</f>
        <v>0</v>
      </c>
      <c r="Q14" s="2">
        <f>'Input data'!Q15</f>
        <v>0</v>
      </c>
      <c r="R14" s="2">
        <f>'Input data'!R15</f>
        <v>0</v>
      </c>
      <c r="S14" s="2">
        <f>'Input data'!S15</f>
        <v>0</v>
      </c>
      <c r="T14" s="2">
        <f>'Input data'!T15</f>
        <v>0</v>
      </c>
      <c r="U14" s="2">
        <f>'Input data'!U15</f>
        <v>0</v>
      </c>
      <c r="V14" s="2">
        <f>'Input data'!V15</f>
        <v>0</v>
      </c>
      <c r="W14" s="2">
        <f>'Input data'!W15</f>
        <v>0</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60"/>
    </row>
    <row r="15" spans="1:51" ht="5.65" customHeight="1" x14ac:dyDescent="0.2">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spans="1:51" ht="11.25" customHeight="1" x14ac:dyDescent="0.2">
      <c r="B16" s="30" t="str">
        <f>'Input data'!B19</f>
        <v>Cost of ageing and selected public revenue (based on the Commission-Council 2024 Ageing Report ("AR 2024"))</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x14ac:dyDescent="0.2">
      <c r="A17" s="61"/>
      <c r="B17" s="26" t="s">
        <v>52</v>
      </c>
      <c r="C17" s="1">
        <f>'Input data'!C20</f>
        <v>0</v>
      </c>
      <c r="D17" s="101">
        <f>'Input data'!D20</f>
        <v>28.278850000000006</v>
      </c>
      <c r="E17" s="101">
        <f>'Input data'!E20</f>
        <v>27.552319999999998</v>
      </c>
      <c r="F17" s="101">
        <f>'Input data'!F20</f>
        <v>27.639749999999999</v>
      </c>
      <c r="G17" s="101">
        <f>'Input data'!G20</f>
        <v>27.581780000000002</v>
      </c>
      <c r="H17" s="101">
        <f>'Input data'!H20</f>
        <v>27.593040000000002</v>
      </c>
      <c r="I17" s="101">
        <f>'Input data'!I20</f>
        <v>27.652179999999998</v>
      </c>
      <c r="J17" s="101">
        <f>'Input data'!J20</f>
        <v>27.664160000000003</v>
      </c>
      <c r="K17" s="101">
        <f>'Input data'!K20</f>
        <v>27.636579999999999</v>
      </c>
      <c r="L17" s="101">
        <f>'Input data'!L20</f>
        <v>27.621679999999998</v>
      </c>
      <c r="M17" s="101">
        <f>'Input data'!M20</f>
        <v>27.607300000000002</v>
      </c>
      <c r="N17" s="101">
        <f>'Input data'!N20</f>
        <v>27.60905</v>
      </c>
      <c r="O17" s="101">
        <f>'Input data'!O20</f>
        <v>27.644740000000002</v>
      </c>
      <c r="P17" s="101">
        <f>'Input data'!P20</f>
        <v>27.691210000000002</v>
      </c>
      <c r="Q17" s="101">
        <f>'Input data'!Q20</f>
        <v>27.686630000000005</v>
      </c>
      <c r="R17" s="101">
        <f>'Input data'!R20</f>
        <v>27.686070000000001</v>
      </c>
      <c r="S17" s="101">
        <f>'Input data'!S20</f>
        <v>27.688879999999997</v>
      </c>
      <c r="T17" s="101">
        <f>'Input data'!T20</f>
        <v>27.691020000000002</v>
      </c>
      <c r="U17" s="101">
        <f>'Input data'!U20</f>
        <v>27.68871</v>
      </c>
      <c r="V17" s="101">
        <f>'Input data'!V20</f>
        <v>27.674209999999999</v>
      </c>
      <c r="W17" s="101">
        <f>'Input data'!W20</f>
        <v>27.712189999999996</v>
      </c>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x14ac:dyDescent="0.2">
      <c r="A18" s="61"/>
      <c r="B18" s="26" t="s">
        <v>58</v>
      </c>
      <c r="C18" s="1">
        <f>'Input data'!C26</f>
        <v>0.45969460000000001</v>
      </c>
      <c r="D18" s="101">
        <f>'Input data'!D26</f>
        <v>0.51588199999999995</v>
      </c>
      <c r="E18" s="101">
        <f>'Input data'!E26</f>
        <v>0.5155149</v>
      </c>
      <c r="F18" s="101">
        <f>'Input data'!F26</f>
        <v>0.51514769999999999</v>
      </c>
      <c r="G18" s="101">
        <f>'Input data'!G26</f>
        <v>0.51478060000000003</v>
      </c>
      <c r="H18" s="101">
        <f>'Input data'!H26</f>
        <v>0.51441349999999997</v>
      </c>
      <c r="I18" s="101">
        <f>'Input data'!I26</f>
        <v>0.51404640000000001</v>
      </c>
      <c r="J18" s="101">
        <f>'Input data'!J26</f>
        <v>0.51367929999999995</v>
      </c>
      <c r="K18" s="101">
        <f>'Input data'!K26</f>
        <v>0.5133122</v>
      </c>
      <c r="L18" s="101">
        <f>'Input data'!L26</f>
        <v>0.51294510000000004</v>
      </c>
      <c r="M18" s="101">
        <f>'Input data'!M26</f>
        <v>0.51257799999999998</v>
      </c>
      <c r="N18" s="101">
        <f>'Input data'!N26</f>
        <v>0.51221099999999997</v>
      </c>
      <c r="O18" s="101">
        <f>'Input data'!O26</f>
        <v>0.51184390000000002</v>
      </c>
      <c r="P18" s="101">
        <f>'Input data'!P26</f>
        <v>0.51147679999999995</v>
      </c>
      <c r="Q18" s="101">
        <f>'Input data'!Q26</f>
        <v>0.5111097</v>
      </c>
      <c r="R18" s="101">
        <f>'Input data'!R26</f>
        <v>0.51074269999999999</v>
      </c>
      <c r="S18" s="101">
        <f>'Input data'!S26</f>
        <v>0.51037560000000004</v>
      </c>
      <c r="T18" s="101">
        <f>'Input data'!T26</f>
        <v>0.51000849999999998</v>
      </c>
      <c r="U18" s="101">
        <f>'Input data'!U26</f>
        <v>0.50964140000000002</v>
      </c>
      <c r="V18" s="101">
        <f>'Input data'!V26</f>
        <v>0.50927440000000002</v>
      </c>
      <c r="W18" s="101">
        <f>'Input data'!W26</f>
        <v>0.50890729999999995</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20" spans="1:50" x14ac:dyDescent="0.2">
      <c r="B20" s="28" t="s">
        <v>88</v>
      </c>
    </row>
    <row r="21" spans="1:50" ht="10.5" customHeight="1" x14ac:dyDescent="0.2">
      <c r="B21" s="30" t="s">
        <v>89</v>
      </c>
    </row>
    <row r="22" spans="1:50" x14ac:dyDescent="0.2">
      <c r="B22" s="26" t="s">
        <v>61</v>
      </c>
      <c r="C22" s="34">
        <f>'Input data'!C31</f>
        <v>2321.011</v>
      </c>
      <c r="D22" s="100">
        <f>IF(AND(D49&gt;1,C49&gt;1),IF(AND(D49&gt;0,C49&gt;0),D26*(D50/100+1),0)+IF(D49&gt;0,C22*(1+D51/100),0)-C22*(1+'Input data'!D30/100),IF(D49=1,D26,C22*(1+D51/100)))</f>
        <v>2377.9862032033798</v>
      </c>
      <c r="E22" s="100">
        <f>IF(AND(E49&gt;1,D49&gt;1),IF(AND(E49&gt;0,D49&gt;0),E26*(E50/100+1),0)+IF(E49&gt;0,D22*(1+E51/100),0)-D22*(1+'Input data'!E30/100),IF(E49=1,E26,D22*(1+E51/100)))</f>
        <v>2394.7205296647835</v>
      </c>
      <c r="F22" s="100">
        <f>IF(AND(F49&gt;1,E49&gt;1),IF(AND(F49&gt;0,E49&gt;0),F26*(F50/100+1),0)+IF(F49&gt;0,E22*(1+F51/100),0)-E22*(1+'Input data'!F30/100),IF(F49=1,F26,E22*(1+F51/100)))</f>
        <v>2412.1658388302208</v>
      </c>
      <c r="G22" s="34">
        <f>IF(AND(G49&gt;1,F49&gt;1),IF(AND(G49&gt;0,F49&gt;0),G26*(G50/100+1),0)+IF(G49&gt;0,F22*(1+G51/100),0)-F22*(1+'Input data'!G30/100),IF(G49=1,G26,F22*(1+G51/100)))</f>
        <v>2433.6317508732877</v>
      </c>
      <c r="H22" s="34">
        <f>IF(AND(H49&gt;1,G49&gt;1),IF(AND(H49&gt;0,G49&gt;0),H26*(H50/100+1),0)+IF(H49&gt;0,G22*(1+H51/100),0)-G22*(1+'Input data'!H30/100),IF(H49=1,H26,G22*(1+H51/100)))</f>
        <v>2436.2397334613038</v>
      </c>
      <c r="I22" s="34">
        <f>IF(AND(I49&gt;1,H49&gt;1),IF(AND(I49&gt;0,H49&gt;0),I26*(I50/100+1),0)+IF(I49&gt;0,H22*(1+I51/100),0)-H22*(1+'Input data'!I30/100),IF(I49=1,I26,H22*(1+I51/100)))</f>
        <v>2438.584200582186</v>
      </c>
      <c r="J22" s="34">
        <f>IF(AND(J49&gt;1,I49&gt;1),IF(AND(J49&gt;0,I49&gt;0),J26*(J50/100+1),0)+IF(J49&gt;0,I22*(1+J51/100),0)-I22*(1+'Input data'!J30/100),IF(J49=1,J26,I22*(1+J51/100)))</f>
        <v>2441.3585428493939</v>
      </c>
      <c r="K22" s="34">
        <f>IF(AND(K49&gt;1,J49&gt;1),IF(AND(K49&gt;0,J49&gt;0),K26*(K50/100+1),0)+IF(K49&gt;0,J22*(1+K51/100),0)-J22*(1+'Input data'!K30/100),IF(K49=1,K26,J22*(1+K51/100)))</f>
        <v>2467.7879134819468</v>
      </c>
      <c r="L22" s="34">
        <f>IF(AND(L49&gt;1,K49&gt;1),IF(AND(L49&gt;0,K49&gt;0),L26*(L50/100+1),0)+IF(L49&gt;0,K22*(1+L51/100),0)-K22*(1+'Input data'!L30/100),IF(L49=1,L26,K22*(1+L51/100)))</f>
        <v>2488.5708742142947</v>
      </c>
      <c r="M22" s="34">
        <f>IF(AND(M49&gt;1,L49&gt;1),IF(AND(M49&gt;0,L49&gt;0),M26*(M50/100+1),0)+IF(M49&gt;0,L22*(1+M51/100),0)-L22*(1+'Input data'!M30/100),IF(M49=1,M26,L22*(1+M51/100)))</f>
        <v>2501.3320017833171</v>
      </c>
      <c r="N22" s="34">
        <f>IF(AND(N49&gt;1,M49&gt;1),IF(AND(N49&gt;0,M49&gt;0),N26*(N50/100+1),0)+IF(N49&gt;0,M22*(1+N51/100),0)-M22*(1+'Input data'!N30/100),IF(N49=1,N26,M22*(1+N51/100)))</f>
        <v>2514.8957358586749</v>
      </c>
      <c r="O22" s="34">
        <f>IF(AND(O49&gt;1,N49&gt;1),IF(AND(O49&gt;0,N49&gt;0),O26*(O50/100+1),0)+IF(O49&gt;0,N22*(1+O51/100),0)-N22*(1+'Input data'!O30/100),IF(O49=1,O26,N22*(1+O51/100)))</f>
        <v>2528.081254677857</v>
      </c>
      <c r="P22" s="34">
        <f>IF(AND(P49&gt;1,O49&gt;1),IF(AND(P49&gt;0,O49&gt;0),P26*(P50/100+1),0)+IF(P49&gt;0,O22*(1+P51/100),0)-O22*(1+'Input data'!P30/100),IF(P49=1,P26,O22*(1+P51/100)))</f>
        <v>2542.4840849890511</v>
      </c>
      <c r="Q22" s="34">
        <f>IF(AND(Q49&gt;1,P49&gt;1),IF(AND(Q49&gt;0,P49&gt;0),Q26*(Q50/100+1),0)+IF(Q49&gt;0,P22*(1+Q51/100),0)-P22*(1+'Input data'!Q30/100),IF(Q49=1,Q26,P22*(1+Q51/100)))</f>
        <v>2561.6625483964567</v>
      </c>
      <c r="R22" s="34">
        <f>IF(AND(R49&gt;1,Q49&gt;1),IF(AND(R49&gt;0,Q49&gt;0),R26*(R50/100+1),0)+IF(R49&gt;0,Q22*(1+R51/100),0)-Q22*(1+'Input data'!R30/100),IF(R49=1,R26,Q22*(1+R51/100)))</f>
        <v>2585.7145488207989</v>
      </c>
      <c r="S22" s="34">
        <f>IF(AND(S49&gt;1,R49&gt;1),IF(AND(S49&gt;0,R49&gt;0),S26*(S50/100+1),0)+IF(S49&gt;0,R22*(1+S51/100),0)-R22*(1+'Input data'!S30/100),IF(S49=1,S26,R22*(1+S51/100)))</f>
        <v>2612.6605904198063</v>
      </c>
      <c r="T22" s="34">
        <f>IF(AND(T49&gt;1,S49&gt;1),IF(AND(T49&gt;0,S49&gt;0),T26*(T50/100+1),0)+IF(T49&gt;0,S22*(1+T51/100),0)-S22*(1+'Input data'!T30/100),IF(T49=1,T26,S22*(1+T51/100)))</f>
        <v>2643.3698029996008</v>
      </c>
      <c r="U22" s="34">
        <f>IF(AND(U49&gt;1,T49&gt;1),IF(AND(U49&gt;0,T49&gt;0),U26*(U50/100+1),0)+IF(U49&gt;0,T22*(1+U51/100),0)-T22*(1+'Input data'!U30/100),IF(U49=1,U26,T22*(1+U51/100)))</f>
        <v>2678.5001612477677</v>
      </c>
      <c r="V22" s="34">
        <f>IF(AND(V49&gt;1,U49&gt;1),IF(AND(V49&gt;0,U49&gt;0),V26*(V50/100+1),0)+IF(V49&gt;0,U22*(1+V51/100),0)-U22*(1+'Input data'!V30/100),IF(V49=1,V26,U22*(1+V51/100)))</f>
        <v>2718.9784324495909</v>
      </c>
      <c r="W22" s="34">
        <f>IF(AND(W49&gt;1,V49&gt;1),IF(AND(W49&gt;0,V49&gt;0),W26*(W50/100+1),0)+IF(W49&gt;0,V22*(1+W51/100),0)-V22*(1+'Input data'!W30/100),IF(W49=1,W26,V22*(1+W51/100)))</f>
        <v>2760.8800380866005</v>
      </c>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row>
    <row r="23" spans="1:50" x14ac:dyDescent="0.2">
      <c r="A23" s="61"/>
      <c r="B23" s="62" t="s">
        <v>60</v>
      </c>
      <c r="C23" s="34">
        <f>+'Input data'!C30</f>
        <v>6.4352099999999997</v>
      </c>
      <c r="D23" s="100">
        <f t="shared" ref="D23:T23" si="0">100*(D22/C22-1)</f>
        <v>2.4547579999999902</v>
      </c>
      <c r="E23" s="100">
        <f t="shared" si="0"/>
        <v>0.70371840000000851</v>
      </c>
      <c r="F23" s="100">
        <f t="shared" si="0"/>
        <v>0.72849040000000365</v>
      </c>
      <c r="G23" s="34">
        <f t="shared" si="0"/>
        <v>0.88990200000000907</v>
      </c>
      <c r="H23" s="34">
        <f t="shared" si="0"/>
        <v>0.10716422429482009</v>
      </c>
      <c r="I23" s="34">
        <f t="shared" si="0"/>
        <v>9.6233022090608245E-2</v>
      </c>
      <c r="J23" s="34">
        <f t="shared" si="0"/>
        <v>0.1137685656515508</v>
      </c>
      <c r="K23" s="34">
        <f t="shared" si="0"/>
        <v>1.0825681754105032</v>
      </c>
      <c r="L23" s="34">
        <f t="shared" si="0"/>
        <v>0.84216964589245435</v>
      </c>
      <c r="M23" s="34">
        <f t="shared" si="0"/>
        <v>0.51278939656687061</v>
      </c>
      <c r="N23" s="34">
        <f>100*(N22/M22-1)</f>
        <v>0.54226044626173309</v>
      </c>
      <c r="O23" s="34">
        <f t="shared" si="0"/>
        <v>0.52429683788381976</v>
      </c>
      <c r="P23" s="34">
        <f t="shared" si="0"/>
        <v>0.56971390000000177</v>
      </c>
      <c r="Q23" s="34">
        <f t="shared" si="0"/>
        <v>0.75431990000001115</v>
      </c>
      <c r="R23" s="34">
        <f t="shared" si="0"/>
        <v>0.93892149999998953</v>
      </c>
      <c r="S23" s="34">
        <f t="shared" si="0"/>
        <v>1.042111999999995</v>
      </c>
      <c r="T23" s="34">
        <f t="shared" si="0"/>
        <v>1.1754000000000042</v>
      </c>
      <c r="U23" s="34">
        <f t="shared" ref="U23" si="1">100*(U22/T22-1)</f>
        <v>1.3289990000000085</v>
      </c>
      <c r="V23" s="34">
        <f t="shared" ref="V23" si="2">100*(V22/U22-1)</f>
        <v>1.5112290000000028</v>
      </c>
      <c r="W23" s="34">
        <f t="shared" ref="W23" si="3">100*(W22/V22-1)</f>
        <v>1.5410790000000008</v>
      </c>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spans="1:50" ht="5.25" customHeight="1" x14ac:dyDescent="0.2">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row>
    <row r="25" spans="1:50" x14ac:dyDescent="0.2">
      <c r="B25" s="30" t="s">
        <v>90</v>
      </c>
    </row>
    <row r="26" spans="1:50" x14ac:dyDescent="0.2">
      <c r="B26" s="26" t="s">
        <v>61</v>
      </c>
      <c r="C26" s="34">
        <f>'Input data'!C34</f>
        <v>2344.1460000000002</v>
      </c>
      <c r="D26" s="100">
        <f>+C26*(1+'Input data'!D33/100)</f>
        <v>2369.7540134990404</v>
      </c>
      <c r="E26" s="100">
        <f>+D26*(1+'Input data'!E33/100)</f>
        <v>2396.6660775582618</v>
      </c>
      <c r="F26" s="100">
        <f>+E26*(1+'Input data'!F33/100)</f>
        <v>2422.7374665164953</v>
      </c>
      <c r="G26" s="34">
        <f>+F26*(1+'Input data'!G33/100)</f>
        <v>2446.9776816902327</v>
      </c>
      <c r="H26" s="34">
        <f>+G26*(1+'Input data'!H33/100)</f>
        <v>2462.3500188137496</v>
      </c>
      <c r="I26" s="34">
        <f>+H26*(1+'Input data'!I33/100)</f>
        <v>2473.2435562533324</v>
      </c>
      <c r="J26" s="34">
        <f>+I26*(1+'Input data'!J33/100)</f>
        <v>2481.7361404048984</v>
      </c>
      <c r="K26" s="34">
        <f>+J26*(1+'Input data'!K33/100)</f>
        <v>2490.2207942276877</v>
      </c>
      <c r="L26" s="34">
        <f>+K26*(1+'Input data'!L33/100)</f>
        <v>2498.9514585278339</v>
      </c>
      <c r="M26" s="34">
        <f>+L26*(1+'Input data'!M33/100)</f>
        <v>2508.2782200879537</v>
      </c>
      <c r="N26" s="34">
        <f>+M26*(1+'Input data'!N33/100)</f>
        <v>2518.3828364555252</v>
      </c>
      <c r="O26" s="34">
        <f>+N26*(1+'Input data'!O33/100)</f>
        <v>2528.081254677857</v>
      </c>
      <c r="P26" s="34">
        <f>+O26*(1+'Input data'!P33/100)</f>
        <v>2542.4839889219634</v>
      </c>
      <c r="Q26" s="34">
        <f>+P26*(1+'Input data'!Q33/100)</f>
        <v>2561.6623371929359</v>
      </c>
      <c r="R26" s="34">
        <f>+Q26*(1+'Input data'!R33/100)</f>
        <v>2585.7143125792818</v>
      </c>
      <c r="S26" s="34">
        <f>+R26*(1+'Input data'!S33/100)</f>
        <v>2612.6603000021018</v>
      </c>
      <c r="T26" s="34">
        <f>+S26*(1+'Input data'!T33/100)</f>
        <v>2643.3696136747385</v>
      </c>
      <c r="U26" s="34">
        <f>+T26*(1+'Input data'!U33/100)</f>
        <v>2678.5000222741719</v>
      </c>
      <c r="V26" s="34">
        <f>+U26*(1+'Input data'!V33/100)</f>
        <v>2718.9783985157865</v>
      </c>
      <c r="W26" s="34">
        <f>+V26*(1+'Input data'!W33/100)</f>
        <v>2760.8798948707135</v>
      </c>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row>
    <row r="27" spans="1:50" ht="5.25" customHeight="1" x14ac:dyDescent="0.2">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row>
    <row r="28" spans="1:50" x14ac:dyDescent="0.2">
      <c r="B28" s="30" t="s">
        <v>91</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row>
    <row r="29" spans="1:50" x14ac:dyDescent="0.2">
      <c r="B29" s="26" t="s">
        <v>91</v>
      </c>
      <c r="C29" s="34">
        <f t="shared" ref="C29:T29" si="4">100*(C22/C26-1)</f>
        <v>-0.98692658221800622</v>
      </c>
      <c r="D29" s="100">
        <f t="shared" si="4"/>
        <v>0.34738583234570353</v>
      </c>
      <c r="E29" s="100">
        <f t="shared" si="4"/>
        <v>-8.1177261684295399E-2</v>
      </c>
      <c r="F29" s="100">
        <f t="shared" si="4"/>
        <v>-0.43635052631083582</v>
      </c>
      <c r="G29" s="34">
        <f t="shared" si="4"/>
        <v>-0.54540468091749394</v>
      </c>
      <c r="H29" s="34">
        <f t="shared" si="4"/>
        <v>-1.0603807400632936</v>
      </c>
      <c r="I29" s="34">
        <f t="shared" si="4"/>
        <v>-1.4013725248980813</v>
      </c>
      <c r="J29" s="34">
        <f t="shared" si="4"/>
        <v>-1.6269899486138328</v>
      </c>
      <c r="K29" s="34">
        <f t="shared" si="4"/>
        <v>-0.90083902591048259</v>
      </c>
      <c r="L29" s="34">
        <f t="shared" si="4"/>
        <v>-0.41539759718480784</v>
      </c>
      <c r="M29" s="34">
        <f t="shared" si="4"/>
        <v>-0.27693173145653116</v>
      </c>
      <c r="N29" s="34">
        <f t="shared" si="4"/>
        <v>-0.13846586572826558</v>
      </c>
      <c r="O29" s="34">
        <f t="shared" si="4"/>
        <v>0</v>
      </c>
      <c r="P29" s="34">
        <f t="shared" si="4"/>
        <v>3.7784736450774403E-6</v>
      </c>
      <c r="Q29" s="34">
        <f t="shared" si="4"/>
        <v>8.2447837890242681E-6</v>
      </c>
      <c r="R29" s="34">
        <f t="shared" si="4"/>
        <v>9.1364121601600345E-6</v>
      </c>
      <c r="S29" s="34">
        <f t="shared" si="4"/>
        <v>1.1115785114590437E-5</v>
      </c>
      <c r="T29" s="34">
        <f t="shared" si="4"/>
        <v>7.1622546116145713E-6</v>
      </c>
      <c r="U29" s="34">
        <f t="shared" ref="U29:W29" si="5">100*(U22/U26-1)</f>
        <v>5.1884858853767923E-6</v>
      </c>
      <c r="V29" s="34">
        <f t="shared" si="5"/>
        <v>1.2480350752852587E-6</v>
      </c>
      <c r="W29" s="34">
        <f t="shared" si="5"/>
        <v>5.1873276785130429E-6</v>
      </c>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row>
    <row r="30" spans="1:50" ht="5.25" customHeight="1" x14ac:dyDescent="0.2">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row>
    <row r="31" spans="1:50" x14ac:dyDescent="0.2">
      <c r="B31" s="30" t="s">
        <v>92</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row>
    <row r="32" spans="1:50" x14ac:dyDescent="0.2">
      <c r="B32" s="26" t="s">
        <v>60</v>
      </c>
      <c r="C32" s="1">
        <f t="shared" ref="C32:W32" si="6">100*((1+C23/100)*(1+C41/100)-1)</f>
        <v>7.9507899153866024</v>
      </c>
      <c r="D32" s="2">
        <f t="shared" si="6"/>
        <v>5.4743220450848451</v>
      </c>
      <c r="E32" s="2">
        <f t="shared" si="6"/>
        <v>6.2145642353418351</v>
      </c>
      <c r="F32" s="2">
        <f t="shared" si="6"/>
        <v>3.5167607791869226</v>
      </c>
      <c r="G32" s="1">
        <f t="shared" si="6"/>
        <v>2.9498286363781379</v>
      </c>
      <c r="H32" s="1">
        <f t="shared" si="6"/>
        <v>2.2147077141794203</v>
      </c>
      <c r="I32" s="1">
        <f t="shared" si="6"/>
        <v>2.2671378909550732</v>
      </c>
      <c r="J32" s="1">
        <f t="shared" si="6"/>
        <v>2.3486564010936961</v>
      </c>
      <c r="K32" s="1">
        <f t="shared" si="6"/>
        <v>3.4033011253975953</v>
      </c>
      <c r="L32" s="1">
        <f t="shared" si="6"/>
        <v>3.2214487462601804</v>
      </c>
      <c r="M32" s="1">
        <f t="shared" si="6"/>
        <v>2.9481532221261153</v>
      </c>
      <c r="N32" s="1">
        <f t="shared" si="6"/>
        <v>3.0422132125464296</v>
      </c>
      <c r="O32" s="1">
        <f t="shared" si="6"/>
        <v>3.0876664072498672</v>
      </c>
      <c r="P32" s="1">
        <f t="shared" si="6"/>
        <v>3.1065849331274986</v>
      </c>
      <c r="Q32" s="1">
        <f t="shared" si="6"/>
        <v>3.2681401815050082</v>
      </c>
      <c r="R32" s="1">
        <f t="shared" si="6"/>
        <v>3.4295893880124995</v>
      </c>
      <c r="S32" s="1">
        <f t="shared" si="6"/>
        <v>3.5075395327999859</v>
      </c>
      <c r="T32" s="1">
        <f t="shared" si="6"/>
        <v>3.6162565249999945</v>
      </c>
      <c r="U32" s="1">
        <f t="shared" si="6"/>
        <v>3.7456956261499919</v>
      </c>
      <c r="V32" s="1">
        <f t="shared" si="6"/>
        <v>3.9043562236749985</v>
      </c>
      <c r="W32" s="1">
        <f t="shared" si="6"/>
        <v>3.9069861407000195</v>
      </c>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4" spans="2:51" x14ac:dyDescent="0.2">
      <c r="B34" s="28" t="s">
        <v>141</v>
      </c>
    </row>
    <row r="35" spans="2:51" x14ac:dyDescent="0.2">
      <c r="B35" s="26" t="s">
        <v>63</v>
      </c>
      <c r="C35" s="34">
        <f>'Input data'!C37</f>
        <v>1.3072319999999999</v>
      </c>
      <c r="D35" s="100">
        <f>'Input data'!D37</f>
        <v>1.8011330000000001</v>
      </c>
      <c r="E35" s="100">
        <f>'Input data'!E37</f>
        <v>1.6360269999999999</v>
      </c>
      <c r="F35" s="100">
        <f>'Input data'!F37</f>
        <v>1.90473</v>
      </c>
      <c r="G35" s="100">
        <f>'Input data'!G37</f>
        <v>2.1499329999999999</v>
      </c>
      <c r="H35" s="34">
        <f t="shared" ref="H35:W35" si="7">H92</f>
        <v>2.2624335955804127</v>
      </c>
      <c r="I35" s="34">
        <f t="shared" si="7"/>
        <v>2.3656571190916935</v>
      </c>
      <c r="J35" s="34">
        <f t="shared" si="7"/>
        <v>2.4608203898214027</v>
      </c>
      <c r="K35" s="34">
        <f t="shared" si="7"/>
        <v>2.5486874079195405</v>
      </c>
      <c r="L35" s="34">
        <f t="shared" si="7"/>
        <v>2.6337956280780852</v>
      </c>
      <c r="M35" s="34">
        <f t="shared" si="7"/>
        <v>2.7174456274136558</v>
      </c>
      <c r="N35" s="34">
        <f t="shared" si="7"/>
        <v>2.79956750074511</v>
      </c>
      <c r="O35" s="34">
        <f t="shared" si="7"/>
        <v>2.8803930945149592</v>
      </c>
      <c r="P35" s="34">
        <f t="shared" si="7"/>
        <v>2.9520612972454301</v>
      </c>
      <c r="Q35" s="34">
        <f t="shared" si="7"/>
        <v>3.0179208423632167</v>
      </c>
      <c r="R35" s="34">
        <f t="shared" si="7"/>
        <v>3.0782210411487005</v>
      </c>
      <c r="S35" s="34">
        <f t="shared" si="7"/>
        <v>3.1335020295414693</v>
      </c>
      <c r="T35" s="34">
        <f t="shared" si="7"/>
        <v>3.1842568636845061</v>
      </c>
      <c r="U35" s="34">
        <f t="shared" si="7"/>
        <v>3.2309209698943611</v>
      </c>
      <c r="V35" s="34">
        <f t="shared" si="7"/>
        <v>3.2738813870791938</v>
      </c>
      <c r="W35" s="34">
        <f t="shared" si="7"/>
        <v>3.3134702884249103</v>
      </c>
    </row>
    <row r="36" spans="2:51" x14ac:dyDescent="0.2">
      <c r="B36" s="32" t="s">
        <v>94</v>
      </c>
      <c r="C36" s="1"/>
      <c r="D36" s="2">
        <f>'Input data'!D$39</f>
        <v>1.7</v>
      </c>
      <c r="E36" s="2">
        <f>'Input data'!E$39</f>
        <v>2.99</v>
      </c>
      <c r="F36" s="166">
        <f>'Input data'!F$39</f>
        <v>2.964537</v>
      </c>
      <c r="G36" s="166">
        <f>'Input data'!G$39</f>
        <v>3.0634350000000001</v>
      </c>
      <c r="H36" s="1">
        <f>G36+($O$36-$G$36)/($O$10-$G$10)</f>
        <v>3.1385131250000002</v>
      </c>
      <c r="I36" s="1">
        <f t="shared" ref="I36:M36" si="8">H36+($O$36-$G$36)/($O$10-$G$10)</f>
        <v>3.2135912500000003</v>
      </c>
      <c r="J36" s="1">
        <f t="shared" si="8"/>
        <v>3.2886693750000004</v>
      </c>
      <c r="K36" s="1">
        <f t="shared" si="8"/>
        <v>3.3637475000000006</v>
      </c>
      <c r="L36" s="1">
        <f t="shared" si="8"/>
        <v>3.4388256250000007</v>
      </c>
      <c r="M36" s="1">
        <f t="shared" si="8"/>
        <v>3.5139037500000008</v>
      </c>
      <c r="N36" s="1">
        <f>M36+($O$36-$G$36)/($O$10-$G$10)</f>
        <v>3.5889818750000009</v>
      </c>
      <c r="O36" s="252">
        <f>'Input data'!$C$52</f>
        <v>3.6640600000000001</v>
      </c>
      <c r="P36" s="1">
        <f>'Baseline NFPC'!P36</f>
        <v>3.680857</v>
      </c>
      <c r="Q36" s="1">
        <f>'Baseline NFPC'!Q36</f>
        <v>3.697654</v>
      </c>
      <c r="R36" s="1">
        <f>'Baseline NFPC'!R36</f>
        <v>3.7144509999999999</v>
      </c>
      <c r="S36" s="1">
        <f>'Baseline NFPC'!S36</f>
        <v>3.7312479999999999</v>
      </c>
      <c r="T36" s="1">
        <f>'Baseline NFPC'!T36</f>
        <v>3.7480450000000003</v>
      </c>
      <c r="U36" s="1">
        <f>'Baseline NFPC'!U36</f>
        <v>3.7648420000000002</v>
      </c>
      <c r="V36" s="1">
        <f>'Baseline NFPC'!V36</f>
        <v>3.7816390000000002</v>
      </c>
      <c r="W36" s="1">
        <f>'Baseline NFPC'!W36</f>
        <v>3.7984360000000001</v>
      </c>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60"/>
    </row>
    <row r="37" spans="2:51" x14ac:dyDescent="0.2">
      <c r="B37" s="32" t="s">
        <v>95</v>
      </c>
      <c r="C37" s="1"/>
      <c r="D37" s="2">
        <f>'Input data'!D$38</f>
        <v>0.35</v>
      </c>
      <c r="E37" s="2">
        <f>'Input data'!E$38</f>
        <v>3.43</v>
      </c>
      <c r="F37" s="166">
        <f>'Input data'!F$38</f>
        <v>3.5642079999999998</v>
      </c>
      <c r="G37" s="166">
        <f>'Input data'!G$38</f>
        <v>2.8163749999999999</v>
      </c>
      <c r="H37" s="1">
        <f>G37+($O$37-$G$37)/($O$10-$G$10)</f>
        <v>2.8050893749999997</v>
      </c>
      <c r="I37" s="1">
        <f t="shared" ref="I37:N37" si="9">H37+($O$37-$G$37)/($O$10-$G$10)</f>
        <v>2.7938037499999995</v>
      </c>
      <c r="J37" s="1">
        <f t="shared" si="9"/>
        <v>2.7825181249999993</v>
      </c>
      <c r="K37" s="1">
        <f t="shared" si="9"/>
        <v>2.7712324999999991</v>
      </c>
      <c r="L37" s="1">
        <f t="shared" si="9"/>
        <v>2.7599468749999989</v>
      </c>
      <c r="M37" s="1">
        <f t="shared" si="9"/>
        <v>2.7486612499999987</v>
      </c>
      <c r="N37" s="1">
        <f t="shared" si="9"/>
        <v>2.7373756249999985</v>
      </c>
      <c r="O37" s="252">
        <f>'Input data'!$C$53</f>
        <v>2.7260900000000001</v>
      </c>
      <c r="P37" s="1">
        <f>'Baseline NFPC'!P37</f>
        <v>2.6897855000000002</v>
      </c>
      <c r="Q37" s="1">
        <f>'Baseline NFPC'!Q37</f>
        <v>2.6534810000000002</v>
      </c>
      <c r="R37" s="1">
        <f>'Baseline NFPC'!R37</f>
        <v>2.6171765000000002</v>
      </c>
      <c r="S37" s="1">
        <f>'Baseline NFPC'!S37</f>
        <v>2.5808720000000003</v>
      </c>
      <c r="T37" s="1">
        <f>'Baseline NFPC'!T37</f>
        <v>2.5445675000000003</v>
      </c>
      <c r="U37" s="1">
        <f>'Baseline NFPC'!U37</f>
        <v>2.5082629999999999</v>
      </c>
      <c r="V37" s="1">
        <f>'Baseline NFPC'!V37</f>
        <v>2.4719584999999999</v>
      </c>
      <c r="W37" s="1">
        <f>'Baseline NFPC'!W37</f>
        <v>2.435654</v>
      </c>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60"/>
    </row>
    <row r="38" spans="2:51" s="5" customFormat="1" ht="12.75" x14ac:dyDescent="0.2">
      <c r="B38" s="26" t="s">
        <v>96</v>
      </c>
      <c r="C38" s="34">
        <f>'Baseline NFPC'!C38</f>
        <v>7.7938480000000004E-2</v>
      </c>
      <c r="D38" s="34">
        <f>'Baseline NFPC'!D38</f>
        <v>8.1557229999999994E-2</v>
      </c>
      <c r="E38" s="34">
        <f>'Baseline NFPC'!E38</f>
        <v>7.994946E-2</v>
      </c>
      <c r="F38" s="34">
        <f>'Baseline NFPC'!F38</f>
        <v>7.9901810000000004E-2</v>
      </c>
      <c r="G38" s="34">
        <f>'Baseline NFPC'!G38</f>
        <v>8.0347219999999997E-2</v>
      </c>
      <c r="H38" s="34">
        <f>'Baseline NFPC'!H38</f>
        <v>8.0792630000000004E-2</v>
      </c>
      <c r="I38" s="34">
        <f>'Baseline NFPC'!I38</f>
        <v>8.1238039999999997E-2</v>
      </c>
      <c r="J38" s="34">
        <f>'Baseline NFPC'!J38</f>
        <v>8.1683450000000005E-2</v>
      </c>
      <c r="K38" s="34">
        <f>'Baseline NFPC'!K38</f>
        <v>8.2128859999999998E-2</v>
      </c>
      <c r="L38" s="34">
        <f>'Baseline NFPC'!L38</f>
        <v>8.2574270000000005E-2</v>
      </c>
      <c r="M38" s="34">
        <f>'Baseline NFPC'!M38</f>
        <v>8.3019679999999998E-2</v>
      </c>
      <c r="N38" s="34">
        <f>'Baseline NFPC'!N38</f>
        <v>8.3465090000000006E-2</v>
      </c>
      <c r="O38" s="34">
        <f>'Baseline NFPC'!O38</f>
        <v>8.3910499999999999E-2</v>
      </c>
      <c r="P38" s="34">
        <f>'Baseline NFPC'!P38</f>
        <v>8.3910499999999999E-2</v>
      </c>
      <c r="Q38" s="34">
        <f>'Baseline NFPC'!Q38</f>
        <v>8.3910499999999999E-2</v>
      </c>
      <c r="R38" s="34">
        <f>'Baseline NFPC'!R38</f>
        <v>8.3910499999999999E-2</v>
      </c>
      <c r="S38" s="34">
        <f>'Baseline NFPC'!S38</f>
        <v>8.3910499999999999E-2</v>
      </c>
      <c r="T38" s="34">
        <f>'Baseline NFPC'!T38</f>
        <v>8.3910499999999999E-2</v>
      </c>
      <c r="U38" s="34">
        <f>'Baseline NFPC'!U38</f>
        <v>8.3910499999999999E-2</v>
      </c>
      <c r="V38" s="34">
        <f>'Baseline NFPC'!V38</f>
        <v>8.3910499999999999E-2</v>
      </c>
      <c r="W38" s="34">
        <f>'Baseline NFPC'!W38</f>
        <v>8.3910499999999999E-2</v>
      </c>
    </row>
    <row r="39" spans="2:51" x14ac:dyDescent="0.2">
      <c r="C39" s="1"/>
      <c r="D39" s="1"/>
      <c r="E39" s="1"/>
      <c r="F39" s="1"/>
      <c r="G39" s="1"/>
      <c r="H39" s="1"/>
      <c r="I39" s="1"/>
      <c r="J39" s="1"/>
      <c r="K39" s="1"/>
      <c r="L39" s="1"/>
      <c r="M39" s="1"/>
      <c r="N39" s="1"/>
      <c r="O39" s="1"/>
      <c r="P39" s="1"/>
      <c r="Q39" s="1"/>
      <c r="R39" s="1"/>
      <c r="S39" s="1"/>
      <c r="T39" s="1"/>
      <c r="U39" s="1"/>
      <c r="V39" s="1"/>
      <c r="W39" s="1"/>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60"/>
    </row>
    <row r="40" spans="2:51" x14ac:dyDescent="0.2">
      <c r="B40" s="28" t="s">
        <v>97</v>
      </c>
      <c r="C40" s="1"/>
      <c r="D40" s="1"/>
      <c r="E40" s="1"/>
      <c r="F40" s="1"/>
      <c r="G40" s="1"/>
      <c r="H40" s="1"/>
      <c r="I40" s="1"/>
      <c r="J40" s="1"/>
      <c r="K40" s="1"/>
      <c r="L40" s="1"/>
      <c r="M40" s="1"/>
      <c r="N40" s="1"/>
      <c r="O40" s="1"/>
      <c r="P40" s="1"/>
      <c r="Q40" s="1"/>
      <c r="R40" s="1"/>
      <c r="S40" s="1"/>
      <c r="T40" s="1"/>
      <c r="U40" s="1"/>
      <c r="V40" s="1"/>
      <c r="W40" s="1"/>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60"/>
    </row>
    <row r="41" spans="2:51" x14ac:dyDescent="0.2">
      <c r="B41" s="26" t="s">
        <v>142</v>
      </c>
      <c r="C41" s="1">
        <f>'Input data'!C42</f>
        <v>1.4239459999999999</v>
      </c>
      <c r="D41" s="2">
        <f>'Input data'!D42</f>
        <v>2.9472170000000002</v>
      </c>
      <c r="E41" s="2">
        <f>'Input data'!E42</f>
        <v>5.4723360000000003</v>
      </c>
      <c r="F41" s="2">
        <f>'Input data'!F42</f>
        <v>2.7681049999999998</v>
      </c>
      <c r="G41" s="2">
        <f>'Input data'!G42</f>
        <v>2.041757</v>
      </c>
      <c r="H41" s="1">
        <f>'Baseline NFPC'!H41</f>
        <v>2.1052873750000001</v>
      </c>
      <c r="I41" s="1">
        <f>'Baseline NFPC'!I41</f>
        <v>2.1688177500000001</v>
      </c>
      <c r="J41" s="1">
        <f>'Baseline NFPC'!J41</f>
        <v>2.2323481250000001</v>
      </c>
      <c r="K41" s="1">
        <f>'Baseline NFPC'!K41</f>
        <v>2.2958784999999997</v>
      </c>
      <c r="L41" s="1">
        <f>'Baseline NFPC'!L41</f>
        <v>2.3594088749999997</v>
      </c>
      <c r="M41" s="1">
        <f>'Baseline NFPC'!M41</f>
        <v>2.4229392499999998</v>
      </c>
      <c r="N41" s="1">
        <f>'Baseline NFPC'!N41</f>
        <v>2.4864696249999998</v>
      </c>
      <c r="O41" s="252">
        <f>'Baseline NFPC'!O41</f>
        <v>2.5499999999999998</v>
      </c>
      <c r="P41" s="1">
        <f>'Baseline NFPC'!P41</f>
        <v>2.5225</v>
      </c>
      <c r="Q41" s="1">
        <f>'Baseline NFPC'!Q41</f>
        <v>2.4949999999999997</v>
      </c>
      <c r="R41" s="1">
        <f>'Baseline NFPC'!R41</f>
        <v>2.4674999999999998</v>
      </c>
      <c r="S41" s="1">
        <f>'Baseline NFPC'!S41</f>
        <v>2.44</v>
      </c>
      <c r="T41" s="1">
        <f>'Baseline NFPC'!T41</f>
        <v>2.4124999999999996</v>
      </c>
      <c r="U41" s="1">
        <f>'Baseline NFPC'!U41</f>
        <v>2.3849999999999998</v>
      </c>
      <c r="V41" s="1">
        <f>'Baseline NFPC'!V41</f>
        <v>2.3574999999999999</v>
      </c>
      <c r="W41" s="1">
        <f>'Baseline NFPC'!W41</f>
        <v>2.33</v>
      </c>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60"/>
    </row>
    <row r="42" spans="2:51" x14ac:dyDescent="0.2">
      <c r="B42" s="26" t="s">
        <v>98</v>
      </c>
      <c r="C42" s="1">
        <f>'Baseline NFPC'!C42</f>
        <v>1</v>
      </c>
      <c r="D42" s="1">
        <f>'Baseline NFPC'!D42</f>
        <v>1</v>
      </c>
      <c r="E42" s="1">
        <f>'Baseline NFPC'!E42</f>
        <v>1</v>
      </c>
      <c r="F42" s="1">
        <f>'Baseline NFPC'!F42</f>
        <v>0.99999990000000005</v>
      </c>
      <c r="G42" s="1">
        <f>'Baseline NFPC'!G42</f>
        <v>1</v>
      </c>
      <c r="H42" s="1">
        <f>'Baseline NFPC'!H42</f>
        <v>1</v>
      </c>
      <c r="I42" s="1">
        <f>'Baseline NFPC'!I42</f>
        <v>1</v>
      </c>
      <c r="J42" s="1">
        <f>'Baseline NFPC'!J42</f>
        <v>1</v>
      </c>
      <c r="K42" s="1">
        <f>'Baseline NFPC'!K42</f>
        <v>1</v>
      </c>
      <c r="L42" s="1">
        <f>'Baseline NFPC'!L42</f>
        <v>1</v>
      </c>
      <c r="M42" s="1">
        <f>'Baseline NFPC'!M42</f>
        <v>1</v>
      </c>
      <c r="N42" s="1">
        <f>'Baseline NFPC'!N42</f>
        <v>1</v>
      </c>
      <c r="O42" s="1">
        <f>'Baseline NFPC'!O42</f>
        <v>1</v>
      </c>
      <c r="P42" s="1">
        <f>'Baseline NFPC'!P42</f>
        <v>1</v>
      </c>
      <c r="Q42" s="1">
        <f>'Baseline NFPC'!Q42</f>
        <v>1</v>
      </c>
      <c r="R42" s="1">
        <f>'Baseline NFPC'!R42</f>
        <v>1</v>
      </c>
      <c r="S42" s="1">
        <f>'Baseline NFPC'!S42</f>
        <v>1</v>
      </c>
      <c r="T42" s="1">
        <f>'Baseline NFPC'!T42</f>
        <v>1</v>
      </c>
      <c r="U42" s="1">
        <f>'Baseline NFPC'!U42</f>
        <v>1</v>
      </c>
      <c r="V42" s="1">
        <f>'Baseline NFPC'!V42</f>
        <v>1</v>
      </c>
      <c r="W42" s="1">
        <f>'Baseline NFPC'!W42</f>
        <v>1</v>
      </c>
      <c r="X42" s="63"/>
      <c r="Y42" s="63"/>
      <c r="Z42" s="63"/>
      <c r="AA42" s="63"/>
      <c r="AB42" s="63"/>
      <c r="AC42" s="63"/>
      <c r="AD42" s="63"/>
      <c r="AE42" s="63"/>
      <c r="AF42" s="63"/>
      <c r="AG42" s="63"/>
      <c r="AH42" s="63"/>
      <c r="AI42" s="63"/>
      <c r="AJ42" s="63"/>
      <c r="AK42" s="63"/>
      <c r="AL42" s="63"/>
      <c r="AM42" s="63"/>
      <c r="AN42" s="63"/>
      <c r="AO42" s="63"/>
      <c r="AP42" s="63"/>
      <c r="AQ42" s="63"/>
      <c r="AR42" s="63"/>
      <c r="AS42" s="63"/>
      <c r="AT42" s="63"/>
      <c r="AU42" s="63"/>
      <c r="AV42" s="63"/>
      <c r="AW42" s="63"/>
      <c r="AX42" s="63"/>
      <c r="AY42" s="60"/>
    </row>
    <row r="43" spans="2:51" x14ac:dyDescent="0.2">
      <c r="C43" s="36"/>
      <c r="U43" s="1"/>
      <c r="V43" s="1"/>
      <c r="W43" s="1"/>
    </row>
    <row r="44" spans="2:51" s="67" customFormat="1" ht="12.75" x14ac:dyDescent="0.2">
      <c r="B44" s="75" t="s">
        <v>99</v>
      </c>
      <c r="C44" s="68"/>
    </row>
    <row r="45" spans="2:51" x14ac:dyDescent="0.2">
      <c r="C45" s="36"/>
    </row>
    <row r="46" spans="2:51" x14ac:dyDescent="0.2">
      <c r="B46" s="54" t="s">
        <v>68</v>
      </c>
      <c r="C46" s="55">
        <f>'Input data'!C49</f>
        <v>0.75</v>
      </c>
    </row>
    <row r="47" spans="2:51" x14ac:dyDescent="0.2">
      <c r="B47" s="56" t="s">
        <v>258</v>
      </c>
      <c r="C47" s="57">
        <f>'Input data'!C50</f>
        <v>0.63</v>
      </c>
    </row>
    <row r="48" spans="2:51" x14ac:dyDescent="0.2">
      <c r="C48" s="58"/>
    </row>
    <row r="49" spans="2:48" outlineLevel="1" x14ac:dyDescent="0.2">
      <c r="B49" s="26" t="s">
        <v>100</v>
      </c>
      <c r="C49" s="34">
        <v>0</v>
      </c>
      <c r="D49" s="34">
        <f>IF(AND(ABS((D12-C12)-('Input data'!D13-'Input data'!C13))&gt;0.0001,ABS(D12-C12)&gt;0.0001,D$10&gt;$C$5),4,IF(C49=4,3,IF(C49=3,2,IF(C49=2,1,0))))</f>
        <v>0</v>
      </c>
      <c r="E49" s="34">
        <f>IF(AND(ABS((E12-D12)-('Input data'!E13-'Input data'!D13))&gt;0.0001,ABS(E12-D12)&gt;0.0001,E$10&gt;$C$5),4,IF(D49=4,3,IF(D49=3,2,IF(D49=2,1,0))))</f>
        <v>0</v>
      </c>
      <c r="F49" s="34">
        <f>IF(AND(ABS((F12-E12)-('Input data'!F13-'Input data'!E13))&gt;0.0001,ABS(F12-E12)&gt;0.0001,F$10&gt;$C$5),4,IF(E49=4,3,IF(E49=3,2,IF(E49=2,1,0))))</f>
        <v>0</v>
      </c>
      <c r="G49" s="34">
        <f>IF(AND(ABS((G12-F12)-('Input data'!G13-'Input data'!F13))&gt;0.0001,ABS(G12-F12)&gt;0.0001,G$10&gt;$C$5),4,IF(F49=4,3,IF(F49=3,2,IF(F49=2,1,0))))</f>
        <v>4</v>
      </c>
      <c r="H49" s="34">
        <f>IF(AND(ABS((H12-G12)-('Input data'!H13-'Input data'!G13))&gt;0.0001,ABS(H12-G12)&gt;0.0001,H$10&gt;$C$5),4,IF(G49=4,3,IF(G49=3,2,IF(G49=2,1,0))))</f>
        <v>4</v>
      </c>
      <c r="I49" s="34">
        <f>IF(AND(ABS((I12-H12)-('Input data'!I13-'Input data'!H13))&gt;0.0001,ABS(I12-H12)&gt;0.0001,I$10&gt;$C$5),4,IF(H49=4,3,IF(H49=3,2,IF(H49=2,1,0))))</f>
        <v>4</v>
      </c>
      <c r="J49" s="34">
        <f>IF(AND(ABS((J12-I12)-('Input data'!J13-'Input data'!I13))&gt;0.0001,ABS(J12-I12)&gt;0.0001,J$10&gt;$C$5),4,IF(I49=4,3,IF(I49=3,2,IF(I49=2,1,0))))</f>
        <v>4</v>
      </c>
      <c r="K49" s="34">
        <f>IF(AND(ABS((K12-J12)-('Input data'!K13-'Input data'!J13))&gt;0.0001,ABS(K12-J12)&gt;0.0001,K$10&gt;$C$5),4,IF(J49=4,3,IF(J49=3,2,IF(J49=2,1,0))))</f>
        <v>4</v>
      </c>
      <c r="L49" s="34">
        <f>IF(AND(ABS((L12-K12)-('Input data'!L13-'Input data'!K13))&gt;0.0001,ABS(L12-K12)&gt;0.0001,L$10&gt;$C$5),4,IF(K49=4,3,IF(K49=3,2,IF(K49=2,1,0))))</f>
        <v>4</v>
      </c>
      <c r="M49" s="34">
        <f>IF(AND(ABS((M12-L12)-('Input data'!M13-'Input data'!L13))&gt;0.0001,ABS(M12-L12)&gt;0.0001,M$10&gt;$C$5),4,IF(L49=4,3,IF(L49=3,2,IF(L49=2,1,0))))</f>
        <v>3</v>
      </c>
      <c r="N49" s="34">
        <f>IF(AND(ABS((N12-M12)-('Input data'!N13-'Input data'!M13))&gt;0.0001,ABS(N12-M12)&gt;0.0001,N$10&gt;$C$5),4,IF(M49=4,3,IF(M49=3,2,IF(M49=2,1,0))))</f>
        <v>2</v>
      </c>
      <c r="O49" s="34">
        <f>IF(AND(ABS((O12-N12)-('Input data'!O13-'Input data'!N13))&gt;0.0001,ABS(O12-N12)&gt;0.0001,O$10&gt;$C$5),4,IF(N49=4,3,IF(N49=3,2,IF(N49=2,1,0))))</f>
        <v>1</v>
      </c>
      <c r="P49" s="34">
        <f>IF(AND(ABS((P12-O12)-('Input data'!P13-'Input data'!O13))&gt;0.0001,ABS(P12-O12)&gt;0.0001,P$10&gt;$C$5),4,IF(O49=4,3,IF(O49=3,2,IF(O49=2,1,0))))</f>
        <v>0</v>
      </c>
      <c r="Q49" s="34">
        <f>IF(AND(ABS((Q12-P12)-('Input data'!Q13-'Input data'!P13))&gt;0.0001,ABS(Q12-P12)&gt;0.0001,Q$10&gt;$C$5),4,IF(P49=4,3,IF(P49=3,2,IF(P49=2,1,0))))</f>
        <v>0</v>
      </c>
      <c r="R49" s="34">
        <f>IF(AND(ABS((R12-Q12)-('Input data'!R13-'Input data'!Q13))&gt;0.0001,ABS(R12-Q12)&gt;0.0001,R$10&gt;$C$5),4,IF(Q49=4,3,IF(Q49=3,2,IF(Q49=2,1,0))))</f>
        <v>0</v>
      </c>
      <c r="S49" s="34">
        <f>IF(AND(ABS((S12-R12)-('Input data'!S13-'Input data'!R13))&gt;0.0001,ABS(S12-R12)&gt;0.0001,S$10&gt;$C$5),4,IF(R49=4,3,IF(R49=3,2,IF(R49=2,1,0))))</f>
        <v>0</v>
      </c>
      <c r="T49" s="34">
        <f>IF(AND(ABS((T12-S12)-('Input data'!T13-'Input data'!S13))&gt;0.0001,ABS(T12-S12)&gt;0.0001,T$10&gt;$C$5),4,IF(S49=4,3,IF(S49=3,2,IF(S49=2,1,0))))</f>
        <v>0</v>
      </c>
      <c r="U49" s="34">
        <f>IF(AND(ABS((U12-T12)-('Input data'!U13-'Input data'!T13))&gt;0.0001,ABS(U12-T12)&gt;0.0001,U$10&gt;$C$5),4,IF(T49=4,3,IF(T49=3,2,IF(T49=2,1,0))))</f>
        <v>0</v>
      </c>
      <c r="V49" s="34">
        <f>IF(AND(ABS((V12-U12)-('Input data'!V13-'Input data'!U13))&gt;0.0001,ABS(V12-U12)&gt;0.0001,V$10&gt;$C$5),4,IF(U49=4,3,IF(U49=3,2,IF(U49=2,1,0))))</f>
        <v>0</v>
      </c>
      <c r="W49" s="34">
        <f>IF(AND(ABS((W12-V12)-('Input data'!W13-'Input data'!V13))&gt;0.0001,ABS(W12-V12)&gt;0.0001,W$10&gt;$C$5),4,IF(V49=4,3,IF(V49=3,2,IF(V49=2,1,0))))</f>
        <v>0</v>
      </c>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row>
    <row r="50" spans="2:48" outlineLevel="1" x14ac:dyDescent="0.2">
      <c r="B50" s="26" t="s">
        <v>101</v>
      </c>
      <c r="C50" s="34">
        <v>0</v>
      </c>
      <c r="D50" s="34">
        <f t="shared" ref="D50:W50" si="10">IF(C49=4,2/3*C29,IF(C49=3,1/3*B29,0))</f>
        <v>0</v>
      </c>
      <c r="E50" s="34">
        <f t="shared" si="10"/>
        <v>0</v>
      </c>
      <c r="F50" s="34">
        <f t="shared" si="10"/>
        <v>0</v>
      </c>
      <c r="G50" s="34">
        <f t="shared" si="10"/>
        <v>0</v>
      </c>
      <c r="H50" s="34">
        <f t="shared" si="10"/>
        <v>-0.36360312061166261</v>
      </c>
      <c r="I50" s="34">
        <f t="shared" si="10"/>
        <v>-0.70692049337552909</v>
      </c>
      <c r="J50" s="34">
        <f t="shared" si="10"/>
        <v>-0.93424834993205419</v>
      </c>
      <c r="K50" s="34">
        <f t="shared" si="10"/>
        <v>-1.0846599657425551</v>
      </c>
      <c r="L50" s="34">
        <f t="shared" si="10"/>
        <v>-0.6005593506069884</v>
      </c>
      <c r="M50" s="34">
        <f t="shared" si="10"/>
        <v>-0.27693173145653854</v>
      </c>
      <c r="N50" s="34">
        <f t="shared" si="10"/>
        <v>-0.13846586572826927</v>
      </c>
      <c r="O50" s="34">
        <f t="shared" si="10"/>
        <v>0</v>
      </c>
      <c r="P50" s="34">
        <f t="shared" si="10"/>
        <v>0</v>
      </c>
      <c r="Q50" s="34">
        <f t="shared" si="10"/>
        <v>0</v>
      </c>
      <c r="R50" s="34">
        <f t="shared" si="10"/>
        <v>0</v>
      </c>
      <c r="S50" s="34">
        <f t="shared" si="10"/>
        <v>0</v>
      </c>
      <c r="T50" s="34">
        <f t="shared" si="10"/>
        <v>0</v>
      </c>
      <c r="U50" s="34">
        <f t="shared" si="10"/>
        <v>0</v>
      </c>
      <c r="V50" s="34">
        <f t="shared" si="10"/>
        <v>0</v>
      </c>
      <c r="W50" s="34">
        <f t="shared" si="10"/>
        <v>0</v>
      </c>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row>
    <row r="51" spans="2:48" outlineLevel="1" x14ac:dyDescent="0.2">
      <c r="B51" s="26" t="s">
        <v>102</v>
      </c>
      <c r="C51" s="34"/>
      <c r="D51" s="34">
        <f>'Input data'!D30-$C$46*((D12-C12)-('Input data'!D13-'Input data'!C13))</f>
        <v>2.454758</v>
      </c>
      <c r="E51" s="34">
        <f>'Input data'!E30-$C$46*((E12-D12)-('Input data'!E13-'Input data'!D13))</f>
        <v>0.70371839999999997</v>
      </c>
      <c r="F51" s="34">
        <f>'Input data'!F30-$C$46*((F12-E12)-('Input data'!F13-'Input data'!E13))</f>
        <v>0.72849039999999998</v>
      </c>
      <c r="G51" s="34">
        <f>'Input data'!G30-$C$46*((G12-F12))</f>
        <v>0.88990200000000008</v>
      </c>
      <c r="H51" s="34">
        <f>'Input data'!H30-$C$46*((H12-G12))</f>
        <v>-0.12688599999999994</v>
      </c>
      <c r="I51" s="34">
        <f>'Input data'!I30-$C$46*((I12-H12))</f>
        <v>-0.32930079999999995</v>
      </c>
      <c r="J51" s="34">
        <f>'Input data'!J30-$C$46*((J12-I12))</f>
        <v>-0.39495749999999996</v>
      </c>
      <c r="K51" s="34">
        <f>'Input data'!K30-$C$46*((K12-J12))</f>
        <v>0.52938240000000003</v>
      </c>
      <c r="L51" s="34">
        <f>'Input data'!L30-$C$46*((L12-K12))</f>
        <v>0.53809989999999996</v>
      </c>
      <c r="M51" s="34">
        <f>'Input data'!M30-$C$46*((M12-L12))</f>
        <v>0.37322290000000002</v>
      </c>
      <c r="N51" s="34">
        <f>'Input data'!N30-$C$46*((N12-M12))</f>
        <v>0.40285549999999998</v>
      </c>
      <c r="O51" s="34">
        <f>'Input data'!O30-$C$46*((O12-N12))</f>
        <v>0.3851077</v>
      </c>
      <c r="P51" s="34">
        <f>'Input data'!P30-$C$46*((P12-O12))</f>
        <v>0.5697139</v>
      </c>
      <c r="Q51" s="34">
        <f>'Input data'!Q30-$C$46*((Q12-P12))</f>
        <v>0.75431990000000004</v>
      </c>
      <c r="R51" s="34">
        <f>'Input data'!R30-$C$46*((R12-Q12))</f>
        <v>0.93892149999999996</v>
      </c>
      <c r="S51" s="34">
        <f>'Input data'!S30-$C$46*((S12-R12))</f>
        <v>1.0421119999999999</v>
      </c>
      <c r="T51" s="34">
        <f>'Input data'!T30-$C$46*((T12-S12))</f>
        <v>1.1754</v>
      </c>
      <c r="U51" s="34">
        <f>'Input data'!U30-$C$46*((U12-T12))</f>
        <v>1.328999</v>
      </c>
      <c r="V51" s="34">
        <f>'Input data'!V30-$C$46*((V12-U12))</f>
        <v>1.5112289999999999</v>
      </c>
      <c r="W51" s="34">
        <f>'Input data'!W30-$C$46*((W12-V12))</f>
        <v>1.5410790000000001</v>
      </c>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row>
    <row r="52" spans="2:48" x14ac:dyDescent="0.2">
      <c r="C52" s="36"/>
    </row>
    <row r="53" spans="2:48" s="67" customFormat="1" ht="12.75" outlineLevel="1" x14ac:dyDescent="0.2">
      <c r="B53" s="72" t="s">
        <v>103</v>
      </c>
      <c r="C53" s="69"/>
      <c r="E53" s="70"/>
      <c r="F53" s="69"/>
    </row>
    <row r="54" spans="2:48" outlineLevel="1" x14ac:dyDescent="0.2">
      <c r="B54" s="43"/>
      <c r="C54" s="29"/>
      <c r="E54" s="44"/>
      <c r="F54" s="29"/>
    </row>
    <row r="55" spans="2:48" outlineLevel="1" x14ac:dyDescent="0.2">
      <c r="B55" s="85"/>
      <c r="C55" s="86">
        <v>2021</v>
      </c>
      <c r="D55" s="86">
        <v>2022</v>
      </c>
      <c r="E55" s="86">
        <v>2023</v>
      </c>
      <c r="F55" s="86">
        <v>2024</v>
      </c>
      <c r="G55" s="86">
        <v>2025</v>
      </c>
      <c r="H55" s="86">
        <v>2026</v>
      </c>
      <c r="I55" s="86">
        <v>2027</v>
      </c>
      <c r="J55" s="86">
        <v>2028</v>
      </c>
      <c r="K55" s="86">
        <v>2029</v>
      </c>
      <c r="L55" s="86">
        <v>2030</v>
      </c>
      <c r="M55" s="86">
        <v>2031</v>
      </c>
      <c r="N55" s="86">
        <v>2032</v>
      </c>
      <c r="O55" s="86">
        <v>2033</v>
      </c>
      <c r="P55" s="86">
        <v>2034</v>
      </c>
      <c r="Q55" s="86">
        <v>2035</v>
      </c>
      <c r="R55" s="86">
        <v>2036</v>
      </c>
      <c r="S55" s="86">
        <v>2037</v>
      </c>
      <c r="T55" s="86">
        <v>2038</v>
      </c>
      <c r="U55" s="86">
        <v>2039</v>
      </c>
      <c r="V55" s="86">
        <v>2040</v>
      </c>
      <c r="W55" s="86">
        <v>2041</v>
      </c>
    </row>
    <row r="56" spans="2:48" ht="10.5" customHeight="1" outlineLevel="1" x14ac:dyDescent="0.2">
      <c r="B56" s="87" t="s">
        <v>104</v>
      </c>
      <c r="C56" s="45">
        <f>+'Input data'!C12</f>
        <v>112.97329999999999</v>
      </c>
      <c r="D56" s="45">
        <f t="shared" ref="D56:T56" si="11">+C56+D57</f>
        <v>111.91816702562221</v>
      </c>
      <c r="E56" s="45">
        <f t="shared" si="11"/>
        <v>110.64326790048331</v>
      </c>
      <c r="F56" s="45">
        <f t="shared" si="11"/>
        <v>112.40882173205914</v>
      </c>
      <c r="G56" s="45">
        <f t="shared" si="11"/>
        <v>113.96873574495558</v>
      </c>
      <c r="H56" s="45">
        <f t="shared" si="11"/>
        <v>115.77838065922458</v>
      </c>
      <c r="I56" s="45">
        <f t="shared" si="11"/>
        <v>116.92117165766111</v>
      </c>
      <c r="J56" s="45">
        <f t="shared" si="11"/>
        <v>117.28270034717907</v>
      </c>
      <c r="K56" s="45">
        <f t="shared" si="11"/>
        <v>116.31208203663418</v>
      </c>
      <c r="L56" s="45">
        <f t="shared" si="11"/>
        <v>115.57824792862905</v>
      </c>
      <c r="M56" s="45">
        <f t="shared" si="11"/>
        <v>115.14633548639341</v>
      </c>
      <c r="N56" s="45">
        <f t="shared" si="11"/>
        <v>114.61716955872717</v>
      </c>
      <c r="O56" s="46">
        <f t="shared" si="11"/>
        <v>114.0775208397134</v>
      </c>
      <c r="P56" s="46">
        <f t="shared" si="11"/>
        <v>113.64419641615282</v>
      </c>
      <c r="Q56" s="46">
        <f t="shared" si="11"/>
        <v>113.10226123468946</v>
      </c>
      <c r="R56" s="46">
        <f t="shared" si="11"/>
        <v>112.45126497930812</v>
      </c>
      <c r="S56" s="46">
        <f t="shared" si="11"/>
        <v>111.78131589712815</v>
      </c>
      <c r="T56" s="46">
        <f t="shared" si="11"/>
        <v>111.05419154020396</v>
      </c>
      <c r="U56" s="46">
        <f t="shared" ref="U56" si="12">+T56+U57</f>
        <v>110.24012856758301</v>
      </c>
      <c r="V56" s="46">
        <f t="shared" ref="V56" si="13">+U56+V57</f>
        <v>109.29405440237049</v>
      </c>
      <c r="W56" s="46">
        <f t="shared" ref="W56" si="14">+V56+W57</f>
        <v>108.43095739236938</v>
      </c>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row>
    <row r="57" spans="2:48" outlineLevel="1" x14ac:dyDescent="0.2">
      <c r="B57" s="88" t="s">
        <v>105</v>
      </c>
      <c r="C57" s="47"/>
      <c r="D57" s="47">
        <f t="shared" ref="D57:T57" si="15">-D58+D66+D71</f>
        <v>-1.0551329743777824</v>
      </c>
      <c r="E57" s="47">
        <f t="shared" si="15"/>
        <v>-1.2748991251389035</v>
      </c>
      <c r="F57" s="47">
        <f t="shared" si="15"/>
        <v>1.7655538315758226</v>
      </c>
      <c r="G57" s="47">
        <f t="shared" si="15"/>
        <v>1.559914012896445</v>
      </c>
      <c r="H57" s="47">
        <f t="shared" si="15"/>
        <v>1.8096449142689994</v>
      </c>
      <c r="I57" s="47">
        <f t="shared" si="15"/>
        <v>1.1427909984365296</v>
      </c>
      <c r="J57" s="47">
        <f t="shared" si="15"/>
        <v>0.36152868951796968</v>
      </c>
      <c r="K57" s="47">
        <f t="shared" si="15"/>
        <v>-0.97061831054488845</v>
      </c>
      <c r="L57" s="47">
        <f t="shared" si="15"/>
        <v>-0.73383410800513094</v>
      </c>
      <c r="M57" s="47">
        <f t="shared" si="15"/>
        <v>-0.43191244223564862</v>
      </c>
      <c r="N57" s="47">
        <f t="shared" si="15"/>
        <v>-0.52916592766623916</v>
      </c>
      <c r="O57" s="47">
        <f t="shared" si="15"/>
        <v>-0.5396487190137732</v>
      </c>
      <c r="P57" s="47">
        <f t="shared" si="15"/>
        <v>-0.43332442356057654</v>
      </c>
      <c r="Q57" s="47">
        <f t="shared" si="15"/>
        <v>-0.54193518146335395</v>
      </c>
      <c r="R57" s="47">
        <f t="shared" si="15"/>
        <v>-0.65099625538134154</v>
      </c>
      <c r="S57" s="47">
        <f t="shared" si="15"/>
        <v>-0.66994908217996796</v>
      </c>
      <c r="T57" s="47">
        <f t="shared" si="15"/>
        <v>-0.72712435692418798</v>
      </c>
      <c r="U57" s="47">
        <f t="shared" ref="U57:W57" si="16">-U58+U66+U71</f>
        <v>-0.8140629726209454</v>
      </c>
      <c r="V57" s="47">
        <f t="shared" si="16"/>
        <v>-0.9460741652125173</v>
      </c>
      <c r="W57" s="47">
        <f t="shared" si="16"/>
        <v>-0.86309701000110595</v>
      </c>
    </row>
    <row r="58" spans="2:48" outlineLevel="1" x14ac:dyDescent="0.2">
      <c r="B58" s="84" t="s">
        <v>106</v>
      </c>
      <c r="C58" s="48"/>
      <c r="D58" s="48">
        <f t="shared" ref="D58:T58" si="17">D59+D60-D61-D62-D63-D64-D65</f>
        <v>-2.836606425622207</v>
      </c>
      <c r="E58" s="48">
        <f t="shared" si="17"/>
        <v>-3.7683152748611062</v>
      </c>
      <c r="F58" s="48">
        <f t="shared" si="17"/>
        <v>-3.2777546315758266</v>
      </c>
      <c r="G58" s="48">
        <f t="shared" si="17"/>
        <v>-2.4020138489780209</v>
      </c>
      <c r="H58" s="48">
        <f t="shared" si="17"/>
        <v>-1.7564308662398751</v>
      </c>
      <c r="I58" s="48">
        <f t="shared" si="17"/>
        <v>-1.0312556906857915</v>
      </c>
      <c r="J58" s="48">
        <f t="shared" si="17"/>
        <v>-0.2333946676267149</v>
      </c>
      <c r="K58" s="48">
        <f t="shared" si="17"/>
        <v>1.2933136763997322E-3</v>
      </c>
      <c r="L58" s="48">
        <f t="shared" si="17"/>
        <v>7.1654313773575673E-2</v>
      </c>
      <c r="M58" s="48">
        <f t="shared" si="17"/>
        <v>0.17290070918238554</v>
      </c>
      <c r="N58" s="48">
        <f t="shared" si="17"/>
        <v>0.25801720459119515</v>
      </c>
      <c r="O58" s="48">
        <f t="shared" si="17"/>
        <v>0.30919360000000007</v>
      </c>
      <c r="P58" s="48">
        <f t="shared" si="17"/>
        <v>0.26235888043839706</v>
      </c>
      <c r="Q58" s="48">
        <f t="shared" si="17"/>
        <v>0.26657459421378493</v>
      </c>
      <c r="R58" s="48">
        <f t="shared" si="17"/>
        <v>0.26676815593966241</v>
      </c>
      <c r="S58" s="48">
        <f t="shared" si="17"/>
        <v>0.2635923029446271</v>
      </c>
      <c r="T58" s="48">
        <f t="shared" si="17"/>
        <v>0.26108271222040591</v>
      </c>
      <c r="U58" s="48">
        <f t="shared" ref="U58:W58" si="18">U59+U60-U61-U62-U63-U64-U65</f>
        <v>0.26302436874610979</v>
      </c>
      <c r="V58" s="48">
        <f t="shared" si="18"/>
        <v>0.27715488626210116</v>
      </c>
      <c r="W58" s="48">
        <f t="shared" si="18"/>
        <v>0.23881026801644367</v>
      </c>
    </row>
    <row r="59" spans="2:48" outlineLevel="1" x14ac:dyDescent="0.2">
      <c r="B59" s="79" t="s">
        <v>107</v>
      </c>
      <c r="C59" s="1"/>
      <c r="D59" s="1">
        <f>D12</f>
        <v>-2.9834649999999998</v>
      </c>
      <c r="E59" s="1">
        <f>E12</f>
        <v>-3.6529590000000001</v>
      </c>
      <c r="F59" s="1">
        <f>F12</f>
        <v>-2.968391</v>
      </c>
      <c r="G59" s="1">
        <f t="shared" ref="G59:W59" si="19">IF(G12="",F59,G12)</f>
        <v>-2.0283910000000001</v>
      </c>
      <c r="H59" s="1">
        <f t="shared" si="19"/>
        <v>-1.0883910000000001</v>
      </c>
      <c r="I59" s="1">
        <f t="shared" si="19"/>
        <v>-0.14839100000000016</v>
      </c>
      <c r="J59" s="1">
        <f t="shared" si="19"/>
        <v>0.79160899999999979</v>
      </c>
      <c r="K59" s="1">
        <f t="shared" si="19"/>
        <v>0.54160899999999979</v>
      </c>
      <c r="L59" s="1">
        <f t="shared" si="19"/>
        <v>0.29160899999999979</v>
      </c>
      <c r="M59" s="1">
        <f t="shared" si="19"/>
        <v>0.29160899999999979</v>
      </c>
      <c r="N59" s="1">
        <f t="shared" si="19"/>
        <v>0.29160899999999979</v>
      </c>
      <c r="O59" s="1">
        <f t="shared" si="19"/>
        <v>0.29160899999999979</v>
      </c>
      <c r="P59" s="1">
        <f t="shared" si="19"/>
        <v>0.29160899999999979</v>
      </c>
      <c r="Q59" s="1">
        <f t="shared" si="19"/>
        <v>0.29160899999999979</v>
      </c>
      <c r="R59" s="1">
        <f t="shared" si="19"/>
        <v>0.29160899999999979</v>
      </c>
      <c r="S59" s="1">
        <f t="shared" si="19"/>
        <v>0.29160899999999979</v>
      </c>
      <c r="T59" s="1">
        <f t="shared" si="19"/>
        <v>0.29160899999999979</v>
      </c>
      <c r="U59" s="1">
        <f t="shared" si="19"/>
        <v>0.29160899999999979</v>
      </c>
      <c r="V59" s="1">
        <f t="shared" si="19"/>
        <v>0.29160899999999979</v>
      </c>
      <c r="W59" s="1">
        <f t="shared" si="19"/>
        <v>0.29160899999999979</v>
      </c>
    </row>
    <row r="60" spans="2:48" outlineLevel="1" x14ac:dyDescent="0.2">
      <c r="B60" s="79" t="s">
        <v>108</v>
      </c>
      <c r="C60" s="1"/>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c r="V60" s="1">
        <v>0</v>
      </c>
      <c r="W60" s="1">
        <v>0</v>
      </c>
    </row>
    <row r="61" spans="2:48" outlineLevel="1" x14ac:dyDescent="0.2">
      <c r="B61" s="79" t="s">
        <v>109</v>
      </c>
      <c r="C61" s="1"/>
      <c r="D61" s="1">
        <f t="shared" ref="D61:W61" si="20">-$C$47*D29</f>
        <v>-0.21885307437779322</v>
      </c>
      <c r="E61" s="1">
        <f t="shared" si="20"/>
        <v>5.1141674861106101E-2</v>
      </c>
      <c r="F61" s="1">
        <f t="shared" si="20"/>
        <v>0.27490083157582657</v>
      </c>
      <c r="G61" s="1">
        <f t="shared" si="20"/>
        <v>0.34360494897802119</v>
      </c>
      <c r="H61" s="1">
        <f t="shared" si="20"/>
        <v>0.66803986623987499</v>
      </c>
      <c r="I61" s="1">
        <f t="shared" si="20"/>
        <v>0.88286469068579121</v>
      </c>
      <c r="J61" s="1">
        <f t="shared" si="20"/>
        <v>1.0250036676267147</v>
      </c>
      <c r="K61" s="1">
        <f t="shared" si="20"/>
        <v>0.56752858632360403</v>
      </c>
      <c r="L61" s="1">
        <f t="shared" si="20"/>
        <v>0.26170048622642894</v>
      </c>
      <c r="M61" s="1">
        <f t="shared" si="20"/>
        <v>0.17446699081761463</v>
      </c>
      <c r="N61" s="1">
        <f t="shared" si="20"/>
        <v>8.7233495408807316E-2</v>
      </c>
      <c r="O61" s="1">
        <f t="shared" si="20"/>
        <v>0</v>
      </c>
      <c r="P61" s="1">
        <f t="shared" si="20"/>
        <v>-2.3804383963987874E-6</v>
      </c>
      <c r="Q61" s="1">
        <f t="shared" si="20"/>
        <v>-5.1942137870852889E-6</v>
      </c>
      <c r="R61" s="1">
        <f t="shared" si="20"/>
        <v>-5.7559396609008218E-6</v>
      </c>
      <c r="S61" s="1">
        <f t="shared" si="20"/>
        <v>-7.0029446221919756E-6</v>
      </c>
      <c r="T61" s="1">
        <f t="shared" si="20"/>
        <v>-4.5122204053171799E-6</v>
      </c>
      <c r="U61" s="1">
        <f t="shared" si="20"/>
        <v>-3.2687461077873792E-6</v>
      </c>
      <c r="V61" s="1">
        <f t="shared" si="20"/>
        <v>-7.8626209742971298E-7</v>
      </c>
      <c r="W61" s="1">
        <f t="shared" si="20"/>
        <v>-3.268016437463217E-6</v>
      </c>
    </row>
    <row r="62" spans="2:48" outlineLevel="1" x14ac:dyDescent="0.2">
      <c r="B62" s="79" t="s">
        <v>110</v>
      </c>
      <c r="C62" s="1"/>
      <c r="D62" s="1">
        <f t="shared" ref="D62:W62" si="21">-D13</f>
        <v>7.1994500000000003E-2</v>
      </c>
      <c r="E62" s="1">
        <f t="shared" si="21"/>
        <v>6.4214599999999997E-2</v>
      </c>
      <c r="F62" s="1">
        <f t="shared" si="21"/>
        <v>3.4462800000000002E-2</v>
      </c>
      <c r="G62" s="1">
        <f t="shared" si="21"/>
        <v>3.00179E-2</v>
      </c>
      <c r="H62" s="1">
        <f t="shared" si="21"/>
        <v>0</v>
      </c>
      <c r="I62" s="1">
        <f t="shared" si="21"/>
        <v>0</v>
      </c>
      <c r="J62" s="1">
        <f t="shared" si="21"/>
        <v>0</v>
      </c>
      <c r="K62" s="1">
        <f t="shared" si="21"/>
        <v>0</v>
      </c>
      <c r="L62" s="1">
        <f t="shared" si="21"/>
        <v>0</v>
      </c>
      <c r="M62" s="1">
        <f t="shared" si="21"/>
        <v>0</v>
      </c>
      <c r="N62" s="1">
        <f t="shared" si="21"/>
        <v>0</v>
      </c>
      <c r="O62" s="1">
        <f t="shared" si="21"/>
        <v>0</v>
      </c>
      <c r="P62" s="1">
        <f t="shared" si="21"/>
        <v>0</v>
      </c>
      <c r="Q62" s="1">
        <f t="shared" si="21"/>
        <v>0</v>
      </c>
      <c r="R62" s="1">
        <f t="shared" si="21"/>
        <v>0</v>
      </c>
      <c r="S62" s="1">
        <f t="shared" si="21"/>
        <v>0</v>
      </c>
      <c r="T62" s="1">
        <f t="shared" si="21"/>
        <v>0</v>
      </c>
      <c r="U62" s="1">
        <f t="shared" si="21"/>
        <v>0</v>
      </c>
      <c r="V62" s="1">
        <f t="shared" si="21"/>
        <v>0</v>
      </c>
      <c r="W62" s="1">
        <f t="shared" si="21"/>
        <v>0</v>
      </c>
    </row>
    <row r="63" spans="2:48" outlineLevel="1" x14ac:dyDescent="0.2">
      <c r="B63" s="79" t="s">
        <v>111</v>
      </c>
      <c r="C63" s="1"/>
      <c r="D63" s="1">
        <f>IF(D$55&lt;=$C$6,0,HLOOKUP(D$55,'Input data'!$C$9:$BB$26,12,FALSE)-HLOOKUP($C$6,'Input data'!$C$9:$BB$26,12,FALSE))</f>
        <v>0</v>
      </c>
      <c r="E63" s="1">
        <f>IF(E$55&lt;=$C$6,0,HLOOKUP(E$55,'Input data'!$C$9:$BB$26,12,FALSE)-HLOOKUP($C$6,'Input data'!$C$9:$BB$26,12,FALSE))</f>
        <v>0</v>
      </c>
      <c r="F63" s="1">
        <f>IF(F$55&lt;=$C$6,0,HLOOKUP(F$55,'Input data'!$C$9:$BB$26,12,FALSE)-HLOOKUP($C$6,'Input data'!$C$9:$BB$26,12,FALSE))</f>
        <v>0</v>
      </c>
      <c r="G63" s="1">
        <f>IF(G$55&lt;=$C$6,0,HLOOKUP(G$55,'Input data'!$C$9:$BB$26,12,FALSE)-HLOOKUP($C$6,'Input data'!$C$9:$BB$26,12,FALSE))</f>
        <v>0</v>
      </c>
      <c r="H63" s="1">
        <f>IF(H$55&lt;=$C$6,0,HLOOKUP(H$55,'Input data'!$C$9:$BB$26,12,FALSE)-HLOOKUP($C$6,'Input data'!$C$9:$BB$26,12,FALSE))</f>
        <v>0</v>
      </c>
      <c r="I63" s="1">
        <f>IF(I$55&lt;=$C$6,0,HLOOKUP(I$55,'Input data'!$C$9:$BB$26,12,FALSE)-HLOOKUP($C$6,'Input data'!$C$9:$BB$26,12,FALSE))</f>
        <v>0</v>
      </c>
      <c r="J63" s="1">
        <f>IF(J$55&lt;=$C$6,0,HLOOKUP(J$55,'Input data'!$C$9:$BB$26,12,FALSE)-HLOOKUP($C$6,'Input data'!$C$9:$BB$26,12,FALSE))</f>
        <v>0</v>
      </c>
      <c r="K63" s="1">
        <f>IF(K$55&lt;=$C$6,0,HLOOKUP(K$55,'Input data'!$C$9:$BB$26,12,FALSE)-HLOOKUP($C$6,'Input data'!$C$9:$BB$26,12,FALSE))</f>
        <v>-2.7580000000003935E-2</v>
      </c>
      <c r="L63" s="1">
        <f>IF(L$55&lt;=$C$6,0,HLOOKUP(L$55,'Input data'!$C$9:$BB$26,12,FALSE)-HLOOKUP($C$6,'Input data'!$C$9:$BB$26,12,FALSE))</f>
        <v>-4.2480000000004736E-2</v>
      </c>
      <c r="M63" s="1">
        <f>IF(M$55&lt;=$C$6,0,HLOOKUP(M$55,'Input data'!$C$9:$BB$26,12,FALSE)-HLOOKUP($C$6,'Input data'!$C$9:$BB$26,12,FALSE))</f>
        <v>-5.6860000000000355E-2</v>
      </c>
      <c r="N63" s="1">
        <f>IF(N$55&lt;=$C$6,0,HLOOKUP(N$55,'Input data'!$C$9:$BB$26,12,FALSE)-HLOOKUP($C$6,'Input data'!$C$9:$BB$26,12,FALSE))</f>
        <v>-5.5110000000002657E-2</v>
      </c>
      <c r="O63" s="1">
        <f>IF(O$55&lt;=$C$6,0,HLOOKUP(O$55,'Input data'!$C$9:$BB$26,12,FALSE)-HLOOKUP($C$6,'Input data'!$C$9:$BB$26,12,FALSE))</f>
        <v>-1.9420000000000215E-2</v>
      </c>
      <c r="P63" s="1">
        <f>IF(P$55&lt;=$C$6,0,HLOOKUP(P$55,'Input data'!$C$9:$BB$26,12,FALSE)-HLOOKUP($C$6,'Input data'!$C$9:$BB$26,12,FALSE))</f>
        <v>2.704999999999913E-2</v>
      </c>
      <c r="Q63" s="1">
        <f>IF(Q$55&lt;=$C$6,0,HLOOKUP(Q$55,'Input data'!$C$9:$BB$26,12,FALSE)-HLOOKUP($C$6,'Input data'!$C$9:$BB$26,12,FALSE))</f>
        <v>2.2470000000001988E-2</v>
      </c>
      <c r="R63" s="1">
        <f>IF(R$55&lt;=$C$6,0,HLOOKUP(R$55,'Input data'!$C$9:$BB$26,12,FALSE)-HLOOKUP($C$6,'Input data'!$C$9:$BB$26,12,FALSE))</f>
        <v>2.190999999999832E-2</v>
      </c>
      <c r="S63" s="1">
        <f>IF(S$55&lt;=$C$6,0,HLOOKUP(S$55,'Input data'!$C$9:$BB$26,12,FALSE)-HLOOKUP($C$6,'Input data'!$C$9:$BB$26,12,FALSE))</f>
        <v>2.4719999999994968E-2</v>
      </c>
      <c r="T63" s="1">
        <f>IF(T$55&lt;=$C$6,0,HLOOKUP(T$55,'Input data'!$C$9:$BB$26,12,FALSE)-HLOOKUP($C$6,'Input data'!$C$9:$BB$26,12,FALSE))</f>
        <v>2.6859999999999218E-2</v>
      </c>
      <c r="U63" s="1">
        <f>IF(U$55&lt;=$C$6,0,HLOOKUP(U$55,'Input data'!$C$9:$BB$26,12,FALSE)-HLOOKUP($C$6,'Input data'!$C$9:$BB$26,12,FALSE))</f>
        <v>2.4549999999997851E-2</v>
      </c>
      <c r="V63" s="1">
        <f>IF(V$55&lt;=$C$6,0,HLOOKUP(V$55,'Input data'!$C$9:$BB$26,12,FALSE)-HLOOKUP($C$6,'Input data'!$C$9:$BB$26,12,FALSE))</f>
        <v>1.0049999999996118E-2</v>
      </c>
      <c r="W63" s="1">
        <f>IF(W$55&lt;=$C$6,0,HLOOKUP(W$55,'Input data'!$C$9:$BB$26,12,FALSE)-HLOOKUP($C$6,'Input data'!$C$9:$BB$26,12,FALSE))</f>
        <v>4.8029999999993578E-2</v>
      </c>
    </row>
    <row r="64" spans="2:48" outlineLevel="1" x14ac:dyDescent="0.2">
      <c r="B64" s="79" t="s">
        <v>112</v>
      </c>
      <c r="C64" s="1"/>
      <c r="D64" s="1">
        <f>IF(D$55&lt;=$C$5,0,-HLOOKUP(D$55,'Input data'!$C$9:$BB$26,18,FALSE)+HLOOKUP($C$6,'Input data'!$C$9:$BB$26,18,FALSE))</f>
        <v>0</v>
      </c>
      <c r="E64" s="1">
        <f>IF(E$55&lt;=$C$5,0,-HLOOKUP(E$55,'Input data'!$C$9:$BB$26,18,FALSE)+HLOOKUP($C$6,'Input data'!$C$9:$BB$26,18,FALSE))</f>
        <v>0</v>
      </c>
      <c r="F64" s="1">
        <f>IF(F$55&lt;=$C$5,0,-HLOOKUP(F$55,'Input data'!$C$9:$BB$26,18,FALSE)+HLOOKUP($C$6,'Input data'!$C$9:$BB$26,18,FALSE))</f>
        <v>0</v>
      </c>
      <c r="G64" s="1">
        <f>IF(G$55&lt;=$C$6,0,-HLOOKUP(G$55,'Input data'!$C$9:$BB$26,18,FALSE)+HLOOKUP($C$6,'Input data'!$C$9:$BB$26,18,FALSE))</f>
        <v>0</v>
      </c>
      <c r="H64" s="1">
        <f>IF(H$55&lt;=$C$6,0,-HLOOKUP(H$55,'Input data'!$C$9:$BB$26,18,FALSE)+HLOOKUP($C$6,'Input data'!$C$9:$BB$26,18,FALSE))</f>
        <v>0</v>
      </c>
      <c r="I64" s="1">
        <f>IF(I$55&lt;=$C$6,0,-HLOOKUP(I$55,'Input data'!$C$9:$BB$26,18,FALSE)+HLOOKUP($C$6,'Input data'!$C$9:$BB$26,18,FALSE))</f>
        <v>0</v>
      </c>
      <c r="J64" s="1">
        <f>IF(J$55&lt;=$C$6,0,-HLOOKUP(J$55,'Input data'!$C$9:$BB$26,18,FALSE)+HLOOKUP($C$6,'Input data'!$C$9:$BB$26,18,FALSE))</f>
        <v>0</v>
      </c>
      <c r="K64" s="1">
        <f>IF(K$55&lt;=$C$6,0,-HLOOKUP(K$55,'Input data'!$C$9:$BB$26,18,FALSE)+HLOOKUP($C$6,'Input data'!$C$9:$BB$26,18,FALSE))</f>
        <v>3.6709999999995357E-4</v>
      </c>
      <c r="L64" s="1">
        <f>IF(L$55&lt;=$C$6,0,-HLOOKUP(L$55,'Input data'!$C$9:$BB$26,18,FALSE)+HLOOKUP($C$6,'Input data'!$C$9:$BB$26,18,FALSE))</f>
        <v>7.3419999999990715E-4</v>
      </c>
      <c r="M64" s="1">
        <f>IF(M$55&lt;=$C$6,0,-HLOOKUP(M$55,'Input data'!$C$9:$BB$26,18,FALSE)+HLOOKUP($C$6,'Input data'!$C$9:$BB$26,18,FALSE))</f>
        <v>1.1012999999999717E-3</v>
      </c>
      <c r="N64" s="1">
        <f>IF(N$55&lt;=$C$6,0,-HLOOKUP(N$55,'Input data'!$C$9:$BB$26,18,FALSE)+HLOOKUP($C$6,'Input data'!$C$9:$BB$26,18,FALSE))</f>
        <v>1.468299999999978E-3</v>
      </c>
      <c r="O64" s="1">
        <f>IF(O$55&lt;=$C$6,0,-HLOOKUP(O$55,'Input data'!$C$9:$BB$26,18,FALSE)+HLOOKUP($C$6,'Input data'!$C$9:$BB$26,18,FALSE))</f>
        <v>1.8353999999999315E-3</v>
      </c>
      <c r="P64" s="1">
        <f>IF(P$55&lt;=$C$6,0,-HLOOKUP(P$55,'Input data'!$C$9:$BB$26,18,FALSE)+HLOOKUP($C$6,'Input data'!$C$9:$BB$26,18,FALSE))</f>
        <v>2.2024999999999961E-3</v>
      </c>
      <c r="Q64" s="1">
        <f>IF(Q$55&lt;=$C$6,0,-HLOOKUP(Q$55,'Input data'!$C$9:$BB$26,18,FALSE)+HLOOKUP($C$6,'Input data'!$C$9:$BB$26,18,FALSE))</f>
        <v>2.5695999999999497E-3</v>
      </c>
      <c r="R64" s="1">
        <f>IF(R$55&lt;=$C$6,0,-HLOOKUP(R$55,'Input data'!$C$9:$BB$26,18,FALSE)+HLOOKUP($C$6,'Input data'!$C$9:$BB$26,18,FALSE))</f>
        <v>2.9365999999999559E-3</v>
      </c>
      <c r="S64" s="1">
        <f>IF(S$55&lt;=$C$6,0,-HLOOKUP(S$55,'Input data'!$C$9:$BB$26,18,FALSE)+HLOOKUP($C$6,'Input data'!$C$9:$BB$26,18,FALSE))</f>
        <v>3.3036999999999095E-3</v>
      </c>
      <c r="T64" s="1">
        <f>IF(T$55&lt;=$C$6,0,-HLOOKUP(T$55,'Input data'!$C$9:$BB$26,18,FALSE)+HLOOKUP($C$6,'Input data'!$C$9:$BB$26,18,FALSE))</f>
        <v>3.6707999999999741E-3</v>
      </c>
      <c r="U64" s="1">
        <f>IF(U$55&lt;=$C$6,0,-HLOOKUP(U$55,'Input data'!$C$9:$BB$26,18,FALSE)+HLOOKUP($C$6,'Input data'!$C$9:$BB$26,18,FALSE))</f>
        <v>4.0378999999999277E-3</v>
      </c>
      <c r="V64" s="1">
        <f>IF(V$55&lt;=$C$6,0,-HLOOKUP(V$55,'Input data'!$C$9:$BB$26,18,FALSE)+HLOOKUP($C$6,'Input data'!$C$9:$BB$26,18,FALSE))</f>
        <v>4.4048999999999339E-3</v>
      </c>
      <c r="W64" s="1">
        <f>IF(W$55&lt;=$C$6,0,-HLOOKUP(W$55,'Input data'!$C$9:$BB$26,18,FALSE)+HLOOKUP($C$6,'Input data'!$C$9:$BB$26,18,FALSE))</f>
        <v>4.7719999999999985E-3</v>
      </c>
    </row>
    <row r="65" spans="2:23" outlineLevel="1" x14ac:dyDescent="0.2">
      <c r="B65" s="79" t="s">
        <v>113</v>
      </c>
      <c r="C65" s="37"/>
      <c r="D65" s="37">
        <v>0</v>
      </c>
      <c r="E65" s="37">
        <v>0</v>
      </c>
      <c r="F65" s="37">
        <v>0</v>
      </c>
      <c r="G65" s="37">
        <v>0</v>
      </c>
      <c r="H65" s="37">
        <v>0</v>
      </c>
      <c r="I65" s="37">
        <v>0</v>
      </c>
      <c r="J65" s="37">
        <v>0</v>
      </c>
      <c r="K65" s="37">
        <v>0</v>
      </c>
      <c r="L65" s="37">
        <v>0</v>
      </c>
      <c r="M65" s="37">
        <v>0</v>
      </c>
      <c r="N65" s="37">
        <v>0</v>
      </c>
      <c r="O65" s="37">
        <v>0</v>
      </c>
      <c r="P65" s="37">
        <v>0</v>
      </c>
      <c r="Q65" s="37">
        <v>0</v>
      </c>
      <c r="R65" s="37">
        <v>0</v>
      </c>
      <c r="S65" s="37">
        <v>0</v>
      </c>
      <c r="T65" s="37">
        <v>0</v>
      </c>
      <c r="U65" s="37">
        <v>0</v>
      </c>
      <c r="V65" s="37">
        <v>0</v>
      </c>
      <c r="W65" s="37">
        <v>0</v>
      </c>
    </row>
    <row r="66" spans="2:23" outlineLevel="1" x14ac:dyDescent="0.2">
      <c r="B66" s="84" t="s">
        <v>114</v>
      </c>
      <c r="C66" s="48"/>
      <c r="D66" s="48">
        <f t="shared" ref="D66:T66" si="22">SUM(D67:D70)</f>
        <v>-3.9343449999999893</v>
      </c>
      <c r="E66" s="48">
        <f t="shared" si="22"/>
        <v>-4.8244000000000096</v>
      </c>
      <c r="F66" s="48">
        <f t="shared" si="22"/>
        <v>-1.723009000000004</v>
      </c>
      <c r="G66" s="48">
        <f t="shared" si="22"/>
        <v>-0.87339043608157585</v>
      </c>
      <c r="H66" s="48">
        <f t="shared" si="22"/>
        <v>5.3214048029124328E-2</v>
      </c>
      <c r="I66" s="48">
        <f t="shared" si="22"/>
        <v>0.11153530775073817</v>
      </c>
      <c r="J66" s="48">
        <f t="shared" si="22"/>
        <v>0.12813402189125478</v>
      </c>
      <c r="K66" s="48">
        <f t="shared" si="22"/>
        <v>-0.96932499686848872</v>
      </c>
      <c r="L66" s="48">
        <f t="shared" si="22"/>
        <v>-0.66217979423155526</v>
      </c>
      <c r="M66" s="48">
        <f t="shared" si="22"/>
        <v>-0.25901173305326308</v>
      </c>
      <c r="N66" s="48">
        <f t="shared" si="22"/>
        <v>-0.27114872307504401</v>
      </c>
      <c r="O66" s="48">
        <f t="shared" si="22"/>
        <v>-0.23045511901377314</v>
      </c>
      <c r="P66" s="48">
        <f t="shared" si="22"/>
        <v>-0.17096554312217949</v>
      </c>
      <c r="Q66" s="48">
        <f t="shared" si="22"/>
        <v>-0.27536058724956902</v>
      </c>
      <c r="R66" s="48">
        <f t="shared" si="22"/>
        <v>-0.38422809944167913</v>
      </c>
      <c r="S66" s="48">
        <f t="shared" si="22"/>
        <v>-0.40635677923534086</v>
      </c>
      <c r="T66" s="48">
        <f t="shared" si="22"/>
        <v>-0.46604164470378207</v>
      </c>
      <c r="U66" s="48">
        <f t="shared" ref="U66:W66" si="23">SUM(U67:U70)</f>
        <v>-0.55103860387483561</v>
      </c>
      <c r="V66" s="48">
        <f t="shared" si="23"/>
        <v>-0.66891927895041614</v>
      </c>
      <c r="W66" s="48">
        <f t="shared" si="23"/>
        <v>-0.62428674198466227</v>
      </c>
    </row>
    <row r="67" spans="2:23" outlineLevel="1" x14ac:dyDescent="0.2">
      <c r="B67" s="79" t="s">
        <v>115</v>
      </c>
      <c r="C67" s="34"/>
      <c r="D67" s="34">
        <f>C56*D35/100*(1/(1+D32/100))</f>
        <v>1.9291893496307357</v>
      </c>
      <c r="E67" s="34">
        <f t="shared" ref="E67:W67" si="24">D56*E35/100*(1/(1+E32/100))</f>
        <v>1.7238798121764791</v>
      </c>
      <c r="F67" s="34">
        <f t="shared" si="24"/>
        <v>2.0358592181765802</v>
      </c>
      <c r="G67" s="34">
        <f t="shared" si="24"/>
        <v>2.3474680680281832</v>
      </c>
      <c r="H67" s="34">
        <f t="shared" si="24"/>
        <v>2.5225987762565869</v>
      </c>
      <c r="I67" s="34">
        <f t="shared" si="24"/>
        <v>2.6782009948830963</v>
      </c>
      <c r="J67" s="34">
        <f t="shared" si="24"/>
        <v>2.8111947272607885</v>
      </c>
      <c r="K67" s="34">
        <f t="shared" si="24"/>
        <v>2.8907872213785346</v>
      </c>
      <c r="L67" s="34">
        <f t="shared" si="24"/>
        <v>2.9678158646445638</v>
      </c>
      <c r="M67" s="34">
        <f t="shared" si="24"/>
        <v>3.0508328185364801</v>
      </c>
      <c r="N67" s="34">
        <f t="shared" si="24"/>
        <v>3.1284259975342787</v>
      </c>
      <c r="O67" s="34">
        <f t="shared" si="24"/>
        <v>3.2025412468410472</v>
      </c>
      <c r="P67" s="34">
        <f t="shared" si="24"/>
        <v>3.2661719363030408</v>
      </c>
      <c r="Q67" s="34">
        <f t="shared" si="24"/>
        <v>3.3211519871968358</v>
      </c>
      <c r="R67" s="34">
        <f t="shared" si="24"/>
        <v>3.3660943874390856</v>
      </c>
      <c r="S67" s="34">
        <f t="shared" si="24"/>
        <v>3.4042570099495788</v>
      </c>
      <c r="T67" s="34">
        <f t="shared" si="24"/>
        <v>3.4351793272056383</v>
      </c>
      <c r="U67" s="34">
        <f t="shared" si="24"/>
        <v>3.4585272581802364</v>
      </c>
      <c r="V67" s="34">
        <f t="shared" si="24"/>
        <v>3.4735127394436609</v>
      </c>
      <c r="W67" s="34">
        <f t="shared" si="24"/>
        <v>3.4852574924401578</v>
      </c>
    </row>
    <row r="68" spans="2:23" outlineLevel="1" x14ac:dyDescent="0.2">
      <c r="B68" s="79" t="s">
        <v>116</v>
      </c>
      <c r="C68" s="34"/>
      <c r="D68" s="34">
        <f t="shared" ref="D68:W68" si="25">-C56*(D23/100)*(1/(1+D32/100))</f>
        <v>-2.6292855605448495</v>
      </c>
      <c r="E68" s="34">
        <f t="shared" si="25"/>
        <v>-0.7415072876041453</v>
      </c>
      <c r="F68" s="34">
        <f t="shared" si="25"/>
        <v>-0.77864258776474971</v>
      </c>
      <c r="G68" s="34">
        <f t="shared" si="25"/>
        <v>-0.97166587455257325</v>
      </c>
      <c r="H68" s="34">
        <f t="shared" si="25"/>
        <v>-0.11948741461083527</v>
      </c>
      <c r="I68" s="34">
        <f t="shared" si="25"/>
        <v>-0.10894705467824994</v>
      </c>
      <c r="J68" s="34">
        <f t="shared" si="25"/>
        <v>-0.12996706025784929</v>
      </c>
      <c r="K68" s="34">
        <f t="shared" si="25"/>
        <v>-1.2278768428107496</v>
      </c>
      <c r="L68" s="34">
        <f t="shared" si="25"/>
        <v>-0.94897432783179481</v>
      </c>
      <c r="M68" s="34">
        <f t="shared" si="25"/>
        <v>-0.57570046821238019</v>
      </c>
      <c r="N68" s="34">
        <f t="shared" si="25"/>
        <v>-0.60595848361157201</v>
      </c>
      <c r="O68" s="34">
        <f t="shared" si="25"/>
        <v>-0.58293510427749928</v>
      </c>
      <c r="P68" s="34">
        <f t="shared" si="25"/>
        <v>-0.63033364301685091</v>
      </c>
      <c r="Q68" s="34">
        <f t="shared" si="25"/>
        <v>-0.8301115787070884</v>
      </c>
      <c r="R68" s="34">
        <f t="shared" si="25"/>
        <v>-1.0267288635699952</v>
      </c>
      <c r="S68" s="34">
        <f t="shared" si="25"/>
        <v>-1.1321572629304113</v>
      </c>
      <c r="T68" s="34">
        <f t="shared" si="25"/>
        <v>-1.2680226357510256</v>
      </c>
      <c r="U68" s="34">
        <f t="shared" si="25"/>
        <v>-1.4226220048163511</v>
      </c>
      <c r="V68" s="34">
        <f t="shared" si="25"/>
        <v>-1.6033791585833457</v>
      </c>
      <c r="W68" s="34">
        <f t="shared" si="25"/>
        <v>-1.6209763974510758</v>
      </c>
    </row>
    <row r="69" spans="2:23" outlineLevel="1" x14ac:dyDescent="0.2">
      <c r="B69" s="79" t="s">
        <v>117</v>
      </c>
      <c r="C69" s="34"/>
      <c r="D69" s="34">
        <f t="shared" ref="D69:T69" si="26">-C56*D41/100*(1/(1+D41/100))</f>
        <v>-3.2342479962921198</v>
      </c>
      <c r="E69" s="34">
        <f t="shared" si="26"/>
        <v>-5.8067720664528117</v>
      </c>
      <c r="F69" s="34">
        <f t="shared" si="26"/>
        <v>-2.9802260447603599</v>
      </c>
      <c r="G69" s="34">
        <f t="shared" si="26"/>
        <v>-2.2491919522042716</v>
      </c>
      <c r="H69" s="34">
        <f t="shared" si="26"/>
        <v>-2.3498973136166272</v>
      </c>
      <c r="I69" s="34">
        <f t="shared" si="26"/>
        <v>-2.457718632454108</v>
      </c>
      <c r="J69" s="34">
        <f t="shared" si="26"/>
        <v>-2.5530936451116846</v>
      </c>
      <c r="K69" s="34">
        <f t="shared" si="26"/>
        <v>-2.6322353754362737</v>
      </c>
      <c r="L69" s="34">
        <f t="shared" si="26"/>
        <v>-2.6810213310443243</v>
      </c>
      <c r="M69" s="34">
        <f t="shared" si="26"/>
        <v>-2.7341440833773629</v>
      </c>
      <c r="N69" s="34">
        <f t="shared" si="26"/>
        <v>-2.7936162369977509</v>
      </c>
      <c r="O69" s="34">
        <f t="shared" si="26"/>
        <v>-2.8500612615773209</v>
      </c>
      <c r="P69" s="34">
        <f t="shared" si="26"/>
        <v>-2.8068038364083692</v>
      </c>
      <c r="Q69" s="34">
        <f t="shared" si="26"/>
        <v>-2.7664009957393163</v>
      </c>
      <c r="R69" s="34">
        <f t="shared" si="26"/>
        <v>-2.7235936233107694</v>
      </c>
      <c r="S69" s="34">
        <f t="shared" si="26"/>
        <v>-2.6784565262545081</v>
      </c>
      <c r="T69" s="34">
        <f t="shared" si="26"/>
        <v>-2.633198336158395</v>
      </c>
      <c r="U69" s="34">
        <f t="shared" ref="U69" si="27">-T56*U41/100*(1/(1+U41/100))</f>
        <v>-2.5869438572387207</v>
      </c>
      <c r="V69" s="34">
        <f t="shared" ref="V69" si="28">-U56*V41/100*(1/(1+V41/100))</f>
        <v>-2.5390528598107314</v>
      </c>
      <c r="W69" s="34">
        <f t="shared" ref="W69" si="29">-V56*W41/100*(1/(1+W41/100))</f>
        <v>-2.4885678369737443</v>
      </c>
    </row>
    <row r="70" spans="2:23" outlineLevel="1" x14ac:dyDescent="0.2">
      <c r="B70" s="79" t="s">
        <v>118</v>
      </c>
      <c r="C70" s="49"/>
      <c r="D70" s="49">
        <f>'Baseline NFPC'!D70</f>
        <v>-7.9279375553298337E-7</v>
      </c>
      <c r="E70" s="49">
        <f>'Baseline NFPC'!E70</f>
        <v>-4.5811953164331953E-7</v>
      </c>
      <c r="F70" s="49">
        <f>'Baseline NFPC'!F70</f>
        <v>4.1434852549038226E-7</v>
      </c>
      <c r="G70" s="49">
        <f>'Baseline NFPC'!G70</f>
        <v>-6.7735291420234489E-7</v>
      </c>
      <c r="H70" s="49">
        <f>'Baseline NFPC'!H70</f>
        <v>0</v>
      </c>
      <c r="I70" s="49">
        <f>'Baseline NFPC'!I70</f>
        <v>0</v>
      </c>
      <c r="J70" s="49">
        <f>'Baseline NFPC'!J70</f>
        <v>0</v>
      </c>
      <c r="K70" s="49">
        <f>'Baseline NFPC'!K70</f>
        <v>0</v>
      </c>
      <c r="L70" s="49">
        <f>'Baseline NFPC'!L70</f>
        <v>0</v>
      </c>
      <c r="M70" s="49">
        <f>'Baseline NFPC'!M70</f>
        <v>0</v>
      </c>
      <c r="N70" s="49">
        <f>'Baseline NFPC'!N70</f>
        <v>0</v>
      </c>
      <c r="O70" s="49">
        <f>'Baseline NFPC'!O70</f>
        <v>0</v>
      </c>
      <c r="P70" s="49">
        <f>'Baseline NFPC'!P70</f>
        <v>0</v>
      </c>
      <c r="Q70" s="49">
        <f>'Baseline NFPC'!Q70</f>
        <v>0</v>
      </c>
      <c r="R70" s="49">
        <f>'Baseline NFPC'!R70</f>
        <v>0</v>
      </c>
      <c r="S70" s="49">
        <f>'Baseline NFPC'!S70</f>
        <v>0</v>
      </c>
      <c r="T70" s="49">
        <f>'Baseline NFPC'!T70</f>
        <v>0</v>
      </c>
      <c r="U70" s="49">
        <f>'Baseline NFPC'!U70</f>
        <v>0</v>
      </c>
      <c r="V70" s="49">
        <f>'Baseline NFPC'!V70</f>
        <v>0</v>
      </c>
      <c r="W70" s="49">
        <f>'Baseline NFPC'!W70</f>
        <v>0</v>
      </c>
    </row>
    <row r="71" spans="2:23" outlineLevel="1" x14ac:dyDescent="0.2">
      <c r="B71" s="84" t="s">
        <v>119</v>
      </c>
      <c r="C71" s="50"/>
      <c r="D71" s="50">
        <f>'Input data'!D16</f>
        <v>4.26056E-2</v>
      </c>
      <c r="E71" s="50">
        <f>'Input data'!E16</f>
        <v>-0.21881439999999999</v>
      </c>
      <c r="F71" s="50">
        <f>'Input data'!F16</f>
        <v>0.2108082</v>
      </c>
      <c r="G71" s="50">
        <f>'Input data'!G16</f>
        <v>3.1290600000000002E-2</v>
      </c>
      <c r="H71" s="50">
        <f>'Input data'!H16</f>
        <v>0</v>
      </c>
      <c r="I71" s="50">
        <f>'Input data'!I16</f>
        <v>0</v>
      </c>
      <c r="J71" s="50">
        <f>'Input data'!J16</f>
        <v>0</v>
      </c>
      <c r="K71" s="50">
        <f>'Input data'!K16</f>
        <v>0</v>
      </c>
      <c r="L71" s="50">
        <f>'Input data'!L16</f>
        <v>0</v>
      </c>
      <c r="M71" s="50">
        <f>'Input data'!M16</f>
        <v>0</v>
      </c>
      <c r="N71" s="50">
        <f>'Input data'!N16</f>
        <v>0</v>
      </c>
      <c r="O71" s="50">
        <f>'Input data'!O16</f>
        <v>0</v>
      </c>
      <c r="P71" s="50">
        <f>'Input data'!P16</f>
        <v>0</v>
      </c>
      <c r="Q71" s="50">
        <f>'Input data'!Q16</f>
        <v>0</v>
      </c>
      <c r="R71" s="50">
        <f>'Input data'!R16</f>
        <v>0</v>
      </c>
      <c r="S71" s="50">
        <f>'Input data'!S16</f>
        <v>0</v>
      </c>
      <c r="T71" s="50">
        <f>'Input data'!T16</f>
        <v>0</v>
      </c>
      <c r="U71" s="50">
        <f>'Input data'!U16</f>
        <v>0</v>
      </c>
      <c r="V71" s="50">
        <f>'Input data'!V16</f>
        <v>0</v>
      </c>
      <c r="W71" s="50">
        <f>'Input data'!W16</f>
        <v>0</v>
      </c>
    </row>
    <row r="72" spans="2:23" outlineLevel="1" x14ac:dyDescent="0.2">
      <c r="B72" s="79" t="s">
        <v>120</v>
      </c>
      <c r="C72" s="34"/>
      <c r="D72" s="34">
        <f t="shared" ref="D72:W72" si="30">D14</f>
        <v>4.2606100000000001E-2</v>
      </c>
      <c r="E72" s="34">
        <f t="shared" si="30"/>
        <v>-0.21881729999999999</v>
      </c>
      <c r="F72" s="34">
        <f t="shared" si="30"/>
        <v>0.21081169999999999</v>
      </c>
      <c r="G72" s="34">
        <f t="shared" si="30"/>
        <v>3.1292399999999998E-2</v>
      </c>
      <c r="H72" s="34">
        <f t="shared" si="30"/>
        <v>0</v>
      </c>
      <c r="I72" s="34">
        <f t="shared" si="30"/>
        <v>0</v>
      </c>
      <c r="J72" s="34">
        <f t="shared" si="30"/>
        <v>0</v>
      </c>
      <c r="K72" s="34">
        <f t="shared" si="30"/>
        <v>0</v>
      </c>
      <c r="L72" s="34">
        <f t="shared" si="30"/>
        <v>0</v>
      </c>
      <c r="M72" s="34">
        <f t="shared" si="30"/>
        <v>0</v>
      </c>
      <c r="N72" s="34">
        <f t="shared" si="30"/>
        <v>0</v>
      </c>
      <c r="O72" s="34">
        <f t="shared" si="30"/>
        <v>0</v>
      </c>
      <c r="P72" s="34">
        <f t="shared" si="30"/>
        <v>0</v>
      </c>
      <c r="Q72" s="34">
        <f t="shared" si="30"/>
        <v>0</v>
      </c>
      <c r="R72" s="34">
        <f t="shared" si="30"/>
        <v>0</v>
      </c>
      <c r="S72" s="34">
        <f t="shared" si="30"/>
        <v>0</v>
      </c>
      <c r="T72" s="34">
        <f t="shared" si="30"/>
        <v>0</v>
      </c>
      <c r="U72" s="34">
        <f t="shared" si="30"/>
        <v>0</v>
      </c>
      <c r="V72" s="34">
        <f t="shared" si="30"/>
        <v>0</v>
      </c>
      <c r="W72" s="34">
        <f t="shared" si="30"/>
        <v>0</v>
      </c>
    </row>
    <row r="73" spans="2:23" outlineLevel="1" x14ac:dyDescent="0.2">
      <c r="B73" s="89" t="s">
        <v>121</v>
      </c>
      <c r="C73" s="49"/>
      <c r="D73" s="49">
        <f t="shared" ref="D73:T73" si="31">+D71-D72</f>
        <v>-5.0000000000050004E-7</v>
      </c>
      <c r="E73" s="49">
        <f t="shared" si="31"/>
        <v>2.9000000000001247E-6</v>
      </c>
      <c r="F73" s="49">
        <f t="shared" si="31"/>
        <v>-3.4999999999896225E-6</v>
      </c>
      <c r="G73" s="49">
        <f t="shared" si="31"/>
        <v>-1.799999999996249E-6</v>
      </c>
      <c r="H73" s="49">
        <f t="shared" si="31"/>
        <v>0</v>
      </c>
      <c r="I73" s="49">
        <f t="shared" si="31"/>
        <v>0</v>
      </c>
      <c r="J73" s="49">
        <f t="shared" si="31"/>
        <v>0</v>
      </c>
      <c r="K73" s="49">
        <f t="shared" si="31"/>
        <v>0</v>
      </c>
      <c r="L73" s="49">
        <f t="shared" si="31"/>
        <v>0</v>
      </c>
      <c r="M73" s="49">
        <f t="shared" si="31"/>
        <v>0</v>
      </c>
      <c r="N73" s="49">
        <f t="shared" si="31"/>
        <v>0</v>
      </c>
      <c r="O73" s="49">
        <f t="shared" si="31"/>
        <v>0</v>
      </c>
      <c r="P73" s="49">
        <f t="shared" si="31"/>
        <v>0</v>
      </c>
      <c r="Q73" s="49">
        <f t="shared" si="31"/>
        <v>0</v>
      </c>
      <c r="R73" s="49">
        <f t="shared" si="31"/>
        <v>0</v>
      </c>
      <c r="S73" s="49">
        <f t="shared" si="31"/>
        <v>0</v>
      </c>
      <c r="T73" s="49">
        <f t="shared" si="31"/>
        <v>0</v>
      </c>
      <c r="U73" s="49">
        <f t="shared" ref="U73:W73" si="32">+U71-U72</f>
        <v>0</v>
      </c>
      <c r="V73" s="49">
        <f t="shared" si="32"/>
        <v>0</v>
      </c>
      <c r="W73" s="49">
        <f t="shared" si="32"/>
        <v>0</v>
      </c>
    </row>
    <row r="75" spans="2:23" x14ac:dyDescent="0.2">
      <c r="B75" s="51" t="s">
        <v>187</v>
      </c>
      <c r="C75" s="51"/>
      <c r="D75" s="51"/>
      <c r="E75" s="51"/>
      <c r="F75" s="51"/>
      <c r="G75" s="51"/>
      <c r="H75" s="51"/>
      <c r="I75" s="51"/>
      <c r="J75" s="51"/>
      <c r="K75" s="51">
        <f t="shared" ref="K75:W75" si="33">IF(K56&lt;J56,0,1)</f>
        <v>0</v>
      </c>
      <c r="L75" s="51">
        <f t="shared" si="33"/>
        <v>0</v>
      </c>
      <c r="M75" s="51">
        <f t="shared" si="33"/>
        <v>0</v>
      </c>
      <c r="N75" s="51">
        <f t="shared" si="33"/>
        <v>0</v>
      </c>
      <c r="O75" s="51">
        <f t="shared" si="33"/>
        <v>0</v>
      </c>
      <c r="P75" s="51">
        <f t="shared" si="33"/>
        <v>0</v>
      </c>
      <c r="Q75" s="51">
        <f t="shared" si="33"/>
        <v>0</v>
      </c>
      <c r="R75" s="51">
        <f t="shared" si="33"/>
        <v>0</v>
      </c>
      <c r="S75" s="51">
        <f t="shared" si="33"/>
        <v>0</v>
      </c>
      <c r="T75" s="51">
        <f t="shared" si="33"/>
        <v>0</v>
      </c>
      <c r="U75" s="51">
        <f t="shared" si="33"/>
        <v>0</v>
      </c>
      <c r="V75" s="51">
        <f t="shared" si="33"/>
        <v>0</v>
      </c>
      <c r="W75" s="51">
        <f t="shared" si="33"/>
        <v>0</v>
      </c>
    </row>
    <row r="76" spans="2:23" x14ac:dyDescent="0.2">
      <c r="D76" s="53"/>
    </row>
    <row r="77" spans="2:23" s="93" customFormat="1" ht="12.75" outlineLevel="1" x14ac:dyDescent="0.2">
      <c r="B77" s="94" t="s">
        <v>124</v>
      </c>
      <c r="C77" s="95"/>
      <c r="E77" s="96"/>
      <c r="F77" s="95"/>
    </row>
    <row r="78" spans="2:23" x14ac:dyDescent="0.2">
      <c r="C78" s="34"/>
      <c r="D78" s="34"/>
      <c r="E78" s="34"/>
      <c r="F78" s="34"/>
      <c r="G78" s="34"/>
      <c r="H78" s="34"/>
      <c r="I78" s="34"/>
      <c r="J78" s="34"/>
      <c r="K78" s="34"/>
      <c r="L78" s="34"/>
      <c r="M78" s="34"/>
      <c r="N78" s="34"/>
      <c r="O78" s="34"/>
      <c r="P78" s="34"/>
      <c r="Q78" s="34"/>
      <c r="R78" s="34"/>
      <c r="S78" s="34"/>
      <c r="T78" s="34"/>
      <c r="U78" s="34"/>
      <c r="V78" s="34"/>
      <c r="W78" s="34"/>
    </row>
    <row r="79" spans="2:23" x14ac:dyDescent="0.2">
      <c r="B79" s="26" t="s">
        <v>125</v>
      </c>
      <c r="E79" s="29">
        <f t="shared" ref="E79" si="34">IF((E83-D83*E42/((1+E23/100)*(1+E41/100)))&gt;0,1,0)</f>
        <v>1</v>
      </c>
      <c r="F79" s="29">
        <f t="shared" ref="F79" si="35">IF((F83-E83*F42/((1+F23/100)*(1+F41/100)))&gt;0,1,0)</f>
        <v>1</v>
      </c>
      <c r="G79" s="29">
        <f t="shared" ref="G79:W79" si="36">IF((G83-F83*G42/((1+G23/100)*(1+G41/100)))&gt;0,1,0)</f>
        <v>1</v>
      </c>
      <c r="H79" s="29">
        <f t="shared" si="36"/>
        <v>1</v>
      </c>
      <c r="I79" s="29">
        <f t="shared" si="36"/>
        <v>1</v>
      </c>
      <c r="J79" s="29">
        <f t="shared" si="36"/>
        <v>1</v>
      </c>
      <c r="K79" s="29">
        <f t="shared" si="36"/>
        <v>1</v>
      </c>
      <c r="L79" s="29">
        <f t="shared" si="36"/>
        <v>1</v>
      </c>
      <c r="M79" s="29">
        <f t="shared" si="36"/>
        <v>1</v>
      </c>
      <c r="N79" s="29">
        <f t="shared" si="36"/>
        <v>1</v>
      </c>
      <c r="O79" s="29">
        <f t="shared" si="36"/>
        <v>1</v>
      </c>
      <c r="P79" s="29">
        <f t="shared" si="36"/>
        <v>1</v>
      </c>
      <c r="Q79" s="29">
        <f t="shared" si="36"/>
        <v>1</v>
      </c>
      <c r="R79" s="29">
        <f t="shared" si="36"/>
        <v>1</v>
      </c>
      <c r="S79" s="29">
        <f t="shared" si="36"/>
        <v>1</v>
      </c>
      <c r="T79" s="29">
        <f t="shared" si="36"/>
        <v>1</v>
      </c>
      <c r="U79" s="29">
        <f t="shared" si="36"/>
        <v>1</v>
      </c>
      <c r="V79" s="29">
        <f t="shared" si="36"/>
        <v>1</v>
      </c>
      <c r="W79" s="29">
        <f t="shared" si="36"/>
        <v>1</v>
      </c>
    </row>
    <row r="80" spans="2:23" x14ac:dyDescent="0.2">
      <c r="B80" s="26" t="s">
        <v>126</v>
      </c>
      <c r="E80" s="29">
        <f t="shared" ref="E80" si="37">IF(AND(E79=0,ABS(E83-D83*E42/((1+E23/100)*(1+E41/100)))&lt;((D89*D83*E42/((1+E23/100)*(1+E41/100))+(E38*D83*D90*E42/((1+E23/100)*(1+E41/100)))))),1,0)</f>
        <v>0</v>
      </c>
      <c r="F80" s="29">
        <f t="shared" ref="F80" si="38">IF(AND(F79=0,ABS(F83-E83*F42/((1+F23/100)*(1+F41/100)))&lt;((E89*E83*F42/((1+F23/100)*(1+F41/100))+(F38*E83*E90*F42/((1+F23/100)*(1+F41/100)))))),1,0)</f>
        <v>0</v>
      </c>
      <c r="G80" s="29">
        <f t="shared" ref="G80:W80" si="39">IF(AND(G79=0,ABS(G83-F83*G42/((1+G23/100)*(1+G41/100)))&lt;((F89*F83*G42/((1+G23/100)*(1+G41/100))+(G38*F83*F90*G42/((1+G23/100)*(1+G41/100)))))),1,0)</f>
        <v>0</v>
      </c>
      <c r="H80" s="29">
        <f t="shared" si="39"/>
        <v>0</v>
      </c>
      <c r="I80" s="29">
        <f t="shared" si="39"/>
        <v>0</v>
      </c>
      <c r="J80" s="29">
        <f t="shared" si="39"/>
        <v>0</v>
      </c>
      <c r="K80" s="29">
        <f t="shared" si="39"/>
        <v>0</v>
      </c>
      <c r="L80" s="29">
        <f t="shared" si="39"/>
        <v>0</v>
      </c>
      <c r="M80" s="29">
        <f t="shared" si="39"/>
        <v>0</v>
      </c>
      <c r="N80" s="29">
        <f t="shared" si="39"/>
        <v>0</v>
      </c>
      <c r="O80" s="29">
        <f t="shared" si="39"/>
        <v>0</v>
      </c>
      <c r="P80" s="29">
        <f t="shared" si="39"/>
        <v>0</v>
      </c>
      <c r="Q80" s="29">
        <f t="shared" si="39"/>
        <v>0</v>
      </c>
      <c r="R80" s="29">
        <f t="shared" si="39"/>
        <v>0</v>
      </c>
      <c r="S80" s="29">
        <f t="shared" si="39"/>
        <v>0</v>
      </c>
      <c r="T80" s="29">
        <f t="shared" si="39"/>
        <v>0</v>
      </c>
      <c r="U80" s="29">
        <f t="shared" si="39"/>
        <v>0</v>
      </c>
      <c r="V80" s="29">
        <f t="shared" si="39"/>
        <v>0</v>
      </c>
      <c r="W80" s="29">
        <f t="shared" si="39"/>
        <v>0</v>
      </c>
    </row>
    <row r="82" spans="2:24" x14ac:dyDescent="0.2">
      <c r="B82" s="51"/>
      <c r="C82" s="86">
        <v>2021</v>
      </c>
      <c r="D82" s="86">
        <v>2022</v>
      </c>
      <c r="E82" s="86">
        <v>2023</v>
      </c>
      <c r="F82" s="86">
        <v>2024</v>
      </c>
      <c r="G82" s="86">
        <v>2025</v>
      </c>
      <c r="H82" s="86">
        <v>2026</v>
      </c>
      <c r="I82" s="86">
        <v>2027</v>
      </c>
      <c r="J82" s="86">
        <v>2028</v>
      </c>
      <c r="K82" s="86">
        <v>2029</v>
      </c>
      <c r="L82" s="86">
        <v>2030</v>
      </c>
      <c r="M82" s="86">
        <v>2031</v>
      </c>
      <c r="N82" s="86">
        <v>2032</v>
      </c>
      <c r="O82" s="86">
        <v>2033</v>
      </c>
      <c r="P82" s="86">
        <v>2034</v>
      </c>
      <c r="Q82" s="86">
        <v>2035</v>
      </c>
      <c r="R82" s="86">
        <v>2036</v>
      </c>
      <c r="S82" s="86">
        <v>2037</v>
      </c>
      <c r="T82" s="86">
        <v>2038</v>
      </c>
      <c r="U82" s="86">
        <v>2039</v>
      </c>
      <c r="V82" s="86">
        <v>2040</v>
      </c>
      <c r="W82" s="86">
        <v>2041</v>
      </c>
    </row>
    <row r="83" spans="2:24" x14ac:dyDescent="0.2">
      <c r="B83" s="106" t="s">
        <v>104</v>
      </c>
      <c r="C83" s="110">
        <f>C56</f>
        <v>112.97329999999999</v>
      </c>
      <c r="D83" s="110">
        <f>D56</f>
        <v>111.91816702562221</v>
      </c>
      <c r="E83" s="110">
        <f>E56</f>
        <v>110.64326790048331</v>
      </c>
      <c r="F83" s="110">
        <f>F56</f>
        <v>112.40882173205914</v>
      </c>
      <c r="G83" s="110">
        <f>G56</f>
        <v>113.96873574495558</v>
      </c>
      <c r="H83" s="110">
        <f>G83*(1+H97/100)*H42-H59-H60+H61+H62+H63+H64+H65+H71</f>
        <v>115.77838065922458</v>
      </c>
      <c r="I83" s="110">
        <f t="shared" ref="I83:S83" si="40">H83*(1+I97/100)*I42-I59-I60+I61+I62+I63+I64+I65+I71</f>
        <v>116.92117165766111</v>
      </c>
      <c r="J83" s="110">
        <f t="shared" si="40"/>
        <v>117.28270034717912</v>
      </c>
      <c r="K83" s="110">
        <f t="shared" si="40"/>
        <v>116.31208203663424</v>
      </c>
      <c r="L83" s="110">
        <f t="shared" si="40"/>
        <v>115.57824792862912</v>
      </c>
      <c r="M83" s="110">
        <f t="shared" si="40"/>
        <v>115.1463354863935</v>
      </c>
      <c r="N83" s="110">
        <f t="shared" si="40"/>
        <v>114.61716955872726</v>
      </c>
      <c r="O83" s="110">
        <f t="shared" si="40"/>
        <v>114.07752083971347</v>
      </c>
      <c r="P83" s="110">
        <f t="shared" si="40"/>
        <v>113.64419641615291</v>
      </c>
      <c r="Q83" s="110">
        <f t="shared" si="40"/>
        <v>113.10226123468956</v>
      </c>
      <c r="R83" s="110">
        <f t="shared" si="40"/>
        <v>112.45126497930821</v>
      </c>
      <c r="S83" s="110">
        <f t="shared" si="40"/>
        <v>111.78131589712825</v>
      </c>
      <c r="T83" s="110">
        <f>S83*(1+T97/100)*T42-T59-T60+T61+T62+T63+T64+T65+T71</f>
        <v>111.05419154020407</v>
      </c>
      <c r="U83" s="110">
        <f>T83*(1+U97/100)*U42-U59-U60+U61+U62+U63+U64+U65+U71</f>
        <v>110.24012856758314</v>
      </c>
      <c r="V83" s="110">
        <f t="shared" ref="V83:W83" si="41">U83*(1+V97/100)*V42-V59-V60+V61+V62+V63+V64+V65+V71</f>
        <v>109.29405440237065</v>
      </c>
      <c r="W83" s="110">
        <f t="shared" si="41"/>
        <v>108.43095739236952</v>
      </c>
    </row>
    <row r="84" spans="2:24" x14ac:dyDescent="0.2">
      <c r="B84" s="26" t="s">
        <v>127</v>
      </c>
      <c r="C84" s="34"/>
      <c r="D84" s="254">
        <f>'Input data'!C66*$D$83</f>
        <v>88.101484042716251</v>
      </c>
      <c r="E84" s="34">
        <f t="shared" ref="E84" si="42">IF(E83=0,0,IF(E79=1,D83*E42/((1+E23/100)*(1+E41/100))-E85-E86,IF(AND(E79=0,E80=1),(1-D89-E38*D90)*D83*E42/((1+E23/100)*(1+E41/100)),E83)))</f>
        <v>86.822089359001325</v>
      </c>
      <c r="F84" s="34">
        <f t="shared" ref="F84" si="43">IF(F83=0,0,IF(F79=1,E83*F42/((1+F23/100)*(1+F41/100))-F85-F86,IF(AND(F79=0,F80=1),(1-E89-F38*E90)*E83*F42/((1+F23/100)*(1+F41/100)),F83)))</f>
        <v>88.105043933307712</v>
      </c>
      <c r="G84" s="34">
        <f>IF(G83=0,0,IF(G79=1,F83*G42/((1+G23/100)*(1+G41/100))-G85-G86,IF(AND(G79=0,G80=1),(1-F89-G38*F90)*F83*G42/((1+G23/100)*(1+G41/100)),G83)))</f>
        <v>89.990881634573597</v>
      </c>
      <c r="H84" s="34">
        <f t="shared" ref="H84:W84" si="44">IF(H83=0,0,IF(H79=1,G83*H42/((1+H23/100)*(1+H41/100))-H85-H86,IF(AND(H79=0,H80=1),(1-G89-H38*G90)*G83*H42/((1+H23/100)*(1+H41/100)),H83)))</f>
        <v>91.876700047388979</v>
      </c>
      <c r="I84" s="34">
        <f t="shared" si="44"/>
        <v>93.264193434217304</v>
      </c>
      <c r="J84" s="34">
        <f t="shared" si="44"/>
        <v>94.08220278214425</v>
      </c>
      <c r="K84" s="34">
        <f t="shared" si="44"/>
        <v>93.379480952135765</v>
      </c>
      <c r="L84" s="34">
        <f t="shared" si="44"/>
        <v>92.737977683553211</v>
      </c>
      <c r="M84" s="34">
        <f t="shared" si="44"/>
        <v>92.365546851960474</v>
      </c>
      <c r="N84" s="34">
        <f t="shared" si="44"/>
        <v>91.904195790616683</v>
      </c>
      <c r="O84" s="34">
        <f t="shared" si="44"/>
        <v>91.409184539750342</v>
      </c>
      <c r="P84" s="34">
        <f t="shared" si="44"/>
        <v>90.974017993216279</v>
      </c>
      <c r="Q84" s="34">
        <f t="shared" si="44"/>
        <v>90.498699169164752</v>
      </c>
      <c r="R84" s="34">
        <f t="shared" si="44"/>
        <v>89.93843650029963</v>
      </c>
      <c r="S84" s="34">
        <f t="shared" si="44"/>
        <v>89.365154542368941</v>
      </c>
      <c r="T84" s="34">
        <f t="shared" si="44"/>
        <v>88.751085284796403</v>
      </c>
      <c r="U84" s="34">
        <f t="shared" si="44"/>
        <v>88.075085920235324</v>
      </c>
      <c r="V84" s="34">
        <f t="shared" si="44"/>
        <v>87.307023799658538</v>
      </c>
      <c r="W84" s="34">
        <f t="shared" si="44"/>
        <v>86.566311627764222</v>
      </c>
      <c r="X84" s="34"/>
    </row>
    <row r="85" spans="2:24" x14ac:dyDescent="0.2">
      <c r="B85" s="105" t="s">
        <v>128</v>
      </c>
      <c r="C85" s="34"/>
      <c r="D85" s="254">
        <f>'Input data'!C67*$D$83</f>
        <v>7.8233646950070757</v>
      </c>
      <c r="E85" s="34">
        <f t="shared" ref="E85" si="45">IF(E83=0,0,IF(E79=1,E38*D83*D90*E42/((1+E23/100)*(1+E41/100)),IF(AND(E79=0,E80=1),(E38*D83*D90*E42/((1+E23/100)*(1+E41/100)))*(1-ABS(E83-D83*E42/((1+E23/100)*(1+E41/100)))/((E38*D83*D90*E42/((1+E23/100)*(1+E41/100)))+(D89*D83*E42/((1+E23/100)*(1+E41/100))))),0)))</f>
        <v>7.5445628892559569</v>
      </c>
      <c r="F85" s="34">
        <f t="shared" ref="F85" si="46">IF(F83=0,0,IF(F79=1,F38*E83*E90*F42/((1+F23/100)*(1+F41/100)),IF(AND(F79=0,F80=1),(F38*E83*E90*F42/((1+F23/100)*(1+F41/100)))*(1-ABS(F83-E83*F42/((1+F23/100)*(1+F41/100)))/((F38*E83*E90*F42/((1+F23/100)*(1+F41/100)))+(E89*E83*F42/((1+F23/100)*(1+F41/100))))),0)))</f>
        <v>7.6510882826547091</v>
      </c>
      <c r="G85" s="34">
        <f t="shared" ref="G85" si="47">IF(G83=0,0,IF(G79=1,G38*F83*F90*G42/((1+G23/100)*(1+G41/100)),IF(AND(G79=0,G80=1),(G38*F83*F90*G42/((1+G23/100)*(1+G41/100)))*(1-ABS(G83-F83*G42/((1+G23/100)*(1+G41/100)))/((G38*F83*F90*G42/((1+G23/100)*(1+G41/100)))+(F89*F83*G42/((1+G23/100)*(1+G41/100))))),0)))</f>
        <v>7.8622250940045477</v>
      </c>
      <c r="H85" s="34">
        <f t="shared" ref="H85:W85" si="48">IF(H83=0,0,IF(H79=1,H38*G83*G90*H42/((1+H23/100)*(1+H41/100)),IF(AND(H79=0,H80=1),(H38*G83*G90*H42/((1+H23/100)*(1+H41/100)))*(1-ABS(H83-G83*H42/((1+H23/100)*(1+H41/100)))/((H38*G83*G90*H42/((1+H23/100)*(1+H41/100)))+(G89*G83*H42/((1+H23/100)*(1+H41/100))))),0)))</f>
        <v>8.0753924248341047</v>
      </c>
      <c r="I85" s="34">
        <f t="shared" si="48"/>
        <v>8.2465324062575291</v>
      </c>
      <c r="J85" s="34">
        <f t="shared" si="48"/>
        <v>8.3685292471807706</v>
      </c>
      <c r="K85" s="34">
        <f t="shared" si="48"/>
        <v>8.3553670921504555</v>
      </c>
      <c r="L85" s="34">
        <f t="shared" si="48"/>
        <v>8.3470198819207937</v>
      </c>
      <c r="M85" s="34">
        <f t="shared" si="48"/>
        <v>8.3624020880565535</v>
      </c>
      <c r="N85" s="34">
        <f t="shared" si="48"/>
        <v>8.3693396610953332</v>
      </c>
      <c r="O85" s="34">
        <f t="shared" si="48"/>
        <v>8.3727522030573667</v>
      </c>
      <c r="P85" s="34">
        <f t="shared" si="48"/>
        <v>8.3328925141263763</v>
      </c>
      <c r="Q85" s="34">
        <f t="shared" si="48"/>
        <v>8.2893550211351616</v>
      </c>
      <c r="R85" s="34">
        <f t="shared" si="48"/>
        <v>8.2380369777826203</v>
      </c>
      <c r="S85" s="34">
        <f t="shared" si="48"/>
        <v>8.1855264144250643</v>
      </c>
      <c r="T85" s="34">
        <f t="shared" si="48"/>
        <v>8.1292798812669567</v>
      </c>
      <c r="U85" s="34">
        <f t="shared" si="48"/>
        <v>8.067360773275869</v>
      </c>
      <c r="V85" s="34">
        <f t="shared" si="48"/>
        <v>7.9970090482875813</v>
      </c>
      <c r="W85" s="34">
        <f t="shared" si="48"/>
        <v>7.9291624801304996</v>
      </c>
    </row>
    <row r="86" spans="2:24" x14ac:dyDescent="0.2">
      <c r="B86" s="105" t="s">
        <v>129</v>
      </c>
      <c r="C86" s="34"/>
      <c r="D86" s="254">
        <f>'Input data'!C68*$D$83</f>
        <v>11.184916704595164</v>
      </c>
      <c r="E86" s="34">
        <f t="shared" ref="E86" si="49">IF(E83=0,0,IF(E79=1,(1-D90)*D83*E42/((1+E23/100)*(1+E41/100)),IF(AND(E79=0,E80=1),(D89*D83*E42/((1+E23/100)*(1+E41/100)))*(1-ABS(E83-D83*E42/((1+E23/100)*(1+E41/100)))/((E38*D83*D90*E42/((1+E23/100)*(1+E41/100)))+(D89*D83*E42/((1+E23/100)*(1+E41/100))))),0)))</f>
        <v>11.003235423307967</v>
      </c>
      <c r="F86" s="34">
        <f t="shared" ref="F86" si="50">IF(F83=0,0,IF(F79=1,(1-E90)*E83*F42/((1+F23/100)*(1+F41/100)),IF(AND(F79=0,F80=1),(E89*E83*F42/((1+F23/100)*(1+F41/100)))*(1-ABS(F83-E83*F42/((1+F23/100)*(1+F41/100)))/((F38*E83*E90*F42/((1+F23/100)*(1+F41/100)))+(E89*E83*F42/((1+F23/100)*(1+F41/100))))),0)))</f>
        <v>11.128256363555845</v>
      </c>
      <c r="G86" s="34">
        <f t="shared" ref="G86" si="51">IF(G83=0,0,IF(G79=1,(1-F90)*F83*G42/((1+G23/100)*(1+G41/100)),IF(AND(G79=0,G80=1),(F89*F83*G42/((1+G23/100)*(1+G41/100)))*(1-ABS(G83-F83*G42/((1+G23/100)*(1+G41/100)))/((G38*F83*F90*G42/((1+G23/100)*(1+G41/100)))+(F89*F83*G42/((1+G23/100)*(1+G41/100))))),0)))</f>
        <v>11.334857176724176</v>
      </c>
      <c r="H86" s="34">
        <f t="shared" ref="H86:W86" si="52">IF(H83=0,0,IF(H79=1,(1-G90)*G83*H42/((1+H23/100)*(1+H41/100)),IF(AND(H79=0,H80=1),(G89*G83*H42/((1+H23/100)*(1+H41/100)))*(1-ABS(H83-G83*H42/((1+H23/100)*(1+H41/100)))/((H38*G83*G90*H42/((1+H23/100)*(1+H41/100)))+(G89*G83*H42/((1+H23/100)*(1+H41/100))))),0)))</f>
        <v>11.547258544505024</v>
      </c>
      <c r="I86" s="34">
        <f t="shared" si="52"/>
        <v>11.700989131617387</v>
      </c>
      <c r="J86" s="34">
        <f t="shared" si="52"/>
        <v>11.787378922966562</v>
      </c>
      <c r="K86" s="34">
        <f t="shared" si="52"/>
        <v>11.687740084645871</v>
      </c>
      <c r="L86" s="34">
        <f t="shared" si="52"/>
        <v>11.597088812284126</v>
      </c>
      <c r="M86" s="34">
        <f t="shared" si="52"/>
        <v>11.540454437022365</v>
      </c>
      <c r="N86" s="34">
        <f t="shared" si="52"/>
        <v>11.473225314072144</v>
      </c>
      <c r="O86" s="34">
        <f t="shared" si="52"/>
        <v>11.402236450064708</v>
      </c>
      <c r="P86" s="34">
        <f t="shared" si="52"/>
        <v>11.333472852945608</v>
      </c>
      <c r="Q86" s="34">
        <f t="shared" si="52"/>
        <v>11.259629651406579</v>
      </c>
      <c r="R86" s="34">
        <f t="shared" si="52"/>
        <v>11.175465269726532</v>
      </c>
      <c r="S86" s="34">
        <f t="shared" si="52"/>
        <v>11.089970233329277</v>
      </c>
      <c r="T86" s="34">
        <f t="shared" si="52"/>
        <v>10.999729759155493</v>
      </c>
      <c r="U86" s="34">
        <f t="shared" si="52"/>
        <v>10.902178984637825</v>
      </c>
      <c r="V86" s="34">
        <f t="shared" si="52"/>
        <v>10.79366370124295</v>
      </c>
      <c r="W86" s="34">
        <f t="shared" si="52"/>
        <v>10.689036060051075</v>
      </c>
    </row>
    <row r="87" spans="2:24" x14ac:dyDescent="0.2">
      <c r="B87" s="105" t="s">
        <v>130</v>
      </c>
      <c r="C87" s="34"/>
      <c r="D87" s="254">
        <f>'Input data'!C69*$D$83</f>
        <v>4.3062797312435643</v>
      </c>
      <c r="E87" s="34">
        <f>IF(E83=0,0,IF(E79=1,'Input data'!$C$58*(E83-D83*E42/((1+E23/100)*(1+E41/100))),0))</f>
        <v>4.7570039815081033</v>
      </c>
      <c r="F87" s="34">
        <f>IF(F83=0,0,IF(F79=1,'Input data'!$C$58*(F83-E83*F42/((1+F23/100)*(1+F41/100))),0))</f>
        <v>4.9834734764809658</v>
      </c>
      <c r="G87" s="34">
        <f>IF(G83=0,0,IF(G79=1,'Input data'!$C$58*(G83-F83*G42/((1+G23/100)*(1+G41/100))),0))</f>
        <v>4.3126324461110297</v>
      </c>
      <c r="H87" s="34">
        <f>IF(H83=0,0,IF(H79=1,'Input data'!$C$58*(H83-G83*H42/((1+H23/100)*(1+H41/100))),0))</f>
        <v>3.8600214971646785</v>
      </c>
      <c r="I87" s="34">
        <f>IF(I83=0,0,IF(I79=1,'Input data'!$C$58*(I83-H83*I42/((1+I23/100)*(1+I41/100))),0))</f>
        <v>3.3462218646242849</v>
      </c>
      <c r="J87" s="34">
        <f>IF(J83=0,0,IF(J79=1,'Input data'!$C$58*(J83-I83*J42/((1+J23/100)*(1+J41/100))),0))</f>
        <v>2.7464592433739243</v>
      </c>
      <c r="K87" s="34">
        <f>IF(K83=0,0,IF(K79=1,'Input data'!$C$58*(K83-J83*K42/((1+K23/100)*(1+K41/100))),0))</f>
        <v>2.6065509079178719</v>
      </c>
      <c r="L87" s="34">
        <f>IF(L83=0,0,IF(L79=1,'Input data'!$C$58*(L83-K83*L42/((1+L23/100)*(1+L41/100))),0))</f>
        <v>2.6125656467996823</v>
      </c>
      <c r="M87" s="34">
        <f>IF(M83=0,0,IF(M79=1,'Input data'!$C$58*(M83-L83*M42/((1+M23/100)*(1+M41/100))),0))</f>
        <v>2.5961212558944093</v>
      </c>
      <c r="N87" s="34">
        <f>IF(N83=0,0,IF(N79=1,'Input data'!$C$58*(N83-M83*N42/((1+N23/100)*(1+N41/100))),0))</f>
        <v>2.5893346324066768</v>
      </c>
      <c r="O87" s="34">
        <f>IF(O83=0,0,IF(O79=1,'Input data'!$C$58*(O83-N83*O42/((1+O23/100)*(1+O41/100))),0))</f>
        <v>2.6100272839104339</v>
      </c>
      <c r="P87" s="34">
        <f>IF(P83=0,0,IF(P79=1,'Input data'!$C$58*(P83-O83*P42/((1+P23/100)*(1+P41/100))),0))</f>
        <v>2.7096757764774146</v>
      </c>
      <c r="Q87" s="34">
        <f>IF(Q83=0,0,IF(Q79=1,'Input data'!$C$58*(Q83-P83*Q42/((1+Q23/100)*(1+Q41/100))),0))</f>
        <v>2.7554692037115509</v>
      </c>
      <c r="R87" s="34">
        <f>IF(R83=0,0,IF(R79=1,'Input data'!$C$58*(R83-Q83*R42/((1+R23/100)*(1+R41/100))),0))</f>
        <v>2.7958361777868945</v>
      </c>
      <c r="S87" s="34">
        <f>IF(S83=0,0,IF(S79=1,'Input data'!$C$58*(S83-R83*S42/((1+S23/100)*(1+S41/100))),0))</f>
        <v>2.833126736030914</v>
      </c>
      <c r="T87" s="34">
        <f>IF(T83=0,0,IF(T79=1,'Input data'!$C$58*(T83-S83*T42/((1+T23/100)*(1+T41/100))),0))</f>
        <v>2.863284948120278</v>
      </c>
      <c r="U87" s="34">
        <f>IF(U83=0,0,IF(U79=1,'Input data'!$C$58*(U83-T83*U42/((1+U23/100)*(1+U41/100))),0))</f>
        <v>2.8825950923469783</v>
      </c>
      <c r="V87" s="34">
        <f>IF(V83=0,0,IF(V79=1,'Input data'!$C$58*(V83-U83*V42/((1+V23/100)*(1+V41/100))),0))</f>
        <v>2.883366336932832</v>
      </c>
      <c r="W87" s="34">
        <f>IF(W83=0,0,IF(W79=1,'Input data'!$C$58*(W83-V83*W42/((1+W23/100)*(1+W41/100))),0))</f>
        <v>2.9285508918267564</v>
      </c>
    </row>
    <row r="88" spans="2:24" x14ac:dyDescent="0.2">
      <c r="B88" s="107" t="s">
        <v>131</v>
      </c>
      <c r="C88" s="49"/>
      <c r="D88" s="255">
        <f>'Input data'!C70*$D$83</f>
        <v>0.50211565206198738</v>
      </c>
      <c r="E88" s="49">
        <f>IF(E83=0,0,IF(E79=1,'Input data'!$C$57*(E83-D83*E42/((1+E23/100)*(1+E41/100))),0))</f>
        <v>0.5163762474099538</v>
      </c>
      <c r="F88" s="49">
        <f>IF(F83=0,0,IF(F79=1,'Input data'!$C$57*(F83-E83*F42/((1+F23/100)*(1+F41/100))),0))</f>
        <v>0.54095967605989981</v>
      </c>
      <c r="G88" s="49">
        <f>IF(G83=0,0,IF(G79=1,'Input data'!$C$57*(G83-F83*G42/((1+G23/100)*(1+G41/100))),0))</f>
        <v>0.46813939354223971</v>
      </c>
      <c r="H88" s="49">
        <f>IF(H83=0,0,IF(H79=1,'Input data'!$C$57*(H83-G83*H42/((1+H23/100)*(1+H41/100))),0))</f>
        <v>0.41900814533178943</v>
      </c>
      <c r="I88" s="49">
        <f>IF(I83=0,0,IF(I79=1,'Input data'!$C$57*(I83-H83*I42/((1+I23/100)*(1+I41/100))),0))</f>
        <v>0.36323482094459608</v>
      </c>
      <c r="J88" s="49">
        <f>IF(J83=0,0,IF(J79=1,'Input data'!$C$57*(J83-I83*J42/((1+J23/100)*(1+J41/100))),0))</f>
        <v>0.29813015151359967</v>
      </c>
      <c r="K88" s="49">
        <f>IF(K83=0,0,IF(K79=1,'Input data'!$C$57*(K83-J83*K42/((1+K23/100)*(1+K41/100))),0))</f>
        <v>0.28294299978427417</v>
      </c>
      <c r="L88" s="49">
        <f>IF(L83=0,0,IF(L79=1,'Input data'!$C$57*(L83-K83*L42/((1+L23/100)*(1+L41/100))),0))</f>
        <v>0.28359590407130303</v>
      </c>
      <c r="M88" s="49">
        <f>IF(M83=0,0,IF(M79=1,'Input data'!$C$57*(M83-L83*M42/((1+M23/100)*(1+M41/100))),0))</f>
        <v>0.2818108534596962</v>
      </c>
      <c r="N88" s="49">
        <f>IF(N83=0,0,IF(N79=1,'Input data'!$C$57*(N83-M83*N42/((1+N23/100)*(1+N41/100))),0))</f>
        <v>0.28107416053641876</v>
      </c>
      <c r="O88" s="49">
        <f>IF(O83=0,0,IF(O79=1,'Input data'!$C$57*(O83-N83*O42/((1+O23/100)*(1+O41/100))),0))</f>
        <v>0.28332036293061658</v>
      </c>
      <c r="P88" s="49">
        <f>IF(P83=0,0,IF(P79=1,'Input data'!$C$57*(P83-O83*P42/((1+P23/100)*(1+P41/100))),0))</f>
        <v>0.2941372793872396</v>
      </c>
      <c r="Q88" s="49">
        <f>IF(Q83=0,0,IF(Q79=1,'Input data'!$C$57*(Q83-P83*Q42/((1+Q23/100)*(1+Q41/100))),0))</f>
        <v>0.29910818927151245</v>
      </c>
      <c r="R88" s="49">
        <f>IF(R83=0,0,IF(R79=1,'Input data'!$C$57*(R83-Q83*R42/((1+R23/100)*(1+R41/100))),0))</f>
        <v>0.30349005371252402</v>
      </c>
      <c r="S88" s="49">
        <f>IF(S83=0,0,IF(S79=1,'Input data'!$C$57*(S83-R83*S42/((1+S23/100)*(1+S41/100))),0))</f>
        <v>0.30753797097404467</v>
      </c>
      <c r="T88" s="49">
        <f>IF(T83=0,0,IF(T79=1,'Input data'!$C$57*(T83-S83*T42/((1+T23/100)*(1+T41/100))),0))</f>
        <v>0.31081166686495332</v>
      </c>
      <c r="U88" s="49">
        <f>IF(U83=0,0,IF(U79=1,'Input data'!$C$57*(U83-T83*U42/((1+U23/100)*(1+U41/100))),0))</f>
        <v>0.31290779708714567</v>
      </c>
      <c r="V88" s="49">
        <f>IF(V83=0,0,IF(V79=1,'Input data'!$C$57*(V83-U83*V42/((1+V23/100)*(1+V41/100))),0))</f>
        <v>0.3129915162487496</v>
      </c>
      <c r="W88" s="49">
        <f>IF(W83=0,0,IF(W79=1,'Input data'!$C$57*(W83-V83*W42/((1+W23/100)*(1+W41/100))),0))</f>
        <v>0.31789633259696226</v>
      </c>
    </row>
    <row r="89" spans="2:24" x14ac:dyDescent="0.2">
      <c r="B89" s="26" t="s">
        <v>73</v>
      </c>
      <c r="C89" s="34"/>
      <c r="D89" s="260">
        <f>'Baseline NFPC'!$D$93</f>
        <v>0.10442485672571578</v>
      </c>
      <c r="E89" s="34">
        <f t="shared" ref="E89:G89" si="53">IF(E83&lt;&gt;0,(E86+E88)/(E84+E85+E86+E87+E88),0)</f>
        <v>0.10411489003632005</v>
      </c>
      <c r="F89" s="34">
        <f t="shared" si="53"/>
        <v>0.10381050045547867</v>
      </c>
      <c r="G89" s="34">
        <f t="shared" si="53"/>
        <v>0.10356345969020572</v>
      </c>
      <c r="H89" s="34">
        <f t="shared" ref="H89:W89" si="54">IF(H83&lt;&gt;0,(H86+H88)/(H84+H85+H86+H87+H88),0)</f>
        <v>0.10335493225680564</v>
      </c>
      <c r="I89" s="34">
        <f t="shared" si="54"/>
        <v>0.10318254411515292</v>
      </c>
      <c r="J89" s="34">
        <f t="shared" si="54"/>
        <v>0.10304596533593408</v>
      </c>
      <c r="K89" s="34">
        <f t="shared" si="54"/>
        <v>0.10291865535224275</v>
      </c>
      <c r="L89" s="34">
        <f t="shared" si="54"/>
        <v>0.10279343154338079</v>
      </c>
      <c r="M89" s="34">
        <f t="shared" si="54"/>
        <v>0.10267165898543999</v>
      </c>
      <c r="N89" s="34">
        <f t="shared" si="54"/>
        <v>0.10255269363100022</v>
      </c>
      <c r="O89" s="34">
        <f t="shared" si="54"/>
        <v>0.10243522761521362</v>
      </c>
      <c r="P89" s="34">
        <f t="shared" si="54"/>
        <v>0.10231591668573889</v>
      </c>
      <c r="Q89" s="34">
        <f t="shared" si="54"/>
        <v>0.10219723031614256</v>
      </c>
      <c r="R89" s="34">
        <f t="shared" si="54"/>
        <v>0.10207937923642978</v>
      </c>
      <c r="S89" s="34">
        <f t="shared" si="54"/>
        <v>0.10196255172727066</v>
      </c>
      <c r="T89" s="34">
        <f t="shared" si="54"/>
        <v>0.10184704664592312</v>
      </c>
      <c r="U89" s="34">
        <f t="shared" si="54"/>
        <v>0.10173325201493681</v>
      </c>
      <c r="V89" s="34">
        <f t="shared" si="54"/>
        <v>0.10162176962163086</v>
      </c>
      <c r="W89" s="34">
        <f t="shared" si="54"/>
        <v>0.1015109767298118</v>
      </c>
    </row>
    <row r="90" spans="2:24" x14ac:dyDescent="0.2">
      <c r="B90" s="35" t="s">
        <v>74</v>
      </c>
      <c r="C90" s="49"/>
      <c r="D90" s="261">
        <f>'Baseline NFPC'!$D$94</f>
        <v>0.89557514327428422</v>
      </c>
      <c r="E90" s="49">
        <f t="shared" ref="E90:G90" si="55">IF(E83&lt;&gt;0,(E84+E85+E87)/(E84+E85+E86+E87+E88),1)</f>
        <v>0.89588510996367998</v>
      </c>
      <c r="F90" s="49">
        <f t="shared" si="55"/>
        <v>0.89618949954452132</v>
      </c>
      <c r="G90" s="49">
        <f t="shared" si="55"/>
        <v>0.89643654030979425</v>
      </c>
      <c r="H90" s="49">
        <f t="shared" ref="H90:W90" si="56">IF(H83&lt;&gt;0,(H84+H85+H87)/(H84+H85+H86+H87+H88),1)</f>
        <v>0.8966450677431943</v>
      </c>
      <c r="I90" s="49">
        <f t="shared" si="56"/>
        <v>0.89681745588484707</v>
      </c>
      <c r="J90" s="49">
        <f t="shared" si="56"/>
        <v>0.89695403466406587</v>
      </c>
      <c r="K90" s="49">
        <f t="shared" si="56"/>
        <v>0.89708134464775735</v>
      </c>
      <c r="L90" s="49">
        <f t="shared" si="56"/>
        <v>0.89720656845661917</v>
      </c>
      <c r="M90" s="49">
        <f t="shared" si="56"/>
        <v>0.89732834101455994</v>
      </c>
      <c r="N90" s="49">
        <f t="shared" si="56"/>
        <v>0.89744730636899983</v>
      </c>
      <c r="O90" s="49">
        <f t="shared" si="56"/>
        <v>0.89756477238478649</v>
      </c>
      <c r="P90" s="49">
        <f t="shared" si="56"/>
        <v>0.89768408331426108</v>
      </c>
      <c r="Q90" s="49">
        <f t="shared" si="56"/>
        <v>0.89780276968385742</v>
      </c>
      <c r="R90" s="49">
        <f t="shared" si="56"/>
        <v>0.89792062076357027</v>
      </c>
      <c r="S90" s="49">
        <f t="shared" si="56"/>
        <v>0.89803744827272936</v>
      </c>
      <c r="T90" s="49">
        <f t="shared" si="56"/>
        <v>0.89815295335407686</v>
      </c>
      <c r="U90" s="49">
        <f t="shared" si="56"/>
        <v>0.89826674798506312</v>
      </c>
      <c r="V90" s="49">
        <f t="shared" si="56"/>
        <v>0.89837823037836917</v>
      </c>
      <c r="W90" s="49">
        <f t="shared" si="56"/>
        <v>0.8984890232701882</v>
      </c>
    </row>
    <row r="92" spans="2:24" x14ac:dyDescent="0.2">
      <c r="B92" s="113" t="s">
        <v>132</v>
      </c>
      <c r="C92" s="51"/>
      <c r="D92" s="51"/>
      <c r="E92" s="52">
        <f t="shared" ref="E92:G92" si="57">E94+E95</f>
        <v>1.6360270000000001</v>
      </c>
      <c r="F92" s="52">
        <f t="shared" si="57"/>
        <v>1.90473</v>
      </c>
      <c r="G92" s="52">
        <f t="shared" si="57"/>
        <v>2.1499329999999999</v>
      </c>
      <c r="H92" s="52">
        <f t="shared" ref="H92:W92" si="58">H94+H95</f>
        <v>2.2624335955804127</v>
      </c>
      <c r="I92" s="52">
        <f t="shared" si="58"/>
        <v>2.3656571190916935</v>
      </c>
      <c r="J92" s="52">
        <f t="shared" si="58"/>
        <v>2.4608203898214027</v>
      </c>
      <c r="K92" s="52">
        <f t="shared" si="58"/>
        <v>2.5486874079195405</v>
      </c>
      <c r="L92" s="52">
        <f t="shared" si="58"/>
        <v>2.6337956280780852</v>
      </c>
      <c r="M92" s="52">
        <f t="shared" si="58"/>
        <v>2.7174456274136558</v>
      </c>
      <c r="N92" s="52">
        <f t="shared" si="58"/>
        <v>2.79956750074511</v>
      </c>
      <c r="O92" s="52">
        <f t="shared" si="58"/>
        <v>2.8803930945149592</v>
      </c>
      <c r="P92" s="52">
        <f t="shared" si="58"/>
        <v>2.9520612972454301</v>
      </c>
      <c r="Q92" s="52">
        <f t="shared" si="58"/>
        <v>3.0179208423632167</v>
      </c>
      <c r="R92" s="52">
        <f t="shared" si="58"/>
        <v>3.0782210411487005</v>
      </c>
      <c r="S92" s="52">
        <f t="shared" si="58"/>
        <v>3.1335020295414693</v>
      </c>
      <c r="T92" s="52">
        <f t="shared" si="58"/>
        <v>3.1842568636845061</v>
      </c>
      <c r="U92" s="52">
        <f t="shared" si="58"/>
        <v>3.2309209698943611</v>
      </c>
      <c r="V92" s="52">
        <f t="shared" si="58"/>
        <v>3.2738813870791938</v>
      </c>
      <c r="W92" s="52">
        <f t="shared" si="58"/>
        <v>3.3134702884249103</v>
      </c>
    </row>
    <row r="93" spans="2:24" x14ac:dyDescent="0.2">
      <c r="B93" s="33" t="s">
        <v>133</v>
      </c>
      <c r="C93" s="97"/>
      <c r="D93" s="97"/>
      <c r="E93" s="266">
        <f>((E35*D83)-(E37*(D86+D88)))/(D84+D85+D87)</f>
        <v>1.4268483678239057</v>
      </c>
      <c r="F93" s="266">
        <f t="shared" ref="F93:G93" si="59">((F35*E83)-(F37*(E86+E88)))/(E84+E85+E87)</f>
        <v>1.7118745014922765</v>
      </c>
      <c r="G93" s="266">
        <f t="shared" si="59"/>
        <v>2.0727354010773258</v>
      </c>
      <c r="H93" s="34">
        <f t="shared" ref="H93:W93" si="60">IF(G83&gt;0,(G93*G84+H36*(G87+G85))/(G84+G85+G87),H36)</f>
        <v>2.1997416955847298</v>
      </c>
      <c r="I93" s="34">
        <f t="shared" si="60"/>
        <v>2.3163052990399926</v>
      </c>
      <c r="J93" s="34">
        <f t="shared" si="60"/>
        <v>2.4238077396616671</v>
      </c>
      <c r="K93" s="34">
        <f t="shared" si="60"/>
        <v>2.5231204636192186</v>
      </c>
      <c r="L93" s="34">
        <f t="shared" si="60"/>
        <v>2.6193227859198189</v>
      </c>
      <c r="M93" s="34">
        <f t="shared" si="60"/>
        <v>2.7138692370078958</v>
      </c>
      <c r="N93" s="34">
        <f>IF(M83&gt;0,(M93*M84+N36*(M87+M85))/(M84+M85+M87),N36)</f>
        <v>2.8066834501320947</v>
      </c>
      <c r="O93" s="34">
        <f>IF(N83&gt;0,(N93*N84+O36*(N87+N85))/(N84+N85+N87),O36)</f>
        <v>2.898025548103941</v>
      </c>
      <c r="P93" s="34">
        <f t="shared" si="60"/>
        <v>2.9819937119472844</v>
      </c>
      <c r="Q93" s="34">
        <f t="shared" si="60"/>
        <v>3.0594588368997031</v>
      </c>
      <c r="R93" s="34">
        <f t="shared" si="60"/>
        <v>3.1307019164019207</v>
      </c>
      <c r="S93" s="34">
        <f t="shared" si="60"/>
        <v>3.1963273273000077</v>
      </c>
      <c r="T93" s="34">
        <f t="shared" si="60"/>
        <v>3.2568867522927349</v>
      </c>
      <c r="U93" s="34">
        <f t="shared" si="60"/>
        <v>3.3128675689608382</v>
      </c>
      <c r="V93" s="34">
        <f t="shared" si="60"/>
        <v>3.3647032096066041</v>
      </c>
      <c r="W93" s="34">
        <f t="shared" si="60"/>
        <v>3.4127661547048183</v>
      </c>
    </row>
    <row r="94" spans="2:24" x14ac:dyDescent="0.2">
      <c r="B94" s="26" t="s">
        <v>134</v>
      </c>
      <c r="C94" s="97"/>
      <c r="D94" s="97"/>
      <c r="E94" s="34">
        <f t="shared" ref="E94:F94" si="61">(E93*(D84+D85+D87)+E37*(D86+D88))/D83</f>
        <v>1.6360270000000001</v>
      </c>
      <c r="F94" s="34">
        <f t="shared" si="61"/>
        <v>1.90473</v>
      </c>
      <c r="G94" s="34">
        <f>(G93*(F84+F85+F87)+G37*(F86+F88))/F83</f>
        <v>2.1499329999999999</v>
      </c>
      <c r="H94" s="34">
        <f t="shared" ref="H94:W94" si="62">(H93*(G84+G85+G87)+H37*(G86+G88))/G83</f>
        <v>2.2624335955804127</v>
      </c>
      <c r="I94" s="34">
        <f t="shared" si="62"/>
        <v>2.3656571190916935</v>
      </c>
      <c r="J94" s="34">
        <f t="shared" si="62"/>
        <v>2.4608203898214027</v>
      </c>
      <c r="K94" s="34">
        <f t="shared" si="62"/>
        <v>2.5486874079195405</v>
      </c>
      <c r="L94" s="34">
        <f t="shared" si="62"/>
        <v>2.6337956280780852</v>
      </c>
      <c r="M94" s="34">
        <f t="shared" si="62"/>
        <v>2.7174456274136558</v>
      </c>
      <c r="N94" s="34">
        <f>(N93*(M84+M85+M87)+N37*(M86+M88))/M83</f>
        <v>2.79956750074511</v>
      </c>
      <c r="O94" s="34">
        <f>(O93*(N84+N85+N87)+O37*(N86+N88))/N83</f>
        <v>2.8803930945149592</v>
      </c>
      <c r="P94" s="34">
        <f t="shared" si="62"/>
        <v>2.9520612972454301</v>
      </c>
      <c r="Q94" s="34">
        <f t="shared" si="62"/>
        <v>3.0179208423632167</v>
      </c>
      <c r="R94" s="34">
        <f t="shared" si="62"/>
        <v>3.0782210411487005</v>
      </c>
      <c r="S94" s="34">
        <f t="shared" si="62"/>
        <v>3.1335020295414693</v>
      </c>
      <c r="T94" s="34">
        <f t="shared" si="62"/>
        <v>3.1842568636845061</v>
      </c>
      <c r="U94" s="34">
        <f t="shared" si="62"/>
        <v>3.2309209698943611</v>
      </c>
      <c r="V94" s="34">
        <f t="shared" si="62"/>
        <v>3.2738813870791938</v>
      </c>
      <c r="W94" s="34">
        <f t="shared" si="62"/>
        <v>3.3134702884249103</v>
      </c>
    </row>
    <row r="95" spans="2:24" x14ac:dyDescent="0.2">
      <c r="B95" s="35" t="s">
        <v>135</v>
      </c>
      <c r="C95" s="35"/>
      <c r="D95" s="35"/>
      <c r="E95" s="49">
        <f>IF('Criteria results'!$F$5=4,E105,E110)</f>
        <v>0</v>
      </c>
      <c r="F95" s="49">
        <f>IF('Criteria results'!$F$5=4,F105,F110)</f>
        <v>0</v>
      </c>
      <c r="G95" s="49">
        <f>IF('Criteria results'!$F$5=4,G105,G110)</f>
        <v>0</v>
      </c>
      <c r="H95" s="49">
        <f>IF('Criteria results'!$F$5=4,H105,H110)</f>
        <v>0</v>
      </c>
      <c r="I95" s="49">
        <f>IF('Criteria results'!$F$5=4,I105,I110)</f>
        <v>0</v>
      </c>
      <c r="J95" s="49">
        <f>IF('Criteria results'!$F$5=4,J105,J110)</f>
        <v>0</v>
      </c>
      <c r="K95" s="49">
        <f>IF('Criteria results'!$F$5=4,K105,K110)</f>
        <v>0</v>
      </c>
      <c r="L95" s="49">
        <f>IF('Criteria results'!$F$5=4,L105,L110)</f>
        <v>0</v>
      </c>
      <c r="M95" s="49">
        <f>IF('Criteria results'!$F$5=4,M105,M110)</f>
        <v>0</v>
      </c>
      <c r="N95" s="49">
        <f>IF('Criteria results'!$F$5=4,N105,N110)</f>
        <v>0</v>
      </c>
      <c r="O95" s="49">
        <f>IF('Criteria results'!$F$5=4,O105,O110)</f>
        <v>0</v>
      </c>
      <c r="P95" s="49">
        <f>IF('Criteria results'!$F$5=4,P105,P110)</f>
        <v>0</v>
      </c>
      <c r="Q95" s="49">
        <f>IF('Criteria results'!$F$5=4,Q105,Q110)</f>
        <v>0</v>
      </c>
      <c r="R95" s="49">
        <f>IF('Criteria results'!$F$5=4,R105,R110)</f>
        <v>0</v>
      </c>
      <c r="S95" s="49">
        <f>IF('Criteria results'!$F$5=4,S105,S110)</f>
        <v>0</v>
      </c>
      <c r="T95" s="49">
        <f>IF('Criteria results'!$F$5=4,T105,T110)</f>
        <v>0</v>
      </c>
      <c r="U95" s="49">
        <f>IF('Criteria results'!$F$5=4,U105,U110)</f>
        <v>0</v>
      </c>
      <c r="V95" s="49">
        <f>IF('Criteria results'!$F$5=4,V105,V110)</f>
        <v>0</v>
      </c>
      <c r="W95" s="49">
        <f>IF('Criteria results'!$F$5=4,W105,W110)</f>
        <v>0</v>
      </c>
    </row>
    <row r="96" spans="2:24" x14ac:dyDescent="0.2">
      <c r="G96" s="98"/>
      <c r="H96" s="98"/>
      <c r="I96" s="98"/>
      <c r="J96" s="98"/>
      <c r="K96" s="98"/>
      <c r="L96" s="98"/>
      <c r="M96" s="98"/>
      <c r="N96" s="98"/>
      <c r="O96" s="98"/>
      <c r="P96" s="98"/>
      <c r="Q96" s="98"/>
      <c r="R96" s="98"/>
      <c r="S96" s="98"/>
      <c r="T96" s="98"/>
      <c r="U96" s="98"/>
      <c r="V96" s="98"/>
      <c r="W96" s="98"/>
    </row>
    <row r="97" spans="1:54" x14ac:dyDescent="0.2">
      <c r="B97" s="113" t="s">
        <v>186</v>
      </c>
      <c r="C97" s="52">
        <f t="shared" ref="C97:T97" si="63">((1+C92/100)/((1+C23/100)*(1+C41/100))-1)*100</f>
        <v>-7.3651984590557884</v>
      </c>
      <c r="D97" s="52">
        <f t="shared" si="63"/>
        <v>-5.1901941050115035</v>
      </c>
      <c r="E97" s="52">
        <f t="shared" si="63"/>
        <v>-4.3106491734947632</v>
      </c>
      <c r="F97" s="52">
        <f t="shared" si="63"/>
        <v>-1.5572654776414119</v>
      </c>
      <c r="G97" s="52">
        <f>((1+G92/100)/((1+G23/100)*(1+G41/100))-1)*100</f>
        <v>-0.7769761707942191</v>
      </c>
      <c r="H97" s="52">
        <f t="shared" si="63"/>
        <v>4.6691794623576754E-2</v>
      </c>
      <c r="I97" s="52">
        <f t="shared" si="63"/>
        <v>9.6335176840156578E-2</v>
      </c>
      <c r="J97" s="52">
        <f t="shared" si="63"/>
        <v>0.10959009397071284</v>
      </c>
      <c r="K97" s="52">
        <f t="shared" si="63"/>
        <v>-0.82648591309639752</v>
      </c>
      <c r="L97" s="52">
        <f t="shared" si="63"/>
        <v>-0.56931299194091789</v>
      </c>
      <c r="M97" s="52">
        <f t="shared" si="63"/>
        <v>-0.22410076090891851</v>
      </c>
      <c r="N97" s="52">
        <f t="shared" si="63"/>
        <v>-0.23548185179292913</v>
      </c>
      <c r="O97" s="52">
        <f t="shared" si="63"/>
        <v>-0.20106509338961853</v>
      </c>
      <c r="P97" s="52">
        <f t="shared" si="63"/>
        <v>-0.14986786341752989</v>
      </c>
      <c r="Q97" s="52">
        <f t="shared" si="63"/>
        <v>-0.24230061537082737</v>
      </c>
      <c r="R97" s="52">
        <f t="shared" si="63"/>
        <v>-0.33971743380479813</v>
      </c>
      <c r="S97" s="52">
        <f t="shared" si="63"/>
        <v>-0.36136256831801328</v>
      </c>
      <c r="T97" s="52">
        <f t="shared" si="63"/>
        <v>-0.41692266812520806</v>
      </c>
      <c r="U97" s="52">
        <f>((1+U92/100)/((1+U23/100)*(1+U41/100))-1)*100</f>
        <v>-0.49618892923579683</v>
      </c>
      <c r="V97" s="52">
        <f t="shared" ref="V97:W97" si="64">((1+V92/100)/((1+V23/100)*(1+V41/100))-1)*100</f>
        <v>-0.60678383420091908</v>
      </c>
      <c r="W97" s="52">
        <f t="shared" si="64"/>
        <v>-0.57119917949639554</v>
      </c>
    </row>
    <row r="100" spans="1:54" s="25" customFormat="1" ht="12.75" outlineLevel="1" x14ac:dyDescent="0.2">
      <c r="B100" s="25" t="s">
        <v>136</v>
      </c>
      <c r="C100" s="112"/>
      <c r="D100" s="112"/>
      <c r="E100" s="112"/>
      <c r="F100" s="112"/>
      <c r="G100" s="112"/>
      <c r="H100" s="112"/>
      <c r="I100" s="112"/>
      <c r="J100" s="112"/>
      <c r="K100" s="112"/>
      <c r="L100" s="112"/>
      <c r="M100" s="112"/>
      <c r="N100" s="112"/>
      <c r="O100" s="112"/>
      <c r="P100" s="112"/>
      <c r="Q100" s="112"/>
      <c r="R100" s="112"/>
      <c r="S100" s="112"/>
      <c r="T100" s="112"/>
      <c r="U100" s="112"/>
      <c r="V100" s="112"/>
      <c r="W100" s="112"/>
    </row>
    <row r="101" spans="1:54" s="127" customFormat="1" ht="12.75" outlineLevel="1" x14ac:dyDescent="0.2">
      <c r="C101" s="128"/>
      <c r="D101" s="128"/>
      <c r="E101" s="128"/>
      <c r="F101" s="128"/>
      <c r="G101" s="128"/>
      <c r="H101" s="128"/>
      <c r="I101" s="128"/>
      <c r="J101" s="128"/>
      <c r="K101" s="128"/>
      <c r="L101" s="128"/>
      <c r="M101" s="128"/>
      <c r="N101" s="128"/>
      <c r="O101" s="128"/>
      <c r="P101" s="128"/>
      <c r="Q101" s="128"/>
      <c r="R101" s="128"/>
      <c r="S101" s="128"/>
      <c r="T101" s="128"/>
      <c r="U101" s="128"/>
      <c r="V101" s="128"/>
      <c r="W101" s="128"/>
    </row>
    <row r="102" spans="1:54" s="127" customFormat="1" ht="12.75" outlineLevel="1" x14ac:dyDescent="0.2">
      <c r="B102" s="106" t="s">
        <v>293</v>
      </c>
      <c r="C102" s="129"/>
      <c r="D102" s="129"/>
      <c r="E102" s="129"/>
      <c r="F102" s="129"/>
      <c r="G102" s="129"/>
      <c r="H102" s="129"/>
      <c r="I102" s="129"/>
      <c r="J102" s="129"/>
      <c r="K102" s="129"/>
      <c r="L102" s="129"/>
      <c r="M102" s="129"/>
      <c r="N102" s="129"/>
      <c r="O102" s="129"/>
      <c r="P102" s="129"/>
      <c r="Q102" s="129"/>
      <c r="R102" s="129"/>
      <c r="S102" s="129"/>
      <c r="T102" s="129"/>
      <c r="U102" s="129"/>
      <c r="V102" s="129"/>
      <c r="W102" s="129"/>
    </row>
    <row r="103" spans="1:54" outlineLevel="1" x14ac:dyDescent="0.2">
      <c r="B103" s="120" t="s">
        <v>43</v>
      </c>
      <c r="C103" s="34">
        <v>112.97332763671875</v>
      </c>
      <c r="D103" s="34">
        <v>111.91819000244141</v>
      </c>
      <c r="E103" s="34">
        <v>110.64328002929688</v>
      </c>
      <c r="F103" s="34">
        <v>112.4088134765625</v>
      </c>
      <c r="G103" s="34">
        <v>113.96873474121094</v>
      </c>
      <c r="H103" s="34">
        <v>115.77838134765625</v>
      </c>
      <c r="I103" s="34">
        <v>116.92116546630859</v>
      </c>
      <c r="J103" s="34">
        <v>117.28270721435547</v>
      </c>
      <c r="K103" s="34">
        <v>116.31210327148438</v>
      </c>
      <c r="L103" s="34">
        <v>115.57826995849609</v>
      </c>
      <c r="M103" s="34">
        <v>115.14635467529297</v>
      </c>
      <c r="N103" s="34">
        <v>114.61721038818359</v>
      </c>
      <c r="O103" s="34">
        <v>114.07756805419922</v>
      </c>
      <c r="P103" s="34">
        <v>113.64426422119141</v>
      </c>
      <c r="Q103" s="34">
        <v>113.10236358642578</v>
      </c>
      <c r="R103" s="34">
        <v>112.45138549804688</v>
      </c>
      <c r="S103" s="34">
        <v>111.78145599365234</v>
      </c>
      <c r="T103" s="34">
        <v>111.05435180664063</v>
      </c>
      <c r="U103" s="34">
        <v>110.24031066894531</v>
      </c>
      <c r="V103" s="34">
        <v>109.29424285888672</v>
      </c>
      <c r="W103" s="34">
        <v>108.43114471435547</v>
      </c>
      <c r="X103" s="34"/>
      <c r="Y103" s="34"/>
      <c r="Z103" s="34"/>
    </row>
    <row r="104" spans="1:54" s="5" customFormat="1" ht="12.75" x14ac:dyDescent="0.2">
      <c r="A104" s="26"/>
      <c r="B104" s="26" t="s">
        <v>132</v>
      </c>
      <c r="C104" s="1">
        <v>1.3072322607040405</v>
      </c>
      <c r="D104" s="1">
        <v>1.8011331558227539</v>
      </c>
      <c r="E104" s="1">
        <v>1.636027455329895</v>
      </c>
      <c r="F104" s="1">
        <v>1.904729962348938</v>
      </c>
      <c r="G104" s="1">
        <v>2.1499323844909668</v>
      </c>
      <c r="H104" s="1">
        <v>2.2624330520629883</v>
      </c>
      <c r="I104" s="1">
        <v>2.365656852722168</v>
      </c>
      <c r="J104" s="1">
        <v>2.4608199596405029</v>
      </c>
      <c r="K104" s="1">
        <v>2.548687219619751</v>
      </c>
      <c r="L104" s="1">
        <v>2.6337954998016357</v>
      </c>
      <c r="M104" s="1">
        <v>2.7174456119537354</v>
      </c>
      <c r="N104" s="1">
        <v>2.7995674610137939</v>
      </c>
      <c r="O104" s="1">
        <v>2.8803930282592773</v>
      </c>
      <c r="P104" s="1">
        <v>2.9520614147186279</v>
      </c>
      <c r="Q104" s="1">
        <v>3.017920970916748</v>
      </c>
      <c r="R104" s="1">
        <v>3.078221321105957</v>
      </c>
      <c r="S104" s="1">
        <v>3.1335024833679199</v>
      </c>
      <c r="T104" s="1">
        <v>3.1842575073242188</v>
      </c>
      <c r="U104" s="99">
        <v>3.2309215068817139</v>
      </c>
      <c r="V104" s="99">
        <v>3.2738821506500244</v>
      </c>
      <c r="W104" s="99">
        <v>3.3134710788726807</v>
      </c>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row>
    <row r="105" spans="1:54" s="5" customFormat="1" ht="12.75" x14ac:dyDescent="0.2">
      <c r="B105" s="26" t="s">
        <v>185</v>
      </c>
      <c r="C105" s="1"/>
      <c r="D105" s="1"/>
      <c r="E105" s="1"/>
      <c r="F105" s="1"/>
      <c r="G105" s="1">
        <v>0</v>
      </c>
      <c r="H105" s="1">
        <v>0</v>
      </c>
      <c r="I105" s="1">
        <v>0</v>
      </c>
      <c r="J105" s="1">
        <v>0</v>
      </c>
      <c r="K105" s="1">
        <v>0</v>
      </c>
      <c r="L105" s="1">
        <v>0</v>
      </c>
      <c r="M105" s="1">
        <v>0</v>
      </c>
      <c r="N105" s="1">
        <v>0</v>
      </c>
      <c r="O105" s="1">
        <v>0</v>
      </c>
      <c r="P105" s="1">
        <v>0</v>
      </c>
      <c r="Q105" s="1">
        <v>0</v>
      </c>
      <c r="R105" s="1">
        <v>0</v>
      </c>
      <c r="S105" s="1">
        <v>0</v>
      </c>
      <c r="T105" s="1">
        <v>0</v>
      </c>
      <c r="U105" s="1">
        <v>0</v>
      </c>
      <c r="V105" s="1">
        <v>0</v>
      </c>
      <c r="W105" s="1">
        <v>0</v>
      </c>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row>
    <row r="106" spans="1:54" s="5" customFormat="1" ht="12.75" x14ac:dyDescent="0.2">
      <c r="B106" s="26"/>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row>
    <row r="107" spans="1:54" s="5" customFormat="1" ht="12.75" x14ac:dyDescent="0.2">
      <c r="B107" s="106" t="s">
        <v>294</v>
      </c>
      <c r="C107" s="37"/>
      <c r="D107" s="37"/>
      <c r="E107" s="37"/>
      <c r="F107" s="37"/>
      <c r="G107" s="37"/>
      <c r="H107" s="37"/>
      <c r="I107" s="37"/>
      <c r="J107" s="37"/>
      <c r="K107" s="37"/>
      <c r="L107" s="37"/>
      <c r="M107" s="37"/>
      <c r="N107" s="37"/>
      <c r="O107" s="37"/>
      <c r="P107" s="37"/>
      <c r="Q107" s="37"/>
      <c r="R107" s="37"/>
      <c r="S107" s="37"/>
      <c r="T107" s="37"/>
      <c r="U107" s="37"/>
      <c r="V107" s="37"/>
      <c r="W107" s="37"/>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row>
    <row r="108" spans="1:54" outlineLevel="1" x14ac:dyDescent="0.2">
      <c r="B108" s="120" t="s">
        <v>43</v>
      </c>
      <c r="C108" s="34">
        <v>112.97332763671875</v>
      </c>
      <c r="D108" s="34">
        <v>111.91819000244141</v>
      </c>
      <c r="E108" s="34">
        <v>110.64328002929688</v>
      </c>
      <c r="F108" s="34">
        <v>112.4088134765625</v>
      </c>
      <c r="G108" s="34">
        <v>113.85755157470703</v>
      </c>
      <c r="H108" s="34">
        <v>115.91837310791016</v>
      </c>
      <c r="I108" s="34">
        <v>117.68885040283203</v>
      </c>
      <c r="J108" s="34">
        <v>119.06128692626953</v>
      </c>
      <c r="K108" s="34">
        <v>119.91290283203125</v>
      </c>
      <c r="L108" s="34">
        <v>120.22420501708984</v>
      </c>
      <c r="M108" s="34">
        <v>119.97254943847656</v>
      </c>
      <c r="N108" s="34">
        <v>118.85865783691406</v>
      </c>
      <c r="O108" s="34">
        <v>118.06361389160156</v>
      </c>
      <c r="P108" s="34">
        <v>117.54122161865234</v>
      </c>
      <c r="Q108" s="34">
        <v>116.86234283447266</v>
      </c>
      <c r="R108" s="34">
        <v>116.02670288085938</v>
      </c>
      <c r="S108" s="34">
        <v>115.25</v>
      </c>
      <c r="T108" s="34">
        <v>114.41303253173828</v>
      </c>
      <c r="U108" s="34">
        <v>113.48556518554688</v>
      </c>
      <c r="V108" s="34">
        <v>112.42184448242188</v>
      </c>
      <c r="W108" s="34">
        <v>111.44190216064453</v>
      </c>
      <c r="X108" s="34"/>
      <c r="Y108" s="34"/>
      <c r="Z108" s="34"/>
    </row>
    <row r="109" spans="1:54" x14ac:dyDescent="0.2">
      <c r="B109" s="26" t="s">
        <v>132</v>
      </c>
      <c r="C109" s="1">
        <v>1.3072322607040405</v>
      </c>
      <c r="D109" s="1">
        <v>1.8011331558227539</v>
      </c>
      <c r="E109" s="1">
        <v>1.636027455329895</v>
      </c>
      <c r="F109" s="1">
        <v>1.904729962348938</v>
      </c>
      <c r="G109" s="1">
        <v>2.1499323844909668</v>
      </c>
      <c r="H109" s="1">
        <v>2.2639875411987305</v>
      </c>
      <c r="I109" s="1">
        <v>2.3703134059906006</v>
      </c>
      <c r="J109" s="1">
        <v>2.4700503349304199</v>
      </c>
      <c r="K109" s="1">
        <v>2.5639047622680664</v>
      </c>
      <c r="L109" s="1">
        <v>2.6525614261627197</v>
      </c>
      <c r="M109" s="1">
        <v>2.7366275787353516</v>
      </c>
      <c r="N109" s="1">
        <v>2.8166155815124512</v>
      </c>
      <c r="O109" s="1">
        <v>2.8953990936279297</v>
      </c>
      <c r="P109" s="1">
        <v>2.965754508972168</v>
      </c>
      <c r="Q109" s="1">
        <v>3.0301830768585205</v>
      </c>
      <c r="R109" s="1">
        <v>3.0889990329742432</v>
      </c>
      <c r="S109" s="1">
        <v>3.1427791118621826</v>
      </c>
      <c r="T109" s="1">
        <v>3.192209005355835</v>
      </c>
      <c r="U109" s="1">
        <v>3.2377059459686279</v>
      </c>
      <c r="V109" s="1">
        <v>3.2796406745910645</v>
      </c>
      <c r="W109" s="1">
        <v>3.318331241607666</v>
      </c>
      <c r="X109" s="1"/>
      <c r="Y109" s="1"/>
      <c r="Z109" s="1"/>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60"/>
    </row>
    <row r="110" spans="1:54" x14ac:dyDescent="0.2">
      <c r="B110" s="26" t="s">
        <v>185</v>
      </c>
      <c r="C110" s="34"/>
      <c r="D110" s="34"/>
      <c r="E110" s="34"/>
      <c r="F110" s="34"/>
      <c r="G110" s="34">
        <v>0</v>
      </c>
      <c r="H110" s="34">
        <v>0</v>
      </c>
      <c r="I110" s="34">
        <v>0</v>
      </c>
      <c r="J110" s="34">
        <v>0</v>
      </c>
      <c r="K110" s="34">
        <v>0</v>
      </c>
      <c r="L110" s="34">
        <v>0</v>
      </c>
      <c r="M110" s="34">
        <v>0</v>
      </c>
      <c r="N110" s="34">
        <v>0</v>
      </c>
      <c r="O110" s="34">
        <v>0</v>
      </c>
      <c r="P110" s="34">
        <v>0</v>
      </c>
      <c r="Q110" s="34">
        <v>0</v>
      </c>
      <c r="R110" s="34">
        <v>0</v>
      </c>
      <c r="S110" s="34">
        <v>0</v>
      </c>
      <c r="T110" s="34">
        <v>0</v>
      </c>
      <c r="U110" s="34">
        <v>0</v>
      </c>
      <c r="V110" s="34">
        <v>0</v>
      </c>
      <c r="W110" s="34">
        <v>0</v>
      </c>
    </row>
    <row r="114" spans="5:23" x14ac:dyDescent="0.2">
      <c r="E114" s="34"/>
      <c r="F114" s="34"/>
      <c r="G114" s="121"/>
      <c r="H114" s="121"/>
      <c r="I114" s="121"/>
      <c r="J114" s="121"/>
      <c r="K114" s="121"/>
      <c r="L114" s="121"/>
      <c r="M114" s="121"/>
      <c r="N114" s="121"/>
      <c r="O114" s="121"/>
      <c r="P114" s="121"/>
      <c r="Q114" s="121"/>
      <c r="R114" s="121"/>
      <c r="S114" s="121"/>
      <c r="T114" s="121"/>
      <c r="U114" s="121"/>
      <c r="V114" s="121"/>
      <c r="W114" s="121"/>
    </row>
    <row r="115" spans="5:23" x14ac:dyDescent="0.2">
      <c r="E115" s="34"/>
      <c r="F115" s="34"/>
      <c r="G115" s="121"/>
      <c r="H115" s="121"/>
      <c r="I115" s="121"/>
      <c r="J115" s="121"/>
      <c r="K115" s="121"/>
      <c r="L115" s="121"/>
      <c r="M115" s="121"/>
      <c r="N115" s="121"/>
      <c r="O115" s="121"/>
      <c r="P115" s="121"/>
      <c r="Q115" s="121"/>
      <c r="R115" s="121"/>
      <c r="S115" s="121"/>
      <c r="T115" s="121"/>
      <c r="U115" s="121"/>
      <c r="V115" s="121"/>
      <c r="W115" s="121"/>
    </row>
    <row r="117" spans="5:23" x14ac:dyDescent="0.2">
      <c r="E117" s="34"/>
      <c r="F117" s="34"/>
      <c r="G117" s="121"/>
      <c r="H117" s="121"/>
      <c r="I117" s="121"/>
      <c r="J117" s="121"/>
      <c r="K117" s="121"/>
      <c r="L117" s="121"/>
      <c r="M117" s="121"/>
      <c r="N117" s="121"/>
      <c r="O117" s="121"/>
      <c r="P117" s="121"/>
      <c r="Q117" s="121"/>
      <c r="R117" s="121"/>
      <c r="S117" s="121"/>
      <c r="T117" s="121"/>
      <c r="U117" s="121"/>
      <c r="V117" s="121"/>
      <c r="W117" s="121"/>
    </row>
    <row r="118" spans="5:23" x14ac:dyDescent="0.2">
      <c r="E118" s="34"/>
      <c r="F118" s="34"/>
      <c r="G118" s="121"/>
      <c r="H118" s="121"/>
      <c r="I118" s="121"/>
      <c r="J118" s="121"/>
      <c r="K118" s="121"/>
      <c r="L118" s="121"/>
      <c r="M118" s="121"/>
      <c r="N118" s="121"/>
      <c r="O118" s="121"/>
      <c r="P118" s="121"/>
      <c r="Q118" s="121"/>
      <c r="R118" s="121"/>
      <c r="S118" s="121"/>
      <c r="T118" s="121"/>
      <c r="U118" s="121"/>
      <c r="V118" s="121"/>
      <c r="W118" s="121"/>
    </row>
    <row r="119" spans="5:23" x14ac:dyDescent="0.2">
      <c r="G119" s="53"/>
      <c r="H119" s="53"/>
      <c r="I119" s="53"/>
      <c r="J119" s="53"/>
      <c r="K119" s="53"/>
      <c r="L119" s="53"/>
      <c r="M119" s="53"/>
      <c r="N119" s="53"/>
      <c r="O119" s="53"/>
      <c r="P119" s="53"/>
      <c r="Q119" s="53"/>
      <c r="R119" s="53"/>
      <c r="S119" s="53"/>
      <c r="T119" s="53"/>
      <c r="U119" s="53"/>
      <c r="V119" s="53"/>
      <c r="W119" s="53"/>
    </row>
    <row r="120" spans="5:23" x14ac:dyDescent="0.2">
      <c r="E120" s="34"/>
      <c r="F120" s="34"/>
      <c r="G120" s="121"/>
      <c r="H120" s="121"/>
      <c r="I120" s="121"/>
      <c r="J120" s="121"/>
      <c r="K120" s="121"/>
      <c r="L120" s="121"/>
      <c r="M120" s="121"/>
      <c r="N120" s="121"/>
      <c r="O120" s="121"/>
      <c r="P120" s="121"/>
      <c r="Q120" s="121"/>
      <c r="R120" s="121"/>
      <c r="S120" s="121"/>
      <c r="T120" s="121"/>
      <c r="U120" s="121"/>
      <c r="V120" s="121"/>
      <c r="W120" s="121"/>
    </row>
    <row r="121" spans="5:23" x14ac:dyDescent="0.2">
      <c r="E121" s="34"/>
      <c r="F121" s="34"/>
      <c r="G121" s="121"/>
      <c r="H121" s="121"/>
      <c r="I121" s="121"/>
      <c r="J121" s="121"/>
      <c r="K121" s="121"/>
      <c r="L121" s="121"/>
      <c r="M121" s="121"/>
      <c r="N121" s="121"/>
      <c r="O121" s="121"/>
      <c r="P121" s="121"/>
      <c r="Q121" s="121"/>
      <c r="R121" s="121"/>
      <c r="S121" s="121"/>
      <c r="T121" s="121"/>
      <c r="U121" s="121"/>
      <c r="V121" s="121"/>
      <c r="W121" s="121"/>
    </row>
    <row r="122" spans="5:23" x14ac:dyDescent="0.2">
      <c r="G122" s="53"/>
      <c r="H122" s="53"/>
      <c r="I122" s="53"/>
      <c r="J122" s="53"/>
      <c r="K122" s="53"/>
      <c r="L122" s="53"/>
      <c r="M122" s="53"/>
      <c r="N122" s="53"/>
      <c r="O122" s="53"/>
      <c r="P122" s="53"/>
      <c r="Q122" s="53"/>
      <c r="R122" s="53"/>
      <c r="S122" s="53"/>
      <c r="T122" s="53"/>
      <c r="U122" s="53"/>
      <c r="V122" s="53"/>
      <c r="W122" s="53"/>
    </row>
    <row r="123" spans="5:23" x14ac:dyDescent="0.2">
      <c r="E123" s="34"/>
      <c r="F123" s="34"/>
      <c r="G123" s="121"/>
      <c r="H123" s="121"/>
      <c r="I123" s="121"/>
      <c r="J123" s="121"/>
      <c r="K123" s="121"/>
      <c r="L123" s="121"/>
      <c r="M123" s="121"/>
      <c r="N123" s="121"/>
      <c r="O123" s="121"/>
      <c r="P123" s="121"/>
      <c r="Q123" s="121"/>
      <c r="R123" s="121"/>
      <c r="S123" s="121"/>
      <c r="T123" s="121"/>
      <c r="U123" s="121"/>
      <c r="V123" s="121"/>
      <c r="W123" s="121"/>
    </row>
    <row r="124" spans="5:23" x14ac:dyDescent="0.2">
      <c r="E124" s="34"/>
      <c r="F124" s="34"/>
      <c r="G124" s="121"/>
      <c r="H124" s="121"/>
      <c r="I124" s="121"/>
      <c r="J124" s="121"/>
      <c r="K124" s="121"/>
      <c r="L124" s="121"/>
      <c r="M124" s="121"/>
      <c r="N124" s="121"/>
      <c r="O124" s="121"/>
      <c r="P124" s="121"/>
      <c r="Q124" s="121"/>
      <c r="R124" s="121"/>
      <c r="S124" s="121"/>
      <c r="T124" s="121"/>
      <c r="U124" s="121"/>
      <c r="V124" s="121"/>
      <c r="W124" s="121"/>
    </row>
    <row r="125" spans="5:23" x14ac:dyDescent="0.2">
      <c r="G125" s="121"/>
      <c r="H125" s="121"/>
      <c r="I125" s="121"/>
      <c r="J125" s="121"/>
      <c r="K125" s="121"/>
      <c r="L125" s="121"/>
      <c r="M125" s="121"/>
      <c r="N125" s="121"/>
      <c r="O125" s="121"/>
      <c r="P125" s="121"/>
      <c r="Q125" s="121"/>
      <c r="R125" s="121"/>
      <c r="S125" s="121"/>
      <c r="T125" s="121"/>
      <c r="U125" s="121"/>
      <c r="V125" s="121"/>
      <c r="W125" s="121"/>
    </row>
    <row r="126" spans="5:23" x14ac:dyDescent="0.2">
      <c r="E126" s="34"/>
      <c r="F126" s="34"/>
      <c r="G126" s="121"/>
      <c r="H126" s="121"/>
      <c r="I126" s="121"/>
      <c r="J126" s="121"/>
      <c r="K126" s="121"/>
      <c r="L126" s="121"/>
      <c r="M126" s="121"/>
      <c r="N126" s="121"/>
      <c r="O126" s="121"/>
      <c r="P126" s="121"/>
      <c r="Q126" s="121"/>
      <c r="R126" s="121"/>
      <c r="S126" s="121"/>
      <c r="T126" s="121"/>
      <c r="U126" s="121"/>
      <c r="V126" s="121"/>
      <c r="W126" s="121"/>
    </row>
    <row r="127" spans="5:23" x14ac:dyDescent="0.2">
      <c r="E127" s="34"/>
      <c r="F127" s="34"/>
      <c r="G127" s="121"/>
      <c r="H127" s="121"/>
      <c r="I127" s="121"/>
      <c r="J127" s="121"/>
      <c r="K127" s="121"/>
      <c r="L127" s="121"/>
      <c r="M127" s="121"/>
      <c r="N127" s="121"/>
      <c r="O127" s="121"/>
      <c r="P127" s="121"/>
      <c r="Q127" s="121"/>
      <c r="R127" s="121"/>
      <c r="S127" s="121"/>
      <c r="T127" s="121"/>
      <c r="U127" s="121"/>
      <c r="V127" s="121"/>
      <c r="W127" s="121"/>
    </row>
    <row r="128" spans="5:23" x14ac:dyDescent="0.2">
      <c r="G128" s="121"/>
      <c r="H128" s="121"/>
      <c r="I128" s="121"/>
      <c r="J128" s="121"/>
      <c r="K128" s="121"/>
      <c r="L128" s="121"/>
      <c r="M128" s="121"/>
      <c r="N128" s="121"/>
      <c r="O128" s="121"/>
      <c r="P128" s="121"/>
      <c r="Q128" s="121"/>
      <c r="R128" s="121"/>
      <c r="S128" s="121"/>
      <c r="T128" s="121"/>
      <c r="U128" s="121"/>
      <c r="V128" s="121"/>
      <c r="W128" s="121"/>
    </row>
    <row r="129" spans="7:23" x14ac:dyDescent="0.2">
      <c r="G129" s="121"/>
      <c r="H129" s="121"/>
      <c r="I129" s="121"/>
      <c r="J129" s="121"/>
      <c r="K129" s="121"/>
      <c r="L129" s="121"/>
      <c r="M129" s="121"/>
      <c r="N129" s="121"/>
      <c r="O129" s="121"/>
      <c r="P129" s="121"/>
      <c r="Q129" s="121"/>
      <c r="R129" s="121"/>
      <c r="S129" s="121"/>
      <c r="T129" s="121"/>
      <c r="U129" s="121"/>
      <c r="V129" s="121"/>
      <c r="W129" s="121"/>
    </row>
  </sheetData>
  <conditionalFormatting sqref="U10:W43 U45:W52 U54:W76 U78:W99 U101:W130">
    <cfRule type="expression" dxfId="19" priority="1">
      <formula>U$10&gt;$C$7</formula>
    </cfRule>
  </conditionalFormatting>
  <conditionalFormatting sqref="G12:M12">
    <cfRule type="expression" dxfId="18" priority="60">
      <formula>AND(G10&gt;$C$5,G10&lt;=$C$6)</formula>
    </cfRule>
  </conditionalFormatting>
  <conditionalFormatting sqref="K12:N12">
    <cfRule type="expression" dxfId="17" priority="62">
      <formula>K10=$C$6+1</formula>
    </cfRule>
  </conditionalFormatting>
  <conditionalFormatting sqref="L12:O12">
    <cfRule type="expression" dxfId="16" priority="65">
      <formula>L10=$C$6+2</formula>
    </cfRule>
  </conditionalFormatting>
  <pageMargins left="0.7" right="0.7" top="0.75" bottom="0.75" header="0.3" footer="0.3"/>
  <pageSetup paperSize="9" orientation="portrait" r:id="rId1"/>
  <ignoredErrors>
    <ignoredError sqref="C5 C46:C47" unlockedFormula="1"/>
  </ignoredErrors>
  <extLst>
    <ext xmlns:x14="http://schemas.microsoft.com/office/spreadsheetml/2009/9/main" uri="{78C0D931-6437-407d-A8EE-F0AAD7539E65}">
      <x14:conditionalFormattings>
        <x14:conditionalFormatting xmlns:xm="http://schemas.microsoft.com/office/excel/2006/main">
          <x14:cfRule type="expression" priority="69" id="{D31BC8EE-7345-483F-A9F0-CB3AD006CBA1}">
            <xm:f>'Criteria results'!$F$5=7</xm:f>
            <x14:dxf>
              <border>
                <left style="thin">
                  <color auto="1"/>
                </left>
                <top style="thin">
                  <color auto="1"/>
                </top>
                <bottom style="thin">
                  <color auto="1"/>
                </bottom>
                <vertical/>
                <horizontal/>
              </border>
            </x14:dxf>
          </x14:cfRule>
          <xm:sqref>N12</xm:sqref>
        </x14:conditionalFormatting>
        <x14:conditionalFormatting xmlns:xm="http://schemas.microsoft.com/office/excel/2006/main">
          <x14:cfRule type="expression" priority="76" id="{B88CB253-25A7-48C5-B892-AF3EE434A6A9}">
            <xm:f>OR('Criteria results'!#REF!=7,'Criteria results'!#REF!=10)</xm:f>
            <x14:dxf>
              <font>
                <color theme="0"/>
              </font>
            </x14:dxf>
          </x14:cfRule>
          <xm:sqref>K75:M75</xm:sqref>
        </x14:conditionalFormatting>
        <x14:conditionalFormatting xmlns:xm="http://schemas.microsoft.com/office/excel/2006/main">
          <x14:cfRule type="expression" priority="77" id="{4D283B7C-3A09-4829-8C79-6D87AFE7DCC7}">
            <xm:f>'Criteria results'!#REF!=10</xm:f>
            <x14:dxf>
              <font>
                <color theme="0"/>
              </font>
            </x14:dxf>
          </x14:cfRule>
          <xm:sqref>N75:P75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tabColor rgb="FF92D050"/>
  </sheetPr>
  <dimension ref="A1:BB132"/>
  <sheetViews>
    <sheetView zoomScaleNormal="100" workbookViewId="0"/>
  </sheetViews>
  <sheetFormatPr defaultColWidth="9.28515625" defaultRowHeight="11.25" outlineLevelRow="1" x14ac:dyDescent="0.2"/>
  <cols>
    <col min="1" max="1" width="9.28515625" style="26" customWidth="1"/>
    <col min="2" max="2" width="56" style="26" customWidth="1"/>
    <col min="3" max="38" width="9.28515625" style="26" customWidth="1"/>
    <col min="39" max="48" width="11.42578125" style="26" bestFit="1" customWidth="1"/>
    <col min="49" max="16384" width="9.28515625" style="26"/>
  </cols>
  <sheetData>
    <row r="1" spans="1:51" ht="24.75" customHeight="1" x14ac:dyDescent="0.2">
      <c r="B1" s="39"/>
    </row>
    <row r="2" spans="1:51" ht="11.25" customHeight="1" x14ac:dyDescent="0.2">
      <c r="B2" s="27"/>
    </row>
    <row r="3" spans="1:51" ht="11.25" customHeight="1" x14ac:dyDescent="0.2">
      <c r="B3" s="19" t="s">
        <v>15</v>
      </c>
      <c r="C3" s="20" t="str">
        <f>'Input data'!C3</f>
        <v>FR</v>
      </c>
    </row>
    <row r="4" spans="1:51" x14ac:dyDescent="0.2">
      <c r="B4" s="64" t="s">
        <v>38</v>
      </c>
      <c r="C4" s="21"/>
    </row>
    <row r="5" spans="1:51" x14ac:dyDescent="0.2">
      <c r="A5" s="29"/>
      <c r="B5" s="22" t="str">
        <f>'Input data'!B5</f>
        <v>Last year before the adjustment</v>
      </c>
      <c r="C5" s="23">
        <f>+'Input data'!C5</f>
        <v>2024</v>
      </c>
    </row>
    <row r="6" spans="1:51" x14ac:dyDescent="0.2">
      <c r="A6" s="29"/>
      <c r="B6" s="65" t="s">
        <v>44</v>
      </c>
      <c r="C6" s="23">
        <f>+C5+'Criteria results'!F5</f>
        <v>2028</v>
      </c>
      <c r="E6" s="43"/>
      <c r="F6" s="29"/>
    </row>
    <row r="7" spans="1:51" x14ac:dyDescent="0.2">
      <c r="A7" s="29"/>
      <c r="B7" s="24" t="s">
        <v>39</v>
      </c>
      <c r="C7" s="66">
        <f>C5+'Criteria results'!F5+10</f>
        <v>2038</v>
      </c>
      <c r="E7" s="43"/>
      <c r="F7" s="29"/>
    </row>
    <row r="8" spans="1:51" x14ac:dyDescent="0.2">
      <c r="A8" s="29"/>
      <c r="C8" s="29"/>
      <c r="E8" s="43"/>
      <c r="F8" s="29"/>
    </row>
    <row r="9" spans="1:51" s="67" customFormat="1" ht="12.75" x14ac:dyDescent="0.2">
      <c r="B9" s="25" t="s">
        <v>45</v>
      </c>
    </row>
    <row r="10" spans="1:51"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1" x14ac:dyDescent="0.2">
      <c r="B11" s="28" t="s">
        <v>46</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row>
    <row r="12" spans="1:51" x14ac:dyDescent="0.2">
      <c r="B12" s="26" t="s">
        <v>48</v>
      </c>
      <c r="C12" s="1">
        <f>'Input data'!C13</f>
        <v>-4.5038349999999996</v>
      </c>
      <c r="D12" s="2">
        <f>'Input data'!D13</f>
        <v>-2.9834649999999998</v>
      </c>
      <c r="E12" s="2">
        <f>'Input data'!E13</f>
        <v>-3.6529590000000001</v>
      </c>
      <c r="F12" s="2">
        <f>'Input data'!F13</f>
        <v>-2.968391</v>
      </c>
      <c r="G12" s="3">
        <f>'Adjust. no safeguard'!G12</f>
        <v>-2.0283910000000001</v>
      </c>
      <c r="H12" s="3">
        <f>'Adjust. no safeguard'!H12</f>
        <v>-1.0883910000000001</v>
      </c>
      <c r="I12" s="3">
        <f>'Adjust. no safeguard'!I12</f>
        <v>-0.14839100000000016</v>
      </c>
      <c r="J12" s="3">
        <f>'Adjust. no safeguard'!J12</f>
        <v>0.79160899999999979</v>
      </c>
      <c r="K12" s="119">
        <f>'Adjust. no safeguard'!K12</f>
        <v>0.79160899999999979</v>
      </c>
      <c r="L12" s="119">
        <f>'Adjust. no safeguard'!L12</f>
        <v>0.79160899999999979</v>
      </c>
      <c r="M12" s="119">
        <f>'Adjust. no safeguard'!M12</f>
        <v>0.79160899999999979</v>
      </c>
      <c r="N12" s="119">
        <f>IF(N10&lt;=$C$6,M12+'Criteria results'!$F$6,M12)</f>
        <v>0.79160899999999979</v>
      </c>
      <c r="O12" s="119">
        <f>IF(O10&lt;=$C$6,N12+'Criteria results'!$F$6,N12)</f>
        <v>0.79160899999999979</v>
      </c>
      <c r="P12" s="119">
        <f>IF(P10&lt;=$C$6,O12+'Criteria results'!$F$6,O12)</f>
        <v>0.79160899999999979</v>
      </c>
      <c r="Q12" s="119">
        <f>IF(Q10&lt;=$C$6,P12+'Criteria results'!$F$6,P12)</f>
        <v>0.79160899999999979</v>
      </c>
      <c r="R12" s="119">
        <f>IF(R10&lt;=$C$6,Q12+'Criteria results'!$F$6,Q12)</f>
        <v>0.79160899999999979</v>
      </c>
      <c r="S12" s="119">
        <f>IF(S10&lt;=$C$6,R12+'Criteria results'!$F$6,R12)</f>
        <v>0.79160899999999979</v>
      </c>
      <c r="T12" s="119">
        <f>IF(T10&lt;=$C$6,S12+'Criteria results'!$F$6,S12)</f>
        <v>0.79160899999999979</v>
      </c>
      <c r="U12" s="119">
        <f>IF(U10&lt;=$C$6,T12+'Criteria results'!$F$6,T12)</f>
        <v>0.79160899999999979</v>
      </c>
      <c r="V12" s="119">
        <f>IF(V10&lt;=$C$6,U12+'Criteria results'!$F$6,U12)</f>
        <v>0.79160899999999979</v>
      </c>
      <c r="W12" s="119">
        <f>IF(W10&lt;=$C$6,V12+'Criteria results'!$F$6,V12)</f>
        <v>0.79160899999999979</v>
      </c>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60"/>
    </row>
    <row r="13" spans="1:51" x14ac:dyDescent="0.2">
      <c r="B13" s="26" t="s">
        <v>49</v>
      </c>
      <c r="C13" s="1">
        <f>'Input data'!C14</f>
        <v>-8.3968899999999999E-2</v>
      </c>
      <c r="D13" s="2">
        <f>'Input data'!D14</f>
        <v>-7.1994500000000003E-2</v>
      </c>
      <c r="E13" s="2">
        <f>'Input data'!E14</f>
        <v>-6.4214599999999997E-2</v>
      </c>
      <c r="F13" s="2">
        <f>'Input data'!F14</f>
        <v>-3.4462800000000002E-2</v>
      </c>
      <c r="G13" s="2">
        <f>'Input data'!G14</f>
        <v>-3.00179E-2</v>
      </c>
      <c r="H13" s="2">
        <f>0</f>
        <v>0</v>
      </c>
      <c r="I13" s="2">
        <f>0</f>
        <v>0</v>
      </c>
      <c r="J13" s="2">
        <f>0</f>
        <v>0</v>
      </c>
      <c r="K13" s="2">
        <f>0</f>
        <v>0</v>
      </c>
      <c r="L13" s="2">
        <f>0</f>
        <v>0</v>
      </c>
      <c r="M13" s="2">
        <f>0</f>
        <v>0</v>
      </c>
      <c r="N13" s="2">
        <f>0</f>
        <v>0</v>
      </c>
      <c r="O13" s="2">
        <f>0</f>
        <v>0</v>
      </c>
      <c r="P13" s="2">
        <f>0</f>
        <v>0</v>
      </c>
      <c r="Q13" s="2">
        <f>0</f>
        <v>0</v>
      </c>
      <c r="R13" s="2">
        <f>0</f>
        <v>0</v>
      </c>
      <c r="S13" s="2">
        <f>0</f>
        <v>0</v>
      </c>
      <c r="T13" s="2">
        <f>0</f>
        <v>0</v>
      </c>
      <c r="U13" s="2">
        <f>0</f>
        <v>0</v>
      </c>
      <c r="V13" s="2">
        <f>0</f>
        <v>0</v>
      </c>
      <c r="W13" s="2">
        <f>0</f>
        <v>0</v>
      </c>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60"/>
    </row>
    <row r="14" spans="1:51" x14ac:dyDescent="0.2">
      <c r="B14" s="26" t="s">
        <v>87</v>
      </c>
      <c r="C14" s="1">
        <f>'Input data'!C15</f>
        <v>-2.11246E-2</v>
      </c>
      <c r="D14" s="2">
        <f>'Input data'!D15</f>
        <v>4.2606100000000001E-2</v>
      </c>
      <c r="E14" s="2">
        <f>'Input data'!E15</f>
        <v>-0.21881729999999999</v>
      </c>
      <c r="F14" s="2">
        <f>'Input data'!F15</f>
        <v>0.21081169999999999</v>
      </c>
      <c r="G14" s="2">
        <f>'Input data'!G15</f>
        <v>3.1292399999999998E-2</v>
      </c>
      <c r="H14" s="2">
        <f>'Input data'!H15</f>
        <v>0</v>
      </c>
      <c r="I14" s="2">
        <f>'Input data'!I15</f>
        <v>0</v>
      </c>
      <c r="J14" s="2">
        <f>'Input data'!J15</f>
        <v>0</v>
      </c>
      <c r="K14" s="2">
        <f>'Input data'!K15</f>
        <v>0</v>
      </c>
      <c r="L14" s="2">
        <f>'Input data'!L15</f>
        <v>0</v>
      </c>
      <c r="M14" s="2">
        <f>'Input data'!M15</f>
        <v>0</v>
      </c>
      <c r="N14" s="2">
        <f>'Input data'!N15</f>
        <v>0</v>
      </c>
      <c r="O14" s="2">
        <f>'Input data'!O15</f>
        <v>0</v>
      </c>
      <c r="P14" s="2">
        <f>'Input data'!P15</f>
        <v>0</v>
      </c>
      <c r="Q14" s="2">
        <f>'Input data'!Q15</f>
        <v>0</v>
      </c>
      <c r="R14" s="2">
        <f>'Input data'!R15</f>
        <v>0</v>
      </c>
      <c r="S14" s="2">
        <f>'Input data'!S15</f>
        <v>0</v>
      </c>
      <c r="T14" s="2">
        <f>'Input data'!T15</f>
        <v>0</v>
      </c>
      <c r="U14" s="2">
        <f>'Input data'!U15</f>
        <v>0</v>
      </c>
      <c r="V14" s="2">
        <f>'Input data'!V15</f>
        <v>0</v>
      </c>
      <c r="W14" s="2">
        <f>'Input data'!W15</f>
        <v>0</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60"/>
    </row>
    <row r="15" spans="1:51" ht="5.65" customHeight="1" x14ac:dyDescent="0.2">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spans="1:51" ht="11.25" customHeight="1" x14ac:dyDescent="0.2">
      <c r="B16" s="30" t="str">
        <f>'Input data'!B19</f>
        <v>Cost of ageing and selected public revenue (based on the Commission-Council 2024 Ageing Report ("AR 2024"))</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4" x14ac:dyDescent="0.2">
      <c r="A17" s="61"/>
      <c r="B17" s="26" t="s">
        <v>52</v>
      </c>
      <c r="C17" s="101">
        <f>'Input data'!C20</f>
        <v>0</v>
      </c>
      <c r="D17" s="101">
        <f>'Input data'!D20</f>
        <v>28.278850000000006</v>
      </c>
      <c r="E17" s="101">
        <f>'Input data'!E20</f>
        <v>27.552319999999998</v>
      </c>
      <c r="F17" s="101">
        <f>'Input data'!F20</f>
        <v>27.639749999999999</v>
      </c>
      <c r="G17" s="101">
        <f>'Input data'!G20</f>
        <v>27.581780000000002</v>
      </c>
      <c r="H17" s="101">
        <f>'Input data'!H20</f>
        <v>27.593040000000002</v>
      </c>
      <c r="I17" s="101">
        <f>'Input data'!I20</f>
        <v>27.652179999999998</v>
      </c>
      <c r="J17" s="101">
        <f>'Input data'!J20</f>
        <v>27.664160000000003</v>
      </c>
      <c r="K17" s="101">
        <f>'Input data'!K20</f>
        <v>27.636579999999999</v>
      </c>
      <c r="L17" s="101">
        <f>'Input data'!L20</f>
        <v>27.621679999999998</v>
      </c>
      <c r="M17" s="101">
        <f>'Input data'!M20</f>
        <v>27.607300000000002</v>
      </c>
      <c r="N17" s="101">
        <f>'Input data'!N20</f>
        <v>27.60905</v>
      </c>
      <c r="O17" s="101">
        <f>'Input data'!O20</f>
        <v>27.644740000000002</v>
      </c>
      <c r="P17" s="101">
        <f>'Input data'!P20</f>
        <v>27.691210000000002</v>
      </c>
      <c r="Q17" s="101">
        <f>'Input data'!Q20</f>
        <v>27.686630000000005</v>
      </c>
      <c r="R17" s="101">
        <f>'Input data'!R20</f>
        <v>27.686070000000001</v>
      </c>
      <c r="S17" s="101">
        <f>'Input data'!S20</f>
        <v>27.688879999999997</v>
      </c>
      <c r="T17" s="101">
        <f>'Input data'!T20</f>
        <v>27.691020000000002</v>
      </c>
      <c r="U17" s="101">
        <f>'Input data'!U20</f>
        <v>27.68871</v>
      </c>
      <c r="V17" s="101">
        <f>'Input data'!V20</f>
        <v>27.674209999999999</v>
      </c>
      <c r="W17" s="101">
        <f>'Input data'!W20</f>
        <v>27.712189999999996</v>
      </c>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4" x14ac:dyDescent="0.2">
      <c r="A18" s="61"/>
      <c r="B18" s="26" t="s">
        <v>58</v>
      </c>
      <c r="C18" s="101">
        <f>'Input data'!C26</f>
        <v>0.45969460000000001</v>
      </c>
      <c r="D18" s="101">
        <f>'Input data'!D26</f>
        <v>0.51588199999999995</v>
      </c>
      <c r="E18" s="101">
        <f>'Input data'!E26</f>
        <v>0.5155149</v>
      </c>
      <c r="F18" s="101">
        <f>'Input data'!F26</f>
        <v>0.51514769999999999</v>
      </c>
      <c r="G18" s="101">
        <f>'Input data'!G26</f>
        <v>0.51478060000000003</v>
      </c>
      <c r="H18" s="101">
        <f>'Input data'!H26</f>
        <v>0.51441349999999997</v>
      </c>
      <c r="I18" s="101">
        <f>'Input data'!I26</f>
        <v>0.51404640000000001</v>
      </c>
      <c r="J18" s="101">
        <f>'Input data'!J26</f>
        <v>0.51367929999999995</v>
      </c>
      <c r="K18" s="101">
        <f>'Input data'!K26</f>
        <v>0.5133122</v>
      </c>
      <c r="L18" s="101">
        <f>'Input data'!L26</f>
        <v>0.51294510000000004</v>
      </c>
      <c r="M18" s="101">
        <f>'Input data'!M26</f>
        <v>0.51257799999999998</v>
      </c>
      <c r="N18" s="101">
        <f>'Input data'!N26</f>
        <v>0.51221099999999997</v>
      </c>
      <c r="O18" s="101">
        <f>'Input data'!O26</f>
        <v>0.51184390000000002</v>
      </c>
      <c r="P18" s="101">
        <f>'Input data'!P26</f>
        <v>0.51147679999999995</v>
      </c>
      <c r="Q18" s="101">
        <f>'Input data'!Q26</f>
        <v>0.5111097</v>
      </c>
      <c r="R18" s="101">
        <f>'Input data'!R26</f>
        <v>0.51074269999999999</v>
      </c>
      <c r="S18" s="101">
        <f>'Input data'!S26</f>
        <v>0.51037560000000004</v>
      </c>
      <c r="T18" s="101">
        <f>'Input data'!T26</f>
        <v>0.51000849999999998</v>
      </c>
      <c r="U18" s="101">
        <f>'Input data'!U26</f>
        <v>0.50964140000000002</v>
      </c>
      <c r="V18" s="101">
        <f>'Input data'!V26</f>
        <v>0.50927440000000002</v>
      </c>
      <c r="W18" s="101">
        <f>'Input data'!W26</f>
        <v>0.50890729999999995</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spans="1:54" x14ac:dyDescent="0.2">
      <c r="K19" s="38"/>
      <c r="L19" s="38"/>
      <c r="M19" s="38"/>
    </row>
    <row r="20" spans="1:54" x14ac:dyDescent="0.2">
      <c r="B20" s="28" t="s">
        <v>88</v>
      </c>
      <c r="K20" s="38"/>
      <c r="L20" s="38"/>
      <c r="M20" s="38"/>
    </row>
    <row r="21" spans="1:54" ht="10.5" customHeight="1" x14ac:dyDescent="0.2">
      <c r="B21" s="30" t="s">
        <v>89</v>
      </c>
    </row>
    <row r="22" spans="1:54" x14ac:dyDescent="0.2">
      <c r="B22" s="26" t="s">
        <v>61</v>
      </c>
      <c r="C22" s="34">
        <f>'Input data'!C31</f>
        <v>2321.011</v>
      </c>
      <c r="D22" s="100">
        <f>IF(AND(D50&gt;1,C50&gt;1),IF(AND(D50&gt;0,C50&gt;0),D27*(D51/100+1),0)+IF(D50&gt;0,C22*(1+D52/100),0)-C22*(1+'Input data'!D30/100),IF(D50=1,D27,C22*(1+D52/100)))</f>
        <v>2377.9862032033798</v>
      </c>
      <c r="E22" s="100">
        <f>IF(AND(E50&gt;1,D50&gt;1),IF(AND(E50&gt;0,D50&gt;0),E27*(E51/100+1),0)+IF(E50&gt;0,D22*(1+E52/100),0)-D22*(1+'Input data'!E30/100),IF(E50=1,E27,D22*(1+E52/100)))</f>
        <v>2394.7205296647835</v>
      </c>
      <c r="F22" s="100">
        <f>IF(AND(F50&gt;1,E50&gt;1),IF(AND(F50&gt;0,E50&gt;0),F27*(F51/100+1),0)+IF(F50&gt;0,E22*(1+F52/100),0)-E22*(1+'Input data'!F30/100),IF(F50=1,F27,E22*(1+F52/100)))</f>
        <v>2412.1658388302208</v>
      </c>
      <c r="G22" s="34">
        <f>IF(AND(G50&gt;1,F50&gt;1),IF(AND(G50&gt;0,F50&gt;0),G27*(G51/100+1),0)+IF(G50&gt;0,F22*(1+G52/100),0)-F22*(1+'Input data'!G30/100),IF(G50=1,G27,F22*(1+G52/100)))</f>
        <v>2433.6317508732877</v>
      </c>
      <c r="H22" s="34">
        <f>IF(AND(H50&gt;1,G50&gt;1),IF(AND(H50&gt;0,G50&gt;0),H27*(H51/100+1),0)+IF(H50&gt;0,G22*(1+H52/100),0)-G22*(1+'Input data'!H30/100),IF(H50=1,H27,G22*(1+H52/100)))</f>
        <v>2436.2397334613038</v>
      </c>
      <c r="I22" s="34">
        <f>IF(AND(I50&gt;1,H50&gt;1),IF(AND(I50&gt;0,H50&gt;0),I27*(I51/100+1),0)+IF(I50&gt;0,H22*(1+I52/100),0)-H22*(1+'Input data'!I30/100),IF(I50=1,I27,H22*(1+I52/100)))</f>
        <v>2438.584200582186</v>
      </c>
      <c r="J22" s="34">
        <f>IF(AND(J50&gt;1,I50&gt;1),IF(AND(J50&gt;0,I50&gt;0),J27*(J51/100+1),0)+IF(J50&gt;0,I22*(1+J52/100),0)-I22*(1+'Input data'!J30/100),IF(J50=1,J27,I22*(1+J52/100)))</f>
        <v>2441.3585428493939</v>
      </c>
      <c r="K22" s="4">
        <f>IF(AND(K50&gt;1,J50&gt;1),IF(AND(K50&gt;0,J50&gt;0),K27*(K51/100+1),0)+IF(K50&gt;0,J22*(1+K52/100),0)-J22*(1+'Adverse (r-g)'!K24/100),IF(K50=1,K27,J22*(1+K52/100)))</f>
        <v>2450.9362775039317</v>
      </c>
      <c r="L22" s="4">
        <f>IF(AND(L50&gt;1,K50&gt;1),IF(AND(L50&gt;0,K50&gt;0),L27*(L51/100+1),0)+IF(L50&gt;0,K22*(1+L52/100),0)-K22*(1+'Adverse (r-g)'!L24/100),IF(L50=1,L27,K22*(1+L52/100)))</f>
        <v>2460.6923711792142</v>
      </c>
      <c r="M22" s="4">
        <f>IF(AND(M50&gt;1,L50&gt;1),IF(AND(M50&gt;0,L50&gt;0),M27*(M51/100+1),0)+IF(M50&gt;0,L22*(1+M52/100),0)-L22*(1+'Adverse (r-g)'!M24/100),IF(M50=1,M27,L22*(1+M52/100)))</f>
        <v>2470.9737089319028</v>
      </c>
      <c r="N22" s="4">
        <f>IF(AND(N50&gt;1,M50&gt;1),IF(AND(N50&gt;0,M50&gt;0),N27*(N51/100+1),0)+IF(N50&gt;0,M22*(1+N52/100),0)-M22*(1+'Adverse (r-g)'!N24/100),IF(N50=1,N27,M22*(1+N52/100)))</f>
        <v>2468.5732938772294</v>
      </c>
      <c r="O22" s="4">
        <f>IF(AND(O50&gt;1,N50&gt;1),IF(AND(O50&gt;0,N50&gt;0),O27*(O51/100+1),0)+IF(O50&gt;0,N22*(1+O52/100),0)-N22*(1+'Adverse (r-g)'!O24/100),IF(O50=1,O27,N22*(1+O52/100)))</f>
        <v>2465.7370932427079</v>
      </c>
      <c r="P22" s="4">
        <f>IF(AND(P50&gt;1,O50&gt;1),IF(AND(P50&gt;0,O50&gt;0),P27*(P51/100+1),0)+IF(P50&gt;0,O22*(1+P52/100),0)-O22*(1+'Adverse (r-g)'!P24/100),IF(P50=1,P27,O22*(1+P52/100)))</f>
        <v>2467.4560547341539</v>
      </c>
      <c r="Q22" s="4">
        <f>IF(AND(Q50&gt;1,P50&gt;1),IF(AND(Q50&gt;0,P50&gt;0),Q27*(Q51/100+1),0)+IF(Q50&gt;0,P22*(1+Q52/100),0)-P22*(1+'Adverse (r-g)'!Q24/100),IF(Q50=1,Q27,P22*(1+Q52/100)))</f>
        <v>2473.7312865050976</v>
      </c>
      <c r="R22" s="4">
        <f>IF(AND(R50&gt;1,Q50&gt;1),IF(AND(R50&gt;0,Q50&gt;0),R27*(R51/100+1),0)+IF(R50&gt;0,Q22*(1+R52/100),0)-Q22*(1+'Adverse (r-g)'!R24/100),IF(R50=1,R27,Q22*(1+R52/100)))</f>
        <v>2484.5890249737949</v>
      </c>
      <c r="S22" s="4">
        <f>IF(AND(S50&gt;1,R50&gt;1),IF(AND(S50&gt;0,R50&gt;0),S27*(S51/100+1),0)+IF(S50&gt;0,R22*(1+S52/100),0)-R22*(1+'Adverse (r-g)'!S24/100),IF(S50=1,S27,R22*(1+S52/100)))</f>
        <v>2498.0582802288609</v>
      </c>
      <c r="T22" s="4">
        <f>IF(AND(T50&gt;1,S50&gt;1),IF(AND(T50&gt;0,S50&gt;0),T27*(T51/100+1),0)+IF(T50&gt;0,S22*(1+T52/100),0)-S22*(1+'Adverse (r-g)'!T24/100),IF(T50=1,T27,S22*(1+T52/100)))</f>
        <v>2514.9301658535264</v>
      </c>
      <c r="U22" s="4">
        <f>IF(AND(U50&gt;1,T50&gt;1),IF(AND(U50&gt;0,T50&gt;0),U27*(U51/100+1),0)+IF(U50&gt;0,T22*(1+U52/100),0)-T22*(1+'Adverse (r-g)'!U24/100),IF(U50=1,U27,T22*(1+U52/100)))</f>
        <v>2535.7789117791503</v>
      </c>
      <c r="V22" s="4">
        <f>IF(AND(V50&gt;1,U50&gt;1),IF(AND(V50&gt;0,U50&gt;0),V27*(V51/100+1),0)+IF(V50&gt;0,U22*(1+V52/100),0)-U22*(1+'Adverse (r-g)'!V24/100),IF(V50=1,V27,U22*(1+V52/100)))</f>
        <v>2561.4214435109452</v>
      </c>
      <c r="W22" s="4">
        <f>IF(AND(W50&gt;1,V50&gt;1),IF(AND(W50&gt;0,V50&gt;0),W27*(W51/100+1),0)+IF(W50&gt;0,V22*(1+W52/100),0)-V22*(1+'Adverse (r-g)'!W24/100),IF(W50=1,W27,V22*(1+W52/100)))</f>
        <v>2588.0878642608341</v>
      </c>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row>
    <row r="23" spans="1:54" x14ac:dyDescent="0.2">
      <c r="A23" s="61"/>
      <c r="B23" s="62" t="s">
        <v>145</v>
      </c>
      <c r="C23" s="34">
        <f>+'Input data'!C30</f>
        <v>6.4352099999999997</v>
      </c>
      <c r="D23" s="100">
        <f>100*(D22/C22-1)</f>
        <v>2.4547579999999902</v>
      </c>
      <c r="E23" s="100">
        <f t="shared" ref="E23:T23" si="0">100*(E22/D22-1)</f>
        <v>0.70371840000000851</v>
      </c>
      <c r="F23" s="100">
        <f t="shared" si="0"/>
        <v>0.72849040000000365</v>
      </c>
      <c r="G23" s="34">
        <f t="shared" si="0"/>
        <v>0.88990200000000907</v>
      </c>
      <c r="H23" s="34">
        <f t="shared" si="0"/>
        <v>0.10716422429482009</v>
      </c>
      <c r="I23" s="34">
        <f t="shared" si="0"/>
        <v>9.6233022090608245E-2</v>
      </c>
      <c r="J23" s="34">
        <f t="shared" si="0"/>
        <v>0.1137685656515508</v>
      </c>
      <c r="K23" s="4">
        <f>100*(K22/J22-1)</f>
        <v>0.39231167755306995</v>
      </c>
      <c r="L23" s="4">
        <f>100*(L22/K22-1)</f>
        <v>0.39805578646940898</v>
      </c>
      <c r="M23" s="4">
        <f t="shared" si="0"/>
        <v>0.41782296206989145</v>
      </c>
      <c r="N23" s="4">
        <f t="shared" si="0"/>
        <v>-9.7144500000001521E-2</v>
      </c>
      <c r="O23" s="4">
        <f t="shared" si="0"/>
        <v>-0.11489230000000239</v>
      </c>
      <c r="P23" s="4">
        <f t="shared" si="0"/>
        <v>6.9713899999990225E-2</v>
      </c>
      <c r="Q23" s="4">
        <f t="shared" si="0"/>
        <v>0.2543198999999996</v>
      </c>
      <c r="R23" s="4">
        <f t="shared" si="0"/>
        <v>0.43892150000000019</v>
      </c>
      <c r="S23" s="4">
        <f t="shared" si="0"/>
        <v>0.5421120000000057</v>
      </c>
      <c r="T23" s="4">
        <f t="shared" si="0"/>
        <v>0.67539999999999267</v>
      </c>
      <c r="U23" s="4">
        <f t="shared" ref="U23" si="1">100*(U22/T22-1)</f>
        <v>0.82899899999999693</v>
      </c>
      <c r="V23" s="4">
        <f t="shared" ref="V23" si="2">100*(V22/U22-1)</f>
        <v>1.0112289999999913</v>
      </c>
      <c r="W23" s="4">
        <f t="shared" ref="W23" si="3">100*(W22/V22-1)</f>
        <v>1.0410789999999892</v>
      </c>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spans="1:54" s="5" customFormat="1" ht="10.15" customHeight="1" x14ac:dyDescent="0.2">
      <c r="B24" s="32" t="s">
        <v>146</v>
      </c>
      <c r="C24" s="34"/>
      <c r="D24" s="34"/>
      <c r="E24" s="34"/>
      <c r="F24" s="34"/>
      <c r="G24" s="34"/>
      <c r="H24" s="34"/>
      <c r="I24" s="34"/>
      <c r="J24" s="34"/>
      <c r="K24" s="4">
        <f>IF('Criteria results'!$F$5=4,'Input data'!K30-0.5,'Input data'!K30)</f>
        <v>-0.15811760000000002</v>
      </c>
      <c r="L24" s="4">
        <f>IF('Criteria results'!$F$5=4,'Input data'!L30-0.5,'Input data'!L30)</f>
        <v>-0.14940009999999998</v>
      </c>
      <c r="M24" s="4">
        <f>IF('Criteria results'!$F$5=4,'Input data'!M30-0.5,'Input data'!M30)</f>
        <v>-0.12677709999999998</v>
      </c>
      <c r="N24" s="4">
        <f>'Input data'!N30-0.5</f>
        <v>-9.7144500000000022E-2</v>
      </c>
      <c r="O24" s="4">
        <f>'Input data'!O30-0.5</f>
        <v>-0.1148923</v>
      </c>
      <c r="P24" s="4">
        <f>'Input data'!P30-0.5</f>
        <v>6.9713899999999995E-2</v>
      </c>
      <c r="Q24" s="4">
        <f>'Input data'!Q30-0.5</f>
        <v>0.25431990000000004</v>
      </c>
      <c r="R24" s="4">
        <f>'Input data'!R30-0.5</f>
        <v>0.43892149999999996</v>
      </c>
      <c r="S24" s="4">
        <f>'Input data'!S30-0.5</f>
        <v>0.54211199999999993</v>
      </c>
      <c r="T24" s="4">
        <f>'Input data'!T30-0.5</f>
        <v>0.6754</v>
      </c>
      <c r="U24" s="4">
        <f>'Input data'!U30-0.5</f>
        <v>0.82899900000000004</v>
      </c>
      <c r="V24" s="4">
        <f>'Input data'!V30-0.5</f>
        <v>1.0112289999999999</v>
      </c>
      <c r="W24" s="4">
        <f>'Input data'!W30-0.5</f>
        <v>1.0410790000000001</v>
      </c>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row>
    <row r="25" spans="1:54" s="5" customFormat="1" ht="10.15" customHeight="1" x14ac:dyDescent="0.2">
      <c r="B25" s="32"/>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row>
    <row r="26" spans="1:54" x14ac:dyDescent="0.2">
      <c r="B26" s="30" t="s">
        <v>147</v>
      </c>
    </row>
    <row r="27" spans="1:54" x14ac:dyDescent="0.2">
      <c r="B27" s="26" t="s">
        <v>61</v>
      </c>
      <c r="C27" s="34">
        <f>'Input data'!C34</f>
        <v>2344.1460000000002</v>
      </c>
      <c r="D27" s="100">
        <f>+C27*(1+'Input data'!D33/100)</f>
        <v>2369.7540134990404</v>
      </c>
      <c r="E27" s="100">
        <f>+D27*(1+'Input data'!E33/100)</f>
        <v>2396.6660775582618</v>
      </c>
      <c r="F27" s="100">
        <f>+E27*(1+'Input data'!F33/100)</f>
        <v>2422.7374665164953</v>
      </c>
      <c r="G27" s="34">
        <f>+F27*(1+'Input data'!G33/100)</f>
        <v>2446.9776816902327</v>
      </c>
      <c r="H27" s="34">
        <f>+G27*(1+'Input data'!H33/100)</f>
        <v>2462.3500188137496</v>
      </c>
      <c r="I27" s="34">
        <f>+H27*(1+'Input data'!I33/100)</f>
        <v>2473.2435562533324</v>
      </c>
      <c r="J27" s="34">
        <f>+I27*(1+'Input data'!J33/100)</f>
        <v>2481.7361404048984</v>
      </c>
      <c r="K27" s="4">
        <f>IF('Criteria results'!$F$5=4,J27*(1+'Input data'!K33/100-0.005),J27*(1+'Input data'!K33/100))</f>
        <v>2477.8121135256633</v>
      </c>
      <c r="L27" s="4">
        <f>IF('Criteria results'!$F$5=4,K27*(1+'Input data'!L33/100-0.005),K27*(1+'Input data'!L33/100))</f>
        <v>2474.1102126718133</v>
      </c>
      <c r="M27" s="4">
        <f>IF('Criteria results'!$F$5=4,L27*(1+'Input data'!M33/100-0.005),L27*(1+'Input data'!M33/100))</f>
        <v>2470.9737089319028</v>
      </c>
      <c r="N27" s="4">
        <f>+M27*(1+'Input data'!N33/100-0.005)</f>
        <v>2468.573175270491</v>
      </c>
      <c r="O27" s="4">
        <f>+N27*(1+'Input data'!O33/100-0.005)</f>
        <v>2465.7369081207639</v>
      </c>
      <c r="P27" s="4">
        <f>+O27*(1+'Input data'!P33/100-0.005)</f>
        <v>2467.4557757851521</v>
      </c>
      <c r="Q27" s="4">
        <f>+P27*(1+'Input data'!Q33/100-0.005)</f>
        <v>2473.7308958111635</v>
      </c>
      <c r="R27" s="4">
        <f>+Q27*(1+'Input data'!R33/100-0.005)</f>
        <v>2484.5886103014436</v>
      </c>
      <c r="S27" s="4">
        <f>+R27*(1+'Input data'!S33/100-0.005)</f>
        <v>2498.0578136167492</v>
      </c>
      <c r="T27" s="4">
        <f>+S27*(1+'Input data'!T33/100-0.005)</f>
        <v>2514.9297960122294</v>
      </c>
      <c r="U27" s="4">
        <f>+T27*(1+'Input data'!U33/100-0.005)</f>
        <v>2535.7785891704689</v>
      </c>
      <c r="V27" s="4">
        <f>+U27*(1+'Input data'!V33/100-0.005)</f>
        <v>2561.4212190710955</v>
      </c>
      <c r="W27" s="4">
        <f>+V27*(1+'Input data'!W33/100-0.005)</f>
        <v>2588.0875350275401</v>
      </c>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row>
    <row r="28" spans="1:54" ht="5.25" customHeight="1" x14ac:dyDescent="0.2">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row>
    <row r="29" spans="1:54" x14ac:dyDescent="0.2">
      <c r="B29" s="30" t="s">
        <v>91</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row>
    <row r="30" spans="1:54" x14ac:dyDescent="0.2">
      <c r="B30" s="26" t="s">
        <v>91</v>
      </c>
      <c r="C30" s="34">
        <f t="shared" ref="C30:W30" si="4">100*(C22/C27-1)</f>
        <v>-0.98692658221800622</v>
      </c>
      <c r="D30" s="100">
        <f t="shared" si="4"/>
        <v>0.34738583234570353</v>
      </c>
      <c r="E30" s="100">
        <f t="shared" si="4"/>
        <v>-8.1177261684295399E-2</v>
      </c>
      <c r="F30" s="100">
        <f t="shared" si="4"/>
        <v>-0.43635052631083582</v>
      </c>
      <c r="G30" s="34">
        <f t="shared" si="4"/>
        <v>-0.54540468091749394</v>
      </c>
      <c r="H30" s="34">
        <f t="shared" si="4"/>
        <v>-1.0603807400632936</v>
      </c>
      <c r="I30" s="34">
        <f t="shared" si="4"/>
        <v>-1.4013725248980813</v>
      </c>
      <c r="J30" s="34">
        <f t="shared" si="4"/>
        <v>-1.6269899486138328</v>
      </c>
      <c r="K30" s="34">
        <f t="shared" si="4"/>
        <v>-1.0846599657425293</v>
      </c>
      <c r="L30" s="34">
        <f t="shared" si="4"/>
        <v>-0.54232998287125911</v>
      </c>
      <c r="M30" s="34">
        <f t="shared" si="4"/>
        <v>0</v>
      </c>
      <c r="N30" s="34">
        <f t="shared" si="4"/>
        <v>4.8046677081359235E-6</v>
      </c>
      <c r="O30" s="34">
        <f t="shared" si="4"/>
        <v>7.5077735806061696E-6</v>
      </c>
      <c r="P30" s="34">
        <f t="shared" si="4"/>
        <v>1.1305126701444124E-5</v>
      </c>
      <c r="Q30" s="34">
        <f t="shared" si="4"/>
        <v>1.5793712027090123E-5</v>
      </c>
      <c r="R30" s="34">
        <f t="shared" si="4"/>
        <v>1.6689779136491723E-5</v>
      </c>
      <c r="S30" s="34">
        <f t="shared" si="4"/>
        <v>1.867899570573428E-5</v>
      </c>
      <c r="T30" s="34">
        <f t="shared" si="4"/>
        <v>1.4705829864958275E-5</v>
      </c>
      <c r="U30" s="34">
        <f t="shared" si="4"/>
        <v>1.2722273257104177E-5</v>
      </c>
      <c r="V30" s="34">
        <f t="shared" si="4"/>
        <v>8.7623171163286884E-6</v>
      </c>
      <c r="W30" s="34">
        <f t="shared" si="4"/>
        <v>1.2721103503920972E-5</v>
      </c>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row>
    <row r="31" spans="1:54" ht="5.25" customHeight="1" x14ac:dyDescent="0.2">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row>
    <row r="32" spans="1:54" x14ac:dyDescent="0.2">
      <c r="B32" s="30" t="s">
        <v>92</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row>
    <row r="33" spans="2:51" x14ac:dyDescent="0.2">
      <c r="B33" s="26" t="s">
        <v>60</v>
      </c>
      <c r="C33" s="1">
        <f t="shared" ref="C33:W33" si="5">100*((1+C23/100)*(1+C42/100)-1)</f>
        <v>7.9507899153866024</v>
      </c>
      <c r="D33" s="2">
        <f t="shared" si="5"/>
        <v>5.4743220450848451</v>
      </c>
      <c r="E33" s="2">
        <f t="shared" si="5"/>
        <v>6.2145642353418351</v>
      </c>
      <c r="F33" s="2">
        <f t="shared" si="5"/>
        <v>3.5167607791869226</v>
      </c>
      <c r="G33" s="1">
        <f t="shared" si="5"/>
        <v>2.9498286363781379</v>
      </c>
      <c r="H33" s="1">
        <f t="shared" si="5"/>
        <v>2.2147077141794203</v>
      </c>
      <c r="I33" s="1">
        <f t="shared" si="5"/>
        <v>2.2671378909550732</v>
      </c>
      <c r="J33" s="1">
        <f t="shared" si="5"/>
        <v>2.3486564010936961</v>
      </c>
      <c r="K33" s="1">
        <f t="shared" si="5"/>
        <v>2.6971971770110015</v>
      </c>
      <c r="L33" s="1">
        <f t="shared" si="5"/>
        <v>2.7668564250228123</v>
      </c>
      <c r="M33" s="1">
        <f t="shared" si="5"/>
        <v>2.8508858086133904</v>
      </c>
      <c r="N33" s="1">
        <f t="shared" si="5"/>
        <v>2.3869096565151571</v>
      </c>
      <c r="O33" s="1">
        <f t="shared" si="5"/>
        <v>2.4321779463500004</v>
      </c>
      <c r="P33" s="1">
        <f t="shared" si="5"/>
        <v>2.5939724331274894</v>
      </c>
      <c r="Q33" s="1">
        <f t="shared" si="5"/>
        <v>2.7556651815050071</v>
      </c>
      <c r="R33" s="1">
        <f t="shared" si="5"/>
        <v>2.9172518880125065</v>
      </c>
      <c r="S33" s="1">
        <f t="shared" si="5"/>
        <v>2.995339532800001</v>
      </c>
      <c r="T33" s="1">
        <f t="shared" si="5"/>
        <v>3.1041940249999955</v>
      </c>
      <c r="U33" s="1">
        <f t="shared" si="5"/>
        <v>3.2337706261499788</v>
      </c>
      <c r="V33" s="1">
        <f t="shared" si="5"/>
        <v>3.3925687236749713</v>
      </c>
      <c r="W33" s="1">
        <f t="shared" si="5"/>
        <v>3.3953361407000004</v>
      </c>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5" spans="2:51" x14ac:dyDescent="0.2">
      <c r="B35" s="28" t="s">
        <v>148</v>
      </c>
    </row>
    <row r="36" spans="2:51" x14ac:dyDescent="0.2">
      <c r="B36" s="26" t="s">
        <v>63</v>
      </c>
      <c r="C36" s="34">
        <f>'Input data'!C37</f>
        <v>1.3072319999999999</v>
      </c>
      <c r="D36" s="100">
        <f>'Input data'!D37</f>
        <v>1.8011330000000001</v>
      </c>
      <c r="E36" s="100">
        <f>'Input data'!E37</f>
        <v>1.6360269999999999</v>
      </c>
      <c r="F36" s="100">
        <f>'Input data'!F37</f>
        <v>1.90473</v>
      </c>
      <c r="G36" s="100">
        <f>'Input data'!G37</f>
        <v>2.1499329999999999</v>
      </c>
      <c r="H36" s="34">
        <f t="shared" ref="H36:W36" si="6">H93</f>
        <v>2.2624335955804127</v>
      </c>
      <c r="I36" s="34">
        <f t="shared" si="6"/>
        <v>2.365657119091694</v>
      </c>
      <c r="J36" s="34">
        <f t="shared" si="6"/>
        <v>2.4608203898214032</v>
      </c>
      <c r="K36" s="34">
        <f>K93</f>
        <v>2.6475958466592564</v>
      </c>
      <c r="L36" s="34">
        <f t="shared" si="6"/>
        <v>2.7745920868594949</v>
      </c>
      <c r="M36" s="34">
        <f t="shared" si="6"/>
        <v>2.8938461372919915</v>
      </c>
      <c r="N36" s="34">
        <f t="shared" si="6"/>
        <v>3.0061854132044856</v>
      </c>
      <c r="O36" s="34">
        <f t="shared" si="6"/>
        <v>3.115339615856461</v>
      </c>
      <c r="P36" s="34">
        <f t="shared" si="6"/>
        <v>3.2136754754290506</v>
      </c>
      <c r="Q36" s="34">
        <f t="shared" si="6"/>
        <v>3.3039349653423025</v>
      </c>
      <c r="R36" s="34">
        <f t="shared" si="6"/>
        <v>3.3864025467992698</v>
      </c>
      <c r="S36" s="34">
        <f t="shared" si="6"/>
        <v>3.4617736101767931</v>
      </c>
      <c r="T36" s="34">
        <f t="shared" si="6"/>
        <v>3.5306972394376874</v>
      </c>
      <c r="U36" s="34">
        <f t="shared" si="6"/>
        <v>3.5937557621417024</v>
      </c>
      <c r="V36" s="34">
        <f t="shared" si="6"/>
        <v>3.6514754588005971</v>
      </c>
      <c r="W36" s="34">
        <f t="shared" si="6"/>
        <v>3.7043170739902136</v>
      </c>
    </row>
    <row r="37" spans="2:51" x14ac:dyDescent="0.2">
      <c r="B37" s="32" t="s">
        <v>94</v>
      </c>
      <c r="C37" s="1"/>
      <c r="D37" s="2">
        <f>'Input data'!D$39</f>
        <v>1.7</v>
      </c>
      <c r="E37" s="2">
        <f>'Input data'!E$39</f>
        <v>2.99</v>
      </c>
      <c r="F37" s="166">
        <f>'Input data'!F$39</f>
        <v>2.964537</v>
      </c>
      <c r="G37" s="166">
        <f>'Input data'!G$39</f>
        <v>3.0634350000000001</v>
      </c>
      <c r="H37" s="1">
        <f>$G$37+('Input data'!$C$52-$G$37)/($O$10-$G$10)*(H10-$G$10)</f>
        <v>3.1385131250000002</v>
      </c>
      <c r="I37" s="1">
        <f>$G$37+('Input data'!$C$52-$G$37)/($O$10-$G$10)*(I10-$G$10)</f>
        <v>3.2135912500000003</v>
      </c>
      <c r="J37" s="1">
        <f>$G$37+('Input data'!$C$52-$G$37)/($O$10-$G$10)*(J10-$G$10)</f>
        <v>3.288669375</v>
      </c>
      <c r="K37" s="4">
        <f>IF('Criteria results'!$F$5=4,$G$37+('Input data'!$C$52-$G$37)/($O$10-$G$10)*(K10-$G$10)+0.5,$G$37+('Input data'!$C$52-$G$37)/($O$10-$G$10)*(K10-$G$10))</f>
        <v>3.8637475000000001</v>
      </c>
      <c r="L37" s="4">
        <f>IF('Criteria results'!$F$5=4,$G$37+('Input data'!$C$52-$G$37)/($O$10-$G$10)*(L10-$G$10)+0.5,$G$37+('Input data'!$C$52-$G$37)/($O$10-$G$10)*(L10-$G$10))</f>
        <v>3.9388256250000002</v>
      </c>
      <c r="M37" s="4">
        <f>IF('Criteria results'!$F$5=4,$G$37+('Input data'!$C$52-$G$37)/($O$10-$G$10)*(M10-$G$10)+0.5,$G$37+('Input data'!$C$52-$G$37)/($O$10-$G$10)*(M10-$G$10))</f>
        <v>4.0139037499999999</v>
      </c>
      <c r="N37" s="3">
        <f>IF('Criteria results'!$F$5=4,$G$37+('Input data'!$C$52-$G$37)/($O$10-$G$10)*(N10-$G$10)+0.5,$G$37+('Input data'!$C$52-$G$37)/($O$10-$G$10)*(N10-$G$10)+0.5)</f>
        <v>4.088981875</v>
      </c>
      <c r="O37" s="3">
        <f>'Input data'!$C$52+0.5</f>
        <v>4.1640600000000001</v>
      </c>
      <c r="P37" s="3">
        <f>'Baseline NFPC'!P36+0.5</f>
        <v>4.1808569999999996</v>
      </c>
      <c r="Q37" s="3">
        <f>'Baseline NFPC'!Q36+0.5</f>
        <v>4.197654</v>
      </c>
      <c r="R37" s="3">
        <f>'Baseline NFPC'!R36+0.5</f>
        <v>4.2144510000000004</v>
      </c>
      <c r="S37" s="3">
        <f>'Baseline NFPC'!S36+0.5</f>
        <v>4.2312479999999999</v>
      </c>
      <c r="T37" s="3">
        <f>'Baseline NFPC'!T36+0.5</f>
        <v>4.2480450000000003</v>
      </c>
      <c r="U37" s="3">
        <f>'Baseline NFPC'!U36+0.5</f>
        <v>4.2648419999999998</v>
      </c>
      <c r="V37" s="3">
        <f>'Baseline NFPC'!V36+0.5</f>
        <v>4.2816390000000002</v>
      </c>
      <c r="W37" s="3">
        <f>'Baseline NFPC'!W36+0.5</f>
        <v>4.2984360000000006</v>
      </c>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60"/>
    </row>
    <row r="38" spans="2:51" x14ac:dyDescent="0.2">
      <c r="B38" s="32" t="s">
        <v>95</v>
      </c>
      <c r="C38" s="1"/>
      <c r="D38" s="2">
        <f>'Input data'!D$38</f>
        <v>0.35</v>
      </c>
      <c r="E38" s="2">
        <f>'Input data'!E$38</f>
        <v>3.43</v>
      </c>
      <c r="F38" s="166">
        <f>'Input data'!F$38</f>
        <v>3.5642079999999998</v>
      </c>
      <c r="G38" s="166">
        <f>'Input data'!G$38</f>
        <v>2.8163749999999999</v>
      </c>
      <c r="H38" s="1">
        <f>$G$38+('Input data'!$C$53-$G$38)/($O$10-$G$10)*(H10-$G$10)</f>
        <v>2.8050893749999997</v>
      </c>
      <c r="I38" s="1">
        <f>$G$38+('Input data'!$C$53-$G$38)/($O$10-$G$10)*(I10-$G$10)</f>
        <v>2.7938037499999999</v>
      </c>
      <c r="J38" s="1">
        <f>$G$38+('Input data'!$C$53-$G$38)/($O$10-$G$10)*(J10-$G$10)</f>
        <v>2.7825181250000002</v>
      </c>
      <c r="K38" s="4">
        <f>IF('Criteria results'!$F$5=4,$G$38+('Input data'!$C$53-$G$38)/($O$10-$G$10)*(K10-$G$10)+0.5,$G$38+('Input data'!$C$53-$G$38)/($O$10-$G$10)*(K10-$G$10))</f>
        <v>3.2712325</v>
      </c>
      <c r="L38" s="4">
        <f>IF('Criteria results'!$F$5=4,$G$38+('Input data'!$C$53-$G$38)/($O$10-$G$10)*(L10-$G$10)+0.5,$G$38+('Input data'!$C$53-$G$38)/($O$10-$G$10)*(L10-$G$10))</f>
        <v>3.2599468749999998</v>
      </c>
      <c r="M38" s="4">
        <f>IF('Criteria results'!$F$5=4,$G$38+('Input data'!$C$53-$G$38)/($O$10-$G$10)*(M10-$G$10)+0.5,$G$38+('Input data'!$C$53-$G$38)/($O$10-$G$10)*(M10-$G$10))</f>
        <v>3.2486612500000001</v>
      </c>
      <c r="N38" s="3">
        <f>IF('Criteria results'!$F$5=4,$G$38+('Input data'!$C$53-$G$38)/($O$10-$G$10)*(N10-$G$10)+0.5,$G$38+('Input data'!$C$53-$G$38)/($O$10-$G$10)*(N10-$G$10)+0.5)</f>
        <v>3.2373756250000003</v>
      </c>
      <c r="O38" s="3">
        <f>'Input data'!$C$53+0.5</f>
        <v>3.2260900000000001</v>
      </c>
      <c r="P38" s="3">
        <f>'Baseline NFPC'!P37+0.5</f>
        <v>3.1897855000000002</v>
      </c>
      <c r="Q38" s="3">
        <f>'Baseline NFPC'!Q37+0.5</f>
        <v>3.1534810000000002</v>
      </c>
      <c r="R38" s="3">
        <f>'Baseline NFPC'!R37+0.5</f>
        <v>3.1171765000000002</v>
      </c>
      <c r="S38" s="3">
        <f>'Baseline NFPC'!S37+0.5</f>
        <v>3.0808720000000003</v>
      </c>
      <c r="T38" s="3">
        <f>'Baseline NFPC'!T37+0.5</f>
        <v>3.0445675000000003</v>
      </c>
      <c r="U38" s="3">
        <f>'Baseline NFPC'!U37+0.5</f>
        <v>3.0082629999999999</v>
      </c>
      <c r="V38" s="3">
        <f>'Baseline NFPC'!V37+0.5</f>
        <v>2.9719584999999999</v>
      </c>
      <c r="W38" s="3">
        <f>'Baseline NFPC'!W37+0.5</f>
        <v>2.935654</v>
      </c>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60"/>
    </row>
    <row r="39" spans="2:51" s="5" customFormat="1" ht="12.75" x14ac:dyDescent="0.2">
      <c r="B39" s="26" t="s">
        <v>96</v>
      </c>
      <c r="C39" s="34">
        <f>'Baseline NFPC'!C38</f>
        <v>7.7938480000000004E-2</v>
      </c>
      <c r="D39" s="34">
        <f>'Baseline NFPC'!D38</f>
        <v>8.1557229999999994E-2</v>
      </c>
      <c r="E39" s="34">
        <f>'Baseline NFPC'!E38</f>
        <v>7.994946E-2</v>
      </c>
      <c r="F39" s="34">
        <f>'Baseline NFPC'!F38</f>
        <v>7.9901810000000004E-2</v>
      </c>
      <c r="G39" s="34">
        <f>'Baseline NFPC'!G38</f>
        <v>8.0347219999999997E-2</v>
      </c>
      <c r="H39" s="34">
        <f>'Baseline NFPC'!H38</f>
        <v>8.0792630000000004E-2</v>
      </c>
      <c r="I39" s="34">
        <f>'Baseline NFPC'!I38</f>
        <v>8.1238039999999997E-2</v>
      </c>
      <c r="J39" s="34">
        <f>'Baseline NFPC'!J38</f>
        <v>8.1683450000000005E-2</v>
      </c>
      <c r="K39" s="34">
        <f>'Baseline NFPC'!K38</f>
        <v>8.2128859999999998E-2</v>
      </c>
      <c r="L39" s="34">
        <f>'Baseline NFPC'!L38</f>
        <v>8.2574270000000005E-2</v>
      </c>
      <c r="M39" s="34">
        <f>'Baseline NFPC'!M38</f>
        <v>8.3019679999999998E-2</v>
      </c>
      <c r="N39" s="34">
        <f>'Baseline NFPC'!N38</f>
        <v>8.3465090000000006E-2</v>
      </c>
      <c r="O39" s="34">
        <f>'Baseline NFPC'!O38</f>
        <v>8.3910499999999999E-2</v>
      </c>
      <c r="P39" s="34">
        <f>'Baseline NFPC'!P38</f>
        <v>8.3910499999999999E-2</v>
      </c>
      <c r="Q39" s="34">
        <f>'Baseline NFPC'!Q38</f>
        <v>8.3910499999999999E-2</v>
      </c>
      <c r="R39" s="34">
        <f>'Baseline NFPC'!R38</f>
        <v>8.3910499999999999E-2</v>
      </c>
      <c r="S39" s="34">
        <f>'Baseline NFPC'!S38</f>
        <v>8.3910499999999999E-2</v>
      </c>
      <c r="T39" s="34">
        <f>'Baseline NFPC'!T38</f>
        <v>8.3910499999999999E-2</v>
      </c>
      <c r="U39" s="34">
        <f>'Baseline NFPC'!U38</f>
        <v>8.3910499999999999E-2</v>
      </c>
      <c r="V39" s="34">
        <f>'Baseline NFPC'!V38</f>
        <v>8.3910499999999999E-2</v>
      </c>
      <c r="W39" s="34">
        <f>'Baseline NFPC'!W38</f>
        <v>8.3910499999999999E-2</v>
      </c>
    </row>
    <row r="40" spans="2:51" x14ac:dyDescent="0.2">
      <c r="C40" s="1"/>
      <c r="D40" s="1"/>
      <c r="E40" s="1"/>
      <c r="F40" s="1"/>
      <c r="G40" s="1"/>
      <c r="H40" s="1"/>
      <c r="I40" s="1"/>
      <c r="J40" s="1"/>
      <c r="K40" s="1"/>
      <c r="L40" s="1"/>
      <c r="M40" s="1"/>
      <c r="N40" s="1"/>
      <c r="O40" s="1"/>
      <c r="P40" s="1"/>
      <c r="Q40" s="1"/>
      <c r="R40" s="1"/>
      <c r="S40" s="1"/>
      <c r="T40" s="1"/>
      <c r="U40" s="1"/>
      <c r="V40" s="1"/>
      <c r="W40" s="1"/>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60"/>
    </row>
    <row r="41" spans="2:51" x14ac:dyDescent="0.2">
      <c r="B41" s="28" t="s">
        <v>97</v>
      </c>
      <c r="C41" s="1"/>
      <c r="D41" s="1"/>
      <c r="E41" s="1"/>
      <c r="F41" s="1"/>
      <c r="G41" s="1"/>
      <c r="H41" s="1"/>
      <c r="I41" s="1"/>
      <c r="J41" s="1"/>
      <c r="K41" s="1"/>
      <c r="L41" s="1"/>
      <c r="M41" s="1"/>
      <c r="N41" s="1"/>
      <c r="O41" s="1"/>
      <c r="P41" s="1"/>
      <c r="Q41" s="1"/>
      <c r="R41" s="1"/>
      <c r="S41" s="1"/>
      <c r="T41" s="1"/>
      <c r="U41" s="1"/>
      <c r="V41" s="1"/>
      <c r="W41" s="1"/>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60"/>
    </row>
    <row r="42" spans="2:51" x14ac:dyDescent="0.2">
      <c r="B42" s="26" t="s">
        <v>142</v>
      </c>
      <c r="C42" s="1">
        <f>'Input data'!C42</f>
        <v>1.4239459999999999</v>
      </c>
      <c r="D42" s="2">
        <f>'Input data'!D42</f>
        <v>2.9472170000000002</v>
      </c>
      <c r="E42" s="2">
        <f>'Input data'!E42</f>
        <v>5.4723360000000003</v>
      </c>
      <c r="F42" s="2">
        <f>'Input data'!F42</f>
        <v>2.7681049999999998</v>
      </c>
      <c r="G42" s="2">
        <f>'Input data'!G42</f>
        <v>2.041757</v>
      </c>
      <c r="H42" s="1">
        <f>'Baseline NFPC'!H41</f>
        <v>2.1052873750000001</v>
      </c>
      <c r="I42" s="1">
        <f>'Baseline NFPC'!I41</f>
        <v>2.1688177500000001</v>
      </c>
      <c r="J42" s="1">
        <f>'Baseline NFPC'!J41</f>
        <v>2.2323481250000001</v>
      </c>
      <c r="K42" s="1">
        <f>'Baseline NFPC'!K41</f>
        <v>2.2958784999999997</v>
      </c>
      <c r="L42" s="1">
        <f>'Baseline NFPC'!L41</f>
        <v>2.3594088749999997</v>
      </c>
      <c r="M42" s="1">
        <f>'Baseline NFPC'!M41</f>
        <v>2.4229392499999998</v>
      </c>
      <c r="N42" s="1">
        <f>'Baseline NFPC'!N41</f>
        <v>2.4864696249999998</v>
      </c>
      <c r="O42" s="252">
        <f>'Baseline NFPC'!O41</f>
        <v>2.5499999999999998</v>
      </c>
      <c r="P42" s="1">
        <f>'Baseline NFPC'!P41</f>
        <v>2.5225</v>
      </c>
      <c r="Q42" s="1">
        <f>'Baseline NFPC'!Q41</f>
        <v>2.4949999999999997</v>
      </c>
      <c r="R42" s="1">
        <f>'Baseline NFPC'!R41</f>
        <v>2.4674999999999998</v>
      </c>
      <c r="S42" s="1">
        <f>'Baseline NFPC'!S41</f>
        <v>2.44</v>
      </c>
      <c r="T42" s="1">
        <f>'Baseline NFPC'!T41</f>
        <v>2.4124999999999996</v>
      </c>
      <c r="U42" s="1">
        <f>'Baseline NFPC'!U41</f>
        <v>2.3849999999999998</v>
      </c>
      <c r="V42" s="1">
        <f>'Baseline NFPC'!V41</f>
        <v>2.3574999999999999</v>
      </c>
      <c r="W42" s="1">
        <f>'Baseline NFPC'!W41</f>
        <v>2.33</v>
      </c>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60"/>
    </row>
    <row r="43" spans="2:51" x14ac:dyDescent="0.2">
      <c r="B43" s="26" t="s">
        <v>98</v>
      </c>
      <c r="C43" s="1">
        <f>'Baseline NFPC'!C42</f>
        <v>1</v>
      </c>
      <c r="D43" s="1">
        <f>'Baseline NFPC'!D42</f>
        <v>1</v>
      </c>
      <c r="E43" s="1">
        <f>'Baseline NFPC'!E42</f>
        <v>1</v>
      </c>
      <c r="F43" s="1">
        <f>'Baseline NFPC'!F42</f>
        <v>0.99999990000000005</v>
      </c>
      <c r="G43" s="1">
        <f>'Baseline NFPC'!G42</f>
        <v>1</v>
      </c>
      <c r="H43" s="1">
        <f>'Baseline NFPC'!H42</f>
        <v>1</v>
      </c>
      <c r="I43" s="1">
        <f>'Baseline NFPC'!I42</f>
        <v>1</v>
      </c>
      <c r="J43" s="1">
        <f>'Baseline NFPC'!J42</f>
        <v>1</v>
      </c>
      <c r="K43" s="1">
        <f>'Baseline NFPC'!K42</f>
        <v>1</v>
      </c>
      <c r="L43" s="1">
        <f>'Baseline NFPC'!L42</f>
        <v>1</v>
      </c>
      <c r="M43" s="1">
        <f>'Baseline NFPC'!M42</f>
        <v>1</v>
      </c>
      <c r="N43" s="1">
        <f>'Baseline NFPC'!N42</f>
        <v>1</v>
      </c>
      <c r="O43" s="1">
        <f>'Baseline NFPC'!O42</f>
        <v>1</v>
      </c>
      <c r="P43" s="1">
        <f>'Baseline NFPC'!P42</f>
        <v>1</v>
      </c>
      <c r="Q43" s="1">
        <f>'Baseline NFPC'!Q42</f>
        <v>1</v>
      </c>
      <c r="R43" s="1">
        <f>'Baseline NFPC'!R42</f>
        <v>1</v>
      </c>
      <c r="S43" s="1">
        <f>'Baseline NFPC'!S42</f>
        <v>1</v>
      </c>
      <c r="T43" s="1">
        <f>'Baseline NFPC'!T42</f>
        <v>1</v>
      </c>
      <c r="U43" s="1">
        <f>'Baseline NFPC'!U42</f>
        <v>1</v>
      </c>
      <c r="V43" s="1">
        <f>'Baseline NFPC'!V42</f>
        <v>1</v>
      </c>
      <c r="W43" s="1">
        <f>'Baseline NFPC'!W42</f>
        <v>1</v>
      </c>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3"/>
      <c r="AX43" s="63"/>
      <c r="AY43" s="60"/>
    </row>
    <row r="44" spans="2:51" x14ac:dyDescent="0.2">
      <c r="C44" s="36"/>
    </row>
    <row r="45" spans="2:51" s="67" customFormat="1" ht="12.75" x14ac:dyDescent="0.2">
      <c r="B45" s="75" t="s">
        <v>99</v>
      </c>
      <c r="C45" s="68"/>
    </row>
    <row r="46" spans="2:51" x14ac:dyDescent="0.2">
      <c r="C46" s="36"/>
    </row>
    <row r="47" spans="2:51" x14ac:dyDescent="0.2">
      <c r="B47" s="54" t="s">
        <v>68</v>
      </c>
      <c r="C47" s="55">
        <f>'Input data'!C49</f>
        <v>0.75</v>
      </c>
    </row>
    <row r="48" spans="2:51" x14ac:dyDescent="0.2">
      <c r="B48" s="56" t="s">
        <v>258</v>
      </c>
      <c r="C48" s="57">
        <f>'Input data'!C50</f>
        <v>0.63</v>
      </c>
    </row>
    <row r="49" spans="2:48" x14ac:dyDescent="0.2">
      <c r="C49" s="58"/>
    </row>
    <row r="50" spans="2:48" outlineLevel="1" x14ac:dyDescent="0.2">
      <c r="B50" s="26" t="s">
        <v>100</v>
      </c>
      <c r="C50" s="34">
        <v>0</v>
      </c>
      <c r="D50" s="34">
        <f>IF(AND(ABS((D12-C12)-('Input data'!D13-'Input data'!C13))&gt;0.0001,ABS(D12-C12)&gt;0.0001,D$10&gt;$C$5),4,IF(C50=4,3,IF(C50=3,2,IF(C50=2,1,0))))</f>
        <v>0</v>
      </c>
      <c r="E50" s="34">
        <f>IF(AND(ABS((E12-D12)-('Input data'!E13-'Input data'!D13))&gt;0.0001,ABS(E12-D12)&gt;0.0001,E$10&gt;$C$5),4,IF(D50=4,3,IF(D50=3,2,IF(D50=2,1,0))))</f>
        <v>0</v>
      </c>
      <c r="F50" s="34">
        <f>IF(AND(ABS((F12-E12)-('Input data'!F13-'Input data'!E13))&gt;0.0001,ABS(F12-E12)&gt;0.0001,F$10&gt;$C$5),4,IF(E50=4,3,IF(E50=3,2,IF(E50=2,1,0))))</f>
        <v>0</v>
      </c>
      <c r="G50" s="34">
        <f>IF(AND(ABS((G12-F12)-('Input data'!G13-'Input data'!F13))&gt;0.0001,ABS(G12-F12)&gt;0.0001,G$10&gt;$C$5),4,IF(F50=4,3,IF(F50=3,2,IF(F50=2,1,0))))</f>
        <v>4</v>
      </c>
      <c r="H50" s="34">
        <f>IF(AND(ABS((H12-G12)-('Input data'!H13-'Input data'!G13))&gt;0.0001,ABS(H12-G12)&gt;0.0001,H$10&gt;$C$5),4,IF(G50=4,3,IF(G50=3,2,IF(G50=2,1,0))))</f>
        <v>4</v>
      </c>
      <c r="I50" s="34">
        <f>IF(AND(ABS((I12-H12)-('Input data'!I13-'Input data'!H13))&gt;0.0001,ABS(I12-H12)&gt;0.0001,I$10&gt;$C$5),4,IF(H50=4,3,IF(H50=3,2,IF(H50=2,1,0))))</f>
        <v>4</v>
      </c>
      <c r="J50" s="34">
        <f>IF(AND(ABS((J12-I12)-('Input data'!J13-'Input data'!I13))&gt;0.0001,ABS(J12-I12)&gt;0.0001,J$10&gt;$C$5),4,IF(I50=4,3,IF(I50=3,2,IF(I50=2,1,0))))</f>
        <v>4</v>
      </c>
      <c r="K50" s="34">
        <f>IF(AND(ABS((K12-J12)-('Input data'!K13-'Input data'!J13))&gt;0.0001,ABS(K12-J12)&gt;0.0001,K$10&gt;$C$5),4,IF(J50=4,3,IF(J50=3,2,IF(J50=2,1,0))))</f>
        <v>3</v>
      </c>
      <c r="L50" s="34">
        <f>IF(AND(ABS((L12-K12)-('Input data'!L13-'Input data'!K13))&gt;0.0001,ABS(L12-K12)&gt;0.0001,L$10&gt;$C$5),4,IF(K50=4,3,IF(K50=3,2,IF(K50=2,1,0))))</f>
        <v>2</v>
      </c>
      <c r="M50" s="34">
        <f>IF(AND(ABS((M12-L12)-('Input data'!M13-'Input data'!L13))&gt;0.0001,ABS(M12-L12)&gt;0.0001,M$10&gt;$C$5),4,IF(L50=4,3,IF(L50=3,2,IF(L50=2,1,0))))</f>
        <v>1</v>
      </c>
      <c r="N50" s="34">
        <f>IF(AND(ABS((N12-M12)-('Input data'!N13-'Input data'!M13))&gt;0.0001,ABS(N12-M12)&gt;0.0001,N$10&gt;$C$5),4,IF(M50=4,3,IF(M50=3,2,IF(M50=2,1,0))))</f>
        <v>0</v>
      </c>
      <c r="O50" s="34">
        <f>IF(AND(ABS((O12-N12)-('Input data'!O13-'Input data'!N13))&gt;0.0001,ABS(O12-N12)&gt;0.0001,O$10&gt;$C$5),4,IF(N50=4,3,IF(N50=3,2,IF(N50=2,1,0))))</f>
        <v>0</v>
      </c>
      <c r="P50" s="34">
        <f>IF(AND(ABS((P12-O12)-('Input data'!P13-'Input data'!O13))&gt;0.0001,ABS(P12-O12)&gt;0.0001,P$10&gt;$C$5),4,IF(O50=4,3,IF(O50=3,2,IF(O50=2,1,0))))</f>
        <v>0</v>
      </c>
      <c r="Q50" s="34">
        <f>IF(AND(ABS((Q12-P12)-('Input data'!Q13-'Input data'!P13))&gt;0.0001,ABS(Q12-P12)&gt;0.0001,Q$10&gt;$C$5),4,IF(P50=4,3,IF(P50=3,2,IF(P50=2,1,0))))</f>
        <v>0</v>
      </c>
      <c r="R50" s="34">
        <f>IF(AND(ABS((R12-Q12)-('Input data'!R13-'Input data'!Q13))&gt;0.0001,ABS(R12-Q12)&gt;0.0001,R$10&gt;$C$5),4,IF(Q50=4,3,IF(Q50=3,2,IF(Q50=2,1,0))))</f>
        <v>0</v>
      </c>
      <c r="S50" s="34">
        <f>IF(AND(ABS((S12-R12)-('Input data'!S13-'Input data'!R13))&gt;0.0001,ABS(S12-R12)&gt;0.0001,S$10&gt;$C$5),4,IF(R50=4,3,IF(R50=3,2,IF(R50=2,1,0))))</f>
        <v>0</v>
      </c>
      <c r="T50" s="34">
        <f>IF(AND(ABS((T12-S12)-('Input data'!T13-'Input data'!S13))&gt;0.0001,ABS(T12-S12)&gt;0.0001,T$10&gt;$C$5),4,IF(S50=4,3,IF(S50=3,2,IF(S50=2,1,0))))</f>
        <v>0</v>
      </c>
      <c r="U50" s="34">
        <f>IF(AND(ABS((U12-T12)-('Input data'!U13-'Input data'!T13))&gt;0.0001,ABS(U12-T12)&gt;0.0001,U$10&gt;$C$5),4,IF(T50=4,3,IF(T50=3,2,IF(T50=2,1,0))))</f>
        <v>0</v>
      </c>
      <c r="V50" s="34">
        <f>IF(AND(ABS((V12-U12)-('Input data'!V13-'Input data'!U13))&gt;0.0001,ABS(V12-U12)&gt;0.0001,V$10&gt;$C$5),4,IF(U50=4,3,IF(U50=3,2,IF(U50=2,1,0))))</f>
        <v>0</v>
      </c>
      <c r="W50" s="34">
        <f>IF(AND(ABS((W12-V12)-('Input data'!W13-'Input data'!V13))&gt;0.0001,ABS(W12-V12)&gt;0.0001,W$10&gt;$C$5),4,IF(V50=4,3,IF(V50=3,2,IF(V50=2,1,0))))</f>
        <v>0</v>
      </c>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row>
    <row r="51" spans="2:48" outlineLevel="1" x14ac:dyDescent="0.2">
      <c r="B51" s="26" t="s">
        <v>101</v>
      </c>
      <c r="C51" s="34">
        <v>0</v>
      </c>
      <c r="D51" s="34">
        <f t="shared" ref="D51:W51" si="7">IF(C50=4,2/3*C30,IF(C50=3,1/3*B30,0))</f>
        <v>0</v>
      </c>
      <c r="E51" s="34">
        <f t="shared" si="7"/>
        <v>0</v>
      </c>
      <c r="F51" s="34">
        <f t="shared" si="7"/>
        <v>0</v>
      </c>
      <c r="G51" s="34">
        <f t="shared" si="7"/>
        <v>0</v>
      </c>
      <c r="H51" s="34">
        <f t="shared" si="7"/>
        <v>-0.36360312061166261</v>
      </c>
      <c r="I51" s="34">
        <f t="shared" si="7"/>
        <v>-0.70692049337552909</v>
      </c>
      <c r="J51" s="34">
        <f t="shared" si="7"/>
        <v>-0.93424834993205419</v>
      </c>
      <c r="K51" s="34">
        <f t="shared" si="7"/>
        <v>-1.0846599657425551</v>
      </c>
      <c r="L51" s="34">
        <f t="shared" si="7"/>
        <v>-0.54232998287127754</v>
      </c>
      <c r="M51" s="34">
        <f t="shared" si="7"/>
        <v>0</v>
      </c>
      <c r="N51" s="34">
        <f t="shared" si="7"/>
        <v>0</v>
      </c>
      <c r="O51" s="34">
        <f t="shared" si="7"/>
        <v>0</v>
      </c>
      <c r="P51" s="34">
        <f t="shared" si="7"/>
        <v>0</v>
      </c>
      <c r="Q51" s="34">
        <f t="shared" si="7"/>
        <v>0</v>
      </c>
      <c r="R51" s="34">
        <f t="shared" si="7"/>
        <v>0</v>
      </c>
      <c r="S51" s="34">
        <f t="shared" si="7"/>
        <v>0</v>
      </c>
      <c r="T51" s="34">
        <f t="shared" si="7"/>
        <v>0</v>
      </c>
      <c r="U51" s="34">
        <f t="shared" si="7"/>
        <v>0</v>
      </c>
      <c r="V51" s="34">
        <f t="shared" si="7"/>
        <v>0</v>
      </c>
      <c r="W51" s="34">
        <f t="shared" si="7"/>
        <v>0</v>
      </c>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row>
    <row r="52" spans="2:48" outlineLevel="1" x14ac:dyDescent="0.2">
      <c r="B52" s="26" t="s">
        <v>102</v>
      </c>
      <c r="C52" s="34"/>
      <c r="D52" s="34">
        <f>'Input data'!D30-$C$47*((D12-C12)-('Input data'!D13-'Input data'!C13))</f>
        <v>2.454758</v>
      </c>
      <c r="E52" s="34">
        <f>'Input data'!E30-$C$47*((E12-D12)-('Input data'!E13-'Input data'!D13))</f>
        <v>0.70371839999999997</v>
      </c>
      <c r="F52" s="34">
        <f>'Input data'!F30-$C$47*((F12-E12)-('Input data'!F13-'Input data'!E13))</f>
        <v>0.72849039999999998</v>
      </c>
      <c r="G52" s="34">
        <f>'Input data'!G30-$C$47*((G12-F12))</f>
        <v>0.88990200000000008</v>
      </c>
      <c r="H52" s="34">
        <f>'Input data'!H30-$C$47*((H12-G12))</f>
        <v>-0.12688599999999994</v>
      </c>
      <c r="I52" s="34">
        <f>'Input data'!I30-$C$47*((I12-H12))</f>
        <v>-0.32930079999999995</v>
      </c>
      <c r="J52" s="34">
        <f>'Input data'!J30-$C$47*((J12-I12))</f>
        <v>-0.39495749999999996</v>
      </c>
      <c r="K52" s="4">
        <f>'Adverse (r-g)'!K24-$C$47*(K12-J12)</f>
        <v>-0.15811760000000002</v>
      </c>
      <c r="L52" s="4">
        <f>'Adverse (r-g)'!L24-$C$47*(L12-K12)</f>
        <v>-0.14940009999999998</v>
      </c>
      <c r="M52" s="4">
        <f>'Adverse (r-g)'!M24-$C$47*(M12-L12)</f>
        <v>-0.12677709999999998</v>
      </c>
      <c r="N52" s="4">
        <f>'Adverse (r-g)'!N24-$C$47*((N12-M12))</f>
        <v>-9.7144500000000022E-2</v>
      </c>
      <c r="O52" s="4">
        <f>'Adverse (r-g)'!O24-$C$47*((O12-N12))</f>
        <v>-0.1148923</v>
      </c>
      <c r="P52" s="4">
        <f>'Adverse (r-g)'!P24-$C$47*((P12-O12))</f>
        <v>6.9713899999999995E-2</v>
      </c>
      <c r="Q52" s="4">
        <f>'Adverse (r-g)'!Q24-$C$47*((Q12-P12))</f>
        <v>0.25431990000000004</v>
      </c>
      <c r="R52" s="4">
        <f>'Adverse (r-g)'!R24-$C$47*((R12-Q12))</f>
        <v>0.43892149999999996</v>
      </c>
      <c r="S52" s="4">
        <f>'Adverse (r-g)'!S24-$C$47*((S12-R12))</f>
        <v>0.54211199999999993</v>
      </c>
      <c r="T52" s="4">
        <f>'Adverse (r-g)'!T24-$C$47*((T12-S12))</f>
        <v>0.6754</v>
      </c>
      <c r="U52" s="4">
        <f>'Adverse (r-g)'!U24-$C$47*((U12-T12))</f>
        <v>0.82899900000000004</v>
      </c>
      <c r="V52" s="4">
        <f>'Adverse (r-g)'!V24-$C$47*((V12-U12))</f>
        <v>1.0112289999999999</v>
      </c>
      <c r="W52" s="4">
        <f>'Adverse (r-g)'!W24-$C$47*((W12-V12))</f>
        <v>1.0410790000000001</v>
      </c>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row>
    <row r="53" spans="2:48" x14ac:dyDescent="0.2">
      <c r="C53" s="36"/>
    </row>
    <row r="54" spans="2:48" s="67" customFormat="1" ht="12.75" outlineLevel="1" x14ac:dyDescent="0.2">
      <c r="B54" s="72" t="s">
        <v>103</v>
      </c>
      <c r="C54" s="69"/>
      <c r="E54" s="70"/>
      <c r="F54" s="69"/>
    </row>
    <row r="55" spans="2:48" outlineLevel="1" x14ac:dyDescent="0.2">
      <c r="B55" s="43"/>
      <c r="C55" s="29"/>
      <c r="E55" s="44"/>
      <c r="F55" s="29"/>
    </row>
    <row r="56" spans="2:48" outlineLevel="1" x14ac:dyDescent="0.2">
      <c r="B56" s="85"/>
      <c r="C56" s="86">
        <v>2021</v>
      </c>
      <c r="D56" s="86">
        <v>2022</v>
      </c>
      <c r="E56" s="86">
        <v>2023</v>
      </c>
      <c r="F56" s="86">
        <v>2024</v>
      </c>
      <c r="G56" s="86">
        <v>2025</v>
      </c>
      <c r="H56" s="86">
        <v>2026</v>
      </c>
      <c r="I56" s="86">
        <v>2027</v>
      </c>
      <c r="J56" s="86">
        <v>2028</v>
      </c>
      <c r="K56" s="86">
        <v>2029</v>
      </c>
      <c r="L56" s="86">
        <v>2030</v>
      </c>
      <c r="M56" s="86">
        <v>2031</v>
      </c>
      <c r="N56" s="86">
        <v>2032</v>
      </c>
      <c r="O56" s="86">
        <v>2033</v>
      </c>
      <c r="P56" s="86">
        <v>2034</v>
      </c>
      <c r="Q56" s="86">
        <v>2035</v>
      </c>
      <c r="R56" s="86">
        <v>2036</v>
      </c>
      <c r="S56" s="86">
        <v>2037</v>
      </c>
      <c r="T56" s="86">
        <v>2038</v>
      </c>
      <c r="U56" s="86">
        <v>2039</v>
      </c>
      <c r="V56" s="86">
        <v>2040</v>
      </c>
      <c r="W56" s="86">
        <v>2041</v>
      </c>
    </row>
    <row r="57" spans="2:48" ht="10.5" customHeight="1" outlineLevel="1" x14ac:dyDescent="0.2">
      <c r="B57" s="87" t="s">
        <v>104</v>
      </c>
      <c r="C57" s="45">
        <f>+'Input data'!C12</f>
        <v>112.97329999999999</v>
      </c>
      <c r="D57" s="45">
        <f>+C57+D58</f>
        <v>111.91816702562221</v>
      </c>
      <c r="E57" s="45">
        <f>+D57+E58</f>
        <v>110.64326790048331</v>
      </c>
      <c r="F57" s="45">
        <f t="shared" ref="F57:T57" si="8">+E57+F58</f>
        <v>112.40882173205914</v>
      </c>
      <c r="G57" s="45">
        <f t="shared" si="8"/>
        <v>113.96873574495558</v>
      </c>
      <c r="H57" s="45">
        <f t="shared" si="8"/>
        <v>115.77838065922458</v>
      </c>
      <c r="I57" s="45">
        <f t="shared" si="8"/>
        <v>116.92117165766111</v>
      </c>
      <c r="J57" s="45">
        <f t="shared" si="8"/>
        <v>117.28270034717907</v>
      </c>
      <c r="K57" s="45">
        <f t="shared" si="8"/>
        <v>117.09056829830405</v>
      </c>
      <c r="L57" s="45">
        <f t="shared" si="8"/>
        <v>116.60769525097173</v>
      </c>
      <c r="M57" s="45">
        <f t="shared" si="8"/>
        <v>115.80903403390623</v>
      </c>
      <c r="N57" s="45">
        <f t="shared" si="8"/>
        <v>115.66423827980024</v>
      </c>
      <c r="O57" s="46">
        <f t="shared" si="8"/>
        <v>115.62645158743351</v>
      </c>
      <c r="P57" s="46">
        <f t="shared" si="8"/>
        <v>115.56251168464756</v>
      </c>
      <c r="Q57" s="46">
        <f t="shared" si="8"/>
        <v>115.41253515829877</v>
      </c>
      <c r="R57" s="46">
        <f t="shared" si="8"/>
        <v>115.17187293857734</v>
      </c>
      <c r="S57" s="46">
        <f t="shared" si="8"/>
        <v>114.92985370663779</v>
      </c>
      <c r="T57" s="46">
        <f t="shared" si="8"/>
        <v>114.64418775613586</v>
      </c>
      <c r="U57" s="46">
        <f t="shared" ref="U57" si="9">+T57+U58</f>
        <v>114.28093289394494</v>
      </c>
      <c r="V57" s="46">
        <f t="shared" ref="V57" si="10">+U57+V58</f>
        <v>113.78994570936335</v>
      </c>
      <c r="W57" s="46">
        <f t="shared" ref="W57" si="11">+V57+W58</f>
        <v>113.39117430763959</v>
      </c>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row>
    <row r="58" spans="2:48" outlineLevel="1" x14ac:dyDescent="0.2">
      <c r="B58" s="88" t="s">
        <v>105</v>
      </c>
      <c r="C58" s="47"/>
      <c r="D58" s="47">
        <f>-D59+D67+D72</f>
        <v>-1.0551329743777824</v>
      </c>
      <c r="E58" s="47">
        <f>-E59+E67+E72</f>
        <v>-1.2748991251389035</v>
      </c>
      <c r="F58" s="47">
        <f t="shared" ref="F58:T58" si="12">-F59+F67+F72</f>
        <v>1.7655538315758226</v>
      </c>
      <c r="G58" s="47">
        <f t="shared" si="12"/>
        <v>1.559914012896445</v>
      </c>
      <c r="H58" s="47">
        <f t="shared" si="12"/>
        <v>1.8096449142689994</v>
      </c>
      <c r="I58" s="47">
        <f t="shared" si="12"/>
        <v>1.1427909984365301</v>
      </c>
      <c r="J58" s="47">
        <f t="shared" si="12"/>
        <v>0.36152868951797013</v>
      </c>
      <c r="K58" s="47">
        <f t="shared" si="12"/>
        <v>-0.19213204887502666</v>
      </c>
      <c r="L58" s="47">
        <f t="shared" si="12"/>
        <v>-0.48287304733231451</v>
      </c>
      <c r="M58" s="47">
        <f t="shared" si="12"/>
        <v>-0.79866121706550186</v>
      </c>
      <c r="N58" s="47">
        <f t="shared" si="12"/>
        <v>-0.14479575410598522</v>
      </c>
      <c r="O58" s="47">
        <f t="shared" si="12"/>
        <v>-3.778669236673593E-2</v>
      </c>
      <c r="P58" s="47">
        <f t="shared" si="12"/>
        <v>-6.3939902785953184E-2</v>
      </c>
      <c r="Q58" s="47">
        <f t="shared" si="12"/>
        <v>-0.14997652634879555</v>
      </c>
      <c r="R58" s="47">
        <f t="shared" si="12"/>
        <v>-0.2406622197214261</v>
      </c>
      <c r="S58" s="47">
        <f t="shared" si="12"/>
        <v>-0.24201923193955233</v>
      </c>
      <c r="T58" s="47">
        <f t="shared" si="12"/>
        <v>-0.28566595050192223</v>
      </c>
      <c r="U58" s="47">
        <f t="shared" ref="U58:W58" si="13">-U59+U67+U72</f>
        <v>-0.3632548621909315</v>
      </c>
      <c r="V58" s="47">
        <f t="shared" si="13"/>
        <v>-0.49098718458158541</v>
      </c>
      <c r="W58" s="47">
        <f t="shared" si="13"/>
        <v>-0.39877140172376313</v>
      </c>
    </row>
    <row r="59" spans="2:48" outlineLevel="1" x14ac:dyDescent="0.2">
      <c r="B59" s="84" t="s">
        <v>106</v>
      </c>
      <c r="C59" s="48"/>
      <c r="D59" s="48">
        <f>D60+D61-D62-D63-D64-D65-D66</f>
        <v>-2.836606425622207</v>
      </c>
      <c r="E59" s="48">
        <f t="shared" ref="E59:T59" si="14">E60+E61-E62-E63-E64-E65-E66</f>
        <v>-3.7683152748611062</v>
      </c>
      <c r="F59" s="48">
        <f t="shared" si="14"/>
        <v>-3.2777546315758266</v>
      </c>
      <c r="G59" s="48">
        <f t="shared" si="14"/>
        <v>-2.4020138489780209</v>
      </c>
      <c r="H59" s="48">
        <f t="shared" si="14"/>
        <v>-1.7564308662398751</v>
      </c>
      <c r="I59" s="48">
        <f t="shared" si="14"/>
        <v>-1.0312556906857915</v>
      </c>
      <c r="J59" s="48">
        <f t="shared" si="14"/>
        <v>-0.2333946676267149</v>
      </c>
      <c r="K59" s="48">
        <f t="shared" si="14"/>
        <v>0.13548612158221029</v>
      </c>
      <c r="L59" s="48">
        <f t="shared" si="14"/>
        <v>0.49168691079111138</v>
      </c>
      <c r="M59" s="48">
        <f t="shared" si="14"/>
        <v>0.84736770000000017</v>
      </c>
      <c r="N59" s="48">
        <f t="shared" si="14"/>
        <v>0.84525372694065859</v>
      </c>
      <c r="O59" s="48">
        <f t="shared" si="14"/>
        <v>0.80919832989735585</v>
      </c>
      <c r="P59" s="48">
        <f t="shared" si="14"/>
        <v>0.76236362222982257</v>
      </c>
      <c r="Q59" s="48">
        <f t="shared" si="14"/>
        <v>0.76657935003857491</v>
      </c>
      <c r="R59" s="48">
        <f t="shared" si="14"/>
        <v>0.7667729145608575</v>
      </c>
      <c r="S59" s="48">
        <f t="shared" si="14"/>
        <v>0.76359706776729952</v>
      </c>
      <c r="T59" s="48">
        <f t="shared" si="14"/>
        <v>0.76108746467281552</v>
      </c>
      <c r="U59" s="48">
        <f t="shared" ref="U59:W59" si="15">U60+U61-U62-U63-U64-U65-U66</f>
        <v>0.76302911503215398</v>
      </c>
      <c r="V59" s="48">
        <f t="shared" si="15"/>
        <v>0.77715962025978702</v>
      </c>
      <c r="W59" s="48">
        <f t="shared" si="15"/>
        <v>0.73881501429521368</v>
      </c>
    </row>
    <row r="60" spans="2:48" outlineLevel="1" x14ac:dyDescent="0.2">
      <c r="B60" s="79" t="s">
        <v>107</v>
      </c>
      <c r="C60" s="1"/>
      <c r="D60" s="1">
        <f>D12</f>
        <v>-2.9834649999999998</v>
      </c>
      <c r="E60" s="1">
        <f>E12</f>
        <v>-3.6529590000000001</v>
      </c>
      <c r="F60" s="1">
        <f>F12</f>
        <v>-2.968391</v>
      </c>
      <c r="G60" s="1">
        <f t="shared" ref="G60:W60" si="16">IF(G12="",F60,G12)</f>
        <v>-2.0283910000000001</v>
      </c>
      <c r="H60" s="1">
        <f t="shared" si="16"/>
        <v>-1.0883910000000001</v>
      </c>
      <c r="I60" s="1">
        <f t="shared" si="16"/>
        <v>-0.14839100000000016</v>
      </c>
      <c r="J60" s="1">
        <f t="shared" si="16"/>
        <v>0.79160899999999979</v>
      </c>
      <c r="K60" s="1">
        <f t="shared" si="16"/>
        <v>0.79160899999999979</v>
      </c>
      <c r="L60" s="1">
        <f t="shared" si="16"/>
        <v>0.79160899999999979</v>
      </c>
      <c r="M60" s="1">
        <f t="shared" si="16"/>
        <v>0.79160899999999979</v>
      </c>
      <c r="N60" s="1">
        <f t="shared" si="16"/>
        <v>0.79160899999999979</v>
      </c>
      <c r="O60" s="1">
        <f t="shared" si="16"/>
        <v>0.79160899999999979</v>
      </c>
      <c r="P60" s="1">
        <f t="shared" si="16"/>
        <v>0.79160899999999979</v>
      </c>
      <c r="Q60" s="1">
        <f t="shared" si="16"/>
        <v>0.79160899999999979</v>
      </c>
      <c r="R60" s="1">
        <f t="shared" si="16"/>
        <v>0.79160899999999979</v>
      </c>
      <c r="S60" s="1">
        <f t="shared" si="16"/>
        <v>0.79160899999999979</v>
      </c>
      <c r="T60" s="1">
        <f t="shared" si="16"/>
        <v>0.79160899999999979</v>
      </c>
      <c r="U60" s="1">
        <f t="shared" si="16"/>
        <v>0.79160899999999979</v>
      </c>
      <c r="V60" s="1">
        <f t="shared" si="16"/>
        <v>0.79160899999999979</v>
      </c>
      <c r="W60" s="1">
        <f t="shared" si="16"/>
        <v>0.79160899999999979</v>
      </c>
    </row>
    <row r="61" spans="2:48" outlineLevel="1" x14ac:dyDescent="0.2">
      <c r="B61" s="79" t="s">
        <v>108</v>
      </c>
      <c r="C61" s="1"/>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row>
    <row r="62" spans="2:48" outlineLevel="1" x14ac:dyDescent="0.2">
      <c r="B62" s="79" t="s">
        <v>109</v>
      </c>
      <c r="C62" s="1"/>
      <c r="D62" s="1">
        <f t="shared" ref="D62:W62" si="17">-$C$48*D30</f>
        <v>-0.21885307437779322</v>
      </c>
      <c r="E62" s="1">
        <f t="shared" si="17"/>
        <v>5.1141674861106101E-2</v>
      </c>
      <c r="F62" s="1">
        <f t="shared" si="17"/>
        <v>0.27490083157582657</v>
      </c>
      <c r="G62" s="1">
        <f t="shared" si="17"/>
        <v>0.34360494897802119</v>
      </c>
      <c r="H62" s="1">
        <f t="shared" si="17"/>
        <v>0.66803986623987499</v>
      </c>
      <c r="I62" s="1">
        <f t="shared" si="17"/>
        <v>0.88286469068579121</v>
      </c>
      <c r="J62" s="1">
        <f t="shared" si="17"/>
        <v>1.0250036676267147</v>
      </c>
      <c r="K62" s="1">
        <f t="shared" si="17"/>
        <v>0.68333577841779347</v>
      </c>
      <c r="L62" s="1">
        <f t="shared" si="17"/>
        <v>0.34166788920889324</v>
      </c>
      <c r="M62" s="1">
        <f t="shared" si="17"/>
        <v>0</v>
      </c>
      <c r="N62" s="1">
        <f t="shared" si="17"/>
        <v>-3.0269406561256318E-6</v>
      </c>
      <c r="O62" s="1">
        <f t="shared" si="17"/>
        <v>-4.7298973557818869E-6</v>
      </c>
      <c r="P62" s="1">
        <f t="shared" si="17"/>
        <v>-7.1222298219097979E-6</v>
      </c>
      <c r="Q62" s="1">
        <f t="shared" si="17"/>
        <v>-9.9500385770667776E-6</v>
      </c>
      <c r="R62" s="1">
        <f t="shared" si="17"/>
        <v>-1.0514560855989785E-5</v>
      </c>
      <c r="S62" s="1">
        <f t="shared" si="17"/>
        <v>-1.1767767294612597E-5</v>
      </c>
      <c r="T62" s="1">
        <f t="shared" si="17"/>
        <v>-9.2646728149237134E-6</v>
      </c>
      <c r="U62" s="1">
        <f t="shared" si="17"/>
        <v>-8.0150321519756318E-6</v>
      </c>
      <c r="V62" s="1">
        <f t="shared" si="17"/>
        <v>-5.5202597832870737E-6</v>
      </c>
      <c r="W62" s="1">
        <f t="shared" si="17"/>
        <v>-8.0142952074702123E-6</v>
      </c>
    </row>
    <row r="63" spans="2:48" outlineLevel="1" x14ac:dyDescent="0.2">
      <c r="B63" s="79" t="s">
        <v>110</v>
      </c>
      <c r="C63" s="1"/>
      <c r="D63" s="1">
        <f t="shared" ref="D63:W63" si="18">-D13</f>
        <v>7.1994500000000003E-2</v>
      </c>
      <c r="E63" s="1">
        <f t="shared" si="18"/>
        <v>6.4214599999999997E-2</v>
      </c>
      <c r="F63" s="1">
        <f t="shared" si="18"/>
        <v>3.4462800000000002E-2</v>
      </c>
      <c r="G63" s="1">
        <f t="shared" si="18"/>
        <v>3.00179E-2</v>
      </c>
      <c r="H63" s="1">
        <f t="shared" si="18"/>
        <v>0</v>
      </c>
      <c r="I63" s="1">
        <f t="shared" si="18"/>
        <v>0</v>
      </c>
      <c r="J63" s="1">
        <f t="shared" si="18"/>
        <v>0</v>
      </c>
      <c r="K63" s="1">
        <f t="shared" si="18"/>
        <v>0</v>
      </c>
      <c r="L63" s="1">
        <f t="shared" si="18"/>
        <v>0</v>
      </c>
      <c r="M63" s="1">
        <f t="shared" si="18"/>
        <v>0</v>
      </c>
      <c r="N63" s="1">
        <f t="shared" si="18"/>
        <v>0</v>
      </c>
      <c r="O63" s="1">
        <f t="shared" si="18"/>
        <v>0</v>
      </c>
      <c r="P63" s="1">
        <f t="shared" si="18"/>
        <v>0</v>
      </c>
      <c r="Q63" s="1">
        <f t="shared" si="18"/>
        <v>0</v>
      </c>
      <c r="R63" s="1">
        <f t="shared" si="18"/>
        <v>0</v>
      </c>
      <c r="S63" s="1">
        <f t="shared" si="18"/>
        <v>0</v>
      </c>
      <c r="T63" s="1">
        <f t="shared" si="18"/>
        <v>0</v>
      </c>
      <c r="U63" s="1">
        <f t="shared" si="18"/>
        <v>0</v>
      </c>
      <c r="V63" s="1">
        <f t="shared" si="18"/>
        <v>0</v>
      </c>
      <c r="W63" s="1">
        <f t="shared" si="18"/>
        <v>0</v>
      </c>
    </row>
    <row r="64" spans="2:48" outlineLevel="1" x14ac:dyDescent="0.2">
      <c r="B64" s="79" t="s">
        <v>111</v>
      </c>
      <c r="C64" s="1"/>
      <c r="D64" s="1">
        <f>IF(D$56&lt;=$C$6,0,HLOOKUP(D$56,'Input data'!$C$9:$BB$26,12,FALSE)-HLOOKUP($C$6,'Input data'!$C$9:$BB$26,12,FALSE))</f>
        <v>0</v>
      </c>
      <c r="E64" s="1">
        <f>IF(E$56&lt;=$C$6,0,HLOOKUP(E$56,'Input data'!$C$9:$BB$26,12,FALSE)-HLOOKUP($C$6,'Input data'!$C$9:$BB$26,12,FALSE))</f>
        <v>0</v>
      </c>
      <c r="F64" s="1">
        <f>IF(F$56&lt;=$C$6,0,HLOOKUP(F$56,'Input data'!$C$9:$BB$26,12,FALSE)-HLOOKUP($C$6,'Input data'!$C$9:$BB$26,12,FALSE))</f>
        <v>0</v>
      </c>
      <c r="G64" s="1">
        <f>IF(G$56&lt;=$C$6,0,HLOOKUP(G$56,'Input data'!$C$9:$BB$26,12,FALSE)-HLOOKUP($C$6,'Input data'!$C$9:$BB$26,12,FALSE))</f>
        <v>0</v>
      </c>
      <c r="H64" s="1">
        <f>IF(H$56&lt;=$C$6,0,HLOOKUP(H$56,'Input data'!$C$9:$BB$26,12,FALSE)-HLOOKUP($C$6,'Input data'!$C$9:$BB$26,12,FALSE))</f>
        <v>0</v>
      </c>
      <c r="I64" s="1">
        <f>IF(I$56&lt;=$C$6,0,HLOOKUP(I$56,'Input data'!$C$9:$BB$26,12,FALSE)-HLOOKUP($C$6,'Input data'!$C$9:$BB$26,12,FALSE))</f>
        <v>0</v>
      </c>
      <c r="J64" s="1">
        <f>IF(J$56&lt;=$C$6,0,HLOOKUP(J$56,'Input data'!$C$9:$BB$26,12,FALSE)-HLOOKUP($C$6,'Input data'!$C$9:$BB$26,12,FALSE))</f>
        <v>0</v>
      </c>
      <c r="K64" s="1">
        <f>IF(K$56&lt;=$C$6,0,HLOOKUP(K$56,'Input data'!$C$9:$BB$26,12,FALSE)-HLOOKUP($C$6,'Input data'!$C$9:$BB$26,12,FALSE))</f>
        <v>-2.7580000000003935E-2</v>
      </c>
      <c r="L64" s="1">
        <f>IF(L$56&lt;=$C$6,0,HLOOKUP(L$56,'Input data'!$C$9:$BB$26,12,FALSE)-HLOOKUP($C$6,'Input data'!$C$9:$BB$26,12,FALSE))</f>
        <v>-4.2480000000004736E-2</v>
      </c>
      <c r="M64" s="1">
        <f>IF(M$56&lt;=$C$6,0,HLOOKUP(M$56,'Input data'!$C$9:$BB$26,12,FALSE)-HLOOKUP($C$6,'Input data'!$C$9:$BB$26,12,FALSE))</f>
        <v>-5.6860000000000355E-2</v>
      </c>
      <c r="N64" s="1">
        <f>IF(N$56&lt;=$C$6,0,HLOOKUP(N$56,'Input data'!$C$9:$BB$26,12,FALSE)-HLOOKUP($C$6,'Input data'!$C$9:$BB$26,12,FALSE))</f>
        <v>-5.5110000000002657E-2</v>
      </c>
      <c r="O64" s="1">
        <f>IF(O$56&lt;=$C$6,0,HLOOKUP(O$56,'Input data'!$C$9:$BB$26,12,FALSE)-HLOOKUP($C$6,'Input data'!$C$9:$BB$26,12,FALSE))</f>
        <v>-1.9420000000000215E-2</v>
      </c>
      <c r="P64" s="1">
        <f>IF(P$56&lt;=$C$6,0,HLOOKUP(P$56,'Input data'!$C$9:$BB$26,12,FALSE)-HLOOKUP($C$6,'Input data'!$C$9:$BB$26,12,FALSE))</f>
        <v>2.704999999999913E-2</v>
      </c>
      <c r="Q64" s="1">
        <f>IF(Q$56&lt;=$C$6,0,HLOOKUP(Q$56,'Input data'!$C$9:$BB$26,12,FALSE)-HLOOKUP($C$6,'Input data'!$C$9:$BB$26,12,FALSE))</f>
        <v>2.2470000000001988E-2</v>
      </c>
      <c r="R64" s="1">
        <f>IF(R$56&lt;=$C$6,0,HLOOKUP(R$56,'Input data'!$C$9:$BB$26,12,FALSE)-HLOOKUP($C$6,'Input data'!$C$9:$BB$26,12,FALSE))</f>
        <v>2.190999999999832E-2</v>
      </c>
      <c r="S64" s="1">
        <f>IF(S$56&lt;=$C$6,0,HLOOKUP(S$56,'Input data'!$C$9:$BB$26,12,FALSE)-HLOOKUP($C$6,'Input data'!$C$9:$BB$26,12,FALSE))</f>
        <v>2.4719999999994968E-2</v>
      </c>
      <c r="T64" s="1">
        <f>IF(T$56&lt;=$C$6,0,HLOOKUP(T$56,'Input data'!$C$9:$BB$26,12,FALSE)-HLOOKUP($C$6,'Input data'!$C$9:$BB$26,12,FALSE))</f>
        <v>2.6859999999999218E-2</v>
      </c>
      <c r="U64" s="1">
        <f>IF(U$56&lt;=$C$6,0,HLOOKUP(U$56,'Input data'!$C$9:$BB$26,12,FALSE)-HLOOKUP($C$6,'Input data'!$C$9:$BB$26,12,FALSE))</f>
        <v>2.4549999999997851E-2</v>
      </c>
      <c r="V64" s="1">
        <f>IF(V$56&lt;=$C$6,0,HLOOKUP(V$56,'Input data'!$C$9:$BB$26,12,FALSE)-HLOOKUP($C$6,'Input data'!$C$9:$BB$26,12,FALSE))</f>
        <v>1.0049999999996118E-2</v>
      </c>
      <c r="W64" s="1">
        <f>IF(W$56&lt;=$C$6,0,HLOOKUP(W$56,'Input data'!$C$9:$BB$26,12,FALSE)-HLOOKUP($C$6,'Input data'!$C$9:$BB$26,12,FALSE))</f>
        <v>4.8029999999993578E-2</v>
      </c>
    </row>
    <row r="65" spans="2:23" outlineLevel="1" x14ac:dyDescent="0.2">
      <c r="B65" s="79" t="s">
        <v>112</v>
      </c>
      <c r="C65" s="1"/>
      <c r="D65" s="1">
        <f>IF(D$56&lt;=$C$5,0,-HLOOKUP(D$56,'Input data'!$C$9:$BB$26,18,FALSE)+HLOOKUP($C$6,'Input data'!$C$9:$BB$26,18,FALSE))</f>
        <v>0</v>
      </c>
      <c r="E65" s="1">
        <f>IF(E$56&lt;=$C$5,0,-HLOOKUP(E$56,'Input data'!$C$9:$BB$26,18,FALSE)+HLOOKUP($C$6,'Input data'!$C$9:$BB$26,18,FALSE))</f>
        <v>0</v>
      </c>
      <c r="F65" s="1">
        <f>IF(F$56&lt;=$C$5,0,-HLOOKUP(F$56,'Input data'!$C$9:$BB$26,18,FALSE)+HLOOKUP($C$6,'Input data'!$C$9:$BB$26,18,FALSE))</f>
        <v>0</v>
      </c>
      <c r="G65" s="1">
        <f>IF(G$56&lt;=$C$6,0,-HLOOKUP(G$56,'Input data'!$C$9:$BB$26,18,FALSE)+HLOOKUP($C$6,'Input data'!$C$9:$BB$26,18,FALSE))</f>
        <v>0</v>
      </c>
      <c r="H65" s="1">
        <f>IF(H$56&lt;=$C$6,0,-HLOOKUP(H$56,'Input data'!$C$9:$BB$26,18,FALSE)+HLOOKUP($C$6,'Input data'!$C$9:$BB$26,18,FALSE))</f>
        <v>0</v>
      </c>
      <c r="I65" s="1">
        <f>IF(I$56&lt;=$C$6,0,-HLOOKUP(I$56,'Input data'!$C$9:$BB$26,18,FALSE)+HLOOKUP($C$6,'Input data'!$C$9:$BB$26,18,FALSE))</f>
        <v>0</v>
      </c>
      <c r="J65" s="1">
        <f>IF(J$56&lt;=$C$6,0,-HLOOKUP(J$56,'Input data'!$C$9:$BB$26,18,FALSE)+HLOOKUP($C$6,'Input data'!$C$9:$BB$26,18,FALSE))</f>
        <v>0</v>
      </c>
      <c r="K65" s="1">
        <f>IF(K$56&lt;=$C$6,0,-HLOOKUP(K$56,'Input data'!$C$9:$BB$26,18,FALSE)+HLOOKUP($C$6,'Input data'!$C$9:$BB$26,18,FALSE))</f>
        <v>3.6709999999995357E-4</v>
      </c>
      <c r="L65" s="1">
        <f>IF(L$56&lt;=$C$6,0,-HLOOKUP(L$56,'Input data'!$C$9:$BB$26,18,FALSE)+HLOOKUP($C$6,'Input data'!$C$9:$BB$26,18,FALSE))</f>
        <v>7.3419999999990715E-4</v>
      </c>
      <c r="M65" s="1">
        <f>IF(M$56&lt;=$C$6,0,-HLOOKUP(M$56,'Input data'!$C$9:$BB$26,18,FALSE)+HLOOKUP($C$6,'Input data'!$C$9:$BB$26,18,FALSE))</f>
        <v>1.1012999999999717E-3</v>
      </c>
      <c r="N65" s="1">
        <f>IF(N$56&lt;=$C$6,0,-HLOOKUP(N$56,'Input data'!$C$9:$BB$26,18,FALSE)+HLOOKUP($C$6,'Input data'!$C$9:$BB$26,18,FALSE))</f>
        <v>1.468299999999978E-3</v>
      </c>
      <c r="O65" s="1">
        <f>IF(O$56&lt;=$C$6,0,-HLOOKUP(O$56,'Input data'!$C$9:$BB$26,18,FALSE)+HLOOKUP($C$6,'Input data'!$C$9:$BB$26,18,FALSE))</f>
        <v>1.8353999999999315E-3</v>
      </c>
      <c r="P65" s="1">
        <f>IF(P$56&lt;=$C$6,0,-HLOOKUP(P$56,'Input data'!$C$9:$BB$26,18,FALSE)+HLOOKUP($C$6,'Input data'!$C$9:$BB$26,18,FALSE))</f>
        <v>2.2024999999999961E-3</v>
      </c>
      <c r="Q65" s="1">
        <f>IF(Q$56&lt;=$C$6,0,-HLOOKUP(Q$56,'Input data'!$C$9:$BB$26,18,FALSE)+HLOOKUP($C$6,'Input data'!$C$9:$BB$26,18,FALSE))</f>
        <v>2.5695999999999497E-3</v>
      </c>
      <c r="R65" s="1">
        <f>IF(R$56&lt;=$C$6,0,-HLOOKUP(R$56,'Input data'!$C$9:$BB$26,18,FALSE)+HLOOKUP($C$6,'Input data'!$C$9:$BB$26,18,FALSE))</f>
        <v>2.9365999999999559E-3</v>
      </c>
      <c r="S65" s="1">
        <f>IF(S$56&lt;=$C$6,0,-HLOOKUP(S$56,'Input data'!$C$9:$BB$26,18,FALSE)+HLOOKUP($C$6,'Input data'!$C$9:$BB$26,18,FALSE))</f>
        <v>3.3036999999999095E-3</v>
      </c>
      <c r="T65" s="1">
        <f>IF(T$56&lt;=$C$6,0,-HLOOKUP(T$56,'Input data'!$C$9:$BB$26,18,FALSE)+HLOOKUP($C$6,'Input data'!$C$9:$BB$26,18,FALSE))</f>
        <v>3.6707999999999741E-3</v>
      </c>
      <c r="U65" s="1">
        <f>IF(U$56&lt;=$C$6,0,-HLOOKUP(U$56,'Input data'!$C$9:$BB$26,18,FALSE)+HLOOKUP($C$6,'Input data'!$C$9:$BB$26,18,FALSE))</f>
        <v>4.0378999999999277E-3</v>
      </c>
      <c r="V65" s="1">
        <f>IF(V$56&lt;=$C$6,0,-HLOOKUP(V$56,'Input data'!$C$9:$BB$26,18,FALSE)+HLOOKUP($C$6,'Input data'!$C$9:$BB$26,18,FALSE))</f>
        <v>4.4048999999999339E-3</v>
      </c>
      <c r="W65" s="1">
        <f>IF(W$56&lt;=$C$6,0,-HLOOKUP(W$56,'Input data'!$C$9:$BB$26,18,FALSE)+HLOOKUP($C$6,'Input data'!$C$9:$BB$26,18,FALSE))</f>
        <v>4.7719999999999985E-3</v>
      </c>
    </row>
    <row r="66" spans="2:23" outlineLevel="1" x14ac:dyDescent="0.2">
      <c r="B66" s="79" t="s">
        <v>113</v>
      </c>
      <c r="C66" s="37"/>
      <c r="D66" s="37">
        <v>0</v>
      </c>
      <c r="E66" s="37">
        <v>0</v>
      </c>
      <c r="F66" s="37">
        <v>0</v>
      </c>
      <c r="G66" s="37">
        <v>0</v>
      </c>
      <c r="H66" s="37">
        <v>0</v>
      </c>
      <c r="I66" s="37">
        <v>0</v>
      </c>
      <c r="J66" s="37">
        <v>0</v>
      </c>
      <c r="K66" s="37">
        <v>0</v>
      </c>
      <c r="L66" s="37">
        <v>0</v>
      </c>
      <c r="M66" s="37">
        <v>0</v>
      </c>
      <c r="N66" s="37">
        <v>0</v>
      </c>
      <c r="O66" s="37">
        <v>0</v>
      </c>
      <c r="P66" s="37">
        <v>0</v>
      </c>
      <c r="Q66" s="37">
        <v>0</v>
      </c>
      <c r="R66" s="37">
        <v>0</v>
      </c>
      <c r="S66" s="37">
        <v>0</v>
      </c>
      <c r="T66" s="37">
        <v>0</v>
      </c>
      <c r="U66" s="37">
        <v>0</v>
      </c>
      <c r="V66" s="37">
        <v>0</v>
      </c>
      <c r="W66" s="37">
        <v>0</v>
      </c>
    </row>
    <row r="67" spans="2:23" outlineLevel="1" x14ac:dyDescent="0.2">
      <c r="B67" s="84" t="s">
        <v>114</v>
      </c>
      <c r="C67" s="48"/>
      <c r="D67" s="48">
        <f t="shared" ref="D67:T67" si="19">SUM(D68:D71)</f>
        <v>-3.9343449999999893</v>
      </c>
      <c r="E67" s="48">
        <f>SUM(E68:E71)</f>
        <v>-4.8244000000000096</v>
      </c>
      <c r="F67" s="48">
        <f t="shared" si="19"/>
        <v>-1.723009000000004</v>
      </c>
      <c r="G67" s="48">
        <f t="shared" si="19"/>
        <v>-0.87339043608157585</v>
      </c>
      <c r="H67" s="48">
        <f t="shared" si="19"/>
        <v>5.3214048029124328E-2</v>
      </c>
      <c r="I67" s="48">
        <f t="shared" si="19"/>
        <v>0.11153530775073861</v>
      </c>
      <c r="J67" s="48">
        <f t="shared" si="19"/>
        <v>0.12813402189125522</v>
      </c>
      <c r="K67" s="48">
        <f t="shared" si="19"/>
        <v>-5.6645927292816367E-2</v>
      </c>
      <c r="L67" s="48">
        <f t="shared" si="19"/>
        <v>8.8138634587968667E-3</v>
      </c>
      <c r="M67" s="48">
        <f t="shared" si="19"/>
        <v>4.8706482934498307E-2</v>
      </c>
      <c r="N67" s="48">
        <f t="shared" si="19"/>
        <v>0.70045797283467337</v>
      </c>
      <c r="O67" s="48">
        <f t="shared" si="19"/>
        <v>0.77141163753061992</v>
      </c>
      <c r="P67" s="48">
        <f t="shared" si="19"/>
        <v>0.69842371944386938</v>
      </c>
      <c r="Q67" s="48">
        <f t="shared" si="19"/>
        <v>0.61660282368977937</v>
      </c>
      <c r="R67" s="48">
        <f t="shared" si="19"/>
        <v>0.5261106948394314</v>
      </c>
      <c r="S67" s="48">
        <f t="shared" si="19"/>
        <v>0.52157783582774719</v>
      </c>
      <c r="T67" s="48">
        <f t="shared" si="19"/>
        <v>0.47542151417089329</v>
      </c>
      <c r="U67" s="48">
        <f t="shared" ref="U67:W67" si="20">SUM(U68:U71)</f>
        <v>0.39977425284122248</v>
      </c>
      <c r="V67" s="48">
        <f t="shared" si="20"/>
        <v>0.28617243567820161</v>
      </c>
      <c r="W67" s="48">
        <f t="shared" si="20"/>
        <v>0.34004361257145055</v>
      </c>
    </row>
    <row r="68" spans="2:23" outlineLevel="1" x14ac:dyDescent="0.2">
      <c r="B68" s="79" t="s">
        <v>115</v>
      </c>
      <c r="C68" s="34"/>
      <c r="D68" s="34">
        <f>C57*D36/100*(1/(1+D33/100))</f>
        <v>1.9291893496307357</v>
      </c>
      <c r="E68" s="34">
        <f>D57*E36/100*(1/(1+E33/100))</f>
        <v>1.7238798121764791</v>
      </c>
      <c r="F68" s="34">
        <f t="shared" ref="F68:W68" si="21">E57*F36/100*(1/(1+F33/100))</f>
        <v>2.0358592181765802</v>
      </c>
      <c r="G68" s="34">
        <f>F57*G36/100*(1/(1+G33/100))</f>
        <v>2.3474680680281832</v>
      </c>
      <c r="H68" s="34">
        <f t="shared" si="21"/>
        <v>2.5225987762565869</v>
      </c>
      <c r="I68" s="34">
        <f t="shared" si="21"/>
        <v>2.6782009948830967</v>
      </c>
      <c r="J68" s="34">
        <f t="shared" si="21"/>
        <v>2.8111947272607889</v>
      </c>
      <c r="K68" s="34">
        <f t="shared" si="21"/>
        <v>3.0236189385866061</v>
      </c>
      <c r="L68" s="34">
        <f t="shared" si="21"/>
        <v>3.161316552320371</v>
      </c>
      <c r="M68" s="34">
        <f t="shared" si="21"/>
        <v>3.2809122238234183</v>
      </c>
      <c r="N68" s="34">
        <f t="shared" si="21"/>
        <v>3.4002728473588371</v>
      </c>
      <c r="O68" s="34">
        <f t="shared" si="21"/>
        <v>3.5177752819006902</v>
      </c>
      <c r="P68" s="34">
        <f t="shared" si="21"/>
        <v>3.6219076322405348</v>
      </c>
      <c r="Q68" s="34">
        <f t="shared" si="21"/>
        <v>3.7157174970670876</v>
      </c>
      <c r="R68" s="34">
        <f t="shared" si="21"/>
        <v>3.7975489611586326</v>
      </c>
      <c r="S68" s="34">
        <f t="shared" si="21"/>
        <v>3.8710387497332506</v>
      </c>
      <c r="T68" s="34">
        <f t="shared" si="21"/>
        <v>3.9356548106337161</v>
      </c>
      <c r="U68" s="34">
        <f t="shared" si="21"/>
        <v>3.9909731848959953</v>
      </c>
      <c r="V68" s="34">
        <f t="shared" si="21"/>
        <v>4.036015615264672</v>
      </c>
      <c r="W68" s="34">
        <f t="shared" si="21"/>
        <v>4.0767219728945934</v>
      </c>
    </row>
    <row r="69" spans="2:23" outlineLevel="1" x14ac:dyDescent="0.2">
      <c r="B69" s="79" t="s">
        <v>116</v>
      </c>
      <c r="C69" s="34"/>
      <c r="D69" s="34">
        <f t="shared" ref="D69:W69" si="22">-C57*(D23/100)*(1/(1+D33/100))</f>
        <v>-2.6292855605448495</v>
      </c>
      <c r="E69" s="34">
        <f>-D57*(E23/100)*(1/(1+E33/100))</f>
        <v>-0.7415072876041453</v>
      </c>
      <c r="F69" s="34">
        <f t="shared" si="22"/>
        <v>-0.77864258776474971</v>
      </c>
      <c r="G69" s="34">
        <f t="shared" si="22"/>
        <v>-0.97166587455257325</v>
      </c>
      <c r="H69" s="34">
        <f t="shared" si="22"/>
        <v>-0.11948741461083527</v>
      </c>
      <c r="I69" s="34">
        <f t="shared" si="22"/>
        <v>-0.10894705467824994</v>
      </c>
      <c r="J69" s="34">
        <f t="shared" si="22"/>
        <v>-0.12996706025784929</v>
      </c>
      <c r="K69" s="34">
        <f t="shared" si="22"/>
        <v>-0.44802949044314899</v>
      </c>
      <c r="L69" s="34">
        <f t="shared" si="22"/>
        <v>-0.45353706314969749</v>
      </c>
      <c r="M69" s="34">
        <f t="shared" si="22"/>
        <v>-0.47370882853226703</v>
      </c>
      <c r="N69" s="34">
        <f t="shared" si="22"/>
        <v>0.10987938540628761</v>
      </c>
      <c r="O69" s="34">
        <f t="shared" si="22"/>
        <v>0.12973394327976506</v>
      </c>
      <c r="P69" s="34">
        <f t="shared" si="22"/>
        <v>-7.856963418171764E-2</v>
      </c>
      <c r="Q69" s="34">
        <f t="shared" si="22"/>
        <v>-0.28601679881566505</v>
      </c>
      <c r="R69" s="34">
        <f t="shared" si="22"/>
        <v>-0.49221138459473024</v>
      </c>
      <c r="S69" s="34">
        <f t="shared" si="22"/>
        <v>-0.60620271427519534</v>
      </c>
      <c r="T69" s="34">
        <f t="shared" si="22"/>
        <v>-0.75286581625031346</v>
      </c>
      <c r="U69" s="34">
        <f t="shared" si="22"/>
        <v>-0.92062816682174076</v>
      </c>
      <c r="V69" s="34">
        <f t="shared" si="22"/>
        <v>-1.1177224332076006</v>
      </c>
      <c r="W69" s="34">
        <f t="shared" si="22"/>
        <v>-1.1457414551847023</v>
      </c>
    </row>
    <row r="70" spans="2:23" outlineLevel="1" x14ac:dyDescent="0.2">
      <c r="B70" s="79" t="s">
        <v>117</v>
      </c>
      <c r="C70" s="34"/>
      <c r="D70" s="34">
        <f t="shared" ref="D70:T70" si="23">-C57*D42/100*(1/(1+D42/100))</f>
        <v>-3.2342479962921198</v>
      </c>
      <c r="E70" s="34">
        <f>-D57*E42/100*(1/(1+E42/100))</f>
        <v>-5.8067720664528117</v>
      </c>
      <c r="F70" s="34">
        <f t="shared" si="23"/>
        <v>-2.9802260447603599</v>
      </c>
      <c r="G70" s="34">
        <f t="shared" si="23"/>
        <v>-2.2491919522042716</v>
      </c>
      <c r="H70" s="34">
        <f t="shared" si="23"/>
        <v>-2.3498973136166272</v>
      </c>
      <c r="I70" s="34">
        <f t="shared" si="23"/>
        <v>-2.457718632454108</v>
      </c>
      <c r="J70" s="34">
        <f t="shared" si="23"/>
        <v>-2.5530936451116846</v>
      </c>
      <c r="K70" s="34">
        <f t="shared" si="23"/>
        <v>-2.6322353754362737</v>
      </c>
      <c r="L70" s="34">
        <f t="shared" si="23"/>
        <v>-2.6989656257118768</v>
      </c>
      <c r="M70" s="34">
        <f t="shared" si="23"/>
        <v>-2.758496912356653</v>
      </c>
      <c r="N70" s="34">
        <f t="shared" si="23"/>
        <v>-2.8096942599304513</v>
      </c>
      <c r="O70" s="34">
        <f t="shared" si="23"/>
        <v>-2.8760975876498351</v>
      </c>
      <c r="P70" s="34">
        <f t="shared" si="23"/>
        <v>-2.8449142786149477</v>
      </c>
      <c r="Q70" s="34">
        <f t="shared" si="23"/>
        <v>-2.8130978745616431</v>
      </c>
      <c r="R70" s="34">
        <f t="shared" si="23"/>
        <v>-2.7792268817244707</v>
      </c>
      <c r="S70" s="34">
        <f t="shared" si="23"/>
        <v>-2.7432581996303078</v>
      </c>
      <c r="T70" s="34">
        <f t="shared" si="23"/>
        <v>-2.7073674802125094</v>
      </c>
      <c r="U70" s="34">
        <f t="shared" ref="U70" si="24">-T57*U42/100*(1/(1+U42/100))</f>
        <v>-2.6705707652330322</v>
      </c>
      <c r="V70" s="34">
        <f t="shared" ref="V70" si="25">-U57*V42/100*(1/(1+V42/100))</f>
        <v>-2.6321207463788698</v>
      </c>
      <c r="W70" s="34">
        <f t="shared" ref="W70" si="26">-V57*W42/100*(1/(1+W42/100))</f>
        <v>-2.5909369051384403</v>
      </c>
    </row>
    <row r="71" spans="2:23" outlineLevel="1" x14ac:dyDescent="0.2">
      <c r="B71" s="79" t="s">
        <v>118</v>
      </c>
      <c r="C71" s="49"/>
      <c r="D71" s="49">
        <f>'Baseline NFPC'!D70</f>
        <v>-7.9279375553298337E-7</v>
      </c>
      <c r="E71" s="49">
        <f>'Baseline NFPC'!E70</f>
        <v>-4.5811953164331953E-7</v>
      </c>
      <c r="F71" s="49">
        <f>'Baseline NFPC'!F70</f>
        <v>4.1434852549038226E-7</v>
      </c>
      <c r="G71" s="49">
        <f>'Baseline NFPC'!G70</f>
        <v>-6.7735291420234489E-7</v>
      </c>
      <c r="H71" s="49">
        <f>'Baseline NFPC'!H70</f>
        <v>0</v>
      </c>
      <c r="I71" s="49">
        <f>'Baseline NFPC'!I70</f>
        <v>0</v>
      </c>
      <c r="J71" s="49">
        <f>'Baseline NFPC'!J70</f>
        <v>0</v>
      </c>
      <c r="K71" s="49">
        <f>'Baseline NFPC'!K70</f>
        <v>0</v>
      </c>
      <c r="L71" s="49">
        <f>'Baseline NFPC'!L70</f>
        <v>0</v>
      </c>
      <c r="M71" s="49">
        <f>'Baseline NFPC'!M70</f>
        <v>0</v>
      </c>
      <c r="N71" s="49">
        <f>'Baseline NFPC'!N70</f>
        <v>0</v>
      </c>
      <c r="O71" s="49">
        <f>'Baseline NFPC'!O70</f>
        <v>0</v>
      </c>
      <c r="P71" s="49">
        <f>'Baseline NFPC'!P70</f>
        <v>0</v>
      </c>
      <c r="Q71" s="49">
        <f>'Baseline NFPC'!Q70</f>
        <v>0</v>
      </c>
      <c r="R71" s="49">
        <f>'Baseline NFPC'!R70</f>
        <v>0</v>
      </c>
      <c r="S71" s="49">
        <f>'Baseline NFPC'!S70</f>
        <v>0</v>
      </c>
      <c r="T71" s="49">
        <f>'Baseline NFPC'!T70</f>
        <v>0</v>
      </c>
      <c r="U71" s="49">
        <f>'Baseline NFPC'!U70</f>
        <v>0</v>
      </c>
      <c r="V71" s="49">
        <f>'Baseline NFPC'!V70</f>
        <v>0</v>
      </c>
      <c r="W71" s="49">
        <f>'Baseline NFPC'!W70</f>
        <v>0</v>
      </c>
    </row>
    <row r="72" spans="2:23" outlineLevel="1" x14ac:dyDescent="0.2">
      <c r="B72" s="84" t="s">
        <v>119</v>
      </c>
      <c r="C72" s="50"/>
      <c r="D72" s="50">
        <f>'Input data'!D16</f>
        <v>4.26056E-2</v>
      </c>
      <c r="E72" s="50">
        <f>'Input data'!E16</f>
        <v>-0.21881439999999999</v>
      </c>
      <c r="F72" s="50">
        <f>'Input data'!F16</f>
        <v>0.2108082</v>
      </c>
      <c r="G72" s="50">
        <f>'Input data'!G16</f>
        <v>3.1290600000000002E-2</v>
      </c>
      <c r="H72" s="50">
        <f>'Input data'!H16</f>
        <v>0</v>
      </c>
      <c r="I72" s="50">
        <f>'Input data'!I16</f>
        <v>0</v>
      </c>
      <c r="J72" s="50">
        <f>'Input data'!J16</f>
        <v>0</v>
      </c>
      <c r="K72" s="50">
        <f>'Input data'!K16</f>
        <v>0</v>
      </c>
      <c r="L72" s="50">
        <f>'Input data'!L16</f>
        <v>0</v>
      </c>
      <c r="M72" s="50">
        <f>'Input data'!M16</f>
        <v>0</v>
      </c>
      <c r="N72" s="50">
        <f>'Input data'!N16</f>
        <v>0</v>
      </c>
      <c r="O72" s="50">
        <f>'Input data'!O16</f>
        <v>0</v>
      </c>
      <c r="P72" s="50">
        <f>'Input data'!P16</f>
        <v>0</v>
      </c>
      <c r="Q72" s="50">
        <f>'Input data'!Q16</f>
        <v>0</v>
      </c>
      <c r="R72" s="50">
        <f>'Input data'!R16</f>
        <v>0</v>
      </c>
      <c r="S72" s="50">
        <f>'Input data'!S16</f>
        <v>0</v>
      </c>
      <c r="T72" s="50">
        <f>'Input data'!T16</f>
        <v>0</v>
      </c>
      <c r="U72" s="50">
        <f>'Input data'!U16</f>
        <v>0</v>
      </c>
      <c r="V72" s="50">
        <f>'Input data'!V16</f>
        <v>0</v>
      </c>
      <c r="W72" s="50">
        <f>'Input data'!W16</f>
        <v>0</v>
      </c>
    </row>
    <row r="73" spans="2:23" outlineLevel="1" x14ac:dyDescent="0.2">
      <c r="B73" s="79" t="s">
        <v>120</v>
      </c>
      <c r="C73" s="34"/>
      <c r="D73" s="34">
        <f t="shared" ref="D73:W73" si="27">D14</f>
        <v>4.2606100000000001E-2</v>
      </c>
      <c r="E73" s="34">
        <f t="shared" si="27"/>
        <v>-0.21881729999999999</v>
      </c>
      <c r="F73" s="34">
        <f t="shared" si="27"/>
        <v>0.21081169999999999</v>
      </c>
      <c r="G73" s="34">
        <f t="shared" si="27"/>
        <v>3.1292399999999998E-2</v>
      </c>
      <c r="H73" s="34">
        <f t="shared" si="27"/>
        <v>0</v>
      </c>
      <c r="I73" s="34">
        <f t="shared" si="27"/>
        <v>0</v>
      </c>
      <c r="J73" s="34">
        <f t="shared" si="27"/>
        <v>0</v>
      </c>
      <c r="K73" s="34">
        <f t="shared" si="27"/>
        <v>0</v>
      </c>
      <c r="L73" s="34">
        <f t="shared" si="27"/>
        <v>0</v>
      </c>
      <c r="M73" s="34">
        <f t="shared" si="27"/>
        <v>0</v>
      </c>
      <c r="N73" s="34">
        <f t="shared" si="27"/>
        <v>0</v>
      </c>
      <c r="O73" s="34">
        <f t="shared" si="27"/>
        <v>0</v>
      </c>
      <c r="P73" s="34">
        <f t="shared" si="27"/>
        <v>0</v>
      </c>
      <c r="Q73" s="34">
        <f t="shared" si="27"/>
        <v>0</v>
      </c>
      <c r="R73" s="34">
        <f t="shared" si="27"/>
        <v>0</v>
      </c>
      <c r="S73" s="34">
        <f t="shared" si="27"/>
        <v>0</v>
      </c>
      <c r="T73" s="34">
        <f t="shared" si="27"/>
        <v>0</v>
      </c>
      <c r="U73" s="34">
        <f t="shared" si="27"/>
        <v>0</v>
      </c>
      <c r="V73" s="34">
        <f t="shared" si="27"/>
        <v>0</v>
      </c>
      <c r="W73" s="34">
        <f t="shared" si="27"/>
        <v>0</v>
      </c>
    </row>
    <row r="74" spans="2:23" outlineLevel="1" x14ac:dyDescent="0.2">
      <c r="B74" s="89" t="s">
        <v>121</v>
      </c>
      <c r="C74" s="49"/>
      <c r="D74" s="49">
        <f>+D72-D73</f>
        <v>-5.0000000000050004E-7</v>
      </c>
      <c r="E74" s="49">
        <f t="shared" ref="E74:T74" si="28">+E72-E73</f>
        <v>2.9000000000001247E-6</v>
      </c>
      <c r="F74" s="49">
        <f t="shared" si="28"/>
        <v>-3.4999999999896225E-6</v>
      </c>
      <c r="G74" s="49">
        <f t="shared" si="28"/>
        <v>-1.799999999996249E-6</v>
      </c>
      <c r="H74" s="49">
        <f t="shared" si="28"/>
        <v>0</v>
      </c>
      <c r="I74" s="49">
        <f t="shared" si="28"/>
        <v>0</v>
      </c>
      <c r="J74" s="49">
        <f t="shared" si="28"/>
        <v>0</v>
      </c>
      <c r="K74" s="49">
        <f t="shared" si="28"/>
        <v>0</v>
      </c>
      <c r="L74" s="49">
        <f t="shared" si="28"/>
        <v>0</v>
      </c>
      <c r="M74" s="49">
        <f t="shared" si="28"/>
        <v>0</v>
      </c>
      <c r="N74" s="49">
        <f t="shared" si="28"/>
        <v>0</v>
      </c>
      <c r="O74" s="49">
        <f t="shared" si="28"/>
        <v>0</v>
      </c>
      <c r="P74" s="49">
        <f t="shared" si="28"/>
        <v>0</v>
      </c>
      <c r="Q74" s="49">
        <f t="shared" si="28"/>
        <v>0</v>
      </c>
      <c r="R74" s="49">
        <f t="shared" si="28"/>
        <v>0</v>
      </c>
      <c r="S74" s="49">
        <f t="shared" si="28"/>
        <v>0</v>
      </c>
      <c r="T74" s="49">
        <f t="shared" si="28"/>
        <v>0</v>
      </c>
      <c r="U74" s="49">
        <f t="shared" ref="U74:W74" si="29">+U72-U73</f>
        <v>0</v>
      </c>
      <c r="V74" s="49">
        <f t="shared" si="29"/>
        <v>0</v>
      </c>
      <c r="W74" s="49">
        <f t="shared" si="29"/>
        <v>0</v>
      </c>
    </row>
    <row r="76" spans="2:23" x14ac:dyDescent="0.2">
      <c r="B76" s="51" t="s">
        <v>187</v>
      </c>
      <c r="C76" s="51"/>
      <c r="D76" s="51"/>
      <c r="E76" s="51"/>
      <c r="F76" s="51"/>
      <c r="G76" s="51"/>
      <c r="H76" s="51"/>
      <c r="I76" s="51"/>
      <c r="J76" s="51"/>
      <c r="K76" s="51">
        <f t="shared" ref="K76:W76" si="30">IF(K57&lt;J57,0,1)</f>
        <v>0</v>
      </c>
      <c r="L76" s="51">
        <f t="shared" si="30"/>
        <v>0</v>
      </c>
      <c r="M76" s="51">
        <f t="shared" si="30"/>
        <v>0</v>
      </c>
      <c r="N76" s="51">
        <f t="shared" si="30"/>
        <v>0</v>
      </c>
      <c r="O76" s="51">
        <f t="shared" si="30"/>
        <v>0</v>
      </c>
      <c r="P76" s="51">
        <f t="shared" si="30"/>
        <v>0</v>
      </c>
      <c r="Q76" s="51">
        <f t="shared" si="30"/>
        <v>0</v>
      </c>
      <c r="R76" s="51">
        <f t="shared" si="30"/>
        <v>0</v>
      </c>
      <c r="S76" s="51">
        <f t="shared" si="30"/>
        <v>0</v>
      </c>
      <c r="T76" s="51">
        <f t="shared" si="30"/>
        <v>0</v>
      </c>
      <c r="U76" s="51">
        <f t="shared" si="30"/>
        <v>0</v>
      </c>
      <c r="V76" s="51">
        <f t="shared" si="30"/>
        <v>0</v>
      </c>
      <c r="W76" s="51">
        <f t="shared" si="30"/>
        <v>0</v>
      </c>
    </row>
    <row r="77" spans="2:23" x14ac:dyDescent="0.2">
      <c r="D77" s="53"/>
    </row>
    <row r="78" spans="2:23" s="93" customFormat="1" ht="12.75" outlineLevel="1" x14ac:dyDescent="0.2">
      <c r="B78" s="94" t="s">
        <v>124</v>
      </c>
      <c r="C78" s="95"/>
      <c r="E78" s="96"/>
      <c r="F78" s="95"/>
    </row>
    <row r="79" spans="2:23" x14ac:dyDescent="0.2">
      <c r="C79" s="34"/>
      <c r="D79" s="34"/>
      <c r="E79" s="34"/>
      <c r="F79" s="34"/>
      <c r="G79" s="34"/>
      <c r="H79" s="34"/>
      <c r="I79" s="34"/>
      <c r="J79" s="34"/>
      <c r="K79" s="34"/>
      <c r="L79" s="34"/>
      <c r="M79" s="34"/>
      <c r="N79" s="34"/>
      <c r="O79" s="34"/>
      <c r="P79" s="34"/>
      <c r="Q79" s="34"/>
      <c r="R79" s="34"/>
      <c r="S79" s="34"/>
      <c r="T79" s="34"/>
      <c r="U79" s="34"/>
      <c r="V79" s="34"/>
      <c r="W79" s="34"/>
    </row>
    <row r="80" spans="2:23" x14ac:dyDescent="0.2">
      <c r="B80" s="26" t="s">
        <v>125</v>
      </c>
      <c r="E80" s="29">
        <f t="shared" ref="E80" si="31">IF((E84-D84*E43/((1+E23/100)*(1+E42/100)))&gt;0,1,0)</f>
        <v>1</v>
      </c>
      <c r="F80" s="29">
        <f t="shared" ref="F80" si="32">IF((F84-E84*F43/((1+F23/100)*(1+F42/100)))&gt;0,1,0)</f>
        <v>1</v>
      </c>
      <c r="G80" s="29">
        <f t="shared" ref="G80:W80" si="33">IF((G84-F84*G43/((1+G23/100)*(1+G42/100)))&gt;0,1,0)</f>
        <v>1</v>
      </c>
      <c r="H80" s="29">
        <f t="shared" si="33"/>
        <v>1</v>
      </c>
      <c r="I80" s="29">
        <f t="shared" si="33"/>
        <v>1</v>
      </c>
      <c r="J80" s="29">
        <f t="shared" si="33"/>
        <v>1</v>
      </c>
      <c r="K80" s="29">
        <f t="shared" si="33"/>
        <v>1</v>
      </c>
      <c r="L80" s="29">
        <f t="shared" si="33"/>
        <v>1</v>
      </c>
      <c r="M80" s="29">
        <f t="shared" si="33"/>
        <v>1</v>
      </c>
      <c r="N80" s="29">
        <f t="shared" si="33"/>
        <v>1</v>
      </c>
      <c r="O80" s="29">
        <f t="shared" si="33"/>
        <v>1</v>
      </c>
      <c r="P80" s="29">
        <f t="shared" si="33"/>
        <v>1</v>
      </c>
      <c r="Q80" s="29">
        <f t="shared" si="33"/>
        <v>1</v>
      </c>
      <c r="R80" s="29">
        <f t="shared" si="33"/>
        <v>1</v>
      </c>
      <c r="S80" s="29">
        <f t="shared" si="33"/>
        <v>1</v>
      </c>
      <c r="T80" s="29">
        <f t="shared" si="33"/>
        <v>1</v>
      </c>
      <c r="U80" s="29">
        <f t="shared" si="33"/>
        <v>1</v>
      </c>
      <c r="V80" s="29">
        <f t="shared" si="33"/>
        <v>1</v>
      </c>
      <c r="W80" s="29">
        <f t="shared" si="33"/>
        <v>1</v>
      </c>
    </row>
    <row r="81" spans="2:23" x14ac:dyDescent="0.2">
      <c r="B81" s="26" t="s">
        <v>126</v>
      </c>
      <c r="E81" s="29">
        <f t="shared" ref="E81" si="34">IF(AND(E80=0,ABS(E84-D84*E43/((1+E23/100)*(1+E42/100)))&lt;((D90*D84*E43/((1+E23/100)*(1+E42/100))+(E39*D84*D91*E43/((1+E23/100)*(1+E42/100)))))),1,0)</f>
        <v>0</v>
      </c>
      <c r="F81" s="29">
        <f t="shared" ref="F81" si="35">IF(AND(F80=0,ABS(F84-E84*F43/((1+F23/100)*(1+F42/100)))&lt;((E90*E84*F43/((1+F23/100)*(1+F42/100))+(F39*E84*E91*F43/((1+F23/100)*(1+F42/100)))))),1,0)</f>
        <v>0</v>
      </c>
      <c r="G81" s="29">
        <f t="shared" ref="G81:W81" si="36">IF(AND(G80=0,ABS(G84-F84*G43/((1+G23/100)*(1+G42/100)))&lt;((F90*F84*G43/((1+G23/100)*(1+G42/100))+(G39*F84*F91*G43/((1+G23/100)*(1+G42/100)))))),1,0)</f>
        <v>0</v>
      </c>
      <c r="H81" s="29">
        <f t="shared" si="36"/>
        <v>0</v>
      </c>
      <c r="I81" s="29">
        <f t="shared" si="36"/>
        <v>0</v>
      </c>
      <c r="J81" s="29">
        <f t="shared" si="36"/>
        <v>0</v>
      </c>
      <c r="K81" s="29">
        <f t="shared" si="36"/>
        <v>0</v>
      </c>
      <c r="L81" s="29">
        <f t="shared" si="36"/>
        <v>0</v>
      </c>
      <c r="M81" s="29">
        <f t="shared" si="36"/>
        <v>0</v>
      </c>
      <c r="N81" s="29">
        <f t="shared" si="36"/>
        <v>0</v>
      </c>
      <c r="O81" s="29">
        <f t="shared" si="36"/>
        <v>0</v>
      </c>
      <c r="P81" s="29">
        <f t="shared" si="36"/>
        <v>0</v>
      </c>
      <c r="Q81" s="29">
        <f t="shared" si="36"/>
        <v>0</v>
      </c>
      <c r="R81" s="29">
        <f t="shared" si="36"/>
        <v>0</v>
      </c>
      <c r="S81" s="29">
        <f t="shared" si="36"/>
        <v>0</v>
      </c>
      <c r="T81" s="29">
        <f t="shared" si="36"/>
        <v>0</v>
      </c>
      <c r="U81" s="29">
        <f t="shared" si="36"/>
        <v>0</v>
      </c>
      <c r="V81" s="29">
        <f t="shared" si="36"/>
        <v>0</v>
      </c>
      <c r="W81" s="29">
        <f t="shared" si="36"/>
        <v>0</v>
      </c>
    </row>
    <row r="83" spans="2:23" x14ac:dyDescent="0.2">
      <c r="B83" s="51"/>
      <c r="C83" s="86">
        <v>2021</v>
      </c>
      <c r="D83" s="86">
        <v>2022</v>
      </c>
      <c r="E83" s="86">
        <v>2023</v>
      </c>
      <c r="F83" s="86">
        <v>2024</v>
      </c>
      <c r="G83" s="86">
        <v>2025</v>
      </c>
      <c r="H83" s="86">
        <v>2026</v>
      </c>
      <c r="I83" s="86">
        <v>2027</v>
      </c>
      <c r="J83" s="86">
        <v>2028</v>
      </c>
      <c r="K83" s="86">
        <v>2029</v>
      </c>
      <c r="L83" s="86">
        <v>2030</v>
      </c>
      <c r="M83" s="86">
        <v>2031</v>
      </c>
      <c r="N83" s="86">
        <v>2032</v>
      </c>
      <c r="O83" s="86">
        <v>2033</v>
      </c>
      <c r="P83" s="86">
        <v>2034</v>
      </c>
      <c r="Q83" s="86">
        <v>2035</v>
      </c>
      <c r="R83" s="86">
        <v>2036</v>
      </c>
      <c r="S83" s="86">
        <v>2037</v>
      </c>
      <c r="T83" s="86">
        <v>2038</v>
      </c>
      <c r="U83" s="86">
        <v>2039</v>
      </c>
      <c r="V83" s="86">
        <v>2040</v>
      </c>
      <c r="W83" s="86">
        <v>2041</v>
      </c>
    </row>
    <row r="84" spans="2:23" x14ac:dyDescent="0.2">
      <c r="B84" s="106" t="s">
        <v>104</v>
      </c>
      <c r="C84" s="110">
        <f>C57</f>
        <v>112.97329999999999</v>
      </c>
      <c r="D84" s="110">
        <f>D57</f>
        <v>111.91816702562221</v>
      </c>
      <c r="E84" s="110">
        <f>E57</f>
        <v>110.64326790048331</v>
      </c>
      <c r="F84" s="110">
        <f>F57</f>
        <v>112.40882173205914</v>
      </c>
      <c r="G84" s="110">
        <f>G57</f>
        <v>113.96873574495558</v>
      </c>
      <c r="H84" s="110">
        <f>G84*(1+H98/100)*H43-H60-H61+H62+H63+H64+H65+H66+H72</f>
        <v>115.77838065922458</v>
      </c>
      <c r="I84" s="110">
        <f t="shared" ref="I84:T84" si="37">H84*(1+I98/100)*I43-I60-I61+I62+I63+I64+I65+I66+I72</f>
        <v>116.92117165766111</v>
      </c>
      <c r="J84" s="110">
        <f t="shared" si="37"/>
        <v>117.28270034717912</v>
      </c>
      <c r="K84" s="110">
        <f t="shared" si="37"/>
        <v>117.09056829830411</v>
      </c>
      <c r="L84" s="110">
        <f t="shared" si="37"/>
        <v>116.60769525097179</v>
      </c>
      <c r="M84" s="110">
        <f t="shared" si="37"/>
        <v>115.8090340339063</v>
      </c>
      <c r="N84" s="110">
        <f t="shared" si="37"/>
        <v>115.6642382798003</v>
      </c>
      <c r="O84" s="110">
        <f t="shared" si="37"/>
        <v>115.62645158743358</v>
      </c>
      <c r="P84" s="110">
        <f t="shared" si="37"/>
        <v>115.56251168464763</v>
      </c>
      <c r="Q84" s="110">
        <f t="shared" si="37"/>
        <v>115.41253515829882</v>
      </c>
      <c r="R84" s="110">
        <f t="shared" si="37"/>
        <v>115.17187293857739</v>
      </c>
      <c r="S84" s="110">
        <f t="shared" si="37"/>
        <v>114.92985370663786</v>
      </c>
      <c r="T84" s="110">
        <f t="shared" si="37"/>
        <v>114.64418775613593</v>
      </c>
      <c r="U84" s="110">
        <f>T84*(1+U98/100)*U43-U60-U61+U62+U63+U64+U65+U66+U72</f>
        <v>114.28093289394501</v>
      </c>
      <c r="V84" s="110">
        <f t="shared" ref="V84:W84" si="38">U84*(1+V98/100)*V43-V60-V61+V62+V63+V64+V65+V66+V72</f>
        <v>113.78994570936345</v>
      </c>
      <c r="W84" s="110">
        <f t="shared" si="38"/>
        <v>113.3911743076397</v>
      </c>
    </row>
    <row r="85" spans="2:23" x14ac:dyDescent="0.2">
      <c r="B85" s="26" t="s">
        <v>127</v>
      </c>
      <c r="C85" s="34"/>
      <c r="D85" s="254">
        <f>'Input data'!C66*$D$84</f>
        <v>88.101484042716251</v>
      </c>
      <c r="E85" s="34">
        <f t="shared" ref="E85" si="39">IF(E84=0,0,IF(E80=1,D84*E43/((1+E23/100)*(1+E42/100))-E86-E87,IF(AND(E80=0,E81=1),(1-D90-E39*D91)*D84*E43/((1+E23/100)*(1+E42/100)),E84)))</f>
        <v>86.822089359001325</v>
      </c>
      <c r="F85" s="34">
        <f t="shared" ref="F85" si="40">IF(F84=0,0,IF(F80=1,E84*F43/((1+F23/100)*(1+F42/100))-F86-F87,IF(AND(F80=0,F81=1),(1-E90-F39*E91)*E84*F43/((1+F23/100)*(1+F42/100)),F84)))</f>
        <v>88.105043933307712</v>
      </c>
      <c r="G85" s="34">
        <f t="shared" ref="G85" si="41">IF(G84=0,0,IF(G80=1,F84*G43/((1+G23/100)*(1+G42/100))-G86-G87,IF(AND(G80=0,G81=1),(1-F90-G39*F91)*F84*G43/((1+G23/100)*(1+G42/100)),G84)))</f>
        <v>89.990881634573597</v>
      </c>
      <c r="H85" s="34">
        <f t="shared" ref="H85:W85" si="42">IF(H84=0,0,IF(H80=1,G84*H43/((1+H23/100)*(1+H42/100))-H86-H87,IF(AND(H80=0,H81=1),(1-G90-H39*G91)*G84*H43/((1+H23/100)*(1+H42/100)),H84)))</f>
        <v>91.876700047388979</v>
      </c>
      <c r="I85" s="34">
        <f t="shared" si="42"/>
        <v>93.264193434217304</v>
      </c>
      <c r="J85" s="34">
        <f t="shared" si="42"/>
        <v>94.08220278214425</v>
      </c>
      <c r="K85" s="34">
        <f t="shared" si="42"/>
        <v>94.0215200925511</v>
      </c>
      <c r="L85" s="34">
        <f t="shared" si="42"/>
        <v>93.771560804457209</v>
      </c>
      <c r="M85" s="34">
        <f t="shared" si="42"/>
        <v>93.275153333738714</v>
      </c>
      <c r="N85" s="34">
        <f t="shared" si="42"/>
        <v>93.02152847567065</v>
      </c>
      <c r="O85" s="34">
        <f t="shared" si="42"/>
        <v>92.829961818579534</v>
      </c>
      <c r="P85" s="34">
        <f t="shared" si="42"/>
        <v>92.664594668743277</v>
      </c>
      <c r="Q85" s="34">
        <f t="shared" si="42"/>
        <v>92.479259686439704</v>
      </c>
      <c r="R85" s="34">
        <f t="shared" si="42"/>
        <v>92.225920297573367</v>
      </c>
      <c r="S85" s="34">
        <f t="shared" si="42"/>
        <v>91.97552827235036</v>
      </c>
      <c r="T85" s="34">
        <f t="shared" si="42"/>
        <v>91.697017582749737</v>
      </c>
      <c r="U85" s="34">
        <f t="shared" si="42"/>
        <v>91.365869222908813</v>
      </c>
      <c r="V85" s="34">
        <f t="shared" si="42"/>
        <v>90.94792244720351</v>
      </c>
      <c r="W85" s="34">
        <f t="shared" si="42"/>
        <v>90.565972397152933</v>
      </c>
    </row>
    <row r="86" spans="2:23" x14ac:dyDescent="0.2">
      <c r="B86" s="105" t="s">
        <v>128</v>
      </c>
      <c r="C86" s="34"/>
      <c r="D86" s="254">
        <f>'Input data'!C67*$D$84</f>
        <v>7.8233646950070757</v>
      </c>
      <c r="E86" s="34">
        <f t="shared" ref="E86" si="43">IF(E84=0,0,IF(E80=1,E39*D84*D91*E43/((1+E23/100)*(1+E42/100)),IF(AND(E80=0,E81=1),(E39*D84*D91*E43/((1+E23/100)*(1+E42/100)))*(1-ABS(E84-D84*E43/((1+E23/100)*(1+E42/100)))/((E39*D84*D91*E43/((1+E23/100)*(1+E42/100)))+(D90*D84*E43/((1+E23/100)*(1+E42/100))))),0)))</f>
        <v>7.5445628892559569</v>
      </c>
      <c r="F86" s="34">
        <f t="shared" ref="F86" si="44">IF(F84=0,0,IF(F80=1,F39*E84*E91*F43/((1+F23/100)*(1+F42/100)),IF(AND(F80=0,F81=1),(F39*E84*E91*F43/((1+F23/100)*(1+F42/100)))*(1-ABS(F84-E84*F43/((1+F23/100)*(1+F42/100)))/((F39*E84*E91*F43/((1+F23/100)*(1+F42/100)))+(E90*E84*F43/((1+F23/100)*(1+F42/100))))),0)))</f>
        <v>7.6510882826547091</v>
      </c>
      <c r="G86" s="34">
        <f t="shared" ref="G86" si="45">IF(G84=0,0,IF(G80=1,G39*F84*F91*G43/((1+G23/100)*(1+G42/100)),IF(AND(G80=0,G81=1),(G39*F84*F91*G43/((1+G23/100)*(1+G42/100)))*(1-ABS(G84-F84*G43/((1+G23/100)*(1+G42/100)))/((G39*F84*F91*G43/((1+G23/100)*(1+G42/100)))+(F90*F84*G43/((1+G23/100)*(1+G42/100))))),0)))</f>
        <v>7.8622250940045477</v>
      </c>
      <c r="H86" s="34">
        <f t="shared" ref="H86:W86" si="46">IF(H84=0,0,IF(H80=1,H39*G84*G91*H43/((1+H23/100)*(1+H42/100)),IF(AND(H80=0,H81=1),(H39*G84*G91*H43/((1+H23/100)*(1+H42/100)))*(1-ABS(H84-G84*H43/((1+H23/100)*(1+H42/100)))/((H39*G84*G91*H43/((1+H23/100)*(1+H42/100)))+(G90*G84*H43/((1+H23/100)*(1+H42/100))))),0)))</f>
        <v>8.0753924248341047</v>
      </c>
      <c r="I86" s="34">
        <f t="shared" si="46"/>
        <v>8.2465324062575291</v>
      </c>
      <c r="J86" s="34">
        <f t="shared" si="46"/>
        <v>8.3685292471807706</v>
      </c>
      <c r="K86" s="34">
        <f t="shared" si="46"/>
        <v>8.4128151808633138</v>
      </c>
      <c r="L86" s="34">
        <f t="shared" si="46"/>
        <v>8.440049070989831</v>
      </c>
      <c r="M86" s="34">
        <f t="shared" si="46"/>
        <v>8.4447541706434013</v>
      </c>
      <c r="N86" s="34">
        <f t="shared" si="46"/>
        <v>8.4710905841648891</v>
      </c>
      <c r="O86" s="34">
        <f t="shared" si="46"/>
        <v>8.5028902865690714</v>
      </c>
      <c r="P86" s="34">
        <f t="shared" si="46"/>
        <v>8.4877432510159565</v>
      </c>
      <c r="Q86" s="34">
        <f t="shared" si="46"/>
        <v>8.4707672338990854</v>
      </c>
      <c r="R86" s="34">
        <f t="shared" si="46"/>
        <v>8.4475622579775553</v>
      </c>
      <c r="S86" s="34">
        <f t="shared" si="46"/>
        <v>8.4246272499543515</v>
      </c>
      <c r="T86" s="34">
        <f t="shared" si="46"/>
        <v>8.3991166735098712</v>
      </c>
      <c r="U86" s="34">
        <f t="shared" si="46"/>
        <v>8.3687846759829565</v>
      </c>
      <c r="V86" s="34">
        <f t="shared" si="46"/>
        <v>8.3305022560634843</v>
      </c>
      <c r="W86" s="34">
        <f t="shared" si="46"/>
        <v>8.2955170066148582</v>
      </c>
    </row>
    <row r="87" spans="2:23" x14ac:dyDescent="0.2">
      <c r="B87" s="105" t="s">
        <v>129</v>
      </c>
      <c r="C87" s="34"/>
      <c r="D87" s="254">
        <f>'Input data'!C68*$D$84</f>
        <v>11.184916704595164</v>
      </c>
      <c r="E87" s="34">
        <f t="shared" ref="E87" si="47">IF(E84=0,0,IF(E80=1,(1-D91)*D84*E43/((1+E23/100)*(1+E42/100)),IF(AND(E80=0,E81=1),(D90*D84*E43/((1+E23/100)*(1+E42/100)))*(1-ABS(E84-D84*E43/((1+E23/100)*(1+E42/100)))/((E39*D84*D91*E43/((1+E23/100)*(1+E42/100)))+(D90*D84*E43/((1+E23/100)*(1+E42/100))))),0)))</f>
        <v>11.003235423307967</v>
      </c>
      <c r="F87" s="34">
        <f t="shared" ref="F87" si="48">IF(F84=0,0,IF(F80=1,(1-E91)*E84*F43/((1+F23/100)*(1+F42/100)),IF(AND(F80=0,F81=1),(E90*E84*F43/((1+F23/100)*(1+F42/100)))*(1-ABS(F84-E84*F43/((1+F23/100)*(1+F42/100)))/((F39*E84*E91*F43/((1+F23/100)*(1+F42/100)))+(E90*E84*F43/((1+F23/100)*(1+F42/100))))),0)))</f>
        <v>11.128256363555845</v>
      </c>
      <c r="G87" s="34">
        <f t="shared" ref="G87" si="49">IF(G84=0,0,IF(G80=1,(1-F91)*F84*G43/((1+G23/100)*(1+G42/100)),IF(AND(G80=0,G81=1),(F90*F84*G43/((1+G23/100)*(1+G42/100)))*(1-ABS(G84-F84*G43/((1+G23/100)*(1+G42/100)))/((G39*F84*F91*G43/((1+G23/100)*(1+G42/100)))+(F90*F84*G43/((1+G23/100)*(1+G42/100))))),0)))</f>
        <v>11.334857176724176</v>
      </c>
      <c r="H87" s="34">
        <f t="shared" ref="H87:W87" si="50">IF(H84=0,0,IF(H80=1,(1-G91)*G84*H43/((1+H23/100)*(1+H42/100)),IF(AND(H80=0,H81=1),(G90*G84*H43/((1+H23/100)*(1+H42/100)))*(1-ABS(H84-G84*H43/((1+H23/100)*(1+H42/100)))/((H39*G84*G91*H43/((1+H23/100)*(1+H42/100)))+(G90*G84*H43/((1+H23/100)*(1+H42/100))))),0)))</f>
        <v>11.547258544505024</v>
      </c>
      <c r="I87" s="34">
        <f t="shared" si="50"/>
        <v>11.700989131617387</v>
      </c>
      <c r="J87" s="34">
        <f t="shared" si="50"/>
        <v>11.787378922966562</v>
      </c>
      <c r="K87" s="34">
        <f t="shared" si="50"/>
        <v>11.768100207885263</v>
      </c>
      <c r="L87" s="34">
        <f t="shared" si="50"/>
        <v>11.726455733995493</v>
      </c>
      <c r="M87" s="34">
        <f t="shared" si="50"/>
        <v>11.655582005700756</v>
      </c>
      <c r="N87" s="34">
        <f t="shared" si="50"/>
        <v>11.616600099546588</v>
      </c>
      <c r="O87" s="34">
        <f t="shared" si="50"/>
        <v>11.585022530281613</v>
      </c>
      <c r="P87" s="34">
        <f t="shared" si="50"/>
        <v>11.550629754877681</v>
      </c>
      <c r="Q87" s="34">
        <f t="shared" si="50"/>
        <v>11.513370090931531</v>
      </c>
      <c r="R87" s="34">
        <f t="shared" si="50"/>
        <v>11.46761433642869</v>
      </c>
      <c r="S87" s="34">
        <f t="shared" si="50"/>
        <v>11.42225650236718</v>
      </c>
      <c r="T87" s="34">
        <f t="shared" si="50"/>
        <v>11.373486153915422</v>
      </c>
      <c r="U87" s="34">
        <f t="shared" si="50"/>
        <v>11.318334925189422</v>
      </c>
      <c r="V87" s="34">
        <f t="shared" si="50"/>
        <v>11.252665011091562</v>
      </c>
      <c r="W87" s="34">
        <f t="shared" si="50"/>
        <v>11.191777945272506</v>
      </c>
    </row>
    <row r="88" spans="2:23" x14ac:dyDescent="0.2">
      <c r="B88" s="105" t="s">
        <v>130</v>
      </c>
      <c r="C88" s="34"/>
      <c r="D88" s="254">
        <f>'Input data'!C69*$D$84</f>
        <v>4.3062797312435643</v>
      </c>
      <c r="E88" s="34">
        <f>IF(E84=0,0,IF(E80=1,'Input data'!$C$58*(E84-D84*E43/((1+E23/100)*(1+E42/100))),0))</f>
        <v>4.7570039815081033</v>
      </c>
      <c r="F88" s="34">
        <f>IF(F84=0,0,IF(F80=1,'Input data'!$C$58*(F84-E84*F43/((1+F23/100)*(1+F42/100))),0))</f>
        <v>4.9834734764809658</v>
      </c>
      <c r="G88" s="34">
        <f>IF(G84=0,0,IF(G80=1,'Input data'!$C$58*(G84-F84*G43/((1+G23/100)*(1+G42/100))),0))</f>
        <v>4.3126324461110297</v>
      </c>
      <c r="H88" s="34">
        <f>IF(H84=0,0,IF(H80=1,'Input data'!$C$58*(H84-G84*H43/((1+H23/100)*(1+H42/100))),0))</f>
        <v>3.8600214971646785</v>
      </c>
      <c r="I88" s="34">
        <f>IF(I84=0,0,IF(I80=1,'Input data'!$C$58*(I84-H84*I43/((1+I23/100)*(1+I42/100))),0))</f>
        <v>3.3462218646242849</v>
      </c>
      <c r="J88" s="34">
        <f>IF(J84=0,0,IF(J80=1,'Input data'!$C$58*(J84-I84*J43/((1+J23/100)*(1+J42/100))),0))</f>
        <v>2.7464592433739243</v>
      </c>
      <c r="K88" s="34">
        <f>IF(K84=0,0,IF(K80=1,'Input data'!$C$58*(K84-J84*K43/((1+K23/100)*(1+K42/100))),0))</f>
        <v>2.6053230969906838</v>
      </c>
      <c r="L88" s="34">
        <f>IF(L84=0,0,IF(L80=1,'Input data'!$C$58*(L84-K84*L43/((1+L23/100)*(1+L42/100))),0))</f>
        <v>2.4082160365121763</v>
      </c>
      <c r="M88" s="34">
        <f>IF(M84=0,0,IF(M80=1,'Input data'!$C$58*(M84-L84*M43/((1+M23/100)*(1+M42/100))),0))</f>
        <v>2.1952486804427576</v>
      </c>
      <c r="N88" s="34">
        <f>IF(N84=0,0,IF(N80=1,'Input data'!$C$58*(N84-M84*N43/((1+N23/100)*(1+N42/100))),0))</f>
        <v>2.3048283266219753</v>
      </c>
      <c r="O88" s="34">
        <f>IF(O84=0,0,IF(O80=1,'Input data'!$C$58*(O84-N84*O43/((1+O23/100)*(1+O42/100))),0))</f>
        <v>2.4433495757131491</v>
      </c>
      <c r="P88" s="34">
        <f>IF(P84=0,0,IF(P80=1,'Input data'!$C$58*(P84-O84*P43/((1+P23/100)*(1+P42/100))),0))</f>
        <v>2.5795337431432594</v>
      </c>
      <c r="Q88" s="34">
        <f>IF(Q84=0,0,IF(Q80=1,'Input data'!$C$58*(Q84-P84*Q43/((1+Q23/100)*(1+Q42/100))),0))</f>
        <v>2.6603547057918839</v>
      </c>
      <c r="R88" s="34">
        <f>IF(R84=0,0,IF(R80=1,'Input data'!$C$58*(R84-Q84*R43/((1+R23/100)*(1+R42/100))),0))</f>
        <v>2.7339985161060643</v>
      </c>
      <c r="S88" s="34">
        <f>IF(S84=0,0,IF(S80=1,'Input data'!$C$58*(S84-R84*S43/((1+S23/100)*(1+S42/100))),0))</f>
        <v>2.8031569527936719</v>
      </c>
      <c r="T88" s="34">
        <f>IF(T84=0,0,IF(T80=1,'Input data'!$C$58*(T84-S84*T43/((1+T23/100)*(1+T42/100))),0))</f>
        <v>2.8637095845068674</v>
      </c>
      <c r="U88" s="34">
        <f>IF(U84=0,0,IF(U80=1,'Input data'!$C$58*(U84-T84*U43/((1+U23/100)*(1+U42/100))),0))</f>
        <v>2.9118595902154674</v>
      </c>
      <c r="V88" s="34">
        <f>IF(V84=0,0,IF(V80=1,'Input data'!$C$58*(V84-U84*V43/((1+V23/100)*(1+V42/100))),0))</f>
        <v>2.9397445794612205</v>
      </c>
      <c r="W88" s="34">
        <f>IF(W84=0,0,IF(W80=1,'Input data'!$C$58*(W84-V84*W43/((1+W23/100)*(1+W42/100))),0))</f>
        <v>3.0110547699343049</v>
      </c>
    </row>
    <row r="89" spans="2:23" x14ac:dyDescent="0.2">
      <c r="B89" s="107" t="s">
        <v>131</v>
      </c>
      <c r="C89" s="49"/>
      <c r="D89" s="255">
        <f>'Input data'!C70*$D$84</f>
        <v>0.50211565206198738</v>
      </c>
      <c r="E89" s="49">
        <f>IF(E84=0,0,IF(E80=1,'Input data'!$C$57*(E84-D84*E43/((1+E23/100)*(1+E42/100))),0))</f>
        <v>0.5163762474099538</v>
      </c>
      <c r="F89" s="49">
        <f>IF(F84=0,0,IF(F80=1,'Input data'!$C$57*(F84-E84*F43/((1+F23/100)*(1+F42/100))),0))</f>
        <v>0.54095967605989981</v>
      </c>
      <c r="G89" s="49">
        <f>IF(G84=0,0,IF(G80=1,'Input data'!$C$57*(G84-F84*G43/((1+G23/100)*(1+G42/100))),0))</f>
        <v>0.46813939354223971</v>
      </c>
      <c r="H89" s="49">
        <f>IF(H84=0,0,IF(H80=1,'Input data'!$C$57*(H84-G84*H43/((1+H23/100)*(1+H42/100))),0))</f>
        <v>0.41900814533178943</v>
      </c>
      <c r="I89" s="49">
        <f>IF(I84=0,0,IF(I80=1,'Input data'!$C$57*(I84-H84*I43/((1+I23/100)*(1+I42/100))),0))</f>
        <v>0.36323482094459608</v>
      </c>
      <c r="J89" s="49">
        <f>IF(J84=0,0,IF(J80=1,'Input data'!$C$57*(J84-I84*J43/((1+J23/100)*(1+J42/100))),0))</f>
        <v>0.29813015151359967</v>
      </c>
      <c r="K89" s="49">
        <f>IF(K84=0,0,IF(K80=1,'Input data'!$C$57*(K84-J84*K43/((1+K23/100)*(1+K42/100))),0))</f>
        <v>0.28280972001373478</v>
      </c>
      <c r="L89" s="49">
        <f>IF(L84=0,0,IF(L80=1,'Input data'!$C$57*(L84-K84*L43/((1+L23/100)*(1+L42/100))),0))</f>
        <v>0.26141360501707867</v>
      </c>
      <c r="M89" s="49">
        <f>IF(M84=0,0,IF(M80=1,'Input data'!$C$57*(M84-L84*M43/((1+M23/100)*(1+M42/100))),0))</f>
        <v>0.23829584338067111</v>
      </c>
      <c r="N89" s="49">
        <f>IF(N84=0,0,IF(N80=1,'Input data'!$C$57*(N84-M84*N43/((1+N23/100)*(1+N42/100))),0))</f>
        <v>0.25019079379620474</v>
      </c>
      <c r="O89" s="49">
        <f>IF(O84=0,0,IF(O80=1,'Input data'!$C$57*(O84-N84*O43/((1+O23/100)*(1+O42/100))),0))</f>
        <v>0.26522737629020615</v>
      </c>
      <c r="P89" s="49">
        <f>IF(P84=0,0,IF(P80=1,'Input data'!$C$57*(P84-O84*P43/((1+P23/100)*(1+P42/100))),0))</f>
        <v>0.280010266867463</v>
      </c>
      <c r="Q89" s="49">
        <f>IF(Q84=0,0,IF(Q80=1,'Input data'!$C$57*(Q84-P84*Q43/((1+Q23/100)*(1+Q42/100))),0))</f>
        <v>0.28878344123662247</v>
      </c>
      <c r="R89" s="49">
        <f>IF(R84=0,0,IF(R80=1,'Input data'!$C$57*(R84-Q84*R43/((1+R23/100)*(1+R42/100))),0))</f>
        <v>0.29677753049171512</v>
      </c>
      <c r="S89" s="49">
        <f>IF(S84=0,0,IF(S80=1,'Input data'!$C$57*(S84-R84*S43/((1+S23/100)*(1+S42/100))),0))</f>
        <v>0.30428472917229393</v>
      </c>
      <c r="T89" s="49">
        <f>IF(T84=0,0,IF(T80=1,'Input data'!$C$57*(T84-S84*T43/((1+T23/100)*(1+T42/100))),0))</f>
        <v>0.31085776145404198</v>
      </c>
      <c r="U89" s="49">
        <f>IF(U84=0,0,IF(U80=1,'Input data'!$C$57*(U84-T84*U43/((1+U23/100)*(1+U42/100))),0))</f>
        <v>0.31608447964835645</v>
      </c>
      <c r="V89" s="49">
        <f>IF(V84=0,0,IF(V80=1,'Input data'!$C$57*(V84-U84*V43/((1+V23/100)*(1+V42/100))),0))</f>
        <v>0.31911141554367267</v>
      </c>
      <c r="W89" s="49">
        <f>IF(W84=0,0,IF(W80=1,'Input data'!$C$57*(W84-V84*W43/((1+W23/100)*(1+W42/100))),0))</f>
        <v>0.32685218866509991</v>
      </c>
    </row>
    <row r="90" spans="2:23" x14ac:dyDescent="0.2">
      <c r="B90" s="26" t="s">
        <v>73</v>
      </c>
      <c r="C90" s="34"/>
      <c r="D90" s="260">
        <f>'Baseline NFPC'!$D$93</f>
        <v>0.10442485672571578</v>
      </c>
      <c r="E90" s="34">
        <f t="shared" ref="E90:G90" si="51">IF(E84&lt;&gt;0,(E87+E89)/(E85+E86+E87+E88+E89),0)</f>
        <v>0.10411489003632005</v>
      </c>
      <c r="F90" s="34">
        <f t="shared" si="51"/>
        <v>0.10381050045547867</v>
      </c>
      <c r="G90" s="34">
        <f t="shared" si="51"/>
        <v>0.10356345969020572</v>
      </c>
      <c r="H90" s="34">
        <f t="shared" ref="H90:W90" si="52">IF(H84&lt;&gt;0,(H87+H89)/(H85+H86+H87+H88+H89),0)</f>
        <v>0.10335493225680564</v>
      </c>
      <c r="I90" s="34">
        <f t="shared" si="52"/>
        <v>0.10318254411515292</v>
      </c>
      <c r="J90" s="34">
        <f t="shared" si="52"/>
        <v>0.10304596533593408</v>
      </c>
      <c r="K90" s="34">
        <f t="shared" si="52"/>
        <v>0.10291956135354702</v>
      </c>
      <c r="L90" s="34">
        <f t="shared" si="52"/>
        <v>0.10280513059803974</v>
      </c>
      <c r="M90" s="34">
        <f t="shared" si="52"/>
        <v>0.10270250458698382</v>
      </c>
      <c r="N90" s="34">
        <f t="shared" si="52"/>
        <v>0.10259688793900283</v>
      </c>
      <c r="O90" s="34">
        <f t="shared" si="52"/>
        <v>0.10248736118664838</v>
      </c>
      <c r="P90" s="34">
        <f t="shared" si="52"/>
        <v>0.10237437599166367</v>
      </c>
      <c r="Q90" s="34">
        <f t="shared" si="52"/>
        <v>0.10226058647772032</v>
      </c>
      <c r="R90" s="34">
        <f t="shared" si="52"/>
        <v>0.10214639709119347</v>
      </c>
      <c r="S90" s="34">
        <f t="shared" si="52"/>
        <v>0.10203216008150368</v>
      </c>
      <c r="T90" s="34">
        <f t="shared" si="52"/>
        <v>0.10191832786345595</v>
      </c>
      <c r="U90" s="34">
        <f t="shared" si="52"/>
        <v>0.10180542904418494</v>
      </c>
      <c r="V90" s="34">
        <f t="shared" si="52"/>
        <v>0.10169419059387973</v>
      </c>
      <c r="W90" s="34">
        <f t="shared" si="52"/>
        <v>0.10158312764877629</v>
      </c>
    </row>
    <row r="91" spans="2:23" x14ac:dyDescent="0.2">
      <c r="B91" s="35" t="s">
        <v>74</v>
      </c>
      <c r="C91" s="49"/>
      <c r="D91" s="261">
        <f>'Baseline NFPC'!$D$94</f>
        <v>0.89557514327428422</v>
      </c>
      <c r="E91" s="49">
        <f t="shared" ref="E91:G91" si="53">IF(E84&lt;&gt;0,(E85+E86+E88)/(E85+E86+E87+E88+E89),1)</f>
        <v>0.89588510996367998</v>
      </c>
      <c r="F91" s="49">
        <f t="shared" si="53"/>
        <v>0.89618949954452132</v>
      </c>
      <c r="G91" s="49">
        <f t="shared" si="53"/>
        <v>0.89643654030979425</v>
      </c>
      <c r="H91" s="49">
        <f t="shared" ref="H91:W91" si="54">IF(H84&lt;&gt;0,(H85+H86+H88)/(H85+H86+H87+H88+H89),1)</f>
        <v>0.8966450677431943</v>
      </c>
      <c r="I91" s="49">
        <f t="shared" si="54"/>
        <v>0.89681745588484707</v>
      </c>
      <c r="J91" s="49">
        <f t="shared" si="54"/>
        <v>0.89695403466406587</v>
      </c>
      <c r="K91" s="49">
        <f t="shared" si="54"/>
        <v>0.89708043864645293</v>
      </c>
      <c r="L91" s="49">
        <f t="shared" si="54"/>
        <v>0.89719486940196025</v>
      </c>
      <c r="M91" s="49">
        <f t="shared" si="54"/>
        <v>0.89729749541301629</v>
      </c>
      <c r="N91" s="49">
        <f t="shared" si="54"/>
        <v>0.8974031120609971</v>
      </c>
      <c r="O91" s="49">
        <f t="shared" si="54"/>
        <v>0.89751263881335153</v>
      </c>
      <c r="P91" s="49">
        <f t="shared" si="54"/>
        <v>0.89762562400833634</v>
      </c>
      <c r="Q91" s="49">
        <f t="shared" si="54"/>
        <v>0.89773941352227971</v>
      </c>
      <c r="R91" s="49">
        <f t="shared" si="54"/>
        <v>0.89785360290880656</v>
      </c>
      <c r="S91" s="49">
        <f t="shared" si="54"/>
        <v>0.89796783991849638</v>
      </c>
      <c r="T91" s="49">
        <f t="shared" si="54"/>
        <v>0.898081672136544</v>
      </c>
      <c r="U91" s="49">
        <f t="shared" si="54"/>
        <v>0.89819457095581512</v>
      </c>
      <c r="V91" s="49">
        <f t="shared" si="54"/>
        <v>0.89830580940612026</v>
      </c>
      <c r="W91" s="49">
        <f t="shared" si="54"/>
        <v>0.89841687235122369</v>
      </c>
    </row>
    <row r="92" spans="2:23" x14ac:dyDescent="0.2">
      <c r="C92" s="38"/>
      <c r="D92" s="38"/>
      <c r="E92" s="38"/>
      <c r="F92" s="38"/>
      <c r="G92" s="38"/>
      <c r="H92" s="38"/>
      <c r="I92" s="38"/>
      <c r="J92" s="38"/>
      <c r="K92" s="38"/>
      <c r="L92" s="38"/>
      <c r="M92" s="38"/>
      <c r="N92" s="38"/>
      <c r="O92" s="38"/>
      <c r="P92" s="38"/>
      <c r="Q92" s="38"/>
      <c r="R92" s="38"/>
      <c r="S92" s="38"/>
      <c r="T92" s="38"/>
      <c r="U92" s="38"/>
      <c r="V92" s="38"/>
      <c r="W92" s="38"/>
    </row>
    <row r="93" spans="2:23" x14ac:dyDescent="0.2">
      <c r="B93" s="113" t="s">
        <v>132</v>
      </c>
      <c r="C93" s="115">
        <f>C105</f>
        <v>1.3072322607040405</v>
      </c>
      <c r="D93" s="115">
        <f>D105</f>
        <v>1.8011331558227539</v>
      </c>
      <c r="E93" s="115">
        <f t="shared" ref="E93:G93" si="55">E95+E96</f>
        <v>1.6360270000000001</v>
      </c>
      <c r="F93" s="115">
        <f t="shared" si="55"/>
        <v>1.90473</v>
      </c>
      <c r="G93" s="115">
        <f t="shared" si="55"/>
        <v>2.1499329999999999</v>
      </c>
      <c r="H93" s="115">
        <f t="shared" ref="H93:W93" si="56">H95+H96</f>
        <v>2.2624335955804127</v>
      </c>
      <c r="I93" s="115">
        <f t="shared" si="56"/>
        <v>2.365657119091694</v>
      </c>
      <c r="J93" s="115">
        <f t="shared" si="56"/>
        <v>2.4608203898214032</v>
      </c>
      <c r="K93" s="115">
        <f t="shared" si="56"/>
        <v>2.6475958466592564</v>
      </c>
      <c r="L93" s="115">
        <f t="shared" si="56"/>
        <v>2.7745920868594949</v>
      </c>
      <c r="M93" s="115">
        <f t="shared" si="56"/>
        <v>2.8938461372919915</v>
      </c>
      <c r="N93" s="115">
        <f t="shared" si="56"/>
        <v>3.0061854132044856</v>
      </c>
      <c r="O93" s="115">
        <f t="shared" si="56"/>
        <v>3.115339615856461</v>
      </c>
      <c r="P93" s="115">
        <f t="shared" si="56"/>
        <v>3.2136754754290506</v>
      </c>
      <c r="Q93" s="115">
        <f t="shared" si="56"/>
        <v>3.3039349653423025</v>
      </c>
      <c r="R93" s="115">
        <f t="shared" si="56"/>
        <v>3.3864025467992698</v>
      </c>
      <c r="S93" s="115">
        <f t="shared" si="56"/>
        <v>3.4617736101767931</v>
      </c>
      <c r="T93" s="115">
        <f t="shared" si="56"/>
        <v>3.5306972394376874</v>
      </c>
      <c r="U93" s="115">
        <f t="shared" si="56"/>
        <v>3.5937557621417024</v>
      </c>
      <c r="V93" s="115">
        <f t="shared" si="56"/>
        <v>3.6514754588005971</v>
      </c>
      <c r="W93" s="115">
        <f t="shared" si="56"/>
        <v>3.7043170739902136</v>
      </c>
    </row>
    <row r="94" spans="2:23" x14ac:dyDescent="0.2">
      <c r="B94" s="33" t="s">
        <v>133</v>
      </c>
      <c r="C94" s="34"/>
      <c r="D94" s="34"/>
      <c r="E94" s="266">
        <f>((E36*D84)-(E38*(D87+D89)))/(D85+D86+D88)</f>
        <v>1.4268483678239057</v>
      </c>
      <c r="F94" s="266">
        <f t="shared" ref="F94:G94" si="57">((F36*E84)-(F38*(E87+E89)))/(E85+E86+E88)</f>
        <v>1.7118745014922765</v>
      </c>
      <c r="G94" s="266">
        <f t="shared" si="57"/>
        <v>2.0727354010773258</v>
      </c>
      <c r="H94" s="34">
        <f t="shared" ref="H94:W94" si="58">IF(G84&gt;0,(G94*G85+H37*(G88+G86))/(G85+G86+G88),H37)</f>
        <v>2.1997416955847298</v>
      </c>
      <c r="I94" s="34">
        <f t="shared" si="58"/>
        <v>2.3163052990399926</v>
      </c>
      <c r="J94" s="34">
        <f t="shared" si="58"/>
        <v>2.4238077396616671</v>
      </c>
      <c r="K94" s="34">
        <f t="shared" si="58"/>
        <v>2.5759497661703756</v>
      </c>
      <c r="L94" s="34">
        <f t="shared" si="58"/>
        <v>2.7189086723692237</v>
      </c>
      <c r="M94" s="34">
        <f t="shared" si="58"/>
        <v>2.8531896252630951</v>
      </c>
      <c r="N94" s="34">
        <f t="shared" si="58"/>
        <v>2.9797239398260649</v>
      </c>
      <c r="O94" s="34">
        <f t="shared" si="58"/>
        <v>3.1026779205731891</v>
      </c>
      <c r="P94" s="34">
        <f t="shared" si="58"/>
        <v>3.2164034821831113</v>
      </c>
      <c r="Q94" s="34">
        <f t="shared" si="58"/>
        <v>3.321094269182816</v>
      </c>
      <c r="R94" s="34">
        <f t="shared" si="58"/>
        <v>3.4170698128522914</v>
      </c>
      <c r="S94" s="34">
        <f t="shared" si="58"/>
        <v>3.5051077650988685</v>
      </c>
      <c r="T94" s="34">
        <f t="shared" si="58"/>
        <v>3.5859340365586041</v>
      </c>
      <c r="U94" s="34">
        <f t="shared" si="58"/>
        <v>3.6602001013872383</v>
      </c>
      <c r="V94" s="34">
        <f t="shared" si="58"/>
        <v>3.72849497970449</v>
      </c>
      <c r="W94" s="34">
        <f t="shared" si="58"/>
        <v>3.7913348449211584</v>
      </c>
    </row>
    <row r="95" spans="2:23" x14ac:dyDescent="0.2">
      <c r="B95" s="26" t="s">
        <v>134</v>
      </c>
      <c r="C95" s="34"/>
      <c r="D95" s="34"/>
      <c r="E95" s="34">
        <f t="shared" ref="E95" si="59">(E94*(D85+D86+D88)+E38*(D87+D89))/D84</f>
        <v>1.6360270000000001</v>
      </c>
      <c r="F95" s="34">
        <f t="shared" ref="F95" si="60">(F94*(E85+E86+E88)+F38*(E87+E89))/E84</f>
        <v>1.90473</v>
      </c>
      <c r="G95" s="34">
        <f t="shared" ref="G95" si="61">(G94*(F85+F86+F88)+G38*(F87+F89))/F84</f>
        <v>2.1499329999999999</v>
      </c>
      <c r="H95" s="34">
        <f t="shared" ref="H95:W95" si="62">(H94*(G85+G86+G88)+H38*(G87+G89))/G84</f>
        <v>2.2624335955804127</v>
      </c>
      <c r="I95" s="34">
        <f t="shared" si="62"/>
        <v>2.365657119091694</v>
      </c>
      <c r="J95" s="34">
        <f t="shared" si="62"/>
        <v>2.4608203898214032</v>
      </c>
      <c r="K95" s="34">
        <f t="shared" si="62"/>
        <v>2.6475958466592564</v>
      </c>
      <c r="L95" s="34">
        <f t="shared" si="62"/>
        <v>2.7745920868594949</v>
      </c>
      <c r="M95" s="34">
        <f t="shared" si="62"/>
        <v>2.8938461372919915</v>
      </c>
      <c r="N95" s="34">
        <f t="shared" si="62"/>
        <v>3.0061854132044856</v>
      </c>
      <c r="O95" s="34">
        <f t="shared" si="62"/>
        <v>3.115339615856461</v>
      </c>
      <c r="P95" s="34">
        <f t="shared" si="62"/>
        <v>3.2136754754290506</v>
      </c>
      <c r="Q95" s="34">
        <f t="shared" si="62"/>
        <v>3.3039349653423025</v>
      </c>
      <c r="R95" s="34">
        <f t="shared" si="62"/>
        <v>3.3864025467992698</v>
      </c>
      <c r="S95" s="34">
        <f t="shared" si="62"/>
        <v>3.4617736101767931</v>
      </c>
      <c r="T95" s="34">
        <f t="shared" si="62"/>
        <v>3.5306972394376874</v>
      </c>
      <c r="U95" s="34">
        <f t="shared" si="62"/>
        <v>3.5937557621417024</v>
      </c>
      <c r="V95" s="34">
        <f t="shared" si="62"/>
        <v>3.6514754588005971</v>
      </c>
      <c r="W95" s="34">
        <f t="shared" si="62"/>
        <v>3.7043170739902136</v>
      </c>
    </row>
    <row r="96" spans="2:23" x14ac:dyDescent="0.2">
      <c r="B96" s="35" t="s">
        <v>135</v>
      </c>
      <c r="C96" s="114"/>
      <c r="D96" s="114"/>
      <c r="E96" s="49">
        <f>IF('Criteria results'!$F$5=4,E106,E111)</f>
        <v>0</v>
      </c>
      <c r="F96" s="49">
        <f>IF('Criteria results'!$F$5=4,F106,F111)</f>
        <v>0</v>
      </c>
      <c r="G96" s="49">
        <f>IF('Criteria results'!$F$5=4,G106,G111)</f>
        <v>0</v>
      </c>
      <c r="H96" s="49">
        <f>IF('Criteria results'!$F$5=4,H106,H111)</f>
        <v>0</v>
      </c>
      <c r="I96" s="49">
        <f>IF('Criteria results'!$F$5=4,I106,I111)</f>
        <v>0</v>
      </c>
      <c r="J96" s="49">
        <f>IF('Criteria results'!$F$5=4,J106,J111)</f>
        <v>0</v>
      </c>
      <c r="K96" s="49">
        <f>IF('Criteria results'!$F$5=4,K106,K111)</f>
        <v>0</v>
      </c>
      <c r="L96" s="49">
        <f>IF('Criteria results'!$F$5=4,L106,L111)</f>
        <v>0</v>
      </c>
      <c r="M96" s="49">
        <f>IF('Criteria results'!$F$5=4,M106,M111)</f>
        <v>0</v>
      </c>
      <c r="N96" s="49">
        <f>IF('Criteria results'!$F$5=4,N106,N111)</f>
        <v>0</v>
      </c>
      <c r="O96" s="49">
        <f>IF('Criteria results'!$F$5=4,O106,O111)</f>
        <v>0</v>
      </c>
      <c r="P96" s="49">
        <f>IF('Criteria results'!$F$5=4,P106,P111)</f>
        <v>0</v>
      </c>
      <c r="Q96" s="49">
        <f>IF('Criteria results'!$F$5=4,Q106,Q111)</f>
        <v>0</v>
      </c>
      <c r="R96" s="49">
        <f>IF('Criteria results'!$F$5=4,R106,R111)</f>
        <v>0</v>
      </c>
      <c r="S96" s="49">
        <f>IF('Criteria results'!$F$5=4,S106,S111)</f>
        <v>0</v>
      </c>
      <c r="T96" s="49">
        <f>IF('Criteria results'!$F$5=4,T106,T111)</f>
        <v>0</v>
      </c>
      <c r="U96" s="49">
        <f>IF('Criteria results'!$F$5=4,U106,U111)</f>
        <v>0</v>
      </c>
      <c r="V96" s="49">
        <f>IF('Criteria results'!$F$5=4,V106,V111)</f>
        <v>0</v>
      </c>
      <c r="W96" s="49">
        <f>IF('Criteria results'!$F$5=4,W106,W111)</f>
        <v>0</v>
      </c>
    </row>
    <row r="98" spans="1:54" x14ac:dyDescent="0.2">
      <c r="B98" s="113" t="s">
        <v>186</v>
      </c>
      <c r="C98" s="115">
        <f>((1+C93/100)/((1+C23/100)*(1+C42/100))-1)*100</f>
        <v>-6.1542464486734065</v>
      </c>
      <c r="D98" s="115">
        <f t="shared" ref="D98:T98" si="63">((1+D93/100)/((1+D23/100)*(1+D42/100))-1)*100</f>
        <v>-3.4825432560656733</v>
      </c>
      <c r="E98" s="115">
        <f t="shared" si="63"/>
        <v>-4.3106491734947632</v>
      </c>
      <c r="F98" s="115">
        <f t="shared" si="63"/>
        <v>-1.5572654776414119</v>
      </c>
      <c r="G98" s="115">
        <f t="shared" si="63"/>
        <v>-0.7769761707942191</v>
      </c>
      <c r="H98" s="115">
        <f t="shared" si="63"/>
        <v>4.6691794623576754E-2</v>
      </c>
      <c r="I98" s="115">
        <f t="shared" si="63"/>
        <v>9.6335176840156578E-2</v>
      </c>
      <c r="J98" s="115">
        <f t="shared" si="63"/>
        <v>0.10959009397071284</v>
      </c>
      <c r="K98" s="115">
        <f t="shared" si="63"/>
        <v>-4.8298621301468003E-2</v>
      </c>
      <c r="L98" s="115">
        <f t="shared" si="63"/>
        <v>7.5273897692129665E-3</v>
      </c>
      <c r="M98" s="115">
        <f t="shared" si="63"/>
        <v>4.1769527156576558E-2</v>
      </c>
      <c r="N98" s="115">
        <f t="shared" si="63"/>
        <v>0.6048388009432637</v>
      </c>
      <c r="O98" s="115">
        <f t="shared" si="63"/>
        <v>0.66694048999356159</v>
      </c>
      <c r="P98" s="115">
        <f t="shared" si="63"/>
        <v>0.60403455252255878</v>
      </c>
      <c r="Q98" s="115">
        <f t="shared" si="63"/>
        <v>0.53356647817794922</v>
      </c>
      <c r="R98" s="115">
        <f t="shared" si="63"/>
        <v>0.45585229898799096</v>
      </c>
      <c r="S98" s="115">
        <f t="shared" si="63"/>
        <v>0.45286910989623674</v>
      </c>
      <c r="T98" s="115">
        <f t="shared" si="63"/>
        <v>0.41366233301263211</v>
      </c>
      <c r="U98" s="115">
        <f>((1+U93/100)/((1+U23/100)*(1+U42/100))-1)*100</f>
        <v>0.34870869659053838</v>
      </c>
      <c r="V98" s="115">
        <f t="shared" ref="V98:W98" si="64">((1+V93/100)/((1+V23/100)*(1+V42/100))-1)*100</f>
        <v>0.2504113577229905</v>
      </c>
      <c r="W98" s="115">
        <f t="shared" si="64"/>
        <v>0.29883449759258163</v>
      </c>
    </row>
    <row r="101" spans="1:54" s="25" customFormat="1" ht="12.75" outlineLevel="1" x14ac:dyDescent="0.2">
      <c r="B101" s="25" t="s">
        <v>136</v>
      </c>
      <c r="C101" s="112"/>
      <c r="D101" s="112"/>
      <c r="E101" s="112"/>
      <c r="F101" s="112"/>
      <c r="G101" s="112"/>
      <c r="H101" s="112"/>
      <c r="I101" s="112"/>
      <c r="J101" s="112"/>
      <c r="K101" s="112"/>
      <c r="L101" s="112"/>
      <c r="M101" s="112"/>
      <c r="N101" s="112"/>
      <c r="O101" s="112"/>
      <c r="P101" s="112"/>
      <c r="Q101" s="112"/>
      <c r="R101" s="112"/>
      <c r="S101" s="112"/>
      <c r="T101" s="112"/>
      <c r="U101" s="112"/>
      <c r="V101" s="112"/>
      <c r="W101" s="112"/>
    </row>
    <row r="102" spans="1:54" s="127" customFormat="1" ht="12.75" outlineLevel="1" x14ac:dyDescent="0.2">
      <c r="C102" s="128"/>
      <c r="D102" s="128"/>
      <c r="E102" s="128"/>
      <c r="F102" s="128"/>
      <c r="G102" s="128"/>
      <c r="H102" s="128"/>
      <c r="I102" s="128"/>
      <c r="J102" s="128"/>
      <c r="K102" s="128"/>
      <c r="L102" s="128"/>
      <c r="M102" s="128"/>
      <c r="N102" s="128"/>
      <c r="O102" s="128"/>
      <c r="P102" s="128"/>
      <c r="Q102" s="128"/>
      <c r="R102" s="128"/>
      <c r="S102" s="128"/>
      <c r="T102" s="128"/>
      <c r="U102" s="128"/>
      <c r="V102" s="128"/>
      <c r="W102" s="128"/>
    </row>
    <row r="103" spans="1:54" s="127" customFormat="1" ht="12.75" outlineLevel="1" x14ac:dyDescent="0.2">
      <c r="B103" s="106" t="s">
        <v>293</v>
      </c>
      <c r="C103" s="129"/>
      <c r="D103" s="129"/>
      <c r="E103" s="129"/>
      <c r="F103" s="129"/>
      <c r="G103" s="129"/>
      <c r="H103" s="129"/>
      <c r="I103" s="129"/>
      <c r="J103" s="129"/>
      <c r="K103" s="129"/>
      <c r="L103" s="129"/>
      <c r="M103" s="129"/>
      <c r="N103" s="129"/>
      <c r="O103" s="129"/>
      <c r="P103" s="129"/>
      <c r="Q103" s="129"/>
      <c r="R103" s="129"/>
      <c r="S103" s="129"/>
      <c r="T103" s="129"/>
      <c r="U103" s="129"/>
      <c r="V103" s="129"/>
      <c r="W103" s="129"/>
    </row>
    <row r="104" spans="1:54" outlineLevel="1" x14ac:dyDescent="0.2">
      <c r="B104" s="120" t="s">
        <v>43</v>
      </c>
      <c r="C104" s="34">
        <v>112.97332763671875</v>
      </c>
      <c r="D104" s="34">
        <v>111.91819000244141</v>
      </c>
      <c r="E104" s="34">
        <v>110.64328002929688</v>
      </c>
      <c r="F104" s="34">
        <v>112.4088134765625</v>
      </c>
      <c r="G104" s="34">
        <v>113.96873474121094</v>
      </c>
      <c r="H104" s="34">
        <v>115.77838134765625</v>
      </c>
      <c r="I104" s="34">
        <v>116.92116546630859</v>
      </c>
      <c r="J104" s="34">
        <v>117.28270721435547</v>
      </c>
      <c r="K104" s="34">
        <v>117.09059906005859</v>
      </c>
      <c r="L104" s="34">
        <v>116.60772705078125</v>
      </c>
      <c r="M104" s="34">
        <v>115.80906677246094</v>
      </c>
      <c r="N104" s="34">
        <v>115.66429901123047</v>
      </c>
      <c r="O104" s="34">
        <v>115.62652587890625</v>
      </c>
      <c r="P104" s="34">
        <v>115.5626220703125</v>
      </c>
      <c r="Q104" s="34">
        <v>115.41267395019531</v>
      </c>
      <c r="R104" s="34">
        <v>115.17204284667969</v>
      </c>
      <c r="S104" s="34">
        <v>114.93003845214844</v>
      </c>
      <c r="T104" s="34">
        <v>114.64440155029297</v>
      </c>
      <c r="U104" s="34">
        <v>114.28116607666016</v>
      </c>
      <c r="V104" s="34">
        <v>113.79019165039063</v>
      </c>
      <c r="W104" s="34">
        <v>113.39142608642578</v>
      </c>
      <c r="X104" s="34"/>
      <c r="Y104" s="34"/>
      <c r="Z104" s="34"/>
    </row>
    <row r="105" spans="1:54" s="5" customFormat="1" ht="12.75" x14ac:dyDescent="0.2">
      <c r="A105" s="26"/>
      <c r="B105" s="26" t="s">
        <v>132</v>
      </c>
      <c r="C105" s="1">
        <v>1.3072322607040405</v>
      </c>
      <c r="D105" s="1">
        <v>1.8011331558227539</v>
      </c>
      <c r="E105" s="1">
        <v>1.636027455329895</v>
      </c>
      <c r="F105" s="1">
        <v>1.904729962348938</v>
      </c>
      <c r="G105" s="1">
        <v>2.1499323844909668</v>
      </c>
      <c r="H105" s="1">
        <v>2.2624330520629883</v>
      </c>
      <c r="I105" s="1">
        <v>2.365656852722168</v>
      </c>
      <c r="J105" s="1">
        <v>2.4608199596405029</v>
      </c>
      <c r="K105" s="1">
        <v>2.6475956439971924</v>
      </c>
      <c r="L105" s="1">
        <v>2.7745919227600098</v>
      </c>
      <c r="M105" s="1">
        <v>2.8938460350036621</v>
      </c>
      <c r="N105" s="1">
        <v>3.0061852931976318</v>
      </c>
      <c r="O105" s="1">
        <v>3.1153397560119629</v>
      </c>
      <c r="P105" s="1">
        <v>3.2136757373809814</v>
      </c>
      <c r="Q105" s="1">
        <v>3.3039355278015137</v>
      </c>
      <c r="R105" s="1">
        <v>3.3864030838012695</v>
      </c>
      <c r="S105" s="1">
        <v>3.4617745876312256</v>
      </c>
      <c r="T105" s="1">
        <v>3.530698299407959</v>
      </c>
      <c r="U105" s="1">
        <v>3.5937569141387939</v>
      </c>
      <c r="V105" s="1">
        <v>3.6514766216278076</v>
      </c>
      <c r="W105" s="1">
        <v>3.7043182849884033</v>
      </c>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row>
    <row r="106" spans="1:54" s="5" customFormat="1" ht="12.75" x14ac:dyDescent="0.2">
      <c r="B106" s="26" t="s">
        <v>185</v>
      </c>
      <c r="C106" s="1"/>
      <c r="D106" s="1"/>
      <c r="E106" s="1"/>
      <c r="F106" s="1"/>
      <c r="G106" s="1">
        <v>0</v>
      </c>
      <c r="H106" s="1">
        <v>0</v>
      </c>
      <c r="I106" s="1">
        <v>0</v>
      </c>
      <c r="J106" s="1">
        <v>0</v>
      </c>
      <c r="K106" s="1">
        <v>0</v>
      </c>
      <c r="L106" s="1">
        <v>0</v>
      </c>
      <c r="M106" s="1">
        <v>0</v>
      </c>
      <c r="N106" s="1">
        <v>0</v>
      </c>
      <c r="O106" s="1">
        <v>0</v>
      </c>
      <c r="P106" s="1">
        <v>0</v>
      </c>
      <c r="Q106" s="1">
        <v>0</v>
      </c>
      <c r="R106" s="1">
        <v>0</v>
      </c>
      <c r="S106" s="1">
        <v>0</v>
      </c>
      <c r="T106" s="1">
        <v>0</v>
      </c>
      <c r="U106" s="1">
        <v>0</v>
      </c>
      <c r="V106" s="1">
        <v>0</v>
      </c>
      <c r="W106" s="1">
        <v>0</v>
      </c>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row>
    <row r="107" spans="1:54" s="5" customFormat="1" ht="12.75" x14ac:dyDescent="0.2">
      <c r="B107" s="26"/>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row>
    <row r="108" spans="1:54" s="5" customFormat="1" ht="12.75" x14ac:dyDescent="0.2">
      <c r="B108" s="106" t="s">
        <v>294</v>
      </c>
      <c r="C108" s="37"/>
      <c r="D108" s="37"/>
      <c r="E108" s="37"/>
      <c r="F108" s="37"/>
      <c r="G108" s="37"/>
      <c r="H108" s="37"/>
      <c r="I108" s="37"/>
      <c r="J108" s="37"/>
      <c r="K108" s="37"/>
      <c r="L108" s="37"/>
      <c r="M108" s="37"/>
      <c r="N108" s="37"/>
      <c r="O108" s="37"/>
      <c r="P108" s="37"/>
      <c r="Q108" s="37"/>
      <c r="R108" s="37"/>
      <c r="S108" s="37"/>
      <c r="T108" s="37"/>
      <c r="U108" s="37"/>
      <c r="V108" s="37"/>
      <c r="W108" s="37"/>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row>
    <row r="109" spans="1:54" outlineLevel="1" x14ac:dyDescent="0.2">
      <c r="B109" s="120" t="s">
        <v>43</v>
      </c>
      <c r="C109" s="34">
        <v>112.97332763671875</v>
      </c>
      <c r="D109" s="34">
        <v>111.91819000244141</v>
      </c>
      <c r="E109" s="34">
        <v>110.64328002929688</v>
      </c>
      <c r="F109" s="34">
        <v>112.4088134765625</v>
      </c>
      <c r="G109" s="34">
        <v>113.85755157470703</v>
      </c>
      <c r="H109" s="34">
        <v>115.91837310791016</v>
      </c>
      <c r="I109" s="34">
        <v>117.68885040283203</v>
      </c>
      <c r="J109" s="34">
        <v>119.06128692626953</v>
      </c>
      <c r="K109" s="34">
        <v>119.91290283203125</v>
      </c>
      <c r="L109" s="34">
        <v>120.22420501708984</v>
      </c>
      <c r="M109" s="34">
        <v>119.97254943847656</v>
      </c>
      <c r="N109" s="34">
        <v>119.65957641601563</v>
      </c>
      <c r="O109" s="34">
        <v>119.22916412353516</v>
      </c>
      <c r="P109" s="34">
        <v>118.53920745849609</v>
      </c>
      <c r="Q109" s="34">
        <v>118.22757720947266</v>
      </c>
      <c r="R109" s="34">
        <v>117.82917785644531</v>
      </c>
      <c r="S109" s="34">
        <v>117.43501281738281</v>
      </c>
      <c r="T109" s="34">
        <v>117.00138854980469</v>
      </c>
      <c r="U109" s="34">
        <v>116.49338531494141</v>
      </c>
      <c r="V109" s="34">
        <v>115.85988616943359</v>
      </c>
      <c r="W109" s="34">
        <v>115.32366180419922</v>
      </c>
      <c r="X109" s="34"/>
      <c r="Y109" s="34"/>
      <c r="Z109" s="34"/>
    </row>
    <row r="110" spans="1:54" x14ac:dyDescent="0.2">
      <c r="B110" s="26" t="s">
        <v>132</v>
      </c>
      <c r="C110" s="1">
        <v>1.3072322607040405</v>
      </c>
      <c r="D110" s="1">
        <v>1.8011331558227539</v>
      </c>
      <c r="E110" s="1">
        <v>1.636027455329895</v>
      </c>
      <c r="F110" s="1">
        <v>1.904729962348938</v>
      </c>
      <c r="G110" s="1">
        <v>2.1499323844909668</v>
      </c>
      <c r="H110" s="1">
        <v>2.2639875411987305</v>
      </c>
      <c r="I110" s="1">
        <v>2.3703134059906006</v>
      </c>
      <c r="J110" s="1">
        <v>2.4700503349304199</v>
      </c>
      <c r="K110" s="1">
        <v>2.5639047622680664</v>
      </c>
      <c r="L110" s="1">
        <v>2.6525614261627197</v>
      </c>
      <c r="M110" s="1">
        <v>2.7366275787353516</v>
      </c>
      <c r="N110" s="1">
        <v>2.915400505065918</v>
      </c>
      <c r="O110" s="1">
        <v>3.0366132259368896</v>
      </c>
      <c r="P110" s="1">
        <v>3.1438331604003906</v>
      </c>
      <c r="Q110" s="1">
        <v>3.2403745651245117</v>
      </c>
      <c r="R110" s="1">
        <v>3.3286476135253906</v>
      </c>
      <c r="S110" s="1">
        <v>3.409365177154541</v>
      </c>
      <c r="T110" s="1">
        <v>3.4831986427307129</v>
      </c>
      <c r="U110" s="1">
        <v>3.5507526397705078</v>
      </c>
      <c r="V110" s="1">
        <v>3.6125764846801758</v>
      </c>
      <c r="W110" s="1">
        <v>3.6691529750823975</v>
      </c>
      <c r="X110" s="1"/>
      <c r="Y110" s="1"/>
      <c r="Z110" s="1"/>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59"/>
      <c r="AX110" s="59"/>
      <c r="AY110" s="60"/>
    </row>
    <row r="111" spans="1:54" x14ac:dyDescent="0.2">
      <c r="B111" s="26" t="s">
        <v>185</v>
      </c>
      <c r="C111" s="34"/>
      <c r="D111" s="34"/>
      <c r="E111" s="34"/>
      <c r="F111" s="34"/>
      <c r="G111" s="34">
        <v>0</v>
      </c>
      <c r="H111" s="34">
        <v>0</v>
      </c>
      <c r="I111" s="34">
        <v>0</v>
      </c>
      <c r="J111" s="34">
        <v>0</v>
      </c>
      <c r="K111" s="34">
        <v>0</v>
      </c>
      <c r="L111" s="34">
        <v>0</v>
      </c>
      <c r="M111" s="34">
        <v>0</v>
      </c>
      <c r="N111" s="34">
        <v>0</v>
      </c>
      <c r="O111" s="34">
        <v>0</v>
      </c>
      <c r="P111" s="34">
        <v>0</v>
      </c>
      <c r="Q111" s="34">
        <v>0</v>
      </c>
      <c r="R111" s="34">
        <v>0</v>
      </c>
      <c r="S111" s="34">
        <v>0</v>
      </c>
      <c r="T111" s="34">
        <v>0</v>
      </c>
      <c r="U111" s="34">
        <v>0</v>
      </c>
      <c r="V111" s="34">
        <v>0</v>
      </c>
      <c r="W111" s="34">
        <v>0</v>
      </c>
    </row>
    <row r="113" spans="2:25" x14ac:dyDescent="0.2">
      <c r="C113" s="34"/>
      <c r="D113" s="34"/>
      <c r="E113" s="34"/>
      <c r="F113" s="34"/>
      <c r="G113" s="34"/>
      <c r="H113" s="34"/>
      <c r="I113" s="34"/>
      <c r="J113" s="34"/>
      <c r="K113" s="34"/>
      <c r="L113" s="34"/>
      <c r="M113" s="34"/>
      <c r="N113" s="34"/>
      <c r="O113" s="34"/>
      <c r="P113" s="34"/>
      <c r="Q113" s="34"/>
      <c r="R113" s="34"/>
      <c r="S113" s="34"/>
      <c r="T113" s="34"/>
      <c r="U113" s="34"/>
      <c r="V113" s="34"/>
      <c r="W113" s="34"/>
    </row>
    <row r="114" spans="2:25" x14ac:dyDescent="0.2">
      <c r="C114" s="34"/>
      <c r="D114" s="34"/>
      <c r="E114" s="34"/>
      <c r="F114" s="34"/>
      <c r="G114" s="34"/>
      <c r="H114" s="34"/>
      <c r="I114" s="34"/>
      <c r="J114" s="34"/>
      <c r="K114" s="34"/>
      <c r="L114" s="34"/>
      <c r="M114" s="34"/>
      <c r="N114" s="34"/>
      <c r="O114" s="34"/>
      <c r="P114" s="34"/>
      <c r="Q114" s="34"/>
      <c r="R114" s="34"/>
      <c r="S114" s="34"/>
      <c r="T114" s="34"/>
      <c r="U114" s="34"/>
      <c r="V114" s="34"/>
      <c r="W114" s="34"/>
    </row>
    <row r="115" spans="2:25" x14ac:dyDescent="0.2">
      <c r="C115" s="34"/>
      <c r="D115" s="34"/>
      <c r="E115" s="34"/>
      <c r="F115" s="34"/>
      <c r="G115" s="122"/>
      <c r="H115" s="122"/>
      <c r="I115" s="122"/>
      <c r="J115" s="122"/>
      <c r="K115" s="122"/>
      <c r="L115" s="122"/>
      <c r="M115" s="122"/>
      <c r="N115" s="122"/>
      <c r="O115" s="122"/>
      <c r="P115" s="122"/>
      <c r="Q115" s="122"/>
      <c r="R115" s="122"/>
      <c r="S115" s="122"/>
      <c r="T115" s="122"/>
      <c r="U115" s="122"/>
      <c r="V115" s="122"/>
      <c r="W115" s="122"/>
    </row>
    <row r="116" spans="2:25" x14ac:dyDescent="0.2">
      <c r="C116" s="34"/>
      <c r="D116" s="34"/>
      <c r="E116" s="34"/>
      <c r="F116" s="34"/>
      <c r="G116" s="122"/>
      <c r="H116" s="122"/>
      <c r="I116" s="122"/>
      <c r="J116" s="122"/>
      <c r="K116" s="122"/>
      <c r="L116" s="122"/>
      <c r="M116" s="122"/>
      <c r="N116" s="122"/>
      <c r="O116" s="122"/>
      <c r="P116" s="122"/>
      <c r="Q116" s="122"/>
      <c r="R116" s="122"/>
      <c r="S116" s="122"/>
      <c r="T116" s="122"/>
      <c r="U116" s="122"/>
      <c r="V116" s="122"/>
      <c r="W116" s="122"/>
    </row>
    <row r="117" spans="2:25" x14ac:dyDescent="0.2">
      <c r="C117" s="36"/>
      <c r="D117" s="123"/>
      <c r="E117" s="123"/>
      <c r="F117" s="123"/>
      <c r="G117" s="123"/>
      <c r="H117" s="123"/>
      <c r="I117" s="123"/>
      <c r="J117" s="123"/>
      <c r="K117" s="123"/>
      <c r="L117" s="123"/>
      <c r="M117" s="123"/>
      <c r="N117" s="123"/>
      <c r="O117" s="123"/>
      <c r="P117" s="123"/>
      <c r="Q117" s="123"/>
      <c r="R117" s="123"/>
      <c r="S117" s="123"/>
      <c r="T117" s="123"/>
      <c r="U117" s="123"/>
      <c r="V117" s="123"/>
      <c r="W117" s="123"/>
    </row>
    <row r="118" spans="2:25" x14ac:dyDescent="0.2">
      <c r="C118" s="36"/>
      <c r="D118" s="36"/>
      <c r="E118" s="34"/>
      <c r="F118" s="34"/>
      <c r="G118" s="122"/>
      <c r="H118" s="122"/>
      <c r="I118" s="122"/>
      <c r="J118" s="122"/>
      <c r="K118" s="122"/>
      <c r="L118" s="122"/>
      <c r="M118" s="122"/>
      <c r="N118" s="122"/>
      <c r="O118" s="122"/>
      <c r="P118" s="122"/>
      <c r="Q118" s="122"/>
      <c r="R118" s="122"/>
      <c r="S118" s="122"/>
      <c r="T118" s="122"/>
      <c r="U118" s="122"/>
      <c r="V118" s="122"/>
      <c r="W118" s="122"/>
    </row>
    <row r="119" spans="2:25" x14ac:dyDescent="0.2">
      <c r="E119" s="34"/>
      <c r="F119" s="34"/>
      <c r="G119" s="122"/>
      <c r="H119" s="122"/>
      <c r="I119" s="122"/>
      <c r="J119" s="122"/>
      <c r="K119" s="122"/>
      <c r="L119" s="122"/>
      <c r="M119" s="122"/>
      <c r="N119" s="122"/>
      <c r="O119" s="122"/>
      <c r="P119" s="122"/>
      <c r="Q119" s="122"/>
      <c r="R119" s="122"/>
      <c r="S119" s="122"/>
      <c r="T119" s="122"/>
      <c r="U119" s="122"/>
      <c r="V119" s="122"/>
      <c r="W119" s="122"/>
      <c r="X119" s="53"/>
      <c r="Y119" s="53"/>
    </row>
    <row r="120" spans="2:25" x14ac:dyDescent="0.2">
      <c r="B120" s="33"/>
      <c r="C120" s="97"/>
      <c r="D120" s="97"/>
      <c r="G120" s="123"/>
      <c r="H120" s="123"/>
      <c r="I120" s="123"/>
      <c r="J120" s="123"/>
      <c r="K120" s="123"/>
      <c r="L120" s="123"/>
      <c r="M120" s="123"/>
      <c r="N120" s="123"/>
      <c r="O120" s="123"/>
      <c r="P120" s="123"/>
      <c r="Q120" s="123"/>
      <c r="R120" s="123"/>
      <c r="S120" s="123"/>
      <c r="T120" s="123"/>
      <c r="U120" s="123"/>
      <c r="V120" s="123"/>
      <c r="W120" s="123"/>
      <c r="X120" s="53"/>
      <c r="Y120" s="53"/>
    </row>
    <row r="121" spans="2:25" x14ac:dyDescent="0.2">
      <c r="C121" s="97"/>
      <c r="D121" s="97"/>
      <c r="E121" s="34"/>
      <c r="F121" s="34"/>
      <c r="G121" s="122"/>
      <c r="H121" s="122"/>
      <c r="I121" s="122"/>
      <c r="J121" s="122"/>
      <c r="K121" s="122"/>
      <c r="L121" s="122"/>
      <c r="M121" s="122"/>
      <c r="N121" s="122"/>
      <c r="O121" s="122"/>
      <c r="P121" s="122"/>
      <c r="Q121" s="122"/>
      <c r="R121" s="122"/>
      <c r="S121" s="122"/>
      <c r="T121" s="122"/>
      <c r="U121" s="122"/>
      <c r="V121" s="122"/>
      <c r="W121" s="122"/>
      <c r="X121" s="53"/>
      <c r="Y121" s="53"/>
    </row>
    <row r="122" spans="2:25" x14ac:dyDescent="0.2">
      <c r="E122" s="34"/>
      <c r="F122" s="34"/>
      <c r="G122" s="122"/>
      <c r="H122" s="122"/>
      <c r="I122" s="122"/>
      <c r="J122" s="122"/>
      <c r="K122" s="122"/>
      <c r="L122" s="122"/>
      <c r="M122" s="122"/>
      <c r="N122" s="122"/>
      <c r="O122" s="122"/>
      <c r="P122" s="122"/>
      <c r="Q122" s="122"/>
      <c r="R122" s="122"/>
      <c r="S122" s="122"/>
      <c r="T122" s="122"/>
      <c r="U122" s="122"/>
      <c r="V122" s="122"/>
      <c r="W122" s="122"/>
      <c r="X122" s="53"/>
      <c r="Y122" s="53"/>
    </row>
    <row r="123" spans="2:25" x14ac:dyDescent="0.2">
      <c r="C123" s="97"/>
      <c r="D123" s="97"/>
      <c r="E123" s="97"/>
      <c r="F123" s="97"/>
      <c r="G123" s="123"/>
      <c r="H123" s="123"/>
      <c r="I123" s="123"/>
      <c r="J123" s="123"/>
      <c r="K123" s="123"/>
      <c r="L123" s="123"/>
      <c r="M123" s="123"/>
      <c r="N123" s="123"/>
      <c r="O123" s="123"/>
      <c r="P123" s="123"/>
      <c r="Q123" s="123"/>
      <c r="R123" s="123"/>
      <c r="S123" s="123"/>
      <c r="T123" s="123"/>
      <c r="U123" s="123"/>
      <c r="V123" s="123"/>
      <c r="W123" s="123"/>
      <c r="X123" s="53"/>
      <c r="Y123" s="53"/>
    </row>
    <row r="124" spans="2:25" x14ac:dyDescent="0.2">
      <c r="E124" s="34"/>
      <c r="F124" s="34"/>
      <c r="G124" s="122"/>
      <c r="H124" s="122"/>
      <c r="I124" s="122"/>
      <c r="J124" s="122"/>
      <c r="K124" s="122"/>
      <c r="L124" s="122"/>
      <c r="M124" s="122"/>
      <c r="N124" s="122"/>
      <c r="O124" s="122"/>
      <c r="P124" s="122"/>
      <c r="Q124" s="122"/>
      <c r="R124" s="122"/>
      <c r="S124" s="122"/>
      <c r="T124" s="122"/>
      <c r="U124" s="122"/>
      <c r="V124" s="122"/>
      <c r="W124" s="122"/>
      <c r="X124" s="53"/>
      <c r="Y124" s="53"/>
    </row>
    <row r="125" spans="2:25" x14ac:dyDescent="0.2">
      <c r="E125" s="34"/>
      <c r="F125" s="34"/>
      <c r="G125" s="122"/>
      <c r="H125" s="122"/>
      <c r="I125" s="122"/>
      <c r="J125" s="122"/>
      <c r="K125" s="122"/>
      <c r="L125" s="122"/>
      <c r="M125" s="122"/>
      <c r="N125" s="122"/>
      <c r="O125" s="122"/>
      <c r="P125" s="122"/>
      <c r="Q125" s="122"/>
      <c r="R125" s="122"/>
      <c r="S125" s="122"/>
      <c r="T125" s="122"/>
      <c r="U125" s="122"/>
      <c r="V125" s="122"/>
      <c r="W125" s="122"/>
      <c r="X125" s="122"/>
      <c r="Y125" s="53"/>
    </row>
    <row r="126" spans="2:25" x14ac:dyDescent="0.2">
      <c r="G126" s="122"/>
      <c r="H126" s="122"/>
      <c r="I126" s="122"/>
      <c r="J126" s="122"/>
      <c r="K126" s="122"/>
      <c r="L126" s="122"/>
      <c r="M126" s="122"/>
      <c r="N126" s="122"/>
      <c r="O126" s="122"/>
      <c r="P126" s="122"/>
      <c r="Q126" s="122"/>
      <c r="R126" s="122"/>
      <c r="S126" s="122"/>
      <c r="T126" s="122"/>
      <c r="U126" s="122"/>
      <c r="V126" s="122"/>
      <c r="W126" s="122"/>
      <c r="X126" s="122"/>
      <c r="Y126" s="53"/>
    </row>
    <row r="127" spans="2:25" x14ac:dyDescent="0.2">
      <c r="C127" s="97"/>
      <c r="D127" s="97"/>
      <c r="E127" s="34"/>
      <c r="F127" s="34"/>
      <c r="G127" s="122"/>
      <c r="H127" s="122"/>
      <c r="I127" s="122"/>
      <c r="J127" s="122"/>
      <c r="K127" s="122"/>
      <c r="L127" s="122"/>
      <c r="M127" s="122"/>
      <c r="N127" s="122"/>
      <c r="O127" s="122"/>
      <c r="P127" s="122"/>
      <c r="Q127" s="122"/>
      <c r="R127" s="122"/>
      <c r="S127" s="122"/>
      <c r="T127" s="122"/>
      <c r="U127" s="122"/>
      <c r="V127" s="122"/>
      <c r="W127" s="122"/>
      <c r="X127" s="122"/>
      <c r="Y127" s="53"/>
    </row>
    <row r="128" spans="2:25" x14ac:dyDescent="0.2">
      <c r="E128" s="34"/>
      <c r="F128" s="34"/>
      <c r="G128" s="122"/>
      <c r="H128" s="122"/>
      <c r="I128" s="122"/>
      <c r="J128" s="122"/>
      <c r="K128" s="122"/>
      <c r="L128" s="122"/>
      <c r="M128" s="122"/>
      <c r="N128" s="122"/>
      <c r="O128" s="122"/>
      <c r="P128" s="122"/>
      <c r="Q128" s="122"/>
      <c r="R128" s="122"/>
      <c r="S128" s="122"/>
      <c r="T128" s="122"/>
      <c r="U128" s="122"/>
      <c r="V128" s="122"/>
      <c r="W128" s="122"/>
      <c r="X128" s="122"/>
      <c r="Y128" s="53"/>
    </row>
    <row r="129" spans="6:25" x14ac:dyDescent="0.2">
      <c r="G129" s="122"/>
      <c r="H129" s="122"/>
      <c r="I129" s="122"/>
      <c r="J129" s="122"/>
      <c r="K129" s="122"/>
      <c r="L129" s="122"/>
      <c r="M129" s="122"/>
      <c r="N129" s="122"/>
      <c r="O129" s="122"/>
      <c r="P129" s="122"/>
      <c r="Q129" s="122"/>
      <c r="R129" s="122"/>
      <c r="S129" s="122"/>
      <c r="T129" s="122"/>
      <c r="U129" s="122"/>
      <c r="V129" s="122"/>
      <c r="W129" s="122"/>
      <c r="X129" s="122"/>
      <c r="Y129" s="53"/>
    </row>
    <row r="130" spans="6:25" x14ac:dyDescent="0.2">
      <c r="F130" s="34"/>
      <c r="G130" s="122"/>
      <c r="H130" s="122"/>
      <c r="I130" s="122"/>
      <c r="J130" s="122"/>
      <c r="K130" s="122"/>
      <c r="L130" s="122"/>
      <c r="M130" s="122"/>
      <c r="N130" s="122"/>
      <c r="O130" s="122"/>
      <c r="P130" s="122"/>
      <c r="Q130" s="122"/>
      <c r="R130" s="122"/>
      <c r="S130" s="122"/>
      <c r="T130" s="122"/>
      <c r="U130" s="122"/>
      <c r="V130" s="122"/>
      <c r="W130" s="122"/>
      <c r="X130" s="122"/>
      <c r="Y130" s="53"/>
    </row>
    <row r="131" spans="6:25" x14ac:dyDescent="0.2">
      <c r="G131" s="122"/>
      <c r="H131" s="122"/>
      <c r="I131" s="122"/>
      <c r="J131" s="122"/>
      <c r="K131" s="122"/>
      <c r="L131" s="122"/>
      <c r="M131" s="122"/>
      <c r="N131" s="122"/>
      <c r="O131" s="122"/>
      <c r="P131" s="122"/>
      <c r="Q131" s="122"/>
      <c r="R131" s="122"/>
      <c r="S131" s="122"/>
      <c r="T131" s="122"/>
      <c r="U131" s="122"/>
      <c r="V131" s="122"/>
      <c r="W131" s="122"/>
      <c r="X131" s="122"/>
      <c r="Y131" s="53"/>
    </row>
    <row r="132" spans="6:25" x14ac:dyDescent="0.2">
      <c r="G132" s="122"/>
      <c r="H132" s="122"/>
      <c r="I132" s="122"/>
      <c r="J132" s="122"/>
      <c r="K132" s="122"/>
      <c r="L132" s="122"/>
      <c r="M132" s="122"/>
      <c r="N132" s="122"/>
      <c r="O132" s="122"/>
      <c r="P132" s="122"/>
      <c r="Q132" s="122"/>
      <c r="R132" s="122"/>
      <c r="S132" s="122"/>
      <c r="T132" s="122"/>
      <c r="U132" s="122"/>
      <c r="V132" s="122"/>
      <c r="W132" s="122"/>
      <c r="X132" s="122"/>
    </row>
  </sheetData>
  <conditionalFormatting sqref="K22:M24 K27:M27 K37:M38">
    <cfRule type="expression" dxfId="12" priority="23">
      <formula>K$10&lt;=$C$6</formula>
    </cfRule>
  </conditionalFormatting>
  <conditionalFormatting sqref="G12:M12">
    <cfRule type="expression" dxfId="11" priority="80">
      <formula>AND(G10&gt;$C$5,G10&lt;=$C$6)</formula>
    </cfRule>
  </conditionalFormatting>
  <conditionalFormatting sqref="U10:W44 U46:W53 U55:W77 U79:W100 U102:W130">
    <cfRule type="expression" dxfId="10" priority="1">
      <formula>U$10&gt;$C$7</formula>
    </cfRule>
  </conditionalFormatting>
  <pageMargins left="0.7" right="0.7" top="0.75" bottom="0.75" header="0.3" footer="0.3"/>
  <pageSetup paperSize="9" orientation="portrait" r:id="rId1"/>
  <ignoredErrors>
    <ignoredError sqref="C5 C47:C48" unlockedFormula="1"/>
  </ignoredErrors>
  <extLst>
    <ext xmlns:x14="http://schemas.microsoft.com/office/spreadsheetml/2009/9/main" uri="{78C0D931-6437-407d-A8EE-F0AAD7539E65}">
      <x14:conditionalFormattings>
        <x14:conditionalFormatting xmlns:xm="http://schemas.microsoft.com/office/excel/2006/main">
          <x14:cfRule type="expression" priority="11" id="{47096C19-0CC0-4A07-971C-858ECF0661D5}">
            <xm:f>'Criteria results'!$F$5=7</xm:f>
            <x14:dxf>
              <fill>
                <patternFill>
                  <bgColor theme="0"/>
                </patternFill>
              </fill>
            </x14:dxf>
          </x14:cfRule>
          <xm:sqref>K52</xm:sqref>
        </x14:conditionalFormatting>
        <x14:conditionalFormatting xmlns:xm="http://schemas.microsoft.com/office/excel/2006/main">
          <x14:cfRule type="expression" priority="10" id="{1BFFC212-476D-44E4-A610-AF76A344A99F}">
            <xm:f>'Criteria results'!$F$5=7</xm:f>
            <x14:dxf>
              <fill>
                <patternFill>
                  <bgColor theme="0"/>
                </patternFill>
              </fill>
            </x14:dxf>
          </x14:cfRule>
          <xm:sqref>L52</xm:sqref>
        </x14:conditionalFormatting>
        <x14:conditionalFormatting xmlns:xm="http://schemas.microsoft.com/office/excel/2006/main">
          <x14:cfRule type="expression" priority="9" id="{4EACEE69-D13B-4A8D-9236-28646E633B5B}">
            <xm:f>'Criteria results'!$F$5=7</xm:f>
            <x14:dxf>
              <fill>
                <patternFill>
                  <bgColor theme="0"/>
                </patternFill>
              </fill>
            </x14:dxf>
          </x14:cfRule>
          <xm:sqref>M52</xm:sqref>
        </x14:conditionalFormatting>
        <x14:conditionalFormatting xmlns:xm="http://schemas.microsoft.com/office/excel/2006/main">
          <x14:cfRule type="expression" priority="82" id="{57B4AF88-7351-4B19-BA3B-6B998AD74D0C}">
            <xm:f>AND($N$10&gt;2024,$N$10&lt;=2024+'Criteria results'!$F$5)</xm:f>
            <x14:dxf>
              <fill>
                <patternFill>
                  <bgColor theme="0" tint="-0.14996795556505021"/>
                </patternFill>
              </fill>
            </x14:dxf>
          </x14:cfRule>
          <xm:sqref>N12</xm:sqref>
        </x14:conditionalFormatting>
        <x14:conditionalFormatting xmlns:xm="http://schemas.microsoft.com/office/excel/2006/main">
          <x14:cfRule type="expression" priority="83" id="{354A6338-46EF-4602-BA31-438E78236E93}">
            <xm:f>AND($O$10&gt;2024,$O$10&lt;=2024+'Criteria results'!$F$5)</xm:f>
            <x14:dxf>
              <fill>
                <patternFill>
                  <bgColor theme="0" tint="-0.14996795556505021"/>
                </patternFill>
              </fill>
            </x14:dxf>
          </x14:cfRule>
          <xm:sqref>O12</xm:sqref>
        </x14:conditionalFormatting>
        <x14:conditionalFormatting xmlns:xm="http://schemas.microsoft.com/office/excel/2006/main">
          <x14:cfRule type="expression" priority="84" id="{9F1C1270-F5DB-4E73-982C-3D38BC86117F}">
            <xm:f>AND($P$10&gt;2024,$P$10&lt;=2024+'Criteria results'!#REF!)</xm:f>
            <x14:dxf>
              <fill>
                <patternFill>
                  <bgColor theme="0" tint="-0.14996795556505021"/>
                </patternFill>
              </fill>
            </x14:dxf>
          </x14:cfRule>
          <xm:sqref>P12</xm:sqref>
        </x14:conditionalFormatting>
        <x14:conditionalFormatting xmlns:xm="http://schemas.microsoft.com/office/excel/2006/main">
          <x14:cfRule type="expression" priority="85" id="{3B57B2B3-DFDF-4C5A-9FDD-41F823A47376}">
            <xm:f>OR('Criteria results'!#REF!=7,'Criteria results'!#REF!=10)</xm:f>
            <x14:dxf>
              <font>
                <color theme="0"/>
              </font>
            </x14:dxf>
          </x14:cfRule>
          <xm:sqref>K76:M76</xm:sqref>
        </x14:conditionalFormatting>
        <x14:conditionalFormatting xmlns:xm="http://schemas.microsoft.com/office/excel/2006/main">
          <x14:cfRule type="expression" priority="86" id="{AD631567-B5C1-4C77-8394-9CE24A7E7ABD}">
            <xm:f>'Criteria results'!#REF!=10</xm:f>
            <x14:dxf>
              <font>
                <color theme="0"/>
              </font>
            </x14:dxf>
          </x14:cfRule>
          <xm:sqref>N76:P76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tabColor rgb="FF00B050"/>
  </sheetPr>
  <dimension ref="A1:AX31"/>
  <sheetViews>
    <sheetView workbookViewId="0"/>
  </sheetViews>
  <sheetFormatPr defaultColWidth="8.85546875" defaultRowHeight="12.75" x14ac:dyDescent="0.2"/>
  <cols>
    <col min="1" max="1" width="8.85546875" style="5"/>
    <col min="2" max="2" width="43.42578125" style="5" customWidth="1"/>
    <col min="3" max="16384" width="8.85546875" style="5"/>
  </cols>
  <sheetData>
    <row r="1" spans="1:50" s="26" customFormat="1" ht="24.75" customHeight="1" x14ac:dyDescent="0.2">
      <c r="B1" s="39"/>
    </row>
    <row r="2" spans="1:50" s="26" customFormat="1" ht="11.25" customHeight="1" x14ac:dyDescent="0.2">
      <c r="B2" s="27"/>
    </row>
    <row r="3" spans="1:50" s="26" customFormat="1" ht="11.25" customHeight="1" x14ac:dyDescent="0.2">
      <c r="B3" s="19" t="s">
        <v>15</v>
      </c>
      <c r="C3" s="20" t="str">
        <f>'Input data'!C3</f>
        <v>FR</v>
      </c>
    </row>
    <row r="4" spans="1:50" s="26" customFormat="1" ht="11.25" x14ac:dyDescent="0.2">
      <c r="B4" s="64" t="s">
        <v>38</v>
      </c>
      <c r="C4" s="21"/>
    </row>
    <row r="5" spans="1:50" s="26" customFormat="1" ht="11.25" x14ac:dyDescent="0.2">
      <c r="A5" s="29"/>
      <c r="B5" s="22" t="str">
        <f>'Input data'!B5</f>
        <v>Last year before the adjustment</v>
      </c>
      <c r="C5" s="23">
        <f>+'Input data'!C5</f>
        <v>2024</v>
      </c>
    </row>
    <row r="6" spans="1:50" s="26" customFormat="1" ht="11.25" x14ac:dyDescent="0.2">
      <c r="A6" s="29"/>
      <c r="B6" s="65" t="s">
        <v>149</v>
      </c>
      <c r="C6" s="23">
        <f>C5+'Criteria results'!F5+1</f>
        <v>2029</v>
      </c>
      <c r="E6" s="43"/>
      <c r="F6" s="29"/>
    </row>
    <row r="7" spans="1:50" s="26" customFormat="1" ht="11.25" x14ac:dyDescent="0.2">
      <c r="A7" s="29"/>
      <c r="B7" s="24" t="s">
        <v>150</v>
      </c>
      <c r="C7" s="66">
        <f>C6+4</f>
        <v>2033</v>
      </c>
      <c r="E7" s="43"/>
      <c r="F7" s="29"/>
    </row>
    <row r="8" spans="1:50" s="26" customFormat="1" ht="11.25" x14ac:dyDescent="0.2">
      <c r="A8" s="29"/>
      <c r="C8" s="29"/>
      <c r="E8" s="43"/>
      <c r="F8" s="29"/>
    </row>
    <row r="9" spans="1:50" s="67" customFormat="1" ht="11.25" x14ac:dyDescent="0.2">
      <c r="B9" s="90" t="s">
        <v>151</v>
      </c>
    </row>
    <row r="10" spans="1:50" s="26" customFormat="1" ht="11.25"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0" x14ac:dyDescent="0.2">
      <c r="B11" s="91" t="s">
        <v>188</v>
      </c>
      <c r="C11" s="83">
        <f>'Adjust. no safeguard'!C57</f>
        <v>112.97329999999999</v>
      </c>
      <c r="D11" s="83">
        <f>'Adjust. no safeguard'!D57</f>
        <v>111.9181670256222</v>
      </c>
      <c r="E11" s="83">
        <f>'Adjust. no safeguard'!E57</f>
        <v>110.64326790048331</v>
      </c>
      <c r="F11" s="83">
        <f>'Adjust. no safeguard'!F57</f>
        <v>112.40882173205914</v>
      </c>
      <c r="G11" s="83">
        <f>'Adjust. no safeguard'!G57</f>
        <v>113.96873574495558</v>
      </c>
      <c r="H11" s="83">
        <f>'Adjust. no safeguard'!H57</f>
        <v>115.77838065922458</v>
      </c>
      <c r="I11" s="83">
        <f>'Adjust. no safeguard'!I57</f>
        <v>116.92117165766111</v>
      </c>
      <c r="J11" s="83">
        <f>'Adjust. no safeguard'!J57</f>
        <v>117.28270034717907</v>
      </c>
      <c r="K11" s="83">
        <f>'Adjust. no safeguard'!K57</f>
        <v>116.3940420920207</v>
      </c>
      <c r="L11" s="83">
        <f>'Adjust. no safeguard'!L57</f>
        <v>115.17150448362032</v>
      </c>
      <c r="M11" s="83">
        <f>'Adjust. no safeguard'!M57</f>
        <v>113.59794901750452</v>
      </c>
      <c r="N11" s="83">
        <f>'Adjust. no safeguard'!N57</f>
        <v>112.63450426242881</v>
      </c>
      <c r="O11" s="83">
        <f>'Adjust. no safeguard'!O57</f>
        <v>111.7435099006877</v>
      </c>
      <c r="P11" s="83">
        <f>'Adjust. no safeguard'!P57</f>
        <v>110.80056765042947</v>
      </c>
      <c r="Q11" s="83">
        <f>'Adjust. no safeguard'!Q57</f>
        <v>109.75097572995541</v>
      </c>
      <c r="R11" s="83">
        <f>'Adjust. no safeguard'!R57</f>
        <v>108.5958000998274</v>
      </c>
      <c r="S11" s="83">
        <f>'Adjust. no safeguard'!S57</f>
        <v>107.42353691390102</v>
      </c>
      <c r="T11" s="83">
        <f>'Adjust. no safeguard'!T57</f>
        <v>106.19793615773025</v>
      </c>
      <c r="U11" s="83">
        <f>'Adjust. no safeguard'!U57</f>
        <v>104.89116193207212</v>
      </c>
      <c r="V11" s="83">
        <f>'Adjust. no safeguard'!V57</f>
        <v>103.46077033792356</v>
      </c>
      <c r="W11" s="83">
        <f>'Adjust. no safeguard'!W57</f>
        <v>102.11438203227299</v>
      </c>
    </row>
    <row r="12" spans="1:50" s="26" customFormat="1" ht="11.25" x14ac:dyDescent="0.2">
      <c r="A12" s="29"/>
      <c r="C12" s="29"/>
      <c r="E12" s="43"/>
      <c r="F12" s="29"/>
    </row>
    <row r="13" spans="1:50" s="67" customFormat="1" ht="11.25" x14ac:dyDescent="0.2">
      <c r="B13" s="90" t="s">
        <v>152</v>
      </c>
    </row>
    <row r="14" spans="1:50" x14ac:dyDescent="0.2">
      <c r="B14" s="5" t="s">
        <v>153</v>
      </c>
      <c r="C14" s="83">
        <f>C$11</f>
        <v>112.97329999999999</v>
      </c>
      <c r="D14" s="83">
        <f t="shared" ref="D14:J18" si="0">D$11</f>
        <v>111.9181670256222</v>
      </c>
      <c r="E14" s="83">
        <f t="shared" si="0"/>
        <v>110.64326790048331</v>
      </c>
      <c r="F14" s="83">
        <f t="shared" si="0"/>
        <v>112.40882173205914</v>
      </c>
      <c r="G14" s="83">
        <f t="shared" si="0"/>
        <v>113.96873574495558</v>
      </c>
      <c r="H14" s="83">
        <f t="shared" si="0"/>
        <v>115.77838065922458</v>
      </c>
      <c r="I14" s="83">
        <f t="shared" si="0"/>
        <v>116.92117165766111</v>
      </c>
      <c r="J14" s="83">
        <f>J$11</f>
        <v>117.28270034717907</v>
      </c>
      <c r="K14" s="83">
        <f>IF('Criteria results'!$F$5=4,K$11+'Input data'!C74,K$11)</f>
        <v>111.92955692356367</v>
      </c>
      <c r="L14" s="83">
        <f>IF('Criteria results'!$F$5=4,L$11+'Input data'!D74,L$11)</f>
        <v>108.92239712278048</v>
      </c>
      <c r="M14" s="83">
        <f>IF('Criteria results'!$F$5=4,M$11+'Input data'!E74,M$11)</f>
        <v>105.99447916887171</v>
      </c>
      <c r="N14" s="83">
        <f>IF('Criteria results'!$F$5=4,N$11+'Input data'!F74,N$11+'Input data'!C74)</f>
        <v>103.83766740940146</v>
      </c>
      <c r="O14" s="83">
        <f>IF('Criteria results'!$F$5=4,O$11+'Input data'!G74,O$11+'Input data'!D74)</f>
        <v>102.02971900713301</v>
      </c>
      <c r="P14" s="83" t="str">
        <f>IF('Criteria results'!$F$5=4,"",Stochastic!P$11+'Input data'!E74)</f>
        <v/>
      </c>
      <c r="Q14" s="83" t="str">
        <f>IF('Criteria results'!$F$5=4,"",Stochastic!Q$11+'Input data'!F74)</f>
        <v/>
      </c>
      <c r="R14" s="83" t="str">
        <f>IF('Criteria results'!$F$5=4,"",Stochastic!R$11+'Input data'!G74)</f>
        <v/>
      </c>
    </row>
    <row r="15" spans="1:50" x14ac:dyDescent="0.2">
      <c r="B15" s="5" t="s">
        <v>154</v>
      </c>
      <c r="C15" s="83">
        <f t="shared" ref="C15:C18" si="1">C$11</f>
        <v>112.97329999999999</v>
      </c>
      <c r="D15" s="83">
        <f t="shared" si="0"/>
        <v>111.9181670256222</v>
      </c>
      <c r="E15" s="83">
        <f t="shared" si="0"/>
        <v>110.64326790048331</v>
      </c>
      <c r="F15" s="83">
        <f t="shared" si="0"/>
        <v>112.40882173205914</v>
      </c>
      <c r="G15" s="83">
        <f t="shared" si="0"/>
        <v>113.96873574495558</v>
      </c>
      <c r="H15" s="83">
        <f t="shared" si="0"/>
        <v>115.77838065922458</v>
      </c>
      <c r="I15" s="83">
        <f t="shared" si="0"/>
        <v>116.92117165766111</v>
      </c>
      <c r="J15" s="83">
        <f t="shared" si="0"/>
        <v>117.28270034717907</v>
      </c>
      <c r="K15" s="83">
        <f>IF('Criteria results'!$F$5=4,K$11+'Input data'!C75,K$11)</f>
        <v>114.52682407444257</v>
      </c>
      <c r="L15" s="83">
        <f>IF('Criteria results'!$F$5=4,L$11+'Input data'!D75,L$11)</f>
        <v>112.58429287473361</v>
      </c>
      <c r="M15" s="83">
        <f>IF('Criteria results'!$F$5=4,M$11+'Input data'!E75,M$11)</f>
        <v>110.48406504533655</v>
      </c>
      <c r="N15" s="83">
        <f>IF('Criteria results'!$F$5=4,N$11+'Input data'!F75,N$11+'Input data'!C75)</f>
        <v>109.02264207981162</v>
      </c>
      <c r="O15" s="83">
        <f>IF('Criteria results'!$F$5=4,O$11+'Input data'!G75,O$11+'Input data'!D75)</f>
        <v>107.71733344805098</v>
      </c>
      <c r="P15" s="83" t="str">
        <f>IF('Criteria results'!$F$5=4,"",Stochastic!P$11+'Input data'!E75)</f>
        <v/>
      </c>
      <c r="Q15" s="83" t="str">
        <f>IF('Criteria results'!$F$5=4,"",Stochastic!Q$11+'Input data'!F75)</f>
        <v/>
      </c>
      <c r="R15" s="83" t="str">
        <f>IF('Criteria results'!$F$5=4,"",Stochastic!R$11+'Input data'!G75)</f>
        <v/>
      </c>
    </row>
    <row r="16" spans="1:50" x14ac:dyDescent="0.2">
      <c r="B16" s="5" t="s">
        <v>189</v>
      </c>
      <c r="C16" s="83">
        <f t="shared" si="1"/>
        <v>112.97329999999999</v>
      </c>
      <c r="D16" s="83">
        <f t="shared" si="0"/>
        <v>111.9181670256222</v>
      </c>
      <c r="E16" s="83">
        <f t="shared" si="0"/>
        <v>110.64326790048331</v>
      </c>
      <c r="F16" s="83">
        <f t="shared" si="0"/>
        <v>112.40882173205914</v>
      </c>
      <c r="G16" s="83">
        <f t="shared" si="0"/>
        <v>113.96873574495558</v>
      </c>
      <c r="H16" s="83">
        <f t="shared" si="0"/>
        <v>115.77838065922458</v>
      </c>
      <c r="I16" s="83">
        <f t="shared" si="0"/>
        <v>116.92117165766111</v>
      </c>
      <c r="J16" s="83">
        <f t="shared" si="0"/>
        <v>117.28270034717907</v>
      </c>
      <c r="K16" s="83">
        <f>K11</f>
        <v>116.3940420920207</v>
      </c>
      <c r="L16" s="83">
        <f t="shared" ref="L16:O16" si="2">L11</f>
        <v>115.17150448362032</v>
      </c>
      <c r="M16" s="83">
        <f t="shared" si="2"/>
        <v>113.59794901750452</v>
      </c>
      <c r="N16" s="83">
        <f t="shared" si="2"/>
        <v>112.63450426242881</v>
      </c>
      <c r="O16" s="83">
        <f t="shared" si="2"/>
        <v>111.7435099006877</v>
      </c>
      <c r="P16" s="83" t="str">
        <f>IF('Criteria results'!$F$5=4,"",Stochastic!P$11)</f>
        <v/>
      </c>
      <c r="Q16" s="83" t="str">
        <f>IF('Criteria results'!$F$5=4,"",Stochastic!Q$11)</f>
        <v/>
      </c>
      <c r="R16" s="83" t="str">
        <f>IF('Criteria results'!$F$5=4,"",Stochastic!R$11)</f>
        <v/>
      </c>
    </row>
    <row r="17" spans="2:18" x14ac:dyDescent="0.2">
      <c r="B17" s="5" t="s">
        <v>155</v>
      </c>
      <c r="C17" s="83">
        <f t="shared" si="1"/>
        <v>112.97329999999999</v>
      </c>
      <c r="D17" s="83">
        <f t="shared" si="0"/>
        <v>111.9181670256222</v>
      </c>
      <c r="E17" s="83">
        <f t="shared" si="0"/>
        <v>110.64326790048331</v>
      </c>
      <c r="F17" s="83">
        <f t="shared" si="0"/>
        <v>112.40882173205914</v>
      </c>
      <c r="G17" s="83">
        <f t="shared" si="0"/>
        <v>113.96873574495558</v>
      </c>
      <c r="H17" s="83">
        <f t="shared" si="0"/>
        <v>115.77838065922458</v>
      </c>
      <c r="I17" s="83">
        <f t="shared" si="0"/>
        <v>116.92117165766111</v>
      </c>
      <c r="J17" s="83">
        <f t="shared" si="0"/>
        <v>117.28270034717907</v>
      </c>
      <c r="K17" s="83">
        <f>IF('Criteria results'!$F$5=4,K$11+'Input data'!C76,K$11)</f>
        <v>118.24799259250898</v>
      </c>
      <c r="L17" s="83">
        <f>IF('Criteria results'!$F$5=4,L$11+'Input data'!D76,L$11)</f>
        <v>117.67618130246798</v>
      </c>
      <c r="M17" s="83">
        <f>IF('Criteria results'!$F$5=4,M$11+'Input data'!E76,M$11)</f>
        <v>116.69233225725061</v>
      </c>
      <c r="N17" s="83">
        <f>IF('Criteria results'!$F$5=4,N$11+'Input data'!F76,N$11+'Input data'!C76)</f>
        <v>116.32843584201865</v>
      </c>
      <c r="O17" s="83">
        <f>IF('Criteria results'!$F$5=4,O$11+'Input data'!G76,O$11+'Input data'!D76)</f>
        <v>115.85453284990645</v>
      </c>
      <c r="P17" s="83" t="str">
        <f>IF('Criteria results'!$F$5=4,"",Stochastic!P$11+'Input data'!E76)</f>
        <v/>
      </c>
      <c r="Q17" s="83" t="str">
        <f>IF('Criteria results'!$F$5=4,"",Stochastic!Q$11+'Input data'!F76)</f>
        <v/>
      </c>
      <c r="R17" s="83" t="str">
        <f>IF('Criteria results'!$F$5=4,"",Stochastic!R$11+'Input data'!G76)</f>
        <v/>
      </c>
    </row>
    <row r="18" spans="2:18" x14ac:dyDescent="0.2">
      <c r="B18" s="5" t="s">
        <v>156</v>
      </c>
      <c r="C18" s="83">
        <f t="shared" si="1"/>
        <v>112.97329999999999</v>
      </c>
      <c r="D18" s="83">
        <f t="shared" si="0"/>
        <v>111.9181670256222</v>
      </c>
      <c r="E18" s="83">
        <f t="shared" si="0"/>
        <v>110.64326790048331</v>
      </c>
      <c r="F18" s="83">
        <f t="shared" si="0"/>
        <v>112.40882173205914</v>
      </c>
      <c r="G18" s="83">
        <f t="shared" si="0"/>
        <v>113.96873574495558</v>
      </c>
      <c r="H18" s="83">
        <f t="shared" si="0"/>
        <v>115.77838065922458</v>
      </c>
      <c r="I18" s="83">
        <f t="shared" si="0"/>
        <v>116.92117165766111</v>
      </c>
      <c r="J18" s="83">
        <f t="shared" si="0"/>
        <v>117.28270034717907</v>
      </c>
      <c r="K18" s="83">
        <f>IF('Criteria results'!$F$5=4,K$11+'Input data'!C77,K$11)</f>
        <v>120.99148471897382</v>
      </c>
      <c r="L18" s="83">
        <f>IF('Criteria results'!$F$5=4,L$11+'Input data'!D77,L$11)</f>
        <v>121.54050015012423</v>
      </c>
      <c r="M18" s="83">
        <f>IF('Criteria results'!$F$5=4,M$11+'Input data'!E77,M$11)</f>
        <v>121.3364210023678</v>
      </c>
      <c r="N18" s="83">
        <f>IF('Criteria results'!$F$5=4,N$11+'Input data'!F77,N$11+'Input data'!C77)</f>
        <v>121.75111192844443</v>
      </c>
      <c r="O18" s="83">
        <f>IF('Criteria results'!$F$5=4,O$11+'Input data'!G77,O$11+'Input data'!D77)</f>
        <v>122.03341163408614</v>
      </c>
      <c r="P18" s="83" t="str">
        <f>IF('Criteria results'!$F$5=4,"",Stochastic!P$11+'Input data'!E77)</f>
        <v/>
      </c>
      <c r="Q18" s="83" t="str">
        <f>IF('Criteria results'!$F$5=4,"",Stochastic!Q$11+'Input data'!F77)</f>
        <v/>
      </c>
      <c r="R18" s="83" t="str">
        <f>IF('Criteria results'!$F$5=4,"",Stochastic!R$11+'Input data'!G77)</f>
        <v/>
      </c>
    </row>
    <row r="20" spans="2:18" s="67" customFormat="1" ht="11.25" x14ac:dyDescent="0.2">
      <c r="B20" s="90" t="s">
        <v>157</v>
      </c>
    </row>
    <row r="21" spans="2:18" s="26" customFormat="1" x14ac:dyDescent="0.2">
      <c r="B21" s="81" t="str">
        <f>"Stochastic debt projections "&amp;E21&amp;"-"&amp;I21</f>
        <v>Stochastic debt projections 2029-2033</v>
      </c>
      <c r="C21" s="82">
        <f>IF('Criteria results'!$F$5=4,I10,L10)</f>
        <v>2027</v>
      </c>
      <c r="D21" s="82">
        <f>IF('Criteria results'!$F$5=4,J10,M10)</f>
        <v>2028</v>
      </c>
      <c r="E21" s="82">
        <f>IF('Criteria results'!$F$5=4,K10,N10)</f>
        <v>2029</v>
      </c>
      <c r="F21" s="82">
        <f>IF('Criteria results'!$F$5=4,L10,O10)</f>
        <v>2030</v>
      </c>
      <c r="G21" s="82">
        <f>IF('Criteria results'!$F$5=4,M10,P10)</f>
        <v>2031</v>
      </c>
      <c r="H21" s="82">
        <f>IF('Criteria results'!$F$5=4,N10,Q10)</f>
        <v>2032</v>
      </c>
      <c r="I21" s="82">
        <f>IF('Criteria results'!$F$5=4,O10,R10)</f>
        <v>2033</v>
      </c>
    </row>
    <row r="22" spans="2:18" x14ac:dyDescent="0.2">
      <c r="B22" s="5" t="s">
        <v>153</v>
      </c>
      <c r="C22" s="83">
        <f>IF('Criteria results'!$F$5=4,I$11,L$11)</f>
        <v>116.92117165766111</v>
      </c>
      <c r="D22" s="83">
        <f>IF('Criteria results'!$F$5=4,J$11,M$11)</f>
        <v>117.28270034717907</v>
      </c>
      <c r="E22" s="83">
        <f>IF('Criteria results'!$F$5=4,K$11+'Input data'!C74,N$11+'Input data'!C74)</f>
        <v>111.92955692356367</v>
      </c>
      <c r="F22" s="83">
        <f>IF('Criteria results'!$F$5=4,L$11+'Input data'!D74,O$11+'Input data'!D74)</f>
        <v>108.92239712278048</v>
      </c>
      <c r="G22" s="83">
        <f>IF('Criteria results'!$F$5=4,M$11+'Input data'!E74,P$11+'Input data'!E74)</f>
        <v>105.99447916887171</v>
      </c>
      <c r="H22" s="83">
        <f>IF('Criteria results'!$F$5=4,N$11+'Input data'!F74,Q$11+'Input data'!F74)</f>
        <v>103.83766740940146</v>
      </c>
      <c r="I22" s="83">
        <f>IF('Criteria results'!$F$5=4,O$11+'Input data'!G74,R$11+'Input data'!G74)</f>
        <v>102.02971900713301</v>
      </c>
      <c r="P22" s="83"/>
      <c r="Q22" s="83"/>
      <c r="R22" s="83"/>
    </row>
    <row r="23" spans="2:18" x14ac:dyDescent="0.2">
      <c r="B23" s="5" t="s">
        <v>158</v>
      </c>
      <c r="C23" s="83">
        <v>0</v>
      </c>
      <c r="D23" s="83">
        <v>0</v>
      </c>
      <c r="E23" s="83">
        <f>'Input data'!C75-'Input data'!C74</f>
        <v>2.5972671508789063</v>
      </c>
      <c r="F23" s="83">
        <f>'Input data'!D75-'Input data'!D74</f>
        <v>3.661895751953125</v>
      </c>
      <c r="G23" s="83">
        <f>'Input data'!E75-'Input data'!E74</f>
        <v>4.4895858764648438</v>
      </c>
      <c r="H23" s="83">
        <f>'Input data'!F75-'Input data'!F74</f>
        <v>5.1849746704101563</v>
      </c>
      <c r="I23" s="83">
        <f>'Input data'!G75-'Input data'!G74</f>
        <v>5.6876144409179688</v>
      </c>
      <c r="P23" s="83"/>
      <c r="Q23" s="83"/>
      <c r="R23" s="83"/>
    </row>
    <row r="24" spans="2:18" x14ac:dyDescent="0.2">
      <c r="B24" s="5" t="s">
        <v>159</v>
      </c>
      <c r="C24" s="83">
        <v>0</v>
      </c>
      <c r="D24" s="83">
        <v>0</v>
      </c>
      <c r="E24" s="83">
        <f>-'Input data'!C75</f>
        <v>1.867218017578125</v>
      </c>
      <c r="F24" s="83">
        <f>-'Input data'!D75</f>
        <v>2.5872116088867188</v>
      </c>
      <c r="G24" s="83">
        <f>-'Input data'!E75</f>
        <v>3.1138839721679688</v>
      </c>
      <c r="H24" s="83">
        <f>-'Input data'!F75</f>
        <v>3.6118621826171875</v>
      </c>
      <c r="I24" s="83">
        <f>-'Input data'!G75</f>
        <v>4.0261764526367188</v>
      </c>
      <c r="P24" s="83"/>
      <c r="Q24" s="83"/>
      <c r="R24" s="83"/>
    </row>
    <row r="25" spans="2:18" x14ac:dyDescent="0.2">
      <c r="B25" s="5" t="s">
        <v>160</v>
      </c>
      <c r="C25" s="83">
        <v>0</v>
      </c>
      <c r="D25" s="83">
        <v>0</v>
      </c>
      <c r="E25" s="83">
        <f>'Input data'!C76</f>
        <v>1.8539505004882813</v>
      </c>
      <c r="F25" s="83">
        <f>'Input data'!D76</f>
        <v>2.5046768188476563</v>
      </c>
      <c r="G25" s="83">
        <f>'Input data'!E76</f>
        <v>3.0943832397460938</v>
      </c>
      <c r="H25" s="83">
        <f>'Input data'!F76</f>
        <v>3.6939315795898438</v>
      </c>
      <c r="I25" s="83">
        <f>'Input data'!G76</f>
        <v>4.11102294921875</v>
      </c>
      <c r="P25" s="83"/>
      <c r="Q25" s="83"/>
      <c r="R25" s="83"/>
    </row>
    <row r="26" spans="2:18" x14ac:dyDescent="0.2">
      <c r="B26" s="5" t="s">
        <v>161</v>
      </c>
      <c r="C26" s="83">
        <v>0</v>
      </c>
      <c r="D26" s="83">
        <v>0</v>
      </c>
      <c r="E26" s="83">
        <f>'Input data'!C77-'Input data'!C76</f>
        <v>2.7434921264648438</v>
      </c>
      <c r="F26" s="83">
        <f>'Input data'!D77-'Input data'!D76</f>
        <v>3.86431884765625</v>
      </c>
      <c r="G26" s="83">
        <f>'Input data'!E77-'Input data'!E76</f>
        <v>4.6440887451171875</v>
      </c>
      <c r="H26" s="83">
        <f>'Input data'!F77-'Input data'!F76</f>
        <v>5.4226760864257813</v>
      </c>
      <c r="I26" s="83">
        <f>'Input data'!G77-'Input data'!G76</f>
        <v>6.1788787841796875</v>
      </c>
      <c r="P26" s="83"/>
      <c r="Q26" s="83"/>
      <c r="R26" s="83"/>
    </row>
    <row r="27" spans="2:18" x14ac:dyDescent="0.2">
      <c r="B27" s="5" t="s">
        <v>153</v>
      </c>
      <c r="C27" s="83">
        <f>IF('Criteria results'!$F$5=4,I$11,L$11)</f>
        <v>116.92117165766111</v>
      </c>
      <c r="D27" s="83">
        <f>IF('Criteria results'!$F$5=4,J$11,M$11)</f>
        <v>117.28270034717907</v>
      </c>
      <c r="E27" s="83">
        <f>IF('Criteria results'!$F$5=4,K$11+'Input data'!C74,N$11+'Input data'!C74)</f>
        <v>111.92955692356367</v>
      </c>
      <c r="F27" s="83">
        <f>IF('Criteria results'!$F$5=4,L$11+'Input data'!D74,O$11+'Input data'!D74)</f>
        <v>108.92239712278048</v>
      </c>
      <c r="G27" s="83">
        <f>IF('Criteria results'!$F$5=4,M$11+'Input data'!E74,P$11+'Input data'!E74)</f>
        <v>105.99447916887171</v>
      </c>
      <c r="H27" s="83">
        <f>IF('Criteria results'!$F$5=4,N$11+'Input data'!F74,Q$11+'Input data'!F74)</f>
        <v>103.83766740940146</v>
      </c>
      <c r="I27" s="83">
        <f>IF('Criteria results'!$F$5=4,O$11+'Input data'!G74,R$11+'Input data'!G74)</f>
        <v>102.02971900713301</v>
      </c>
    </row>
    <row r="28" spans="2:18" x14ac:dyDescent="0.2">
      <c r="B28" s="5" t="s">
        <v>154</v>
      </c>
      <c r="C28" s="83">
        <f>IF('Criteria results'!$F$5=4,I$11,L$11)</f>
        <v>116.92117165766111</v>
      </c>
      <c r="D28" s="83">
        <f>IF('Criteria results'!$F$5=4,J$11,M$11)</f>
        <v>117.28270034717907</v>
      </c>
      <c r="E28" s="83">
        <f>IF('Criteria results'!$F$5=4,K$11+'Input data'!C75,N$11+'Input data'!C75)</f>
        <v>114.52682407444257</v>
      </c>
      <c r="F28" s="83">
        <f>IF('Criteria results'!$F$5=4,L$11+'Input data'!D75,O$11+'Input data'!D75)</f>
        <v>112.58429287473361</v>
      </c>
      <c r="G28" s="83">
        <f>IF('Criteria results'!$F$5=4,M$11+'Input data'!E75,P$11+'Input data'!E75)</f>
        <v>110.48406504533655</v>
      </c>
      <c r="H28" s="83">
        <f>IF('Criteria results'!$F$5=4,N$11+'Input data'!F75,Q$11+'Input data'!F75)</f>
        <v>109.02264207981162</v>
      </c>
      <c r="I28" s="83">
        <f>IF('Criteria results'!$F$5=4,O$11+'Input data'!G75,R$11+'Input data'!G75)</f>
        <v>107.71733344805098</v>
      </c>
      <c r="P28" s="83"/>
      <c r="Q28" s="83"/>
      <c r="R28" s="83"/>
    </row>
    <row r="29" spans="2:18" x14ac:dyDescent="0.2">
      <c r="B29" s="5" t="s">
        <v>162</v>
      </c>
      <c r="C29" s="83">
        <f>IF('Criteria results'!$F$5=4,I$11,L$11)</f>
        <v>116.92117165766111</v>
      </c>
      <c r="D29" s="83">
        <f>IF('Criteria results'!$F$5=4,J$11,M$11)</f>
        <v>117.28270034717907</v>
      </c>
      <c r="E29" s="83">
        <f>IF('Criteria results'!$F$5=4,K$11,N$11)</f>
        <v>116.3940420920207</v>
      </c>
      <c r="F29" s="83">
        <f>IF('Criteria results'!$F$5=4,L$11,O$11)</f>
        <v>115.17150448362032</v>
      </c>
      <c r="G29" s="83">
        <f>IF('Criteria results'!$F$5=4,M$11,P$11)</f>
        <v>113.59794901750452</v>
      </c>
      <c r="H29" s="83">
        <f>IF('Criteria results'!$F$5=4,N$11,Q$11)</f>
        <v>112.63450426242881</v>
      </c>
      <c r="I29" s="83">
        <f>IF('Criteria results'!$F$5=4,O$11,R$11)</f>
        <v>111.7435099006877</v>
      </c>
      <c r="P29" s="83"/>
      <c r="Q29" s="83"/>
      <c r="R29" s="83"/>
    </row>
    <row r="30" spans="2:18" x14ac:dyDescent="0.2">
      <c r="B30" s="5" t="s">
        <v>155</v>
      </c>
      <c r="C30" s="83">
        <f>IF('Criteria results'!$F$5=4,I$11,L$11)</f>
        <v>116.92117165766111</v>
      </c>
      <c r="D30" s="83">
        <f>IF('Criteria results'!$F$5=4,J$11,M$11)</f>
        <v>117.28270034717907</v>
      </c>
      <c r="E30" s="83">
        <f>IF('Criteria results'!$F$5=4,K$11+'Input data'!C76,N$11+'Input data'!C76)</f>
        <v>118.24799259250898</v>
      </c>
      <c r="F30" s="83">
        <f>IF('Criteria results'!$F$5=4,L$11+'Input data'!D76,O$11+'Input data'!D76)</f>
        <v>117.67618130246798</v>
      </c>
      <c r="G30" s="83">
        <f>IF('Criteria results'!$F$5=4,M$11+'Input data'!E76,P$11+'Input data'!E76)</f>
        <v>116.69233225725061</v>
      </c>
      <c r="H30" s="83">
        <f>IF('Criteria results'!$F$5=4,N$11+'Input data'!F76,Q$11+'Input data'!F76)</f>
        <v>116.32843584201865</v>
      </c>
      <c r="I30" s="83">
        <f>IF('Criteria results'!$F$5=4,O$11+'Input data'!G76,R$11+'Input data'!G76)</f>
        <v>115.85453284990645</v>
      </c>
      <c r="J30" s="83"/>
      <c r="K30" s="83"/>
      <c r="L30" s="83"/>
      <c r="M30" s="83"/>
      <c r="N30" s="83"/>
      <c r="O30" s="83"/>
    </row>
    <row r="31" spans="2:18" x14ac:dyDescent="0.2">
      <c r="B31" s="5" t="s">
        <v>156</v>
      </c>
      <c r="C31" s="83">
        <f>IF('Criteria results'!$F$5=4,I$11,L$11)</f>
        <v>116.92117165766111</v>
      </c>
      <c r="D31" s="83">
        <f>IF('Criteria results'!$F$5=4,J$11,M$11)</f>
        <v>117.28270034717907</v>
      </c>
      <c r="E31" s="83">
        <f>IF('Criteria results'!$F$5=4,K$11+'Input data'!C77,N$11+'Input data'!C77)</f>
        <v>120.99148471897382</v>
      </c>
      <c r="F31" s="83">
        <f>IF('Criteria results'!$F$5=4,L$11+'Input data'!D77,O$11+'Input data'!D77)</f>
        <v>121.54050015012423</v>
      </c>
      <c r="G31" s="83">
        <f>IF('Criteria results'!$F$5=4,M$11+'Input data'!E77,P$11+'Input data'!E77)</f>
        <v>121.3364210023678</v>
      </c>
      <c r="H31" s="83">
        <f>IF('Criteria results'!$F$5=4,N$11+'Input data'!F77,Q$11+'Input data'!F77)</f>
        <v>121.75111192844443</v>
      </c>
      <c r="I31" s="83">
        <f>IF('Criteria results'!$F$5=4,O$11+'Input data'!G77,R$11+'Input data'!G77)</f>
        <v>122.03341163408614</v>
      </c>
    </row>
  </sheetData>
  <pageMargins left="0.7" right="0.7" top="0.75" bottom="0.75" header="0.3" footer="0.3"/>
  <pageSetup paperSize="9" orientation="portrait" verticalDpi="0" r:id="rId1"/>
  <ignoredErrors>
    <ignoredError sqref="C5:C6" unlockedFormula="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D891-C40B-4DD5-A43C-645C26D0DC6D}">
  <sheetPr codeName="Sheet22">
    <tabColor rgb="FF7030A0"/>
  </sheetPr>
  <dimension ref="A1:Y63"/>
  <sheetViews>
    <sheetView zoomScale="90" zoomScaleNormal="90" workbookViewId="0"/>
  </sheetViews>
  <sheetFormatPr defaultRowHeight="12.75" x14ac:dyDescent="0.2"/>
  <cols>
    <col min="1" max="1" width="9.140625" style="331"/>
    <col min="2" max="2" width="4.5703125" style="331" customWidth="1"/>
    <col min="3" max="3" width="67" style="331" customWidth="1"/>
    <col min="4" max="4" width="16.5703125" style="331" customWidth="1"/>
    <col min="5" max="5" width="13.7109375" style="331" customWidth="1"/>
    <col min="6" max="24" width="10.7109375" style="331" customWidth="1"/>
    <col min="25" max="16384" width="9.140625" style="331"/>
  </cols>
  <sheetData>
    <row r="1" spans="1:25" x14ac:dyDescent="0.2">
      <c r="A1" s="271"/>
      <c r="B1" s="271"/>
      <c r="C1" s="271"/>
      <c r="D1" s="271"/>
      <c r="E1" s="271"/>
      <c r="F1" s="271"/>
      <c r="G1" s="271"/>
      <c r="H1" s="271"/>
      <c r="I1" s="271"/>
      <c r="J1" s="271"/>
      <c r="K1" s="271"/>
      <c r="L1" s="271"/>
      <c r="M1" s="271"/>
      <c r="N1" s="271"/>
      <c r="O1" s="271"/>
      <c r="P1" s="271"/>
      <c r="Q1" s="271"/>
      <c r="R1" s="271"/>
      <c r="S1" s="271"/>
      <c r="T1" s="271"/>
      <c r="U1" s="271"/>
      <c r="V1" s="271"/>
      <c r="W1" s="271"/>
      <c r="X1" s="271"/>
      <c r="Y1" s="271"/>
    </row>
    <row r="2" spans="1:25" x14ac:dyDescent="0.2">
      <c r="A2" s="271"/>
      <c r="B2" s="336"/>
      <c r="C2" s="337" t="s">
        <v>219</v>
      </c>
      <c r="D2" s="338"/>
      <c r="E2" s="338"/>
      <c r="F2" s="338"/>
      <c r="G2" s="354"/>
      <c r="H2" s="354"/>
      <c r="I2" s="354"/>
      <c r="J2" s="354"/>
      <c r="K2" s="271"/>
      <c r="L2" s="271"/>
      <c r="M2" s="271"/>
      <c r="N2" s="271"/>
      <c r="O2" s="271"/>
      <c r="P2" s="271"/>
      <c r="Q2" s="271"/>
      <c r="R2" s="271"/>
      <c r="S2" s="271"/>
      <c r="T2" s="271"/>
      <c r="U2" s="271"/>
      <c r="V2" s="271"/>
      <c r="W2" s="271"/>
      <c r="X2" s="271"/>
      <c r="Y2" s="271"/>
    </row>
    <row r="3" spans="1:25" x14ac:dyDescent="0.2">
      <c r="A3" s="271"/>
      <c r="B3" s="333"/>
      <c r="C3" s="354"/>
      <c r="D3" s="354"/>
      <c r="E3" s="354"/>
      <c r="F3" s="354"/>
      <c r="G3" s="354"/>
      <c r="H3" s="354"/>
      <c r="I3" s="354"/>
      <c r="J3" s="354"/>
      <c r="K3" s="271"/>
      <c r="L3" s="271"/>
      <c r="M3" s="271"/>
      <c r="N3" s="271"/>
      <c r="O3" s="271"/>
      <c r="P3" s="271"/>
      <c r="Q3" s="271"/>
      <c r="R3" s="271"/>
      <c r="S3" s="271"/>
      <c r="T3" s="271"/>
      <c r="U3" s="271"/>
      <c r="V3" s="271"/>
      <c r="W3" s="271"/>
      <c r="X3" s="271"/>
      <c r="Y3" s="271"/>
    </row>
    <row r="4" spans="1:25" x14ac:dyDescent="0.2">
      <c r="A4" s="271"/>
      <c r="B4" s="339"/>
      <c r="C4" s="337"/>
      <c r="D4" s="340" t="s">
        <v>240</v>
      </c>
      <c r="E4" s="341">
        <f>F4-1</f>
        <v>2022</v>
      </c>
      <c r="F4" s="342">
        <f>'Input data'!$C$5-1</f>
        <v>2023</v>
      </c>
      <c r="G4" s="342">
        <f>F4+1</f>
        <v>2024</v>
      </c>
      <c r="H4" s="342">
        <f t="shared" ref="H4:X4" si="0">G4+1</f>
        <v>2025</v>
      </c>
      <c r="I4" s="342">
        <f t="shared" si="0"/>
        <v>2026</v>
      </c>
      <c r="J4" s="342">
        <f t="shared" si="0"/>
        <v>2027</v>
      </c>
      <c r="K4" s="342">
        <f t="shared" si="0"/>
        <v>2028</v>
      </c>
      <c r="L4" s="342">
        <f t="shared" si="0"/>
        <v>2029</v>
      </c>
      <c r="M4" s="342">
        <f t="shared" si="0"/>
        <v>2030</v>
      </c>
      <c r="N4" s="342">
        <f t="shared" si="0"/>
        <v>2031</v>
      </c>
      <c r="O4" s="342">
        <f t="shared" si="0"/>
        <v>2032</v>
      </c>
      <c r="P4" s="342">
        <f t="shared" si="0"/>
        <v>2033</v>
      </c>
      <c r="Q4" s="342">
        <f t="shared" si="0"/>
        <v>2034</v>
      </c>
      <c r="R4" s="342">
        <f t="shared" si="0"/>
        <v>2035</v>
      </c>
      <c r="S4" s="342">
        <f t="shared" si="0"/>
        <v>2036</v>
      </c>
      <c r="T4" s="342">
        <f t="shared" si="0"/>
        <v>2037</v>
      </c>
      <c r="U4" s="342">
        <f t="shared" si="0"/>
        <v>2038</v>
      </c>
      <c r="V4" s="342">
        <f t="shared" si="0"/>
        <v>2039</v>
      </c>
      <c r="W4" s="342">
        <f t="shared" si="0"/>
        <v>2040</v>
      </c>
      <c r="X4" s="342">
        <f t="shared" si="0"/>
        <v>2041</v>
      </c>
      <c r="Y4" s="271"/>
    </row>
    <row r="5" spans="1:25" x14ac:dyDescent="0.2">
      <c r="A5" s="271"/>
      <c r="B5" s="339">
        <v>1</v>
      </c>
      <c r="C5" s="343" t="s">
        <v>220</v>
      </c>
      <c r="D5" s="344">
        <v>57</v>
      </c>
      <c r="E5" s="345" t="s">
        <v>221</v>
      </c>
      <c r="F5" s="332">
        <f ca="1">INDEX(OFFSET('Adjustment scenario'!$D$1:$W$1,$D5-1,0),MATCH(F$4,'Adjustment scenario'!$D$10:$W$10,0))</f>
        <v>110.64326790048331</v>
      </c>
      <c r="G5" s="332">
        <f ca="1">INDEX(OFFSET('Adjustment scenario'!$D$1:$W$1,$D5-1,0),MATCH(G$4,'Adjustment scenario'!$D$10:$W$10,0))</f>
        <v>112.40882173205914</v>
      </c>
      <c r="H5" s="332">
        <f ca="1">INDEX(OFFSET('Adjustment scenario'!$D$1:$W$1,$D5-1,0),MATCH(H$4,'Adjustment scenario'!$D$10:$W$10,0))</f>
        <v>113.96873574495558</v>
      </c>
      <c r="I5" s="332">
        <f ca="1">INDEX(OFFSET('Adjustment scenario'!$D$1:$W$1,$D5-1,0),MATCH(I$4,'Adjustment scenario'!$D$10:$W$10,0))</f>
        <v>115.77838065922458</v>
      </c>
      <c r="J5" s="332">
        <f ca="1">INDEX(OFFSET('Adjustment scenario'!$D$1:$W$1,$D5-1,0),MATCH(J$4,'Adjustment scenario'!$D$10:$W$10,0))</f>
        <v>116.92117165766111</v>
      </c>
      <c r="K5" s="332">
        <f ca="1">INDEX(OFFSET('Adjustment scenario'!$D$1:$W$1,$D5-1,0),MATCH(K$4,'Adjustment scenario'!$D$10:$W$10,0))</f>
        <v>117.28270034717907</v>
      </c>
      <c r="L5" s="332">
        <f ca="1">INDEX(OFFSET('Adjustment scenario'!$D$1:$W$1,$D5-1,0),MATCH(L$4,'Adjustment scenario'!$D$10:$W$10,0))</f>
        <v>116.3940420920207</v>
      </c>
      <c r="M5" s="332">
        <f ca="1">INDEX(OFFSET('Adjustment scenario'!$D$1:$W$1,$D5-1,0),MATCH(M$4,'Adjustment scenario'!$D$10:$W$10,0))</f>
        <v>115.17150448362032</v>
      </c>
      <c r="N5" s="332">
        <f ca="1">INDEX(OFFSET('Adjustment scenario'!$D$1:$W$1,$D5-1,0),MATCH(N$4,'Adjustment scenario'!$D$10:$W$10,0))</f>
        <v>113.59794901750452</v>
      </c>
      <c r="O5" s="332">
        <f ca="1">INDEX(OFFSET('Adjustment scenario'!$D$1:$W$1,$D5-1,0),MATCH(O$4,'Adjustment scenario'!$D$10:$W$10,0))</f>
        <v>112.63450426242881</v>
      </c>
      <c r="P5" s="332">
        <f ca="1">INDEX(OFFSET('Adjustment scenario'!$D$1:$W$1,$D5-1,0),MATCH(P$4,'Adjustment scenario'!$D$10:$W$10,0))</f>
        <v>111.7435099006877</v>
      </c>
      <c r="Q5" s="332">
        <f ca="1">INDEX(OFFSET('Adjustment scenario'!$D$1:$W$1,$D5-1,0),MATCH(Q$4,'Adjustment scenario'!$D$10:$W$10,0))</f>
        <v>110.80056765042947</v>
      </c>
      <c r="R5" s="332">
        <f ca="1">INDEX(OFFSET('Adjustment scenario'!$D$1:$W$1,$D5-1,0),MATCH(R$4,'Adjustment scenario'!$D$10:$W$10,0))</f>
        <v>109.75097572995541</v>
      </c>
      <c r="S5" s="332">
        <f ca="1">INDEX(OFFSET('Adjustment scenario'!$D$1:$W$1,$D5-1,0),MATCH(S$4,'Adjustment scenario'!$D$10:$W$10,0))</f>
        <v>108.5958000998274</v>
      </c>
      <c r="T5" s="332">
        <f ca="1">INDEX(OFFSET('Adjustment scenario'!$D$1:$W$1,$D5-1,0),MATCH(T$4,'Adjustment scenario'!$D$10:$W$10,0))</f>
        <v>107.42353691390102</v>
      </c>
      <c r="U5" s="332">
        <f ca="1">INDEX(OFFSET('Adjustment scenario'!$D$1:$W$1,$D5-1,0),MATCH(U$4,'Adjustment scenario'!$D$10:$W$10,0))</f>
        <v>106.19793615773025</v>
      </c>
      <c r="V5" s="332">
        <f ca="1">INDEX(OFFSET('Adjustment scenario'!$D$1:$W$1,$D5-1,0),MATCH(V$4,'Adjustment scenario'!$D$10:$W$10,0))</f>
        <v>104.89116193207212</v>
      </c>
      <c r="W5" s="332">
        <f ca="1">INDEX(OFFSET('Adjustment scenario'!$D$1:$W$1,$D5-1,0),MATCH(W$4,'Adjustment scenario'!$D$10:$W$10,0))</f>
        <v>103.46077033792356</v>
      </c>
      <c r="X5" s="332">
        <f ca="1">INDEX(OFFSET('Adjustment scenario'!$D$1:$W$1,$D5-1,0),MATCH(X$4,'Adjustment scenario'!$D$10:$W$10,0))</f>
        <v>102.11438203227299</v>
      </c>
      <c r="Y5" s="271"/>
    </row>
    <row r="6" spans="1:25" x14ac:dyDescent="0.2">
      <c r="A6" s="271"/>
      <c r="B6" s="339">
        <v>2</v>
      </c>
      <c r="C6" s="343" t="s">
        <v>222</v>
      </c>
      <c r="D6" s="344">
        <v>77</v>
      </c>
      <c r="E6" s="345" t="s">
        <v>221</v>
      </c>
      <c r="F6" s="332">
        <f ca="1">INDEX(OFFSET('Adjustment scenario'!$D$1:$W$1,$D6-1,0),MATCH(F$4,'Adjustment scenario'!$D$10:$W$10,0))</f>
        <v>-5.4921950870375849</v>
      </c>
      <c r="G6" s="332">
        <f ca="1">INDEX(OFFSET('Adjustment scenario'!$D$1:$W$1,$D6-1,0),MATCH(G$4,'Adjustment scenario'!$D$10:$W$10,0))</f>
        <v>-5.3136138497524072</v>
      </c>
      <c r="H6" s="332">
        <f ca="1">INDEX(OFFSET('Adjustment scenario'!$D$1:$W$1,$D6-1,0),MATCH(H$4,'Adjustment scenario'!$D$10:$W$10,0))</f>
        <v>-4.7494819170062037</v>
      </c>
      <c r="I6" s="332">
        <f ca="1">INDEX(OFFSET('Adjustment scenario'!$D$1:$W$1,$D6-1,0),MATCH(I$4,'Adjustment scenario'!$D$10:$W$10,0))</f>
        <v>-4.2790296424964618</v>
      </c>
      <c r="J6" s="332">
        <f ca="1">INDEX(OFFSET('Adjustment scenario'!$D$1:$W$1,$D6-1,0),MATCH(J$4,'Adjustment scenario'!$D$10:$W$10,0))</f>
        <v>-3.7094566855688877</v>
      </c>
      <c r="K6" s="332">
        <f ca="1">INDEX(OFFSET('Adjustment scenario'!$D$1:$W$1,$D6-1,0),MATCH(K$4,'Adjustment scenario'!$D$10:$W$10,0))</f>
        <v>-3.0445893948875034</v>
      </c>
      <c r="L6" s="332">
        <f ca="1">INDEX(OFFSET('Adjustment scenario'!$D$1:$W$1,$D6-1,0),MATCH(L$4,'Adjustment scenario'!$D$10:$W$10,0))</f>
        <v>-2.760673241505653</v>
      </c>
      <c r="M6" s="332">
        <f ca="1">INDEX(OFFSET('Adjustment scenario'!$D$1:$W$1,$D6-1,0),MATCH(M$4,'Adjustment scenario'!$D$10:$W$10,0))</f>
        <v>-2.4755350263366465</v>
      </c>
      <c r="N6" s="332">
        <f ca="1">INDEX(OFFSET('Adjustment scenario'!$D$1:$W$1,$D6-1,0),MATCH(N$4,'Adjustment scenario'!$D$10:$W$10,0))</f>
        <v>-2.1766546609079809</v>
      </c>
      <c r="O6" s="332">
        <f ca="1">INDEX(OFFSET('Adjustment scenario'!$D$1:$W$1,$D6-1,0),MATCH(O$4,'Adjustment scenario'!$D$10:$W$10,0))</f>
        <v>-2.2373464143427424</v>
      </c>
      <c r="P6" s="332">
        <f ca="1">INDEX(OFFSET('Adjustment scenario'!$D$1:$W$1,$D6-1,0),MATCH(P$4,'Adjustment scenario'!$D$10:$W$10,0))</f>
        <v>-2.3311216370050469</v>
      </c>
      <c r="Q6" s="332">
        <f ca="1">INDEX(OFFSET('Adjustment scenario'!$D$1:$W$1,$D6-1,0),MATCH(Q$4,'Adjustment scenario'!$D$10:$W$10,0))</f>
        <v>-2.423871852424043</v>
      </c>
      <c r="R6" s="332">
        <f ca="1">INDEX(OFFSET('Adjustment scenario'!$D$1:$W$1,$D6-1,0),MATCH(R$4,'Adjustment scenario'!$D$10:$W$10,0))</f>
        <v>-2.4569279668356336</v>
      </c>
      <c r="S6" s="332">
        <f ca="1">INDEX(OFFSET('Adjustment scenario'!$D$1:$W$1,$D6-1,0),MATCH(S$4,'Adjustment scenario'!$D$10:$W$10,0))</f>
        <v>-2.4840226294282299</v>
      </c>
      <c r="T6" s="332">
        <f ca="1">INDEX(OFFSET('Adjustment scenario'!$D$1:$W$1,$D6-1,0),MATCH(T$4,'Adjustment scenario'!$D$10:$W$10,0))</f>
        <v>-2.5077012269605343</v>
      </c>
      <c r="U6" s="332">
        <f ca="1">INDEX(OFFSET('Adjustment scenario'!$D$1:$W$1,$D6-1,0),MATCH(U$4,'Adjustment scenario'!$D$10:$W$10,0))</f>
        <v>-2.5235316611902605</v>
      </c>
      <c r="V6" s="332">
        <f ca="1">INDEX(OFFSET('Adjustment scenario'!$D$1:$W$1,$D6-1,0),MATCH(V$4,'Adjustment scenario'!$D$10:$W$10,0))</f>
        <v>-2.5274585352421015</v>
      </c>
      <c r="W6" s="332">
        <f ca="1">INDEX(OFFSET('Adjustment scenario'!$D$1:$W$1,$D6-1,0),MATCH(W$4,'Adjustment scenario'!$D$10:$W$10,0))</f>
        <v>-2.5110452789733699</v>
      </c>
      <c r="X6" s="332">
        <f ca="1">INDEX(OFFSET('Adjustment scenario'!$D$1:$W$1,$D6-1,0),MATCH(X$4,'Adjustment scenario'!$D$10:$W$10,0))</f>
        <v>-2.5438197624485337</v>
      </c>
      <c r="Y6" s="271"/>
    </row>
    <row r="7" spans="1:25" x14ac:dyDescent="0.2">
      <c r="A7" s="271"/>
      <c r="B7" s="339">
        <v>3</v>
      </c>
      <c r="C7" s="343" t="s">
        <v>40</v>
      </c>
      <c r="D7" s="344">
        <v>12</v>
      </c>
      <c r="E7" s="345" t="s">
        <v>223</v>
      </c>
      <c r="F7" s="332">
        <f ca="1">INDEX(OFFSET('Adjustment scenario'!$D$1:$W$1,$D7-1,0),MATCH(F$4,'Adjustment scenario'!$D$10:$W$10,0))</f>
        <v>-3.6529590000000001</v>
      </c>
      <c r="G7" s="332">
        <f ca="1">INDEX(OFFSET('Adjustment scenario'!$D$1:$W$1,$D7-1,0),MATCH(G$4,'Adjustment scenario'!$D$10:$W$10,0))</f>
        <v>-2.968391</v>
      </c>
      <c r="H7" s="332">
        <f ca="1">INDEX(OFFSET('Adjustment scenario'!$D$1:$W$1,$D7-1,0),MATCH(H$4,'Adjustment scenario'!$D$10:$W$10,0))</f>
        <v>-2.0283910000000001</v>
      </c>
      <c r="I7" s="332">
        <f ca="1">INDEX(OFFSET('Adjustment scenario'!$D$1:$W$1,$D7-1,0),MATCH(I$4,'Adjustment scenario'!$D$10:$W$10,0))</f>
        <v>-1.0883910000000001</v>
      </c>
      <c r="J7" s="332">
        <f ca="1">INDEX(OFFSET('Adjustment scenario'!$D$1:$W$1,$D7-1,0),MATCH(J$4,'Adjustment scenario'!$D$10:$W$10,0))</f>
        <v>-0.14839100000000016</v>
      </c>
      <c r="K7" s="332">
        <f ca="1">INDEX(OFFSET('Adjustment scenario'!$D$1:$W$1,$D7-1,0),MATCH(K$4,'Adjustment scenario'!$D$10:$W$10,0))</f>
        <v>0.79160899999999979</v>
      </c>
      <c r="L7" s="332">
        <f ca="1">INDEX(OFFSET('Adjustment scenario'!$D$1:$W$1,$D7-1,0),MATCH(L$4,'Adjustment scenario'!$D$10:$W$10,0))</f>
        <v>0.79160899999999979</v>
      </c>
      <c r="M7" s="332">
        <f ca="1">INDEX(OFFSET('Adjustment scenario'!$D$1:$W$1,$D7-1,0),MATCH(M$4,'Adjustment scenario'!$D$10:$W$10,0))</f>
        <v>0.79160899999999979</v>
      </c>
      <c r="N7" s="332">
        <f ca="1">INDEX(OFFSET('Adjustment scenario'!$D$1:$W$1,$D7-1,0),MATCH(N$4,'Adjustment scenario'!$D$10:$W$10,0))</f>
        <v>0.79160899999999979</v>
      </c>
      <c r="O7" s="332">
        <f ca="1">INDEX(OFFSET('Adjustment scenario'!$D$1:$W$1,$D7-1,0),MATCH(O$4,'Adjustment scenario'!$D$10:$W$10,0))</f>
        <v>0.79160899999999979</v>
      </c>
      <c r="P7" s="332">
        <f ca="1">INDEX(OFFSET('Adjustment scenario'!$D$1:$W$1,$D7-1,0),MATCH(P$4,'Adjustment scenario'!$D$10:$W$10,0))</f>
        <v>0.79160899999999979</v>
      </c>
      <c r="Q7" s="332">
        <f ca="1">INDEX(OFFSET('Adjustment scenario'!$D$1:$W$1,$D7-1,0),MATCH(Q$4,'Adjustment scenario'!$D$10:$W$10,0))</f>
        <v>0.79160899999999979</v>
      </c>
      <c r="R7" s="332">
        <f ca="1">INDEX(OFFSET('Adjustment scenario'!$D$1:$W$1,$D7-1,0),MATCH(R$4,'Adjustment scenario'!$D$10:$W$10,0))</f>
        <v>0.79160899999999979</v>
      </c>
      <c r="S7" s="332">
        <f ca="1">INDEX(OFFSET('Adjustment scenario'!$D$1:$W$1,$D7-1,0),MATCH(S$4,'Adjustment scenario'!$D$10:$W$10,0))</f>
        <v>0.79160899999999979</v>
      </c>
      <c r="T7" s="332">
        <f ca="1">INDEX(OFFSET('Adjustment scenario'!$D$1:$W$1,$D7-1,0),MATCH(T$4,'Adjustment scenario'!$D$10:$W$10,0))</f>
        <v>0.79160899999999979</v>
      </c>
      <c r="U7" s="332">
        <f ca="1">INDEX(OFFSET('Adjustment scenario'!$D$1:$W$1,$D7-1,0),MATCH(U$4,'Adjustment scenario'!$D$10:$W$10,0))</f>
        <v>0.79160899999999979</v>
      </c>
      <c r="V7" s="332">
        <f ca="1">INDEX(OFFSET('Adjustment scenario'!$D$1:$W$1,$D7-1,0),MATCH(V$4,'Adjustment scenario'!$D$10:$W$10,0))</f>
        <v>0.79160899999999979</v>
      </c>
      <c r="W7" s="332">
        <f ca="1">INDEX(OFFSET('Adjustment scenario'!$D$1:$W$1,$D7-1,0),MATCH(W$4,'Adjustment scenario'!$D$10:$W$10,0))</f>
        <v>0.79160899999999979</v>
      </c>
      <c r="X7" s="332">
        <f ca="1">INDEX(OFFSET('Adjustment scenario'!$D$1:$W$1,$D7-1,0),MATCH(X$4,'Adjustment scenario'!$D$10:$W$10,0))</f>
        <v>0.79160899999999979</v>
      </c>
      <c r="Y7" s="271"/>
    </row>
    <row r="8" spans="1:25" x14ac:dyDescent="0.2">
      <c r="A8" s="271"/>
      <c r="B8" s="339">
        <v>4</v>
      </c>
      <c r="C8" s="343" t="s">
        <v>224</v>
      </c>
      <c r="D8" s="344">
        <v>62</v>
      </c>
      <c r="E8" s="345" t="s">
        <v>223</v>
      </c>
      <c r="F8" s="332">
        <f ca="1">INDEX(OFFSET('Adjustment scenario'!$D$1:$W$1,$D8-1,0),MATCH(F$4,'Adjustment scenario'!$D$10:$W$10,0))</f>
        <v>5.1141674861106101E-2</v>
      </c>
      <c r="G8" s="332">
        <f ca="1">INDEX(OFFSET('Adjustment scenario'!$D$1:$W$1,$D8-1,0),MATCH(G$4,'Adjustment scenario'!$D$10:$W$10,0))</f>
        <v>0.27490083157582657</v>
      </c>
      <c r="H8" s="332">
        <f ca="1">INDEX(OFFSET('Adjustment scenario'!$D$1:$W$1,$D8-1,0),MATCH(H$4,'Adjustment scenario'!$D$10:$W$10,0))</f>
        <v>0.34360494897802119</v>
      </c>
      <c r="I8" s="332">
        <f ca="1">INDEX(OFFSET('Adjustment scenario'!$D$1:$W$1,$D8-1,0),MATCH(I$4,'Adjustment scenario'!$D$10:$W$10,0))</f>
        <v>0.66803986623987499</v>
      </c>
      <c r="J8" s="332">
        <f ca="1">INDEX(OFFSET('Adjustment scenario'!$D$1:$W$1,$D8-1,0),MATCH(J$4,'Adjustment scenario'!$D$10:$W$10,0))</f>
        <v>0.88286469068579121</v>
      </c>
      <c r="K8" s="332">
        <f ca="1">INDEX(OFFSET('Adjustment scenario'!$D$1:$W$1,$D8-1,0),MATCH(K$4,'Adjustment scenario'!$D$10:$W$10,0))</f>
        <v>1.0250036676267147</v>
      </c>
      <c r="L8" s="332">
        <f ca="1">INDEX(OFFSET('Adjustment scenario'!$D$1:$W$1,$D8-1,0),MATCH(L$4,'Adjustment scenario'!$D$10:$W$10,0))</f>
        <v>0.68333577841781445</v>
      </c>
      <c r="M8" s="332">
        <f ca="1">INDEX(OFFSET('Adjustment scenario'!$D$1:$W$1,$D8-1,0),MATCH(M$4,'Adjustment scenario'!$D$10:$W$10,0))</f>
        <v>0.34166788920889324</v>
      </c>
      <c r="N8" s="332">
        <f ca="1">INDEX(OFFSET('Adjustment scenario'!$D$1:$W$1,$D8-1,0),MATCH(N$4,'Adjustment scenario'!$D$10:$W$10,0))</f>
        <v>0</v>
      </c>
      <c r="O8" s="332">
        <f ca="1">INDEX(OFFSET('Adjustment scenario'!$D$1:$W$1,$D8-1,0),MATCH(O$4,'Adjustment scenario'!$D$10:$W$10,0))</f>
        <v>-3.0118666920486703E-6</v>
      </c>
      <c r="P8" s="332">
        <f ca="1">INDEX(OFFSET('Adjustment scenario'!$D$1:$W$1,$D8-1,0),MATCH(P$4,'Adjustment scenario'!$D$10:$W$10,0))</f>
        <v>-4.7063412766945589E-6</v>
      </c>
      <c r="Q8" s="332">
        <f ca="1">INDEX(OFFSET('Adjustment scenario'!$D$1:$W$1,$D8-1,0),MATCH(Q$4,'Adjustment scenario'!$D$10:$W$10,0))</f>
        <v>-7.0867798549478778E-6</v>
      </c>
      <c r="R8" s="332">
        <f ca="1">INDEX(OFFSET('Adjustment scenario'!$D$1:$W$1,$D8-1,0),MATCH(R$4,'Adjustment scenario'!$D$10:$W$10,0))</f>
        <v>-9.9005554414777208E-6</v>
      </c>
      <c r="S8" s="332">
        <f ca="1">INDEX(OFFSET('Adjustment scenario'!$D$1:$W$1,$D8-1,0),MATCH(S$4,'Adjustment scenario'!$D$10:$W$10,0))</f>
        <v>-1.0462281371248494E-5</v>
      </c>
      <c r="T8" s="332">
        <f ca="1">INDEX(OFFSET('Adjustment scenario'!$D$1:$W$1,$D8-1,0),MATCH(T$4,'Adjustment scenario'!$D$10:$W$10,0))</f>
        <v>-1.1709286402483698E-5</v>
      </c>
      <c r="U8" s="332">
        <f ca="1">INDEX(OFFSET('Adjustment scenario'!$D$1:$W$1,$D8-1,0),MATCH(U$4,'Adjustment scenario'!$D$10:$W$10,0))</f>
        <v>-9.2185620177431815E-6</v>
      </c>
      <c r="V8" s="332">
        <f ca="1">INDEX(OFFSET('Adjustment scenario'!$D$1:$W$1,$D8-1,0),MATCH(V$4,'Adjustment scenario'!$D$10:$W$10,0))</f>
        <v>-7.97508762229171E-6</v>
      </c>
      <c r="W8" s="332">
        <f ca="1">INDEX(OFFSET('Adjustment scenario'!$D$1:$W$1,$D8-1,0),MATCH(W$4,'Adjustment scenario'!$D$10:$W$10,0))</f>
        <v>-5.4926034300795123E-6</v>
      </c>
      <c r="X8" s="332">
        <f ca="1">INDEX(OFFSET('Adjustment scenario'!$D$1:$W$1,$D8-1,0),MATCH(X$4,'Adjustment scenario'!$D$10:$W$10,0))</f>
        <v>-7.9743579519675478E-6</v>
      </c>
      <c r="Y8" s="271"/>
    </row>
    <row r="9" spans="1:25" x14ac:dyDescent="0.2">
      <c r="A9" s="271"/>
      <c r="B9" s="339">
        <v>5</v>
      </c>
      <c r="C9" s="343" t="s">
        <v>225</v>
      </c>
      <c r="D9" s="344">
        <v>14</v>
      </c>
      <c r="E9" s="345" t="s">
        <v>221</v>
      </c>
      <c r="F9" s="332">
        <f ca="1">INDEX(OFFSET('Adjustment scenario'!$D$1:$W$1,$D9-1,0),MATCH(F$4,'Adjustment scenario'!$D$10:$W$10,0))</f>
        <v>-6.4214599999999997E-2</v>
      </c>
      <c r="G9" s="332">
        <f ca="1">INDEX(OFFSET('Adjustment scenario'!$D$1:$W$1,$D9-1,0),MATCH(G$4,'Adjustment scenario'!$D$10:$W$10,0))</f>
        <v>-3.4462800000000002E-2</v>
      </c>
      <c r="H9" s="332">
        <f ca="1">INDEX(OFFSET('Adjustment scenario'!$D$1:$W$1,$D9-1,0),MATCH(H$4,'Adjustment scenario'!$D$10:$W$10,0))</f>
        <v>-3.00179E-2</v>
      </c>
      <c r="I9" s="332">
        <f ca="1">INDEX(OFFSET('Adjustment scenario'!$D$1:$W$1,$D9-1,0),MATCH(I$4,'Adjustment scenario'!$D$10:$W$10,0))</f>
        <v>0</v>
      </c>
      <c r="J9" s="332">
        <f ca="1">INDEX(OFFSET('Adjustment scenario'!$D$1:$W$1,$D9-1,0),MATCH(J$4,'Adjustment scenario'!$D$10:$W$10,0))</f>
        <v>0</v>
      </c>
      <c r="K9" s="332">
        <f ca="1">INDEX(OFFSET('Adjustment scenario'!$D$1:$W$1,$D9-1,0),MATCH(K$4,'Adjustment scenario'!$D$10:$W$10,0))</f>
        <v>0</v>
      </c>
      <c r="L9" s="332">
        <f ca="1">INDEX(OFFSET('Adjustment scenario'!$D$1:$W$1,$D9-1,0),MATCH(L$4,'Adjustment scenario'!$D$10:$W$10,0))</f>
        <v>0</v>
      </c>
      <c r="M9" s="332">
        <f ca="1">INDEX(OFFSET('Adjustment scenario'!$D$1:$W$1,$D9-1,0),MATCH(M$4,'Adjustment scenario'!$D$10:$W$10,0))</f>
        <v>0</v>
      </c>
      <c r="N9" s="332">
        <f ca="1">INDEX(OFFSET('Adjustment scenario'!$D$1:$W$1,$D9-1,0),MATCH(N$4,'Adjustment scenario'!$D$10:$W$10,0))</f>
        <v>0</v>
      </c>
      <c r="O9" s="332">
        <f ca="1">INDEX(OFFSET('Adjustment scenario'!$D$1:$W$1,$D9-1,0),MATCH(O$4,'Adjustment scenario'!$D$10:$W$10,0))</f>
        <v>0</v>
      </c>
      <c r="P9" s="332">
        <f ca="1">INDEX(OFFSET('Adjustment scenario'!$D$1:$W$1,$D9-1,0),MATCH(P$4,'Adjustment scenario'!$D$10:$W$10,0))</f>
        <v>0</v>
      </c>
      <c r="Q9" s="332">
        <f ca="1">INDEX(OFFSET('Adjustment scenario'!$D$1:$W$1,$D9-1,0),MATCH(Q$4,'Adjustment scenario'!$D$10:$W$10,0))</f>
        <v>0</v>
      </c>
      <c r="R9" s="332">
        <f ca="1">INDEX(OFFSET('Adjustment scenario'!$D$1:$W$1,$D9-1,0),MATCH(R$4,'Adjustment scenario'!$D$10:$W$10,0))</f>
        <v>0</v>
      </c>
      <c r="S9" s="332">
        <f ca="1">INDEX(OFFSET('Adjustment scenario'!$D$1:$W$1,$D9-1,0),MATCH(S$4,'Adjustment scenario'!$D$10:$W$10,0))</f>
        <v>0</v>
      </c>
      <c r="T9" s="332">
        <f ca="1">INDEX(OFFSET('Adjustment scenario'!$D$1:$W$1,$D9-1,0),MATCH(T$4,'Adjustment scenario'!$D$10:$W$10,0))</f>
        <v>0</v>
      </c>
      <c r="U9" s="332">
        <f ca="1">INDEX(OFFSET('Adjustment scenario'!$D$1:$W$1,$D9-1,0),MATCH(U$4,'Adjustment scenario'!$D$10:$W$10,0))</f>
        <v>0</v>
      </c>
      <c r="V9" s="332">
        <f ca="1">INDEX(OFFSET('Adjustment scenario'!$D$1:$W$1,$D9-1,0),MATCH(V$4,'Adjustment scenario'!$D$10:$W$10,0))</f>
        <v>0</v>
      </c>
      <c r="W9" s="332">
        <f ca="1">INDEX(OFFSET('Adjustment scenario'!$D$1:$W$1,$D9-1,0),MATCH(W$4,'Adjustment scenario'!$D$10:$W$10,0))</f>
        <v>0</v>
      </c>
      <c r="X9" s="332">
        <f ca="1">INDEX(OFFSET('Adjustment scenario'!$D$1:$W$1,$D9-1,0),MATCH(X$4,'Adjustment scenario'!$D$10:$W$10,0))</f>
        <v>0</v>
      </c>
      <c r="Y9" s="271"/>
    </row>
    <row r="10" spans="1:25" x14ac:dyDescent="0.2">
      <c r="A10" s="271"/>
      <c r="B10" s="339">
        <v>6</v>
      </c>
      <c r="C10" s="343" t="s">
        <v>226</v>
      </c>
      <c r="D10" s="344">
        <v>68</v>
      </c>
      <c r="E10" s="345" t="s">
        <v>221</v>
      </c>
      <c r="F10" s="332">
        <f ca="1">INDEX(OFFSET('Adjustment scenario'!$D$1:$W$1,$D10-1,0),MATCH(F$4,'Adjustment scenario'!$D$10:$W$10,0))</f>
        <v>1.7238798121764787</v>
      </c>
      <c r="G10" s="332">
        <f ca="1">INDEX(OFFSET('Adjustment scenario'!$D$1:$W$1,$D10-1,0),MATCH(G$4,'Adjustment scenario'!$D$10:$W$10,0))</f>
        <v>2.0358592181765802</v>
      </c>
      <c r="H10" s="332">
        <f ca="1">INDEX(OFFSET('Adjustment scenario'!$D$1:$W$1,$D10-1,0),MATCH(H$4,'Adjustment scenario'!$D$10:$W$10,0))</f>
        <v>2.3474680680281832</v>
      </c>
      <c r="I10" s="332">
        <f ca="1">INDEX(OFFSET('Adjustment scenario'!$D$1:$W$1,$D10-1,0),MATCH(I$4,'Adjustment scenario'!$D$10:$W$10,0))</f>
        <v>2.5225987762565869</v>
      </c>
      <c r="J10" s="332">
        <f ca="1">INDEX(OFFSET('Adjustment scenario'!$D$1:$W$1,$D10-1,0),MATCH(J$4,'Adjustment scenario'!$D$10:$W$10,0))</f>
        <v>2.6782009948830963</v>
      </c>
      <c r="K10" s="332">
        <f ca="1">INDEX(OFFSET('Adjustment scenario'!$D$1:$W$1,$D10-1,0),MATCH(K$4,'Adjustment scenario'!$D$10:$W$10,0))</f>
        <v>2.8111947272607885</v>
      </c>
      <c r="L10" s="332">
        <f ca="1">INDEX(OFFSET('Adjustment scenario'!$D$1:$W$1,$D10-1,0),MATCH(L$4,'Adjustment scenario'!$D$10:$W$10,0))</f>
        <v>2.8961593630878424</v>
      </c>
      <c r="M10" s="332">
        <f ca="1">INDEX(OFFSET('Adjustment scenario'!$D$1:$W$1,$D10-1,0),MATCH(M$4,'Adjustment scenario'!$D$10:$W$10,0))</f>
        <v>2.9672219371277579</v>
      </c>
      <c r="N10" s="332">
        <f ca="1">INDEX(OFFSET('Adjustment scenario'!$D$1:$W$1,$D10-1,0),MATCH(N$4,'Adjustment scenario'!$D$10:$W$10,0))</f>
        <v>3.0240223609079813</v>
      </c>
      <c r="O10" s="332">
        <f ca="1">INDEX(OFFSET('Adjustment scenario'!$D$1:$W$1,$D10-1,0),MATCH(O$4,'Adjustment scenario'!$D$10:$W$10,0))</f>
        <v>3.0826001262094369</v>
      </c>
      <c r="P10" s="332">
        <f ca="1">INDEX(OFFSET('Adjustment scenario'!$D$1:$W$1,$D10-1,0),MATCH(P$4,'Adjustment scenario'!$D$10:$W$10,0))</f>
        <v>3.1403199433463236</v>
      </c>
      <c r="Q10" s="332">
        <f ca="1">INDEX(OFFSET('Adjustment scenario'!$D$1:$W$1,$D10-1,0),MATCH(Q$4,'Adjustment scenario'!$D$10:$W$10,0))</f>
        <v>3.1862354392038985</v>
      </c>
      <c r="R10" s="332">
        <f ca="1">INDEX(OFFSET('Adjustment scenario'!$D$1:$W$1,$D10-1,0),MATCH(R$4,'Adjustment scenario'!$D$10:$W$10,0))</f>
        <v>3.223507267391073</v>
      </c>
      <c r="S10" s="332">
        <f ca="1">INDEX(OFFSET('Adjustment scenario'!$D$1:$W$1,$D10-1,0),MATCH(S$4,'Adjustment scenario'!$D$10:$W$10,0))</f>
        <v>3.2507954917096025</v>
      </c>
      <c r="T10" s="332">
        <f ca="1">INDEX(OFFSET('Adjustment scenario'!$D$1:$W$1,$D10-1,0),MATCH(T$4,'Adjustment scenario'!$D$10:$W$10,0))</f>
        <v>3.2712982362469418</v>
      </c>
      <c r="U10" s="332">
        <f ca="1">INDEX(OFFSET('Adjustment scenario'!$D$1:$W$1,$D10-1,0),MATCH(U$4,'Adjustment scenario'!$D$10:$W$10,0))</f>
        <v>3.2846190797522787</v>
      </c>
      <c r="V10" s="332">
        <f ca="1">INDEX(OFFSET('Adjustment scenario'!$D$1:$W$1,$D10-1,0),MATCH(V$4,'Adjustment scenario'!$D$10:$W$10,0))</f>
        <v>3.290487610329726</v>
      </c>
      <c r="W10" s="332">
        <f ca="1">INDEX(OFFSET('Adjustment scenario'!$D$1:$W$1,$D10-1,0),MATCH(W$4,'Adjustment scenario'!$D$10:$W$10,0))</f>
        <v>3.2882048715768035</v>
      </c>
      <c r="X10" s="332">
        <f ca="1">INDEX(OFFSET('Adjustment scenario'!$D$1:$W$1,$D10-1,0),MATCH(X$4,'Adjustment scenario'!$D$10:$W$10,0))</f>
        <v>3.2826347368064916</v>
      </c>
      <c r="Y10" s="271"/>
    </row>
    <row r="11" spans="1:25" x14ac:dyDescent="0.2">
      <c r="A11" s="271"/>
      <c r="B11" s="339">
        <v>7</v>
      </c>
      <c r="C11" s="346" t="s">
        <v>94</v>
      </c>
      <c r="D11" s="344">
        <v>37</v>
      </c>
      <c r="E11" s="345" t="s">
        <v>227</v>
      </c>
      <c r="F11" s="332">
        <f ca="1">INDEX(OFFSET('Adjustment scenario'!$D$1:$W$1,$D11-1,0),MATCH(F$4,'Adjustment scenario'!$D$10:$W$10,0))</f>
        <v>2.99</v>
      </c>
      <c r="G11" s="332">
        <f ca="1">INDEX(OFFSET('Adjustment scenario'!$D$1:$W$1,$D11-1,0),MATCH(G$4,'Adjustment scenario'!$D$10:$W$10,0))</f>
        <v>2.964537</v>
      </c>
      <c r="H11" s="332">
        <f ca="1">INDEX(OFFSET('Adjustment scenario'!$D$1:$W$1,$D11-1,0),MATCH(H$4,'Adjustment scenario'!$D$10:$W$10,0))</f>
        <v>3.0634350000000001</v>
      </c>
      <c r="I11" s="332">
        <f ca="1">INDEX(OFFSET('Adjustment scenario'!$D$1:$W$1,$D11-1,0),MATCH(I$4,'Adjustment scenario'!$D$10:$W$10,0))</f>
        <v>3.1385131250000002</v>
      </c>
      <c r="J11" s="332">
        <f ca="1">INDEX(OFFSET('Adjustment scenario'!$D$1:$W$1,$D11-1,0),MATCH(J$4,'Adjustment scenario'!$D$10:$W$10,0))</f>
        <v>3.2135912500000003</v>
      </c>
      <c r="K11" s="332">
        <f ca="1">INDEX(OFFSET('Adjustment scenario'!$D$1:$W$1,$D11-1,0),MATCH(K$4,'Adjustment scenario'!$D$10:$W$10,0))</f>
        <v>3.2886693750000004</v>
      </c>
      <c r="L11" s="332">
        <f ca="1">INDEX(OFFSET('Adjustment scenario'!$D$1:$W$1,$D11-1,0),MATCH(L$4,'Adjustment scenario'!$D$10:$W$10,0))</f>
        <v>3.3637475000000006</v>
      </c>
      <c r="M11" s="332">
        <f ca="1">INDEX(OFFSET('Adjustment scenario'!$D$1:$W$1,$D11-1,0),MATCH(M$4,'Adjustment scenario'!$D$10:$W$10,0))</f>
        <v>3.4388256250000007</v>
      </c>
      <c r="N11" s="332">
        <f ca="1">INDEX(OFFSET('Adjustment scenario'!$D$1:$W$1,$D11-1,0),MATCH(N$4,'Adjustment scenario'!$D$10:$W$10,0))</f>
        <v>3.5139037500000008</v>
      </c>
      <c r="O11" s="332">
        <f ca="1">INDEX(OFFSET('Adjustment scenario'!$D$1:$W$1,$D11-1,0),MATCH(O$4,'Adjustment scenario'!$D$10:$W$10,0))</f>
        <v>3.5889818750000009</v>
      </c>
      <c r="P11" s="332">
        <f ca="1">INDEX(OFFSET('Adjustment scenario'!$D$1:$W$1,$D11-1,0),MATCH(P$4,'Adjustment scenario'!$D$10:$W$10,0))</f>
        <v>3.6640600000000001</v>
      </c>
      <c r="Q11" s="332">
        <f ca="1">INDEX(OFFSET('Adjustment scenario'!$D$1:$W$1,$D11-1,0),MATCH(Q$4,'Adjustment scenario'!$D$10:$W$10,0))</f>
        <v>3.680857</v>
      </c>
      <c r="R11" s="332">
        <f ca="1">INDEX(OFFSET('Adjustment scenario'!$D$1:$W$1,$D11-1,0),MATCH(R$4,'Adjustment scenario'!$D$10:$W$10,0))</f>
        <v>3.697654</v>
      </c>
      <c r="S11" s="332">
        <f ca="1">INDEX(OFFSET('Adjustment scenario'!$D$1:$W$1,$D11-1,0),MATCH(S$4,'Adjustment scenario'!$D$10:$W$10,0))</f>
        <v>3.7144509999999999</v>
      </c>
      <c r="T11" s="332">
        <f ca="1">INDEX(OFFSET('Adjustment scenario'!$D$1:$W$1,$D11-1,0),MATCH(T$4,'Adjustment scenario'!$D$10:$W$10,0))</f>
        <v>3.7312479999999999</v>
      </c>
      <c r="U11" s="332">
        <f ca="1">INDEX(OFFSET('Adjustment scenario'!$D$1:$W$1,$D11-1,0),MATCH(U$4,'Adjustment scenario'!$D$10:$W$10,0))</f>
        <v>3.7480450000000003</v>
      </c>
      <c r="V11" s="332">
        <f ca="1">INDEX(OFFSET('Adjustment scenario'!$D$1:$W$1,$D11-1,0),MATCH(V$4,'Adjustment scenario'!$D$10:$W$10,0))</f>
        <v>3.7648420000000002</v>
      </c>
      <c r="W11" s="332">
        <f ca="1">INDEX(OFFSET('Adjustment scenario'!$D$1:$W$1,$D11-1,0),MATCH(W$4,'Adjustment scenario'!$D$10:$W$10,0))</f>
        <v>3.7816390000000002</v>
      </c>
      <c r="X11" s="332">
        <f ca="1">INDEX(OFFSET('Adjustment scenario'!$D$1:$W$1,$D11-1,0),MATCH(X$4,'Adjustment scenario'!$D$10:$W$10,0))</f>
        <v>3.7984360000000001</v>
      </c>
      <c r="Y11" s="271"/>
    </row>
    <row r="12" spans="1:25" x14ac:dyDescent="0.2">
      <c r="A12" s="271"/>
      <c r="B12" s="339">
        <v>8</v>
      </c>
      <c r="C12" s="346" t="s">
        <v>95</v>
      </c>
      <c r="D12" s="344">
        <v>38</v>
      </c>
      <c r="E12" s="345" t="s">
        <v>227</v>
      </c>
      <c r="F12" s="332">
        <f ca="1">INDEX(OFFSET('Adjustment scenario'!$D$1:$W$1,$D12-1,0),MATCH(F$4,'Adjustment scenario'!$D$10:$W$10,0))</f>
        <v>3.43</v>
      </c>
      <c r="G12" s="332">
        <f ca="1">INDEX(OFFSET('Adjustment scenario'!$D$1:$W$1,$D12-1,0),MATCH(G$4,'Adjustment scenario'!$D$10:$W$10,0))</f>
        <v>3.5642079999999998</v>
      </c>
      <c r="H12" s="332">
        <f ca="1">INDEX(OFFSET('Adjustment scenario'!$D$1:$W$1,$D12-1,0),MATCH(H$4,'Adjustment scenario'!$D$10:$W$10,0))</f>
        <v>2.8163749999999999</v>
      </c>
      <c r="I12" s="332">
        <f ca="1">INDEX(OFFSET('Adjustment scenario'!$D$1:$W$1,$D12-1,0),MATCH(I$4,'Adjustment scenario'!$D$10:$W$10,0))</f>
        <v>2.8050893749999997</v>
      </c>
      <c r="J12" s="332">
        <f ca="1">INDEX(OFFSET('Adjustment scenario'!$D$1:$W$1,$D12-1,0),MATCH(J$4,'Adjustment scenario'!$D$10:$W$10,0))</f>
        <v>2.7938037499999995</v>
      </c>
      <c r="K12" s="332">
        <f ca="1">INDEX(OFFSET('Adjustment scenario'!$D$1:$W$1,$D12-1,0),MATCH(K$4,'Adjustment scenario'!$D$10:$W$10,0))</f>
        <v>2.7825181249999993</v>
      </c>
      <c r="L12" s="332">
        <f ca="1">INDEX(OFFSET('Adjustment scenario'!$D$1:$W$1,$D12-1,0),MATCH(L$4,'Adjustment scenario'!$D$10:$W$10,0))</f>
        <v>2.7712324999999991</v>
      </c>
      <c r="M12" s="332">
        <f ca="1">INDEX(OFFSET('Adjustment scenario'!$D$1:$W$1,$D12-1,0),MATCH(M$4,'Adjustment scenario'!$D$10:$W$10,0))</f>
        <v>2.7599468749999989</v>
      </c>
      <c r="N12" s="332">
        <f ca="1">INDEX(OFFSET('Adjustment scenario'!$D$1:$W$1,$D12-1,0),MATCH(N$4,'Adjustment scenario'!$D$10:$W$10,0))</f>
        <v>2.7486612499999987</v>
      </c>
      <c r="O12" s="332">
        <f ca="1">INDEX(OFFSET('Adjustment scenario'!$D$1:$W$1,$D12-1,0),MATCH(O$4,'Adjustment scenario'!$D$10:$W$10,0))</f>
        <v>2.7373756249999985</v>
      </c>
      <c r="P12" s="332">
        <f ca="1">INDEX(OFFSET('Adjustment scenario'!$D$1:$W$1,$D12-1,0),MATCH(P$4,'Adjustment scenario'!$D$10:$W$10,0))</f>
        <v>2.7260900000000001</v>
      </c>
      <c r="Q12" s="332">
        <f ca="1">INDEX(OFFSET('Adjustment scenario'!$D$1:$W$1,$D12-1,0),MATCH(Q$4,'Adjustment scenario'!$D$10:$W$10,0))</f>
        <v>2.6897855000000002</v>
      </c>
      <c r="R12" s="332">
        <f ca="1">INDEX(OFFSET('Adjustment scenario'!$D$1:$W$1,$D12-1,0),MATCH(R$4,'Adjustment scenario'!$D$10:$W$10,0))</f>
        <v>2.6534810000000002</v>
      </c>
      <c r="S12" s="332">
        <f ca="1">INDEX(OFFSET('Adjustment scenario'!$D$1:$W$1,$D12-1,0),MATCH(S$4,'Adjustment scenario'!$D$10:$W$10,0))</f>
        <v>2.6171765000000002</v>
      </c>
      <c r="T12" s="332">
        <f ca="1">INDEX(OFFSET('Adjustment scenario'!$D$1:$W$1,$D12-1,0),MATCH(T$4,'Adjustment scenario'!$D$10:$W$10,0))</f>
        <v>2.5808720000000003</v>
      </c>
      <c r="U12" s="332">
        <f ca="1">INDEX(OFFSET('Adjustment scenario'!$D$1:$W$1,$D12-1,0),MATCH(U$4,'Adjustment scenario'!$D$10:$W$10,0))</f>
        <v>2.5445675000000003</v>
      </c>
      <c r="V12" s="332">
        <f ca="1">INDEX(OFFSET('Adjustment scenario'!$D$1:$W$1,$D12-1,0),MATCH(V$4,'Adjustment scenario'!$D$10:$W$10,0))</f>
        <v>2.5082629999999999</v>
      </c>
      <c r="W12" s="332">
        <f ca="1">INDEX(OFFSET('Adjustment scenario'!$D$1:$W$1,$D12-1,0),MATCH(W$4,'Adjustment scenario'!$D$10:$W$10,0))</f>
        <v>2.4719584999999999</v>
      </c>
      <c r="X12" s="332">
        <f ca="1">INDEX(OFFSET('Adjustment scenario'!$D$1:$W$1,$D12-1,0),MATCH(X$4,'Adjustment scenario'!$D$10:$W$10,0))</f>
        <v>2.435654</v>
      </c>
      <c r="Y12" s="271"/>
    </row>
    <row r="13" spans="1:25" x14ac:dyDescent="0.2">
      <c r="A13" s="271"/>
      <c r="B13" s="339">
        <v>9</v>
      </c>
      <c r="C13" s="343" t="s">
        <v>228</v>
      </c>
      <c r="D13" s="344">
        <v>36</v>
      </c>
      <c r="E13" s="345" t="s">
        <v>227</v>
      </c>
      <c r="F13" s="332">
        <f ca="1">INDEX(OFFSET('Adjustment scenario'!$D$1:$W$1,$D13-1,0),MATCH(F$4,'Adjustment scenario'!$D$10:$W$10,0))</f>
        <v>1.6360269999999999</v>
      </c>
      <c r="G13" s="332">
        <f ca="1">INDEX(OFFSET('Adjustment scenario'!$D$1:$W$1,$D13-1,0),MATCH(G$4,'Adjustment scenario'!$D$10:$W$10,0))</f>
        <v>1.90473</v>
      </c>
      <c r="H13" s="332">
        <f ca="1">INDEX(OFFSET('Adjustment scenario'!$D$1:$W$1,$D13-1,0),MATCH(H$4,'Adjustment scenario'!$D$10:$W$10,0))</f>
        <v>2.1499329999999999</v>
      </c>
      <c r="I13" s="332">
        <f ca="1">INDEX(OFFSET('Adjustment scenario'!$D$1:$W$1,$D13-1,0),MATCH(I$4,'Adjustment scenario'!$D$10:$W$10,0))</f>
        <v>2.2624335955804127</v>
      </c>
      <c r="J13" s="332">
        <f ca="1">INDEX(OFFSET('Adjustment scenario'!$D$1:$W$1,$D13-1,0),MATCH(J$4,'Adjustment scenario'!$D$10:$W$10,0))</f>
        <v>2.3656571190916935</v>
      </c>
      <c r="K13" s="332">
        <f ca="1">INDEX(OFFSET('Adjustment scenario'!$D$1:$W$1,$D13-1,0),MATCH(K$4,'Adjustment scenario'!$D$10:$W$10,0))</f>
        <v>2.4608203898214027</v>
      </c>
      <c r="L13" s="332">
        <f ca="1">INDEX(OFFSET('Adjustment scenario'!$D$1:$W$1,$D13-1,0),MATCH(L$4,'Adjustment scenario'!$D$10:$W$10,0))</f>
        <v>2.5486874079195405</v>
      </c>
      <c r="M13" s="332">
        <f ca="1">INDEX(OFFSET('Adjustment scenario'!$D$1:$W$1,$D13-1,0),MATCH(M$4,'Adjustment scenario'!$D$10:$W$10,0))</f>
        <v>2.6329441517892573</v>
      </c>
      <c r="N13" s="332">
        <f ca="1">INDEX(OFFSET('Adjustment scenario'!$D$1:$W$1,$D13-1,0),MATCH(N$4,'Adjustment scenario'!$D$10:$W$10,0))</f>
        <v>2.7140434675168965</v>
      </c>
      <c r="O13" s="332">
        <f ca="1">INDEX(OFFSET('Adjustment scenario'!$D$1:$W$1,$D13-1,0),MATCH(O$4,'Adjustment scenario'!$D$10:$W$10,0))</f>
        <v>2.7922821441212311</v>
      </c>
      <c r="P13" s="332">
        <f ca="1">INDEX(OFFSET('Adjustment scenario'!$D$1:$W$1,$D13-1,0),MATCH(P$4,'Adjustment scenario'!$D$10:$W$10,0))</f>
        <v>2.8701685368371517</v>
      </c>
      <c r="Q13" s="332">
        <f ca="1">INDEX(OFFSET('Adjustment scenario'!$D$1:$W$1,$D13-1,0),MATCH(Q$4,'Adjustment scenario'!$D$10:$W$10,0))</f>
        <v>2.9399636293972873</v>
      </c>
      <c r="R13" s="332">
        <f ca="1">INDEX(OFFSET('Adjustment scenario'!$D$1:$W$1,$D13-1,0),MATCH(R$4,'Adjustment scenario'!$D$10:$W$10,0))</f>
        <v>3.0043672828038184</v>
      </c>
      <c r="S13" s="332">
        <f ca="1">INDEX(OFFSET('Adjustment scenario'!$D$1:$W$1,$D13-1,0),MATCH(S$4,'Adjustment scenario'!$D$10:$W$10,0))</f>
        <v>3.0635576645735116</v>
      </c>
      <c r="T13" s="332">
        <f ca="1">INDEX(OFFSET('Adjustment scenario'!$D$1:$W$1,$D13-1,0),MATCH(T$4,'Adjustment scenario'!$D$10:$W$10,0))</f>
        <v>3.1180214262489456</v>
      </c>
      <c r="U13" s="332">
        <f ca="1">INDEX(OFFSET('Adjustment scenario'!$D$1:$W$1,$D13-1,0),MATCH(U$4,'Adjustment scenario'!$D$10:$W$10,0))</f>
        <v>3.168206362701508</v>
      </c>
      <c r="V13" s="332">
        <f ca="1">INDEX(OFFSET('Adjustment scenario'!$D$1:$W$1,$D13-1,0),MATCH(V$4,'Adjustment scenario'!$D$10:$W$10,0))</f>
        <v>3.2145062176713166</v>
      </c>
      <c r="W13" s="332">
        <f ca="1">INDEX(OFFSET('Adjustment scenario'!$D$1:$W$1,$D13-1,0),MATCH(W$4,'Adjustment scenario'!$D$10:$W$10,0))</f>
        <v>3.2572697643868134</v>
      </c>
      <c r="X13" s="332">
        <f ca="1">INDEX(OFFSET('Adjustment scenario'!$D$1:$W$1,$D13-1,0),MATCH(X$4,'Adjustment scenario'!$D$10:$W$10,0))</f>
        <v>3.2967924072889536</v>
      </c>
      <c r="Y13" s="271"/>
    </row>
    <row r="14" spans="1:25" x14ac:dyDescent="0.2">
      <c r="A14" s="271"/>
      <c r="B14" s="339">
        <v>10</v>
      </c>
      <c r="C14" s="343" t="s">
        <v>229</v>
      </c>
      <c r="D14" s="344">
        <v>72</v>
      </c>
      <c r="E14" s="345" t="s">
        <v>221</v>
      </c>
      <c r="F14" s="332">
        <f ca="1">INDEX(OFFSET('Adjustment scenario'!$D$1:$W$1,$D14-1,0),MATCH(F$4,'Adjustment scenario'!$D$10:$W$10,0))</f>
        <v>-0.21881439999999999</v>
      </c>
      <c r="G14" s="332">
        <f ca="1">INDEX(OFFSET('Adjustment scenario'!$D$1:$W$1,$D14-1,0),MATCH(G$4,'Adjustment scenario'!$D$10:$W$10,0))</f>
        <v>0.2108082</v>
      </c>
      <c r="H14" s="332">
        <f ca="1">INDEX(OFFSET('Adjustment scenario'!$D$1:$W$1,$D14-1,0),MATCH(H$4,'Adjustment scenario'!$D$10:$W$10,0))</f>
        <v>3.1290600000000002E-2</v>
      </c>
      <c r="I14" s="332">
        <f ca="1">INDEX(OFFSET('Adjustment scenario'!$D$1:$W$1,$D14-1,0),MATCH(I$4,'Adjustment scenario'!$D$10:$W$10,0))</f>
        <v>0</v>
      </c>
      <c r="J14" s="332">
        <f ca="1">INDEX(OFFSET('Adjustment scenario'!$D$1:$W$1,$D14-1,0),MATCH(J$4,'Adjustment scenario'!$D$10:$W$10,0))</f>
        <v>0</v>
      </c>
      <c r="K14" s="332">
        <f ca="1">INDEX(OFFSET('Adjustment scenario'!$D$1:$W$1,$D14-1,0),MATCH(K$4,'Adjustment scenario'!$D$10:$W$10,0))</f>
        <v>0</v>
      </c>
      <c r="L14" s="332">
        <f ca="1">INDEX(OFFSET('Adjustment scenario'!$D$1:$W$1,$D14-1,0),MATCH(L$4,'Adjustment scenario'!$D$10:$W$10,0))</f>
        <v>0</v>
      </c>
      <c r="M14" s="332">
        <f ca="1">INDEX(OFFSET('Adjustment scenario'!$D$1:$W$1,$D14-1,0),MATCH(M$4,'Adjustment scenario'!$D$10:$W$10,0))</f>
        <v>0</v>
      </c>
      <c r="N14" s="332">
        <f ca="1">INDEX(OFFSET('Adjustment scenario'!$D$1:$W$1,$D14-1,0),MATCH(N$4,'Adjustment scenario'!$D$10:$W$10,0))</f>
        <v>0</v>
      </c>
      <c r="O14" s="332">
        <f ca="1">INDEX(OFFSET('Adjustment scenario'!$D$1:$W$1,$D14-1,0),MATCH(O$4,'Adjustment scenario'!$D$10:$W$10,0))</f>
        <v>0</v>
      </c>
      <c r="P14" s="332">
        <f ca="1">INDEX(OFFSET('Adjustment scenario'!$D$1:$W$1,$D14-1,0),MATCH(P$4,'Adjustment scenario'!$D$10:$W$10,0))</f>
        <v>0</v>
      </c>
      <c r="Q14" s="332">
        <f ca="1">INDEX(OFFSET('Adjustment scenario'!$D$1:$W$1,$D14-1,0),MATCH(Q$4,'Adjustment scenario'!$D$10:$W$10,0))</f>
        <v>0</v>
      </c>
      <c r="R14" s="332">
        <f ca="1">INDEX(OFFSET('Adjustment scenario'!$D$1:$W$1,$D14-1,0),MATCH(R$4,'Adjustment scenario'!$D$10:$W$10,0))</f>
        <v>0</v>
      </c>
      <c r="S14" s="332">
        <f ca="1">INDEX(OFFSET('Adjustment scenario'!$D$1:$W$1,$D14-1,0),MATCH(S$4,'Adjustment scenario'!$D$10:$W$10,0))</f>
        <v>0</v>
      </c>
      <c r="T14" s="332">
        <f ca="1">INDEX(OFFSET('Adjustment scenario'!$D$1:$W$1,$D14-1,0),MATCH(T$4,'Adjustment scenario'!$D$10:$W$10,0))</f>
        <v>0</v>
      </c>
      <c r="U14" s="332">
        <f ca="1">INDEX(OFFSET('Adjustment scenario'!$D$1:$W$1,$D14-1,0),MATCH(U$4,'Adjustment scenario'!$D$10:$W$10,0))</f>
        <v>0</v>
      </c>
      <c r="V14" s="332">
        <f ca="1">INDEX(OFFSET('Adjustment scenario'!$D$1:$W$1,$D14-1,0),MATCH(V$4,'Adjustment scenario'!$D$10:$W$10,0))</f>
        <v>0</v>
      </c>
      <c r="W14" s="332">
        <f ca="1">INDEX(OFFSET('Adjustment scenario'!$D$1:$W$1,$D14-1,0),MATCH(W$4,'Adjustment scenario'!$D$10:$W$10,0))</f>
        <v>0</v>
      </c>
      <c r="X14" s="332">
        <f ca="1">INDEX(OFFSET('Adjustment scenario'!$D$1:$W$1,$D14-1,0),MATCH(X$4,'Adjustment scenario'!$D$10:$W$10,0))</f>
        <v>0</v>
      </c>
      <c r="Y14" s="271"/>
    </row>
    <row r="15" spans="1:25" x14ac:dyDescent="0.2">
      <c r="A15" s="271"/>
      <c r="B15" s="339">
        <v>11</v>
      </c>
      <c r="C15" s="347" t="s">
        <v>62</v>
      </c>
      <c r="D15" s="344">
        <v>27</v>
      </c>
      <c r="E15" s="345" t="s">
        <v>230</v>
      </c>
      <c r="F15" s="332">
        <f ca="1">(INDEX(OFFSET('Adjustment scenario'!$D$1:$W$1,$D15-1,0),MATCH(F$4,'Adjustment scenario'!$D$10:$W$10,0))/INDEX(OFFSET('Adjustment scenario'!$D$1:$W$1,$D15-1,0),MATCH(E$4,'Adjustment scenario'!$D$10:$W$10,0))-1)*100</f>
        <v>1.1356479999999891</v>
      </c>
      <c r="G15" s="332">
        <f ca="1">(INDEX(OFFSET('Adjustment scenario'!$D$1:$W$1,$D15-1,0),MATCH(G$4,'Adjustment scenario'!$D$10:$W$10,0))/INDEX(OFFSET('Adjustment scenario'!$D$1:$W$1,$D15-1,0),MATCH(F$4,'Adjustment scenario'!$D$10:$W$10,0))-1)*100</f>
        <v>1.0878189999999899</v>
      </c>
      <c r="H15" s="332">
        <f ca="1">(INDEX(OFFSET('Adjustment scenario'!$D$1:$W$1,$D15-1,0),MATCH(H$4,'Adjustment scenario'!$D$10:$W$10,0))/INDEX(OFFSET('Adjustment scenario'!$D$1:$W$1,$D15-1,0),MATCH(G$4,'Adjustment scenario'!$D$10:$W$10,0))-1)*100</f>
        <v>1.0005299999999995</v>
      </c>
      <c r="I15" s="332">
        <f ca="1">(INDEX(OFFSET('Adjustment scenario'!$D$1:$W$1,$D15-1,0),MATCH(I$4,'Adjustment scenario'!$D$10:$W$10,0))/INDEX(OFFSET('Adjustment scenario'!$D$1:$W$1,$D15-1,0),MATCH(H$4,'Adjustment scenario'!$D$10:$W$10,0))-1)*100</f>
        <v>0.6282173000000002</v>
      </c>
      <c r="J15" s="332">
        <f ca="1">(INDEX(OFFSET('Adjustment scenario'!$D$1:$W$1,$D15-1,0),MATCH(J$4,'Adjustment scenario'!$D$10:$W$10,0))/INDEX(OFFSET('Adjustment scenario'!$D$1:$W$1,$D15-1,0),MATCH(I$4,'Adjustment scenario'!$D$10:$W$10,0))-1)*100</f>
        <v>0.44240410000000452</v>
      </c>
      <c r="K15" s="332">
        <f ca="1">(INDEX(OFFSET('Adjustment scenario'!$D$1:$W$1,$D15-1,0),MATCH(K$4,'Adjustment scenario'!$D$10:$W$10,0))/INDEX(OFFSET('Adjustment scenario'!$D$1:$W$1,$D15-1,0),MATCH(J$4,'Adjustment scenario'!$D$10:$W$10,0))-1)*100</f>
        <v>0.34337840000000508</v>
      </c>
      <c r="L15" s="332">
        <f ca="1">(INDEX(OFFSET('Adjustment scenario'!$D$1:$W$1,$D15-1,0),MATCH(L$4,'Adjustment scenario'!$D$10:$W$10,0))/INDEX(OFFSET('Adjustment scenario'!$D$1:$W$1,$D15-1,0),MATCH(K$4,'Adjustment scenario'!$D$10:$W$10,0))-1)*100</f>
        <v>0.34188379999999796</v>
      </c>
      <c r="M15" s="332">
        <f ca="1">(INDEX(OFFSET('Adjustment scenario'!$D$1:$W$1,$D15-1,0),MATCH(M$4,'Adjustment scenario'!$D$10:$W$10,0))/INDEX(OFFSET('Adjustment scenario'!$D$1:$W$1,$D15-1,0),MATCH(L$4,'Adjustment scenario'!$D$10:$W$10,0))-1)*100</f>
        <v>0.35059799999999086</v>
      </c>
      <c r="N15" s="332">
        <f ca="1">(INDEX(OFFSET('Adjustment scenario'!$D$1:$W$1,$D15-1,0),MATCH(N$4,'Adjustment scenario'!$D$10:$W$10,0))/INDEX(OFFSET('Adjustment scenario'!$D$1:$W$1,$D15-1,0),MATCH(M$4,'Adjustment scenario'!$D$10:$W$10,0))-1)*100</f>
        <v>0.3732269999999982</v>
      </c>
      <c r="O15" s="332">
        <f ca="1">(INDEX(OFFSET('Adjustment scenario'!$D$1:$W$1,$D15-1,0),MATCH(O$4,'Adjustment scenario'!$D$10:$W$10,0))/INDEX(OFFSET('Adjustment scenario'!$D$1:$W$1,$D15-1,0),MATCH(N$4,'Adjustment scenario'!$D$10:$W$10,0))-1)*100</f>
        <v>0.40285069999999035</v>
      </c>
      <c r="P15" s="332">
        <f ca="1">(INDEX(OFFSET('Adjustment scenario'!$D$1:$W$1,$D15-1,0),MATCH(P$4,'Adjustment scenario'!$D$10:$W$10,0))/INDEX(OFFSET('Adjustment scenario'!$D$1:$W$1,$D15-1,0),MATCH(O$4,'Adjustment scenario'!$D$10:$W$10,0))-1)*100</f>
        <v>0.3851049999999967</v>
      </c>
      <c r="Q15" s="332">
        <f ca="1">(INDEX(OFFSET('Adjustment scenario'!$D$1:$W$1,$D15-1,0),MATCH(Q$4,'Adjustment scenario'!$D$10:$W$10,0))/INDEX(OFFSET('Adjustment scenario'!$D$1:$W$1,$D15-1,0),MATCH(P$4,'Adjustment scenario'!$D$10:$W$10,0))-1)*100</f>
        <v>0.56971009999999822</v>
      </c>
      <c r="R15" s="332">
        <f ca="1">(INDEX(OFFSET('Adjustment scenario'!$D$1:$W$1,$D15-1,0),MATCH(R$4,'Adjustment scenario'!$D$10:$W$10,0))/INDEX(OFFSET('Adjustment scenario'!$D$1:$W$1,$D15-1,0),MATCH(Q$4,'Adjustment scenario'!$D$10:$W$10,0))-1)*100</f>
        <v>0.75431539999999409</v>
      </c>
      <c r="S15" s="332">
        <f ca="1">(INDEX(OFFSET('Adjustment scenario'!$D$1:$W$1,$D15-1,0),MATCH(S$4,'Adjustment scenario'!$D$10:$W$10,0))/INDEX(OFFSET('Adjustment scenario'!$D$1:$W$1,$D15-1,0),MATCH(R$4,'Adjustment scenario'!$D$10:$W$10,0))-1)*100</f>
        <v>0.93892060000000388</v>
      </c>
      <c r="T15" s="332">
        <f ca="1">(INDEX(OFFSET('Adjustment scenario'!$D$1:$W$1,$D15-1,0),MATCH(T$4,'Adjustment scenario'!$D$10:$W$10,0))/INDEX(OFFSET('Adjustment scenario'!$D$1:$W$1,$D15-1,0),MATCH(S$4,'Adjustment scenario'!$D$10:$W$10,0))-1)*100</f>
        <v>1.0421100000000072</v>
      </c>
      <c r="U15" s="332">
        <f ca="1">(INDEX(OFFSET('Adjustment scenario'!$D$1:$W$1,$D15-1,0),MATCH(U$4,'Adjustment scenario'!$D$10:$W$10,0))/INDEX(OFFSET('Adjustment scenario'!$D$1:$W$1,$D15-1,0),MATCH(T$4,'Adjustment scenario'!$D$10:$W$10,0))-1)*100</f>
        <v>1.1754040000000021</v>
      </c>
      <c r="V15" s="332">
        <f ca="1">(INDEX(OFFSET('Adjustment scenario'!$D$1:$W$1,$D15-1,0),MATCH(V$4,'Adjustment scenario'!$D$10:$W$10,0))/INDEX(OFFSET('Adjustment scenario'!$D$1:$W$1,$D15-1,0),MATCH(U$4,'Adjustment scenario'!$D$10:$W$10,0))-1)*100</f>
        <v>1.3290009999999963</v>
      </c>
      <c r="W15" s="332">
        <f ca="1">(INDEX(OFFSET('Adjustment scenario'!$D$1:$W$1,$D15-1,0),MATCH(W$4,'Adjustment scenario'!$D$10:$W$10,0))/INDEX(OFFSET('Adjustment scenario'!$D$1:$W$1,$D15-1,0),MATCH(V$4,'Adjustment scenario'!$D$10:$W$10,0))-1)*100</f>
        <v>1.5112330000000007</v>
      </c>
      <c r="X15" s="332">
        <f ca="1">(INDEX(OFFSET('Adjustment scenario'!$D$1:$W$1,$D15-1,0),MATCH(X$4,'Adjustment scenario'!$D$10:$W$10,0))/INDEX(OFFSET('Adjustment scenario'!$D$1:$W$1,$D15-1,0),MATCH(W$4,'Adjustment scenario'!$D$10:$W$10,0))-1)*100</f>
        <v>1.5410750000000029</v>
      </c>
      <c r="Y15" s="271"/>
    </row>
    <row r="16" spans="1:25" x14ac:dyDescent="0.2">
      <c r="A16" s="271"/>
      <c r="B16" s="339">
        <v>12</v>
      </c>
      <c r="C16" s="335" t="s">
        <v>231</v>
      </c>
      <c r="D16" s="344">
        <v>24</v>
      </c>
      <c r="E16" s="345" t="s">
        <v>230</v>
      </c>
      <c r="F16" s="332">
        <f ca="1">INDEX(OFFSET('Adjustment scenario'!$D$1:$W$1,$D16-1,0),MATCH(F$4,'Adjustment scenario'!$D$10:$W$10,0))</f>
        <v>0.70371839999999997</v>
      </c>
      <c r="G16" s="332">
        <f ca="1">INDEX(OFFSET('Adjustment scenario'!$D$1:$W$1,$D16-1,0),MATCH(G$4,'Adjustment scenario'!$D$10:$W$10,0))</f>
        <v>0.72849039999999998</v>
      </c>
      <c r="H16" s="332">
        <f ca="1">INDEX(OFFSET('Adjustment scenario'!$D$1:$W$1,$D16-1,0),MATCH(H$4,'Adjustment scenario'!$D$10:$W$10,0))</f>
        <v>0.88990200000000907</v>
      </c>
      <c r="I16" s="332">
        <f ca="1">INDEX(OFFSET('Adjustment scenario'!$D$1:$W$1,$D16-1,0),MATCH(I$4,'Adjustment scenario'!$D$10:$W$10,0))</f>
        <v>0.10716422429482009</v>
      </c>
      <c r="J16" s="332">
        <f ca="1">INDEX(OFFSET('Adjustment scenario'!$D$1:$W$1,$D16-1,0),MATCH(J$4,'Adjustment scenario'!$D$10:$W$10,0))</f>
        <v>9.6233022090608245E-2</v>
      </c>
      <c r="K16" s="332">
        <f ca="1">INDEX(OFFSET('Adjustment scenario'!$D$1:$W$1,$D16-1,0),MATCH(K$4,'Adjustment scenario'!$D$10:$W$10,0))</f>
        <v>0.1137685656515508</v>
      </c>
      <c r="L16" s="332">
        <f ca="1">INDEX(OFFSET('Adjustment scenario'!$D$1:$W$1,$D16-1,0),MATCH(L$4,'Adjustment scenario'!$D$10:$W$10,0))</f>
        <v>0.8950681754104739</v>
      </c>
      <c r="M16" s="332">
        <f ca="1">INDEX(OFFSET('Adjustment scenario'!$D$1:$W$1,$D16-1,0),MATCH(M$4,'Adjustment scenario'!$D$10:$W$10,0))</f>
        <v>0.9007971710852658</v>
      </c>
      <c r="N16" s="332">
        <f ca="1">INDEX(OFFSET('Adjustment scenario'!$D$1:$W$1,$D16-1,0),MATCH(N$4,'Adjustment scenario'!$D$10:$W$10,0))</f>
        <v>0.92054939826520243</v>
      </c>
      <c r="O16" s="332">
        <f ca="1">INDEX(OFFSET('Adjustment scenario'!$D$1:$W$1,$D16-1,0),MATCH(O$4,'Adjustment scenario'!$D$10:$W$10,0))</f>
        <v>0.40285550000001003</v>
      </c>
      <c r="P16" s="332">
        <f ca="1">INDEX(OFFSET('Adjustment scenario'!$D$1:$W$1,$D16-1,0),MATCH(P$4,'Adjustment scenario'!$D$10:$W$10,0))</f>
        <v>0.38510769999999805</v>
      </c>
      <c r="Q16" s="332">
        <f ca="1">INDEX(OFFSET('Adjustment scenario'!$D$1:$W$1,$D16-1,0),MATCH(Q$4,'Adjustment scenario'!$D$10:$W$10,0))</f>
        <v>0.56971390000000177</v>
      </c>
      <c r="R16" s="332">
        <f ca="1">INDEX(OFFSET('Adjustment scenario'!$D$1:$W$1,$D16-1,0),MATCH(R$4,'Adjustment scenario'!$D$10:$W$10,0))</f>
        <v>0.75431990000001115</v>
      </c>
      <c r="S16" s="332">
        <f ca="1">INDEX(OFFSET('Adjustment scenario'!$D$1:$W$1,$D16-1,0),MATCH(S$4,'Adjustment scenario'!$D$10:$W$10,0))</f>
        <v>0.93892149999998953</v>
      </c>
      <c r="T16" s="332">
        <f ca="1">INDEX(OFFSET('Adjustment scenario'!$D$1:$W$1,$D16-1,0),MATCH(T$4,'Adjustment scenario'!$D$10:$W$10,0))</f>
        <v>1.042111999999995</v>
      </c>
      <c r="U16" s="332">
        <f ca="1">INDEX(OFFSET('Adjustment scenario'!$D$1:$W$1,$D16-1,0),MATCH(U$4,'Adjustment scenario'!$D$10:$W$10,0))</f>
        <v>1.1754000000000042</v>
      </c>
      <c r="V16" s="332">
        <f ca="1">INDEX(OFFSET('Adjustment scenario'!$D$1:$W$1,$D16-1,0),MATCH(V$4,'Adjustment scenario'!$D$10:$W$10,0))</f>
        <v>1.3289990000000085</v>
      </c>
      <c r="W16" s="332">
        <f ca="1">INDEX(OFFSET('Adjustment scenario'!$D$1:$W$1,$D16-1,0),MATCH(W$4,'Adjustment scenario'!$D$10:$W$10,0))</f>
        <v>1.5112290000000028</v>
      </c>
      <c r="X16" s="332">
        <f ca="1">INDEX(OFFSET('Adjustment scenario'!$D$1:$W$1,$D16-1,0),MATCH(X$4,'Adjustment scenario'!$D$10:$W$10,0))</f>
        <v>1.5410790000000008</v>
      </c>
      <c r="Y16" s="271"/>
    </row>
    <row r="17" spans="1:25" x14ac:dyDescent="0.2">
      <c r="A17" s="271"/>
      <c r="B17" s="339">
        <v>13</v>
      </c>
      <c r="C17" s="348" t="s">
        <v>232</v>
      </c>
      <c r="D17" s="344">
        <v>42</v>
      </c>
      <c r="E17" s="345" t="s">
        <v>230</v>
      </c>
      <c r="F17" s="332">
        <f ca="1">INDEX(OFFSET('Adjustment scenario'!$D$1:$W$1,$D17-1,0),MATCH(F$4,'Adjustment scenario'!$D$10:$W$10,0))</f>
        <v>5.4723360000000003</v>
      </c>
      <c r="G17" s="332">
        <f ca="1">INDEX(OFFSET('Adjustment scenario'!$D$1:$W$1,$D17-1,0),MATCH(G$4,'Adjustment scenario'!$D$10:$W$10,0))</f>
        <v>2.7681049999999998</v>
      </c>
      <c r="H17" s="332">
        <f ca="1">INDEX(OFFSET('Adjustment scenario'!$D$1:$W$1,$D17-1,0),MATCH(H$4,'Adjustment scenario'!$D$10:$W$10,0))</f>
        <v>2.041757</v>
      </c>
      <c r="I17" s="332">
        <f ca="1">INDEX(OFFSET('Adjustment scenario'!$D$1:$W$1,$D17-1,0),MATCH(I$4,'Adjustment scenario'!$D$10:$W$10,0))</f>
        <v>2.1052873750000001</v>
      </c>
      <c r="J17" s="332">
        <f ca="1">INDEX(OFFSET('Adjustment scenario'!$D$1:$W$1,$D17-1,0),MATCH(J$4,'Adjustment scenario'!$D$10:$W$10,0))</f>
        <v>2.1688177500000001</v>
      </c>
      <c r="K17" s="332">
        <f ca="1">INDEX(OFFSET('Adjustment scenario'!$D$1:$W$1,$D17-1,0),MATCH(K$4,'Adjustment scenario'!$D$10:$W$10,0))</f>
        <v>2.2323481250000001</v>
      </c>
      <c r="L17" s="332">
        <f ca="1">INDEX(OFFSET('Adjustment scenario'!$D$1:$W$1,$D17-1,0),MATCH(L$4,'Adjustment scenario'!$D$10:$W$10,0))</f>
        <v>2.2958784999999997</v>
      </c>
      <c r="M17" s="332">
        <f ca="1">INDEX(OFFSET('Adjustment scenario'!$D$1:$W$1,$D17-1,0),MATCH(M$4,'Adjustment scenario'!$D$10:$W$10,0))</f>
        <v>2.3594088749999997</v>
      </c>
      <c r="N17" s="332">
        <f ca="1">INDEX(OFFSET('Adjustment scenario'!$D$1:$W$1,$D17-1,0),MATCH(N$4,'Adjustment scenario'!$D$10:$W$10,0))</f>
        <v>2.4229392499999998</v>
      </c>
      <c r="O17" s="332">
        <f ca="1">INDEX(OFFSET('Adjustment scenario'!$D$1:$W$1,$D17-1,0),MATCH(O$4,'Adjustment scenario'!$D$10:$W$10,0))</f>
        <v>2.4864696249999998</v>
      </c>
      <c r="P17" s="332">
        <f ca="1">INDEX(OFFSET('Adjustment scenario'!$D$1:$W$1,$D17-1,0),MATCH(P$4,'Adjustment scenario'!$D$10:$W$10,0))</f>
        <v>2.5499999999999998</v>
      </c>
      <c r="Q17" s="332">
        <f ca="1">INDEX(OFFSET('Adjustment scenario'!$D$1:$W$1,$D17-1,0),MATCH(Q$4,'Adjustment scenario'!$D$10:$W$10,0))</f>
        <v>2.5225</v>
      </c>
      <c r="R17" s="332">
        <f ca="1">INDEX(OFFSET('Adjustment scenario'!$D$1:$W$1,$D17-1,0),MATCH(R$4,'Adjustment scenario'!$D$10:$W$10,0))</f>
        <v>2.4949999999999997</v>
      </c>
      <c r="S17" s="332">
        <f ca="1">INDEX(OFFSET('Adjustment scenario'!$D$1:$W$1,$D17-1,0),MATCH(S$4,'Adjustment scenario'!$D$10:$W$10,0))</f>
        <v>2.4674999999999998</v>
      </c>
      <c r="T17" s="332">
        <f ca="1">INDEX(OFFSET('Adjustment scenario'!$D$1:$W$1,$D17-1,0),MATCH(T$4,'Adjustment scenario'!$D$10:$W$10,0))</f>
        <v>2.44</v>
      </c>
      <c r="U17" s="332">
        <f ca="1">INDEX(OFFSET('Adjustment scenario'!$D$1:$W$1,$D17-1,0),MATCH(U$4,'Adjustment scenario'!$D$10:$W$10,0))</f>
        <v>2.4124999999999996</v>
      </c>
      <c r="V17" s="332">
        <f ca="1">INDEX(OFFSET('Adjustment scenario'!$D$1:$W$1,$D17-1,0),MATCH(V$4,'Adjustment scenario'!$D$10:$W$10,0))</f>
        <v>2.3849999999999998</v>
      </c>
      <c r="W17" s="332">
        <f ca="1">INDEX(OFFSET('Adjustment scenario'!$D$1:$W$1,$D17-1,0),MATCH(W$4,'Adjustment scenario'!$D$10:$W$10,0))</f>
        <v>2.3574999999999999</v>
      </c>
      <c r="X17" s="332">
        <f ca="1">INDEX(OFFSET('Adjustment scenario'!$D$1:$W$1,$D17-1,0),MATCH(X$4,'Adjustment scenario'!$D$10:$W$10,0))</f>
        <v>2.33</v>
      </c>
      <c r="Y17" s="271"/>
    </row>
    <row r="18" spans="1:25" x14ac:dyDescent="0.2">
      <c r="A18" s="271"/>
      <c r="B18" s="339">
        <v>14</v>
      </c>
      <c r="C18" s="335" t="s">
        <v>233</v>
      </c>
      <c r="D18" s="344">
        <v>33</v>
      </c>
      <c r="E18" s="345" t="s">
        <v>230</v>
      </c>
      <c r="F18" s="332">
        <f ca="1">INDEX(OFFSET('Adjustment scenario'!$D$1:$W$1,$D18-1,0),MATCH(F$4,'Adjustment scenario'!$D$10:$W$10,0))</f>
        <v>6.2145642353418351</v>
      </c>
      <c r="G18" s="332">
        <f ca="1">INDEX(OFFSET('Adjustment scenario'!$D$1:$W$1,$D18-1,0),MATCH(G$4,'Adjustment scenario'!$D$10:$W$10,0))</f>
        <v>3.5167607791869226</v>
      </c>
      <c r="H18" s="332">
        <f ca="1">INDEX(OFFSET('Adjustment scenario'!$D$1:$W$1,$D18-1,0),MATCH(H$4,'Adjustment scenario'!$D$10:$W$10,0))</f>
        <v>2.9498286363781379</v>
      </c>
      <c r="I18" s="332">
        <f ca="1">INDEX(OFFSET('Adjustment scenario'!$D$1:$W$1,$D18-1,0),MATCH(I$4,'Adjustment scenario'!$D$10:$W$10,0))</f>
        <v>2.2147077141794203</v>
      </c>
      <c r="J18" s="332">
        <f ca="1">INDEX(OFFSET('Adjustment scenario'!$D$1:$W$1,$D18-1,0),MATCH(J$4,'Adjustment scenario'!$D$10:$W$10,0))</f>
        <v>2.2671378909550732</v>
      </c>
      <c r="K18" s="332">
        <f ca="1">INDEX(OFFSET('Adjustment scenario'!$D$1:$W$1,$D18-1,0),MATCH(K$4,'Adjustment scenario'!$D$10:$W$10,0))</f>
        <v>2.3486564010936961</v>
      </c>
      <c r="L18" s="332">
        <f ca="1">INDEX(OFFSET('Adjustment scenario'!$D$1:$W$1,$D18-1,0),MATCH(L$4,'Adjustment scenario'!$D$10:$W$10,0))</f>
        <v>3.2114963532100527</v>
      </c>
      <c r="M18" s="332">
        <f ca="1">INDEX(OFFSET('Adjustment scenario'!$D$1:$W$1,$D18-1,0),MATCH(M$4,'Adjustment scenario'!$D$10:$W$10,0))</f>
        <v>3.2814595344855979</v>
      </c>
      <c r="N18" s="332">
        <f ca="1">INDEX(OFFSET('Adjustment scenario'!$D$1:$W$1,$D18-1,0),MATCH(N$4,'Adjustment scenario'!$D$10:$W$10,0))</f>
        <v>3.3657930009513892</v>
      </c>
      <c r="O18" s="332">
        <f ca="1">INDEX(OFFSET('Adjustment scenario'!$D$1:$W$1,$D18-1,0),MATCH(O$4,'Adjustment scenario'!$D$10:$W$10,0))</f>
        <v>2.8993420046401708</v>
      </c>
      <c r="P18" s="332">
        <f ca="1">INDEX(OFFSET('Adjustment scenario'!$D$1:$W$1,$D18-1,0),MATCH(P$4,'Adjustment scenario'!$D$10:$W$10,0))</f>
        <v>2.9449279463499956</v>
      </c>
      <c r="Q18" s="332">
        <f ca="1">INDEX(OFFSET('Adjustment scenario'!$D$1:$W$1,$D18-1,0),MATCH(Q$4,'Adjustment scenario'!$D$10:$W$10,0))</f>
        <v>3.1065849331274986</v>
      </c>
      <c r="R18" s="332">
        <f ca="1">INDEX(OFFSET('Adjustment scenario'!$D$1:$W$1,$D18-1,0),MATCH(R$4,'Adjustment scenario'!$D$10:$W$10,0))</f>
        <v>3.2681401815050082</v>
      </c>
      <c r="S18" s="332">
        <f ca="1">INDEX(OFFSET('Adjustment scenario'!$D$1:$W$1,$D18-1,0),MATCH(S$4,'Adjustment scenario'!$D$10:$W$10,0))</f>
        <v>3.4295893880124995</v>
      </c>
      <c r="T18" s="332">
        <f ca="1">INDEX(OFFSET('Adjustment scenario'!$D$1:$W$1,$D18-1,0),MATCH(T$4,'Adjustment scenario'!$D$10:$W$10,0))</f>
        <v>3.5075395327999859</v>
      </c>
      <c r="U18" s="332">
        <f ca="1">INDEX(OFFSET('Adjustment scenario'!$D$1:$W$1,$D18-1,0),MATCH(U$4,'Adjustment scenario'!$D$10:$W$10,0))</f>
        <v>3.6162565249999945</v>
      </c>
      <c r="V18" s="332">
        <f ca="1">INDEX(OFFSET('Adjustment scenario'!$D$1:$W$1,$D18-1,0),MATCH(V$4,'Adjustment scenario'!$D$10:$W$10,0))</f>
        <v>3.7456956261499919</v>
      </c>
      <c r="W18" s="332">
        <f ca="1">INDEX(OFFSET('Adjustment scenario'!$D$1:$W$1,$D18-1,0),MATCH(W$4,'Adjustment scenario'!$D$10:$W$10,0))</f>
        <v>3.9043562236749985</v>
      </c>
      <c r="X18" s="332">
        <f ca="1">INDEX(OFFSET('Adjustment scenario'!$D$1:$W$1,$D18-1,0),MATCH(X$4,'Adjustment scenario'!$D$10:$W$10,0))</f>
        <v>3.9069861407000195</v>
      </c>
      <c r="Y18" s="271"/>
    </row>
    <row r="19" spans="1:25" x14ac:dyDescent="0.2">
      <c r="A19" s="271"/>
      <c r="B19" s="333"/>
      <c r="C19" s="354"/>
      <c r="D19" s="354"/>
      <c r="E19" s="354"/>
      <c r="F19" s="354"/>
      <c r="G19" s="354"/>
      <c r="H19" s="354"/>
      <c r="I19" s="354"/>
      <c r="J19" s="354"/>
      <c r="K19" s="271"/>
      <c r="L19" s="271"/>
      <c r="M19" s="271"/>
      <c r="N19" s="271"/>
      <c r="O19" s="271"/>
      <c r="P19" s="271"/>
      <c r="Q19" s="271"/>
      <c r="R19" s="271"/>
      <c r="S19" s="271"/>
      <c r="T19" s="271"/>
      <c r="U19" s="271"/>
      <c r="V19" s="271"/>
      <c r="W19" s="271"/>
      <c r="X19" s="271"/>
      <c r="Y19" s="271"/>
    </row>
    <row r="20" spans="1:25" x14ac:dyDescent="0.2">
      <c r="A20" s="271"/>
      <c r="B20" s="355"/>
      <c r="C20" s="337" t="s">
        <v>234</v>
      </c>
      <c r="D20" s="338"/>
      <c r="E20" s="338"/>
      <c r="F20" s="338"/>
      <c r="G20" s="354"/>
      <c r="H20" s="354"/>
      <c r="I20" s="354"/>
      <c r="J20" s="354"/>
      <c r="K20" s="271"/>
      <c r="L20" s="271"/>
      <c r="M20" s="271"/>
      <c r="N20" s="271"/>
      <c r="O20" s="271"/>
      <c r="P20" s="271"/>
      <c r="Q20" s="271"/>
      <c r="R20" s="271"/>
      <c r="S20" s="271"/>
      <c r="T20" s="271"/>
      <c r="U20" s="271"/>
      <c r="V20" s="271"/>
      <c r="W20" s="271"/>
      <c r="X20" s="271"/>
      <c r="Y20" s="271"/>
    </row>
    <row r="21" spans="1:25" x14ac:dyDescent="0.2">
      <c r="A21" s="271"/>
      <c r="B21" s="333"/>
      <c r="C21" s="354"/>
      <c r="D21" s="354"/>
      <c r="E21" s="354"/>
      <c r="F21" s="354"/>
      <c r="G21" s="354"/>
      <c r="H21" s="354"/>
      <c r="I21" s="354"/>
      <c r="J21" s="354"/>
      <c r="K21" s="271"/>
      <c r="L21" s="271"/>
      <c r="M21" s="271"/>
      <c r="N21" s="271"/>
      <c r="O21" s="271"/>
      <c r="P21" s="271"/>
      <c r="Q21" s="271"/>
      <c r="R21" s="271"/>
      <c r="S21" s="271"/>
      <c r="T21" s="271"/>
      <c r="U21" s="271"/>
      <c r="V21" s="271"/>
      <c r="W21" s="271"/>
      <c r="X21" s="271"/>
      <c r="Y21" s="271"/>
    </row>
    <row r="22" spans="1:25" x14ac:dyDescent="0.2">
      <c r="A22" s="271"/>
      <c r="B22" s="339"/>
      <c r="C22" s="337" t="s">
        <v>26</v>
      </c>
      <c r="D22" s="337"/>
      <c r="E22" s="341">
        <f>F22-1</f>
        <v>2022</v>
      </c>
      <c r="F22" s="342">
        <f>'Input data'!$C$5-1</f>
        <v>2023</v>
      </c>
      <c r="G22" s="342">
        <f>F22+1</f>
        <v>2024</v>
      </c>
      <c r="H22" s="342">
        <f t="shared" ref="H22:X22" si="1">G22+1</f>
        <v>2025</v>
      </c>
      <c r="I22" s="342">
        <f t="shared" si="1"/>
        <v>2026</v>
      </c>
      <c r="J22" s="342">
        <f t="shared" si="1"/>
        <v>2027</v>
      </c>
      <c r="K22" s="342">
        <f t="shared" si="1"/>
        <v>2028</v>
      </c>
      <c r="L22" s="342">
        <f t="shared" si="1"/>
        <v>2029</v>
      </c>
      <c r="M22" s="342">
        <f t="shared" si="1"/>
        <v>2030</v>
      </c>
      <c r="N22" s="342">
        <f t="shared" si="1"/>
        <v>2031</v>
      </c>
      <c r="O22" s="342">
        <f t="shared" si="1"/>
        <v>2032</v>
      </c>
      <c r="P22" s="342">
        <f t="shared" si="1"/>
        <v>2033</v>
      </c>
      <c r="Q22" s="342">
        <f t="shared" si="1"/>
        <v>2034</v>
      </c>
      <c r="R22" s="342">
        <f t="shared" si="1"/>
        <v>2035</v>
      </c>
      <c r="S22" s="342">
        <f t="shared" si="1"/>
        <v>2036</v>
      </c>
      <c r="T22" s="342">
        <f t="shared" si="1"/>
        <v>2037</v>
      </c>
      <c r="U22" s="342">
        <f t="shared" si="1"/>
        <v>2038</v>
      </c>
      <c r="V22" s="342">
        <f t="shared" si="1"/>
        <v>2039</v>
      </c>
      <c r="W22" s="342">
        <f t="shared" si="1"/>
        <v>2040</v>
      </c>
      <c r="X22" s="342">
        <f t="shared" si="1"/>
        <v>2041</v>
      </c>
      <c r="Y22" s="271"/>
    </row>
    <row r="23" spans="1:25" x14ac:dyDescent="0.2">
      <c r="A23" s="271"/>
      <c r="B23" s="339">
        <v>1</v>
      </c>
      <c r="C23" s="343" t="s">
        <v>220</v>
      </c>
      <c r="D23" s="344">
        <v>56</v>
      </c>
      <c r="E23" s="345" t="s">
        <v>221</v>
      </c>
      <c r="F23" s="332">
        <f ca="1">INDEX(OFFSET('Financial stress'!$D$1:$W$1,$D23-1,0),MATCH(F$4,'Financial stress'!$D$10:$W$10,0))</f>
        <v>110.64326790048331</v>
      </c>
      <c r="G23" s="332">
        <f ca="1">INDEX(OFFSET('Financial stress'!$D$1:$W$1,$D23-1,0),MATCH(G$4,'Financial stress'!$D$10:$W$10,0))</f>
        <v>112.40882173205914</v>
      </c>
      <c r="H23" s="332">
        <f ca="1">INDEX(OFFSET('Financial stress'!$D$1:$W$1,$D23-1,0),MATCH(H$4,'Financial stress'!$D$10:$W$10,0))</f>
        <v>113.96873574495558</v>
      </c>
      <c r="I23" s="332">
        <f ca="1">INDEX(OFFSET('Financial stress'!$D$1:$W$1,$D23-1,0),MATCH(I$4,'Financial stress'!$D$10:$W$10,0))</f>
        <v>115.77838065922458</v>
      </c>
      <c r="J23" s="332">
        <f ca="1">INDEX(OFFSET('Financial stress'!$D$1:$W$1,$D23-1,0),MATCH(J$4,'Financial stress'!$D$10:$W$10,0))</f>
        <v>116.92117165766111</v>
      </c>
      <c r="K23" s="332">
        <f ca="1">INDEX(OFFSET('Financial stress'!$D$1:$W$1,$D23-1,0),MATCH(K$4,'Financial stress'!$D$10:$W$10,0))</f>
        <v>117.28270034717907</v>
      </c>
      <c r="L23" s="332">
        <f ca="1">INDEX(OFFSET('Financial stress'!$D$1:$W$1,$D23-1,0),MATCH(L$4,'Financial stress'!$D$10:$W$10,0))</f>
        <v>116.98679418946153</v>
      </c>
      <c r="M23" s="332">
        <f ca="1">INDEX(OFFSET('Financial stress'!$D$1:$W$1,$D23-1,0),MATCH(M$4,'Financial stress'!$D$10:$W$10,0))</f>
        <v>116.01715195408033</v>
      </c>
      <c r="N23" s="332">
        <f ca="1">INDEX(OFFSET('Financial stress'!$D$1:$W$1,$D23-1,0),MATCH(N$4,'Financial stress'!$D$10:$W$10,0))</f>
        <v>114.66784512947714</v>
      </c>
      <c r="O23" s="332">
        <f ca="1">INDEX(OFFSET('Financial stress'!$D$1:$W$1,$D23-1,0),MATCH(O$4,'Financial stress'!$D$10:$W$10,0))</f>
        <v>113.90951420591533</v>
      </c>
      <c r="P23" s="332">
        <f ca="1">INDEX(OFFSET('Financial stress'!$D$1:$W$1,$D23-1,0),MATCH(P$4,'Financial stress'!$D$10:$W$10,0))</f>
        <v>113.20266603255503</v>
      </c>
      <c r="Q23" s="332">
        <f ca="1">INDEX(OFFSET('Financial stress'!$D$1:$W$1,$D23-1,0),MATCH(Q$4,'Financial stress'!$D$10:$W$10,0))</f>
        <v>112.4230195553843</v>
      </c>
      <c r="R23" s="332">
        <f ca="1">INDEX(OFFSET('Financial stress'!$D$1:$W$1,$D23-1,0),MATCH(R$4,'Financial stress'!$D$10:$W$10,0))</f>
        <v>111.51724731139043</v>
      </c>
      <c r="S23" s="332">
        <f ca="1">INDEX(OFFSET('Financial stress'!$D$1:$W$1,$D23-1,0),MATCH(S$4,'Financial stress'!$D$10:$W$10,0))</f>
        <v>110.48771945572528</v>
      </c>
      <c r="T23" s="332">
        <f ca="1">INDEX(OFFSET('Financial stress'!$D$1:$W$1,$D23-1,0),MATCH(T$4,'Financial stress'!$D$10:$W$10,0))</f>
        <v>109.42577989640755</v>
      </c>
      <c r="U23" s="332">
        <f ca="1">INDEX(OFFSET('Financial stress'!$D$1:$W$1,$D23-1,0),MATCH(U$4,'Financial stress'!$D$10:$W$10,0))</f>
        <v>108.29594799068535</v>
      </c>
      <c r="V23" s="332">
        <f ca="1">INDEX(OFFSET('Financial stress'!$D$1:$W$1,$D23-1,0),MATCH(V$4,'Financial stress'!$D$10:$W$10,0))</f>
        <v>107.07114148085759</v>
      </c>
      <c r="W23" s="332">
        <f ca="1">INDEX(OFFSET('Financial stress'!$D$1:$W$1,$D23-1,0),MATCH(W$4,'Financial stress'!$D$10:$W$10,0))</f>
        <v>105.70933501360727</v>
      </c>
      <c r="X23" s="332">
        <f ca="1">INDEX(OFFSET('Financial stress'!$D$1:$W$1,$D23-1,0),MATCH(X$4,'Financial stress'!$D$10:$W$10,0))</f>
        <v>104.42253943069194</v>
      </c>
      <c r="Y23" s="271"/>
    </row>
    <row r="24" spans="1:25" x14ac:dyDescent="0.2">
      <c r="A24" s="271"/>
      <c r="B24" s="339">
        <v>2</v>
      </c>
      <c r="C24" s="343" t="s">
        <v>94</v>
      </c>
      <c r="D24" s="344">
        <v>36</v>
      </c>
      <c r="E24" s="345" t="s">
        <v>227</v>
      </c>
      <c r="F24" s="332">
        <f ca="1">INDEX(OFFSET('Financial stress'!$D$1:$W$1,$D24-1,0),MATCH(F$4,'Financial stress'!$D$10:$W$10,0))</f>
        <v>2.99</v>
      </c>
      <c r="G24" s="332">
        <f ca="1">INDEX(OFFSET('Financial stress'!$D$1:$W$1,$D24-1,0),MATCH(G$4,'Financial stress'!$D$10:$W$10,0))</f>
        <v>2.964537</v>
      </c>
      <c r="H24" s="332">
        <f ca="1">INDEX(OFFSET('Financial stress'!$D$1:$W$1,$D24-1,0),MATCH(H$4,'Financial stress'!$D$10:$W$10,0))</f>
        <v>3.0634350000000001</v>
      </c>
      <c r="I24" s="332">
        <f ca="1">INDEX(OFFSET('Financial stress'!$D$1:$W$1,$D24-1,0),MATCH(I$4,'Financial stress'!$D$10:$W$10,0))</f>
        <v>3.1385131250000002</v>
      </c>
      <c r="J24" s="332">
        <f ca="1">INDEX(OFFSET('Financial stress'!$D$1:$W$1,$D24-1,0),MATCH(J$4,'Financial stress'!$D$10:$W$10,0))</f>
        <v>3.2135912500000003</v>
      </c>
      <c r="K24" s="332">
        <f ca="1">INDEX(OFFSET('Financial stress'!$D$1:$W$1,$D24-1,0),MATCH(K$4,'Financial stress'!$D$10:$W$10,0))</f>
        <v>3.2886693750000004</v>
      </c>
      <c r="L24" s="332">
        <f ca="1">INDEX(OFFSET('Financial stress'!$D$1:$W$1,$D24-1,0),MATCH(L$4,'Financial stress'!$D$10:$W$10,0))</f>
        <v>6.0007095208307444</v>
      </c>
      <c r="M24" s="332">
        <f ca="1">INDEX(OFFSET('Financial stress'!$D$1:$W$1,$D24-1,0),MATCH(M$4,'Financial stress'!$D$10:$W$10,0))</f>
        <v>3.4388256250000002</v>
      </c>
      <c r="N24" s="332">
        <f ca="1">INDEX(OFFSET('Financial stress'!$D$1:$W$1,$D24-1,0),MATCH(N$4,'Financial stress'!$D$10:$W$10,0))</f>
        <v>3.5139037499999999</v>
      </c>
      <c r="O24" s="332">
        <f ca="1">INDEX(OFFSET('Financial stress'!$D$1:$W$1,$D24-1,0),MATCH(O$4,'Financial stress'!$D$10:$W$10,0))</f>
        <v>3.588981875</v>
      </c>
      <c r="P24" s="332">
        <f ca="1">INDEX(OFFSET('Financial stress'!$D$1:$W$1,$D24-1,0),MATCH(P$4,'Financial stress'!$D$10:$W$10,0))</f>
        <v>3.6640600000000001</v>
      </c>
      <c r="Q24" s="332">
        <f ca="1">INDEX(OFFSET('Financial stress'!$D$1:$W$1,$D24-1,0),MATCH(Q$4,'Financial stress'!$D$10:$W$10,0))</f>
        <v>3.680857</v>
      </c>
      <c r="R24" s="332">
        <f ca="1">INDEX(OFFSET('Financial stress'!$D$1:$W$1,$D24-1,0),MATCH(R$4,'Financial stress'!$D$10:$W$10,0))</f>
        <v>3.697654</v>
      </c>
      <c r="S24" s="332">
        <f ca="1">INDEX(OFFSET('Financial stress'!$D$1:$W$1,$D24-1,0),MATCH(S$4,'Financial stress'!$D$10:$W$10,0))</f>
        <v>3.7144509999999999</v>
      </c>
      <c r="T24" s="332">
        <f ca="1">INDEX(OFFSET('Financial stress'!$D$1:$W$1,$D24-1,0),MATCH(T$4,'Financial stress'!$D$10:$W$10,0))</f>
        <v>3.7312479999999999</v>
      </c>
      <c r="U24" s="332">
        <f ca="1">INDEX(OFFSET('Financial stress'!$D$1:$W$1,$D24-1,0),MATCH(U$4,'Financial stress'!$D$10:$W$10,0))</f>
        <v>3.7480450000000003</v>
      </c>
      <c r="V24" s="332">
        <f ca="1">INDEX(OFFSET('Financial stress'!$D$1:$W$1,$D24-1,0),MATCH(V$4,'Financial stress'!$D$10:$W$10,0))</f>
        <v>3.7648420000000002</v>
      </c>
      <c r="W24" s="332">
        <f ca="1">INDEX(OFFSET('Financial stress'!$D$1:$W$1,$D24-1,0),MATCH(W$4,'Financial stress'!$D$10:$W$10,0))</f>
        <v>3.7816390000000002</v>
      </c>
      <c r="X24" s="332">
        <f ca="1">INDEX(OFFSET('Financial stress'!$D$1:$W$1,$D24-1,0),MATCH(X$4,'Financial stress'!$D$10:$W$10,0))</f>
        <v>3.7984360000000001</v>
      </c>
      <c r="Y24" s="271"/>
    </row>
    <row r="25" spans="1:25" x14ac:dyDescent="0.2">
      <c r="A25" s="271"/>
      <c r="B25" s="339">
        <v>3</v>
      </c>
      <c r="C25" s="343" t="s">
        <v>95</v>
      </c>
      <c r="D25" s="344">
        <v>37</v>
      </c>
      <c r="E25" s="345" t="s">
        <v>227</v>
      </c>
      <c r="F25" s="332">
        <f ca="1">INDEX(OFFSET('Financial stress'!$D$1:$W$1,$D25-1,0),MATCH(F$4,'Financial stress'!$D$10:$W$10,0))</f>
        <v>3.43</v>
      </c>
      <c r="G25" s="332">
        <f ca="1">INDEX(OFFSET('Financial stress'!$D$1:$W$1,$D25-1,0),MATCH(G$4,'Financial stress'!$D$10:$W$10,0))</f>
        <v>3.5642079999999998</v>
      </c>
      <c r="H25" s="332">
        <f ca="1">INDEX(OFFSET('Financial stress'!$D$1:$W$1,$D25-1,0),MATCH(H$4,'Financial stress'!$D$10:$W$10,0))</f>
        <v>2.8163749999999999</v>
      </c>
      <c r="I25" s="332">
        <f ca="1">INDEX(OFFSET('Financial stress'!$D$1:$W$1,$D25-1,0),MATCH(I$4,'Financial stress'!$D$10:$W$10,0))</f>
        <v>2.8050893749999997</v>
      </c>
      <c r="J25" s="332">
        <f ca="1">INDEX(OFFSET('Financial stress'!$D$1:$W$1,$D25-1,0),MATCH(J$4,'Financial stress'!$D$10:$W$10,0))</f>
        <v>2.7938037499999995</v>
      </c>
      <c r="K25" s="332">
        <f ca="1">INDEX(OFFSET('Financial stress'!$D$1:$W$1,$D25-1,0),MATCH(K$4,'Financial stress'!$D$10:$W$10,0))</f>
        <v>2.7825181249999993</v>
      </c>
      <c r="L25" s="332">
        <f ca="1">INDEX(OFFSET('Financial stress'!$D$1:$W$1,$D25-1,0),MATCH(L$4,'Financial stress'!$D$10:$W$10,0))</f>
        <v>5.4081945208307438</v>
      </c>
      <c r="M25" s="332">
        <f ca="1">INDEX(OFFSET('Financial stress'!$D$1:$W$1,$D25-1,0),MATCH(M$4,'Financial stress'!$D$10:$W$10,0))</f>
        <v>2.7599468749999998</v>
      </c>
      <c r="N25" s="332">
        <f ca="1">INDEX(OFFSET('Financial stress'!$D$1:$W$1,$D25-1,0),MATCH(N$4,'Financial stress'!$D$10:$W$10,0))</f>
        <v>2.7486612500000001</v>
      </c>
      <c r="O25" s="332">
        <f ca="1">INDEX(OFFSET('Financial stress'!$D$1:$W$1,$D25-1,0),MATCH(O$4,'Financial stress'!$D$10:$W$10,0))</f>
        <v>2.7373756250000003</v>
      </c>
      <c r="P25" s="332">
        <f ca="1">INDEX(OFFSET('Financial stress'!$D$1:$W$1,$D25-1,0),MATCH(P$4,'Financial stress'!$D$10:$W$10,0))</f>
        <v>2.7260900000000001</v>
      </c>
      <c r="Q25" s="332">
        <f ca="1">INDEX(OFFSET('Financial stress'!$D$1:$W$1,$D25-1,0),MATCH(Q$4,'Financial stress'!$D$10:$W$10,0))</f>
        <v>2.6897855000000002</v>
      </c>
      <c r="R25" s="332">
        <f ca="1">INDEX(OFFSET('Financial stress'!$D$1:$W$1,$D25-1,0),MATCH(R$4,'Financial stress'!$D$10:$W$10,0))</f>
        <v>2.6534810000000002</v>
      </c>
      <c r="S25" s="332">
        <f ca="1">INDEX(OFFSET('Financial stress'!$D$1:$W$1,$D25-1,0),MATCH(S$4,'Financial stress'!$D$10:$W$10,0))</f>
        <v>2.6171765000000002</v>
      </c>
      <c r="T25" s="332">
        <f ca="1">INDEX(OFFSET('Financial stress'!$D$1:$W$1,$D25-1,0),MATCH(T$4,'Financial stress'!$D$10:$W$10,0))</f>
        <v>2.5808720000000003</v>
      </c>
      <c r="U25" s="332">
        <f ca="1">INDEX(OFFSET('Financial stress'!$D$1:$W$1,$D25-1,0),MATCH(U$4,'Financial stress'!$D$10:$W$10,0))</f>
        <v>2.5445675000000003</v>
      </c>
      <c r="V25" s="332">
        <f ca="1">INDEX(OFFSET('Financial stress'!$D$1:$W$1,$D25-1,0),MATCH(V$4,'Financial stress'!$D$10:$W$10,0))</f>
        <v>2.5082629999999999</v>
      </c>
      <c r="W25" s="332">
        <f ca="1">INDEX(OFFSET('Financial stress'!$D$1:$W$1,$D25-1,0),MATCH(W$4,'Financial stress'!$D$10:$W$10,0))</f>
        <v>2.4719584999999999</v>
      </c>
      <c r="X25" s="332">
        <f ca="1">INDEX(OFFSET('Financial stress'!$D$1:$W$1,$D25-1,0),MATCH(X$4,'Financial stress'!$D$10:$W$10,0))</f>
        <v>2.435654</v>
      </c>
      <c r="Y25" s="271"/>
    </row>
    <row r="26" spans="1:25" x14ac:dyDescent="0.2">
      <c r="A26" s="271"/>
      <c r="B26" s="339"/>
      <c r="C26" s="337" t="s">
        <v>27</v>
      </c>
      <c r="D26" s="337"/>
      <c r="E26" s="341">
        <f>F26-1</f>
        <v>2022</v>
      </c>
      <c r="F26" s="342">
        <f>'Input data'!$C$5-1</f>
        <v>2023</v>
      </c>
      <c r="G26" s="342">
        <f>F26+1</f>
        <v>2024</v>
      </c>
      <c r="H26" s="342">
        <f t="shared" ref="H26:X26" si="2">G26+1</f>
        <v>2025</v>
      </c>
      <c r="I26" s="342">
        <f t="shared" si="2"/>
        <v>2026</v>
      </c>
      <c r="J26" s="342">
        <f t="shared" si="2"/>
        <v>2027</v>
      </c>
      <c r="K26" s="342">
        <f t="shared" si="2"/>
        <v>2028</v>
      </c>
      <c r="L26" s="342">
        <f t="shared" si="2"/>
        <v>2029</v>
      </c>
      <c r="M26" s="342">
        <f t="shared" si="2"/>
        <v>2030</v>
      </c>
      <c r="N26" s="342">
        <f t="shared" si="2"/>
        <v>2031</v>
      </c>
      <c r="O26" s="342">
        <f t="shared" si="2"/>
        <v>2032</v>
      </c>
      <c r="P26" s="342">
        <f t="shared" si="2"/>
        <v>2033</v>
      </c>
      <c r="Q26" s="342">
        <f t="shared" si="2"/>
        <v>2034</v>
      </c>
      <c r="R26" s="342">
        <f t="shared" si="2"/>
        <v>2035</v>
      </c>
      <c r="S26" s="342">
        <f t="shared" si="2"/>
        <v>2036</v>
      </c>
      <c r="T26" s="342">
        <f t="shared" si="2"/>
        <v>2037</v>
      </c>
      <c r="U26" s="342">
        <f t="shared" si="2"/>
        <v>2038</v>
      </c>
      <c r="V26" s="342">
        <f t="shared" si="2"/>
        <v>2039</v>
      </c>
      <c r="W26" s="342">
        <f t="shared" si="2"/>
        <v>2040</v>
      </c>
      <c r="X26" s="342">
        <f t="shared" si="2"/>
        <v>2041</v>
      </c>
      <c r="Y26" s="271"/>
    </row>
    <row r="27" spans="1:25" x14ac:dyDescent="0.2">
      <c r="A27" s="271"/>
      <c r="B27" s="339">
        <v>4</v>
      </c>
      <c r="C27" s="343" t="s">
        <v>220</v>
      </c>
      <c r="D27" s="344">
        <v>56</v>
      </c>
      <c r="E27" s="345" t="s">
        <v>221</v>
      </c>
      <c r="F27" s="332">
        <f ca="1">INDEX(OFFSET('Lower SPB'!$D$1:$W$1,$D27-1,0),MATCH(F$4,'Lower SPB'!$D$10:$W$10,0))</f>
        <v>110.64326790048331</v>
      </c>
      <c r="G27" s="332">
        <f ca="1">INDEX(OFFSET('Lower SPB'!$D$1:$W$1,$D27-1,0),MATCH(G$4,'Lower SPB'!$D$10:$W$10,0))</f>
        <v>112.40882173205914</v>
      </c>
      <c r="H27" s="332">
        <f ca="1">INDEX(OFFSET('Lower SPB'!$D$1:$W$1,$D27-1,0),MATCH(H$4,'Lower SPB'!$D$10:$W$10,0))</f>
        <v>113.96873574495558</v>
      </c>
      <c r="I27" s="332">
        <f ca="1">INDEX(OFFSET('Lower SPB'!$D$1:$W$1,$D27-1,0),MATCH(I$4,'Lower SPB'!$D$10:$W$10,0))</f>
        <v>115.77838065922458</v>
      </c>
      <c r="J27" s="332">
        <f ca="1">INDEX(OFFSET('Lower SPB'!$D$1:$W$1,$D27-1,0),MATCH(J$4,'Lower SPB'!$D$10:$W$10,0))</f>
        <v>116.92117165766111</v>
      </c>
      <c r="K27" s="332">
        <f ca="1">INDEX(OFFSET('Lower SPB'!$D$1:$W$1,$D27-1,0),MATCH(K$4,'Lower SPB'!$D$10:$W$10,0))</f>
        <v>117.28270034717907</v>
      </c>
      <c r="L27" s="332">
        <f ca="1">INDEX(OFFSET('Lower SPB'!$D$1:$W$1,$D27-1,0),MATCH(L$4,'Lower SPB'!$D$10:$W$10,0))</f>
        <v>116.31208203663418</v>
      </c>
      <c r="M27" s="332">
        <f ca="1">INDEX(OFFSET('Lower SPB'!$D$1:$W$1,$D27-1,0),MATCH(M$4,'Lower SPB'!$D$10:$W$10,0))</f>
        <v>115.57824792862905</v>
      </c>
      <c r="N27" s="332">
        <f ca="1">INDEX(OFFSET('Lower SPB'!$D$1:$W$1,$D27-1,0),MATCH(N$4,'Lower SPB'!$D$10:$W$10,0))</f>
        <v>115.14633548639341</v>
      </c>
      <c r="O27" s="332">
        <f ca="1">INDEX(OFFSET('Lower SPB'!$D$1:$W$1,$D27-1,0),MATCH(O$4,'Lower SPB'!$D$10:$W$10,0))</f>
        <v>114.61716955872717</v>
      </c>
      <c r="P27" s="332">
        <f ca="1">INDEX(OFFSET('Lower SPB'!$D$1:$W$1,$D27-1,0),MATCH(P$4,'Lower SPB'!$D$10:$W$10,0))</f>
        <v>114.0775208397134</v>
      </c>
      <c r="Q27" s="332">
        <f ca="1">INDEX(OFFSET('Lower SPB'!$D$1:$W$1,$D27-1,0),MATCH(Q$4,'Lower SPB'!$D$10:$W$10,0))</f>
        <v>113.64419641615282</v>
      </c>
      <c r="R27" s="332">
        <f ca="1">INDEX(OFFSET('Lower SPB'!$D$1:$W$1,$D27-1,0),MATCH(R$4,'Lower SPB'!$D$10:$W$10,0))</f>
        <v>113.10226123468946</v>
      </c>
      <c r="S27" s="332">
        <f ca="1">INDEX(OFFSET('Lower SPB'!$D$1:$W$1,$D27-1,0),MATCH(S$4,'Lower SPB'!$D$10:$W$10,0))</f>
        <v>112.45126497930812</v>
      </c>
      <c r="T27" s="332">
        <f ca="1">INDEX(OFFSET('Lower SPB'!$D$1:$W$1,$D27-1,0),MATCH(T$4,'Lower SPB'!$D$10:$W$10,0))</f>
        <v>111.78131589712815</v>
      </c>
      <c r="U27" s="332">
        <f ca="1">INDEX(OFFSET('Lower SPB'!$D$1:$W$1,$D27-1,0),MATCH(U$4,'Lower SPB'!$D$10:$W$10,0))</f>
        <v>111.05419154020396</v>
      </c>
      <c r="V27" s="332">
        <f ca="1">INDEX(OFFSET('Lower SPB'!$D$1:$W$1,$D27-1,0),MATCH(V$4,'Lower SPB'!$D$10:$W$10,0))</f>
        <v>110.24012856758301</v>
      </c>
      <c r="W27" s="332">
        <f ca="1">INDEX(OFFSET('Lower SPB'!$D$1:$W$1,$D27-1,0),MATCH(W$4,'Lower SPB'!$D$10:$W$10,0))</f>
        <v>109.29405440237049</v>
      </c>
      <c r="X27" s="332">
        <f ca="1">INDEX(OFFSET('Lower SPB'!$D$1:$W$1,$D27-1,0),MATCH(X$4,'Lower SPB'!$D$10:$W$10,0))</f>
        <v>108.43095739236938</v>
      </c>
      <c r="Y27" s="271"/>
    </row>
    <row r="28" spans="1:25" x14ac:dyDescent="0.2">
      <c r="A28" s="271"/>
      <c r="B28" s="339">
        <v>5</v>
      </c>
      <c r="C28" s="343" t="s">
        <v>40</v>
      </c>
      <c r="D28" s="344">
        <v>12</v>
      </c>
      <c r="E28" s="345" t="s">
        <v>223</v>
      </c>
      <c r="F28" s="332">
        <f ca="1">INDEX(OFFSET('Lower SPB'!$D$1:$W$1,$D28-1,0),MATCH(F$4,'Lower SPB'!$D$10:$W$10,0))</f>
        <v>-3.6529590000000001</v>
      </c>
      <c r="G28" s="332">
        <f ca="1">INDEX(OFFSET('Lower SPB'!$D$1:$W$1,$D28-1,0),MATCH(G$4,'Lower SPB'!$D$10:$W$10,0))</f>
        <v>-2.968391</v>
      </c>
      <c r="H28" s="332">
        <f ca="1">INDEX(OFFSET('Lower SPB'!$D$1:$W$1,$D28-1,0),MATCH(H$4,'Lower SPB'!$D$10:$W$10,0))</f>
        <v>-2.0283910000000001</v>
      </c>
      <c r="I28" s="332">
        <f ca="1">INDEX(OFFSET('Lower SPB'!$D$1:$W$1,$D28-1,0),MATCH(I$4,'Lower SPB'!$D$10:$W$10,0))</f>
        <v>-1.0883910000000001</v>
      </c>
      <c r="J28" s="332">
        <f ca="1">INDEX(OFFSET('Lower SPB'!$D$1:$W$1,$D28-1,0),MATCH(J$4,'Lower SPB'!$D$10:$W$10,0))</f>
        <v>-0.14839100000000016</v>
      </c>
      <c r="K28" s="332">
        <f ca="1">INDEX(OFFSET('Lower SPB'!$D$1:$W$1,$D28-1,0),MATCH(K$4,'Lower SPB'!$D$10:$W$10,0))</f>
        <v>0.79160899999999979</v>
      </c>
      <c r="L28" s="332">
        <f ca="1">INDEX(OFFSET('Lower SPB'!$D$1:$W$1,$D28-1,0),MATCH(L$4,'Lower SPB'!$D$10:$W$10,0))</f>
        <v>0.54160899999999979</v>
      </c>
      <c r="M28" s="332">
        <f ca="1">INDEX(OFFSET('Lower SPB'!$D$1:$W$1,$D28-1,0),MATCH(M$4,'Lower SPB'!$D$10:$W$10,0))</f>
        <v>0.29160899999999979</v>
      </c>
      <c r="N28" s="332">
        <f ca="1">INDEX(OFFSET('Lower SPB'!$D$1:$W$1,$D28-1,0),MATCH(N$4,'Lower SPB'!$D$10:$W$10,0))</f>
        <v>0.29160899999999979</v>
      </c>
      <c r="O28" s="332">
        <f ca="1">INDEX(OFFSET('Lower SPB'!$D$1:$W$1,$D28-1,0),MATCH(O$4,'Lower SPB'!$D$10:$W$10,0))</f>
        <v>0.29160899999999979</v>
      </c>
      <c r="P28" s="332">
        <f ca="1">INDEX(OFFSET('Lower SPB'!$D$1:$W$1,$D28-1,0),MATCH(P$4,'Lower SPB'!$D$10:$W$10,0))</f>
        <v>0.29160899999999979</v>
      </c>
      <c r="Q28" s="332">
        <f ca="1">INDEX(OFFSET('Lower SPB'!$D$1:$W$1,$D28-1,0),MATCH(Q$4,'Lower SPB'!$D$10:$W$10,0))</f>
        <v>0.29160899999999979</v>
      </c>
      <c r="R28" s="332">
        <f ca="1">INDEX(OFFSET('Lower SPB'!$D$1:$W$1,$D28-1,0),MATCH(R$4,'Lower SPB'!$D$10:$W$10,0))</f>
        <v>0.29160899999999979</v>
      </c>
      <c r="S28" s="332">
        <f ca="1">INDEX(OFFSET('Lower SPB'!$D$1:$W$1,$D28-1,0),MATCH(S$4,'Lower SPB'!$D$10:$W$10,0))</f>
        <v>0.29160899999999979</v>
      </c>
      <c r="T28" s="332">
        <f ca="1">INDEX(OFFSET('Lower SPB'!$D$1:$W$1,$D28-1,0),MATCH(T$4,'Lower SPB'!$D$10:$W$10,0))</f>
        <v>0.29160899999999979</v>
      </c>
      <c r="U28" s="332">
        <f ca="1">INDEX(OFFSET('Lower SPB'!$D$1:$W$1,$D28-1,0),MATCH(U$4,'Lower SPB'!$D$10:$W$10,0))</f>
        <v>0.29160899999999979</v>
      </c>
      <c r="V28" s="332">
        <f ca="1">INDEX(OFFSET('Lower SPB'!$D$1:$W$1,$D28-1,0),MATCH(V$4,'Lower SPB'!$D$10:$W$10,0))</f>
        <v>0.29160899999999979</v>
      </c>
      <c r="W28" s="332">
        <f ca="1">INDEX(OFFSET('Lower SPB'!$D$1:$W$1,$D28-1,0),MATCH(W$4,'Lower SPB'!$D$10:$W$10,0))</f>
        <v>0.29160899999999979</v>
      </c>
      <c r="X28" s="332">
        <f ca="1">INDEX(OFFSET('Lower SPB'!$D$1:$W$1,$D28-1,0),MATCH(X$4,'Lower SPB'!$D$10:$W$10,0))</f>
        <v>0.29160899999999979</v>
      </c>
      <c r="Y28" s="271"/>
    </row>
    <row r="29" spans="1:25" x14ac:dyDescent="0.2">
      <c r="A29" s="271"/>
      <c r="B29" s="339"/>
      <c r="C29" s="337" t="s">
        <v>235</v>
      </c>
      <c r="D29" s="337"/>
      <c r="E29" s="341">
        <f>F29-1</f>
        <v>2022</v>
      </c>
      <c r="F29" s="342">
        <f>'Input data'!$C$5-1</f>
        <v>2023</v>
      </c>
      <c r="G29" s="342">
        <f>F29+1</f>
        <v>2024</v>
      </c>
      <c r="H29" s="342">
        <f t="shared" ref="H29:X29" si="3">G29+1</f>
        <v>2025</v>
      </c>
      <c r="I29" s="342">
        <f t="shared" si="3"/>
        <v>2026</v>
      </c>
      <c r="J29" s="342">
        <f t="shared" si="3"/>
        <v>2027</v>
      </c>
      <c r="K29" s="342">
        <f t="shared" si="3"/>
        <v>2028</v>
      </c>
      <c r="L29" s="342">
        <f t="shared" si="3"/>
        <v>2029</v>
      </c>
      <c r="M29" s="342">
        <f t="shared" si="3"/>
        <v>2030</v>
      </c>
      <c r="N29" s="342">
        <f t="shared" si="3"/>
        <v>2031</v>
      </c>
      <c r="O29" s="342">
        <f t="shared" si="3"/>
        <v>2032</v>
      </c>
      <c r="P29" s="342">
        <f t="shared" si="3"/>
        <v>2033</v>
      </c>
      <c r="Q29" s="342">
        <f t="shared" si="3"/>
        <v>2034</v>
      </c>
      <c r="R29" s="342">
        <f t="shared" si="3"/>
        <v>2035</v>
      </c>
      <c r="S29" s="342">
        <f t="shared" si="3"/>
        <v>2036</v>
      </c>
      <c r="T29" s="342">
        <f t="shared" si="3"/>
        <v>2037</v>
      </c>
      <c r="U29" s="342">
        <f t="shared" si="3"/>
        <v>2038</v>
      </c>
      <c r="V29" s="342">
        <f t="shared" si="3"/>
        <v>2039</v>
      </c>
      <c r="W29" s="342">
        <f t="shared" si="3"/>
        <v>2040</v>
      </c>
      <c r="X29" s="342">
        <f t="shared" si="3"/>
        <v>2041</v>
      </c>
      <c r="Y29" s="271"/>
    </row>
    <row r="30" spans="1:25" x14ac:dyDescent="0.2">
      <c r="A30" s="271"/>
      <c r="B30" s="339">
        <v>6</v>
      </c>
      <c r="C30" s="343" t="s">
        <v>220</v>
      </c>
      <c r="D30" s="344">
        <v>57</v>
      </c>
      <c r="E30" s="345" t="s">
        <v>221</v>
      </c>
      <c r="F30" s="332">
        <f ca="1">INDEX(OFFSET('Adverse (r-g)'!$D$1:$W$1,$D30-1,0),MATCH(F$4,'Adverse (r-g)'!$D$10:$W$10,0))</f>
        <v>110.64326790048331</v>
      </c>
      <c r="G30" s="332">
        <f ca="1">INDEX(OFFSET('Adverse (r-g)'!$D$1:$W$1,$D30-1,0),MATCH(G$4,'Adverse (r-g)'!$D$10:$W$10,0))</f>
        <v>112.40882173205914</v>
      </c>
      <c r="H30" s="332">
        <f ca="1">INDEX(OFFSET('Adverse (r-g)'!$D$1:$W$1,$D30-1,0),MATCH(H$4,'Adverse (r-g)'!$D$10:$W$10,0))</f>
        <v>113.96873574495558</v>
      </c>
      <c r="I30" s="332">
        <f ca="1">INDEX(OFFSET('Adverse (r-g)'!$D$1:$W$1,$D30-1,0),MATCH(I$4,'Adverse (r-g)'!$D$10:$W$10,0))</f>
        <v>115.77838065922458</v>
      </c>
      <c r="J30" s="332">
        <f ca="1">INDEX(OFFSET('Adverse (r-g)'!$D$1:$W$1,$D30-1,0),MATCH(J$4,'Adverse (r-g)'!$D$10:$W$10,0))</f>
        <v>116.92117165766111</v>
      </c>
      <c r="K30" s="332">
        <f ca="1">INDEX(OFFSET('Adverse (r-g)'!$D$1:$W$1,$D30-1,0),MATCH(K$4,'Adverse (r-g)'!$D$10:$W$10,0))</f>
        <v>117.28270034717907</v>
      </c>
      <c r="L30" s="332">
        <f ca="1">INDEX(OFFSET('Adverse (r-g)'!$D$1:$W$1,$D30-1,0),MATCH(L$4,'Adverse (r-g)'!$D$10:$W$10,0))</f>
        <v>117.09056829830405</v>
      </c>
      <c r="M30" s="332">
        <f ca="1">INDEX(OFFSET('Adverse (r-g)'!$D$1:$W$1,$D30-1,0),MATCH(M$4,'Adverse (r-g)'!$D$10:$W$10,0))</f>
        <v>116.60769525097173</v>
      </c>
      <c r="N30" s="332">
        <f ca="1">INDEX(OFFSET('Adverse (r-g)'!$D$1:$W$1,$D30-1,0),MATCH(N$4,'Adverse (r-g)'!$D$10:$W$10,0))</f>
        <v>115.80903403390623</v>
      </c>
      <c r="O30" s="332">
        <f ca="1">INDEX(OFFSET('Adverse (r-g)'!$D$1:$W$1,$D30-1,0),MATCH(O$4,'Adverse (r-g)'!$D$10:$W$10,0))</f>
        <v>115.66423827980024</v>
      </c>
      <c r="P30" s="332">
        <f ca="1">INDEX(OFFSET('Adverse (r-g)'!$D$1:$W$1,$D30-1,0),MATCH(P$4,'Adverse (r-g)'!$D$10:$W$10,0))</f>
        <v>115.62645158743351</v>
      </c>
      <c r="Q30" s="332">
        <f ca="1">INDEX(OFFSET('Adverse (r-g)'!$D$1:$W$1,$D30-1,0),MATCH(Q$4,'Adverse (r-g)'!$D$10:$W$10,0))</f>
        <v>115.56251168464756</v>
      </c>
      <c r="R30" s="332">
        <f ca="1">INDEX(OFFSET('Adverse (r-g)'!$D$1:$W$1,$D30-1,0),MATCH(R$4,'Adverse (r-g)'!$D$10:$W$10,0))</f>
        <v>115.41253515829877</v>
      </c>
      <c r="S30" s="332">
        <f ca="1">INDEX(OFFSET('Adverse (r-g)'!$D$1:$W$1,$D30-1,0),MATCH(S$4,'Adverse (r-g)'!$D$10:$W$10,0))</f>
        <v>115.17187293857734</v>
      </c>
      <c r="T30" s="332">
        <f ca="1">INDEX(OFFSET('Adverse (r-g)'!$D$1:$W$1,$D30-1,0),MATCH(T$4,'Adverse (r-g)'!$D$10:$W$10,0))</f>
        <v>114.92985370663779</v>
      </c>
      <c r="U30" s="332">
        <f ca="1">INDEX(OFFSET('Adverse (r-g)'!$D$1:$W$1,$D30-1,0),MATCH(U$4,'Adverse (r-g)'!$D$10:$W$10,0))</f>
        <v>114.64418775613586</v>
      </c>
      <c r="V30" s="332">
        <f ca="1">INDEX(OFFSET('Adverse (r-g)'!$D$1:$W$1,$D30-1,0),MATCH(V$4,'Adverse (r-g)'!$D$10:$W$10,0))</f>
        <v>114.28093289394494</v>
      </c>
      <c r="W30" s="332">
        <f ca="1">INDEX(OFFSET('Adverse (r-g)'!$D$1:$W$1,$D30-1,0),MATCH(W$4,'Adverse (r-g)'!$D$10:$W$10,0))</f>
        <v>113.78994570936335</v>
      </c>
      <c r="X30" s="332">
        <f ca="1">INDEX(OFFSET('Adverse (r-g)'!$D$1:$W$1,$D30-1,0),MATCH(X$4,'Adverse (r-g)'!$D$10:$W$10,0))</f>
        <v>113.39117430763959</v>
      </c>
      <c r="Y30" s="271"/>
    </row>
    <row r="31" spans="1:25" x14ac:dyDescent="0.2">
      <c r="A31" s="271"/>
      <c r="B31" s="339">
        <v>7</v>
      </c>
      <c r="C31" s="343" t="s">
        <v>94</v>
      </c>
      <c r="D31" s="344">
        <v>37</v>
      </c>
      <c r="E31" s="345" t="s">
        <v>227</v>
      </c>
      <c r="F31" s="332">
        <f ca="1">INDEX(OFFSET('Adverse (r-g)'!$D$1:$W$1,$D31-1,0),MATCH(F$4,'Adverse (r-g)'!$D$10:$W$10,0))</f>
        <v>2.99</v>
      </c>
      <c r="G31" s="332">
        <f ca="1">INDEX(OFFSET('Adverse (r-g)'!$D$1:$W$1,$D31-1,0),MATCH(G$4,'Adverse (r-g)'!$D$10:$W$10,0))</f>
        <v>2.964537</v>
      </c>
      <c r="H31" s="332">
        <f ca="1">INDEX(OFFSET('Adverse (r-g)'!$D$1:$W$1,$D31-1,0),MATCH(H$4,'Adverse (r-g)'!$D$10:$W$10,0))</f>
        <v>3.0634350000000001</v>
      </c>
      <c r="I31" s="332">
        <f ca="1">INDEX(OFFSET('Adverse (r-g)'!$D$1:$W$1,$D31-1,0),MATCH(I$4,'Adverse (r-g)'!$D$10:$W$10,0))</f>
        <v>3.1385131250000002</v>
      </c>
      <c r="J31" s="332">
        <f ca="1">INDEX(OFFSET('Adverse (r-g)'!$D$1:$W$1,$D31-1,0),MATCH(J$4,'Adverse (r-g)'!$D$10:$W$10,0))</f>
        <v>3.2135912500000003</v>
      </c>
      <c r="K31" s="332">
        <f ca="1">INDEX(OFFSET('Adverse (r-g)'!$D$1:$W$1,$D31-1,0),MATCH(K$4,'Adverse (r-g)'!$D$10:$W$10,0))</f>
        <v>3.288669375</v>
      </c>
      <c r="L31" s="332">
        <f ca="1">INDEX(OFFSET('Adverse (r-g)'!$D$1:$W$1,$D31-1,0),MATCH(L$4,'Adverse (r-g)'!$D$10:$W$10,0))</f>
        <v>3.8637475000000001</v>
      </c>
      <c r="M31" s="332">
        <f ca="1">INDEX(OFFSET('Adverse (r-g)'!$D$1:$W$1,$D31-1,0),MATCH(M$4,'Adverse (r-g)'!$D$10:$W$10,0))</f>
        <v>3.9388256250000002</v>
      </c>
      <c r="N31" s="332">
        <f ca="1">INDEX(OFFSET('Adverse (r-g)'!$D$1:$W$1,$D31-1,0),MATCH(N$4,'Adverse (r-g)'!$D$10:$W$10,0))</f>
        <v>4.0139037499999999</v>
      </c>
      <c r="O31" s="332">
        <f ca="1">INDEX(OFFSET('Adverse (r-g)'!$D$1:$W$1,$D31-1,0),MATCH(O$4,'Adverse (r-g)'!$D$10:$W$10,0))</f>
        <v>4.088981875</v>
      </c>
      <c r="P31" s="332">
        <f ca="1">INDEX(OFFSET('Adverse (r-g)'!$D$1:$W$1,$D31-1,0),MATCH(P$4,'Adverse (r-g)'!$D$10:$W$10,0))</f>
        <v>4.1640600000000001</v>
      </c>
      <c r="Q31" s="332">
        <f ca="1">INDEX(OFFSET('Adverse (r-g)'!$D$1:$W$1,$D31-1,0),MATCH(Q$4,'Adverse (r-g)'!$D$10:$W$10,0))</f>
        <v>4.1808569999999996</v>
      </c>
      <c r="R31" s="332">
        <f ca="1">INDEX(OFFSET('Adverse (r-g)'!$D$1:$W$1,$D31-1,0),MATCH(R$4,'Adverse (r-g)'!$D$10:$W$10,0))</f>
        <v>4.197654</v>
      </c>
      <c r="S31" s="332">
        <f ca="1">INDEX(OFFSET('Adverse (r-g)'!$D$1:$W$1,$D31-1,0),MATCH(S$4,'Adverse (r-g)'!$D$10:$W$10,0))</f>
        <v>4.2144510000000004</v>
      </c>
      <c r="T31" s="332">
        <f ca="1">INDEX(OFFSET('Adverse (r-g)'!$D$1:$W$1,$D31-1,0),MATCH(T$4,'Adverse (r-g)'!$D$10:$W$10,0))</f>
        <v>4.2312479999999999</v>
      </c>
      <c r="U31" s="332">
        <f ca="1">INDEX(OFFSET('Adverse (r-g)'!$D$1:$W$1,$D31-1,0),MATCH(U$4,'Adverse (r-g)'!$D$10:$W$10,0))</f>
        <v>4.2480450000000003</v>
      </c>
      <c r="V31" s="332">
        <f ca="1">INDEX(OFFSET('Adverse (r-g)'!$D$1:$W$1,$D31-1,0),MATCH(V$4,'Adverse (r-g)'!$D$10:$W$10,0))</f>
        <v>4.2648419999999998</v>
      </c>
      <c r="W31" s="332">
        <f ca="1">INDEX(OFFSET('Adverse (r-g)'!$D$1:$W$1,$D31-1,0),MATCH(W$4,'Adverse (r-g)'!$D$10:$W$10,0))</f>
        <v>4.2816390000000002</v>
      </c>
      <c r="X31" s="332">
        <f ca="1">INDEX(OFFSET('Adverse (r-g)'!$D$1:$W$1,$D31-1,0),MATCH(X$4,'Adverse (r-g)'!$D$10:$W$10,0))</f>
        <v>4.2984360000000006</v>
      </c>
      <c r="Y31" s="271"/>
    </row>
    <row r="32" spans="1:25" x14ac:dyDescent="0.2">
      <c r="A32" s="271"/>
      <c r="B32" s="339">
        <v>8</v>
      </c>
      <c r="C32" s="343" t="s">
        <v>95</v>
      </c>
      <c r="D32" s="344">
        <v>38</v>
      </c>
      <c r="E32" s="345" t="s">
        <v>227</v>
      </c>
      <c r="F32" s="332">
        <f ca="1">INDEX(OFFSET('Adverse (r-g)'!$D$1:$W$1,$D32-1,0),MATCH(F$4,'Adverse (r-g)'!$D$10:$W$10,0))</f>
        <v>3.43</v>
      </c>
      <c r="G32" s="332">
        <f ca="1">INDEX(OFFSET('Adverse (r-g)'!$D$1:$W$1,$D32-1,0),MATCH(G$4,'Adverse (r-g)'!$D$10:$W$10,0))</f>
        <v>3.5642079999999998</v>
      </c>
      <c r="H32" s="332">
        <f ca="1">INDEX(OFFSET('Adverse (r-g)'!$D$1:$W$1,$D32-1,0),MATCH(H$4,'Adverse (r-g)'!$D$10:$W$10,0))</f>
        <v>2.8163749999999999</v>
      </c>
      <c r="I32" s="332">
        <f ca="1">INDEX(OFFSET('Adverse (r-g)'!$D$1:$W$1,$D32-1,0),MATCH(I$4,'Adverse (r-g)'!$D$10:$W$10,0))</f>
        <v>2.8050893749999997</v>
      </c>
      <c r="J32" s="332">
        <f ca="1">INDEX(OFFSET('Adverse (r-g)'!$D$1:$W$1,$D32-1,0),MATCH(J$4,'Adverse (r-g)'!$D$10:$W$10,0))</f>
        <v>2.7938037499999999</v>
      </c>
      <c r="K32" s="332">
        <f ca="1">INDEX(OFFSET('Adverse (r-g)'!$D$1:$W$1,$D32-1,0),MATCH(K$4,'Adverse (r-g)'!$D$10:$W$10,0))</f>
        <v>2.7825181250000002</v>
      </c>
      <c r="L32" s="332">
        <f ca="1">INDEX(OFFSET('Adverse (r-g)'!$D$1:$W$1,$D32-1,0),MATCH(L$4,'Adverse (r-g)'!$D$10:$W$10,0))</f>
        <v>3.2712325</v>
      </c>
      <c r="M32" s="332">
        <f ca="1">INDEX(OFFSET('Adverse (r-g)'!$D$1:$W$1,$D32-1,0),MATCH(M$4,'Adverse (r-g)'!$D$10:$W$10,0))</f>
        <v>3.2599468749999998</v>
      </c>
      <c r="N32" s="332">
        <f ca="1">INDEX(OFFSET('Adverse (r-g)'!$D$1:$W$1,$D32-1,0),MATCH(N$4,'Adverse (r-g)'!$D$10:$W$10,0))</f>
        <v>3.2486612500000001</v>
      </c>
      <c r="O32" s="332">
        <f ca="1">INDEX(OFFSET('Adverse (r-g)'!$D$1:$W$1,$D32-1,0),MATCH(O$4,'Adverse (r-g)'!$D$10:$W$10,0))</f>
        <v>3.2373756250000003</v>
      </c>
      <c r="P32" s="332">
        <f ca="1">INDEX(OFFSET('Adverse (r-g)'!$D$1:$W$1,$D32-1,0),MATCH(P$4,'Adverse (r-g)'!$D$10:$W$10,0))</f>
        <v>3.2260900000000001</v>
      </c>
      <c r="Q32" s="332">
        <f ca="1">INDEX(OFFSET('Adverse (r-g)'!$D$1:$W$1,$D32-1,0),MATCH(Q$4,'Adverse (r-g)'!$D$10:$W$10,0))</f>
        <v>3.1897855000000002</v>
      </c>
      <c r="R32" s="332">
        <f ca="1">INDEX(OFFSET('Adverse (r-g)'!$D$1:$W$1,$D32-1,0),MATCH(R$4,'Adverse (r-g)'!$D$10:$W$10,0))</f>
        <v>3.1534810000000002</v>
      </c>
      <c r="S32" s="332">
        <f ca="1">INDEX(OFFSET('Adverse (r-g)'!$D$1:$W$1,$D32-1,0),MATCH(S$4,'Adverse (r-g)'!$D$10:$W$10,0))</f>
        <v>3.1171765000000002</v>
      </c>
      <c r="T32" s="332">
        <f ca="1">INDEX(OFFSET('Adverse (r-g)'!$D$1:$W$1,$D32-1,0),MATCH(T$4,'Adverse (r-g)'!$D$10:$W$10,0))</f>
        <v>3.0808720000000003</v>
      </c>
      <c r="U32" s="332">
        <f ca="1">INDEX(OFFSET('Adverse (r-g)'!$D$1:$W$1,$D32-1,0),MATCH(U$4,'Adverse (r-g)'!$D$10:$W$10,0))</f>
        <v>3.0445675000000003</v>
      </c>
      <c r="V32" s="332">
        <f ca="1">INDEX(OFFSET('Adverse (r-g)'!$D$1:$W$1,$D32-1,0),MATCH(V$4,'Adverse (r-g)'!$D$10:$W$10,0))</f>
        <v>3.0082629999999999</v>
      </c>
      <c r="W32" s="332">
        <f ca="1">INDEX(OFFSET('Adverse (r-g)'!$D$1:$W$1,$D32-1,0),MATCH(W$4,'Adverse (r-g)'!$D$10:$W$10,0))</f>
        <v>2.9719584999999999</v>
      </c>
      <c r="X32" s="332">
        <f ca="1">INDEX(OFFSET('Adverse (r-g)'!$D$1:$W$1,$D32-1,0),MATCH(X$4,'Adverse (r-g)'!$D$10:$W$10,0))</f>
        <v>2.935654</v>
      </c>
      <c r="Y32" s="271"/>
    </row>
    <row r="33" spans="1:25" x14ac:dyDescent="0.2">
      <c r="A33" s="271"/>
      <c r="B33" s="339">
        <v>9</v>
      </c>
      <c r="C33" s="335" t="s">
        <v>231</v>
      </c>
      <c r="D33" s="344">
        <v>23</v>
      </c>
      <c r="E33" s="345" t="s">
        <v>230</v>
      </c>
      <c r="F33" s="332">
        <f ca="1">INDEX(OFFSET('Adverse (r-g)'!$D$1:$W$1,$D33-1,0),MATCH(F$4,'Adverse (r-g)'!$D$10:$W$10,0))</f>
        <v>0.70371840000000851</v>
      </c>
      <c r="G33" s="332">
        <f ca="1">INDEX(OFFSET('Adverse (r-g)'!$D$1:$W$1,$D33-1,0),MATCH(G$4,'Adverse (r-g)'!$D$10:$W$10,0))</f>
        <v>0.72849040000000365</v>
      </c>
      <c r="H33" s="332">
        <f ca="1">INDEX(OFFSET('Adverse (r-g)'!$D$1:$W$1,$D33-1,0),MATCH(H$4,'Adverse (r-g)'!$D$10:$W$10,0))</f>
        <v>0.88990200000000907</v>
      </c>
      <c r="I33" s="332">
        <f ca="1">INDEX(OFFSET('Adverse (r-g)'!$D$1:$W$1,$D33-1,0),MATCH(I$4,'Adverse (r-g)'!$D$10:$W$10,0))</f>
        <v>0.10716422429482009</v>
      </c>
      <c r="J33" s="332">
        <f ca="1">INDEX(OFFSET('Adverse (r-g)'!$D$1:$W$1,$D33-1,0),MATCH(J$4,'Adverse (r-g)'!$D$10:$W$10,0))</f>
        <v>9.6233022090608245E-2</v>
      </c>
      <c r="K33" s="332">
        <f ca="1">INDEX(OFFSET('Adverse (r-g)'!$D$1:$W$1,$D33-1,0),MATCH(K$4,'Adverse (r-g)'!$D$10:$W$10,0))</f>
        <v>0.1137685656515508</v>
      </c>
      <c r="L33" s="332">
        <f ca="1">INDEX(OFFSET('Adverse (r-g)'!$D$1:$W$1,$D33-1,0),MATCH(L$4,'Adverse (r-g)'!$D$10:$W$10,0))</f>
        <v>0.39231167755306995</v>
      </c>
      <c r="M33" s="332">
        <f ca="1">INDEX(OFFSET('Adverse (r-g)'!$D$1:$W$1,$D33-1,0),MATCH(M$4,'Adverse (r-g)'!$D$10:$W$10,0))</f>
        <v>0.39805578646940898</v>
      </c>
      <c r="N33" s="332">
        <f ca="1">INDEX(OFFSET('Adverse (r-g)'!$D$1:$W$1,$D33-1,0),MATCH(N$4,'Adverse (r-g)'!$D$10:$W$10,0))</f>
        <v>0.41782296206989145</v>
      </c>
      <c r="O33" s="332">
        <f ca="1">INDEX(OFFSET('Adverse (r-g)'!$D$1:$W$1,$D33-1,0),MATCH(O$4,'Adverse (r-g)'!$D$10:$W$10,0))</f>
        <v>-9.7144500000001521E-2</v>
      </c>
      <c r="P33" s="332">
        <f ca="1">INDEX(OFFSET('Adverse (r-g)'!$D$1:$W$1,$D33-1,0),MATCH(P$4,'Adverse (r-g)'!$D$10:$W$10,0))</f>
        <v>-0.11489230000000239</v>
      </c>
      <c r="Q33" s="332">
        <f ca="1">INDEX(OFFSET('Adverse (r-g)'!$D$1:$W$1,$D33-1,0),MATCH(Q$4,'Adverse (r-g)'!$D$10:$W$10,0))</f>
        <v>6.9713899999990225E-2</v>
      </c>
      <c r="R33" s="332">
        <f ca="1">INDEX(OFFSET('Adverse (r-g)'!$D$1:$W$1,$D33-1,0),MATCH(R$4,'Adverse (r-g)'!$D$10:$W$10,0))</f>
        <v>0.2543198999999996</v>
      </c>
      <c r="S33" s="332">
        <f ca="1">INDEX(OFFSET('Adverse (r-g)'!$D$1:$W$1,$D33-1,0),MATCH(S$4,'Adverse (r-g)'!$D$10:$W$10,0))</f>
        <v>0.43892150000000019</v>
      </c>
      <c r="T33" s="332">
        <f ca="1">INDEX(OFFSET('Adverse (r-g)'!$D$1:$W$1,$D33-1,0),MATCH(T$4,'Adverse (r-g)'!$D$10:$W$10,0))</f>
        <v>0.5421120000000057</v>
      </c>
      <c r="U33" s="332">
        <f ca="1">INDEX(OFFSET('Adverse (r-g)'!$D$1:$W$1,$D33-1,0),MATCH(U$4,'Adverse (r-g)'!$D$10:$W$10,0))</f>
        <v>0.67539999999999267</v>
      </c>
      <c r="V33" s="332">
        <f ca="1">INDEX(OFFSET('Adverse (r-g)'!$D$1:$W$1,$D33-1,0),MATCH(V$4,'Adverse (r-g)'!$D$10:$W$10,0))</f>
        <v>0.82899899999999693</v>
      </c>
      <c r="W33" s="332">
        <f ca="1">INDEX(OFFSET('Adverse (r-g)'!$D$1:$W$1,$D33-1,0),MATCH(W$4,'Adverse (r-g)'!$D$10:$W$10,0))</f>
        <v>1.0112289999999913</v>
      </c>
      <c r="X33" s="332">
        <f ca="1">INDEX(OFFSET('Adverse (r-g)'!$D$1:$W$1,$D33-1,0),MATCH(X$4,'Adverse (r-g)'!$D$10:$W$10,0))</f>
        <v>1.0410789999999892</v>
      </c>
      <c r="Y33" s="271"/>
    </row>
    <row r="34" spans="1:25" x14ac:dyDescent="0.2">
      <c r="A34" s="271"/>
      <c r="B34" s="339">
        <v>10</v>
      </c>
      <c r="C34" s="347" t="s">
        <v>62</v>
      </c>
      <c r="D34" s="344">
        <v>27</v>
      </c>
      <c r="E34" s="345" t="s">
        <v>230</v>
      </c>
      <c r="F34" s="332">
        <f ca="1">(INDEX(OFFSET('Adverse (r-g)'!$D$1:$W$1,$D34-1,0),MATCH(F$4,'Adverse (r-g)'!$D$10:$W$10,0))/INDEX(OFFSET('Adverse (r-g)'!$D$1:$W$1,$D34-1,0),MATCH(E$4,'Adverse (r-g)'!$D$10:$W$10,0))-1)*100</f>
        <v>1.1356479999999891</v>
      </c>
      <c r="G34" s="332">
        <f ca="1">(INDEX(OFFSET('Adverse (r-g)'!$D$1:$W$1,$D34-1,0),MATCH(G$4,'Adverse (r-g)'!$D$10:$W$10,0))/INDEX(OFFSET('Adverse (r-g)'!$D$1:$W$1,$D34-1,0),MATCH(F$4,'Adverse (r-g)'!$D$10:$W$10,0))-1)*100</f>
        <v>1.0878189999999899</v>
      </c>
      <c r="H34" s="332">
        <f ca="1">(INDEX(OFFSET('Adverse (r-g)'!$D$1:$W$1,$D34-1,0),MATCH(H$4,'Adverse (r-g)'!$D$10:$W$10,0))/INDEX(OFFSET('Adverse (r-g)'!$D$1:$W$1,$D34-1,0),MATCH(G$4,'Adverse (r-g)'!$D$10:$W$10,0))-1)*100</f>
        <v>1.0005299999999995</v>
      </c>
      <c r="I34" s="332">
        <f ca="1">(INDEX(OFFSET('Adverse (r-g)'!$D$1:$W$1,$D34-1,0),MATCH(I$4,'Adverse (r-g)'!$D$10:$W$10,0))/INDEX(OFFSET('Adverse (r-g)'!$D$1:$W$1,$D34-1,0),MATCH(H$4,'Adverse (r-g)'!$D$10:$W$10,0))-1)*100</f>
        <v>0.6282173000000002</v>
      </c>
      <c r="J34" s="332">
        <f ca="1">(INDEX(OFFSET('Adverse (r-g)'!$D$1:$W$1,$D34-1,0),MATCH(J$4,'Adverse (r-g)'!$D$10:$W$10,0))/INDEX(OFFSET('Adverse (r-g)'!$D$1:$W$1,$D34-1,0),MATCH(I$4,'Adverse (r-g)'!$D$10:$W$10,0))-1)*100</f>
        <v>0.44240410000000452</v>
      </c>
      <c r="K34" s="332">
        <f ca="1">(INDEX(OFFSET('Adverse (r-g)'!$D$1:$W$1,$D34-1,0),MATCH(K$4,'Adverse (r-g)'!$D$10:$W$10,0))/INDEX(OFFSET('Adverse (r-g)'!$D$1:$W$1,$D34-1,0),MATCH(J$4,'Adverse (r-g)'!$D$10:$W$10,0))-1)*100</f>
        <v>0.34337840000000508</v>
      </c>
      <c r="L34" s="332">
        <f ca="1">(INDEX(OFFSET('Adverse (r-g)'!$D$1:$W$1,$D34-1,0),MATCH(L$4,'Adverse (r-g)'!$D$10:$W$10,0))/INDEX(OFFSET('Adverse (r-g)'!$D$1:$W$1,$D34-1,0),MATCH(K$4,'Adverse (r-g)'!$D$10:$W$10,0))-1)*100</f>
        <v>-0.15811620000000248</v>
      </c>
      <c r="M34" s="332">
        <f ca="1">(INDEX(OFFSET('Adverse (r-g)'!$D$1:$W$1,$D34-1,0),MATCH(M$4,'Adverse (r-g)'!$D$10:$W$10,0))/INDEX(OFFSET('Adverse (r-g)'!$D$1:$W$1,$D34-1,0),MATCH(L$4,'Adverse (r-g)'!$D$10:$W$10,0))-1)*100</f>
        <v>-0.14940200000002068</v>
      </c>
      <c r="N34" s="332">
        <f ca="1">(INDEX(OFFSET('Adverse (r-g)'!$D$1:$W$1,$D34-1,0),MATCH(N$4,'Adverse (r-g)'!$D$10:$W$10,0))/INDEX(OFFSET('Adverse (r-g)'!$D$1:$W$1,$D34-1,0),MATCH(M$4,'Adverse (r-g)'!$D$10:$W$10,0))-1)*100</f>
        <v>-0.12677300000000225</v>
      </c>
      <c r="O34" s="332">
        <f ca="1">(INDEX(OFFSET('Adverse (r-g)'!$D$1:$W$1,$D34-1,0),MATCH(O$4,'Adverse (r-g)'!$D$10:$W$10,0))/INDEX(OFFSET('Adverse (r-g)'!$D$1:$W$1,$D34-1,0),MATCH(N$4,'Adverse (r-g)'!$D$10:$W$10,0))-1)*100</f>
        <v>-9.7149300000021199E-2</v>
      </c>
      <c r="P34" s="332">
        <f ca="1">(INDEX(OFFSET('Adverse (r-g)'!$D$1:$W$1,$D34-1,0),MATCH(P$4,'Adverse (r-g)'!$D$10:$W$10,0))/INDEX(OFFSET('Adverse (r-g)'!$D$1:$W$1,$D34-1,0),MATCH(O$4,'Adverse (r-g)'!$D$10:$W$10,0))-1)*100</f>
        <v>-0.11489500000000374</v>
      </c>
      <c r="Q34" s="332">
        <f ca="1">(INDEX(OFFSET('Adverse (r-g)'!$D$1:$W$1,$D34-1,0),MATCH(Q$4,'Adverse (r-g)'!$D$10:$W$10,0))/INDEX(OFFSET('Adverse (r-g)'!$D$1:$W$1,$D34-1,0),MATCH(P$4,'Adverse (r-g)'!$D$10:$W$10,0))-1)*100</f>
        <v>6.9710100000008879E-2</v>
      </c>
      <c r="R34" s="332">
        <f ca="1">(INDEX(OFFSET('Adverse (r-g)'!$D$1:$W$1,$D34-1,0),MATCH(R$4,'Adverse (r-g)'!$D$10:$W$10,0))/INDEX(OFFSET('Adverse (r-g)'!$D$1:$W$1,$D34-1,0),MATCH(Q$4,'Adverse (r-g)'!$D$10:$W$10,0))-1)*100</f>
        <v>0.25431540000000474</v>
      </c>
      <c r="S34" s="332">
        <f ca="1">(INDEX(OFFSET('Adverse (r-g)'!$D$1:$W$1,$D34-1,0),MATCH(S$4,'Adverse (r-g)'!$D$10:$W$10,0))/INDEX(OFFSET('Adverse (r-g)'!$D$1:$W$1,$D34-1,0),MATCH(R$4,'Adverse (r-g)'!$D$10:$W$10,0))-1)*100</f>
        <v>0.43892060000001454</v>
      </c>
      <c r="T34" s="332">
        <f ca="1">(INDEX(OFFSET('Adverse (r-g)'!$D$1:$W$1,$D34-1,0),MATCH(T$4,'Adverse (r-g)'!$D$10:$W$10,0))/INDEX(OFFSET('Adverse (r-g)'!$D$1:$W$1,$D34-1,0),MATCH(S$4,'Adverse (r-g)'!$D$10:$W$10,0))-1)*100</f>
        <v>0.54211000000001786</v>
      </c>
      <c r="U34" s="332">
        <f ca="1">(INDEX(OFFSET('Adverse (r-g)'!$D$1:$W$1,$D34-1,0),MATCH(U$4,'Adverse (r-g)'!$D$10:$W$10,0))/INDEX(OFFSET('Adverse (r-g)'!$D$1:$W$1,$D34-1,0),MATCH(T$4,'Adverse (r-g)'!$D$10:$W$10,0))-1)*100</f>
        <v>0.67540400000001277</v>
      </c>
      <c r="V34" s="332">
        <f ca="1">(INDEX(OFFSET('Adverse (r-g)'!$D$1:$W$1,$D34-1,0),MATCH(V$4,'Adverse (r-g)'!$D$10:$W$10,0))/INDEX(OFFSET('Adverse (r-g)'!$D$1:$W$1,$D34-1,0),MATCH(U$4,'Adverse (r-g)'!$D$10:$W$10,0))-1)*100</f>
        <v>0.82900100000000698</v>
      </c>
      <c r="W34" s="332">
        <f ca="1">(INDEX(OFFSET('Adverse (r-g)'!$D$1:$W$1,$D34-1,0),MATCH(W$4,'Adverse (r-g)'!$D$10:$W$10,0))/INDEX(OFFSET('Adverse (r-g)'!$D$1:$W$1,$D34-1,0),MATCH(V$4,'Adverse (r-g)'!$D$10:$W$10,0))-1)*100</f>
        <v>1.0112330000000114</v>
      </c>
      <c r="X34" s="332">
        <f ca="1">(INDEX(OFFSET('Adverse (r-g)'!$D$1:$W$1,$D34-1,0),MATCH(X$4,'Adverse (r-g)'!$D$10:$W$10,0))/INDEX(OFFSET('Adverse (r-g)'!$D$1:$W$1,$D34-1,0),MATCH(W$4,'Adverse (r-g)'!$D$10:$W$10,0))-1)*100</f>
        <v>1.0410750000000135</v>
      </c>
      <c r="Y34" s="271"/>
    </row>
    <row r="35" spans="1:25" x14ac:dyDescent="0.2">
      <c r="A35" s="271"/>
      <c r="B35" s="339"/>
      <c r="C35" s="337" t="s">
        <v>236</v>
      </c>
      <c r="D35" s="337"/>
      <c r="E35" s="341">
        <f>F35-1</f>
        <v>2032</v>
      </c>
      <c r="F35" s="350">
        <f>'Input data'!$C$6+5</f>
        <v>2033</v>
      </c>
      <c r="G35" s="271"/>
      <c r="H35" s="271"/>
      <c r="I35" s="271"/>
      <c r="J35" s="271"/>
      <c r="K35" s="271"/>
      <c r="L35" s="271"/>
      <c r="M35" s="271"/>
      <c r="N35" s="271"/>
      <c r="O35" s="271"/>
      <c r="P35" s="271"/>
      <c r="Q35" s="271"/>
      <c r="R35" s="271"/>
      <c r="S35" s="271"/>
      <c r="T35" s="271"/>
      <c r="U35" s="271"/>
      <c r="V35" s="271"/>
      <c r="W35" s="271"/>
      <c r="X35" s="271"/>
      <c r="Y35" s="271"/>
    </row>
    <row r="36" spans="1:25" x14ac:dyDescent="0.2">
      <c r="A36" s="271"/>
      <c r="B36" s="339">
        <v>11</v>
      </c>
      <c r="C36" s="343" t="s">
        <v>237</v>
      </c>
      <c r="D36" s="356" t="s">
        <v>241</v>
      </c>
      <c r="E36" s="345" t="s">
        <v>227</v>
      </c>
      <c r="F36" s="332">
        <f ca="1">IF(ISERROR(I36),"&lt;10",IF(I36=5,"90&lt;",V36+(H36-W36)*$T$36))</f>
        <v>74.622739973243313</v>
      </c>
      <c r="G36" s="362"/>
      <c r="H36" s="352">
        <f>INDEX(Stochastic!$C$11:$W$11,MATCH('Input data'!$C$6,Stochastic!$C$10:$W$10,0))</f>
        <v>117.28270034717907</v>
      </c>
      <c r="I36" s="353">
        <f ca="1">MATCH($H$36,OFFSET(Stochastic!$F$14:$F$18,0,'Input data'!$C$6-'Input data'!$C$5+5),1)</f>
        <v>4</v>
      </c>
      <c r="J36" s="353" t="str" cm="1">
        <f t="array" aca="1" ref="J36" ca="1">MID(INDEX(Stochastic!$B$14:$B$18,$I$36),2,2)</f>
        <v>70</v>
      </c>
      <c r="K36" s="352" cm="1">
        <f t="array" aca="1" ref="K36" ca="1">INDEX(OFFSET(Stochastic!$F$14:$F$18,0,'Input data'!$C$6-'Input data'!$C$5+5),$I$36)</f>
        <v>115.85453284990645</v>
      </c>
      <c r="L36" s="353" t="str" cm="1">
        <f t="array" aca="1" ref="L36" ca="1">MID(INDEX(Stochastic!$B$14:$B$18,$I$36+1),2,2)</f>
        <v>90</v>
      </c>
      <c r="M36" s="352" cm="1">
        <f t="array" aca="1" ref="M36" ca="1">INDEX(OFFSET(Stochastic!$F$14:$F$18,0,'Input data'!$C$6-'Input data'!$C$5+5),$I$36+1)</f>
        <v>122.03341163408614</v>
      </c>
      <c r="N36" s="352"/>
      <c r="O36" s="353">
        <f ca="1">IF(ISERROR($I$36),1,4)</f>
        <v>4</v>
      </c>
      <c r="P36" s="353">
        <f ca="1">IF(ISERROR($I$36),10,70)</f>
        <v>70</v>
      </c>
      <c r="Q36" s="352" cm="1">
        <f t="array" aca="1" ref="Q36" ca="1">INDEX(OFFSET(Stochastic!$F$14:$F$18,0,'Input data'!$C$6-'Input data'!$C$5+5),$O$36)</f>
        <v>115.85453284990645</v>
      </c>
      <c r="R36" s="353">
        <f ca="1">P36+20</f>
        <v>90</v>
      </c>
      <c r="S36" s="352" cm="1">
        <f t="array" aca="1" ref="S36" ca="1">INDEX(OFFSET(Stochastic!$F$14:$F$18,0,'Input data'!$C$6-'Input data'!$C$5+5),$O$36+1)</f>
        <v>122.03341163408614</v>
      </c>
      <c r="T36" s="357">
        <f ca="1">IF($I$36=5,20/(S36-Q36),IF(ISERROR($I$36),20/(S36-Q36),20/(M36-K36)))</f>
        <v>3.2368332020378379</v>
      </c>
      <c r="U36" s="109"/>
      <c r="V36" s="363" t="str">
        <f ca="1">IFERROR($J$36,10)</f>
        <v>70</v>
      </c>
      <c r="W36" s="364">
        <f ca="1">IF($V$36=10,$Q$36,$K$36)</f>
        <v>115.85453284990645</v>
      </c>
      <c r="X36" s="363"/>
      <c r="Y36" s="109"/>
    </row>
    <row r="37" spans="1:25" x14ac:dyDescent="0.2">
      <c r="A37" s="271"/>
      <c r="B37" s="333"/>
      <c r="C37" s="354"/>
      <c r="D37" s="354"/>
      <c r="E37" s="354"/>
      <c r="F37" s="354"/>
      <c r="G37" s="354"/>
      <c r="H37" s="354"/>
      <c r="I37" s="354"/>
      <c r="J37" s="354"/>
      <c r="K37" s="271"/>
      <c r="L37" s="271"/>
      <c r="M37" s="271"/>
      <c r="N37" s="271"/>
      <c r="O37" s="271"/>
      <c r="P37" s="271"/>
      <c r="Q37" s="362"/>
      <c r="R37" s="362"/>
      <c r="S37" s="362"/>
      <c r="T37" s="362"/>
      <c r="U37" s="362"/>
      <c r="V37" s="362"/>
      <c r="W37" s="271"/>
      <c r="X37" s="271"/>
      <c r="Y37" s="271"/>
    </row>
    <row r="38" spans="1:25" x14ac:dyDescent="0.2">
      <c r="A38" s="271"/>
      <c r="B38" s="355"/>
      <c r="C38" s="337" t="s">
        <v>238</v>
      </c>
      <c r="D38" s="338"/>
      <c r="E38" s="338"/>
      <c r="F38" s="349"/>
      <c r="G38" s="271"/>
      <c r="H38" s="271"/>
      <c r="I38" s="271"/>
      <c r="J38" s="271"/>
      <c r="K38" s="271"/>
      <c r="L38" s="271"/>
      <c r="M38" s="271"/>
      <c r="N38" s="271"/>
      <c r="O38" s="271"/>
      <c r="P38" s="271"/>
      <c r="Q38" s="271"/>
      <c r="R38" s="271"/>
      <c r="S38" s="271"/>
      <c r="T38" s="271"/>
      <c r="U38" s="271"/>
      <c r="V38" s="271"/>
      <c r="W38" s="271"/>
      <c r="X38" s="271"/>
      <c r="Y38" s="271"/>
    </row>
    <row r="39" spans="1:25" x14ac:dyDescent="0.2">
      <c r="A39" s="271"/>
      <c r="B39" s="333"/>
      <c r="C39" s="354"/>
      <c r="D39" s="354"/>
      <c r="E39" s="354"/>
      <c r="F39" s="354"/>
      <c r="G39" s="354"/>
      <c r="H39" s="354"/>
      <c r="I39" s="354"/>
      <c r="J39" s="354"/>
      <c r="K39" s="271"/>
      <c r="L39" s="271"/>
      <c r="M39" s="271"/>
      <c r="N39" s="271"/>
      <c r="O39" s="271"/>
      <c r="P39" s="271"/>
      <c r="Q39" s="271"/>
      <c r="R39" s="271"/>
      <c r="S39" s="271"/>
      <c r="T39" s="271"/>
      <c r="U39" s="271"/>
      <c r="V39" s="271"/>
      <c r="W39" s="271"/>
      <c r="X39" s="271"/>
      <c r="Y39" s="271"/>
    </row>
    <row r="40" spans="1:25" x14ac:dyDescent="0.2">
      <c r="A40" s="271"/>
      <c r="B40" s="339"/>
      <c r="C40" s="337"/>
      <c r="D40" s="337"/>
      <c r="E40" s="342"/>
      <c r="F40" s="342">
        <f>'Input data'!$C$5-1</f>
        <v>2023</v>
      </c>
      <c r="G40" s="342">
        <f>F40+1</f>
        <v>2024</v>
      </c>
      <c r="H40" s="342">
        <f t="shared" ref="H40:X40" si="4">G40+1</f>
        <v>2025</v>
      </c>
      <c r="I40" s="342">
        <f t="shared" si="4"/>
        <v>2026</v>
      </c>
      <c r="J40" s="342">
        <f t="shared" si="4"/>
        <v>2027</v>
      </c>
      <c r="K40" s="342">
        <f t="shared" si="4"/>
        <v>2028</v>
      </c>
      <c r="L40" s="342">
        <f t="shared" si="4"/>
        <v>2029</v>
      </c>
      <c r="M40" s="342">
        <f t="shared" si="4"/>
        <v>2030</v>
      </c>
      <c r="N40" s="342">
        <f t="shared" si="4"/>
        <v>2031</v>
      </c>
      <c r="O40" s="342">
        <f t="shared" si="4"/>
        <v>2032</v>
      </c>
      <c r="P40" s="342">
        <f t="shared" si="4"/>
        <v>2033</v>
      </c>
      <c r="Q40" s="342">
        <f t="shared" si="4"/>
        <v>2034</v>
      </c>
      <c r="R40" s="342">
        <f t="shared" si="4"/>
        <v>2035</v>
      </c>
      <c r="S40" s="342">
        <f t="shared" si="4"/>
        <v>2036</v>
      </c>
      <c r="T40" s="342">
        <f t="shared" si="4"/>
        <v>2037</v>
      </c>
      <c r="U40" s="342">
        <f t="shared" si="4"/>
        <v>2038</v>
      </c>
      <c r="V40" s="342">
        <f t="shared" si="4"/>
        <v>2039</v>
      </c>
      <c r="W40" s="342">
        <f t="shared" si="4"/>
        <v>2040</v>
      </c>
      <c r="X40" s="342">
        <f t="shared" si="4"/>
        <v>2041</v>
      </c>
      <c r="Y40" s="271"/>
    </row>
    <row r="41" spans="1:25" x14ac:dyDescent="0.2">
      <c r="A41" s="271"/>
      <c r="B41" s="339">
        <v>1</v>
      </c>
      <c r="C41" s="343" t="s">
        <v>220</v>
      </c>
      <c r="D41" s="344">
        <v>56</v>
      </c>
      <c r="E41" s="345" t="s">
        <v>221</v>
      </c>
      <c r="F41" s="332">
        <f ca="1">INDEX(OFFSET('Baseline NFPC'!$D$1:$W$1,$D41-1,0),MATCH(F$4,'Baseline NFPC'!$D$10:$W$10,0))</f>
        <v>110.64326790048331</v>
      </c>
      <c r="G41" s="332">
        <f ca="1">INDEX(OFFSET('Baseline NFPC'!$D$1:$W$1,$D41-1,0),MATCH(G$4,'Baseline NFPC'!$D$10:$W$10,0))</f>
        <v>112.40882173205914</v>
      </c>
      <c r="H41" s="332">
        <f ca="1">INDEX(OFFSET('Baseline NFPC'!$D$1:$W$1,$D41-1,0),MATCH(H$4,'Baseline NFPC'!$D$10:$W$10,0))</f>
        <v>113.63932096556051</v>
      </c>
      <c r="I41" s="332">
        <f ca="1">INDEX(OFFSET('Baseline NFPC'!$D$1:$W$1,$D41-1,0),MATCH(I$4,'Baseline NFPC'!$D$10:$W$10,0))</f>
        <v>116.03190619954287</v>
      </c>
      <c r="J41" s="332">
        <f ca="1">INDEX(OFFSET('Baseline NFPC'!$D$1:$W$1,$D41-1,0),MATCH(J$4,'Baseline NFPC'!$D$10:$W$10,0))</f>
        <v>118.80119594747819</v>
      </c>
      <c r="K41" s="332">
        <f ca="1">INDEX(OFFSET('Baseline NFPC'!$D$1:$W$1,$D41-1,0),MATCH(K$4,'Baseline NFPC'!$D$10:$W$10,0))</f>
        <v>121.72557758104925</v>
      </c>
      <c r="L41" s="332">
        <f ca="1">INDEX(OFFSET('Baseline NFPC'!$D$1:$W$1,$D41-1,0),MATCH(L$4,'Baseline NFPC'!$D$10:$W$10,0))</f>
        <v>124.62747607403766</v>
      </c>
      <c r="M41" s="332">
        <f ca="1">INDEX(OFFSET('Baseline NFPC'!$D$1:$W$1,$D41-1,0),MATCH(M$4,'Baseline NFPC'!$D$10:$W$10,0))</f>
        <v>127.54369848106263</v>
      </c>
      <c r="N41" s="332">
        <f ca="1">INDEX(OFFSET('Baseline NFPC'!$D$1:$W$1,$D41-1,0),MATCH(N$4,'Baseline NFPC'!$D$10:$W$10,0))</f>
        <v>130.45417566615455</v>
      </c>
      <c r="O41" s="332">
        <f ca="1">INDEX(OFFSET('Baseline NFPC'!$D$1:$W$1,$D41-1,0),MATCH(O$4,'Baseline NFPC'!$D$10:$W$10,0))</f>
        <v>133.36242635175594</v>
      </c>
      <c r="P41" s="332">
        <f ca="1">INDEX(OFFSET('Baseline NFPC'!$D$1:$W$1,$D41-1,0),MATCH(P$4,'Baseline NFPC'!$D$10:$W$10,0))</f>
        <v>136.36172304301326</v>
      </c>
      <c r="Q41" s="332">
        <f ca="1">INDEX(OFFSET('Baseline NFPC'!$D$1:$W$1,$D41-1,0),MATCH(Q$4,'Baseline NFPC'!$D$10:$W$10,0))</f>
        <v>139.29644412483978</v>
      </c>
      <c r="R41" s="332">
        <f ca="1">INDEX(OFFSET('Baseline NFPC'!$D$1:$W$1,$D41-1,0),MATCH(R$4,'Baseline NFPC'!$D$10:$W$10,0))</f>
        <v>142.10017074917681</v>
      </c>
      <c r="S41" s="332">
        <f ca="1">INDEX(OFFSET('Baseline NFPC'!$D$1:$W$1,$D41-1,0),MATCH(S$4,'Baseline NFPC'!$D$10:$W$10,0))</f>
        <v>144.76240765127753</v>
      </c>
      <c r="T41" s="332">
        <f ca="1">INDEX(OFFSET('Baseline NFPC'!$D$1:$W$1,$D41-1,0),MATCH(T$4,'Baseline NFPC'!$D$10:$W$10,0))</f>
        <v>147.3894343465804</v>
      </c>
      <c r="U41" s="332">
        <f ca="1">INDEX(OFFSET('Baseline NFPC'!$D$1:$W$1,$D41-1,0),MATCH(U$4,'Baseline NFPC'!$D$10:$W$10,0))</f>
        <v>149.92795787816519</v>
      </c>
      <c r="V41" s="332">
        <f ca="1">INDEX(OFFSET('Baseline NFPC'!$D$1:$W$1,$D41-1,0),MATCH(V$4,'Baseline NFPC'!$D$10:$W$10,0))</f>
        <v>152.33414969996738</v>
      </c>
      <c r="W41" s="332">
        <f ca="1">INDEX(OFFSET('Baseline NFPC'!$D$1:$W$1,$D41-1,0),MATCH(W$4,'Baseline NFPC'!$D$10:$W$10,0))</f>
        <v>154.54374424270151</v>
      </c>
      <c r="X41" s="332">
        <f ca="1">INDEX(OFFSET('Baseline NFPC'!$D$1:$W$1,$D41-1,0),MATCH(X$4,'Baseline NFPC'!$D$10:$W$10,0))</f>
        <v>156.83056804942302</v>
      </c>
      <c r="Y41" s="271"/>
    </row>
    <row r="42" spans="1:25" x14ac:dyDescent="0.2">
      <c r="A42" s="271"/>
      <c r="B42" s="339">
        <v>2</v>
      </c>
      <c r="C42" s="343" t="s">
        <v>222</v>
      </c>
      <c r="D42" s="344">
        <v>76</v>
      </c>
      <c r="E42" s="345" t="s">
        <v>221</v>
      </c>
      <c r="F42" s="332">
        <f ca="1">INDEX(OFFSET('Baseline NFPC'!$D$1:$W$1,$D42-1,0),MATCH(F$4,'Baseline NFPC'!$D$10:$W$10,0))</f>
        <v>-5.4921950870375849</v>
      </c>
      <c r="G42" s="332">
        <f ca="1">INDEX(OFFSET('Baseline NFPC'!$D$1:$W$1,$D42-1,0),MATCH(G$4,'Baseline NFPC'!$D$10:$W$10,0))</f>
        <v>-5.3136138497524072</v>
      </c>
      <c r="H42" s="332">
        <f ca="1">INDEX(OFFSET('Baseline NFPC'!$D$1:$W$1,$D42-1,0),MATCH(H$4,'Baseline NFPC'!$D$10:$W$10,0))</f>
        <v>-5.1777578586793744</v>
      </c>
      <c r="I42" s="332">
        <f ca="1">INDEX(OFFSET('Baseline NFPC'!$D$1:$W$1,$D42-1,0),MATCH(I$4,'Baseline NFPC'!$D$10:$W$10,0))</f>
        <v>-5.3754111038305723</v>
      </c>
      <c r="J42" s="332">
        <f ca="1">INDEX(OFFSET('Baseline NFPC'!$D$1:$W$1,$D42-1,0),MATCH(J$4,'Baseline NFPC'!$D$10:$W$10,0))</f>
        <v>-5.6574702385218139</v>
      </c>
      <c r="K42" s="332">
        <f ca="1">INDEX(OFFSET('Baseline NFPC'!$D$1:$W$1,$D42-1,0),MATCH(K$4,'Baseline NFPC'!$D$10:$W$10,0))</f>
        <v>-5.877705176162376</v>
      </c>
      <c r="L42" s="332">
        <f ca="1">INDEX(OFFSET('Baseline NFPC'!$D$1:$W$1,$D42-1,0),MATCH(L$4,'Baseline NFPC'!$D$10:$W$10,0))</f>
        <v>-6.0392797964719893</v>
      </c>
      <c r="M42" s="332">
        <f ca="1">INDEX(OFFSET('Baseline NFPC'!$D$1:$W$1,$D42-1,0),MATCH(M$4,'Baseline NFPC'!$D$10:$W$10,0))</f>
        <v>-6.2142963236130306</v>
      </c>
      <c r="N42" s="332">
        <f ca="1">INDEX(OFFSET('Baseline NFPC'!$D$1:$W$1,$D42-1,0),MATCH(N$4,'Baseline NFPC'!$D$10:$W$10,0))</f>
        <v>-6.3907118177395468</v>
      </c>
      <c r="O42" s="332">
        <f ca="1">INDEX(OFFSET('Baseline NFPC'!$D$1:$W$1,$D42-1,0),MATCH(O$4,'Baseline NFPC'!$D$10:$W$10,0))</f>
        <v>-6.5839911113519287</v>
      </c>
      <c r="P42" s="332">
        <f ca="1">INDEX(OFFSET('Baseline NFPC'!$D$1:$W$1,$D42-1,0),MATCH(P$4,'Baseline NFPC'!$D$10:$W$10,0))</f>
        <v>-6.8143728119672948</v>
      </c>
      <c r="Q42" s="332">
        <f ca="1">INDEX(OFFSET('Baseline NFPC'!$D$1:$W$1,$D42-1,0),MATCH(Q$4,'Baseline NFPC'!$D$10:$W$10,0))</f>
        <v>-7.043278013815673</v>
      </c>
      <c r="R42" s="332">
        <f ca="1">INDEX(OFFSET('Baseline NFPC'!$D$1:$W$1,$D42-1,0),MATCH(R$4,'Baseline NFPC'!$D$10:$W$10,0))</f>
        <v>-7.2120591980138933</v>
      </c>
      <c r="S42" s="332">
        <f ca="1">INDEX(OFFSET('Baseline NFPC'!$D$1:$W$1,$D42-1,0),MATCH(S$4,'Baseline NFPC'!$D$10:$W$10,0))</f>
        <v>-7.3740919961771265</v>
      </c>
      <c r="T42" s="332">
        <f ca="1">INDEX(OFFSET('Baseline NFPC'!$D$1:$W$1,$D42-1,0),MATCH(T$4,'Baseline NFPC'!$D$10:$W$10,0))</f>
        <v>-7.5325617895774482</v>
      </c>
      <c r="U42" s="332">
        <f ca="1">INDEX(OFFSET('Baseline NFPC'!$D$1:$W$1,$D42-1,0),MATCH(U$4,'Baseline NFPC'!$D$10:$W$10,0))</f>
        <v>-7.6824847356192425</v>
      </c>
      <c r="V42" s="332">
        <f ca="1">INDEX(OFFSET('Baseline NFPC'!$D$1:$W$1,$D42-1,0),MATCH(V$4,'Baseline NFPC'!$D$10:$W$10,0))</f>
        <v>-7.8192790122869908</v>
      </c>
      <c r="W42" s="332">
        <f ca="1">INDEX(OFFSET('Baseline NFPC'!$D$1:$W$1,$D42-1,0),MATCH(W$4,'Baseline NFPC'!$D$10:$W$10,0))</f>
        <v>-7.9337701892195645</v>
      </c>
      <c r="X42" s="332">
        <f ca="1">INDEX(OFFSET('Baseline NFPC'!$D$1:$W$1,$D42-1,0),MATCH(X$4,'Baseline NFPC'!$D$10:$W$10,0))</f>
        <v>-8.0977927253129565</v>
      </c>
      <c r="Y42" s="271"/>
    </row>
    <row r="43" spans="1:25" x14ac:dyDescent="0.2">
      <c r="A43" s="271"/>
      <c r="B43" s="339">
        <v>3</v>
      </c>
      <c r="C43" s="343" t="s">
        <v>40</v>
      </c>
      <c r="D43" s="344">
        <v>12</v>
      </c>
      <c r="E43" s="345" t="s">
        <v>223</v>
      </c>
      <c r="F43" s="332">
        <f ca="1">INDEX(OFFSET('Baseline NFPC'!$D$1:$W$1,$D43-1,0),MATCH(F$4,'Baseline NFPC'!$D$10:$W$10,0))</f>
        <v>-3.6529590000000001</v>
      </c>
      <c r="G43" s="332">
        <f ca="1">INDEX(OFFSET('Baseline NFPC'!$D$1:$W$1,$D43-1,0),MATCH(G$4,'Baseline NFPC'!$D$10:$W$10,0))</f>
        <v>-2.968391</v>
      </c>
      <c r="H43" s="332">
        <f ca="1">INDEX(OFFSET('Baseline NFPC'!$D$1:$W$1,$D43-1,0),MATCH(H$4,'Baseline NFPC'!$D$10:$W$10,0))</f>
        <v>-2.968391</v>
      </c>
      <c r="I43" s="332">
        <f ca="1">INDEX(OFFSET('Baseline NFPC'!$D$1:$W$1,$D43-1,0),MATCH(I$4,'Baseline NFPC'!$D$10:$W$10,0))</f>
        <v>-2.968391</v>
      </c>
      <c r="J43" s="332">
        <f ca="1">INDEX(OFFSET('Baseline NFPC'!$D$1:$W$1,$D43-1,0),MATCH(J$4,'Baseline NFPC'!$D$10:$W$10,0))</f>
        <v>-2.968391</v>
      </c>
      <c r="K43" s="332">
        <f ca="1">INDEX(OFFSET('Baseline NFPC'!$D$1:$W$1,$D43-1,0),MATCH(K$4,'Baseline NFPC'!$D$10:$W$10,0))</f>
        <v>-2.968391</v>
      </c>
      <c r="L43" s="332">
        <f ca="1">INDEX(OFFSET('Baseline NFPC'!$D$1:$W$1,$D43-1,0),MATCH(L$4,'Baseline NFPC'!$D$10:$W$10,0))</f>
        <v>-2.968391</v>
      </c>
      <c r="M43" s="332">
        <f ca="1">INDEX(OFFSET('Baseline NFPC'!$D$1:$W$1,$D43-1,0),MATCH(M$4,'Baseline NFPC'!$D$10:$W$10,0))</f>
        <v>-2.968391</v>
      </c>
      <c r="N43" s="332">
        <f ca="1">INDEX(OFFSET('Baseline NFPC'!$D$1:$W$1,$D43-1,0),MATCH(N$4,'Baseline NFPC'!$D$10:$W$10,0))</f>
        <v>-2.968391</v>
      </c>
      <c r="O43" s="332">
        <f ca="1">INDEX(OFFSET('Baseline NFPC'!$D$1:$W$1,$D43-1,0),MATCH(O$4,'Baseline NFPC'!$D$10:$W$10,0))</f>
        <v>-2.968391</v>
      </c>
      <c r="P43" s="332">
        <f ca="1">INDEX(OFFSET('Baseline NFPC'!$D$1:$W$1,$D43-1,0),MATCH(P$4,'Baseline NFPC'!$D$10:$W$10,0))</f>
        <v>-2.968391</v>
      </c>
      <c r="Q43" s="332">
        <f ca="1">INDEX(OFFSET('Baseline NFPC'!$D$1:$W$1,$D43-1,0),MATCH(Q$4,'Baseline NFPC'!$D$10:$W$10,0))</f>
        <v>-2.968391</v>
      </c>
      <c r="R43" s="332">
        <f ca="1">INDEX(OFFSET('Baseline NFPC'!$D$1:$W$1,$D43-1,0),MATCH(R$4,'Baseline NFPC'!$D$10:$W$10,0))</f>
        <v>-2.968391</v>
      </c>
      <c r="S43" s="332">
        <f ca="1">INDEX(OFFSET('Baseline NFPC'!$D$1:$W$1,$D43-1,0),MATCH(S$4,'Baseline NFPC'!$D$10:$W$10,0))</f>
        <v>-2.968391</v>
      </c>
      <c r="T43" s="332">
        <f ca="1">INDEX(OFFSET('Baseline NFPC'!$D$1:$W$1,$D43-1,0),MATCH(T$4,'Baseline NFPC'!$D$10:$W$10,0))</f>
        <v>-2.968391</v>
      </c>
      <c r="U43" s="332">
        <f ca="1">INDEX(OFFSET('Baseline NFPC'!$D$1:$W$1,$D43-1,0),MATCH(U$4,'Baseline NFPC'!$D$10:$W$10,0))</f>
        <v>-2.968391</v>
      </c>
      <c r="V43" s="332">
        <f ca="1">INDEX(OFFSET('Baseline NFPC'!$D$1:$W$1,$D43-1,0),MATCH(V$4,'Baseline NFPC'!$D$10:$W$10,0))</f>
        <v>-2.968391</v>
      </c>
      <c r="W43" s="332">
        <f ca="1">INDEX(OFFSET('Baseline NFPC'!$D$1:$W$1,$D43-1,0),MATCH(W$4,'Baseline NFPC'!$D$10:$W$10,0))</f>
        <v>-2.968391</v>
      </c>
      <c r="X43" s="332">
        <f ca="1">INDEX(OFFSET('Baseline NFPC'!$D$1:$W$1,$D43-1,0),MATCH(X$4,'Baseline NFPC'!$D$10:$W$10,0))</f>
        <v>-2.968391</v>
      </c>
      <c r="Y43" s="271"/>
    </row>
    <row r="44" spans="1:25" x14ac:dyDescent="0.2">
      <c r="A44" s="271"/>
      <c r="B44" s="339">
        <v>4</v>
      </c>
      <c r="C44" s="343" t="s">
        <v>224</v>
      </c>
      <c r="D44" s="344">
        <v>61</v>
      </c>
      <c r="E44" s="345" t="s">
        <v>223</v>
      </c>
      <c r="F44" s="332">
        <f ca="1">INDEX(OFFSET('Baseline NFPC'!$D$1:$W$1,$D44-1,0),MATCH(F$4,'Baseline NFPC'!$D$10:$W$10,0))</f>
        <v>5.1141674861106101E-2</v>
      </c>
      <c r="G44" s="332">
        <f ca="1">INDEX(OFFSET('Baseline NFPC'!$D$1:$W$1,$D44-1,0),MATCH(G$4,'Baseline NFPC'!$D$10:$W$10,0))</f>
        <v>0.27490083157582657</v>
      </c>
      <c r="H44" s="332">
        <f ca="1">INDEX(OFFSET('Baseline NFPC'!$D$1:$W$1,$D44-1,0),MATCH(H$4,'Baseline NFPC'!$D$10:$W$10,0))</f>
        <v>-9.4226366498626035E-2</v>
      </c>
      <c r="I44" s="332">
        <f ca="1">INDEX(OFFSET('Baseline NFPC'!$D$1:$W$1,$D44-1,0),MATCH(I$4,'Baseline NFPC'!$D$10:$W$10,0))</f>
        <v>-6.2811431038893195E-2</v>
      </c>
      <c r="J44" s="332">
        <f ca="1">INDEX(OFFSET('Baseline NFPC'!$D$1:$W$1,$D44-1,0),MATCH(J$4,'Baseline NFPC'!$D$10:$W$10,0))</f>
        <v>-2.0930727685365191E-2</v>
      </c>
      <c r="K44" s="332">
        <f ca="1">INDEX(OFFSET('Baseline NFPC'!$D$1:$W$1,$D44-1,0),MATCH(K$4,'Baseline NFPC'!$D$10:$W$10,0))</f>
        <v>5.9746476076538713E-6</v>
      </c>
      <c r="L44" s="332">
        <f ca="1">INDEX(OFFSET('Baseline NFPC'!$D$1:$W$1,$D44-1,0),MATCH(L$4,'Baseline NFPC'!$D$10:$W$10,0))</f>
        <v>6.8536423876164321E-6</v>
      </c>
      <c r="M44" s="332">
        <f ca="1">INDEX(OFFSET('Baseline NFPC'!$D$1:$W$1,$D44-1,0),MATCH(M$4,'Baseline NFPC'!$D$10:$W$10,0))</f>
        <v>5.6608245091460674E-6</v>
      </c>
      <c r="N44" s="332">
        <f ca="1">INDEX(OFFSET('Baseline NFPC'!$D$1:$W$1,$D44-1,0),MATCH(N$4,'Baseline NFPC'!$D$10:$W$10,0))</f>
        <v>8.234219684100097E-6</v>
      </c>
      <c r="O44" s="332">
        <f ca="1">INDEX(OFFSET('Baseline NFPC'!$D$1:$W$1,$D44-1,0),MATCH(O$4,'Baseline NFPC'!$D$10:$W$10,0))</f>
        <v>5.2223533837381098E-6</v>
      </c>
      <c r="P44" s="332">
        <f ca="1">INDEX(OFFSET('Baseline NFPC'!$D$1:$W$1,$D44-1,0),MATCH(P$4,'Baseline NFPC'!$D$10:$W$10,0))</f>
        <v>3.5278790229131829E-6</v>
      </c>
      <c r="Q44" s="332">
        <f ca="1">INDEX(OFFSET('Baseline NFPC'!$D$1:$W$1,$D44-1,0),MATCH(Q$4,'Baseline NFPC'!$D$10:$W$10,0))</f>
        <v>1.1474407524136865E-6</v>
      </c>
      <c r="R44" s="332">
        <f ca="1">INDEX(OFFSET('Baseline NFPC'!$D$1:$W$1,$D44-1,0),MATCH(R$4,'Baseline NFPC'!$D$10:$W$10,0))</f>
        <v>-1.6663344704070937E-6</v>
      </c>
      <c r="S44" s="332">
        <f ca="1">INDEX(OFFSET('Baseline NFPC'!$D$1:$W$1,$D44-1,0),MATCH(S$4,'Baseline NFPC'!$D$10:$W$10,0))</f>
        <v>-2.2280603162450063E-6</v>
      </c>
      <c r="T44" s="332">
        <f ca="1">INDEX(OFFSET('Baseline NFPC'!$D$1:$W$1,$D44-1,0),MATCH(T$4,'Baseline NFPC'!$D$10:$W$10,0))</f>
        <v>-3.4750651936032995E-6</v>
      </c>
      <c r="U44" s="332">
        <f ca="1">INDEX(OFFSET('Baseline NFPC'!$D$1:$W$1,$D44-1,0),MATCH(U$4,'Baseline NFPC'!$D$10:$W$10,0))</f>
        <v>-9.8434113060541506E-7</v>
      </c>
      <c r="V44" s="332">
        <f ca="1">INDEX(OFFSET('Baseline NFPC'!$D$1:$W$1,$D44-1,0),MATCH(V$4,'Baseline NFPC'!$D$10:$W$10,0))</f>
        <v>2.5913309698033515E-7</v>
      </c>
      <c r="W44" s="332">
        <f ca="1">INDEX(OFFSET('Baseline NFPC'!$D$1:$W$1,$D44-1,0),MATCH(W$4,'Baseline NFPC'!$D$10:$W$10,0))</f>
        <v>2.7416169674499002E-6</v>
      </c>
      <c r="X44" s="332">
        <f ca="1">INDEX(OFFSET('Baseline NFPC'!$D$1:$W$1,$D44-1,0),MATCH(X$4,'Baseline NFPC'!$D$10:$W$10,0))</f>
        <v>2.5986277429890237E-7</v>
      </c>
      <c r="Y44" s="271"/>
    </row>
    <row r="45" spans="1:25" x14ac:dyDescent="0.2">
      <c r="A45" s="271"/>
      <c r="B45" s="339">
        <v>5</v>
      </c>
      <c r="C45" s="343" t="s">
        <v>226</v>
      </c>
      <c r="D45" s="344">
        <v>67</v>
      </c>
      <c r="E45" s="345" t="s">
        <v>221</v>
      </c>
      <c r="F45" s="332">
        <f ca="1">INDEX(OFFSET('Baseline NFPC'!$D$1:$W$1,$D45-1,0),MATCH(F$4,'Baseline NFPC'!$D$10:$W$10,0))</f>
        <v>1.7238798121764787</v>
      </c>
      <c r="G45" s="332">
        <f ca="1">INDEX(OFFSET('Baseline NFPC'!$D$1:$W$1,$D45-1,0),MATCH(G$4,'Baseline NFPC'!$D$10:$W$10,0))</f>
        <v>2.0358592181765802</v>
      </c>
      <c r="H45" s="332">
        <f ca="1">INDEX(OFFSET('Baseline NFPC'!$D$1:$W$1,$D45-1,0),MATCH(H$4,'Baseline NFPC'!$D$10:$W$10,0))</f>
        <v>2.3311782251779984</v>
      </c>
      <c r="I45" s="332">
        <f ca="1">INDEX(OFFSET('Baseline NFPC'!$D$1:$W$1,$D45-1,0),MATCH(I$4,'Baseline NFPC'!$D$10:$W$10,0))</f>
        <v>2.5158073348694621</v>
      </c>
      <c r="J45" s="332">
        <f ca="1">INDEX(OFFSET('Baseline NFPC'!$D$1:$W$1,$D45-1,0),MATCH(J$4,'Baseline NFPC'!$D$10:$W$10,0))</f>
        <v>2.6964786662071814</v>
      </c>
      <c r="K45" s="332">
        <f ca="1">INDEX(OFFSET('Baseline NFPC'!$D$1:$W$1,$D45-1,0),MATCH(K$4,'Baseline NFPC'!$D$10:$W$10,0))</f>
        <v>2.8834298015147648</v>
      </c>
      <c r="L45" s="332">
        <f ca="1">INDEX(OFFSET('Baseline NFPC'!$D$1:$W$1,$D45-1,0),MATCH(L$4,'Baseline NFPC'!$D$10:$W$10,0))</f>
        <v>3.0722164428296033</v>
      </c>
      <c r="M45" s="332">
        <f ca="1">INDEX(OFFSET('Baseline NFPC'!$D$1:$W$1,$D45-1,0),MATCH(M$4,'Baseline NFPC'!$D$10:$W$10,0))</f>
        <v>3.2617670627885236</v>
      </c>
      <c r="N45" s="332">
        <f ca="1">INDEX(OFFSET('Baseline NFPC'!$D$1:$W$1,$D45-1,0),MATCH(N$4,'Baseline NFPC'!$D$10:$W$10,0))</f>
        <v>3.4521928835198592</v>
      </c>
      <c r="O45" s="332">
        <f ca="1">INDEX(OFFSET('Baseline NFPC'!$D$1:$W$1,$D45-1,0),MATCH(O$4,'Baseline NFPC'!$D$10:$W$10,0))</f>
        <v>3.643358188998544</v>
      </c>
      <c r="P45" s="332">
        <f ca="1">INDEX(OFFSET('Baseline NFPC'!$D$1:$W$1,$D45-1,0),MATCH(P$4,'Baseline NFPC'!$D$10:$W$10,0))</f>
        <v>3.8376844840882689</v>
      </c>
      <c r="Q45" s="332">
        <f ca="1">INDEX(OFFSET('Baseline NFPC'!$D$1:$W$1,$D45-1,0),MATCH(Q$4,'Baseline NFPC'!$D$10:$W$10,0))</f>
        <v>4.0197549663749186</v>
      </c>
      <c r="R45" s="332">
        <f ca="1">INDEX(OFFSET('Baseline NFPC'!$D$1:$W$1,$D45-1,0),MATCH(R$4,'Baseline NFPC'!$D$10:$W$10,0))</f>
        <v>4.1927518643483586</v>
      </c>
      <c r="S45" s="332">
        <f ca="1">INDEX(OFFSET('Baseline NFPC'!$D$1:$W$1,$D45-1,0),MATCH(S$4,'Baseline NFPC'!$D$10:$W$10,0))</f>
        <v>4.3549782242374411</v>
      </c>
      <c r="T45" s="332">
        <f ca="1">INDEX(OFFSET('Baseline NFPC'!$D$1:$W$1,$D45-1,0),MATCH(T$4,'Baseline NFPC'!$D$10:$W$10,0))</f>
        <v>4.5102721646426431</v>
      </c>
      <c r="U45" s="332">
        <f ca="1">INDEX(OFFSET('Baseline NFPC'!$D$1:$W$1,$D45-1,0),MATCH(U$4,'Baseline NFPC'!$D$10:$W$10,0))</f>
        <v>4.6576855199603715</v>
      </c>
      <c r="V45" s="332">
        <f ca="1">INDEX(OFFSET('Baseline NFPC'!$D$1:$W$1,$D45-1,0),MATCH(V$4,'Baseline NFPC'!$D$10:$W$10,0))</f>
        <v>4.7964214531538936</v>
      </c>
      <c r="W45" s="332">
        <f ca="1">INDEX(OFFSET('Baseline NFPC'!$D$1:$W$1,$D45-1,0),MATCH(W$4,'Baseline NFPC'!$D$10:$W$10,0))</f>
        <v>4.9250431476025973</v>
      </c>
      <c r="X45" s="332">
        <f ca="1">INDEX(OFFSET('Baseline NFPC'!$D$1:$W$1,$D45-1,0),MATCH(X$4,'Baseline NFPC'!$D$10:$W$10,0))</f>
        <v>5.0507210654501851</v>
      </c>
      <c r="Y45" s="271"/>
    </row>
    <row r="46" spans="1:25" x14ac:dyDescent="0.2">
      <c r="A46" s="271"/>
      <c r="B46" s="339">
        <v>6</v>
      </c>
      <c r="C46" s="346" t="s">
        <v>94</v>
      </c>
      <c r="D46" s="344">
        <v>36</v>
      </c>
      <c r="E46" s="345" t="s">
        <v>227</v>
      </c>
      <c r="F46" s="332">
        <f ca="1">INDEX(OFFSET('Baseline NFPC'!$D$1:$W$1,$D46-1,0),MATCH(F$4,'Baseline NFPC'!$D$10:$W$10,0))</f>
        <v>2.99</v>
      </c>
      <c r="G46" s="332">
        <f ca="1">INDEX(OFFSET('Baseline NFPC'!$D$1:$W$1,$D46-1,0),MATCH(G$4,'Baseline NFPC'!$D$10:$W$10,0))</f>
        <v>2.964537</v>
      </c>
      <c r="H46" s="332">
        <f ca="1">INDEX(OFFSET('Baseline NFPC'!$D$1:$W$1,$D46-1,0),MATCH(H$4,'Baseline NFPC'!$D$10:$W$10,0))</f>
        <v>3.0634350000000001</v>
      </c>
      <c r="I46" s="332">
        <f ca="1">INDEX(OFFSET('Baseline NFPC'!$D$1:$W$1,$D46-1,0),MATCH(I$4,'Baseline NFPC'!$D$10:$W$10,0))</f>
        <v>3.1385131250000002</v>
      </c>
      <c r="J46" s="332">
        <f ca="1">INDEX(OFFSET('Baseline NFPC'!$D$1:$W$1,$D46-1,0),MATCH(J$4,'Baseline NFPC'!$D$10:$W$10,0))</f>
        <v>3.2135912500000003</v>
      </c>
      <c r="K46" s="332">
        <f ca="1">INDEX(OFFSET('Baseline NFPC'!$D$1:$W$1,$D46-1,0),MATCH(K$4,'Baseline NFPC'!$D$10:$W$10,0))</f>
        <v>3.2886693750000004</v>
      </c>
      <c r="L46" s="332">
        <f ca="1">INDEX(OFFSET('Baseline NFPC'!$D$1:$W$1,$D46-1,0),MATCH(L$4,'Baseline NFPC'!$D$10:$W$10,0))</f>
        <v>3.3637475000000006</v>
      </c>
      <c r="M46" s="332">
        <f ca="1">INDEX(OFFSET('Baseline NFPC'!$D$1:$W$1,$D46-1,0),MATCH(M$4,'Baseline NFPC'!$D$10:$W$10,0))</f>
        <v>3.4388256250000007</v>
      </c>
      <c r="N46" s="332">
        <f ca="1">INDEX(OFFSET('Baseline NFPC'!$D$1:$W$1,$D46-1,0),MATCH(N$4,'Baseline NFPC'!$D$10:$W$10,0))</f>
        <v>3.5139037500000008</v>
      </c>
      <c r="O46" s="332">
        <f ca="1">INDEX(OFFSET('Baseline NFPC'!$D$1:$W$1,$D46-1,0),MATCH(O$4,'Baseline NFPC'!$D$10:$W$10,0))</f>
        <v>3.5889818750000009</v>
      </c>
      <c r="P46" s="332">
        <f ca="1">INDEX(OFFSET('Baseline NFPC'!$D$1:$W$1,$D46-1,0),MATCH(P$4,'Baseline NFPC'!$D$10:$W$10,0))</f>
        <v>3.6640600000000001</v>
      </c>
      <c r="Q46" s="332">
        <f ca="1">INDEX(OFFSET('Baseline NFPC'!$D$1:$W$1,$D46-1,0),MATCH(Q$4,'Baseline NFPC'!$D$10:$W$10,0))</f>
        <v>3.680857</v>
      </c>
      <c r="R46" s="332">
        <f ca="1">INDEX(OFFSET('Baseline NFPC'!$D$1:$W$1,$D46-1,0),MATCH(R$4,'Baseline NFPC'!$D$10:$W$10,0))</f>
        <v>3.697654</v>
      </c>
      <c r="S46" s="332">
        <f ca="1">INDEX(OFFSET('Baseline NFPC'!$D$1:$W$1,$D46-1,0),MATCH(S$4,'Baseline NFPC'!$D$10:$W$10,0))</f>
        <v>3.7144509999999999</v>
      </c>
      <c r="T46" s="332">
        <f ca="1">INDEX(OFFSET('Baseline NFPC'!$D$1:$W$1,$D46-1,0),MATCH(T$4,'Baseline NFPC'!$D$10:$W$10,0))</f>
        <v>3.7312479999999999</v>
      </c>
      <c r="U46" s="332">
        <f ca="1">INDEX(OFFSET('Baseline NFPC'!$D$1:$W$1,$D46-1,0),MATCH(U$4,'Baseline NFPC'!$D$10:$W$10,0))</f>
        <v>3.7480450000000003</v>
      </c>
      <c r="V46" s="332">
        <f ca="1">INDEX(OFFSET('Baseline NFPC'!$D$1:$W$1,$D46-1,0),MATCH(V$4,'Baseline NFPC'!$D$10:$W$10,0))</f>
        <v>3.7648420000000002</v>
      </c>
      <c r="W46" s="332">
        <f ca="1">INDEX(OFFSET('Baseline NFPC'!$D$1:$W$1,$D46-1,0),MATCH(W$4,'Baseline NFPC'!$D$10:$W$10,0))</f>
        <v>3.7816390000000002</v>
      </c>
      <c r="X46" s="332">
        <f ca="1">INDEX(OFFSET('Baseline NFPC'!$D$1:$W$1,$D46-1,0),MATCH(X$4,'Baseline NFPC'!$D$10:$W$10,0))</f>
        <v>3.7984360000000001</v>
      </c>
      <c r="Y46" s="271"/>
    </row>
    <row r="47" spans="1:25" x14ac:dyDescent="0.2">
      <c r="A47" s="271"/>
      <c r="B47" s="339">
        <v>7</v>
      </c>
      <c r="C47" s="346" t="s">
        <v>95</v>
      </c>
      <c r="D47" s="344">
        <v>37</v>
      </c>
      <c r="E47" s="345" t="s">
        <v>227</v>
      </c>
      <c r="F47" s="332">
        <f ca="1">INDEX(OFFSET('Baseline NFPC'!$D$1:$W$1,$D47-1,0),MATCH(F$4,'Baseline NFPC'!$D$10:$W$10,0))</f>
        <v>3.43</v>
      </c>
      <c r="G47" s="332">
        <f ca="1">INDEX(OFFSET('Baseline NFPC'!$D$1:$W$1,$D47-1,0),MATCH(G$4,'Baseline NFPC'!$D$10:$W$10,0))</f>
        <v>3.5642079999999998</v>
      </c>
      <c r="H47" s="332">
        <f ca="1">INDEX(OFFSET('Baseline NFPC'!$D$1:$W$1,$D47-1,0),MATCH(H$4,'Baseline NFPC'!$D$10:$W$10,0))</f>
        <v>2.8163749999999999</v>
      </c>
      <c r="I47" s="332">
        <f ca="1">INDEX(OFFSET('Baseline NFPC'!$D$1:$W$1,$D47-1,0),MATCH(I$4,'Baseline NFPC'!$D$10:$W$10,0))</f>
        <v>2.8050893749999997</v>
      </c>
      <c r="J47" s="332">
        <f ca="1">INDEX(OFFSET('Baseline NFPC'!$D$1:$W$1,$D47-1,0),MATCH(J$4,'Baseline NFPC'!$D$10:$W$10,0))</f>
        <v>2.7938037499999995</v>
      </c>
      <c r="K47" s="332">
        <f ca="1">INDEX(OFFSET('Baseline NFPC'!$D$1:$W$1,$D47-1,0),MATCH(K$4,'Baseline NFPC'!$D$10:$W$10,0))</f>
        <v>2.7825181249999993</v>
      </c>
      <c r="L47" s="332">
        <f ca="1">INDEX(OFFSET('Baseline NFPC'!$D$1:$W$1,$D47-1,0),MATCH(L$4,'Baseline NFPC'!$D$10:$W$10,0))</f>
        <v>2.7712324999999991</v>
      </c>
      <c r="M47" s="332">
        <f ca="1">INDEX(OFFSET('Baseline NFPC'!$D$1:$W$1,$D47-1,0),MATCH(M$4,'Baseline NFPC'!$D$10:$W$10,0))</f>
        <v>2.7599468749999989</v>
      </c>
      <c r="N47" s="332">
        <f ca="1">INDEX(OFFSET('Baseline NFPC'!$D$1:$W$1,$D47-1,0),MATCH(N$4,'Baseline NFPC'!$D$10:$W$10,0))</f>
        <v>2.7486612499999987</v>
      </c>
      <c r="O47" s="332">
        <f ca="1">INDEX(OFFSET('Baseline NFPC'!$D$1:$W$1,$D47-1,0),MATCH(O$4,'Baseline NFPC'!$D$10:$W$10,0))</f>
        <v>2.7373756249999985</v>
      </c>
      <c r="P47" s="332">
        <f ca="1">INDEX(OFFSET('Baseline NFPC'!$D$1:$W$1,$D47-1,0),MATCH(P$4,'Baseline NFPC'!$D$10:$W$10,0))</f>
        <v>2.7260900000000001</v>
      </c>
      <c r="Q47" s="332">
        <f ca="1">INDEX(OFFSET('Baseline NFPC'!$D$1:$W$1,$D47-1,0),MATCH(Q$4,'Baseline NFPC'!$D$10:$W$10,0))</f>
        <v>2.6897855000000002</v>
      </c>
      <c r="R47" s="332">
        <f ca="1">INDEX(OFFSET('Baseline NFPC'!$D$1:$W$1,$D47-1,0),MATCH(R$4,'Baseline NFPC'!$D$10:$W$10,0))</f>
        <v>2.6534810000000002</v>
      </c>
      <c r="S47" s="332">
        <f ca="1">INDEX(OFFSET('Baseline NFPC'!$D$1:$W$1,$D47-1,0),MATCH(S$4,'Baseline NFPC'!$D$10:$W$10,0))</f>
        <v>2.6171765000000002</v>
      </c>
      <c r="T47" s="332">
        <f ca="1">INDEX(OFFSET('Baseline NFPC'!$D$1:$W$1,$D47-1,0),MATCH(T$4,'Baseline NFPC'!$D$10:$W$10,0))</f>
        <v>2.5808720000000003</v>
      </c>
      <c r="U47" s="332">
        <f ca="1">INDEX(OFFSET('Baseline NFPC'!$D$1:$W$1,$D47-1,0),MATCH(U$4,'Baseline NFPC'!$D$10:$W$10,0))</f>
        <v>2.5445675000000003</v>
      </c>
      <c r="V47" s="332">
        <f ca="1">INDEX(OFFSET('Baseline NFPC'!$D$1:$W$1,$D47-1,0),MATCH(V$4,'Baseline NFPC'!$D$10:$W$10,0))</f>
        <v>2.5082629999999999</v>
      </c>
      <c r="W47" s="332">
        <f ca="1">INDEX(OFFSET('Baseline NFPC'!$D$1:$W$1,$D47-1,0),MATCH(W$4,'Baseline NFPC'!$D$10:$W$10,0))</f>
        <v>2.4719584999999999</v>
      </c>
      <c r="X47" s="332">
        <f ca="1">INDEX(OFFSET('Baseline NFPC'!$D$1:$W$1,$D47-1,0),MATCH(X$4,'Baseline NFPC'!$D$10:$W$10,0))</f>
        <v>2.435654</v>
      </c>
      <c r="Y47" s="271"/>
    </row>
    <row r="48" spans="1:25" x14ac:dyDescent="0.2">
      <c r="A48" s="271"/>
      <c r="B48" s="339">
        <v>8</v>
      </c>
      <c r="C48" s="343" t="s">
        <v>228</v>
      </c>
      <c r="D48" s="344">
        <v>35</v>
      </c>
      <c r="E48" s="345" t="s">
        <v>227</v>
      </c>
      <c r="F48" s="332">
        <f ca="1">INDEX(OFFSET('Baseline NFPC'!$D$1:$W$1,$D48-1,0),MATCH(F$4,'Baseline NFPC'!$D$10:$W$10,0))</f>
        <v>1.6360269999999999</v>
      </c>
      <c r="G48" s="332">
        <f ca="1">INDEX(OFFSET('Baseline NFPC'!$D$1:$W$1,$D48-1,0),MATCH(G$4,'Baseline NFPC'!$D$10:$W$10,0))</f>
        <v>1.90473</v>
      </c>
      <c r="H48" s="332">
        <f ca="1">INDEX(OFFSET('Baseline NFPC'!$D$1:$W$1,$D48-1,0),MATCH(H$4,'Baseline NFPC'!$D$10:$W$10,0))</f>
        <v>2.1499329999999999</v>
      </c>
      <c r="I48" s="332">
        <f ca="1">INDEX(OFFSET('Baseline NFPC'!$D$1:$W$1,$D48-1,0),MATCH(I$4,'Baseline NFPC'!$D$10:$W$10,0))</f>
        <v>2.2735288450021978</v>
      </c>
      <c r="J48" s="332">
        <f ca="1">INDEX(OFFSET('Baseline NFPC'!$D$1:$W$1,$D48-1,0),MATCH(J$4,'Baseline NFPC'!$D$10:$W$10,0))</f>
        <v>2.3832330509810404</v>
      </c>
      <c r="K48" s="332">
        <f ca="1">INDEX(OFFSET('Baseline NFPC'!$D$1:$W$1,$D48-1,0),MATCH(K$4,'Baseline NFPC'!$D$10:$W$10,0))</f>
        <v>2.4889795053267907</v>
      </c>
      <c r="L48" s="332">
        <f ca="1">INDEX(OFFSET('Baseline NFPC'!$D$1:$W$1,$D48-1,0),MATCH(L$4,'Baseline NFPC'!$D$10:$W$10,0))</f>
        <v>2.5906595591004873</v>
      </c>
      <c r="M48" s="332">
        <f ca="1">INDEX(OFFSET('Baseline NFPC'!$D$1:$W$1,$D48-1,0),MATCH(M$4,'Baseline NFPC'!$D$10:$W$10,0))</f>
        <v>2.6883566594647159</v>
      </c>
      <c r="N48" s="332">
        <f ca="1">INDEX(OFFSET('Baseline NFPC'!$D$1:$W$1,$D48-1,0),MATCH(N$4,'Baseline NFPC'!$D$10:$W$10,0))</f>
        <v>2.7826023685247629</v>
      </c>
      <c r="O48" s="332">
        <f ca="1">INDEX(OFFSET('Baseline NFPC'!$D$1:$W$1,$D48-1,0),MATCH(O$4,'Baseline NFPC'!$D$10:$W$10,0))</f>
        <v>2.8737996190675608</v>
      </c>
      <c r="P48" s="332">
        <f ca="1">INDEX(OFFSET('Baseline NFPC'!$D$1:$W$1,$D48-1,0),MATCH(P$4,'Baseline NFPC'!$D$10:$W$10,0))</f>
        <v>2.9623797609474916</v>
      </c>
      <c r="Q48" s="332">
        <f ca="1">INDEX(OFFSET('Baseline NFPC'!$D$1:$W$1,$D48-1,0),MATCH(Q$4,'Baseline NFPC'!$D$10:$W$10,0))</f>
        <v>3.0394394966699005</v>
      </c>
      <c r="R48" s="332">
        <f ca="1">INDEX(OFFSET('Baseline NFPC'!$D$1:$W$1,$D48-1,0),MATCH(R$4,'Baseline NFPC'!$D$10:$W$10,0))</f>
        <v>3.1083183062860598</v>
      </c>
      <c r="S48" s="332">
        <f ca="1">INDEX(OFFSET('Baseline NFPC'!$D$1:$W$1,$D48-1,0),MATCH(S$4,'Baseline NFPC'!$D$10:$W$10,0))</f>
        <v>3.1698315853658028</v>
      </c>
      <c r="T48" s="332">
        <f ca="1">INDEX(OFFSET('Baseline NFPC'!$D$1:$W$1,$D48-1,0),MATCH(T$4,'Baseline NFPC'!$D$10:$W$10,0))</f>
        <v>3.2249199357753002</v>
      </c>
      <c r="U48" s="332">
        <f ca="1">INDEX(OFFSET('Baseline NFPC'!$D$1:$W$1,$D48-1,0),MATCH(U$4,'Baseline NFPC'!$D$10:$W$10,0))</f>
        <v>3.2743998224061914</v>
      </c>
      <c r="V48" s="332">
        <f ca="1">INDEX(OFFSET('Baseline NFPC'!$D$1:$W$1,$D48-1,0),MATCH(V$4,'Baseline NFPC'!$D$10:$W$10,0))</f>
        <v>3.3189812441653301</v>
      </c>
      <c r="W48" s="332">
        <f ca="1">INDEX(OFFSET('Baseline NFPC'!$D$1:$W$1,$D48-1,0),MATCH(W$4,'Baseline NFPC'!$D$10:$W$10,0))</f>
        <v>3.3592824631467342</v>
      </c>
      <c r="X48" s="332">
        <f ca="1">INDEX(OFFSET('Baseline NFPC'!$D$1:$W$1,$D48-1,0),MATCH(X$4,'Baseline NFPC'!$D$10:$W$10,0))</f>
        <v>3.3958359577732216</v>
      </c>
      <c r="Y48" s="271"/>
    </row>
    <row r="49" spans="1:25" x14ac:dyDescent="0.2">
      <c r="A49" s="271"/>
      <c r="B49" s="339">
        <v>9</v>
      </c>
      <c r="C49" s="347" t="s">
        <v>62</v>
      </c>
      <c r="D49" s="344">
        <v>26</v>
      </c>
      <c r="E49" s="345" t="s">
        <v>230</v>
      </c>
      <c r="F49" s="332">
        <f ca="1">(INDEX(OFFSET('Baseline NFPC'!$D$1:$W$1,$D49-1,0),MATCH(F$4,'Baseline NFPC'!$D$10:$W$10,0))/INDEX(OFFSET('Baseline NFPC'!$D$1:$W$1,$D49-1,0),MATCH(E$4,'Baseline NFPC'!$D$10:$W$10,0))-1)*100</f>
        <v>1.1356479999999891</v>
      </c>
      <c r="G49" s="332">
        <f ca="1">(INDEX(OFFSET('Baseline NFPC'!$D$1:$W$1,$D49-1,0),MATCH(G$4,'Baseline NFPC'!$D$10:$W$10,0))/INDEX(OFFSET('Baseline NFPC'!$D$1:$W$1,$D49-1,0),MATCH(F$4,'Baseline NFPC'!$D$10:$W$10,0))-1)*100</f>
        <v>1.0878189999999899</v>
      </c>
      <c r="H49" s="332">
        <f ca="1">(INDEX(OFFSET('Baseline NFPC'!$D$1:$W$1,$D49-1,0),MATCH(H$4,'Baseline NFPC'!$D$10:$W$10,0))/INDEX(OFFSET('Baseline NFPC'!$D$1:$W$1,$D49-1,0),MATCH(G$4,'Baseline NFPC'!$D$10:$W$10,0))-1)*100</f>
        <v>1.0005299999999995</v>
      </c>
      <c r="I49" s="332">
        <f ca="1">(INDEX(OFFSET('Baseline NFPC'!$D$1:$W$1,$D49-1,0),MATCH(I$4,'Baseline NFPC'!$D$10:$W$10,0))/INDEX(OFFSET('Baseline NFPC'!$D$1:$W$1,$D49-1,0),MATCH(H$4,'Baseline NFPC'!$D$10:$W$10,0))-1)*100</f>
        <v>0.6282173000000002</v>
      </c>
      <c r="J49" s="332">
        <f ca="1">(INDEX(OFFSET('Baseline NFPC'!$D$1:$W$1,$D49-1,0),MATCH(J$4,'Baseline NFPC'!$D$10:$W$10,0))/INDEX(OFFSET('Baseline NFPC'!$D$1:$W$1,$D49-1,0),MATCH(I$4,'Baseline NFPC'!$D$10:$W$10,0))-1)*100</f>
        <v>0.44240410000000452</v>
      </c>
      <c r="K49" s="332">
        <f ca="1">(INDEX(OFFSET('Baseline NFPC'!$D$1:$W$1,$D49-1,0),MATCH(K$4,'Baseline NFPC'!$D$10:$W$10,0))/INDEX(OFFSET('Baseline NFPC'!$D$1:$W$1,$D49-1,0),MATCH(J$4,'Baseline NFPC'!$D$10:$W$10,0))-1)*100</f>
        <v>0.34337840000000508</v>
      </c>
      <c r="L49" s="332">
        <f ca="1">(INDEX(OFFSET('Baseline NFPC'!$D$1:$W$1,$D49-1,0),MATCH(L$4,'Baseline NFPC'!$D$10:$W$10,0))/INDEX(OFFSET('Baseline NFPC'!$D$1:$W$1,$D49-1,0),MATCH(K$4,'Baseline NFPC'!$D$10:$W$10,0))-1)*100</f>
        <v>0.34188379999999796</v>
      </c>
      <c r="M49" s="332">
        <f ca="1">(INDEX(OFFSET('Baseline NFPC'!$D$1:$W$1,$D49-1,0),MATCH(M$4,'Baseline NFPC'!$D$10:$W$10,0))/INDEX(OFFSET('Baseline NFPC'!$D$1:$W$1,$D49-1,0),MATCH(L$4,'Baseline NFPC'!$D$10:$W$10,0))-1)*100</f>
        <v>0.35059799999999086</v>
      </c>
      <c r="N49" s="332">
        <f ca="1">(INDEX(OFFSET('Baseline NFPC'!$D$1:$W$1,$D49-1,0),MATCH(N$4,'Baseline NFPC'!$D$10:$W$10,0))/INDEX(OFFSET('Baseline NFPC'!$D$1:$W$1,$D49-1,0),MATCH(M$4,'Baseline NFPC'!$D$10:$W$10,0))-1)*100</f>
        <v>0.3732269999999982</v>
      </c>
      <c r="O49" s="332">
        <f ca="1">(INDEX(OFFSET('Baseline NFPC'!$D$1:$W$1,$D49-1,0),MATCH(O$4,'Baseline NFPC'!$D$10:$W$10,0))/INDEX(OFFSET('Baseline NFPC'!$D$1:$W$1,$D49-1,0),MATCH(N$4,'Baseline NFPC'!$D$10:$W$10,0))-1)*100</f>
        <v>0.40285069999999035</v>
      </c>
      <c r="P49" s="332">
        <f ca="1">(INDEX(OFFSET('Baseline NFPC'!$D$1:$W$1,$D49-1,0),MATCH(P$4,'Baseline NFPC'!$D$10:$W$10,0))/INDEX(OFFSET('Baseline NFPC'!$D$1:$W$1,$D49-1,0),MATCH(O$4,'Baseline NFPC'!$D$10:$W$10,0))-1)*100</f>
        <v>0.3851049999999967</v>
      </c>
      <c r="Q49" s="332">
        <f ca="1">(INDEX(OFFSET('Baseline NFPC'!$D$1:$W$1,$D49-1,0),MATCH(Q$4,'Baseline NFPC'!$D$10:$W$10,0))/INDEX(OFFSET('Baseline NFPC'!$D$1:$W$1,$D49-1,0),MATCH(P$4,'Baseline NFPC'!$D$10:$W$10,0))-1)*100</f>
        <v>0.56971009999999822</v>
      </c>
      <c r="R49" s="332">
        <f ca="1">(INDEX(OFFSET('Baseline NFPC'!$D$1:$W$1,$D49-1,0),MATCH(R$4,'Baseline NFPC'!$D$10:$W$10,0))/INDEX(OFFSET('Baseline NFPC'!$D$1:$W$1,$D49-1,0),MATCH(Q$4,'Baseline NFPC'!$D$10:$W$10,0))-1)*100</f>
        <v>0.75431539999999409</v>
      </c>
      <c r="S49" s="332">
        <f ca="1">(INDEX(OFFSET('Baseline NFPC'!$D$1:$W$1,$D49-1,0),MATCH(S$4,'Baseline NFPC'!$D$10:$W$10,0))/INDEX(OFFSET('Baseline NFPC'!$D$1:$W$1,$D49-1,0),MATCH(R$4,'Baseline NFPC'!$D$10:$W$10,0))-1)*100</f>
        <v>0.93892060000000388</v>
      </c>
      <c r="T49" s="332">
        <f ca="1">(INDEX(OFFSET('Baseline NFPC'!$D$1:$W$1,$D49-1,0),MATCH(T$4,'Baseline NFPC'!$D$10:$W$10,0))/INDEX(OFFSET('Baseline NFPC'!$D$1:$W$1,$D49-1,0),MATCH(S$4,'Baseline NFPC'!$D$10:$W$10,0))-1)*100</f>
        <v>1.0421100000000072</v>
      </c>
      <c r="U49" s="332">
        <f ca="1">(INDEX(OFFSET('Baseline NFPC'!$D$1:$W$1,$D49-1,0),MATCH(U$4,'Baseline NFPC'!$D$10:$W$10,0))/INDEX(OFFSET('Baseline NFPC'!$D$1:$W$1,$D49-1,0),MATCH(T$4,'Baseline NFPC'!$D$10:$W$10,0))-1)*100</f>
        <v>1.1754040000000021</v>
      </c>
      <c r="V49" s="332">
        <f ca="1">(INDEX(OFFSET('Baseline NFPC'!$D$1:$W$1,$D49-1,0),MATCH(V$4,'Baseline NFPC'!$D$10:$W$10,0))/INDEX(OFFSET('Baseline NFPC'!$D$1:$W$1,$D49-1,0),MATCH(U$4,'Baseline NFPC'!$D$10:$W$10,0))-1)*100</f>
        <v>1.3290009999999963</v>
      </c>
      <c r="W49" s="332">
        <f ca="1">(INDEX(OFFSET('Baseline NFPC'!$D$1:$W$1,$D49-1,0),MATCH(W$4,'Baseline NFPC'!$D$10:$W$10,0))/INDEX(OFFSET('Baseline NFPC'!$D$1:$W$1,$D49-1,0),MATCH(V$4,'Baseline NFPC'!$D$10:$W$10,0))-1)*100</f>
        <v>1.5112330000000007</v>
      </c>
      <c r="X49" s="332">
        <f ca="1">(INDEX(OFFSET('Baseline NFPC'!$D$1:$W$1,$D49-1,0),MATCH(X$4,'Baseline NFPC'!$D$10:$W$10,0))/INDEX(OFFSET('Baseline NFPC'!$D$1:$W$1,$D49-1,0),MATCH(W$4,'Baseline NFPC'!$D$10:$W$10,0))-1)*100</f>
        <v>1.5410750000000029</v>
      </c>
      <c r="Y49" s="271"/>
    </row>
    <row r="50" spans="1:25" x14ac:dyDescent="0.2">
      <c r="A50" s="271"/>
      <c r="B50" s="339">
        <v>10</v>
      </c>
      <c r="C50" s="335" t="s">
        <v>231</v>
      </c>
      <c r="D50" s="344">
        <v>23</v>
      </c>
      <c r="E50" s="345" t="s">
        <v>230</v>
      </c>
      <c r="F50" s="332">
        <f ca="1">INDEX(OFFSET('Baseline NFPC'!$D$1:$W$1,$D50-1,0),MATCH(F$4,'Baseline NFPC'!$D$10:$W$10,0))</f>
        <v>0.70371839999999997</v>
      </c>
      <c r="G50" s="332">
        <f ca="1">INDEX(OFFSET('Baseline NFPC'!$D$1:$W$1,$D50-1,0),MATCH(G$4,'Baseline NFPC'!$D$10:$W$10,0))</f>
        <v>0.72849039999999998</v>
      </c>
      <c r="H50" s="332">
        <f ca="1">INDEX(OFFSET('Baseline NFPC'!$D$1:$W$1,$D50-1,0),MATCH(H$4,'Baseline NFPC'!$D$10:$W$10,0))</f>
        <v>1.594902</v>
      </c>
      <c r="I50" s="332">
        <f ca="1">INDEX(OFFSET('Baseline NFPC'!$D$1:$W$1,$D50-1,0),MATCH(I$4,'Baseline NFPC'!$D$10:$W$10,0))</f>
        <v>0.57811400000000734</v>
      </c>
      <c r="J50" s="332">
        <f ca="1">INDEX(OFFSET('Baseline NFPC'!$D$1:$W$1,$D50-1,0),MATCH(J$4,'Baseline NFPC'!$D$10:$W$10,0))</f>
        <v>0.37569920000000145</v>
      </c>
      <c r="K50" s="332">
        <f ca="1">INDEX(OFFSET('Baseline NFPC'!$D$1:$W$1,$D50-1,0),MATCH(K$4,'Baseline NFPC'!$D$10:$W$10,0))</f>
        <v>0.31004249999999622</v>
      </c>
      <c r="L50" s="332">
        <f ca="1">INDEX(OFFSET('Baseline NFPC'!$D$1:$W$1,$D50-1,0),MATCH(L$4,'Baseline NFPC'!$D$10:$W$10,0))</f>
        <v>0.34188239999999315</v>
      </c>
      <c r="M50" s="332">
        <f ca="1">INDEX(OFFSET('Baseline NFPC'!$D$1:$W$1,$D50-1,0),MATCH(M$4,'Baseline NFPC'!$D$10:$W$10,0))</f>
        <v>0.35059989999999264</v>
      </c>
      <c r="N50" s="332">
        <f ca="1">INDEX(OFFSET('Baseline NFPC'!$D$1:$W$1,$D50-1,0),MATCH(N$4,'Baseline NFPC'!$D$10:$W$10,0))</f>
        <v>0.37322289999999203</v>
      </c>
      <c r="O50" s="332">
        <f ca="1">INDEX(OFFSET('Baseline NFPC'!$D$1:$W$1,$D50-1,0),MATCH(O$4,'Baseline NFPC'!$D$10:$W$10,0))</f>
        <v>0.40285550000001003</v>
      </c>
      <c r="P50" s="332">
        <f ca="1">INDEX(OFFSET('Baseline NFPC'!$D$1:$W$1,$D50-1,0),MATCH(P$4,'Baseline NFPC'!$D$10:$W$10,0))</f>
        <v>0.38510769999999805</v>
      </c>
      <c r="Q50" s="332">
        <f ca="1">INDEX(OFFSET('Baseline NFPC'!$D$1:$W$1,$D50-1,0),MATCH(Q$4,'Baseline NFPC'!$D$10:$W$10,0))</f>
        <v>0.56971390000000177</v>
      </c>
      <c r="R50" s="332">
        <f ca="1">INDEX(OFFSET('Baseline NFPC'!$D$1:$W$1,$D50-1,0),MATCH(R$4,'Baseline NFPC'!$D$10:$W$10,0))</f>
        <v>0.75431990000001115</v>
      </c>
      <c r="S50" s="332">
        <f ca="1">INDEX(OFFSET('Baseline NFPC'!$D$1:$W$1,$D50-1,0),MATCH(S$4,'Baseline NFPC'!$D$10:$W$10,0))</f>
        <v>0.93892149999998953</v>
      </c>
      <c r="T50" s="332">
        <f ca="1">INDEX(OFFSET('Baseline NFPC'!$D$1:$W$1,$D50-1,0),MATCH(T$4,'Baseline NFPC'!$D$10:$W$10,0))</f>
        <v>1.042111999999995</v>
      </c>
      <c r="U50" s="332">
        <f ca="1">INDEX(OFFSET('Baseline NFPC'!$D$1:$W$1,$D50-1,0),MATCH(U$4,'Baseline NFPC'!$D$10:$W$10,0))</f>
        <v>1.1754000000000042</v>
      </c>
      <c r="V50" s="332">
        <f ca="1">INDEX(OFFSET('Baseline NFPC'!$D$1:$W$1,$D50-1,0),MATCH(V$4,'Baseline NFPC'!$D$10:$W$10,0))</f>
        <v>1.3289990000000085</v>
      </c>
      <c r="W50" s="332">
        <f ca="1">INDEX(OFFSET('Baseline NFPC'!$D$1:$W$1,$D50-1,0),MATCH(W$4,'Baseline NFPC'!$D$10:$W$10,0))</f>
        <v>1.5112290000000028</v>
      </c>
      <c r="X50" s="332">
        <f ca="1">INDEX(OFFSET('Baseline NFPC'!$D$1:$W$1,$D50-1,0),MATCH(X$4,'Baseline NFPC'!$D$10:$W$10,0))</f>
        <v>1.5410790000000008</v>
      </c>
      <c r="Y50" s="271"/>
    </row>
    <row r="51" spans="1:25" x14ac:dyDescent="0.2">
      <c r="A51" s="271"/>
      <c r="B51" s="339">
        <v>11</v>
      </c>
      <c r="C51" s="348" t="s">
        <v>232</v>
      </c>
      <c r="D51" s="344">
        <v>41</v>
      </c>
      <c r="E51" s="345" t="s">
        <v>230</v>
      </c>
      <c r="F51" s="332">
        <f ca="1">INDEX(OFFSET('Baseline NFPC'!$D$1:$W$1,$D51-1,0),MATCH(F$4,'Baseline NFPC'!$D$10:$W$10,0))</f>
        <v>5.4723360000000003</v>
      </c>
      <c r="G51" s="332">
        <f ca="1">INDEX(OFFSET('Baseline NFPC'!$D$1:$W$1,$D51-1,0),MATCH(G$4,'Baseline NFPC'!$D$10:$W$10,0))</f>
        <v>2.7681049999999998</v>
      </c>
      <c r="H51" s="332">
        <f ca="1">INDEX(OFFSET('Baseline NFPC'!$D$1:$W$1,$D51-1,0),MATCH(H$4,'Baseline NFPC'!$D$10:$W$10,0))</f>
        <v>2.041757</v>
      </c>
      <c r="I51" s="332">
        <f ca="1">INDEX(OFFSET('Baseline NFPC'!$D$1:$W$1,$D51-1,0),MATCH(I$4,'Baseline NFPC'!$D$10:$W$10,0))</f>
        <v>2.1052873750000001</v>
      </c>
      <c r="J51" s="332">
        <f ca="1">INDEX(OFFSET('Baseline NFPC'!$D$1:$W$1,$D51-1,0),MATCH(J$4,'Baseline NFPC'!$D$10:$W$10,0))</f>
        <v>2.1688177500000001</v>
      </c>
      <c r="K51" s="332">
        <f ca="1">INDEX(OFFSET('Baseline NFPC'!$D$1:$W$1,$D51-1,0),MATCH(K$4,'Baseline NFPC'!$D$10:$W$10,0))</f>
        <v>2.2323481250000001</v>
      </c>
      <c r="L51" s="332">
        <f ca="1">INDEX(OFFSET('Baseline NFPC'!$D$1:$W$1,$D51-1,0),MATCH(L$4,'Baseline NFPC'!$D$10:$W$10,0))</f>
        <v>2.2958784999999997</v>
      </c>
      <c r="M51" s="332">
        <f ca="1">INDEX(OFFSET('Baseline NFPC'!$D$1:$W$1,$D51-1,0),MATCH(M$4,'Baseline NFPC'!$D$10:$W$10,0))</f>
        <v>2.3594088749999997</v>
      </c>
      <c r="N51" s="332">
        <f ca="1">INDEX(OFFSET('Baseline NFPC'!$D$1:$W$1,$D51-1,0),MATCH(N$4,'Baseline NFPC'!$D$10:$W$10,0))</f>
        <v>2.4229392499999998</v>
      </c>
      <c r="O51" s="332">
        <f ca="1">INDEX(OFFSET('Baseline NFPC'!$D$1:$W$1,$D51-1,0),MATCH(O$4,'Baseline NFPC'!$D$10:$W$10,0))</f>
        <v>2.4864696249999998</v>
      </c>
      <c r="P51" s="332">
        <f ca="1">INDEX(OFFSET('Baseline NFPC'!$D$1:$W$1,$D51-1,0),MATCH(P$4,'Baseline NFPC'!$D$10:$W$10,0))</f>
        <v>2.5499999999999998</v>
      </c>
      <c r="Q51" s="332">
        <f ca="1">INDEX(OFFSET('Baseline NFPC'!$D$1:$W$1,$D51-1,0),MATCH(Q$4,'Baseline NFPC'!$D$10:$W$10,0))</f>
        <v>2.5225</v>
      </c>
      <c r="R51" s="332">
        <f ca="1">INDEX(OFFSET('Baseline NFPC'!$D$1:$W$1,$D51-1,0),MATCH(R$4,'Baseline NFPC'!$D$10:$W$10,0))</f>
        <v>2.4949999999999997</v>
      </c>
      <c r="S51" s="332">
        <f ca="1">INDEX(OFFSET('Baseline NFPC'!$D$1:$W$1,$D51-1,0),MATCH(S$4,'Baseline NFPC'!$D$10:$W$10,0))</f>
        <v>2.4674999999999998</v>
      </c>
      <c r="T51" s="332">
        <f ca="1">INDEX(OFFSET('Baseline NFPC'!$D$1:$W$1,$D51-1,0),MATCH(T$4,'Baseline NFPC'!$D$10:$W$10,0))</f>
        <v>2.44</v>
      </c>
      <c r="U51" s="332">
        <f ca="1">INDEX(OFFSET('Baseline NFPC'!$D$1:$W$1,$D51-1,0),MATCH(U$4,'Baseline NFPC'!$D$10:$W$10,0))</f>
        <v>2.4124999999999996</v>
      </c>
      <c r="V51" s="332">
        <f ca="1">INDEX(OFFSET('Baseline NFPC'!$D$1:$W$1,$D51-1,0),MATCH(V$4,'Baseline NFPC'!$D$10:$W$10,0))</f>
        <v>2.3849999999999998</v>
      </c>
      <c r="W51" s="332">
        <f ca="1">INDEX(OFFSET('Baseline NFPC'!$D$1:$W$1,$D51-1,0),MATCH(W$4,'Baseline NFPC'!$D$10:$W$10,0))</f>
        <v>2.3574999999999999</v>
      </c>
      <c r="X51" s="332">
        <f ca="1">INDEX(OFFSET('Baseline NFPC'!$D$1:$W$1,$D51-1,0),MATCH(X$4,'Baseline NFPC'!$D$10:$W$10,0))</f>
        <v>2.33</v>
      </c>
      <c r="Y51" s="271"/>
    </row>
    <row r="52" spans="1:25" x14ac:dyDescent="0.2">
      <c r="A52" s="271"/>
      <c r="B52" s="339">
        <v>12</v>
      </c>
      <c r="C52" s="335" t="s">
        <v>233</v>
      </c>
      <c r="D52" s="344">
        <v>32</v>
      </c>
      <c r="E52" s="345" t="s">
        <v>230</v>
      </c>
      <c r="F52" s="332">
        <f ca="1">INDEX(OFFSET('Baseline NFPC'!$D$1:$W$1,$D52-1,0),MATCH(F$4,'Baseline NFPC'!$D$10:$W$10,0))</f>
        <v>6.2145642353418351</v>
      </c>
      <c r="G52" s="332">
        <f ca="1">INDEX(OFFSET('Baseline NFPC'!$D$1:$W$1,$D52-1,0),MATCH(G$4,'Baseline NFPC'!$D$10:$W$10,0))</f>
        <v>3.5167607791869226</v>
      </c>
      <c r="H52" s="332">
        <f ca="1">INDEX(OFFSET('Baseline NFPC'!$D$1:$W$1,$D52-1,0),MATCH(H$4,'Baseline NFPC'!$D$10:$W$10,0))</f>
        <v>3.6692230232281409</v>
      </c>
      <c r="I52" s="332">
        <f ca="1">INDEX(OFFSET('Baseline NFPC'!$D$1:$W$1,$D52-1,0),MATCH(I$4,'Baseline NFPC'!$D$10:$W$10,0))</f>
        <v>2.6955723360551076</v>
      </c>
      <c r="J52" s="332">
        <f ca="1">INDEX(OFFSET('Baseline NFPC'!$D$1:$W$1,$D52-1,0),MATCH(J$4,'Baseline NFPC'!$D$10:$W$10,0))</f>
        <v>2.5526651809361978</v>
      </c>
      <c r="K52" s="332">
        <f ca="1">INDEX(OFFSET('Baseline NFPC'!$D$1:$W$1,$D52-1,0),MATCH(K$4,'Baseline NFPC'!$D$10:$W$10,0))</f>
        <v>2.5493118529354541</v>
      </c>
      <c r="L52" s="332">
        <f ca="1">INDEX(OFFSET('Baseline NFPC'!$D$1:$W$1,$D52-1,0),MATCH(L$4,'Baseline NFPC'!$D$10:$W$10,0))</f>
        <v>2.6456101045168712</v>
      </c>
      <c r="M52" s="332">
        <f ca="1">INDEX(OFFSET('Baseline NFPC'!$D$1:$W$1,$D52-1,0),MATCH(M$4,'Baseline NFPC'!$D$10:$W$10,0))</f>
        <v>2.7182808601563302</v>
      </c>
      <c r="N52" s="332">
        <f ca="1">INDEX(OFFSET('Baseline NFPC'!$D$1:$W$1,$D52-1,0),MATCH(N$4,'Baseline NFPC'!$D$10:$W$10,0))</f>
        <v>2.8052051141340684</v>
      </c>
      <c r="O52" s="332">
        <f ca="1">INDEX(OFFSET('Baseline NFPC'!$D$1:$W$1,$D52-1,0),MATCH(O$4,'Baseline NFPC'!$D$10:$W$10,0))</f>
        <v>2.8993420046401708</v>
      </c>
      <c r="P52" s="332">
        <f ca="1">INDEX(OFFSET('Baseline NFPC'!$D$1:$W$1,$D52-1,0),MATCH(P$4,'Baseline NFPC'!$D$10:$W$10,0))</f>
        <v>2.9449279463499956</v>
      </c>
      <c r="Q52" s="332">
        <f ca="1">INDEX(OFFSET('Baseline NFPC'!$D$1:$W$1,$D52-1,0),MATCH(Q$4,'Baseline NFPC'!$D$10:$W$10,0))</f>
        <v>3.1065849331274986</v>
      </c>
      <c r="R52" s="332">
        <f ca="1">INDEX(OFFSET('Baseline NFPC'!$D$1:$W$1,$D52-1,0),MATCH(R$4,'Baseline NFPC'!$D$10:$W$10,0))</f>
        <v>3.2681401815050082</v>
      </c>
      <c r="S52" s="332">
        <f ca="1">INDEX(OFFSET('Baseline NFPC'!$D$1:$W$1,$D52-1,0),MATCH(S$4,'Baseline NFPC'!$D$10:$W$10,0))</f>
        <v>3.4295893880124995</v>
      </c>
      <c r="T52" s="332">
        <f ca="1">INDEX(OFFSET('Baseline NFPC'!$D$1:$W$1,$D52-1,0),MATCH(T$4,'Baseline NFPC'!$D$10:$W$10,0))</f>
        <v>3.5075395327999859</v>
      </c>
      <c r="U52" s="332">
        <f ca="1">INDEX(OFFSET('Baseline NFPC'!$D$1:$W$1,$D52-1,0),MATCH(U$4,'Baseline NFPC'!$D$10:$W$10,0))</f>
        <v>3.6162565249999945</v>
      </c>
      <c r="V52" s="332">
        <f ca="1">INDEX(OFFSET('Baseline NFPC'!$D$1:$W$1,$D52-1,0),MATCH(V$4,'Baseline NFPC'!$D$10:$W$10,0))</f>
        <v>3.7456956261499919</v>
      </c>
      <c r="W52" s="332">
        <f ca="1">INDEX(OFFSET('Baseline NFPC'!$D$1:$W$1,$D52-1,0),MATCH(W$4,'Baseline NFPC'!$D$10:$W$10,0))</f>
        <v>3.9043562236749985</v>
      </c>
      <c r="X52" s="332">
        <f ca="1">INDEX(OFFSET('Baseline NFPC'!$D$1:$W$1,$D52-1,0),MATCH(X$4,'Baseline NFPC'!$D$10:$W$10,0))</f>
        <v>3.9069861407000195</v>
      </c>
      <c r="Y52" s="271"/>
    </row>
    <row r="53" spans="1:25" x14ac:dyDescent="0.2">
      <c r="A53" s="271"/>
      <c r="B53" s="339">
        <v>13</v>
      </c>
      <c r="C53" s="335" t="s">
        <v>68</v>
      </c>
      <c r="D53" s="334"/>
      <c r="E53" s="345" t="s">
        <v>227</v>
      </c>
      <c r="F53" s="351">
        <f>'Input data'!$C$49</f>
        <v>0.75</v>
      </c>
      <c r="G53" s="271"/>
      <c r="H53" s="271"/>
      <c r="I53" s="271"/>
      <c r="J53" s="271"/>
      <c r="K53" s="271"/>
      <c r="L53" s="271"/>
      <c r="M53" s="271"/>
      <c r="N53" s="271"/>
      <c r="O53" s="271"/>
      <c r="P53" s="271"/>
      <c r="Q53" s="271"/>
      <c r="R53" s="271"/>
      <c r="S53" s="271"/>
      <c r="T53" s="271"/>
      <c r="U53" s="271"/>
      <c r="V53" s="271"/>
      <c r="W53" s="271"/>
      <c r="X53" s="271"/>
      <c r="Y53" s="271"/>
    </row>
    <row r="54" spans="1:25" x14ac:dyDescent="0.2">
      <c r="A54" s="271"/>
      <c r="B54" s="333"/>
      <c r="C54" s="354"/>
      <c r="D54" s="354"/>
      <c r="E54" s="354"/>
      <c r="F54" s="354"/>
      <c r="G54" s="354"/>
      <c r="H54" s="354"/>
      <c r="I54" s="354"/>
      <c r="J54" s="354"/>
      <c r="K54" s="271"/>
      <c r="L54" s="271"/>
      <c r="M54" s="271"/>
      <c r="N54" s="271"/>
      <c r="O54" s="271"/>
      <c r="P54" s="271"/>
      <c r="Q54" s="271"/>
      <c r="R54" s="271"/>
      <c r="S54" s="271"/>
      <c r="T54" s="271"/>
      <c r="U54" s="271"/>
      <c r="V54" s="271"/>
      <c r="W54" s="271"/>
      <c r="X54" s="271"/>
      <c r="Y54" s="271"/>
    </row>
    <row r="55" spans="1:25" x14ac:dyDescent="0.2">
      <c r="A55" s="271"/>
      <c r="B55" s="355"/>
      <c r="C55" s="337" t="s">
        <v>239</v>
      </c>
      <c r="D55" s="338"/>
      <c r="E55" s="338"/>
      <c r="F55" s="338"/>
      <c r="G55" s="354"/>
      <c r="H55" s="354"/>
      <c r="I55" s="354"/>
      <c r="J55" s="354"/>
      <c r="K55" s="271"/>
      <c r="L55" s="271"/>
      <c r="M55" s="271"/>
      <c r="N55" s="271"/>
      <c r="O55" s="271"/>
      <c r="P55" s="271"/>
      <c r="Q55" s="271"/>
      <c r="R55" s="271"/>
      <c r="S55" s="271"/>
      <c r="T55" s="271"/>
      <c r="U55" s="271"/>
      <c r="V55" s="271"/>
      <c r="W55" s="271"/>
      <c r="X55" s="271"/>
      <c r="Y55" s="271"/>
    </row>
    <row r="56" spans="1:25" x14ac:dyDescent="0.2">
      <c r="A56" s="271"/>
      <c r="B56" s="333"/>
      <c r="C56" s="354"/>
      <c r="D56" s="354"/>
      <c r="E56" s="354"/>
      <c r="F56" s="354"/>
      <c r="G56" s="354"/>
      <c r="H56" s="354"/>
      <c r="I56" s="354"/>
      <c r="J56" s="354"/>
      <c r="K56" s="271"/>
      <c r="L56" s="271"/>
      <c r="M56" s="271"/>
      <c r="N56" s="271"/>
      <c r="O56" s="271"/>
      <c r="P56" s="271"/>
      <c r="Q56" s="271"/>
      <c r="R56" s="271"/>
      <c r="S56" s="271"/>
      <c r="T56" s="271"/>
      <c r="U56" s="271"/>
      <c r="V56" s="271"/>
      <c r="W56" s="271"/>
      <c r="X56" s="271"/>
      <c r="Y56" s="271"/>
    </row>
    <row r="57" spans="1:25" x14ac:dyDescent="0.2">
      <c r="A57" s="271"/>
      <c r="B57" s="339"/>
      <c r="C57" s="337"/>
      <c r="D57" s="337"/>
      <c r="E57" s="342"/>
      <c r="F57" s="342">
        <f>'Input data'!$C$5-1</f>
        <v>2023</v>
      </c>
      <c r="G57" s="342">
        <f>F57+1</f>
        <v>2024</v>
      </c>
      <c r="H57" s="342">
        <f t="shared" ref="H57:X57" si="5">G57+1</f>
        <v>2025</v>
      </c>
      <c r="I57" s="342">
        <f t="shared" si="5"/>
        <v>2026</v>
      </c>
      <c r="J57" s="342">
        <f t="shared" si="5"/>
        <v>2027</v>
      </c>
      <c r="K57" s="342">
        <f t="shared" si="5"/>
        <v>2028</v>
      </c>
      <c r="L57" s="342">
        <f t="shared" si="5"/>
        <v>2029</v>
      </c>
      <c r="M57" s="342">
        <f t="shared" si="5"/>
        <v>2030</v>
      </c>
      <c r="N57" s="342">
        <f t="shared" si="5"/>
        <v>2031</v>
      </c>
      <c r="O57" s="342">
        <f t="shared" si="5"/>
        <v>2032</v>
      </c>
      <c r="P57" s="342">
        <f t="shared" si="5"/>
        <v>2033</v>
      </c>
      <c r="Q57" s="342">
        <f t="shared" si="5"/>
        <v>2034</v>
      </c>
      <c r="R57" s="342">
        <f t="shared" si="5"/>
        <v>2035</v>
      </c>
      <c r="S57" s="342">
        <f t="shared" si="5"/>
        <v>2036</v>
      </c>
      <c r="T57" s="342">
        <f t="shared" si="5"/>
        <v>2037</v>
      </c>
      <c r="U57" s="342">
        <f t="shared" si="5"/>
        <v>2038</v>
      </c>
      <c r="V57" s="342">
        <f t="shared" si="5"/>
        <v>2039</v>
      </c>
      <c r="W57" s="342">
        <f t="shared" si="5"/>
        <v>2040</v>
      </c>
      <c r="X57" s="342">
        <f t="shared" si="5"/>
        <v>2041</v>
      </c>
      <c r="Y57" s="271"/>
    </row>
    <row r="58" spans="1:25" x14ac:dyDescent="0.2">
      <c r="A58" s="271"/>
      <c r="B58" s="339">
        <v>1</v>
      </c>
      <c r="C58" s="343" t="s">
        <v>220</v>
      </c>
      <c r="D58" s="344">
        <v>100</v>
      </c>
      <c r="E58" s="345" t="s">
        <v>221</v>
      </c>
      <c r="F58" s="332">
        <f ca="1">INDEX(OFFSET('Adjustment scenario'!$D$1:$W$1,$D58-1,0),MATCH(F$4,'Adjustment scenario'!$D$10:$W$10,0))</f>
        <v>110.64326790048331</v>
      </c>
      <c r="G58" s="332">
        <f ca="1">INDEX(OFFSET('Adjustment scenario'!$D$1:$W$1,$D58-1,0),MATCH(G$4,'Adjustment scenario'!$D$10:$W$10,0))</f>
        <v>112.40882173205914</v>
      </c>
      <c r="H58" s="332">
        <f ca="1">INDEX(OFFSET('Adjustment scenario'!$D$1:$W$1,$D58-1,0),MATCH(H$4,'Adjustment scenario'!$D$10:$W$10,0))</f>
        <v>113.96873574495558</v>
      </c>
      <c r="I58" s="332">
        <f ca="1">INDEX(OFFSET('Adjustment scenario'!$D$1:$W$1,$D58-1,0),MATCH(I$4,'Adjustment scenario'!$D$10:$W$10,0))</f>
        <v>115.77838065922458</v>
      </c>
      <c r="J58" s="332">
        <f ca="1">INDEX(OFFSET('Adjustment scenario'!$D$1:$W$1,$D58-1,0),MATCH(J$4,'Adjustment scenario'!$D$10:$W$10,0))</f>
        <v>116.92117165766111</v>
      </c>
      <c r="K58" s="332">
        <f ca="1">INDEX(OFFSET('Adjustment scenario'!$D$1:$W$1,$D58-1,0),MATCH(K$4,'Adjustment scenario'!$D$10:$W$10,0))</f>
        <v>117.28270034717912</v>
      </c>
      <c r="L58" s="332">
        <f ca="1">INDEX(OFFSET('Adjustment scenario'!$D$1:$W$1,$D58-1,0),MATCH(L$4,'Adjustment scenario'!$D$10:$W$10,0))</f>
        <v>116.39404209202075</v>
      </c>
      <c r="M58" s="332">
        <f ca="1">INDEX(OFFSET('Adjustment scenario'!$D$1:$W$1,$D58-1,0),MATCH(M$4,'Adjustment scenario'!$D$10:$W$10,0))</f>
        <v>115.17150448362038</v>
      </c>
      <c r="N58" s="332">
        <f ca="1">INDEX(OFFSET('Adjustment scenario'!$D$1:$W$1,$D58-1,0),MATCH(N$4,'Adjustment scenario'!$D$10:$W$10,0))</f>
        <v>113.59794901750459</v>
      </c>
      <c r="O58" s="332">
        <f ca="1">INDEX(OFFSET('Adjustment scenario'!$D$1:$W$1,$D58-1,0),MATCH(O$4,'Adjustment scenario'!$D$10:$W$10,0))</f>
        <v>112.63450426242888</v>
      </c>
      <c r="P58" s="332">
        <f ca="1">INDEX(OFFSET('Adjustment scenario'!$D$1:$W$1,$D58-1,0),MATCH(P$4,'Adjustment scenario'!$D$10:$W$10,0))</f>
        <v>111.74350990068778</v>
      </c>
      <c r="Q58" s="332">
        <f ca="1">INDEX(OFFSET('Adjustment scenario'!$D$1:$W$1,$D58-1,0),MATCH(Q$4,'Adjustment scenario'!$D$10:$W$10,0))</f>
        <v>110.80056765042956</v>
      </c>
      <c r="R58" s="332">
        <f ca="1">INDEX(OFFSET('Adjustment scenario'!$D$1:$W$1,$D58-1,0),MATCH(R$4,'Adjustment scenario'!$D$10:$W$10,0))</f>
        <v>109.75097572995551</v>
      </c>
      <c r="S58" s="332">
        <f ca="1">INDEX(OFFSET('Adjustment scenario'!$D$1:$W$1,$D58-1,0),MATCH(S$4,'Adjustment scenario'!$D$10:$W$10,0))</f>
        <v>108.5958000998275</v>
      </c>
      <c r="T58" s="332">
        <f ca="1">INDEX(OFFSET('Adjustment scenario'!$D$1:$W$1,$D58-1,0),MATCH(T$4,'Adjustment scenario'!$D$10:$W$10,0))</f>
        <v>107.42353691390113</v>
      </c>
      <c r="U58" s="332">
        <f ca="1">INDEX(OFFSET('Adjustment scenario'!$D$1:$W$1,$D58-1,0),MATCH(U$4,'Adjustment scenario'!$D$10:$W$10,0))</f>
        <v>106.19793615773037</v>
      </c>
      <c r="V58" s="332">
        <f ca="1">INDEX(OFFSET('Adjustment scenario'!$D$1:$W$1,$D58-1,0),MATCH(V$4,'Adjustment scenario'!$D$10:$W$10,0))</f>
        <v>104.89116193207225</v>
      </c>
      <c r="W58" s="332">
        <f ca="1">INDEX(OFFSET('Adjustment scenario'!$D$1:$W$1,$D58-1,0),MATCH(W$4,'Adjustment scenario'!$D$10:$W$10,0))</f>
        <v>103.46077033792369</v>
      </c>
      <c r="X58" s="332">
        <f ca="1">INDEX(OFFSET('Adjustment scenario'!$D$1:$W$1,$D58-1,0),MATCH(X$4,'Adjustment scenario'!$D$10:$W$10,0))</f>
        <v>102.11438203227311</v>
      </c>
      <c r="Y58" s="271"/>
    </row>
    <row r="59" spans="1:25" x14ac:dyDescent="0.2">
      <c r="A59" s="271"/>
      <c r="B59" s="339">
        <f>B58+1</f>
        <v>2</v>
      </c>
      <c r="C59" s="346" t="s">
        <v>128</v>
      </c>
      <c r="D59" s="344">
        <v>102</v>
      </c>
      <c r="E59" s="345" t="s">
        <v>221</v>
      </c>
      <c r="F59" s="332">
        <f ca="1">INDEX(OFFSET('Adjustment scenario'!$D$1:$W$1,$D59-1,0),MATCH(F$4,'Adjustment scenario'!$D$10:$W$10,0))</f>
        <v>7.5445628892559551</v>
      </c>
      <c r="G59" s="332">
        <f ca="1">INDEX(OFFSET('Adjustment scenario'!$D$1:$W$1,$D59-1,0),MATCH(G$4,'Adjustment scenario'!$D$10:$W$10,0))</f>
        <v>7.6510882826547091</v>
      </c>
      <c r="H59" s="332">
        <f ca="1">INDEX(OFFSET('Adjustment scenario'!$D$1:$W$1,$D59-1,0),MATCH(H$4,'Adjustment scenario'!$D$10:$W$10,0))</f>
        <v>7.8622250940045477</v>
      </c>
      <c r="I59" s="332">
        <f ca="1">INDEX(OFFSET('Adjustment scenario'!$D$1:$W$1,$D59-1,0),MATCH(I$4,'Adjustment scenario'!$D$10:$W$10,0))</f>
        <v>8.0753924248341047</v>
      </c>
      <c r="J59" s="332">
        <f ca="1">INDEX(OFFSET('Adjustment scenario'!$D$1:$W$1,$D59-1,0),MATCH(J$4,'Adjustment scenario'!$D$10:$W$10,0))</f>
        <v>8.2465324062575291</v>
      </c>
      <c r="K59" s="332">
        <f ca="1">INDEX(OFFSET('Adjustment scenario'!$D$1:$W$1,$D59-1,0),MATCH(K$4,'Adjustment scenario'!$D$10:$W$10,0))</f>
        <v>8.3685292471807706</v>
      </c>
      <c r="L59" s="332">
        <f ca="1">INDEX(OFFSET('Adjustment scenario'!$D$1:$W$1,$D59-1,0),MATCH(L$4,'Adjustment scenario'!$D$10:$W$10,0))</f>
        <v>8.3708944252313433</v>
      </c>
      <c r="M59" s="332">
        <f ca="1">INDEX(OFFSET('Adjustment scenario'!$D$1:$W$1,$D59-1,0),MATCH(M$4,'Adjustment scenario'!$D$10:$W$10,0))</f>
        <v>8.3479946679355717</v>
      </c>
      <c r="N59" s="332">
        <f ca="1">INDEX(OFFSET('Adjustment scenario'!$D$1:$W$1,$D59-1,0),MATCH(N$4,'Adjustment scenario'!$D$10:$W$10,0))</f>
        <v>8.2990876085490566</v>
      </c>
      <c r="O59" s="332">
        <f ca="1">INDEX(OFFSET('Adjustment scenario'!$D$1:$W$1,$D59-1,0),MATCH(O$4,'Adjustment scenario'!$D$10:$W$10,0))</f>
        <v>8.2677866017301138</v>
      </c>
      <c r="P59" s="332">
        <f ca="1">INDEX(OFFSET('Adjustment scenario'!$D$1:$W$1,$D59-1,0),MATCH(P$4,'Adjustment scenario'!$D$10:$W$10,0))</f>
        <v>8.2386389397599444</v>
      </c>
      <c r="Q59" s="332">
        <f ca="1">INDEX(OFFSET('Adjustment scenario'!$D$1:$W$1,$D59-1,0),MATCH(Q$4,'Adjustment scenario'!$D$10:$W$10,0))</f>
        <v>8.1615452344300365</v>
      </c>
      <c r="R59" s="332">
        <f ca="1">INDEX(OFFSET('Adjustment scenario'!$D$1:$W$1,$D59-1,0),MATCH(R$4,'Adjustment scenario'!$D$10:$W$10,0))</f>
        <v>8.0809216397095796</v>
      </c>
      <c r="S59" s="332">
        <f ca="1">INDEX(OFFSET('Adjustment scenario'!$D$1:$W$1,$D59-1,0),MATCH(S$4,'Adjustment scenario'!$D$10:$W$10,0))</f>
        <v>7.9927766187910123</v>
      </c>
      <c r="T59" s="332">
        <f ca="1">INDEX(OFFSET('Adjustment scenario'!$D$1:$W$1,$D59-1,0),MATCH(T$4,'Adjustment scenario'!$D$10:$W$10,0))</f>
        <v>7.9035806990683204</v>
      </c>
      <c r="U59" s="332">
        <f ca="1">INDEX(OFFSET('Adjustment scenario'!$D$1:$W$1,$D59-1,0),MATCH(U$4,'Adjustment scenario'!$D$10:$W$10,0))</f>
        <v>7.8109348794274212</v>
      </c>
      <c r="V59" s="332">
        <f ca="1">INDEX(OFFSET('Adjustment scenario'!$D$1:$W$1,$D59-1,0),MATCH(V$4,'Adjustment scenario'!$D$10:$W$10,0))</f>
        <v>7.7130436310036954</v>
      </c>
      <c r="W59" s="332">
        <f ca="1">INDEX(OFFSET('Adjustment scenario'!$D$1:$W$1,$D59-1,0),MATCH(W$4,'Adjustment scenario'!$D$10:$W$10,0))</f>
        <v>7.6073391415913916</v>
      </c>
      <c r="X59" s="332">
        <f ca="1">INDEX(OFFSET('Adjustment scenario'!$D$1:$W$1,$D59-1,0),MATCH(X$4,'Adjustment scenario'!$D$10:$W$10,0))</f>
        <v>7.5042210134813123</v>
      </c>
      <c r="Y59" s="271"/>
    </row>
    <row r="60" spans="1:25" x14ac:dyDescent="0.2">
      <c r="A60" s="271"/>
      <c r="B60" s="339">
        <f t="shared" ref="B60:B62" si="6">B59+1</f>
        <v>3</v>
      </c>
      <c r="C60" s="346" t="s">
        <v>129</v>
      </c>
      <c r="D60" s="344">
        <v>103</v>
      </c>
      <c r="E60" s="345" t="s">
        <v>221</v>
      </c>
      <c r="F60" s="332">
        <f ca="1">INDEX(OFFSET('Adjustment scenario'!$D$1:$W$1,$D60-1,0),MATCH(F$4,'Adjustment scenario'!$D$10:$W$10,0))</f>
        <v>11.003235423307965</v>
      </c>
      <c r="G60" s="332">
        <f ca="1">INDEX(OFFSET('Adjustment scenario'!$D$1:$W$1,$D60-1,0),MATCH(G$4,'Adjustment scenario'!$D$10:$W$10,0))</f>
        <v>11.128256363555845</v>
      </c>
      <c r="H60" s="332">
        <f ca="1">INDEX(OFFSET('Adjustment scenario'!$D$1:$W$1,$D60-1,0),MATCH(H$4,'Adjustment scenario'!$D$10:$W$10,0))</f>
        <v>11.334857176724176</v>
      </c>
      <c r="I60" s="332">
        <f ca="1">INDEX(OFFSET('Adjustment scenario'!$D$1:$W$1,$D60-1,0),MATCH(I$4,'Adjustment scenario'!$D$10:$W$10,0))</f>
        <v>11.547258544505024</v>
      </c>
      <c r="J60" s="332">
        <f ca="1">INDEX(OFFSET('Adjustment scenario'!$D$1:$W$1,$D60-1,0),MATCH(J$4,'Adjustment scenario'!$D$10:$W$10,0))</f>
        <v>11.700989131617387</v>
      </c>
      <c r="K60" s="332">
        <f ca="1">INDEX(OFFSET('Adjustment scenario'!$D$1:$W$1,$D60-1,0),MATCH(K$4,'Adjustment scenario'!$D$10:$W$10,0))</f>
        <v>11.787378922966562</v>
      </c>
      <c r="L60" s="332">
        <f ca="1">INDEX(OFFSET('Adjustment scenario'!$D$1:$W$1,$D60-1,0),MATCH(L$4,'Adjustment scenario'!$D$10:$W$10,0))</f>
        <v>11.709460187575596</v>
      </c>
      <c r="M60" s="332">
        <f ca="1">INDEX(OFFSET('Adjustment scenario'!$D$1:$W$1,$D60-1,0),MATCH(M$4,'Adjustment scenario'!$D$10:$W$10,0))</f>
        <v>11.599166931078289</v>
      </c>
      <c r="N60" s="332">
        <f ca="1">INDEX(OFFSET('Adjustment scenario'!$D$1:$W$1,$D60-1,0),MATCH(N$4,'Adjustment scenario'!$D$10:$W$10,0))</f>
        <v>11.455989641509074</v>
      </c>
      <c r="O60" s="332">
        <f ca="1">INDEX(OFFSET('Adjustment scenario'!$D$1:$W$1,$D60-1,0),MATCH(O$4,'Adjustment scenario'!$D$10:$W$10,0))</f>
        <v>11.340335388179676</v>
      </c>
      <c r="P60" s="332">
        <f ca="1">INDEX(OFFSET('Adjustment scenario'!$D$1:$W$1,$D60-1,0),MATCH(P$4,'Adjustment scenario'!$D$10:$W$10,0))</f>
        <v>11.228740928010247</v>
      </c>
      <c r="Q60" s="332">
        <f ca="1">INDEX(OFFSET('Adjustment scenario'!$D$1:$W$1,$D60-1,0),MATCH(Q$4,'Adjustment scenario'!$D$10:$W$10,0))</f>
        <v>11.111809586744286</v>
      </c>
      <c r="R60" s="332">
        <f ca="1">INDEX(OFFSET('Adjustment scenario'!$D$1:$W$1,$D60-1,0),MATCH(R$4,'Adjustment scenario'!$D$10:$W$10,0))</f>
        <v>10.98998999073642</v>
      </c>
      <c r="S60" s="332">
        <f ca="1">INDEX(OFFSET('Adjustment scenario'!$D$1:$W$1,$D60-1,0),MATCH(S$4,'Adjustment scenario'!$D$10:$W$10,0))</f>
        <v>10.858184430302842</v>
      </c>
      <c r="T60" s="332">
        <f ca="1">INDEX(OFFSET('Adjustment scenario'!$D$1:$W$1,$D60-1,0),MATCH(T$4,'Adjustment scenario'!$D$10:$W$10,0))</f>
        <v>10.725231423251055</v>
      </c>
      <c r="U60" s="332">
        <f ca="1">INDEX(OFFSET('Adjustment scenario'!$D$1:$W$1,$D60-1,0),MATCH(U$4,'Adjustment scenario'!$D$10:$W$10,0))</f>
        <v>10.58790305241307</v>
      </c>
      <c r="V60" s="332">
        <f ca="1">INDEX(OFFSET('Adjustment scenario'!$D$1:$W$1,$D60-1,0),MATCH(V$4,'Adjustment scenario'!$D$10:$W$10,0))</f>
        <v>10.443816958259346</v>
      </c>
      <c r="W60" s="332">
        <f ca="1">INDEX(OFFSET('Adjustment scenario'!$D$1:$W$1,$D60-1,0),MATCH(W$4,'Adjustment scenario'!$D$10:$W$10,0))</f>
        <v>10.289567610342679</v>
      </c>
      <c r="X60" s="332">
        <f ca="1">INDEX(OFFSET('Adjustment scenario'!$D$1:$W$1,$D60-1,0),MATCH(X$4,'Adjustment scenario'!$D$10:$W$10,0))</f>
        <v>10.139310954657654</v>
      </c>
      <c r="Y60" s="271"/>
    </row>
    <row r="61" spans="1:25" x14ac:dyDescent="0.2">
      <c r="A61" s="271"/>
      <c r="B61" s="339">
        <f t="shared" si="6"/>
        <v>4</v>
      </c>
      <c r="C61" s="346" t="s">
        <v>130</v>
      </c>
      <c r="D61" s="344">
        <v>104</v>
      </c>
      <c r="E61" s="345" t="s">
        <v>221</v>
      </c>
      <c r="F61" s="332">
        <f ca="1">INDEX(OFFSET('Adjustment scenario'!$D$1:$W$1,$D61-1,0),MATCH(F$4,'Adjustment scenario'!$D$10:$W$10,0))</f>
        <v>4.7570039815081167</v>
      </c>
      <c r="G61" s="332">
        <f ca="1">INDEX(OFFSET('Adjustment scenario'!$D$1:$W$1,$D61-1,0),MATCH(G$4,'Adjustment scenario'!$D$10:$W$10,0))</f>
        <v>4.9834734764809658</v>
      </c>
      <c r="H61" s="332">
        <f ca="1">INDEX(OFFSET('Adjustment scenario'!$D$1:$W$1,$D61-1,0),MATCH(H$4,'Adjustment scenario'!$D$10:$W$10,0))</f>
        <v>4.3126324461110297</v>
      </c>
      <c r="I61" s="332">
        <f ca="1">INDEX(OFFSET('Adjustment scenario'!$D$1:$W$1,$D61-1,0),MATCH(I$4,'Adjustment scenario'!$D$10:$W$10,0))</f>
        <v>3.8600214971646785</v>
      </c>
      <c r="J61" s="332">
        <f ca="1">INDEX(OFFSET('Adjustment scenario'!$D$1:$W$1,$D61-1,0),MATCH(J$4,'Adjustment scenario'!$D$10:$W$10,0))</f>
        <v>3.3462218646242849</v>
      </c>
      <c r="K61" s="332">
        <f ca="1">INDEX(OFFSET('Adjustment scenario'!$D$1:$W$1,$D61-1,0),MATCH(K$4,'Adjustment scenario'!$D$10:$W$10,0))</f>
        <v>2.7464592433739243</v>
      </c>
      <c r="L61" s="332">
        <f ca="1">INDEX(OFFSET('Adjustment scenario'!$D$1:$W$1,$D61-1,0),MATCH(L$4,'Adjustment scenario'!$D$10:$W$10,0))</f>
        <v>2.490344528822209</v>
      </c>
      <c r="M61" s="332">
        <f ca="1">INDEX(OFFSET('Adjustment scenario'!$D$1:$W$1,$D61-1,0),MATCH(M$4,'Adjustment scenario'!$D$10:$W$10,0))</f>
        <v>2.2331274183622254</v>
      </c>
      <c r="N61" s="332">
        <f ca="1">INDEX(OFFSET('Adjustment scenario'!$D$1:$W$1,$D61-1,0),MATCH(N$4,'Adjustment scenario'!$D$10:$W$10,0))</f>
        <v>1.9635138068608162</v>
      </c>
      <c r="O61" s="332">
        <f ca="1">INDEX(OFFSET('Adjustment scenario'!$D$1:$W$1,$D61-1,0),MATCH(O$4,'Adjustment scenario'!$D$10:$W$10,0))</f>
        <v>2.0182625448999847</v>
      </c>
      <c r="P61" s="332">
        <f ca="1">INDEX(OFFSET('Adjustment scenario'!$D$1:$W$1,$D61-1,0),MATCH(P$4,'Adjustment scenario'!$D$10:$W$10,0))</f>
        <v>2.1028551758514045</v>
      </c>
      <c r="Q61" s="332">
        <f ca="1">INDEX(OFFSET('Adjustment scenario'!$D$1:$W$1,$D61-1,0),MATCH(Q$4,'Adjustment scenario'!$D$10:$W$10,0))</f>
        <v>2.1865231696012595</v>
      </c>
      <c r="R61" s="332">
        <f ca="1">INDEX(OFFSET('Adjustment scenario'!$D$1:$W$1,$D61-1,0),MATCH(R$4,'Adjustment scenario'!$D$10:$W$10,0))</f>
        <v>2.2163423863167462</v>
      </c>
      <c r="S61" s="332">
        <f ca="1">INDEX(OFFSET('Adjustment scenario'!$D$1:$W$1,$D61-1,0),MATCH(S$4,'Adjustment scenario'!$D$10:$W$10,0))</f>
        <v>2.2407839043252076</v>
      </c>
      <c r="T61" s="332">
        <f ca="1">INDEX(OFFSET('Adjustment scenario'!$D$1:$W$1,$D61-1,0),MATCH(T$4,'Adjustment scenario'!$D$10:$W$10,0))</f>
        <v>2.2621438628049768</v>
      </c>
      <c r="U61" s="332">
        <f ca="1">INDEX(OFFSET('Adjustment scenario'!$D$1:$W$1,$D61-1,0),MATCH(U$4,'Adjustment scenario'!$D$10:$W$10,0))</f>
        <v>2.2764241603353517</v>
      </c>
      <c r="V61" s="332">
        <f ca="1">INDEX(OFFSET('Adjustment scenario'!$D$1:$W$1,$D61-1,0),MATCH(V$4,'Adjustment scenario'!$D$10:$W$10,0))</f>
        <v>2.2799665097751016</v>
      </c>
      <c r="W61" s="332">
        <f ca="1">INDEX(OFFSET('Adjustment scenario'!$D$1:$W$1,$D61-1,0),MATCH(W$4,'Adjustment scenario'!$D$10:$W$10,0))</f>
        <v>2.2651604608974347</v>
      </c>
      <c r="X61" s="332">
        <f ca="1">INDEX(OFFSET('Adjustment scenario'!$D$1:$W$1,$D61-1,0),MATCH(X$4,'Adjustment scenario'!$D$10:$W$10,0))</f>
        <v>2.2947256243438967</v>
      </c>
      <c r="Y61" s="271"/>
    </row>
    <row r="62" spans="1:25" x14ac:dyDescent="0.2">
      <c r="A62" s="271"/>
      <c r="B62" s="339">
        <f t="shared" si="6"/>
        <v>5</v>
      </c>
      <c r="C62" s="346" t="s">
        <v>131</v>
      </c>
      <c r="D62" s="344">
        <v>105</v>
      </c>
      <c r="E62" s="345" t="s">
        <v>221</v>
      </c>
      <c r="F62" s="332">
        <f ca="1">INDEX(OFFSET('Adjustment scenario'!$D$1:$W$1,$D62-1,0),MATCH(F$4,'Adjustment scenario'!$D$10:$W$10,0))</f>
        <v>0.51637624740995514</v>
      </c>
      <c r="G62" s="332">
        <f ca="1">INDEX(OFFSET('Adjustment scenario'!$D$1:$W$1,$D62-1,0),MATCH(G$4,'Adjustment scenario'!$D$10:$W$10,0))</f>
        <v>0.54095967605989981</v>
      </c>
      <c r="H62" s="332">
        <f ca="1">INDEX(OFFSET('Adjustment scenario'!$D$1:$W$1,$D62-1,0),MATCH(H$4,'Adjustment scenario'!$D$10:$W$10,0))</f>
        <v>0.46813939354223971</v>
      </c>
      <c r="I62" s="332">
        <f ca="1">INDEX(OFFSET('Adjustment scenario'!$D$1:$W$1,$D62-1,0),MATCH(I$4,'Adjustment scenario'!$D$10:$W$10,0))</f>
        <v>0.41900814533178943</v>
      </c>
      <c r="J62" s="332">
        <f ca="1">INDEX(OFFSET('Adjustment scenario'!$D$1:$W$1,$D62-1,0),MATCH(J$4,'Adjustment scenario'!$D$10:$W$10,0))</f>
        <v>0.36323482094459608</v>
      </c>
      <c r="K62" s="332">
        <f ca="1">INDEX(OFFSET('Adjustment scenario'!$D$1:$W$1,$D62-1,0),MATCH(K$4,'Adjustment scenario'!$D$10:$W$10,0))</f>
        <v>0.29813015151359967</v>
      </c>
      <c r="L62" s="332">
        <f ca="1">INDEX(OFFSET('Adjustment scenario'!$D$1:$W$1,$D62-1,0),MATCH(L$4,'Adjustment scenario'!$D$10:$W$10,0))</f>
        <v>0.27032871268344788</v>
      </c>
      <c r="M62" s="332">
        <f ca="1">INDEX(OFFSET('Adjustment scenario'!$D$1:$W$1,$D62-1,0),MATCH(M$4,'Adjustment scenario'!$D$10:$W$10,0))</f>
        <v>0.2424076079744184</v>
      </c>
      <c r="N62" s="332">
        <f ca="1">INDEX(OFFSET('Adjustment scenario'!$D$1:$W$1,$D62-1,0),MATCH(N$4,'Adjustment scenario'!$D$10:$W$10,0))</f>
        <v>0.21314085404716912</v>
      </c>
      <c r="O62" s="332">
        <f ca="1">INDEX(OFFSET('Adjustment scenario'!$D$1:$W$1,$D62-1,0),MATCH(O$4,'Adjustment scenario'!$D$10:$W$10,0))</f>
        <v>0.21908386944278238</v>
      </c>
      <c r="P62" s="332">
        <f ca="1">INDEX(OFFSET('Adjustment scenario'!$D$1:$W$1,$D62-1,0),MATCH(P$4,'Adjustment scenario'!$D$10:$W$10,0))</f>
        <v>0.22826646115366445</v>
      </c>
      <c r="Q62" s="332">
        <f ca="1">INDEX(OFFSET('Adjustment scenario'!$D$1:$W$1,$D62-1,0),MATCH(Q$4,'Adjustment scenario'!$D$10:$W$10,0))</f>
        <v>0.23734868282276902</v>
      </c>
      <c r="R62" s="332">
        <f ca="1">INDEX(OFFSET('Adjustment scenario'!$D$1:$W$1,$D62-1,0),MATCH(R$4,'Adjustment scenario'!$D$10:$W$10,0))</f>
        <v>0.24058558051890375</v>
      </c>
      <c r="S62" s="332">
        <f ca="1">INDEX(OFFSET('Adjustment scenario'!$D$1:$W$1,$D62-1,0),MATCH(S$4,'Adjustment scenario'!$D$10:$W$10,0))</f>
        <v>0.24323872510303141</v>
      </c>
      <c r="T62" s="332">
        <f ca="1">INDEX(OFFSET('Adjustment scenario'!$D$1:$W$1,$D62-1,0),MATCH(T$4,'Adjustment scenario'!$D$10:$W$10,0))</f>
        <v>0.245557364155572</v>
      </c>
      <c r="U62" s="332">
        <f ca="1">INDEX(OFFSET('Adjustment scenario'!$D$1:$W$1,$D62-1,0),MATCH(U$4,'Adjustment scenario'!$D$10:$W$10,0))</f>
        <v>0.24710750085490998</v>
      </c>
      <c r="V62" s="332">
        <f ca="1">INDEX(OFFSET('Adjustment scenario'!$D$1:$W$1,$D62-1,0),MATCH(V$4,'Adjustment scenario'!$D$10:$W$10,0))</f>
        <v>0.24749202546700266</v>
      </c>
      <c r="W62" s="332">
        <f ca="1">INDEX(OFFSET('Adjustment scenario'!$D$1:$W$1,$D62-1,0),MATCH(W$4,'Adjustment scenario'!$D$10:$W$10,0))</f>
        <v>0.24588481807593507</v>
      </c>
      <c r="X62" s="332">
        <f ca="1">INDEX(OFFSET('Adjustment scenario'!$D$1:$W$1,$D62-1,0),MATCH(X$4,'Adjustment scenario'!$D$10:$W$10,0))</f>
        <v>0.24909413810465317</v>
      </c>
      <c r="Y62" s="271"/>
    </row>
    <row r="63" spans="1:25" x14ac:dyDescent="0.2">
      <c r="A63" s="271"/>
      <c r="B63" s="271"/>
      <c r="C63" s="271"/>
      <c r="D63" s="271"/>
      <c r="E63" s="271"/>
      <c r="F63" s="271"/>
      <c r="G63" s="271"/>
      <c r="H63" s="271"/>
      <c r="I63" s="271"/>
      <c r="J63" s="271"/>
      <c r="K63" s="271"/>
      <c r="L63" s="271"/>
      <c r="M63" s="271"/>
      <c r="N63" s="271"/>
      <c r="O63" s="271"/>
      <c r="P63" s="271"/>
      <c r="Q63" s="271"/>
      <c r="R63" s="271"/>
      <c r="S63" s="271"/>
      <c r="T63" s="271"/>
      <c r="U63" s="271"/>
      <c r="V63" s="271"/>
      <c r="W63" s="271"/>
      <c r="X63" s="271"/>
      <c r="Y63" s="271"/>
    </row>
  </sheetData>
  <conditionalFormatting sqref="V4:X63">
    <cfRule type="expression" dxfId="0" priority="2">
      <formula>#REF!=4</formula>
    </cfRule>
  </conditionalFormatting>
  <pageMargins left="0.7" right="0.7" top="0.75" bottom="0.75" header="0.3" footer="0.3"/>
  <pageSetup paperSize="9" orientation="portrait" verticalDpi="0" r:id="rId1"/>
  <extLst>
    <ext xmlns:x14="http://schemas.microsoft.com/office/spreadsheetml/2009/9/main" uri="{78C0D931-6437-407d-A8EE-F0AAD7539E65}">
      <x14:conditionalFormattings>
        <x14:conditionalFormatting xmlns:xm="http://schemas.microsoft.com/office/excel/2006/main">
          <x14:cfRule type="expression" priority="1" id="{D4889C7C-2BC4-4F4B-831C-552B8B76840F}">
            <xm:f>'Criteria results'!$F$5=4</xm:f>
            <x14:dxf>
              <font>
                <color theme="0"/>
              </font>
              <fill>
                <patternFill>
                  <bgColor theme="0"/>
                </patternFill>
              </fill>
            </x14:dxf>
          </x14:cfRule>
          <xm:sqref>V4:X63</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3268F-3CB2-413A-8DD9-4FF4DFCEE105}">
  <sheetPr codeName="Sheet21"/>
  <dimension ref="A1:N23"/>
  <sheetViews>
    <sheetView workbookViewId="0"/>
  </sheetViews>
  <sheetFormatPr defaultRowHeight="12.75" x14ac:dyDescent="0.2"/>
  <cols>
    <col min="13" max="13" width="9.85546875" customWidth="1"/>
  </cols>
  <sheetData>
    <row r="1" spans="1:14" x14ac:dyDescent="0.2">
      <c r="A1" t="s">
        <v>206</v>
      </c>
      <c r="B1" t="s">
        <v>207</v>
      </c>
      <c r="C1" t="s">
        <v>208</v>
      </c>
      <c r="D1" t="s">
        <v>209</v>
      </c>
      <c r="E1" t="s">
        <v>210</v>
      </c>
      <c r="F1" t="s">
        <v>211</v>
      </c>
      <c r="G1" t="s">
        <v>212</v>
      </c>
      <c r="H1" t="s">
        <v>213</v>
      </c>
      <c r="I1" t="s">
        <v>214</v>
      </c>
      <c r="J1" t="s">
        <v>215</v>
      </c>
      <c r="K1" t="s">
        <v>216</v>
      </c>
      <c r="L1" t="s">
        <v>217</v>
      </c>
    </row>
    <row r="2" spans="1:14" x14ac:dyDescent="0.2">
      <c r="A2" t="str">
        <f>'Adjustment scenario'!C$3</f>
        <v>FR</v>
      </c>
      <c r="B2">
        <v>2021</v>
      </c>
      <c r="C2" s="7" cm="1">
        <f t="array" ref="C2:C22">TRANSPOSE('Adjust. no safeguard'!C12:W12)</f>
        <v>-4.5038349999999996</v>
      </c>
      <c r="D2" s="7">
        <v>1</v>
      </c>
      <c r="E2" s="7" cm="1">
        <f t="array" ref="E2:E22">TRANSPOSE('Adjust. no safeguard'!C62:W62)</f>
        <v>0</v>
      </c>
      <c r="F2" s="7" cm="1">
        <f t="array" ref="F2:F22">TRANSPOSE('Adjust. no safeguard'!C24:W24)</f>
        <v>6.4352099999999997</v>
      </c>
      <c r="G2" s="7" cm="1">
        <f t="array" ref="G2:G22">TRANSPOSE('Adjust. no safeguard'!C42:W42)</f>
        <v>1.4239459999999999</v>
      </c>
      <c r="H2" s="7" cm="1">
        <f t="array" ref="H2:H22">TRANSPOSE('Adjust. no safeguard'!C14:W14)</f>
        <v>-8.3968899999999999E-2</v>
      </c>
      <c r="I2" s="7" cm="1">
        <f t="array" ref="I2:I22">TRANSPOSE('Adjust. no safeguard'!C15:W15)</f>
        <v>-2.11246E-2</v>
      </c>
      <c r="J2" s="7" cm="1">
        <f t="array" ref="J2:J22">TRANSPOSE('Adjust. no safeguard'!C64:W64)+TRANSPOSE('Adjust. no safeguard'!C65:W65)+TRANSPOSE('Adjust. no safeguard'!C66:W66)</f>
        <v>0</v>
      </c>
      <c r="K2" s="7" cm="1">
        <f t="array" ref="K2:K22">TRANSPOSE('Adjust. no safeguard'!C57:W57)</f>
        <v>112.97329999999999</v>
      </c>
      <c r="L2" s="7" cm="1">
        <f t="array" ref="L2:L22">TRANSPOSE('Adjust. no safeguard'!C36:W36)</f>
        <v>1.3072319999999999</v>
      </c>
      <c r="M2" s="7"/>
      <c r="N2" s="7"/>
    </row>
    <row r="3" spans="1:14" x14ac:dyDescent="0.2">
      <c r="A3" t="str">
        <f>'Adjustment scenario'!C$3</f>
        <v>FR</v>
      </c>
      <c r="B3">
        <v>2022</v>
      </c>
      <c r="C3" s="7">
        <v>-2.9834649999999998</v>
      </c>
      <c r="D3" s="7">
        <v>1</v>
      </c>
      <c r="E3" s="7">
        <v>-0.21885307437779322</v>
      </c>
      <c r="F3" s="7">
        <v>2.454758</v>
      </c>
      <c r="G3" s="7">
        <v>2.9472170000000002</v>
      </c>
      <c r="H3" s="7">
        <v>-7.1994500000000003E-2</v>
      </c>
      <c r="I3" s="7">
        <v>4.2606100000000001E-2</v>
      </c>
      <c r="J3" s="7">
        <v>0</v>
      </c>
      <c r="K3" s="7">
        <v>111.9181670256222</v>
      </c>
      <c r="L3" s="7">
        <v>1.8011330000000001</v>
      </c>
      <c r="M3" s="7"/>
      <c r="N3" s="7"/>
    </row>
    <row r="4" spans="1:14" x14ac:dyDescent="0.2">
      <c r="A4" t="str">
        <f>'Adjustment scenario'!C$3</f>
        <v>FR</v>
      </c>
      <c r="B4">
        <v>2023</v>
      </c>
      <c r="C4" s="7">
        <v>-3.6529590000000001</v>
      </c>
      <c r="D4" s="7">
        <v>1</v>
      </c>
      <c r="E4" s="7">
        <v>5.1141674861106101E-2</v>
      </c>
      <c r="F4" s="7">
        <v>0.70371839999999997</v>
      </c>
      <c r="G4" s="7">
        <v>5.4723360000000003</v>
      </c>
      <c r="H4" s="7">
        <v>-6.4214599999999997E-2</v>
      </c>
      <c r="I4" s="7">
        <v>-0.21881729999999999</v>
      </c>
      <c r="J4" s="7">
        <v>0</v>
      </c>
      <c r="K4" s="7">
        <v>110.64326790048331</v>
      </c>
      <c r="L4" s="7">
        <v>1.6360269999999999</v>
      </c>
      <c r="M4" s="7"/>
      <c r="N4" s="7"/>
    </row>
    <row r="5" spans="1:14" x14ac:dyDescent="0.2">
      <c r="A5" t="str">
        <f>'Adjustment scenario'!C$3</f>
        <v>FR</v>
      </c>
      <c r="B5">
        <v>2024</v>
      </c>
      <c r="C5" s="7">
        <v>-2.968391</v>
      </c>
      <c r="D5" s="7">
        <v>1</v>
      </c>
      <c r="E5" s="7">
        <v>0.27490083157582657</v>
      </c>
      <c r="F5" s="7">
        <v>0.72849039999999998</v>
      </c>
      <c r="G5" s="7">
        <v>2.7681049999999998</v>
      </c>
      <c r="H5" s="7">
        <v>-3.4462800000000002E-2</v>
      </c>
      <c r="I5" s="7">
        <v>0.21081169999999999</v>
      </c>
      <c r="J5" s="7">
        <v>0</v>
      </c>
      <c r="K5" s="7">
        <v>112.40882173205914</v>
      </c>
      <c r="L5" s="7">
        <v>1.90473</v>
      </c>
      <c r="M5" s="7"/>
      <c r="N5" s="7"/>
    </row>
    <row r="6" spans="1:14" x14ac:dyDescent="0.2">
      <c r="A6" t="str">
        <f>'Adjustment scenario'!C$3</f>
        <v>FR</v>
      </c>
      <c r="B6">
        <v>2025</v>
      </c>
      <c r="C6" s="7">
        <v>-2.0283910000000001</v>
      </c>
      <c r="D6" s="7">
        <v>1</v>
      </c>
      <c r="E6" s="7">
        <v>0.34360494897802119</v>
      </c>
      <c r="F6" s="7">
        <v>0.88990200000000907</v>
      </c>
      <c r="G6" s="7">
        <v>2.041757</v>
      </c>
      <c r="H6" s="7">
        <v>-3.00179E-2</v>
      </c>
      <c r="I6" s="7">
        <v>3.1292399999999998E-2</v>
      </c>
      <c r="J6" s="7">
        <v>0</v>
      </c>
      <c r="K6" s="7">
        <v>113.96873574495558</v>
      </c>
      <c r="L6" s="7">
        <v>2.1499329999999999</v>
      </c>
      <c r="M6" s="7"/>
      <c r="N6" s="7"/>
    </row>
    <row r="7" spans="1:14" x14ac:dyDescent="0.2">
      <c r="A7" t="str">
        <f>'Adjustment scenario'!C$3</f>
        <v>FR</v>
      </c>
      <c r="B7">
        <v>2026</v>
      </c>
      <c r="C7" s="7">
        <v>-1.0883910000000001</v>
      </c>
      <c r="D7" s="7">
        <v>1</v>
      </c>
      <c r="E7" s="7">
        <v>0.66803986623987499</v>
      </c>
      <c r="F7" s="7">
        <v>0.10716422429482009</v>
      </c>
      <c r="G7" s="7">
        <v>2.1052873750000001</v>
      </c>
      <c r="H7" s="7">
        <v>0</v>
      </c>
      <c r="I7" s="7">
        <v>0</v>
      </c>
      <c r="J7" s="7">
        <v>0</v>
      </c>
      <c r="K7" s="7">
        <v>115.77838065922458</v>
      </c>
      <c r="L7" s="7">
        <v>2.2624335955804127</v>
      </c>
      <c r="M7" s="7"/>
      <c r="N7" s="7"/>
    </row>
    <row r="8" spans="1:14" x14ac:dyDescent="0.2">
      <c r="A8" t="str">
        <f>'Adjustment scenario'!C$3</f>
        <v>FR</v>
      </c>
      <c r="B8">
        <v>2027</v>
      </c>
      <c r="C8" s="7">
        <v>-0.14839100000000016</v>
      </c>
      <c r="D8" s="7">
        <v>1</v>
      </c>
      <c r="E8" s="7">
        <v>0.88286469068579121</v>
      </c>
      <c r="F8" s="7">
        <v>9.6233022090608245E-2</v>
      </c>
      <c r="G8" s="7">
        <v>2.1688177500000001</v>
      </c>
      <c r="H8" s="7">
        <v>0</v>
      </c>
      <c r="I8" s="7">
        <v>0</v>
      </c>
      <c r="J8" s="7">
        <v>0</v>
      </c>
      <c r="K8" s="7">
        <v>116.92117165766111</v>
      </c>
      <c r="L8" s="7">
        <v>2.3656571190916935</v>
      </c>
      <c r="M8" s="7"/>
      <c r="N8" s="7"/>
    </row>
    <row r="9" spans="1:14" x14ac:dyDescent="0.2">
      <c r="A9" t="str">
        <f>'Adjustment scenario'!C$3</f>
        <v>FR</v>
      </c>
      <c r="B9">
        <v>2028</v>
      </c>
      <c r="C9" s="7">
        <v>0.79160899999999979</v>
      </c>
      <c r="D9" s="7">
        <v>1</v>
      </c>
      <c r="E9" s="7">
        <v>1.0250036676267147</v>
      </c>
      <c r="F9" s="7">
        <v>0.1137685656515508</v>
      </c>
      <c r="G9" s="7">
        <v>2.2323481250000001</v>
      </c>
      <c r="H9" s="7">
        <v>0</v>
      </c>
      <c r="I9" s="7">
        <v>0</v>
      </c>
      <c r="J9" s="7">
        <v>0</v>
      </c>
      <c r="K9" s="7">
        <v>117.28270034717907</v>
      </c>
      <c r="L9" s="7">
        <v>2.4608203898214027</v>
      </c>
      <c r="M9" s="7"/>
      <c r="N9" s="7"/>
    </row>
    <row r="10" spans="1:14" x14ac:dyDescent="0.2">
      <c r="A10" t="str">
        <f>'Adjustment scenario'!C$3</f>
        <v>FR</v>
      </c>
      <c r="B10">
        <v>2029</v>
      </c>
      <c r="C10" s="7">
        <v>0.79160899999999979</v>
      </c>
      <c r="D10" s="7">
        <v>1</v>
      </c>
      <c r="E10" s="7">
        <v>0.68333577841781445</v>
      </c>
      <c r="F10" s="7">
        <v>0.8950681754104739</v>
      </c>
      <c r="G10" s="7">
        <v>2.2958784999999997</v>
      </c>
      <c r="H10" s="7">
        <v>0</v>
      </c>
      <c r="I10" s="7">
        <v>0</v>
      </c>
      <c r="J10" s="7">
        <v>-2.7212900000003981E-2</v>
      </c>
      <c r="K10" s="7">
        <v>116.3940420920207</v>
      </c>
      <c r="L10" s="7">
        <v>2.5486874079195405</v>
      </c>
      <c r="M10" s="7"/>
      <c r="N10" s="7"/>
    </row>
    <row r="11" spans="1:14" x14ac:dyDescent="0.2">
      <c r="A11" t="str">
        <f>'Adjustment scenario'!C$3</f>
        <v>FR</v>
      </c>
      <c r="B11">
        <v>2030</v>
      </c>
      <c r="C11" s="7">
        <v>0.79160899999999979</v>
      </c>
      <c r="D11" s="7">
        <v>1</v>
      </c>
      <c r="E11" s="7">
        <v>0.34166788920889324</v>
      </c>
      <c r="F11" s="7">
        <v>0.9007971710852658</v>
      </c>
      <c r="G11" s="7">
        <v>2.3594088749999997</v>
      </c>
      <c r="H11" s="7">
        <v>0</v>
      </c>
      <c r="I11" s="7">
        <v>0</v>
      </c>
      <c r="J11" s="7">
        <v>-4.1745800000004829E-2</v>
      </c>
      <c r="K11" s="7">
        <v>115.17150448362032</v>
      </c>
      <c r="L11" s="7">
        <v>2.6329441517892573</v>
      </c>
      <c r="M11" s="7"/>
      <c r="N11" s="7"/>
    </row>
    <row r="12" spans="1:14" x14ac:dyDescent="0.2">
      <c r="A12" t="str">
        <f>'Adjustment scenario'!C$3</f>
        <v>FR</v>
      </c>
      <c r="B12">
        <v>2031</v>
      </c>
      <c r="C12" s="7">
        <v>0.79160899999999979</v>
      </c>
      <c r="D12" s="7">
        <v>1</v>
      </c>
      <c r="E12" s="7">
        <v>0</v>
      </c>
      <c r="F12" s="7">
        <v>0.92054939826520243</v>
      </c>
      <c r="G12" s="7">
        <v>2.4229392499999998</v>
      </c>
      <c r="H12" s="7">
        <v>0</v>
      </c>
      <c r="I12" s="7">
        <v>0</v>
      </c>
      <c r="J12" s="7">
        <v>-5.5758700000000383E-2</v>
      </c>
      <c r="K12" s="7">
        <v>113.59794901750452</v>
      </c>
      <c r="L12" s="7">
        <v>2.7140434675168965</v>
      </c>
      <c r="M12" s="7"/>
      <c r="N12" s="7"/>
    </row>
    <row r="13" spans="1:14" x14ac:dyDescent="0.2">
      <c r="A13" t="str">
        <f>'Adjustment scenario'!C$3</f>
        <v>FR</v>
      </c>
      <c r="B13">
        <v>2032</v>
      </c>
      <c r="C13" s="7">
        <v>0.79160899999999979</v>
      </c>
      <c r="D13" s="7">
        <v>1</v>
      </c>
      <c r="E13" s="7">
        <v>-3.0118666920486703E-6</v>
      </c>
      <c r="F13" s="7">
        <v>0.40285550000001003</v>
      </c>
      <c r="G13" s="7">
        <v>2.4864696249999998</v>
      </c>
      <c r="H13" s="7">
        <v>0</v>
      </c>
      <c r="I13" s="7">
        <v>0</v>
      </c>
      <c r="J13" s="7">
        <v>-5.3641700000002679E-2</v>
      </c>
      <c r="K13" s="7">
        <v>112.63450426242881</v>
      </c>
      <c r="L13" s="7">
        <v>2.7922821441212311</v>
      </c>
      <c r="M13" s="7"/>
      <c r="N13" s="7"/>
    </row>
    <row r="14" spans="1:14" x14ac:dyDescent="0.2">
      <c r="A14" t="str">
        <f>'Adjustment scenario'!C$3</f>
        <v>FR</v>
      </c>
      <c r="B14">
        <v>2033</v>
      </c>
      <c r="C14" s="7">
        <v>0.79160899999999979</v>
      </c>
      <c r="D14" s="7">
        <v>1</v>
      </c>
      <c r="E14" s="7">
        <v>-4.7063412766945589E-6</v>
      </c>
      <c r="F14" s="7">
        <v>0.38510769999999805</v>
      </c>
      <c r="G14" s="7">
        <v>2.5499999999999998</v>
      </c>
      <c r="H14" s="7">
        <v>0</v>
      </c>
      <c r="I14" s="7">
        <v>0</v>
      </c>
      <c r="J14" s="7">
        <v>-1.7584600000000283E-2</v>
      </c>
      <c r="K14" s="7">
        <v>111.7435099006877</v>
      </c>
      <c r="L14" s="7">
        <v>2.8701685368371517</v>
      </c>
      <c r="M14" s="7"/>
      <c r="N14" s="7"/>
    </row>
    <row r="15" spans="1:14" x14ac:dyDescent="0.2">
      <c r="A15" t="str">
        <f>'Adjustment scenario'!C$3</f>
        <v>FR</v>
      </c>
      <c r="B15">
        <v>2034</v>
      </c>
      <c r="C15" s="7">
        <v>0.79160899999999979</v>
      </c>
      <c r="D15" s="7">
        <v>1</v>
      </c>
      <c r="E15" s="7">
        <v>-7.0867798549478778E-6</v>
      </c>
      <c r="F15" s="7">
        <v>0.56971390000000177</v>
      </c>
      <c r="G15" s="7">
        <v>2.5225</v>
      </c>
      <c r="H15" s="7">
        <v>0</v>
      </c>
      <c r="I15" s="7">
        <v>0</v>
      </c>
      <c r="J15" s="7">
        <v>2.9252499999999126E-2</v>
      </c>
      <c r="K15" s="7">
        <v>110.80056765042947</v>
      </c>
      <c r="L15" s="7">
        <v>2.9399636293972873</v>
      </c>
      <c r="M15" s="7"/>
      <c r="N15" s="7"/>
    </row>
    <row r="16" spans="1:14" x14ac:dyDescent="0.2">
      <c r="A16" t="str">
        <f>'Adjustment scenario'!C$3</f>
        <v>FR</v>
      </c>
      <c r="B16">
        <v>2035</v>
      </c>
      <c r="C16" s="7">
        <v>0.79160899999999979</v>
      </c>
      <c r="D16" s="7">
        <v>1</v>
      </c>
      <c r="E16" s="7">
        <v>-9.9005554414777208E-6</v>
      </c>
      <c r="F16" s="7">
        <v>0.75431990000001115</v>
      </c>
      <c r="G16" s="7">
        <v>2.4949999999999997</v>
      </c>
      <c r="H16" s="7">
        <v>0</v>
      </c>
      <c r="I16" s="7">
        <v>0</v>
      </c>
      <c r="J16" s="7">
        <v>2.5039600000001938E-2</v>
      </c>
      <c r="K16" s="7">
        <v>109.75097572995541</v>
      </c>
      <c r="L16" s="7">
        <v>3.0043672828038184</v>
      </c>
      <c r="M16" s="7"/>
      <c r="N16" s="7"/>
    </row>
    <row r="17" spans="1:14" x14ac:dyDescent="0.2">
      <c r="A17" t="str">
        <f>'Adjustment scenario'!C$3</f>
        <v>FR</v>
      </c>
      <c r="B17">
        <v>2036</v>
      </c>
      <c r="C17" s="7">
        <v>0.79160899999999979</v>
      </c>
      <c r="D17" s="7">
        <v>1</v>
      </c>
      <c r="E17" s="7">
        <v>-1.0462281371248494E-5</v>
      </c>
      <c r="F17" s="7">
        <v>0.93892149999998953</v>
      </c>
      <c r="G17" s="7">
        <v>2.4674999999999998</v>
      </c>
      <c r="H17" s="7">
        <v>0</v>
      </c>
      <c r="I17" s="7">
        <v>0</v>
      </c>
      <c r="J17" s="7">
        <v>2.4846599999998276E-2</v>
      </c>
      <c r="K17" s="7">
        <v>108.5958000998274</v>
      </c>
      <c r="L17" s="7">
        <v>3.0635576645735116</v>
      </c>
      <c r="M17" s="7"/>
      <c r="N17" s="7"/>
    </row>
    <row r="18" spans="1:14" x14ac:dyDescent="0.2">
      <c r="A18" t="str">
        <f>'Adjustment scenario'!C$3</f>
        <v>FR</v>
      </c>
      <c r="B18">
        <v>2037</v>
      </c>
      <c r="C18" s="7">
        <v>0.79160899999999979</v>
      </c>
      <c r="D18" s="7">
        <v>1</v>
      </c>
      <c r="E18" s="7">
        <v>-1.1709286402483698E-5</v>
      </c>
      <c r="F18" s="7">
        <v>1.042111999999995</v>
      </c>
      <c r="G18" s="7">
        <v>2.44</v>
      </c>
      <c r="H18" s="7">
        <v>0</v>
      </c>
      <c r="I18" s="7">
        <v>0</v>
      </c>
      <c r="J18" s="7">
        <v>2.8023699999994878E-2</v>
      </c>
      <c r="K18" s="7">
        <v>107.42353691390102</v>
      </c>
      <c r="L18" s="7">
        <v>3.1180214262489456</v>
      </c>
      <c r="M18" s="7"/>
      <c r="N18" s="7"/>
    </row>
    <row r="19" spans="1:14" x14ac:dyDescent="0.2">
      <c r="A19" t="str">
        <f>'Adjustment scenario'!C$3</f>
        <v>FR</v>
      </c>
      <c r="B19">
        <v>2038</v>
      </c>
      <c r="C19" s="7">
        <v>0.79160899999999979</v>
      </c>
      <c r="D19" s="7">
        <v>1</v>
      </c>
      <c r="E19" s="7">
        <v>-9.2185620177431815E-6</v>
      </c>
      <c r="F19" s="7">
        <v>1.1754000000000042</v>
      </c>
      <c r="G19" s="7">
        <v>2.4124999999999996</v>
      </c>
      <c r="H19" s="7">
        <v>0</v>
      </c>
      <c r="I19" s="7">
        <v>0</v>
      </c>
      <c r="J19" s="7">
        <v>3.0530799999999192E-2</v>
      </c>
      <c r="K19" s="7">
        <v>106.19793615773025</v>
      </c>
      <c r="L19" s="7">
        <v>3.168206362701508</v>
      </c>
      <c r="M19" s="7"/>
      <c r="N19" s="7"/>
    </row>
    <row r="20" spans="1:14" x14ac:dyDescent="0.2">
      <c r="A20" t="str">
        <f>'Adjustment scenario'!C$3</f>
        <v>FR</v>
      </c>
      <c r="B20">
        <v>2039</v>
      </c>
      <c r="C20" s="7">
        <v>0.79160899999999979</v>
      </c>
      <c r="D20" s="7">
        <v>1</v>
      </c>
      <c r="E20" s="7">
        <v>-7.97508762229171E-6</v>
      </c>
      <c r="F20" s="7">
        <v>1.3289990000000085</v>
      </c>
      <c r="G20" s="7">
        <v>2.3849999999999998</v>
      </c>
      <c r="H20" s="7">
        <v>0</v>
      </c>
      <c r="I20" s="7">
        <v>0</v>
      </c>
      <c r="J20" s="7">
        <v>2.8587899999997779E-2</v>
      </c>
      <c r="K20" s="7">
        <v>104.89116193207212</v>
      </c>
      <c r="L20" s="7">
        <v>3.2145062176713166</v>
      </c>
      <c r="M20" s="7"/>
      <c r="N20" s="7"/>
    </row>
    <row r="21" spans="1:14" x14ac:dyDescent="0.2">
      <c r="A21" t="str">
        <f>'Adjustment scenario'!C$3</f>
        <v>FR</v>
      </c>
      <c r="B21">
        <v>2040</v>
      </c>
      <c r="C21" s="7">
        <v>0.79160899999999979</v>
      </c>
      <c r="D21" s="7">
        <v>1</v>
      </c>
      <c r="E21" s="7">
        <v>-5.4926034300795123E-6</v>
      </c>
      <c r="F21" s="7">
        <v>1.5112290000000028</v>
      </c>
      <c r="G21" s="7">
        <v>2.3574999999999999</v>
      </c>
      <c r="H21" s="7">
        <v>0</v>
      </c>
      <c r="I21" s="7">
        <v>0</v>
      </c>
      <c r="J21" s="7">
        <v>1.4454899999996051E-2</v>
      </c>
      <c r="K21" s="7">
        <v>103.46077033792356</v>
      </c>
      <c r="L21" s="7">
        <v>3.2572697643868134</v>
      </c>
      <c r="M21" s="7"/>
      <c r="N21" s="7"/>
    </row>
    <row r="22" spans="1:14" x14ac:dyDescent="0.2">
      <c r="A22" t="str">
        <f>'Adjustment scenario'!C$3</f>
        <v>FR</v>
      </c>
      <c r="B22">
        <v>2041</v>
      </c>
      <c r="C22" s="7">
        <v>0.79160899999999979</v>
      </c>
      <c r="D22" s="7">
        <v>1</v>
      </c>
      <c r="E22" s="7">
        <v>-7.9743579519675478E-6</v>
      </c>
      <c r="F22" s="7">
        <v>1.5410790000000008</v>
      </c>
      <c r="G22" s="7">
        <v>2.33</v>
      </c>
      <c r="H22" s="7">
        <v>0</v>
      </c>
      <c r="I22" s="7">
        <v>0</v>
      </c>
      <c r="J22" s="7">
        <v>5.2801999999993576E-2</v>
      </c>
      <c r="K22" s="7">
        <v>102.11438203227299</v>
      </c>
      <c r="L22" s="7">
        <v>3.2967924072889536</v>
      </c>
      <c r="M22" s="7"/>
      <c r="N22" s="7"/>
    </row>
    <row r="23" spans="1:14" x14ac:dyDescent="0.2">
      <c r="N23" s="7"/>
    </row>
  </sheetData>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1D7CDCA61137D46922835CA98C0641D" ma:contentTypeVersion="8" ma:contentTypeDescription="Create a new document." ma:contentTypeScope="" ma:versionID="6659297bf1036fa7eae64cf0e7c2fac9">
  <xsd:schema xmlns:xsd="http://www.w3.org/2001/XMLSchema" xmlns:xs="http://www.w3.org/2001/XMLSchema" xmlns:p="http://schemas.microsoft.com/office/2006/metadata/properties" xmlns:ns2="b29b9b01-a41b-4cdd-ba34-21bb9c415350" xmlns:ns3="150bf796-665d-42d8-bec5-8541ade97521" targetNamespace="http://schemas.microsoft.com/office/2006/metadata/properties" ma:root="true" ma:fieldsID="9a4b96746bcdbed031cdc5f86c6e749b" ns2:_="" ns3:_="">
    <xsd:import namespace="b29b9b01-a41b-4cdd-ba34-21bb9c415350"/>
    <xsd:import namespace="150bf796-665d-42d8-bec5-8541ade9752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9b9b01-a41b-4cdd-ba34-21bb9c4153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50bf796-665d-42d8-bec5-8541ade9752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D5379F7-D4E7-4A0C-87B7-761C7833B493}">
  <ds:schemaRefs>
    <ds:schemaRef ds:uri="http://schemas.microsoft.com/sharepoint/v3/contenttype/forms"/>
  </ds:schemaRefs>
</ds:datastoreItem>
</file>

<file path=customXml/itemProps2.xml><?xml version="1.0" encoding="utf-8"?>
<ds:datastoreItem xmlns:ds="http://schemas.openxmlformats.org/officeDocument/2006/customXml" ds:itemID="{C69BE971-F562-4B09-A9E1-668BAAF544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9b9b01-a41b-4cdd-ba34-21bb9c415350"/>
    <ds:schemaRef ds:uri="150bf796-665d-42d8-bec5-8541ade975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DE1AD19-26CE-486A-AEF9-44A7210D2685}">
  <ds:schemaRefs>
    <ds:schemaRef ds:uri="http://schemas.microsoft.com/office/2006/metadata/properties"/>
    <ds:schemaRef ds:uri="b29b9b01-a41b-4cdd-ba34-21bb9c415350"/>
    <ds:schemaRef ds:uri="http://purl.org/dc/terms/"/>
    <ds:schemaRef ds:uri="http://purl.org/dc/elements/1.1/"/>
    <ds:schemaRef ds:uri="http://schemas.openxmlformats.org/package/2006/metadata/core-properties"/>
    <ds:schemaRef ds:uri="http://purl.org/dc/dcmitype/"/>
    <ds:schemaRef ds:uri="http://schemas.microsoft.com/office/2006/documentManagement/types"/>
    <ds:schemaRef ds:uri="http://schemas.microsoft.com/office/infopath/2007/PartnerControls"/>
    <ds:schemaRef ds:uri="150bf796-665d-42d8-bec5-8541ade97521"/>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 me</vt:lpstr>
      <vt:lpstr>Criteria results</vt:lpstr>
      <vt:lpstr>Input data</vt:lpstr>
      <vt:lpstr>Baseline NFPC</vt:lpstr>
      <vt:lpstr>Adjustment scenario</vt:lpstr>
      <vt:lpstr>Adjust. no safeguard</vt:lpstr>
      <vt:lpstr>Financial stress</vt:lpstr>
      <vt:lpstr>Lower SPB</vt:lpstr>
      <vt:lpstr>Adverse (r-g)</vt:lpstr>
      <vt:lpstr>Stochastic</vt:lpstr>
      <vt:lpstr>FASTOP reporting</vt:lpstr>
      <vt:lpstr>Data_stochastic</vt:lpstr>
    </vt:vector>
  </TitlesOfParts>
  <Manager/>
  <Company>European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SAIL Etienne (ECFIN)</dc:creator>
  <cp:keywords/>
  <dc:description/>
  <cp:lastModifiedBy>COURTOY Francois (ECFIN)</cp:lastModifiedBy>
  <cp:revision/>
  <dcterms:created xsi:type="dcterms:W3CDTF">2013-04-12T08:50:12Z</dcterms:created>
  <dcterms:modified xsi:type="dcterms:W3CDTF">2024-06-20T10:33:53Z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2023-01-31T12:59:42Z</vt:lpwstr>
  </property>
  <property fmtid="{D5CDD505-2E9C-101B-9397-08002B2CF9AE}" pid="4" name="MSIP_Label_6bd9ddd1-4d20-43f6-abfa-fc3c07406f94_Method">
    <vt:lpwstr>Privileged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b0fa60c5-7b78-4404-9a0b-188770adde17</vt:lpwstr>
  </property>
  <property fmtid="{D5CDD505-2E9C-101B-9397-08002B2CF9AE}" pid="8" name="MSIP_Label_6bd9ddd1-4d20-43f6-abfa-fc3c07406f94_ContentBits">
    <vt:lpwstr>0</vt:lpwstr>
  </property>
  <property fmtid="{D5CDD505-2E9C-101B-9397-08002B2CF9AE}" pid="9" name="ContentTypeId">
    <vt:lpwstr>0x01010021D7CDCA61137D46922835CA98C0641D</vt:lpwstr>
  </property>
</Properties>
</file>