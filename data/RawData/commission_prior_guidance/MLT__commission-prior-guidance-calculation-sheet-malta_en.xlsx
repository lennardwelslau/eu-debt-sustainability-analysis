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U:\SUSTAINABILITY\EU Fiscal Framework - Technical guidance\Outputs\SF24\Excel spreadsheets\2024-06-19 prior guidance - calculation sheets\"/>
    </mc:Choice>
  </mc:AlternateContent>
  <xr:revisionPtr revIDLastSave="0" documentId="13_ncr:1_{AE374639-7F8D-484B-8160-562D84B19256}" xr6:coauthVersionLast="47" xr6:coauthVersionMax="47" xr10:uidLastSave="{00000000-0000-0000-0000-000000000000}"/>
  <bookViews>
    <workbookView xWindow="28680" yWindow="-120" windowWidth="29040" windowHeight="15990" tabRatio="788" xr2:uid="{00000000-000D-0000-FFFF-FFFF00000000}"/>
  </bookViews>
  <sheets>
    <sheet name="Read me" sheetId="32" r:id="rId1"/>
    <sheet name="Criteria results" sheetId="20" r:id="rId2"/>
    <sheet name="Input data" sheetId="8" r:id="rId3"/>
    <sheet name="Baseline NFPC" sheetId="9" r:id="rId4"/>
    <sheet name="Adjustment scenario" sheetId="21" r:id="rId5"/>
    <sheet name="Adjust. no safeguard" sheetId="40" r:id="rId6"/>
    <sheet name="Financial stress" sheetId="17" r:id="rId7"/>
    <sheet name="Lower SPB" sheetId="18" r:id="rId8"/>
    <sheet name="Adverse (r-g)" sheetId="19" r:id="rId9"/>
    <sheet name="Stochastic" sheetId="22" r:id="rId10"/>
    <sheet name="FASTOP reporting" sheetId="44" r:id="rId11"/>
    <sheet name="Data_stochastic" sheetId="43" r:id="rId12"/>
  </sheet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4" i="40" l="1"/>
  <c r="V14" i="40"/>
  <c r="W14" i="40"/>
  <c r="F53" i="44"/>
  <c r="F57" i="44"/>
  <c r="G57" i="44" s="1"/>
  <c r="H57" i="44" s="1"/>
  <c r="I57" i="44" s="1"/>
  <c r="J57" i="44" s="1"/>
  <c r="K57" i="44" s="1"/>
  <c r="L57" i="44" s="1"/>
  <c r="M57" i="44" s="1"/>
  <c r="N57" i="44" s="1"/>
  <c r="O57" i="44" s="1"/>
  <c r="P57" i="44" s="1"/>
  <c r="Q57" i="44" s="1"/>
  <c r="R57" i="44" s="1"/>
  <c r="S57" i="44" s="1"/>
  <c r="T57" i="44" s="1"/>
  <c r="U57" i="44" s="1"/>
  <c r="V57" i="44" s="1"/>
  <c r="W57" i="44" s="1"/>
  <c r="X57" i="44" s="1"/>
  <c r="F40" i="44"/>
  <c r="G40" i="44" s="1"/>
  <c r="H40" i="44" s="1"/>
  <c r="I40" i="44" s="1"/>
  <c r="J40" i="44" s="1"/>
  <c r="K40" i="44" s="1"/>
  <c r="L40" i="44" s="1"/>
  <c r="M40" i="44" s="1"/>
  <c r="N40" i="44" s="1"/>
  <c r="O40" i="44" s="1"/>
  <c r="P40" i="44" s="1"/>
  <c r="Q40" i="44" s="1"/>
  <c r="R40" i="44" s="1"/>
  <c r="S40" i="44" s="1"/>
  <c r="T40" i="44" s="1"/>
  <c r="U40" i="44" s="1"/>
  <c r="V40" i="44" s="1"/>
  <c r="W40" i="44" s="1"/>
  <c r="X40" i="44" s="1"/>
  <c r="F29" i="44"/>
  <c r="G29" i="44" s="1"/>
  <c r="H29" i="44" s="1"/>
  <c r="I29" i="44" s="1"/>
  <c r="J29" i="44" s="1"/>
  <c r="K29" i="44" s="1"/>
  <c r="L29" i="44" s="1"/>
  <c r="M29" i="44" s="1"/>
  <c r="N29" i="44" s="1"/>
  <c r="O29" i="44" s="1"/>
  <c r="P29" i="44" s="1"/>
  <c r="Q29" i="44" s="1"/>
  <c r="R29" i="44" s="1"/>
  <c r="S29" i="44" s="1"/>
  <c r="T29" i="44" s="1"/>
  <c r="U29" i="44" s="1"/>
  <c r="V29" i="44" s="1"/>
  <c r="W29" i="44" s="1"/>
  <c r="X29" i="44" s="1"/>
  <c r="F26" i="44"/>
  <c r="G26" i="44" s="1"/>
  <c r="H26" i="44" s="1"/>
  <c r="I26" i="44" s="1"/>
  <c r="J26" i="44" s="1"/>
  <c r="K26" i="44" s="1"/>
  <c r="L26" i="44" s="1"/>
  <c r="M26" i="44" s="1"/>
  <c r="N26" i="44" s="1"/>
  <c r="O26" i="44" s="1"/>
  <c r="P26" i="44" s="1"/>
  <c r="Q26" i="44" s="1"/>
  <c r="R26" i="44" s="1"/>
  <c r="S26" i="44" s="1"/>
  <c r="T26" i="44" s="1"/>
  <c r="U26" i="44" s="1"/>
  <c r="V26" i="44" s="1"/>
  <c r="W26" i="44" s="1"/>
  <c r="X26" i="44" s="1"/>
  <c r="F22" i="44"/>
  <c r="G22" i="44" s="1"/>
  <c r="H22" i="44" s="1"/>
  <c r="I22" i="44" s="1"/>
  <c r="J22" i="44" s="1"/>
  <c r="K22" i="44" s="1"/>
  <c r="L22" i="44" s="1"/>
  <c r="M22" i="44" s="1"/>
  <c r="N22" i="44" s="1"/>
  <c r="O22" i="44" s="1"/>
  <c r="P22" i="44" s="1"/>
  <c r="Q22" i="44" s="1"/>
  <c r="R22" i="44" s="1"/>
  <c r="S22" i="44" s="1"/>
  <c r="T22" i="44" s="1"/>
  <c r="U22" i="44" s="1"/>
  <c r="V22" i="44" s="1"/>
  <c r="W22" i="44" s="1"/>
  <c r="X22" i="44" s="1"/>
  <c r="F4" i="44"/>
  <c r="G4" i="44" s="1"/>
  <c r="H4" i="44" s="1"/>
  <c r="I4" i="44" s="1"/>
  <c r="J4" i="44" s="1"/>
  <c r="K4" i="44" s="1"/>
  <c r="L4" i="44" s="1"/>
  <c r="M4" i="44" s="1"/>
  <c r="N4" i="44" s="1"/>
  <c r="O4" i="44" s="1"/>
  <c r="P4" i="44" s="1"/>
  <c r="Q4" i="44" s="1"/>
  <c r="R4" i="44" s="1"/>
  <c r="S4" i="44" s="1"/>
  <c r="T4" i="44" s="1"/>
  <c r="U4" i="44" s="1"/>
  <c r="V4" i="44" s="1"/>
  <c r="W4" i="44" s="1"/>
  <c r="X4" i="44" s="1"/>
  <c r="B59" i="44"/>
  <c r="B60" i="44" s="1"/>
  <c r="B61" i="44" s="1"/>
  <c r="B62" i="44" s="1"/>
  <c r="E4" i="44" l="1"/>
  <c r="E22" i="44"/>
  <c r="E26" i="44"/>
  <c r="E29" i="44"/>
  <c r="C6" i="8" l="1"/>
  <c r="F35" i="44" l="1"/>
  <c r="E35" i="44" s="1"/>
  <c r="W104" i="40"/>
  <c r="V104" i="40"/>
  <c r="U104" i="40"/>
  <c r="T104" i="40"/>
  <c r="S104" i="40"/>
  <c r="R104" i="40"/>
  <c r="Q104" i="40"/>
  <c r="P104" i="40"/>
  <c r="O104" i="40"/>
  <c r="N104" i="40"/>
  <c r="M104" i="40"/>
  <c r="L104" i="40"/>
  <c r="K104" i="40"/>
  <c r="J104" i="40"/>
  <c r="I104" i="40"/>
  <c r="H104" i="40"/>
  <c r="G104" i="40"/>
  <c r="F104" i="40"/>
  <c r="E104" i="40"/>
  <c r="D51" i="40"/>
  <c r="C47" i="40"/>
  <c r="B17" i="40"/>
  <c r="W63" i="40"/>
  <c r="V63" i="40"/>
  <c r="U63" i="40"/>
  <c r="T14" i="40"/>
  <c r="T63" i="40" s="1"/>
  <c r="S14" i="40"/>
  <c r="S63" i="40" s="1"/>
  <c r="R14" i="40"/>
  <c r="R63" i="40" s="1"/>
  <c r="Q14" i="40"/>
  <c r="Q63" i="40" s="1"/>
  <c r="P14" i="40"/>
  <c r="P63" i="40" s="1"/>
  <c r="O14" i="40"/>
  <c r="O63" i="40" s="1"/>
  <c r="N14" i="40"/>
  <c r="N63" i="40" s="1"/>
  <c r="M14" i="40"/>
  <c r="M63" i="40" s="1"/>
  <c r="L14" i="40"/>
  <c r="L63" i="40" s="1"/>
  <c r="K14" i="40"/>
  <c r="K63" i="40" s="1"/>
  <c r="J14" i="40"/>
  <c r="J63" i="40" s="1"/>
  <c r="I14" i="40"/>
  <c r="I63" i="40" s="1"/>
  <c r="H14" i="40"/>
  <c r="H63" i="40" s="1"/>
  <c r="C5" i="40"/>
  <c r="D65" i="40" s="1"/>
  <c r="B5" i="40"/>
  <c r="C7" i="40" l="1"/>
  <c r="C6" i="40"/>
  <c r="J64" i="40" s="1"/>
  <c r="E65" i="40"/>
  <c r="F65" i="40"/>
  <c r="E64" i="40" l="1"/>
  <c r="J65" i="40"/>
  <c r="I65" i="40"/>
  <c r="H65" i="40"/>
  <c r="G65" i="40"/>
  <c r="I64" i="40"/>
  <c r="H64" i="40"/>
  <c r="G64" i="40"/>
  <c r="F64" i="40"/>
  <c r="D64" i="40"/>
  <c r="B5" i="22" l="1"/>
  <c r="B5" i="19"/>
  <c r="B5" i="18"/>
  <c r="B5" i="17"/>
  <c r="B5" i="21"/>
  <c r="B5" i="9"/>
  <c r="I99" i="9" l="1"/>
  <c r="J99" i="9"/>
  <c r="K99" i="9"/>
  <c r="L99" i="9"/>
  <c r="M99" i="9"/>
  <c r="N99" i="9"/>
  <c r="O99" i="9"/>
  <c r="P99" i="9"/>
  <c r="Q99" i="9"/>
  <c r="R99" i="9"/>
  <c r="S99" i="9"/>
  <c r="T99" i="9"/>
  <c r="U99" i="9"/>
  <c r="V99" i="9"/>
  <c r="W99" i="9"/>
  <c r="H99" i="9"/>
  <c r="H62" i="9"/>
  <c r="E99" i="9" l="1"/>
  <c r="F99" i="9"/>
  <c r="G99" i="9"/>
  <c r="L14" i="21"/>
  <c r="M9" i="44" s="1"/>
  <c r="B17" i="21" l="1"/>
  <c r="B16" i="19"/>
  <c r="B16" i="18"/>
  <c r="B16" i="17"/>
  <c r="B16" i="9"/>
  <c r="E96" i="19" l="1"/>
  <c r="F96" i="19"/>
  <c r="G96" i="19"/>
  <c r="E95" i="18"/>
  <c r="F95" i="18"/>
  <c r="G95" i="18"/>
  <c r="E95" i="17"/>
  <c r="F95" i="17"/>
  <c r="G95" i="17"/>
  <c r="H13" i="17" l="1"/>
  <c r="F87" i="21" l="1"/>
  <c r="C27" i="40"/>
  <c r="C19" i="40"/>
  <c r="Q72" i="40"/>
  <c r="F15" i="40"/>
  <c r="F73" i="40" s="1"/>
  <c r="C57" i="40"/>
  <c r="D42" i="40"/>
  <c r="P72" i="40"/>
  <c r="U15" i="40"/>
  <c r="U73" i="40" s="1"/>
  <c r="E15" i="40"/>
  <c r="E73" i="40" s="1"/>
  <c r="O72" i="40"/>
  <c r="D15" i="40"/>
  <c r="D73" i="40" s="1"/>
  <c r="N72" i="40"/>
  <c r="C15" i="40"/>
  <c r="M72" i="40"/>
  <c r="Q15" i="40"/>
  <c r="Q73" i="40" s="1"/>
  <c r="F14" i="40"/>
  <c r="F63" i="40" s="1"/>
  <c r="O15" i="40"/>
  <c r="O73" i="40" s="1"/>
  <c r="D14" i="40"/>
  <c r="D63" i="40" s="1"/>
  <c r="N15" i="40"/>
  <c r="N73" i="40" s="1"/>
  <c r="I19" i="40"/>
  <c r="C24" i="40"/>
  <c r="F36" i="40"/>
  <c r="U72" i="40"/>
  <c r="C12" i="40"/>
  <c r="E36" i="40"/>
  <c r="C42" i="40"/>
  <c r="T15" i="40"/>
  <c r="T73" i="40" s="1"/>
  <c r="G37" i="40"/>
  <c r="S15" i="40"/>
  <c r="S73" i="40" s="1"/>
  <c r="F37" i="40"/>
  <c r="R15" i="40"/>
  <c r="R73" i="40" s="1"/>
  <c r="G14" i="40"/>
  <c r="G63" i="40" s="1"/>
  <c r="E37" i="40"/>
  <c r="L72" i="40"/>
  <c r="J19" i="40"/>
  <c r="M15" i="40"/>
  <c r="M73" i="40" s="1"/>
  <c r="L15" i="40"/>
  <c r="L73" i="40" s="1"/>
  <c r="V72" i="40"/>
  <c r="D12" i="40"/>
  <c r="G19" i="40"/>
  <c r="J15" i="40"/>
  <c r="J73" i="40" s="1"/>
  <c r="F19" i="40"/>
  <c r="O41" i="9"/>
  <c r="D37" i="40"/>
  <c r="C23" i="40"/>
  <c r="K72" i="40"/>
  <c r="P15" i="40"/>
  <c r="P73" i="40" s="1"/>
  <c r="E14" i="40"/>
  <c r="E63" i="40" s="1"/>
  <c r="J72" i="40"/>
  <c r="I72" i="40"/>
  <c r="C14" i="40"/>
  <c r="H72" i="40"/>
  <c r="D38" i="40"/>
  <c r="W72" i="40"/>
  <c r="H19" i="40"/>
  <c r="K15" i="40"/>
  <c r="K73" i="40" s="1"/>
  <c r="O37" i="40"/>
  <c r="E72" i="40"/>
  <c r="C48" i="40"/>
  <c r="F42" i="40"/>
  <c r="D36" i="40"/>
  <c r="C36" i="40"/>
  <c r="E19" i="40"/>
  <c r="R72" i="40"/>
  <c r="D71" i="9"/>
  <c r="W15" i="40"/>
  <c r="W73" i="40" s="1"/>
  <c r="I15" i="40"/>
  <c r="I73" i="40" s="1"/>
  <c r="T72" i="40"/>
  <c r="S72" i="40"/>
  <c r="D19" i="40"/>
  <c r="H15" i="40"/>
  <c r="H73" i="40" s="1"/>
  <c r="D79" i="40"/>
  <c r="C3" i="40"/>
  <c r="E42" i="40"/>
  <c r="P51" i="44" l="1"/>
  <c r="F79" i="40"/>
  <c r="E79" i="40"/>
  <c r="V15" i="40"/>
  <c r="V73" i="40" s="1"/>
  <c r="V74" i="40" s="1"/>
  <c r="E12" i="40"/>
  <c r="E52" i="40" s="1"/>
  <c r="D50" i="40"/>
  <c r="E51" i="40" s="1"/>
  <c r="O42" i="21"/>
  <c r="O42" i="40"/>
  <c r="H2" i="43" a="1"/>
  <c r="H2" i="43" s="1"/>
  <c r="C11" i="22"/>
  <c r="D79" i="21"/>
  <c r="D78" i="9"/>
  <c r="L74" i="40"/>
  <c r="F79" i="21"/>
  <c r="F78" i="9"/>
  <c r="E79" i="21"/>
  <c r="E78" i="9"/>
  <c r="W74" i="40"/>
  <c r="K19" i="40"/>
  <c r="K65" i="40"/>
  <c r="L19" i="40"/>
  <c r="L65" i="40"/>
  <c r="C33" i="40"/>
  <c r="M19" i="40"/>
  <c r="M65" i="40"/>
  <c r="C30" i="40"/>
  <c r="E74" i="40"/>
  <c r="R74" i="40"/>
  <c r="U74" i="40"/>
  <c r="H74" i="40"/>
  <c r="D72" i="40"/>
  <c r="D74" i="40" s="1"/>
  <c r="I74" i="40"/>
  <c r="S74" i="40"/>
  <c r="P19" i="40"/>
  <c r="P65" i="40"/>
  <c r="G14" i="9"/>
  <c r="G15" i="40"/>
  <c r="G73" i="40" s="1"/>
  <c r="G36" i="19"/>
  <c r="G36" i="40"/>
  <c r="O38" i="19"/>
  <c r="O38" i="40"/>
  <c r="M74" i="40"/>
  <c r="F12" i="21"/>
  <c r="F12" i="40"/>
  <c r="R19" i="40"/>
  <c r="R65" i="40"/>
  <c r="W19" i="40"/>
  <c r="W65" i="40"/>
  <c r="F71" i="9"/>
  <c r="F72" i="40"/>
  <c r="K74" i="40"/>
  <c r="S19" i="40"/>
  <c r="S65" i="40"/>
  <c r="G23" i="9"/>
  <c r="H50" i="44" s="1"/>
  <c r="N19" i="40"/>
  <c r="N65" i="40"/>
  <c r="U19" i="40"/>
  <c r="U65" i="40"/>
  <c r="P74" i="40"/>
  <c r="V19" i="40"/>
  <c r="V65" i="40"/>
  <c r="E37" i="9"/>
  <c r="F47" i="44" s="1"/>
  <c r="E38" i="40"/>
  <c r="F37" i="9"/>
  <c r="G47" i="44" s="1"/>
  <c r="F38" i="40"/>
  <c r="Q19" i="40"/>
  <c r="Q65" i="40"/>
  <c r="G71" i="9"/>
  <c r="G72" i="40"/>
  <c r="G37" i="9"/>
  <c r="H47" i="44" s="1"/>
  <c r="G38" i="40"/>
  <c r="H37" i="40"/>
  <c r="I37" i="40" s="1"/>
  <c r="J37" i="40" s="1"/>
  <c r="K37" i="40" s="1"/>
  <c r="L37" i="40" s="1"/>
  <c r="M37" i="40" s="1"/>
  <c r="N37" i="40" s="1"/>
  <c r="D60" i="40"/>
  <c r="Q74" i="40"/>
  <c r="J74" i="40"/>
  <c r="T19" i="40"/>
  <c r="T65" i="40"/>
  <c r="G42" i="19"/>
  <c r="G42" i="40"/>
  <c r="O19" i="40"/>
  <c r="O65" i="40"/>
  <c r="T74" i="40"/>
  <c r="D27" i="40"/>
  <c r="E27" i="40" s="1"/>
  <c r="F27" i="40" s="1"/>
  <c r="G27" i="40" s="1"/>
  <c r="H27" i="40" s="1"/>
  <c r="I27" i="40" s="1"/>
  <c r="J27" i="40" s="1"/>
  <c r="K27" i="40" s="1"/>
  <c r="L27" i="40" s="1"/>
  <c r="M27" i="40" s="1"/>
  <c r="N27" i="40" s="1"/>
  <c r="O27" i="40" s="1"/>
  <c r="P27" i="40" s="1"/>
  <c r="Q27" i="40" s="1"/>
  <c r="R27" i="40" s="1"/>
  <c r="S27" i="40" s="1"/>
  <c r="T27" i="40" s="1"/>
  <c r="U27" i="40" s="1"/>
  <c r="V27" i="40" s="1"/>
  <c r="W27" i="40" s="1"/>
  <c r="C92" i="40"/>
  <c r="D70" i="40"/>
  <c r="O74" i="40"/>
  <c r="N74" i="40"/>
  <c r="D52" i="40"/>
  <c r="C58" i="8"/>
  <c r="O37" i="19"/>
  <c r="V14" i="9"/>
  <c r="V14" i="19"/>
  <c r="V14" i="18"/>
  <c r="V14" i="17"/>
  <c r="V15" i="21"/>
  <c r="L14" i="9"/>
  <c r="L14" i="19"/>
  <c r="L14" i="18"/>
  <c r="L15" i="21"/>
  <c r="L14" i="17"/>
  <c r="W14" i="9"/>
  <c r="W14" i="19"/>
  <c r="W14" i="18"/>
  <c r="W14" i="17"/>
  <c r="W15" i="21"/>
  <c r="M14" i="9"/>
  <c r="M14" i="19"/>
  <c r="M14" i="18"/>
  <c r="M14" i="17"/>
  <c r="M15" i="21"/>
  <c r="N14" i="9"/>
  <c r="N14" i="18"/>
  <c r="N14" i="17"/>
  <c r="N15" i="21"/>
  <c r="N14" i="19"/>
  <c r="Q14" i="9"/>
  <c r="Q14" i="19"/>
  <c r="Q14" i="18"/>
  <c r="Q14" i="17"/>
  <c r="Q15" i="21"/>
  <c r="T14" i="9"/>
  <c r="T15" i="21"/>
  <c r="T14" i="18"/>
  <c r="T14" i="17"/>
  <c r="T14" i="19"/>
  <c r="K14" i="9"/>
  <c r="K14" i="19"/>
  <c r="K15" i="21"/>
  <c r="K14" i="17"/>
  <c r="K14" i="18"/>
  <c r="J14" i="9"/>
  <c r="J14" i="19"/>
  <c r="J14" i="17"/>
  <c r="J14" i="18"/>
  <c r="J15" i="21"/>
  <c r="S14" i="9"/>
  <c r="S14" i="19"/>
  <c r="S15" i="21"/>
  <c r="S14" i="18"/>
  <c r="S14" i="17"/>
  <c r="U14" i="9"/>
  <c r="U14" i="19"/>
  <c r="U14" i="18"/>
  <c r="U14" i="17"/>
  <c r="U15" i="21"/>
  <c r="R14" i="9"/>
  <c r="R14" i="18"/>
  <c r="R14" i="17"/>
  <c r="R14" i="19"/>
  <c r="R15" i="21"/>
  <c r="H14" i="9"/>
  <c r="H72" i="9" s="1"/>
  <c r="H14" i="19"/>
  <c r="H14" i="17"/>
  <c r="H14" i="18"/>
  <c r="H15" i="21"/>
  <c r="P14" i="9"/>
  <c r="P14" i="19"/>
  <c r="P14" i="18"/>
  <c r="P14" i="17"/>
  <c r="P15" i="21"/>
  <c r="I14" i="9"/>
  <c r="I14" i="19"/>
  <c r="I14" i="18"/>
  <c r="I15" i="21"/>
  <c r="I14" i="17"/>
  <c r="O14" i="9"/>
  <c r="O14" i="19"/>
  <c r="O14" i="18"/>
  <c r="O14" i="17"/>
  <c r="O15" i="21"/>
  <c r="F37" i="19"/>
  <c r="F36" i="18"/>
  <c r="G37" i="18"/>
  <c r="G38" i="19"/>
  <c r="E37" i="19"/>
  <c r="E36" i="18"/>
  <c r="F37" i="18"/>
  <c r="F38" i="19"/>
  <c r="E38" i="19"/>
  <c r="E37" i="18"/>
  <c r="D38" i="19"/>
  <c r="D37" i="18"/>
  <c r="G37" i="19"/>
  <c r="G36" i="18"/>
  <c r="D37" i="19"/>
  <c r="D36" i="18"/>
  <c r="F37" i="21"/>
  <c r="G11" i="44" s="1"/>
  <c r="F36" i="17"/>
  <c r="F36" i="9"/>
  <c r="G46" i="44" s="1"/>
  <c r="G38" i="21"/>
  <c r="H12" i="44" s="1"/>
  <c r="G37" i="17"/>
  <c r="E36" i="17"/>
  <c r="E37" i="21"/>
  <c r="F11" i="44" s="1"/>
  <c r="E36" i="9"/>
  <c r="F46" i="44" s="1"/>
  <c r="E38" i="21"/>
  <c r="F12" i="44" s="1"/>
  <c r="E37" i="17"/>
  <c r="D38" i="21"/>
  <c r="D37" i="17"/>
  <c r="F37" i="17"/>
  <c r="F38" i="21"/>
  <c r="G12" i="44" s="1"/>
  <c r="G36" i="17"/>
  <c r="G36" i="9"/>
  <c r="H46" i="44" s="1"/>
  <c r="G37" i="21"/>
  <c r="H11" i="44" s="1"/>
  <c r="D36" i="17"/>
  <c r="D37" i="21"/>
  <c r="U41" i="9"/>
  <c r="V41" i="9"/>
  <c r="W41" i="9"/>
  <c r="G13" i="17"/>
  <c r="G13" i="18"/>
  <c r="G13" i="19"/>
  <c r="G14" i="17"/>
  <c r="G14" i="18"/>
  <c r="G14" i="19"/>
  <c r="O36" i="18"/>
  <c r="O37" i="18"/>
  <c r="G35" i="9"/>
  <c r="H48" i="44" s="1"/>
  <c r="G35" i="18"/>
  <c r="G35" i="17"/>
  <c r="G41" i="17"/>
  <c r="G41" i="18"/>
  <c r="Q41" i="9"/>
  <c r="R41" i="9"/>
  <c r="S41" i="9"/>
  <c r="T41" i="9"/>
  <c r="P41" i="9"/>
  <c r="O38" i="21"/>
  <c r="P12" i="44" s="1"/>
  <c r="O37" i="9"/>
  <c r="P47" i="44" s="1"/>
  <c r="G42" i="21"/>
  <c r="G41" i="9"/>
  <c r="G15" i="21"/>
  <c r="O37" i="21"/>
  <c r="P11" i="44" s="1"/>
  <c r="O36" i="9"/>
  <c r="P46" i="44" s="1"/>
  <c r="G14" i="21"/>
  <c r="H9" i="44" s="1"/>
  <c r="G13" i="9"/>
  <c r="G36" i="21"/>
  <c r="C5" i="9"/>
  <c r="C6" i="9" s="1"/>
  <c r="F74" i="40" l="1"/>
  <c r="H13" i="44"/>
  <c r="E60" i="40"/>
  <c r="E50" i="40"/>
  <c r="F50" i="40" s="1"/>
  <c r="G7" i="44"/>
  <c r="P17" i="44"/>
  <c r="H17" i="44"/>
  <c r="H24" i="44"/>
  <c r="F25" i="44"/>
  <c r="F24" i="44"/>
  <c r="G32" i="44"/>
  <c r="F32" i="44"/>
  <c r="P32" i="44"/>
  <c r="H25" i="44"/>
  <c r="F31" i="44"/>
  <c r="H32" i="44"/>
  <c r="H31" i="44"/>
  <c r="G24" i="44"/>
  <c r="G31" i="44"/>
  <c r="P31" i="44"/>
  <c r="G25" i="44"/>
  <c r="H41" i="9"/>
  <c r="H51" i="44"/>
  <c r="P42" i="40"/>
  <c r="Q51" i="44"/>
  <c r="T42" i="40"/>
  <c r="U51" i="44"/>
  <c r="S42" i="40"/>
  <c r="T51" i="44"/>
  <c r="R42" i="40"/>
  <c r="S51" i="44"/>
  <c r="Q42" i="40"/>
  <c r="R51" i="44"/>
  <c r="W42" i="40"/>
  <c r="X51" i="44"/>
  <c r="V42" i="40"/>
  <c r="W51" i="44"/>
  <c r="U42" i="40"/>
  <c r="V51" i="44"/>
  <c r="I2" i="43" a="1"/>
  <c r="I2" i="43" s="1"/>
  <c r="F12" i="18"/>
  <c r="H64" i="9"/>
  <c r="H38" i="40"/>
  <c r="I38" i="40" s="1"/>
  <c r="J38" i="40" s="1"/>
  <c r="K38" i="40" s="1"/>
  <c r="L38" i="40" s="1"/>
  <c r="M38" i="40" s="1"/>
  <c r="N38" i="40" s="1"/>
  <c r="F60" i="40"/>
  <c r="F52" i="40"/>
  <c r="G74" i="40"/>
  <c r="H37" i="9"/>
  <c r="G98" i="9"/>
  <c r="I37" i="19"/>
  <c r="H37" i="19"/>
  <c r="N38" i="19"/>
  <c r="H38" i="19"/>
  <c r="H37" i="21"/>
  <c r="N37" i="19"/>
  <c r="M37" i="19"/>
  <c r="F63" i="9"/>
  <c r="H36" i="18"/>
  <c r="I36" i="18" s="1"/>
  <c r="J36" i="18" s="1"/>
  <c r="K36" i="18" s="1"/>
  <c r="L36" i="18" s="1"/>
  <c r="M36" i="18" s="1"/>
  <c r="N36" i="18" s="1"/>
  <c r="J37" i="19"/>
  <c r="L37" i="19"/>
  <c r="K37" i="19"/>
  <c r="J38" i="19"/>
  <c r="L38" i="19"/>
  <c r="I38" i="19"/>
  <c r="M38" i="19"/>
  <c r="K38" i="19"/>
  <c r="L37" i="17"/>
  <c r="M37" i="17"/>
  <c r="H37" i="18"/>
  <c r="I37" i="18" s="1"/>
  <c r="J37" i="18" s="1"/>
  <c r="K37" i="18" s="1"/>
  <c r="L37" i="18" s="1"/>
  <c r="M37" i="18" s="1"/>
  <c r="N37" i="18" s="1"/>
  <c r="L36" i="17"/>
  <c r="M36" i="17"/>
  <c r="H36" i="9"/>
  <c r="H38" i="21"/>
  <c r="F64" i="9"/>
  <c r="V37" i="9"/>
  <c r="W37" i="9"/>
  <c r="U37" i="9"/>
  <c r="O36" i="17"/>
  <c r="W36" i="9"/>
  <c r="U36" i="9"/>
  <c r="V36" i="9"/>
  <c r="S37" i="9"/>
  <c r="T37" i="9"/>
  <c r="Q37" i="9"/>
  <c r="P37" i="9"/>
  <c r="R37" i="9"/>
  <c r="Q36" i="9"/>
  <c r="R46" i="44" s="1"/>
  <c r="S36" i="9"/>
  <c r="T36" i="9"/>
  <c r="P36" i="9"/>
  <c r="R36" i="9"/>
  <c r="I41" i="9"/>
  <c r="N41" i="9"/>
  <c r="J41" i="9"/>
  <c r="K41" i="9"/>
  <c r="L41" i="9"/>
  <c r="M41" i="9"/>
  <c r="G32" i="9"/>
  <c r="H52" i="44" s="1"/>
  <c r="D23" i="9"/>
  <c r="D24" i="40" s="1"/>
  <c r="F41" i="17"/>
  <c r="E23" i="9"/>
  <c r="F23" i="9"/>
  <c r="C56" i="17"/>
  <c r="C3" i="9"/>
  <c r="H13" i="19"/>
  <c r="I13" i="19"/>
  <c r="J13" i="19"/>
  <c r="K13" i="19"/>
  <c r="L13" i="19"/>
  <c r="M13" i="19"/>
  <c r="N13" i="19"/>
  <c r="O13" i="19"/>
  <c r="P13" i="19"/>
  <c r="Q13" i="19"/>
  <c r="R13" i="19"/>
  <c r="S13" i="19"/>
  <c r="T13" i="19"/>
  <c r="U13" i="19"/>
  <c r="V13" i="19"/>
  <c r="W13" i="19"/>
  <c r="H13" i="18"/>
  <c r="I13" i="18"/>
  <c r="J13" i="18"/>
  <c r="K13" i="18"/>
  <c r="L13" i="18"/>
  <c r="M13" i="18"/>
  <c r="N13" i="18"/>
  <c r="O13" i="18"/>
  <c r="P13" i="18"/>
  <c r="Q13" i="18"/>
  <c r="R13" i="18"/>
  <c r="S13" i="18"/>
  <c r="T13" i="18"/>
  <c r="U13" i="18"/>
  <c r="V13" i="18"/>
  <c r="W13" i="18"/>
  <c r="I13" i="17"/>
  <c r="J13" i="17"/>
  <c r="K13" i="17"/>
  <c r="L13" i="17"/>
  <c r="M13" i="17"/>
  <c r="N13" i="17"/>
  <c r="O13" i="17"/>
  <c r="P13" i="17"/>
  <c r="Q13" i="17"/>
  <c r="R13" i="17"/>
  <c r="S13" i="17"/>
  <c r="T13" i="17"/>
  <c r="U13" i="17"/>
  <c r="V13" i="17"/>
  <c r="W13" i="17"/>
  <c r="H14" i="21"/>
  <c r="I9" i="44" s="1"/>
  <c r="I14" i="21"/>
  <c r="J9" i="44" s="1"/>
  <c r="J14" i="21"/>
  <c r="K9" i="44" s="1"/>
  <c r="K14" i="21"/>
  <c r="L9" i="44" s="1"/>
  <c r="M14" i="21"/>
  <c r="N9" i="44" s="1"/>
  <c r="N14" i="21"/>
  <c r="O9" i="44" s="1"/>
  <c r="O14" i="21"/>
  <c r="P9" i="44" s="1"/>
  <c r="P14" i="21"/>
  <c r="Q9" i="44" s="1"/>
  <c r="Q14" i="21"/>
  <c r="R9" i="44" s="1"/>
  <c r="R14" i="21"/>
  <c r="S9" i="44" s="1"/>
  <c r="S14" i="21"/>
  <c r="T9" i="44" s="1"/>
  <c r="T14" i="21"/>
  <c r="U9" i="44" s="1"/>
  <c r="U14" i="21"/>
  <c r="V9" i="44" s="1"/>
  <c r="V14" i="21"/>
  <c r="W9" i="44" s="1"/>
  <c r="W14" i="21"/>
  <c r="X9" i="44" s="1"/>
  <c r="O51" i="44" l="1"/>
  <c r="F51" i="40"/>
  <c r="N38" i="9"/>
  <c r="C43" i="40"/>
  <c r="D39" i="40"/>
  <c r="C39" i="40"/>
  <c r="G43" i="40"/>
  <c r="E43" i="40"/>
  <c r="D43" i="40"/>
  <c r="F43" i="40"/>
  <c r="H41" i="17"/>
  <c r="M24" i="44"/>
  <c r="N25" i="44"/>
  <c r="O32" i="44"/>
  <c r="M25" i="44"/>
  <c r="I31" i="44"/>
  <c r="L32" i="44"/>
  <c r="J31" i="44"/>
  <c r="N32" i="44"/>
  <c r="J32" i="44"/>
  <c r="M32" i="44"/>
  <c r="K32" i="44"/>
  <c r="L31" i="44"/>
  <c r="N24" i="44"/>
  <c r="I32" i="44"/>
  <c r="M31" i="44"/>
  <c r="O31" i="44"/>
  <c r="K31" i="44"/>
  <c r="N31" i="44"/>
  <c r="R37" i="40"/>
  <c r="S46" i="44"/>
  <c r="U38" i="40"/>
  <c r="V47" i="44"/>
  <c r="P37" i="40"/>
  <c r="Q46" i="44"/>
  <c r="W38" i="40"/>
  <c r="X47" i="44"/>
  <c r="I37" i="9"/>
  <c r="I47" i="44"/>
  <c r="U37" i="40"/>
  <c r="V46" i="44"/>
  <c r="S37" i="40"/>
  <c r="T46" i="44"/>
  <c r="T37" i="40"/>
  <c r="U46" i="44"/>
  <c r="R38" i="40"/>
  <c r="S47" i="44"/>
  <c r="I36" i="9"/>
  <c r="I46" i="44"/>
  <c r="V38" i="40"/>
  <c r="W47" i="44"/>
  <c r="P38" i="40"/>
  <c r="Q47" i="44"/>
  <c r="Q38" i="40"/>
  <c r="R47" i="44"/>
  <c r="W37" i="40"/>
  <c r="X46" i="44"/>
  <c r="I42" i="40"/>
  <c r="J51" i="44"/>
  <c r="F24" i="40"/>
  <c r="F33" i="40" s="1"/>
  <c r="G50" i="44"/>
  <c r="T38" i="40"/>
  <c r="U47" i="44"/>
  <c r="M42" i="40"/>
  <c r="N51" i="44"/>
  <c r="S38" i="40"/>
  <c r="T47" i="44"/>
  <c r="L42" i="40"/>
  <c r="M51" i="44"/>
  <c r="K42" i="40"/>
  <c r="L51" i="44"/>
  <c r="E24" i="40"/>
  <c r="E33" i="40" s="1"/>
  <c r="F50" i="44"/>
  <c r="J42" i="40"/>
  <c r="K51" i="44"/>
  <c r="V37" i="40"/>
  <c r="W46" i="44"/>
  <c r="H42" i="40"/>
  <c r="I51" i="44"/>
  <c r="P24" i="44"/>
  <c r="I38" i="21"/>
  <c r="I12" i="44"/>
  <c r="G28" i="44"/>
  <c r="I37" i="21"/>
  <c r="I11" i="44"/>
  <c r="H36" i="17"/>
  <c r="G51" i="40"/>
  <c r="D33" i="40"/>
  <c r="D68" i="40" s="1"/>
  <c r="N42" i="40"/>
  <c r="Q37" i="21"/>
  <c r="R11" i="44" s="1"/>
  <c r="Q37" i="40"/>
  <c r="G96" i="9"/>
  <c r="V38" i="9"/>
  <c r="V39" i="40" s="1"/>
  <c r="W38" i="9"/>
  <c r="W39" i="40" s="1"/>
  <c r="U38" i="9"/>
  <c r="O38" i="9"/>
  <c r="O39" i="40" s="1"/>
  <c r="P38" i="9"/>
  <c r="P39" i="40" s="1"/>
  <c r="N41" i="17"/>
  <c r="P37" i="21"/>
  <c r="Q11" i="44" s="1"/>
  <c r="P36" i="17"/>
  <c r="P36" i="18"/>
  <c r="H42" i="21"/>
  <c r="N42" i="21"/>
  <c r="E24" i="21"/>
  <c r="F16" i="44" s="1"/>
  <c r="E23" i="17"/>
  <c r="F23" i="17"/>
  <c r="F24" i="21"/>
  <c r="D24" i="21"/>
  <c r="D23" i="17"/>
  <c r="G12" i="40" l="1"/>
  <c r="G79" i="40" s="1"/>
  <c r="G16" i="44"/>
  <c r="G38" i="9"/>
  <c r="G39" i="40" s="1"/>
  <c r="M38" i="9"/>
  <c r="M39" i="40" s="1"/>
  <c r="L38" i="9"/>
  <c r="L39" i="40" s="1"/>
  <c r="K38" i="9"/>
  <c r="K39" i="40" s="1"/>
  <c r="J38" i="9"/>
  <c r="I38" i="9"/>
  <c r="I39" i="40" s="1"/>
  <c r="H38" i="9"/>
  <c r="H39" i="40" s="1"/>
  <c r="I17" i="44"/>
  <c r="Q24" i="44"/>
  <c r="J37" i="9"/>
  <c r="J47" i="44"/>
  <c r="J36" i="9"/>
  <c r="J46" i="44"/>
  <c r="O17" i="44"/>
  <c r="J37" i="21"/>
  <c r="J11" i="44"/>
  <c r="I24" i="44"/>
  <c r="J38" i="21"/>
  <c r="J12" i="44"/>
  <c r="G2" i="43" a="1"/>
  <c r="G2" i="43" s="1"/>
  <c r="G101" i="40"/>
  <c r="G101" i="9"/>
  <c r="I36" i="17"/>
  <c r="D69" i="40"/>
  <c r="H43" i="21"/>
  <c r="H43" i="40"/>
  <c r="N39" i="40"/>
  <c r="E39" i="40"/>
  <c r="U39" i="21"/>
  <c r="U39" i="40"/>
  <c r="U43" i="21"/>
  <c r="U43" i="40"/>
  <c r="I43" i="21"/>
  <c r="I43" i="40"/>
  <c r="R43" i="21"/>
  <c r="R43" i="40"/>
  <c r="Q43" i="21"/>
  <c r="Q43" i="40"/>
  <c r="V43" i="21"/>
  <c r="V43" i="40"/>
  <c r="K43" i="21"/>
  <c r="K43" i="40"/>
  <c r="S43" i="21"/>
  <c r="S43" i="40"/>
  <c r="L43" i="21"/>
  <c r="L43" i="40"/>
  <c r="J43" i="21"/>
  <c r="J43" i="40"/>
  <c r="M43" i="21"/>
  <c r="M43" i="40"/>
  <c r="N43" i="21"/>
  <c r="N43" i="40"/>
  <c r="T43" i="21"/>
  <c r="T43" i="40"/>
  <c r="D78" i="40"/>
  <c r="W43" i="21"/>
  <c r="W43" i="40"/>
  <c r="O43" i="21"/>
  <c r="O43" i="40"/>
  <c r="P43" i="21"/>
  <c r="P43" i="40"/>
  <c r="F39" i="40"/>
  <c r="F43" i="21"/>
  <c r="F42" i="17"/>
  <c r="G43" i="21"/>
  <c r="G42" i="17"/>
  <c r="C38" i="17"/>
  <c r="C39" i="19"/>
  <c r="C39" i="21"/>
  <c r="C38" i="18"/>
  <c r="E43" i="21"/>
  <c r="E42" i="17"/>
  <c r="D38" i="17"/>
  <c r="D39" i="19"/>
  <c r="D39" i="21"/>
  <c r="D38" i="18"/>
  <c r="C42" i="17"/>
  <c r="C43" i="21"/>
  <c r="D43" i="21"/>
  <c r="D42" i="17"/>
  <c r="J11" i="20"/>
  <c r="C5" i="22"/>
  <c r="C5" i="19"/>
  <c r="C6" i="19" s="1"/>
  <c r="C5" i="18"/>
  <c r="C6" i="18" s="1"/>
  <c r="C5" i="17"/>
  <c r="C6" i="17" s="1"/>
  <c r="G50" i="40" l="1"/>
  <c r="K36" i="9"/>
  <c r="K46" i="44"/>
  <c r="K37" i="9"/>
  <c r="K47" i="44"/>
  <c r="H12" i="40"/>
  <c r="H79" i="40" s="1"/>
  <c r="K38" i="21"/>
  <c r="K12" i="44"/>
  <c r="J24" i="44"/>
  <c r="K37" i="21"/>
  <c r="K11" i="44"/>
  <c r="G12" i="17"/>
  <c r="G60" i="40"/>
  <c r="G12" i="18"/>
  <c r="G12" i="19"/>
  <c r="G52" i="40"/>
  <c r="G13" i="40"/>
  <c r="J36" i="17"/>
  <c r="J39" i="21"/>
  <c r="J39" i="40"/>
  <c r="C3" i="22"/>
  <c r="C3" i="17"/>
  <c r="C3" i="18"/>
  <c r="C3" i="19"/>
  <c r="U70" i="17"/>
  <c r="U71" i="19"/>
  <c r="V71" i="19"/>
  <c r="W71" i="19"/>
  <c r="U70" i="18"/>
  <c r="V70" i="18"/>
  <c r="W70" i="18"/>
  <c r="V70" i="17"/>
  <c r="W70" i="17"/>
  <c r="N24" i="19"/>
  <c r="H12" i="19" l="1"/>
  <c r="H52" i="40"/>
  <c r="I12" i="40"/>
  <c r="I79" i="40" s="1"/>
  <c r="H60" i="40"/>
  <c r="K24" i="44"/>
  <c r="H13" i="40"/>
  <c r="H50" i="40"/>
  <c r="H12" i="17"/>
  <c r="H28" i="44"/>
  <c r="H12" i="18"/>
  <c r="L37" i="9"/>
  <c r="L47" i="44"/>
  <c r="L36" i="9"/>
  <c r="L46" i="44"/>
  <c r="L37" i="21"/>
  <c r="L11" i="44"/>
  <c r="L38" i="21"/>
  <c r="L12" i="44"/>
  <c r="S38" i="9"/>
  <c r="S39" i="40" s="1"/>
  <c r="Q38" i="9"/>
  <c r="Q39" i="40" s="1"/>
  <c r="R38" i="9"/>
  <c r="R39" i="40" s="1"/>
  <c r="T38" i="9"/>
  <c r="C35" i="18"/>
  <c r="C36" i="21"/>
  <c r="C36" i="19"/>
  <c r="C35" i="17"/>
  <c r="D35" i="9"/>
  <c r="D35" i="18"/>
  <c r="D36" i="21"/>
  <c r="D36" i="19"/>
  <c r="D35" i="17"/>
  <c r="E36" i="19"/>
  <c r="E35" i="17"/>
  <c r="E36" i="21"/>
  <c r="F13" i="44" s="1"/>
  <c r="E35" i="18"/>
  <c r="F35" i="18"/>
  <c r="F36" i="21"/>
  <c r="F36" i="19"/>
  <c r="F35" i="17"/>
  <c r="C12" i="19"/>
  <c r="C12" i="21"/>
  <c r="C12" i="17"/>
  <c r="C12" i="9"/>
  <c r="D12" i="19"/>
  <c r="D12" i="21"/>
  <c r="D12" i="17"/>
  <c r="D12" i="9"/>
  <c r="E12" i="19"/>
  <c r="E12" i="21"/>
  <c r="E12" i="9"/>
  <c r="E12" i="17"/>
  <c r="F12" i="19"/>
  <c r="F12" i="17"/>
  <c r="F12" i="9"/>
  <c r="S70" i="17"/>
  <c r="G13" i="44" l="1"/>
  <c r="I52" i="40"/>
  <c r="D49" i="17"/>
  <c r="E49" i="17" s="1"/>
  <c r="F49" i="17" s="1"/>
  <c r="G49" i="17" s="1"/>
  <c r="H49" i="17" s="1"/>
  <c r="I12" i="19"/>
  <c r="I50" i="40"/>
  <c r="I13" i="40"/>
  <c r="I60" i="40"/>
  <c r="I12" i="18"/>
  <c r="J12" i="40"/>
  <c r="J79" i="40" s="1"/>
  <c r="D50" i="19"/>
  <c r="E50" i="19" s="1"/>
  <c r="F50" i="19" s="1"/>
  <c r="G50" i="19" s="1"/>
  <c r="H50" i="19" s="1"/>
  <c r="I12" i="17"/>
  <c r="F43" i="44"/>
  <c r="F7" i="44"/>
  <c r="D49" i="9"/>
  <c r="E49" i="9" s="1"/>
  <c r="F49" i="9" s="1"/>
  <c r="I28" i="44"/>
  <c r="G43" i="44"/>
  <c r="M36" i="9"/>
  <c r="M46" i="44"/>
  <c r="M37" i="9"/>
  <c r="M47" i="44"/>
  <c r="M38" i="21"/>
  <c r="M12" i="44"/>
  <c r="M37" i="21"/>
  <c r="M11" i="44"/>
  <c r="T39" i="21"/>
  <c r="T39" i="40"/>
  <c r="D96" i="9"/>
  <c r="G12" i="9"/>
  <c r="G78" i="9" s="1"/>
  <c r="H96" i="19"/>
  <c r="P96" i="19"/>
  <c r="O95" i="18"/>
  <c r="W95" i="18"/>
  <c r="N95" i="17"/>
  <c r="V95" i="17"/>
  <c r="O95" i="17"/>
  <c r="O96" i="19"/>
  <c r="N95" i="18"/>
  <c r="V95" i="18"/>
  <c r="M95" i="17"/>
  <c r="U95" i="17"/>
  <c r="I96" i="19"/>
  <c r="Q96" i="19"/>
  <c r="H95" i="18"/>
  <c r="P95" i="18"/>
  <c r="W95" i="17"/>
  <c r="J96" i="19"/>
  <c r="R96" i="19"/>
  <c r="I95" i="18"/>
  <c r="Q95" i="18"/>
  <c r="H95" i="17"/>
  <c r="P95" i="17"/>
  <c r="K96" i="19"/>
  <c r="S96" i="19"/>
  <c r="J95" i="18"/>
  <c r="R95" i="18"/>
  <c r="I95" i="17"/>
  <c r="Q95" i="17"/>
  <c r="L96" i="19"/>
  <c r="T96" i="19"/>
  <c r="K95" i="18"/>
  <c r="S95" i="18"/>
  <c r="J95" i="17"/>
  <c r="R95" i="17"/>
  <c r="M96" i="19"/>
  <c r="U96" i="19"/>
  <c r="L95" i="18"/>
  <c r="T95" i="18"/>
  <c r="K95" i="17"/>
  <c r="S95" i="17"/>
  <c r="N96" i="19"/>
  <c r="V96" i="19"/>
  <c r="M95" i="18"/>
  <c r="U95" i="18"/>
  <c r="L95" i="17"/>
  <c r="T95" i="17"/>
  <c r="W96" i="19"/>
  <c r="C6" i="22"/>
  <c r="C7" i="22" s="1"/>
  <c r="E25" i="22"/>
  <c r="G25" i="22"/>
  <c r="I25" i="22"/>
  <c r="F25" i="22"/>
  <c r="H25" i="22"/>
  <c r="V24" i="19"/>
  <c r="W24" i="19"/>
  <c r="U24" i="19"/>
  <c r="C35" i="9"/>
  <c r="C96" i="9" s="1"/>
  <c r="J12" i="18" l="1"/>
  <c r="K28" i="44" s="1"/>
  <c r="I50" i="19"/>
  <c r="J13" i="40"/>
  <c r="J28" i="44"/>
  <c r="J50" i="40"/>
  <c r="J60" i="40"/>
  <c r="K12" i="40"/>
  <c r="K79" i="40" s="1"/>
  <c r="J52" i="40"/>
  <c r="J12" i="17"/>
  <c r="J12" i="19"/>
  <c r="I49" i="17"/>
  <c r="H43" i="44"/>
  <c r="G49" i="9"/>
  <c r="N37" i="9"/>
  <c r="O47" i="44" s="1"/>
  <c r="N47" i="44"/>
  <c r="N36" i="9"/>
  <c r="O46" i="44" s="1"/>
  <c r="N46" i="44"/>
  <c r="N37" i="21"/>
  <c r="N11" i="44"/>
  <c r="N38" i="21"/>
  <c r="N12" i="44"/>
  <c r="C101" i="40"/>
  <c r="C106" i="40" s="1"/>
  <c r="D101" i="40"/>
  <c r="D106" i="40" s="1"/>
  <c r="H12" i="9"/>
  <c r="H78" i="9" s="1"/>
  <c r="E26" i="22"/>
  <c r="F26" i="22"/>
  <c r="G26" i="22"/>
  <c r="H26" i="22"/>
  <c r="F24" i="22"/>
  <c r="F23" i="22"/>
  <c r="H23" i="22"/>
  <c r="H24" i="22"/>
  <c r="G23" i="22"/>
  <c r="G24" i="22"/>
  <c r="I26" i="22"/>
  <c r="E23" i="22"/>
  <c r="E24" i="22"/>
  <c r="I23" i="22"/>
  <c r="I24" i="22"/>
  <c r="J50" i="19" l="1"/>
  <c r="J49" i="17"/>
  <c r="K13" i="40"/>
  <c r="L12" i="40"/>
  <c r="L79" i="40" s="1"/>
  <c r="K52" i="40"/>
  <c r="K50" i="40"/>
  <c r="K12" i="19"/>
  <c r="K60" i="40"/>
  <c r="K12" i="18"/>
  <c r="K12" i="17"/>
  <c r="H49" i="9"/>
  <c r="H59" i="9"/>
  <c r="I43" i="44"/>
  <c r="O12" i="44"/>
  <c r="O11" i="44"/>
  <c r="I12" i="9"/>
  <c r="I78" i="9" s="1"/>
  <c r="C46" i="17"/>
  <c r="C46" i="18"/>
  <c r="C47" i="19"/>
  <c r="C47" i="21"/>
  <c r="C46" i="9"/>
  <c r="K49" i="17" l="1"/>
  <c r="K50" i="19"/>
  <c r="L12" i="18"/>
  <c r="M28" i="44" s="1"/>
  <c r="L12" i="19"/>
  <c r="L13" i="40"/>
  <c r="L28" i="44"/>
  <c r="L50" i="40"/>
  <c r="L52" i="40"/>
  <c r="L60" i="40"/>
  <c r="M12" i="40"/>
  <c r="M79" i="40" s="1"/>
  <c r="L12" i="17"/>
  <c r="I49" i="9"/>
  <c r="J12" i="9"/>
  <c r="J78" i="9" s="1"/>
  <c r="J43" i="44"/>
  <c r="F51" i="9"/>
  <c r="G51" i="9"/>
  <c r="H51" i="9"/>
  <c r="C7" i="18"/>
  <c r="C7" i="17"/>
  <c r="C7" i="19"/>
  <c r="C21" i="22"/>
  <c r="E21" i="22"/>
  <c r="H21" i="22"/>
  <c r="G21" i="22"/>
  <c r="F21" i="22"/>
  <c r="I21" i="22"/>
  <c r="D21" i="22"/>
  <c r="K24" i="19"/>
  <c r="L24" i="19"/>
  <c r="M24" i="19"/>
  <c r="T70" i="18"/>
  <c r="S70" i="18"/>
  <c r="R70" i="18"/>
  <c r="Q70" i="18"/>
  <c r="P70" i="18"/>
  <c r="O70" i="18"/>
  <c r="N70" i="18"/>
  <c r="M70" i="18"/>
  <c r="L70" i="18"/>
  <c r="K70" i="18"/>
  <c r="J70" i="18"/>
  <c r="I70" i="18"/>
  <c r="H70" i="18"/>
  <c r="D50" i="18"/>
  <c r="D50" i="9"/>
  <c r="B18" i="9"/>
  <c r="L49" i="17" l="1"/>
  <c r="L50" i="19"/>
  <c r="M13" i="40"/>
  <c r="M12" i="18"/>
  <c r="M60" i="40"/>
  <c r="D81" i="40"/>
  <c r="N12" i="40"/>
  <c r="N79" i="40" s="1"/>
  <c r="J49" i="9"/>
  <c r="M12" i="17"/>
  <c r="M12" i="19"/>
  <c r="M50" i="40"/>
  <c r="M52" i="40"/>
  <c r="K12" i="9"/>
  <c r="K78" i="9" s="1"/>
  <c r="K43" i="44"/>
  <c r="G63" i="17"/>
  <c r="J63" i="17"/>
  <c r="H63" i="17"/>
  <c r="I63" i="17"/>
  <c r="B21" i="22"/>
  <c r="E63" i="9"/>
  <c r="D64" i="9"/>
  <c r="D63" i="9"/>
  <c r="E64" i="9"/>
  <c r="F64" i="18"/>
  <c r="E64" i="18"/>
  <c r="D64" i="18"/>
  <c r="M49" i="17" l="1"/>
  <c r="M50" i="19"/>
  <c r="N28" i="44"/>
  <c r="N13" i="40"/>
  <c r="N50" i="40"/>
  <c r="N60" i="40"/>
  <c r="K49" i="9"/>
  <c r="N52" i="40"/>
  <c r="O12" i="40"/>
  <c r="O79" i="40" s="1"/>
  <c r="N12" i="18"/>
  <c r="L12" i="9"/>
  <c r="L78" i="9" s="1"/>
  <c r="L43" i="44"/>
  <c r="D51" i="21"/>
  <c r="C5" i="21"/>
  <c r="O12" i="18" l="1"/>
  <c r="L49" i="9"/>
  <c r="O50" i="40"/>
  <c r="P51" i="40" s="1"/>
  <c r="O52" i="40"/>
  <c r="O28" i="44"/>
  <c r="O13" i="40"/>
  <c r="O60" i="40"/>
  <c r="P12" i="40"/>
  <c r="P79" i="40" s="1"/>
  <c r="D50" i="21"/>
  <c r="E50" i="21" s="1"/>
  <c r="F50" i="21" s="1"/>
  <c r="M12" i="9"/>
  <c r="M43" i="44"/>
  <c r="C6" i="21"/>
  <c r="C7" i="21"/>
  <c r="D65" i="21"/>
  <c r="F65" i="21"/>
  <c r="E65" i="21"/>
  <c r="T71" i="19"/>
  <c r="S71" i="19"/>
  <c r="R71" i="19"/>
  <c r="Q71" i="19"/>
  <c r="P71" i="19"/>
  <c r="O71" i="19"/>
  <c r="N71" i="19"/>
  <c r="M71" i="19"/>
  <c r="L71" i="19"/>
  <c r="K71" i="19"/>
  <c r="J71" i="19"/>
  <c r="I71" i="19"/>
  <c r="H71" i="19"/>
  <c r="D51" i="19"/>
  <c r="T70" i="17"/>
  <c r="R70" i="17"/>
  <c r="Q70" i="17"/>
  <c r="P70" i="17"/>
  <c r="O70" i="17"/>
  <c r="N70" i="17"/>
  <c r="M70" i="17"/>
  <c r="L70" i="17"/>
  <c r="K70" i="17"/>
  <c r="J70" i="17"/>
  <c r="I70" i="17"/>
  <c r="H70" i="17"/>
  <c r="D50" i="17"/>
  <c r="F64" i="17"/>
  <c r="P28" i="44" l="1"/>
  <c r="M49" i="9"/>
  <c r="M78" i="9"/>
  <c r="P52" i="40"/>
  <c r="P60" i="40"/>
  <c r="P12" i="18"/>
  <c r="P13" i="40"/>
  <c r="Q12" i="40"/>
  <c r="Q79" i="40" s="1"/>
  <c r="P50" i="40"/>
  <c r="N12" i="9"/>
  <c r="N43" i="44"/>
  <c r="I64" i="21"/>
  <c r="G64" i="21"/>
  <c r="H64" i="21"/>
  <c r="J64" i="21"/>
  <c r="F64" i="21"/>
  <c r="D64" i="21"/>
  <c r="D64" i="17"/>
  <c r="E64" i="17"/>
  <c r="E65" i="19"/>
  <c r="D65" i="19"/>
  <c r="F65" i="19"/>
  <c r="N49" i="9" l="1"/>
  <c r="N78" i="9"/>
  <c r="Q28" i="44"/>
  <c r="Q13" i="40"/>
  <c r="R12" i="40"/>
  <c r="Q60" i="40"/>
  <c r="Q52" i="40"/>
  <c r="Q12" i="18"/>
  <c r="Q51" i="40"/>
  <c r="Q50" i="40"/>
  <c r="O12" i="9"/>
  <c r="O43" i="44"/>
  <c r="C47" i="18"/>
  <c r="C48" i="19"/>
  <c r="C48" i="21"/>
  <c r="C47" i="17"/>
  <c r="C47" i="9"/>
  <c r="E35" i="9"/>
  <c r="F48" i="44" s="1"/>
  <c r="F35" i="9"/>
  <c r="G48" i="44" s="1"/>
  <c r="C3" i="21"/>
  <c r="Q24" i="19"/>
  <c r="R60" i="40" l="1"/>
  <c r="R79" i="40"/>
  <c r="O49" i="9"/>
  <c r="O78" i="9"/>
  <c r="R52" i="40"/>
  <c r="S12" i="40"/>
  <c r="R13" i="40"/>
  <c r="R12" i="18"/>
  <c r="R28" i="44"/>
  <c r="R50" i="40"/>
  <c r="R51" i="40"/>
  <c r="P12" i="9"/>
  <c r="P43" i="44"/>
  <c r="A7" i="43"/>
  <c r="A12" i="43"/>
  <c r="A8" i="43"/>
  <c r="A22" i="43"/>
  <c r="A6" i="43"/>
  <c r="A5" i="43"/>
  <c r="A21" i="43"/>
  <c r="A20" i="43"/>
  <c r="A4" i="43"/>
  <c r="A19" i="43"/>
  <c r="A3" i="43"/>
  <c r="A13" i="43"/>
  <c r="A9" i="43"/>
  <c r="A18" i="43"/>
  <c r="A2" i="43"/>
  <c r="A11" i="43"/>
  <c r="A17" i="43"/>
  <c r="A15" i="43"/>
  <c r="A16" i="43"/>
  <c r="A14" i="43"/>
  <c r="A10" i="43"/>
  <c r="F98" i="9"/>
  <c r="E98" i="9"/>
  <c r="E96" i="9" s="1"/>
  <c r="C109" i="21"/>
  <c r="D109" i="21"/>
  <c r="C22" i="19"/>
  <c r="C22" i="17"/>
  <c r="C22" i="9"/>
  <c r="D22" i="9" s="1"/>
  <c r="D23" i="40" s="1"/>
  <c r="D30" i="40" s="1"/>
  <c r="D62" i="40" s="1"/>
  <c r="C23" i="21"/>
  <c r="C22" i="18"/>
  <c r="C27" i="21"/>
  <c r="D27" i="21" s="1"/>
  <c r="E27" i="21" s="1"/>
  <c r="C26" i="17"/>
  <c r="D26" i="17" s="1"/>
  <c r="E26" i="17" s="1"/>
  <c r="F26" i="17" s="1"/>
  <c r="G26" i="17" s="1"/>
  <c r="H26" i="17" s="1"/>
  <c r="I26" i="17" s="1"/>
  <c r="J26" i="17" s="1"/>
  <c r="K26" i="17" s="1"/>
  <c r="L26" i="17" s="1"/>
  <c r="M26" i="17" s="1"/>
  <c r="N26" i="17" s="1"/>
  <c r="O26" i="17" s="1"/>
  <c r="P26" i="17" s="1"/>
  <c r="Q26" i="17" s="1"/>
  <c r="R26" i="17" s="1"/>
  <c r="S26" i="17" s="1"/>
  <c r="T26" i="17" s="1"/>
  <c r="U26" i="17" s="1"/>
  <c r="V26" i="17" s="1"/>
  <c r="W26" i="17" s="1"/>
  <c r="C26" i="18"/>
  <c r="D26" i="18" s="1"/>
  <c r="E26" i="18" s="1"/>
  <c r="F26" i="18" s="1"/>
  <c r="G26" i="18" s="1"/>
  <c r="H26" i="18" s="1"/>
  <c r="I26" i="18" s="1"/>
  <c r="J26" i="18" s="1"/>
  <c r="K26" i="18" s="1"/>
  <c r="L26" i="18" s="1"/>
  <c r="M26" i="18" s="1"/>
  <c r="N26" i="18" s="1"/>
  <c r="O26" i="18" s="1"/>
  <c r="P26" i="18" s="1"/>
  <c r="Q26" i="18" s="1"/>
  <c r="R26" i="18" s="1"/>
  <c r="S26" i="18" s="1"/>
  <c r="T26" i="18" s="1"/>
  <c r="U26" i="18" s="1"/>
  <c r="V26" i="18" s="1"/>
  <c r="W26" i="18" s="1"/>
  <c r="C27" i="19"/>
  <c r="D27" i="19" s="1"/>
  <c r="C26" i="9"/>
  <c r="G59" i="9"/>
  <c r="O24" i="19"/>
  <c r="O51" i="9"/>
  <c r="J59" i="9"/>
  <c r="S24" i="19"/>
  <c r="I59" i="9"/>
  <c r="L51" i="9"/>
  <c r="L59" i="9"/>
  <c r="D59" i="9"/>
  <c r="D51" i="9"/>
  <c r="E59" i="9"/>
  <c r="N59" i="9"/>
  <c r="R24" i="19"/>
  <c r="F59" i="9"/>
  <c r="E51" i="9"/>
  <c r="M59" i="9"/>
  <c r="J51" i="9"/>
  <c r="K51" i="9"/>
  <c r="M51" i="9"/>
  <c r="O59" i="9"/>
  <c r="K59" i="9"/>
  <c r="I51" i="9"/>
  <c r="N51" i="9"/>
  <c r="C23" i="18"/>
  <c r="C23" i="9"/>
  <c r="P24" i="19"/>
  <c r="T24" i="19"/>
  <c r="C12" i="18"/>
  <c r="E12" i="18"/>
  <c r="C24" i="21"/>
  <c r="C23" i="17"/>
  <c r="C23" i="19"/>
  <c r="D12" i="18"/>
  <c r="D59" i="17"/>
  <c r="S12" i="18" l="1"/>
  <c r="S79" i="40"/>
  <c r="P49" i="9"/>
  <c r="P78" i="9"/>
  <c r="S52" i="40"/>
  <c r="S13" i="40"/>
  <c r="T12" i="40"/>
  <c r="S60" i="40"/>
  <c r="S28" i="44"/>
  <c r="P51" i="9"/>
  <c r="P59" i="9"/>
  <c r="S50" i="40"/>
  <c r="S51" i="40"/>
  <c r="F28" i="44"/>
  <c r="D49" i="18"/>
  <c r="E49" i="18" s="1"/>
  <c r="F49" i="18" s="1"/>
  <c r="G49" i="18" s="1"/>
  <c r="H49" i="18" s="1"/>
  <c r="I49" i="18" s="1"/>
  <c r="J49" i="18" s="1"/>
  <c r="K49" i="18" s="1"/>
  <c r="L49" i="18" s="1"/>
  <c r="M49" i="18" s="1"/>
  <c r="N49" i="18" s="1"/>
  <c r="O49" i="18" s="1"/>
  <c r="P49" i="18" s="1"/>
  <c r="Q49" i="18" s="1"/>
  <c r="R49" i="18" s="1"/>
  <c r="S49" i="18" s="1"/>
  <c r="Q12" i="9"/>
  <c r="Q43" i="44"/>
  <c r="F27" i="21"/>
  <c r="F15" i="44"/>
  <c r="D59" i="40"/>
  <c r="D77" i="40" s="1"/>
  <c r="E101" i="40"/>
  <c r="E106" i="40" s="1"/>
  <c r="E27" i="19"/>
  <c r="F96" i="9"/>
  <c r="D22" i="17"/>
  <c r="D23" i="21"/>
  <c r="E22" i="9"/>
  <c r="E23" i="40" s="1"/>
  <c r="E30" i="40" s="1"/>
  <c r="E62" i="40" s="1"/>
  <c r="E59" i="40" s="1"/>
  <c r="D26" i="9"/>
  <c r="E26" i="9" s="1"/>
  <c r="H38" i="17"/>
  <c r="M39" i="21"/>
  <c r="M38" i="18"/>
  <c r="M38" i="17"/>
  <c r="M39" i="19"/>
  <c r="F52" i="19"/>
  <c r="F51" i="17"/>
  <c r="C29" i="9"/>
  <c r="F52" i="21"/>
  <c r="C30" i="21"/>
  <c r="C29" i="18"/>
  <c r="E51" i="18"/>
  <c r="D59" i="18"/>
  <c r="D51" i="18"/>
  <c r="F50" i="9"/>
  <c r="E50" i="9"/>
  <c r="G50" i="9"/>
  <c r="E59" i="18"/>
  <c r="E52" i="19"/>
  <c r="E59" i="17"/>
  <c r="F60" i="21"/>
  <c r="F59" i="17"/>
  <c r="E60" i="21"/>
  <c r="E51" i="17"/>
  <c r="D60" i="19"/>
  <c r="C29" i="17"/>
  <c r="E52" i="21"/>
  <c r="D52" i="21"/>
  <c r="D60" i="21"/>
  <c r="D52" i="19"/>
  <c r="C30" i="19"/>
  <c r="D51" i="17"/>
  <c r="E60" i="19"/>
  <c r="F60" i="19"/>
  <c r="U12" i="40" l="1"/>
  <c r="U60" i="40" s="1"/>
  <c r="T79" i="40"/>
  <c r="T28" i="44"/>
  <c r="Q49" i="9"/>
  <c r="Q78" i="9"/>
  <c r="T12" i="18"/>
  <c r="T60" i="40"/>
  <c r="T13" i="40"/>
  <c r="T52" i="40"/>
  <c r="T50" i="40"/>
  <c r="T51" i="40"/>
  <c r="F26" i="9"/>
  <c r="F49" i="44"/>
  <c r="R12" i="9"/>
  <c r="R43" i="44"/>
  <c r="Q51" i="9"/>
  <c r="Q59" i="9"/>
  <c r="F34" i="44"/>
  <c r="G27" i="21"/>
  <c r="G15" i="44"/>
  <c r="F101" i="40"/>
  <c r="F106" i="40" s="1"/>
  <c r="F59" i="18"/>
  <c r="F27" i="19"/>
  <c r="F22" i="9"/>
  <c r="F23" i="40" s="1"/>
  <c r="E22" i="17"/>
  <c r="E23" i="21"/>
  <c r="E50" i="17"/>
  <c r="H38" i="18"/>
  <c r="H39" i="21"/>
  <c r="H39" i="19"/>
  <c r="V39" i="19"/>
  <c r="V39" i="21"/>
  <c r="V38" i="18"/>
  <c r="V38" i="17"/>
  <c r="S38" i="18"/>
  <c r="S38" i="17"/>
  <c r="S39" i="19"/>
  <c r="S39" i="21"/>
  <c r="L38" i="18"/>
  <c r="L38" i="17"/>
  <c r="L39" i="19"/>
  <c r="L39" i="21"/>
  <c r="W39" i="21"/>
  <c r="W39" i="19"/>
  <c r="W38" i="18"/>
  <c r="W38" i="17"/>
  <c r="E38" i="17"/>
  <c r="E39" i="19"/>
  <c r="E39" i="21"/>
  <c r="E38" i="18"/>
  <c r="R38" i="17"/>
  <c r="R39" i="19"/>
  <c r="R39" i="21"/>
  <c r="R38" i="18"/>
  <c r="Q38" i="17"/>
  <c r="Q39" i="19"/>
  <c r="Q39" i="21"/>
  <c r="Q38" i="18"/>
  <c r="P38" i="17"/>
  <c r="P39" i="19"/>
  <c r="P39" i="21"/>
  <c r="P38" i="18"/>
  <c r="N39" i="19"/>
  <c r="N39" i="21"/>
  <c r="N38" i="18"/>
  <c r="N38" i="17"/>
  <c r="T38" i="18"/>
  <c r="T38" i="17"/>
  <c r="T39" i="19"/>
  <c r="G39" i="21"/>
  <c r="G39" i="19"/>
  <c r="G38" i="18"/>
  <c r="G38" i="17"/>
  <c r="F39" i="19"/>
  <c r="F39" i="21"/>
  <c r="F38" i="18"/>
  <c r="F38" i="17"/>
  <c r="K38" i="18"/>
  <c r="K38" i="17"/>
  <c r="K39" i="19"/>
  <c r="K39" i="21"/>
  <c r="I38" i="17"/>
  <c r="I39" i="19"/>
  <c r="I39" i="21"/>
  <c r="I38" i="18"/>
  <c r="O39" i="19"/>
  <c r="O39" i="21"/>
  <c r="O38" i="18"/>
  <c r="O38" i="17"/>
  <c r="J38" i="17"/>
  <c r="J39" i="19"/>
  <c r="J38" i="18"/>
  <c r="U38" i="18"/>
  <c r="U38" i="17"/>
  <c r="U39" i="19"/>
  <c r="F51" i="18"/>
  <c r="I64" i="19"/>
  <c r="G63" i="18"/>
  <c r="I64" i="17"/>
  <c r="H65" i="21"/>
  <c r="I65" i="21"/>
  <c r="F63" i="18"/>
  <c r="J63" i="18"/>
  <c r="G64" i="17"/>
  <c r="H64" i="17"/>
  <c r="D64" i="19"/>
  <c r="H64" i="19"/>
  <c r="G64" i="19"/>
  <c r="J64" i="17"/>
  <c r="H64" i="18"/>
  <c r="D63" i="18"/>
  <c r="J64" i="19"/>
  <c r="G64" i="18"/>
  <c r="E64" i="19"/>
  <c r="E63" i="17"/>
  <c r="E63" i="18"/>
  <c r="F63" i="17"/>
  <c r="H63" i="18"/>
  <c r="D63" i="17"/>
  <c r="I63" i="18"/>
  <c r="I65" i="19"/>
  <c r="I64" i="18"/>
  <c r="J64" i="18"/>
  <c r="G65" i="19"/>
  <c r="H65" i="19"/>
  <c r="J65" i="19"/>
  <c r="F64" i="19"/>
  <c r="G65" i="21"/>
  <c r="E64" i="21"/>
  <c r="J65" i="21"/>
  <c r="F50" i="18"/>
  <c r="E29" i="9"/>
  <c r="E61" i="9" s="1"/>
  <c r="F44" i="44" s="1"/>
  <c r="H50" i="9"/>
  <c r="D22" i="18"/>
  <c r="E50" i="18"/>
  <c r="D29" i="9"/>
  <c r="D61" i="9" s="1"/>
  <c r="F51" i="21"/>
  <c r="D22" i="19"/>
  <c r="E51" i="19"/>
  <c r="E51" i="21"/>
  <c r="V12" i="40" l="1"/>
  <c r="V79" i="40" s="1"/>
  <c r="U28" i="44"/>
  <c r="T49" i="18"/>
  <c r="U13" i="40"/>
  <c r="U79" i="40"/>
  <c r="U12" i="18"/>
  <c r="U52" i="40"/>
  <c r="R49" i="9"/>
  <c r="R78" i="9"/>
  <c r="U51" i="40"/>
  <c r="U50" i="40"/>
  <c r="S12" i="9"/>
  <c r="S43" i="44"/>
  <c r="R59" i="9"/>
  <c r="R51" i="9"/>
  <c r="G26" i="9"/>
  <c r="G49" i="44"/>
  <c r="G34" i="44"/>
  <c r="H27" i="21"/>
  <c r="H15" i="44"/>
  <c r="G27" i="19"/>
  <c r="F30" i="40"/>
  <c r="F62" i="40" s="1"/>
  <c r="G23" i="40"/>
  <c r="G22" i="9"/>
  <c r="F22" i="17"/>
  <c r="F23" i="21"/>
  <c r="F50" i="17"/>
  <c r="D29" i="17"/>
  <c r="D61" i="17" s="1"/>
  <c r="G50" i="18"/>
  <c r="I50" i="9"/>
  <c r="E22" i="18"/>
  <c r="F22" i="18" s="1"/>
  <c r="D29" i="18"/>
  <c r="D61" i="18" s="1"/>
  <c r="D23" i="18"/>
  <c r="F29" i="9"/>
  <c r="F61" i="9" s="1"/>
  <c r="G44" i="44" s="1"/>
  <c r="G50" i="17"/>
  <c r="E30" i="21"/>
  <c r="E62" i="21" s="1"/>
  <c r="F8" i="44" s="1"/>
  <c r="E22" i="19"/>
  <c r="D30" i="19"/>
  <c r="D62" i="19" s="1"/>
  <c r="D23" i="19"/>
  <c r="D30" i="21"/>
  <c r="D62" i="21" s="1"/>
  <c r="F51" i="19"/>
  <c r="G51" i="21"/>
  <c r="V12" i="18" l="1"/>
  <c r="W28" i="44" s="1"/>
  <c r="V60" i="40"/>
  <c r="V13" i="40"/>
  <c r="V52" i="40"/>
  <c r="W12" i="40"/>
  <c r="W79" i="40" s="1"/>
  <c r="V28" i="44"/>
  <c r="U49" i="18"/>
  <c r="V49" i="18" s="1"/>
  <c r="S49" i="9"/>
  <c r="S78" i="9"/>
  <c r="V50" i="40"/>
  <c r="V51" i="40"/>
  <c r="H26" i="9"/>
  <c r="H49" i="44"/>
  <c r="T12" i="9"/>
  <c r="T43" i="44"/>
  <c r="S59" i="9"/>
  <c r="S51" i="9"/>
  <c r="H34" i="44"/>
  <c r="I27" i="21"/>
  <c r="I15" i="44"/>
  <c r="F59" i="40"/>
  <c r="H27" i="19"/>
  <c r="G24" i="40"/>
  <c r="G30" i="40"/>
  <c r="H22" i="9"/>
  <c r="H23" i="9" s="1"/>
  <c r="G29" i="9"/>
  <c r="G61" i="9" s="1"/>
  <c r="H44" i="44" s="1"/>
  <c r="F29" i="18"/>
  <c r="F61" i="18" s="1"/>
  <c r="F23" i="18"/>
  <c r="E29" i="18"/>
  <c r="E61" i="18" s="1"/>
  <c r="E23" i="18"/>
  <c r="J50" i="9"/>
  <c r="E29" i="17"/>
  <c r="E61" i="17" s="1"/>
  <c r="G51" i="19"/>
  <c r="F22" i="19"/>
  <c r="F30" i="21"/>
  <c r="F62" i="21" s="1"/>
  <c r="G8" i="44" s="1"/>
  <c r="E23" i="19"/>
  <c r="E30" i="19"/>
  <c r="E62" i="19" s="1"/>
  <c r="C2" i="43" l="1" a="1"/>
  <c r="C2" i="43" s="1"/>
  <c r="W12" i="18"/>
  <c r="X28" i="44" s="1"/>
  <c r="W13" i="40"/>
  <c r="W60" i="40"/>
  <c r="W52" i="40"/>
  <c r="W49" i="18"/>
  <c r="T49" i="9"/>
  <c r="T78" i="9"/>
  <c r="W50" i="40"/>
  <c r="W51" i="40"/>
  <c r="F33" i="44"/>
  <c r="U12" i="9"/>
  <c r="U43" i="44"/>
  <c r="T51" i="9"/>
  <c r="T59" i="9"/>
  <c r="H32" i="9"/>
  <c r="I52" i="44" s="1"/>
  <c r="I50" i="44"/>
  <c r="I26" i="9"/>
  <c r="I49" i="44"/>
  <c r="I34" i="44"/>
  <c r="J27" i="21"/>
  <c r="J15" i="44"/>
  <c r="G106" i="40"/>
  <c r="I27" i="19"/>
  <c r="G62" i="40"/>
  <c r="H51" i="40"/>
  <c r="H23" i="40" s="1"/>
  <c r="G33" i="40"/>
  <c r="H29" i="9"/>
  <c r="H61" i="9" s="1"/>
  <c r="I44" i="44" s="1"/>
  <c r="I22" i="9"/>
  <c r="I23" i="9" s="1"/>
  <c r="J50" i="44" s="1"/>
  <c r="F29" i="17"/>
  <c r="F61" i="17" s="1"/>
  <c r="K50" i="9"/>
  <c r="F30" i="19"/>
  <c r="F62" i="19" s="1"/>
  <c r="F23" i="19"/>
  <c r="U49" i="9" l="1"/>
  <c r="U78" i="9"/>
  <c r="G33" i="44"/>
  <c r="V43" i="44"/>
  <c r="V12" i="9"/>
  <c r="U59" i="9"/>
  <c r="U51" i="9"/>
  <c r="J49" i="44"/>
  <c r="J26" i="9"/>
  <c r="J34" i="44"/>
  <c r="K27" i="21"/>
  <c r="K15" i="44"/>
  <c r="G59" i="40"/>
  <c r="J27" i="19"/>
  <c r="H24" i="40"/>
  <c r="H30" i="40"/>
  <c r="J22" i="9"/>
  <c r="K22" i="9" s="1"/>
  <c r="I29" i="9"/>
  <c r="I61" i="9" s="1"/>
  <c r="J44" i="44" s="1"/>
  <c r="L50" i="9"/>
  <c r="V49" i="9" l="1"/>
  <c r="V78" i="9"/>
  <c r="H33" i="40"/>
  <c r="K26" i="9"/>
  <c r="K29" i="9" s="1"/>
  <c r="K61" i="9" s="1"/>
  <c r="L44" i="44" s="1"/>
  <c r="K49" i="44"/>
  <c r="V51" i="9"/>
  <c r="W43" i="44"/>
  <c r="W12" i="9"/>
  <c r="V59" i="9"/>
  <c r="K34" i="44"/>
  <c r="L27" i="21"/>
  <c r="L15" i="44"/>
  <c r="K27" i="19"/>
  <c r="H62" i="40"/>
  <c r="I51" i="40"/>
  <c r="I23" i="40" s="1"/>
  <c r="J23" i="9"/>
  <c r="K50" i="44" s="1"/>
  <c r="J29" i="9"/>
  <c r="J61" i="9" s="1"/>
  <c r="K44" i="44" s="1"/>
  <c r="K23" i="9"/>
  <c r="L50" i="44" s="1"/>
  <c r="M50" i="9"/>
  <c r="L22" i="9"/>
  <c r="W49" i="9" l="1"/>
  <c r="W78" i="9"/>
  <c r="X43" i="44"/>
  <c r="W51" i="9"/>
  <c r="W59" i="9"/>
  <c r="L26" i="9"/>
  <c r="L29" i="9" s="1"/>
  <c r="L61" i="9" s="1"/>
  <c r="M44" i="44" s="1"/>
  <c r="L49" i="44"/>
  <c r="L34" i="44"/>
  <c r="M27" i="21"/>
  <c r="M15" i="44"/>
  <c r="H59" i="40"/>
  <c r="L27" i="19"/>
  <c r="I24" i="40"/>
  <c r="I30" i="40"/>
  <c r="M22" i="9"/>
  <c r="N50" i="9"/>
  <c r="L23" i="9"/>
  <c r="M50" i="44" s="1"/>
  <c r="I33" i="40" l="1"/>
  <c r="M26" i="9"/>
  <c r="M29" i="9" s="1"/>
  <c r="M61" i="9" s="1"/>
  <c r="N44" i="44" s="1"/>
  <c r="M49" i="44"/>
  <c r="M34" i="44"/>
  <c r="N27" i="21"/>
  <c r="N15" i="44"/>
  <c r="M27" i="19"/>
  <c r="I62" i="40"/>
  <c r="I59" i="40" s="1"/>
  <c r="J51" i="40"/>
  <c r="J23" i="40" s="1"/>
  <c r="O50" i="9"/>
  <c r="N22" i="9"/>
  <c r="M23" i="9"/>
  <c r="N50" i="44" s="1"/>
  <c r="N26" i="9" l="1"/>
  <c r="N29" i="9" s="1"/>
  <c r="N61" i="9" s="1"/>
  <c r="O44" i="44" s="1"/>
  <c r="N49" i="44"/>
  <c r="N34" i="44"/>
  <c r="O27" i="21"/>
  <c r="O15" i="44"/>
  <c r="N27" i="19"/>
  <c r="J30" i="40"/>
  <c r="J24" i="40"/>
  <c r="O22" i="9"/>
  <c r="P50" i="9"/>
  <c r="N23" i="9"/>
  <c r="O50" i="44" s="1"/>
  <c r="J33" i="40" l="1"/>
  <c r="O26" i="9"/>
  <c r="O49" i="44"/>
  <c r="O34" i="44"/>
  <c r="P27" i="21"/>
  <c r="P15" i="44"/>
  <c r="O27" i="19"/>
  <c r="J62" i="40"/>
  <c r="J59" i="40" s="1"/>
  <c r="K51" i="40"/>
  <c r="K23" i="40" s="1"/>
  <c r="P22" i="9"/>
  <c r="Q50" i="9"/>
  <c r="O23" i="9"/>
  <c r="P50" i="44" s="1"/>
  <c r="O29" i="9"/>
  <c r="O61" i="9" s="1"/>
  <c r="P44" i="44" s="1"/>
  <c r="P26" i="9" l="1"/>
  <c r="P49" i="44"/>
  <c r="P34" i="44"/>
  <c r="Q27" i="21"/>
  <c r="Q15" i="44"/>
  <c r="P27" i="19"/>
  <c r="K30" i="40"/>
  <c r="K24" i="40"/>
  <c r="R50" i="9"/>
  <c r="Q22" i="9"/>
  <c r="P29" i="9"/>
  <c r="P61" i="9" s="1"/>
  <c r="Q44" i="44" s="1"/>
  <c r="P23" i="9"/>
  <c r="Q50" i="44" s="1"/>
  <c r="K33" i="40" l="1"/>
  <c r="Q26" i="9"/>
  <c r="Q49" i="44"/>
  <c r="Q34" i="44"/>
  <c r="R27" i="21"/>
  <c r="R15" i="44"/>
  <c r="Q27" i="19"/>
  <c r="K62" i="40"/>
  <c r="L51" i="40"/>
  <c r="L23" i="40" s="1"/>
  <c r="S50" i="9"/>
  <c r="R22" i="9"/>
  <c r="Q29" i="9"/>
  <c r="Q61" i="9" s="1"/>
  <c r="R44" i="44" s="1"/>
  <c r="Q23" i="9"/>
  <c r="R50" i="44" s="1"/>
  <c r="R26" i="9" l="1"/>
  <c r="R29" i="9" s="1"/>
  <c r="R61" i="9" s="1"/>
  <c r="S44" i="44" s="1"/>
  <c r="R49" i="44"/>
  <c r="R34" i="44"/>
  <c r="S27" i="21"/>
  <c r="S15" i="44"/>
  <c r="R27" i="19"/>
  <c r="L30" i="40"/>
  <c r="L24" i="40"/>
  <c r="L33" i="40" s="1"/>
  <c r="R23" i="9"/>
  <c r="S50" i="44" s="1"/>
  <c r="T50" i="9"/>
  <c r="S22" i="9"/>
  <c r="S26" i="9" l="1"/>
  <c r="S29" i="9" s="1"/>
  <c r="S61" i="9" s="1"/>
  <c r="T44" i="44" s="1"/>
  <c r="S49" i="44"/>
  <c r="S34" i="44"/>
  <c r="T27" i="21"/>
  <c r="T15" i="44"/>
  <c r="S27" i="19"/>
  <c r="L62" i="40"/>
  <c r="M51" i="40"/>
  <c r="M23" i="40" s="1"/>
  <c r="U50" i="9"/>
  <c r="S23" i="9"/>
  <c r="T50" i="44" s="1"/>
  <c r="T22" i="9"/>
  <c r="T26" i="9" l="1"/>
  <c r="T49" i="44"/>
  <c r="T34" i="44"/>
  <c r="U15" i="44"/>
  <c r="U27" i="21"/>
  <c r="T27" i="19"/>
  <c r="M30" i="40"/>
  <c r="M24" i="40"/>
  <c r="M33" i="40" s="1"/>
  <c r="V50" i="9"/>
  <c r="U22" i="9"/>
  <c r="U23" i="9" s="1"/>
  <c r="V50" i="44" s="1"/>
  <c r="T29" i="9"/>
  <c r="T61" i="9" s="1"/>
  <c r="U44" i="44" s="1"/>
  <c r="T23" i="9"/>
  <c r="U50" i="44" s="1"/>
  <c r="U26" i="9" l="1"/>
  <c r="U49" i="44"/>
  <c r="U34" i="44"/>
  <c r="V27" i="21"/>
  <c r="V15" i="44"/>
  <c r="U27" i="19"/>
  <c r="M62" i="40"/>
  <c r="N51" i="40"/>
  <c r="N23" i="40" s="1"/>
  <c r="O51" i="40"/>
  <c r="V22" i="9"/>
  <c r="V23" i="9" s="1"/>
  <c r="W50" i="44" s="1"/>
  <c r="W50" i="9"/>
  <c r="U29" i="9"/>
  <c r="U61" i="9" s="1"/>
  <c r="V44" i="44" s="1"/>
  <c r="V34" i="44" l="1"/>
  <c r="V26" i="9"/>
  <c r="V29" i="9" s="1"/>
  <c r="V61" i="9" s="1"/>
  <c r="W44" i="44" s="1"/>
  <c r="V49" i="44"/>
  <c r="W27" i="21"/>
  <c r="X15" i="44" s="1"/>
  <c r="W15" i="44"/>
  <c r="V27" i="19"/>
  <c r="O23" i="40"/>
  <c r="N24" i="40"/>
  <c r="N33" i="40" s="1"/>
  <c r="N30" i="40"/>
  <c r="N62" i="40" s="1"/>
  <c r="W22" i="9"/>
  <c r="W23" i="9" s="1"/>
  <c r="X50" i="44" s="1"/>
  <c r="W34" i="44" l="1"/>
  <c r="W26" i="9"/>
  <c r="X49" i="44" s="1"/>
  <c r="W49" i="44"/>
  <c r="W27" i="19"/>
  <c r="O24" i="40"/>
  <c r="O33" i="40" s="1"/>
  <c r="P23" i="40"/>
  <c r="O30" i="40"/>
  <c r="O62" i="40" s="1"/>
  <c r="W29" i="9" l="1"/>
  <c r="W61" i="9" s="1"/>
  <c r="X44" i="44" s="1"/>
  <c r="X34" i="44"/>
  <c r="P30" i="40"/>
  <c r="P62" i="40" s="1"/>
  <c r="Q23" i="40"/>
  <c r="P24" i="40"/>
  <c r="P33" i="40" s="1"/>
  <c r="M71" i="17"/>
  <c r="M72" i="21"/>
  <c r="N14" i="44" s="1"/>
  <c r="M71" i="9"/>
  <c r="M71" i="18"/>
  <c r="M72" i="19"/>
  <c r="R71" i="18"/>
  <c r="R71" i="9"/>
  <c r="R72" i="21"/>
  <c r="S14" i="44" s="1"/>
  <c r="R71" i="17"/>
  <c r="R72" i="19"/>
  <c r="Q72" i="21"/>
  <c r="R14" i="44" s="1"/>
  <c r="Q71" i="17"/>
  <c r="Q71" i="9"/>
  <c r="Q71" i="18"/>
  <c r="Q72" i="19"/>
  <c r="J72" i="21"/>
  <c r="K14" i="44" s="1"/>
  <c r="J71" i="17"/>
  <c r="J71" i="9"/>
  <c r="J72" i="19"/>
  <c r="J71" i="18"/>
  <c r="S72" i="21"/>
  <c r="T14" i="44" s="1"/>
  <c r="S72" i="19"/>
  <c r="S71" i="9"/>
  <c r="S71" i="17"/>
  <c r="S71" i="18"/>
  <c r="P72" i="19"/>
  <c r="P71" i="17"/>
  <c r="P71" i="18"/>
  <c r="P71" i="9"/>
  <c r="P72" i="21"/>
  <c r="Q14" i="44" s="1"/>
  <c r="G71" i="18"/>
  <c r="G71" i="17"/>
  <c r="G72" i="21"/>
  <c r="H14" i="44" s="1"/>
  <c r="G72" i="19"/>
  <c r="K71" i="9"/>
  <c r="K72" i="21"/>
  <c r="L14" i="44" s="1"/>
  <c r="K71" i="17"/>
  <c r="K71" i="18"/>
  <c r="K72" i="19"/>
  <c r="H71" i="9"/>
  <c r="H72" i="21"/>
  <c r="I14" i="44" s="1"/>
  <c r="H71" i="18"/>
  <c r="H72" i="19"/>
  <c r="H71" i="17"/>
  <c r="U71" i="9"/>
  <c r="U72" i="21"/>
  <c r="V14" i="44" s="1"/>
  <c r="U71" i="18"/>
  <c r="U72" i="19"/>
  <c r="U71" i="17"/>
  <c r="V71" i="17"/>
  <c r="V72" i="19"/>
  <c r="V71" i="9"/>
  <c r="V72" i="21"/>
  <c r="W14" i="44" s="1"/>
  <c r="V71" i="18"/>
  <c r="I72" i="19"/>
  <c r="I71" i="17"/>
  <c r="I71" i="9"/>
  <c r="I72" i="21"/>
  <c r="J14" i="44" s="1"/>
  <c r="I71" i="18"/>
  <c r="T72" i="21"/>
  <c r="U14" i="44" s="1"/>
  <c r="T71" i="17"/>
  <c r="T72" i="19"/>
  <c r="T71" i="18"/>
  <c r="T71" i="9"/>
  <c r="N71" i="18"/>
  <c r="N72" i="19"/>
  <c r="N71" i="9"/>
  <c r="N71" i="17"/>
  <c r="N72" i="21"/>
  <c r="O14" i="44" s="1"/>
  <c r="W72" i="19"/>
  <c r="W71" i="17"/>
  <c r="W72" i="21"/>
  <c r="X14" i="44" s="1"/>
  <c r="W71" i="9"/>
  <c r="W71" i="18"/>
  <c r="O72" i="19"/>
  <c r="O72" i="21"/>
  <c r="P14" i="44" s="1"/>
  <c r="O71" i="18"/>
  <c r="O71" i="17"/>
  <c r="O71" i="9"/>
  <c r="L71" i="17"/>
  <c r="L72" i="19"/>
  <c r="L72" i="21"/>
  <c r="M14" i="44" s="1"/>
  <c r="L71" i="9"/>
  <c r="L71" i="18"/>
  <c r="Q24" i="40" l="1"/>
  <c r="Q33" i="40" s="1"/>
  <c r="Q30" i="40"/>
  <c r="Q62" i="40" s="1"/>
  <c r="R23" i="40"/>
  <c r="Q72" i="17"/>
  <c r="Q73" i="17" s="1"/>
  <c r="Q73" i="21"/>
  <c r="Q74" i="21" s="1"/>
  <c r="Q72" i="18"/>
  <c r="Q73" i="18" s="1"/>
  <c r="Q72" i="9"/>
  <c r="Q73" i="9" s="1"/>
  <c r="Q73" i="19"/>
  <c r="Q74" i="19" s="1"/>
  <c r="L73" i="21"/>
  <c r="L74" i="21" s="1"/>
  <c r="L72" i="9"/>
  <c r="L73" i="9" s="1"/>
  <c r="L73" i="19"/>
  <c r="L74" i="19" s="1"/>
  <c r="L72" i="18"/>
  <c r="L73" i="18" s="1"/>
  <c r="L72" i="17"/>
  <c r="L73" i="17" s="1"/>
  <c r="I63" i="19"/>
  <c r="I63" i="21"/>
  <c r="I62" i="18"/>
  <c r="I62" i="17"/>
  <c r="I62" i="9"/>
  <c r="K73" i="19"/>
  <c r="K74" i="19" s="1"/>
  <c r="K73" i="21"/>
  <c r="K74" i="21" s="1"/>
  <c r="K72" i="9"/>
  <c r="K73" i="9" s="1"/>
  <c r="K72" i="18"/>
  <c r="K73" i="18" s="1"/>
  <c r="K72" i="17"/>
  <c r="K73" i="17" s="1"/>
  <c r="G72" i="9"/>
  <c r="G73" i="9" s="1"/>
  <c r="G73" i="19"/>
  <c r="G74" i="19" s="1"/>
  <c r="G73" i="21"/>
  <c r="G74" i="21" s="1"/>
  <c r="G72" i="17"/>
  <c r="G73" i="17" s="1"/>
  <c r="G72" i="18"/>
  <c r="G73" i="18" s="1"/>
  <c r="O73" i="19"/>
  <c r="O74" i="19" s="1"/>
  <c r="O72" i="17"/>
  <c r="O73" i="17" s="1"/>
  <c r="O72" i="18"/>
  <c r="O73" i="18" s="1"/>
  <c r="O72" i="9"/>
  <c r="O73" i="9" s="1"/>
  <c r="O73" i="21"/>
  <c r="O74" i="21" s="1"/>
  <c r="Q63" i="21"/>
  <c r="Q62" i="18"/>
  <c r="Q62" i="17"/>
  <c r="Q63" i="19"/>
  <c r="Q62" i="9"/>
  <c r="K63" i="21"/>
  <c r="K62" i="17"/>
  <c r="K62" i="18"/>
  <c r="K62" i="9"/>
  <c r="K63" i="19"/>
  <c r="W62" i="17"/>
  <c r="W63" i="21"/>
  <c r="W63" i="19"/>
  <c r="W62" i="9"/>
  <c r="W62" i="18"/>
  <c r="N62" i="17"/>
  <c r="N62" i="18"/>
  <c r="N62" i="9"/>
  <c r="N63" i="21"/>
  <c r="N63" i="19"/>
  <c r="J73" i="19"/>
  <c r="J74" i="19" s="1"/>
  <c r="J72" i="17"/>
  <c r="J73" i="17" s="1"/>
  <c r="J72" i="9"/>
  <c r="J73" i="9" s="1"/>
  <c r="J73" i="21"/>
  <c r="J74" i="21" s="1"/>
  <c r="J72" i="18"/>
  <c r="J73" i="18" s="1"/>
  <c r="W73" i="21"/>
  <c r="W74" i="21" s="1"/>
  <c r="W72" i="18"/>
  <c r="W73" i="18" s="1"/>
  <c r="W72" i="9"/>
  <c r="W73" i="9" s="1"/>
  <c r="W73" i="19"/>
  <c r="W74" i="19" s="1"/>
  <c r="W72" i="17"/>
  <c r="W73" i="17" s="1"/>
  <c r="P73" i="19"/>
  <c r="P74" i="19" s="1"/>
  <c r="P72" i="9"/>
  <c r="P73" i="9" s="1"/>
  <c r="P72" i="18"/>
  <c r="P73" i="18" s="1"/>
  <c r="P73" i="21"/>
  <c r="P74" i="21" s="1"/>
  <c r="P72" i="17"/>
  <c r="P73" i="17" s="1"/>
  <c r="M72" i="17"/>
  <c r="M73" i="17" s="1"/>
  <c r="M72" i="18"/>
  <c r="M73" i="18" s="1"/>
  <c r="M72" i="9"/>
  <c r="M73" i="9" s="1"/>
  <c r="M73" i="21"/>
  <c r="M74" i="21" s="1"/>
  <c r="M73" i="19"/>
  <c r="M74" i="19" s="1"/>
  <c r="U62" i="18"/>
  <c r="U63" i="19"/>
  <c r="U62" i="17"/>
  <c r="U62" i="9"/>
  <c r="U63" i="21"/>
  <c r="O62" i="18"/>
  <c r="O63" i="19"/>
  <c r="O63" i="21"/>
  <c r="O62" i="9"/>
  <c r="O62" i="17"/>
  <c r="L63" i="19"/>
  <c r="L62" i="17"/>
  <c r="L62" i="9"/>
  <c r="L63" i="21"/>
  <c r="L62" i="18"/>
  <c r="N72" i="9"/>
  <c r="N73" i="9" s="1"/>
  <c r="N73" i="19"/>
  <c r="N74" i="19" s="1"/>
  <c r="N72" i="17"/>
  <c r="N73" i="17" s="1"/>
  <c r="N72" i="18"/>
  <c r="N73" i="18" s="1"/>
  <c r="N73" i="21"/>
  <c r="N74" i="21" s="1"/>
  <c r="S72" i="9"/>
  <c r="S73" i="9" s="1"/>
  <c r="S72" i="17"/>
  <c r="S73" i="17" s="1"/>
  <c r="S73" i="19"/>
  <c r="S74" i="19" s="1"/>
  <c r="S72" i="18"/>
  <c r="S73" i="18" s="1"/>
  <c r="S73" i="21"/>
  <c r="S74" i="21" s="1"/>
  <c r="V73" i="21"/>
  <c r="V74" i="21" s="1"/>
  <c r="V72" i="9"/>
  <c r="V73" i="9" s="1"/>
  <c r="V72" i="18"/>
  <c r="V73" i="18" s="1"/>
  <c r="V73" i="19"/>
  <c r="V74" i="19" s="1"/>
  <c r="V72" i="17"/>
  <c r="V73" i="17" s="1"/>
  <c r="S62" i="18"/>
  <c r="S63" i="21"/>
  <c r="S62" i="17"/>
  <c r="S63" i="19"/>
  <c r="S62" i="9"/>
  <c r="M62" i="18"/>
  <c r="M63" i="21"/>
  <c r="M62" i="9"/>
  <c r="M62" i="17"/>
  <c r="M63" i="19"/>
  <c r="T72" i="9"/>
  <c r="T73" i="9" s="1"/>
  <c r="T73" i="21"/>
  <c r="T74" i="21" s="1"/>
  <c r="T72" i="17"/>
  <c r="T73" i="17" s="1"/>
  <c r="T73" i="19"/>
  <c r="T74" i="19" s="1"/>
  <c r="T72" i="18"/>
  <c r="T73" i="18" s="1"/>
  <c r="R63" i="21"/>
  <c r="R63" i="19"/>
  <c r="R62" i="17"/>
  <c r="R62" i="18"/>
  <c r="R62" i="9"/>
  <c r="J63" i="19"/>
  <c r="J62" i="17"/>
  <c r="J62" i="18"/>
  <c r="J62" i="9"/>
  <c r="J63" i="21"/>
  <c r="H63" i="21"/>
  <c r="H62" i="17"/>
  <c r="H63" i="19"/>
  <c r="H62" i="18"/>
  <c r="G62" i="18"/>
  <c r="G62" i="9"/>
  <c r="G63" i="21"/>
  <c r="G62" i="17"/>
  <c r="G63" i="19"/>
  <c r="U72" i="9"/>
  <c r="U73" i="9" s="1"/>
  <c r="U72" i="18"/>
  <c r="U73" i="18" s="1"/>
  <c r="U73" i="19"/>
  <c r="U74" i="19" s="1"/>
  <c r="U72" i="17"/>
  <c r="U73" i="17" s="1"/>
  <c r="U73" i="21"/>
  <c r="U74" i="21" s="1"/>
  <c r="T63" i="19"/>
  <c r="T62" i="18"/>
  <c r="T63" i="21"/>
  <c r="T62" i="9"/>
  <c r="T62" i="17"/>
  <c r="V62" i="9"/>
  <c r="V62" i="17"/>
  <c r="V62" i="18"/>
  <c r="V63" i="21"/>
  <c r="V63" i="19"/>
  <c r="H73" i="19"/>
  <c r="H74" i="19" s="1"/>
  <c r="H73" i="9"/>
  <c r="H72" i="18"/>
  <c r="H73" i="18" s="1"/>
  <c r="H73" i="21"/>
  <c r="H74" i="21" s="1"/>
  <c r="H72" i="17"/>
  <c r="H73" i="17" s="1"/>
  <c r="R72" i="9"/>
  <c r="R73" i="9" s="1"/>
  <c r="R73" i="19"/>
  <c r="R74" i="19" s="1"/>
  <c r="R73" i="21"/>
  <c r="R74" i="21" s="1"/>
  <c r="R72" i="18"/>
  <c r="R73" i="18" s="1"/>
  <c r="R72" i="17"/>
  <c r="R73" i="17" s="1"/>
  <c r="I73" i="21"/>
  <c r="I74" i="21" s="1"/>
  <c r="I73" i="19"/>
  <c r="I74" i="19" s="1"/>
  <c r="I72" i="17"/>
  <c r="I73" i="17" s="1"/>
  <c r="I72" i="18"/>
  <c r="I73" i="18" s="1"/>
  <c r="I72" i="9"/>
  <c r="I73" i="9" s="1"/>
  <c r="P62" i="17"/>
  <c r="P62" i="18"/>
  <c r="P62" i="9"/>
  <c r="P63" i="19"/>
  <c r="P63" i="21"/>
  <c r="S23" i="40" l="1"/>
  <c r="R24" i="40"/>
  <c r="R33" i="40" s="1"/>
  <c r="R30" i="40"/>
  <c r="R62" i="40" s="1"/>
  <c r="D93" i="19"/>
  <c r="C93" i="19"/>
  <c r="S24" i="40" l="1"/>
  <c r="S33" i="40" s="1"/>
  <c r="T23" i="40"/>
  <c r="S30" i="40"/>
  <c r="S62" i="40" s="1"/>
  <c r="F71" i="18"/>
  <c r="F72" i="19"/>
  <c r="F72" i="21"/>
  <c r="G14" i="44" s="1"/>
  <c r="F71" i="17"/>
  <c r="E72" i="19"/>
  <c r="E71" i="17"/>
  <c r="E71" i="9"/>
  <c r="E72" i="21"/>
  <c r="F14" i="44" s="1"/>
  <c r="E71" i="18"/>
  <c r="D72" i="19"/>
  <c r="D71" i="17"/>
  <c r="D72" i="21"/>
  <c r="D71" i="18"/>
  <c r="U23" i="40" l="1"/>
  <c r="T24" i="40"/>
  <c r="T30" i="40"/>
  <c r="T62" i="40" s="1"/>
  <c r="C20" i="8"/>
  <c r="C17" i="18" s="1"/>
  <c r="W20" i="8"/>
  <c r="D20" i="8"/>
  <c r="U20" i="8"/>
  <c r="J20" i="8"/>
  <c r="T20" i="8"/>
  <c r="S20" i="8"/>
  <c r="H42" i="18"/>
  <c r="H43" i="19"/>
  <c r="H42" i="17"/>
  <c r="E42" i="18"/>
  <c r="E43" i="19"/>
  <c r="D15" i="21"/>
  <c r="D73" i="21" s="1"/>
  <c r="D74" i="21" s="1"/>
  <c r="D14" i="19"/>
  <c r="D73" i="19" s="1"/>
  <c r="D74" i="19" s="1"/>
  <c r="D14" i="9"/>
  <c r="D72" i="9" s="1"/>
  <c r="D73" i="9" s="1"/>
  <c r="D14" i="17"/>
  <c r="D72" i="17" s="1"/>
  <c r="D73" i="17" s="1"/>
  <c r="D14" i="18"/>
  <c r="D72" i="18" s="1"/>
  <c r="D73" i="18" s="1"/>
  <c r="Q20" i="8"/>
  <c r="J18" i="9"/>
  <c r="J18" i="19"/>
  <c r="J18" i="17"/>
  <c r="J64" i="9"/>
  <c r="J18" i="18"/>
  <c r="J19" i="21"/>
  <c r="U42" i="17"/>
  <c r="U42" i="18"/>
  <c r="U43" i="19"/>
  <c r="D42" i="18"/>
  <c r="D43" i="19"/>
  <c r="N20" i="8"/>
  <c r="M20" i="8"/>
  <c r="N42" i="19"/>
  <c r="N41" i="18"/>
  <c r="N32" i="9"/>
  <c r="O52" i="44" s="1"/>
  <c r="E20" i="8"/>
  <c r="E18" i="40" s="1"/>
  <c r="L18" i="19"/>
  <c r="L18" i="9"/>
  <c r="L64" i="9"/>
  <c r="L19" i="21"/>
  <c r="L64" i="17"/>
  <c r="L18" i="17"/>
  <c r="L65" i="19"/>
  <c r="L64" i="18"/>
  <c r="L18" i="18"/>
  <c r="L65" i="21"/>
  <c r="Q18" i="19"/>
  <c r="Q18" i="17"/>
  <c r="Q65" i="21"/>
  <c r="Q18" i="9"/>
  <c r="Q64" i="18"/>
  <c r="Q19" i="21"/>
  <c r="Q18" i="18"/>
  <c r="Q64" i="17"/>
  <c r="Q64" i="9"/>
  <c r="Q65" i="19"/>
  <c r="V20" i="8"/>
  <c r="K43" i="19"/>
  <c r="K42" i="17"/>
  <c r="K42" i="18"/>
  <c r="O42" i="17"/>
  <c r="O43" i="19"/>
  <c r="O42" i="18"/>
  <c r="K20" i="8"/>
  <c r="U18" i="9"/>
  <c r="U64" i="18"/>
  <c r="U18" i="18"/>
  <c r="U18" i="17"/>
  <c r="U19" i="21"/>
  <c r="U64" i="9"/>
  <c r="U65" i="21"/>
  <c r="U64" i="17"/>
  <c r="U18" i="19"/>
  <c r="U65" i="19"/>
  <c r="G20" i="8"/>
  <c r="G18" i="40" s="1"/>
  <c r="R20" i="8"/>
  <c r="H18" i="9"/>
  <c r="H18" i="17"/>
  <c r="H18" i="19"/>
  <c r="H19" i="21"/>
  <c r="H18" i="18"/>
  <c r="R65" i="21"/>
  <c r="R64" i="9"/>
  <c r="R65" i="19"/>
  <c r="R64" i="18"/>
  <c r="R18" i="19"/>
  <c r="R18" i="9"/>
  <c r="R18" i="17"/>
  <c r="R64" i="17"/>
  <c r="R18" i="18"/>
  <c r="R19" i="21"/>
  <c r="C56" i="9"/>
  <c r="C56" i="18"/>
  <c r="C57" i="21"/>
  <c r="C57" i="19"/>
  <c r="S42" i="18"/>
  <c r="S43" i="19"/>
  <c r="S42" i="17"/>
  <c r="G18" i="18"/>
  <c r="G18" i="17"/>
  <c r="G19" i="21"/>
  <c r="G64" i="9"/>
  <c r="G18" i="19"/>
  <c r="G18" i="9"/>
  <c r="L20" i="8"/>
  <c r="P64" i="9"/>
  <c r="P19" i="21"/>
  <c r="P65" i="21"/>
  <c r="P64" i="17"/>
  <c r="P18" i="9"/>
  <c r="P65" i="19"/>
  <c r="P18" i="19"/>
  <c r="P64" i="18"/>
  <c r="P18" i="18"/>
  <c r="P18" i="17"/>
  <c r="N42" i="17"/>
  <c r="N43" i="19"/>
  <c r="N42" i="18"/>
  <c r="D14" i="21"/>
  <c r="D63" i="21" s="1"/>
  <c r="D59" i="21" s="1"/>
  <c r="D13" i="18"/>
  <c r="D62" i="18" s="1"/>
  <c r="D58" i="18" s="1"/>
  <c r="D13" i="19"/>
  <c r="D63" i="19" s="1"/>
  <c r="D59" i="19" s="1"/>
  <c r="D13" i="9"/>
  <c r="D62" i="9" s="1"/>
  <c r="D58" i="9" s="1"/>
  <c r="D13" i="17"/>
  <c r="D62" i="17" s="1"/>
  <c r="D58" i="17" s="1"/>
  <c r="S64" i="17"/>
  <c r="S64" i="18"/>
  <c r="S65" i="19"/>
  <c r="S18" i="19"/>
  <c r="S18" i="9"/>
  <c r="S18" i="18"/>
  <c r="S18" i="17"/>
  <c r="S19" i="21"/>
  <c r="S64" i="9"/>
  <c r="S65" i="21"/>
  <c r="K18" i="18"/>
  <c r="K19" i="21"/>
  <c r="K64" i="18"/>
  <c r="K18" i="19"/>
  <c r="K65" i="19"/>
  <c r="K65" i="21"/>
  <c r="K18" i="9"/>
  <c r="K64" i="17"/>
  <c r="K64" i="9"/>
  <c r="K18" i="17"/>
  <c r="H20" i="8"/>
  <c r="H18" i="40" s="1"/>
  <c r="D18" i="9"/>
  <c r="D18" i="17"/>
  <c r="D18" i="19"/>
  <c r="D19" i="21"/>
  <c r="D18" i="18"/>
  <c r="I20" i="8"/>
  <c r="I18" i="40" s="1"/>
  <c r="P42" i="17"/>
  <c r="P43" i="19"/>
  <c r="P42" i="18"/>
  <c r="Q43" i="19"/>
  <c r="Q42" i="18"/>
  <c r="Q42" i="17"/>
  <c r="F42" i="18"/>
  <c r="F43" i="19"/>
  <c r="I18" i="9"/>
  <c r="I64" i="9"/>
  <c r="I19" i="21"/>
  <c r="I18" i="17"/>
  <c r="I18" i="19"/>
  <c r="I18" i="18"/>
  <c r="M64" i="17"/>
  <c r="M18" i="17"/>
  <c r="M18" i="9"/>
  <c r="M65" i="19"/>
  <c r="M64" i="9"/>
  <c r="M65" i="21"/>
  <c r="M19" i="21"/>
  <c r="M18" i="19"/>
  <c r="M64" i="18"/>
  <c r="M18" i="18"/>
  <c r="N64" i="9"/>
  <c r="N65" i="21"/>
  <c r="N18" i="9"/>
  <c r="N64" i="17"/>
  <c r="N18" i="18"/>
  <c r="N65" i="19"/>
  <c r="N18" i="17"/>
  <c r="N18" i="19"/>
  <c r="N64" i="18"/>
  <c r="N19" i="21"/>
  <c r="F32" i="17"/>
  <c r="F41" i="9"/>
  <c r="F42" i="21"/>
  <c r="F41" i="18"/>
  <c r="F42" i="19"/>
  <c r="R42" i="17"/>
  <c r="R43" i="19"/>
  <c r="R42" i="18"/>
  <c r="V42" i="18"/>
  <c r="V42" i="17"/>
  <c r="V43" i="19"/>
  <c r="F13" i="19"/>
  <c r="F63" i="19" s="1"/>
  <c r="F59" i="19" s="1"/>
  <c r="F14" i="21"/>
  <c r="G9" i="44" s="1"/>
  <c r="F13" i="18"/>
  <c r="F62" i="18" s="1"/>
  <c r="F58" i="18" s="1"/>
  <c r="F13" i="17"/>
  <c r="F62" i="17" s="1"/>
  <c r="F58" i="17" s="1"/>
  <c r="F13" i="9"/>
  <c r="F62" i="9" s="1"/>
  <c r="F58" i="9" s="1"/>
  <c r="C42" i="18"/>
  <c r="C43" i="19"/>
  <c r="W42" i="18"/>
  <c r="W42" i="17"/>
  <c r="W43" i="19"/>
  <c r="W65" i="19"/>
  <c r="W64" i="9"/>
  <c r="W18" i="18"/>
  <c r="W18" i="19"/>
  <c r="W19" i="21"/>
  <c r="W18" i="17"/>
  <c r="W65" i="21"/>
  <c r="W64" i="18"/>
  <c r="W18" i="9"/>
  <c r="W64" i="17"/>
  <c r="E14" i="19"/>
  <c r="E73" i="19" s="1"/>
  <c r="E74" i="19" s="1"/>
  <c r="E14" i="17"/>
  <c r="E72" i="17" s="1"/>
  <c r="E73" i="17" s="1"/>
  <c r="E15" i="21"/>
  <c r="E73" i="21" s="1"/>
  <c r="E74" i="21" s="1"/>
  <c r="E14" i="9"/>
  <c r="E72" i="9" s="1"/>
  <c r="E73" i="9" s="1"/>
  <c r="E14" i="18"/>
  <c r="E72" i="18" s="1"/>
  <c r="E73" i="18" s="1"/>
  <c r="F15" i="21"/>
  <c r="F73" i="21" s="1"/>
  <c r="F74" i="21" s="1"/>
  <c r="F14" i="9"/>
  <c r="F72" i="9" s="1"/>
  <c r="F73" i="9" s="1"/>
  <c r="F14" i="17"/>
  <c r="F72" i="17" s="1"/>
  <c r="F73" i="17" s="1"/>
  <c r="F14" i="18"/>
  <c r="F72" i="18" s="1"/>
  <c r="F73" i="18" s="1"/>
  <c r="F14" i="19"/>
  <c r="F73" i="19" s="1"/>
  <c r="F74" i="19" s="1"/>
  <c r="P20" i="8"/>
  <c r="I42" i="17"/>
  <c r="I43" i="19"/>
  <c r="I42" i="18"/>
  <c r="F20" i="8"/>
  <c r="F18" i="40" s="1"/>
  <c r="M43" i="19"/>
  <c r="M42" i="18"/>
  <c r="M42" i="17"/>
  <c r="C14" i="18"/>
  <c r="C15" i="21"/>
  <c r="C14" i="9"/>
  <c r="C14" i="19"/>
  <c r="C14" i="17"/>
  <c r="F18" i="17"/>
  <c r="F18" i="9"/>
  <c r="F18" i="19"/>
  <c r="F19" i="21"/>
  <c r="F18" i="18"/>
  <c r="E13" i="17"/>
  <c r="E62" i="17" s="1"/>
  <c r="E58" i="17" s="1"/>
  <c r="E13" i="19"/>
  <c r="E63" i="19" s="1"/>
  <c r="E59" i="19" s="1"/>
  <c r="E14" i="21"/>
  <c r="E13" i="9"/>
  <c r="E62" i="9" s="1"/>
  <c r="E58" i="9" s="1"/>
  <c r="E13" i="18"/>
  <c r="E62" i="18" s="1"/>
  <c r="E58" i="18" s="1"/>
  <c r="T18" i="19"/>
  <c r="T19" i="21"/>
  <c r="T18" i="17"/>
  <c r="T64" i="18"/>
  <c r="T65" i="19"/>
  <c r="T18" i="18"/>
  <c r="T65" i="21"/>
  <c r="T18" i="9"/>
  <c r="T64" i="17"/>
  <c r="T64" i="9"/>
  <c r="E18" i="18"/>
  <c r="E19" i="21"/>
  <c r="E18" i="9"/>
  <c r="E18" i="17"/>
  <c r="E18" i="19"/>
  <c r="L42" i="18"/>
  <c r="L42" i="17"/>
  <c r="L43" i="19"/>
  <c r="T43" i="19"/>
  <c r="T42" i="17"/>
  <c r="T42" i="18"/>
  <c r="C14" i="21"/>
  <c r="C13" i="18"/>
  <c r="C13" i="19"/>
  <c r="C13" i="17"/>
  <c r="C13" i="9"/>
  <c r="O65" i="21"/>
  <c r="O18" i="18"/>
  <c r="O64" i="18"/>
  <c r="O18" i="17"/>
  <c r="O19" i="21"/>
  <c r="O65" i="19"/>
  <c r="O18" i="9"/>
  <c r="O64" i="9"/>
  <c r="O18" i="19"/>
  <c r="O64" i="17"/>
  <c r="C18" i="17"/>
  <c r="C18" i="19"/>
  <c r="C18" i="18"/>
  <c r="C19" i="21"/>
  <c r="C18" i="9"/>
  <c r="J43" i="19"/>
  <c r="J42" i="18"/>
  <c r="J42" i="17"/>
  <c r="G42" i="18"/>
  <c r="G43" i="19"/>
  <c r="E41" i="17"/>
  <c r="E32" i="17" s="1"/>
  <c r="E41" i="9"/>
  <c r="E41" i="18"/>
  <c r="E32" i="18" s="1"/>
  <c r="E42" i="21"/>
  <c r="F17" i="44" s="1"/>
  <c r="E42" i="19"/>
  <c r="C41" i="9"/>
  <c r="C101" i="9" s="1"/>
  <c r="C42" i="19"/>
  <c r="C98" i="19" s="1"/>
  <c r="C42" i="21"/>
  <c r="C113" i="21" s="1"/>
  <c r="C41" i="18"/>
  <c r="C41" i="17"/>
  <c r="O20" i="8"/>
  <c r="D42" i="21"/>
  <c r="D113" i="21" s="1"/>
  <c r="D42" i="19"/>
  <c r="D98" i="19" s="1"/>
  <c r="D41" i="17"/>
  <c r="D41" i="9"/>
  <c r="D101" i="9" s="1"/>
  <c r="D41" i="18"/>
  <c r="V65" i="19"/>
  <c r="V18" i="19"/>
  <c r="V65" i="21"/>
  <c r="V64" i="9"/>
  <c r="V19" i="21"/>
  <c r="V64" i="17"/>
  <c r="V18" i="18"/>
  <c r="V18" i="9"/>
  <c r="V18" i="17"/>
  <c r="V64" i="18"/>
  <c r="T33" i="40" l="1"/>
  <c r="F101" i="9"/>
  <c r="G51" i="44"/>
  <c r="E101" i="9"/>
  <c r="F51" i="44"/>
  <c r="F33" i="21"/>
  <c r="G18" i="44" s="1"/>
  <c r="G17" i="44"/>
  <c r="E63" i="21"/>
  <c r="E59" i="21" s="1"/>
  <c r="F9" i="44"/>
  <c r="D32" i="18"/>
  <c r="D68" i="18" s="1"/>
  <c r="D97" i="18"/>
  <c r="D32" i="17"/>
  <c r="D67" i="17" s="1"/>
  <c r="D97" i="17"/>
  <c r="C32" i="17"/>
  <c r="C97" i="17"/>
  <c r="C32" i="18"/>
  <c r="C97" i="18"/>
  <c r="F63" i="21"/>
  <c r="L18" i="40"/>
  <c r="L64" i="40"/>
  <c r="L59" i="40" s="1"/>
  <c r="K18" i="40"/>
  <c r="K64" i="40"/>
  <c r="M18" i="40"/>
  <c r="M64" i="40"/>
  <c r="M59" i="40" s="1"/>
  <c r="U24" i="40"/>
  <c r="U33" i="40" s="1"/>
  <c r="U30" i="40"/>
  <c r="U62" i="40" s="1"/>
  <c r="V23" i="40"/>
  <c r="N18" i="40"/>
  <c r="N64" i="40"/>
  <c r="N59" i="40" s="1"/>
  <c r="R18" i="40"/>
  <c r="R64" i="40"/>
  <c r="R59" i="40" s="1"/>
  <c r="V18" i="40"/>
  <c r="V64" i="40"/>
  <c r="S18" i="40"/>
  <c r="S64" i="40"/>
  <c r="S59" i="40" s="1"/>
  <c r="T18" i="40"/>
  <c r="T64" i="40"/>
  <c r="T59" i="40" s="1"/>
  <c r="J18" i="21"/>
  <c r="J18" i="40"/>
  <c r="U18" i="40"/>
  <c r="U64" i="40"/>
  <c r="D17" i="17"/>
  <c r="D18" i="40"/>
  <c r="P18" i="40"/>
  <c r="P64" i="40"/>
  <c r="P59" i="40" s="1"/>
  <c r="O18" i="40"/>
  <c r="O64" i="40"/>
  <c r="O59" i="40" s="1"/>
  <c r="Q18" i="40"/>
  <c r="Q64" i="40"/>
  <c r="Q59" i="40" s="1"/>
  <c r="W18" i="40"/>
  <c r="W64" i="40"/>
  <c r="C17" i="19"/>
  <c r="C18" i="40"/>
  <c r="H63" i="9"/>
  <c r="H58" i="9" s="1"/>
  <c r="K63" i="17"/>
  <c r="K64" i="21"/>
  <c r="M64" i="21"/>
  <c r="M63" i="17"/>
  <c r="N63" i="17"/>
  <c r="N64" i="21"/>
  <c r="R63" i="17"/>
  <c r="R64" i="21"/>
  <c r="L64" i="21"/>
  <c r="L63" i="17"/>
  <c r="V63" i="17"/>
  <c r="V64" i="21"/>
  <c r="S18" i="21"/>
  <c r="S63" i="17"/>
  <c r="S64" i="21"/>
  <c r="T63" i="17"/>
  <c r="T64" i="21"/>
  <c r="U63" i="17"/>
  <c r="U64" i="21"/>
  <c r="P64" i="21"/>
  <c r="P63" i="17"/>
  <c r="O63" i="17"/>
  <c r="O64" i="21"/>
  <c r="Q63" i="17"/>
  <c r="Q64" i="21"/>
  <c r="W17" i="17"/>
  <c r="W64" i="21"/>
  <c r="W63" i="17"/>
  <c r="T17" i="18"/>
  <c r="U17" i="9"/>
  <c r="G63" i="9"/>
  <c r="G58" i="9" s="1"/>
  <c r="U17" i="19"/>
  <c r="C18" i="21"/>
  <c r="C17" i="9"/>
  <c r="C17" i="17"/>
  <c r="T63" i="18"/>
  <c r="W17" i="9"/>
  <c r="T17" i="17"/>
  <c r="T17" i="9"/>
  <c r="T17" i="19"/>
  <c r="S63" i="9"/>
  <c r="S58" i="9" s="1"/>
  <c r="S17" i="18"/>
  <c r="T18" i="21"/>
  <c r="U17" i="18"/>
  <c r="J17" i="19"/>
  <c r="S17" i="9"/>
  <c r="J17" i="9"/>
  <c r="D17" i="19"/>
  <c r="J17" i="17"/>
  <c r="D17" i="9"/>
  <c r="J17" i="18"/>
  <c r="D18" i="21"/>
  <c r="D17" i="18"/>
  <c r="S17" i="17"/>
  <c r="U17" i="17"/>
  <c r="U18" i="21"/>
  <c r="S63" i="18"/>
  <c r="T64" i="19"/>
  <c r="S64" i="19"/>
  <c r="S17" i="19"/>
  <c r="W17" i="18"/>
  <c r="W64" i="19"/>
  <c r="W18" i="21"/>
  <c r="W63" i="18"/>
  <c r="W17" i="19"/>
  <c r="W63" i="9"/>
  <c r="W58" i="9" s="1"/>
  <c r="U63" i="18"/>
  <c r="U64" i="19"/>
  <c r="T63" i="9"/>
  <c r="T58" i="9" s="1"/>
  <c r="D33" i="19"/>
  <c r="D69" i="19" s="1"/>
  <c r="E32" i="9"/>
  <c r="F52" i="44" s="1"/>
  <c r="O63" i="9"/>
  <c r="O58" i="9" s="1"/>
  <c r="F17" i="19"/>
  <c r="F17" i="17"/>
  <c r="F17" i="9"/>
  <c r="F17" i="18"/>
  <c r="F18" i="21"/>
  <c r="F33" i="19"/>
  <c r="L17" i="18"/>
  <c r="L18" i="21"/>
  <c r="L17" i="9"/>
  <c r="L63" i="18"/>
  <c r="L64" i="19"/>
  <c r="L17" i="19"/>
  <c r="L17" i="17"/>
  <c r="L63" i="9"/>
  <c r="L58" i="9" s="1"/>
  <c r="V42" i="21"/>
  <c r="V42" i="19"/>
  <c r="V41" i="18"/>
  <c r="V41" i="17"/>
  <c r="V32" i="9"/>
  <c r="W52" i="44" s="1"/>
  <c r="O41" i="18"/>
  <c r="O42" i="19"/>
  <c r="O32" i="9"/>
  <c r="P52" i="44" s="1"/>
  <c r="O41" i="17"/>
  <c r="D33" i="21"/>
  <c r="D69" i="21" s="1"/>
  <c r="F32" i="18"/>
  <c r="C84" i="19"/>
  <c r="D70" i="19"/>
  <c r="R41" i="18"/>
  <c r="R42" i="21"/>
  <c r="R41" i="17"/>
  <c r="R42" i="19"/>
  <c r="R32" i="9"/>
  <c r="S52" i="44" s="1"/>
  <c r="W42" i="21"/>
  <c r="W32" i="9"/>
  <c r="X52" i="44" s="1"/>
  <c r="W41" i="17"/>
  <c r="W41" i="18"/>
  <c r="W42" i="19"/>
  <c r="D69" i="17"/>
  <c r="C83" i="17"/>
  <c r="V63" i="18"/>
  <c r="V18" i="21"/>
  <c r="V17" i="9"/>
  <c r="V17" i="19"/>
  <c r="V64" i="19"/>
  <c r="V17" i="17"/>
  <c r="V17" i="18"/>
  <c r="V63" i="9"/>
  <c r="V58" i="9" s="1"/>
  <c r="C33" i="21"/>
  <c r="F32" i="9"/>
  <c r="G52" i="44" s="1"/>
  <c r="C100" i="21"/>
  <c r="D70" i="21"/>
  <c r="S41" i="17"/>
  <c r="S42" i="21"/>
  <c r="S42" i="19"/>
  <c r="S32" i="9"/>
  <c r="T52" i="44" s="1"/>
  <c r="S41" i="18"/>
  <c r="C33" i="19"/>
  <c r="P18" i="21"/>
  <c r="P63" i="9"/>
  <c r="P58" i="9" s="1"/>
  <c r="P63" i="18"/>
  <c r="P17" i="19"/>
  <c r="P17" i="18"/>
  <c r="P17" i="17"/>
  <c r="P17" i="9"/>
  <c r="P64" i="19"/>
  <c r="I17" i="19"/>
  <c r="I17" i="17"/>
  <c r="I18" i="21"/>
  <c r="I17" i="9"/>
  <c r="I17" i="18"/>
  <c r="I63" i="9"/>
  <c r="I58" i="9" s="1"/>
  <c r="C83" i="18"/>
  <c r="D69" i="18"/>
  <c r="U42" i="21"/>
  <c r="U41" i="17"/>
  <c r="U41" i="18"/>
  <c r="U42" i="19"/>
  <c r="U32" i="9"/>
  <c r="V52" i="44" s="1"/>
  <c r="M63" i="18"/>
  <c r="M17" i="9"/>
  <c r="M17" i="18"/>
  <c r="M17" i="19"/>
  <c r="M17" i="17"/>
  <c r="M64" i="19"/>
  <c r="M63" i="9"/>
  <c r="M58" i="9" s="1"/>
  <c r="M18" i="21"/>
  <c r="J63" i="9"/>
  <c r="J58" i="9" s="1"/>
  <c r="C32" i="9"/>
  <c r="E33" i="19"/>
  <c r="C87" i="9"/>
  <c r="D69" i="9"/>
  <c r="R63" i="18"/>
  <c r="R18" i="21"/>
  <c r="R17" i="19"/>
  <c r="R17" i="9"/>
  <c r="R63" i="9"/>
  <c r="R58" i="9" s="1"/>
  <c r="R64" i="19"/>
  <c r="R17" i="18"/>
  <c r="R17" i="17"/>
  <c r="Q41" i="17"/>
  <c r="Q32" i="9"/>
  <c r="R52" i="44" s="1"/>
  <c r="Q42" i="19"/>
  <c r="Q41" i="18"/>
  <c r="Q42" i="21"/>
  <c r="N17" i="19"/>
  <c r="N63" i="9"/>
  <c r="N58" i="9" s="1"/>
  <c r="N17" i="18"/>
  <c r="N17" i="9"/>
  <c r="N18" i="21"/>
  <c r="N17" i="17"/>
  <c r="N64" i="19"/>
  <c r="N63" i="18"/>
  <c r="U63" i="9"/>
  <c r="U58" i="9" s="1"/>
  <c r="Q63" i="9"/>
  <c r="Q58" i="9" s="1"/>
  <c r="Q17" i="18"/>
  <c r="Q17" i="9"/>
  <c r="Q18" i="21"/>
  <c r="Q64" i="19"/>
  <c r="Q63" i="18"/>
  <c r="Q17" i="17"/>
  <c r="Q17" i="19"/>
  <c r="D32" i="9"/>
  <c r="D68" i="9" s="1"/>
  <c r="O17" i="17"/>
  <c r="O17" i="9"/>
  <c r="O18" i="21"/>
  <c r="O17" i="19"/>
  <c r="O17" i="18"/>
  <c r="O63" i="18"/>
  <c r="O64" i="19"/>
  <c r="E33" i="21"/>
  <c r="F18" i="44" s="1"/>
  <c r="H17" i="9"/>
  <c r="H17" i="17"/>
  <c r="H17" i="18"/>
  <c r="H17" i="19"/>
  <c r="H18" i="21"/>
  <c r="G17" i="9"/>
  <c r="G17" i="19"/>
  <c r="G17" i="18"/>
  <c r="G17" i="17"/>
  <c r="G18" i="21"/>
  <c r="P42" i="19"/>
  <c r="P42" i="21"/>
  <c r="P41" i="17"/>
  <c r="P32" i="9"/>
  <c r="Q52" i="44" s="1"/>
  <c r="P41" i="18"/>
  <c r="K17" i="18"/>
  <c r="K17" i="17"/>
  <c r="K63" i="18"/>
  <c r="K63" i="9"/>
  <c r="K58" i="9" s="1"/>
  <c r="K17" i="19"/>
  <c r="K17" i="9"/>
  <c r="K64" i="19"/>
  <c r="K18" i="21"/>
  <c r="E18" i="21"/>
  <c r="E17" i="18"/>
  <c r="E17" i="19"/>
  <c r="E17" i="17"/>
  <c r="E17" i="9"/>
  <c r="T41" i="17"/>
  <c r="T41" i="18"/>
  <c r="T32" i="9"/>
  <c r="U52" i="44" s="1"/>
  <c r="T42" i="21"/>
  <c r="T42" i="19"/>
  <c r="D67" i="18" l="1"/>
  <c r="X17" i="44"/>
  <c r="Q17" i="44"/>
  <c r="R17" i="44"/>
  <c r="V17" i="44"/>
  <c r="S17" i="44"/>
  <c r="W17" i="44"/>
  <c r="U17" i="44"/>
  <c r="T17" i="44"/>
  <c r="J2" i="43" a="1"/>
  <c r="J2" i="43" s="1"/>
  <c r="K59" i="40"/>
  <c r="D68" i="17"/>
  <c r="U59" i="40"/>
  <c r="W23" i="40"/>
  <c r="V24" i="40"/>
  <c r="V33" i="40" s="1"/>
  <c r="V30" i="40"/>
  <c r="V62" i="40" s="1"/>
  <c r="V59" i="40" s="1"/>
  <c r="D68" i="19"/>
  <c r="D68" i="21"/>
  <c r="D67" i="9"/>
  <c r="D66" i="9" s="1"/>
  <c r="L41" i="18"/>
  <c r="L42" i="19"/>
  <c r="L41" i="17"/>
  <c r="L32" i="9"/>
  <c r="M52" i="44" s="1"/>
  <c r="L42" i="21"/>
  <c r="Q37" i="17"/>
  <c r="Q38" i="19"/>
  <c r="Q38" i="21"/>
  <c r="R12" i="44" s="1"/>
  <c r="Q37" i="18"/>
  <c r="R36" i="17"/>
  <c r="R36" i="18"/>
  <c r="R37" i="19"/>
  <c r="R37" i="21"/>
  <c r="S11" i="44" s="1"/>
  <c r="K42" i="21"/>
  <c r="K41" i="17"/>
  <c r="K41" i="18"/>
  <c r="K32" i="9"/>
  <c r="L52" i="44" s="1"/>
  <c r="K42" i="19"/>
  <c r="O37" i="17"/>
  <c r="U37" i="21"/>
  <c r="V11" i="44" s="1"/>
  <c r="U36" i="17"/>
  <c r="U36" i="18"/>
  <c r="U37" i="19"/>
  <c r="J42" i="21"/>
  <c r="J41" i="18"/>
  <c r="J32" i="9"/>
  <c r="K52" i="44" s="1"/>
  <c r="J42" i="19"/>
  <c r="J41" i="17"/>
  <c r="W38" i="21"/>
  <c r="X12" i="44" s="1"/>
  <c r="W38" i="19"/>
  <c r="W37" i="17"/>
  <c r="W37" i="18"/>
  <c r="S36" i="17"/>
  <c r="S37" i="21"/>
  <c r="T11" i="44" s="1"/>
  <c r="S37" i="19"/>
  <c r="S36" i="18"/>
  <c r="V37" i="17"/>
  <c r="V38" i="19"/>
  <c r="V38" i="21"/>
  <c r="W12" i="44" s="1"/>
  <c r="V37" i="18"/>
  <c r="U38" i="19"/>
  <c r="U37" i="18"/>
  <c r="U38" i="21"/>
  <c r="V12" i="44" s="1"/>
  <c r="U37" i="17"/>
  <c r="V37" i="21"/>
  <c r="W11" i="44" s="1"/>
  <c r="V37" i="19"/>
  <c r="V36" i="18"/>
  <c r="V36" i="17"/>
  <c r="M41" i="17"/>
  <c r="M42" i="21"/>
  <c r="M41" i="18"/>
  <c r="M32" i="9"/>
  <c r="N52" i="44" s="1"/>
  <c r="M42" i="19"/>
  <c r="T37" i="17"/>
  <c r="T38" i="21"/>
  <c r="U12" i="44" s="1"/>
  <c r="T38" i="19"/>
  <c r="T37" i="18"/>
  <c r="R37" i="18"/>
  <c r="R38" i="19"/>
  <c r="R38" i="21"/>
  <c r="S12" i="44" s="1"/>
  <c r="R37" i="17"/>
  <c r="T36" i="18"/>
  <c r="T37" i="19"/>
  <c r="T36" i="17"/>
  <c r="T37" i="21"/>
  <c r="U11" i="44" s="1"/>
  <c r="C14" i="22"/>
  <c r="C15" i="22"/>
  <c r="C18" i="22"/>
  <c r="C17" i="22"/>
  <c r="C16" i="22"/>
  <c r="I32" i="9"/>
  <c r="J52" i="44" s="1"/>
  <c r="I42" i="19"/>
  <c r="I41" i="18"/>
  <c r="I42" i="21"/>
  <c r="I41" i="17"/>
  <c r="S37" i="17"/>
  <c r="S38" i="19"/>
  <c r="S37" i="18"/>
  <c r="S38" i="21"/>
  <c r="T12" i="44" s="1"/>
  <c r="Q36" i="17"/>
  <c r="Q36" i="18"/>
  <c r="Q37" i="19"/>
  <c r="P37" i="19"/>
  <c r="H41" i="18"/>
  <c r="H42" i="19"/>
  <c r="P38" i="21"/>
  <c r="Q12" i="44" s="1"/>
  <c r="P37" i="18"/>
  <c r="P38" i="19"/>
  <c r="P37" i="17"/>
  <c r="W37" i="19"/>
  <c r="W37" i="21"/>
  <c r="X11" i="44" s="1"/>
  <c r="W36" i="18"/>
  <c r="W36" i="17"/>
  <c r="D71" i="40" l="1"/>
  <c r="D67" i="40" s="1"/>
  <c r="D58" i="40" s="1"/>
  <c r="D57" i="40" s="1"/>
  <c r="D70" i="17"/>
  <c r="D66" i="17" s="1"/>
  <c r="D57" i="17" s="1"/>
  <c r="D56" i="17" s="1"/>
  <c r="D83" i="17" s="1"/>
  <c r="D71" i="21"/>
  <c r="D67" i="21" s="1"/>
  <c r="D58" i="21" s="1"/>
  <c r="D57" i="21" s="1"/>
  <c r="D70" i="18"/>
  <c r="D66" i="18" s="1"/>
  <c r="D57" i="18" s="1"/>
  <c r="D56" i="18" s="1"/>
  <c r="D83" i="18" s="1"/>
  <c r="D85" i="18" s="1"/>
  <c r="D71" i="19"/>
  <c r="D67" i="19" s="1"/>
  <c r="X24" i="44"/>
  <c r="W31" i="44"/>
  <c r="X32" i="44"/>
  <c r="V25" i="44"/>
  <c r="V32" i="44"/>
  <c r="W32" i="44"/>
  <c r="W25" i="44"/>
  <c r="V31" i="44"/>
  <c r="X31" i="44"/>
  <c r="V24" i="44"/>
  <c r="W24" i="44"/>
  <c r="X25" i="44"/>
  <c r="J17" i="44"/>
  <c r="K17" i="44"/>
  <c r="U31" i="44"/>
  <c r="T32" i="44"/>
  <c r="T25" i="44"/>
  <c r="S25" i="44"/>
  <c r="S32" i="44"/>
  <c r="S24" i="44"/>
  <c r="U32" i="44"/>
  <c r="S31" i="44"/>
  <c r="Q25" i="44"/>
  <c r="U25" i="44"/>
  <c r="Q31" i="44"/>
  <c r="R31" i="44"/>
  <c r="R32" i="44"/>
  <c r="Q32" i="44"/>
  <c r="T31" i="44"/>
  <c r="R25" i="44"/>
  <c r="R24" i="44"/>
  <c r="U24" i="44"/>
  <c r="T24" i="44"/>
  <c r="L17" i="44"/>
  <c r="N17" i="44"/>
  <c r="M17" i="44"/>
  <c r="P25" i="44"/>
  <c r="H37" i="17"/>
  <c r="W30" i="40"/>
  <c r="W62" i="40" s="1"/>
  <c r="E2" i="43" s="1" a="1"/>
  <c r="E2" i="43" s="1"/>
  <c r="W24" i="40"/>
  <c r="D77" i="21"/>
  <c r="D78" i="21"/>
  <c r="D76" i="9"/>
  <c r="D77" i="9"/>
  <c r="D86" i="18" l="1"/>
  <c r="D84" i="18"/>
  <c r="D87" i="18"/>
  <c r="D88" i="18"/>
  <c r="E69" i="18"/>
  <c r="E67" i="18"/>
  <c r="E68" i="18"/>
  <c r="D11" i="22"/>
  <c r="D15" i="22" s="1"/>
  <c r="E68" i="40"/>
  <c r="E69" i="40"/>
  <c r="D92" i="40"/>
  <c r="E70" i="40"/>
  <c r="F2" i="43" a="1"/>
  <c r="F2" i="43" s="1"/>
  <c r="I25" i="44"/>
  <c r="W33" i="40"/>
  <c r="W59" i="40"/>
  <c r="I37" i="17"/>
  <c r="D57" i="9"/>
  <c r="D56" i="9" s="1"/>
  <c r="D85" i="17"/>
  <c r="D88" i="17"/>
  <c r="D87" i="17"/>
  <c r="D84" i="17"/>
  <c r="D86" i="17"/>
  <c r="D58" i="19"/>
  <c r="D57" i="19" s="1"/>
  <c r="E68" i="21"/>
  <c r="E69" i="21"/>
  <c r="E70" i="21"/>
  <c r="D100" i="21"/>
  <c r="E67" i="17"/>
  <c r="E68" i="17"/>
  <c r="E69" i="17"/>
  <c r="E93" i="18" l="1"/>
  <c r="E94" i="18" s="1"/>
  <c r="E92" i="18" s="1"/>
  <c r="E97" i="18" s="1"/>
  <c r="D95" i="40"/>
  <c r="D93" i="40"/>
  <c r="D87" i="40"/>
  <c r="D88" i="40" s="1"/>
  <c r="D94" i="40"/>
  <c r="D96" i="40"/>
  <c r="D97" i="40"/>
  <c r="E77" i="40"/>
  <c r="E78" i="40"/>
  <c r="J25" i="44"/>
  <c r="F10" i="44"/>
  <c r="E93" i="17"/>
  <c r="E94" i="17" s="1"/>
  <c r="E92" i="17" s="1"/>
  <c r="E97" i="17" s="1"/>
  <c r="D95" i="21"/>
  <c r="D96" i="21" s="1"/>
  <c r="J37" i="17"/>
  <c r="D87" i="9"/>
  <c r="E68" i="9"/>
  <c r="E67" i="9"/>
  <c r="E69" i="9"/>
  <c r="D17" i="22"/>
  <c r="D16" i="22"/>
  <c r="D14" i="22"/>
  <c r="D18" i="22"/>
  <c r="D102" i="21"/>
  <c r="D105" i="21"/>
  <c r="D104" i="21"/>
  <c r="D101" i="21"/>
  <c r="D103" i="21"/>
  <c r="E77" i="21"/>
  <c r="E78" i="21"/>
  <c r="E68" i="19"/>
  <c r="D84" i="19"/>
  <c r="E70" i="19"/>
  <c r="E69" i="19"/>
  <c r="F6" i="44" l="1"/>
  <c r="E102" i="40"/>
  <c r="E103" i="40" s="1"/>
  <c r="F45" i="44"/>
  <c r="K25" i="44"/>
  <c r="E110" i="21"/>
  <c r="E111" i="21" s="1"/>
  <c r="E76" i="9"/>
  <c r="E77" i="9"/>
  <c r="D88" i="9"/>
  <c r="D89" i="9"/>
  <c r="D90" i="9"/>
  <c r="D92" i="9"/>
  <c r="D91" i="9"/>
  <c r="D83" i="9"/>
  <c r="D84" i="9" s="1"/>
  <c r="D87" i="19"/>
  <c r="D89" i="19"/>
  <c r="D85" i="19"/>
  <c r="D86" i="19"/>
  <c r="D88" i="19"/>
  <c r="E66" i="9" l="1"/>
  <c r="E57" i="9" s="1"/>
  <c r="E56" i="9" s="1"/>
  <c r="E71" i="21"/>
  <c r="E67" i="21" s="1"/>
  <c r="E58" i="21" s="1"/>
  <c r="E57" i="21" s="1"/>
  <c r="E71" i="19"/>
  <c r="E67" i="19" s="1"/>
  <c r="E58" i="19" s="1"/>
  <c r="E57" i="19" s="1"/>
  <c r="F69" i="19" s="1"/>
  <c r="E70" i="18"/>
  <c r="E66" i="18" s="1"/>
  <c r="E57" i="18" s="1"/>
  <c r="E56" i="18" s="1"/>
  <c r="E70" i="17"/>
  <c r="E66" i="17" s="1"/>
  <c r="E57" i="17" s="1"/>
  <c r="E56" i="17" s="1"/>
  <c r="E71" i="40"/>
  <c r="E67" i="40" s="1"/>
  <c r="E58" i="40" s="1"/>
  <c r="E57" i="40" s="1"/>
  <c r="F42" i="44"/>
  <c r="E94" i="19"/>
  <c r="E95" i="19" s="1"/>
  <c r="E93" i="19" s="1"/>
  <c r="E98" i="19" s="1"/>
  <c r="D94" i="9"/>
  <c r="E97" i="9"/>
  <c r="F41" i="44" l="1"/>
  <c r="E87" i="9"/>
  <c r="F30" i="44"/>
  <c r="F70" i="19"/>
  <c r="F68" i="19"/>
  <c r="E84" i="19"/>
  <c r="E80" i="19" s="1"/>
  <c r="F67" i="9"/>
  <c r="F76" i="9" s="1"/>
  <c r="F68" i="9"/>
  <c r="F69" i="9"/>
  <c r="F68" i="40"/>
  <c r="E11" i="22"/>
  <c r="F69" i="40"/>
  <c r="F70" i="40"/>
  <c r="E92" i="40"/>
  <c r="F67" i="17"/>
  <c r="F69" i="17"/>
  <c r="E83" i="17"/>
  <c r="F23" i="44"/>
  <c r="F68" i="17"/>
  <c r="F69" i="18"/>
  <c r="F67" i="18"/>
  <c r="F27" i="44"/>
  <c r="F68" i="18"/>
  <c r="E83" i="18"/>
  <c r="F5" i="44"/>
  <c r="F68" i="21"/>
  <c r="F69" i="21"/>
  <c r="F70" i="21"/>
  <c r="F90" i="21"/>
  <c r="E100" i="21"/>
  <c r="G45" i="44"/>
  <c r="D91" i="19"/>
  <c r="D99" i="40"/>
  <c r="D107" i="21"/>
  <c r="D90" i="17"/>
  <c r="D90" i="18"/>
  <c r="D93" i="9"/>
  <c r="D89" i="18" s="1"/>
  <c r="E83" i="9" l="1"/>
  <c r="E92" i="9" s="1"/>
  <c r="F70" i="17"/>
  <c r="F66" i="17" s="1"/>
  <c r="F57" i="17" s="1"/>
  <c r="F56" i="17" s="1"/>
  <c r="F77" i="9"/>
  <c r="E79" i="17"/>
  <c r="E87" i="17" s="1"/>
  <c r="E87" i="40"/>
  <c r="E97" i="40" s="1"/>
  <c r="E95" i="21"/>
  <c r="E104" i="21" s="1"/>
  <c r="E79" i="18"/>
  <c r="E88" i="18" s="1"/>
  <c r="G10" i="44"/>
  <c r="E15" i="22"/>
  <c r="E16" i="22"/>
  <c r="E14" i="22"/>
  <c r="E17" i="22"/>
  <c r="E18" i="22"/>
  <c r="F77" i="40"/>
  <c r="F78" i="40"/>
  <c r="G42" i="44"/>
  <c r="E91" i="9"/>
  <c r="D98" i="40"/>
  <c r="D89" i="17"/>
  <c r="D90" i="19"/>
  <c r="E81" i="19" s="1"/>
  <c r="E87" i="19" s="1"/>
  <c r="D106" i="21"/>
  <c r="E89" i="19"/>
  <c r="E88" i="19"/>
  <c r="E84" i="9" l="1"/>
  <c r="E89" i="9" s="1"/>
  <c r="F71" i="40"/>
  <c r="F67" i="40" s="1"/>
  <c r="F58" i="40" s="1"/>
  <c r="F57" i="40" s="1"/>
  <c r="G70" i="40" s="1"/>
  <c r="F71" i="21"/>
  <c r="F67" i="21" s="1"/>
  <c r="F71" i="19"/>
  <c r="F67" i="19" s="1"/>
  <c r="F58" i="19" s="1"/>
  <c r="F57" i="19" s="1"/>
  <c r="G30" i="44" s="1"/>
  <c r="F70" i="18"/>
  <c r="F66" i="18" s="1"/>
  <c r="F57" i="18" s="1"/>
  <c r="F56" i="18" s="1"/>
  <c r="G69" i="18" s="1"/>
  <c r="F66" i="9"/>
  <c r="F57" i="9" s="1"/>
  <c r="F56" i="9" s="1"/>
  <c r="E80" i="17"/>
  <c r="E85" i="17" s="1"/>
  <c r="E88" i="40"/>
  <c r="E94" i="40" s="1"/>
  <c r="G70" i="19"/>
  <c r="E80" i="18"/>
  <c r="E85" i="18" s="1"/>
  <c r="E88" i="17"/>
  <c r="E87" i="18"/>
  <c r="E96" i="40"/>
  <c r="E105" i="21"/>
  <c r="G69" i="40"/>
  <c r="F11" i="22"/>
  <c r="F92" i="40"/>
  <c r="G68" i="40"/>
  <c r="G23" i="44"/>
  <c r="G69" i="17"/>
  <c r="F83" i="17"/>
  <c r="E96" i="21"/>
  <c r="E103" i="21" s="1"/>
  <c r="E90" i="9"/>
  <c r="E88" i="9" s="1"/>
  <c r="E93" i="9" s="1"/>
  <c r="G41" i="44"/>
  <c r="E95" i="40"/>
  <c r="E86" i="19"/>
  <c r="E85" i="19" s="1"/>
  <c r="E91" i="19" s="1"/>
  <c r="F109" i="21"/>
  <c r="E86" i="18" l="1"/>
  <c r="G27" i="44"/>
  <c r="F83" i="18"/>
  <c r="F79" i="18" s="1"/>
  <c r="F88" i="18" s="1"/>
  <c r="G67" i="9"/>
  <c r="G71" i="40" s="1"/>
  <c r="G67" i="40" s="1"/>
  <c r="G58" i="40" s="1"/>
  <c r="G57" i="40" s="1"/>
  <c r="G69" i="9"/>
  <c r="G68" i="9"/>
  <c r="F87" i="9"/>
  <c r="F84" i="19"/>
  <c r="F80" i="19" s="1"/>
  <c r="F89" i="19" s="1"/>
  <c r="E86" i="17"/>
  <c r="E84" i="17" s="1"/>
  <c r="F93" i="17" s="1"/>
  <c r="F94" i="17" s="1"/>
  <c r="F92" i="17" s="1"/>
  <c r="F97" i="17" s="1"/>
  <c r="E102" i="21"/>
  <c r="E101" i="21" s="1"/>
  <c r="F61" i="44"/>
  <c r="F113" i="21"/>
  <c r="G78" i="40"/>
  <c r="G77" i="40"/>
  <c r="F87" i="40"/>
  <c r="F96" i="40" s="1"/>
  <c r="F79" i="17"/>
  <c r="F87" i="17" s="1"/>
  <c r="E93" i="40"/>
  <c r="E99" i="40" s="1"/>
  <c r="F94" i="19"/>
  <c r="F95" i="19" s="1"/>
  <c r="F93" i="19" s="1"/>
  <c r="F98" i="19" s="1"/>
  <c r="F97" i="9"/>
  <c r="E94" i="9"/>
  <c r="E84" i="18"/>
  <c r="E90" i="18" s="1"/>
  <c r="E90" i="19"/>
  <c r="G77" i="9" l="1"/>
  <c r="H45" i="44"/>
  <c r="F81" i="19"/>
  <c r="F87" i="19" s="1"/>
  <c r="G76" i="9"/>
  <c r="H42" i="44" s="1"/>
  <c r="G70" i="17"/>
  <c r="G71" i="21"/>
  <c r="G70" i="18"/>
  <c r="G71" i="19"/>
  <c r="G66" i="9"/>
  <c r="G57" i="9" s="1"/>
  <c r="G56" i="9" s="1"/>
  <c r="F88" i="19"/>
  <c r="F110" i="21"/>
  <c r="F111" i="21" s="1"/>
  <c r="F58" i="44"/>
  <c r="F60" i="44"/>
  <c r="F59" i="44"/>
  <c r="F87" i="18"/>
  <c r="F88" i="17"/>
  <c r="E89" i="17"/>
  <c r="H70" i="40"/>
  <c r="H69" i="40"/>
  <c r="G92" i="40"/>
  <c r="G11" i="22"/>
  <c r="F97" i="40"/>
  <c r="E90" i="17"/>
  <c r="E98" i="40"/>
  <c r="F88" i="40" s="1"/>
  <c r="F95" i="40" s="1"/>
  <c r="F102" i="40"/>
  <c r="F103" i="40" s="1"/>
  <c r="F93" i="18"/>
  <c r="F94" i="18" s="1"/>
  <c r="F92" i="18" s="1"/>
  <c r="F97" i="18" s="1"/>
  <c r="E89" i="18"/>
  <c r="F80" i="18" s="1"/>
  <c r="F86" i="18" s="1"/>
  <c r="E106" i="21"/>
  <c r="F62" i="44" s="1"/>
  <c r="E107" i="21"/>
  <c r="F86" i="19"/>
  <c r="F85" i="19" s="1"/>
  <c r="F83" i="9"/>
  <c r="F91" i="19" l="1"/>
  <c r="F80" i="17"/>
  <c r="F85" i="17" s="1"/>
  <c r="F94" i="40"/>
  <c r="F93" i="40" s="1"/>
  <c r="G87" i="40"/>
  <c r="G97" i="40" s="1"/>
  <c r="G87" i="9"/>
  <c r="H41" i="44"/>
  <c r="G94" i="19"/>
  <c r="G95" i="19" s="1"/>
  <c r="G93" i="19" s="1"/>
  <c r="H69" i="9"/>
  <c r="F85" i="18"/>
  <c r="F84" i="18" s="1"/>
  <c r="F90" i="18" s="1"/>
  <c r="H68" i="9"/>
  <c r="F86" i="17"/>
  <c r="F91" i="9"/>
  <c r="F90" i="19"/>
  <c r="F84" i="9"/>
  <c r="F89" i="9" s="1"/>
  <c r="F92" i="9"/>
  <c r="F99" i="40" l="1"/>
  <c r="F98" i="40"/>
  <c r="G102" i="40"/>
  <c r="G103" i="40" s="1"/>
  <c r="G96" i="40"/>
  <c r="F84" i="17"/>
  <c r="G93" i="17" s="1"/>
  <c r="G94" i="17" s="1"/>
  <c r="G92" i="17" s="1"/>
  <c r="G93" i="18"/>
  <c r="G94" i="18" s="1"/>
  <c r="G92" i="18" s="1"/>
  <c r="F89" i="18"/>
  <c r="F90" i="9"/>
  <c r="F88" i="9" s="1"/>
  <c r="G88" i="40" l="1"/>
  <c r="F90" i="17"/>
  <c r="F89" i="17"/>
  <c r="F94" i="9"/>
  <c r="G109" i="21"/>
  <c r="G94" i="40" l="1"/>
  <c r="G95" i="40"/>
  <c r="F93" i="9"/>
  <c r="G97" i="9"/>
  <c r="G83" i="9"/>
  <c r="G91" i="9" s="1"/>
  <c r="G93" i="40" l="1"/>
  <c r="G92" i="9"/>
  <c r="G84" i="9"/>
  <c r="G90" i="9" s="1"/>
  <c r="E109" i="21"/>
  <c r="E113" i="21" s="1"/>
  <c r="H102" i="40" l="1"/>
  <c r="H103" i="40" s="1"/>
  <c r="H101" i="40" s="1"/>
  <c r="G98" i="40"/>
  <c r="G99" i="40"/>
  <c r="G89" i="9"/>
  <c r="H36" i="40" l="1"/>
  <c r="H68" i="40" s="1"/>
  <c r="H67" i="40" s="1"/>
  <c r="H58" i="40" s="1"/>
  <c r="H57" i="40" s="1"/>
  <c r="H11" i="22" s="1"/>
  <c r="H106" i="40"/>
  <c r="H92" i="40" s="1"/>
  <c r="G88" i="9"/>
  <c r="F78" i="21"/>
  <c r="F59" i="21"/>
  <c r="F77" i="21" s="1"/>
  <c r="G12" i="21" l="1"/>
  <c r="G79" i="21" s="1"/>
  <c r="G87" i="21"/>
  <c r="H77" i="40"/>
  <c r="H78" i="40"/>
  <c r="I70" i="40"/>
  <c r="I69" i="40"/>
  <c r="H87" i="40"/>
  <c r="H88" i="40" s="1"/>
  <c r="H94" i="40" s="1"/>
  <c r="F88" i="21"/>
  <c r="G6" i="44"/>
  <c r="G93" i="9"/>
  <c r="G94" i="9"/>
  <c r="H97" i="9"/>
  <c r="H98" i="9" s="1"/>
  <c r="F58" i="21"/>
  <c r="F57" i="21" s="1"/>
  <c r="H96" i="40" l="1"/>
  <c r="H95" i="40"/>
  <c r="H93" i="40" s="1"/>
  <c r="H97" i="40"/>
  <c r="G5" i="44"/>
  <c r="H7" i="44"/>
  <c r="G50" i="21"/>
  <c r="G13" i="21"/>
  <c r="G90" i="21"/>
  <c r="G91" i="21" s="1"/>
  <c r="G19" i="20"/>
  <c r="F15" i="22"/>
  <c r="F86" i="21"/>
  <c r="F100" i="21"/>
  <c r="F85" i="21"/>
  <c r="G70" i="21"/>
  <c r="F84" i="21"/>
  <c r="H98" i="40" l="1"/>
  <c r="H99" i="40"/>
  <c r="I102" i="40"/>
  <c r="I103" i="40" s="1"/>
  <c r="I101" i="40" s="1"/>
  <c r="F14" i="22"/>
  <c r="F17" i="22"/>
  <c r="F18" i="22"/>
  <c r="F16" i="22"/>
  <c r="F95" i="21"/>
  <c r="F96" i="21" s="1"/>
  <c r="G60" i="21"/>
  <c r="G52" i="21"/>
  <c r="G20" i="20"/>
  <c r="I106" i="40" l="1"/>
  <c r="I92" i="40" s="1"/>
  <c r="I36" i="40"/>
  <c r="I68" i="40" s="1"/>
  <c r="G59" i="18"/>
  <c r="F102" i="21"/>
  <c r="F103" i="21"/>
  <c r="F105" i="21"/>
  <c r="F104" i="21"/>
  <c r="G52" i="19"/>
  <c r="G22" i="19" s="1"/>
  <c r="G60" i="19"/>
  <c r="G51" i="18"/>
  <c r="G59" i="17"/>
  <c r="G51" i="17"/>
  <c r="G22" i="17" s="1"/>
  <c r="G23" i="21"/>
  <c r="G24" i="21" s="1"/>
  <c r="I67" i="40" l="1"/>
  <c r="I58" i="40" s="1"/>
  <c r="I57" i="40" s="1"/>
  <c r="I78" i="40"/>
  <c r="I77" i="40"/>
  <c r="I87" i="40"/>
  <c r="I88" i="40" s="1"/>
  <c r="I94" i="40" s="1"/>
  <c r="G61" i="44"/>
  <c r="H16" i="44"/>
  <c r="G113" i="21"/>
  <c r="G22" i="18"/>
  <c r="G29" i="18" s="1"/>
  <c r="F101" i="21"/>
  <c r="G30" i="21"/>
  <c r="G62" i="21" s="1"/>
  <c r="G23" i="19"/>
  <c r="G30" i="19"/>
  <c r="G33" i="21"/>
  <c r="G23" i="17"/>
  <c r="G97" i="17" s="1"/>
  <c r="G29" i="17"/>
  <c r="G59" i="44" l="1"/>
  <c r="G58" i="44"/>
  <c r="I97" i="40"/>
  <c r="I95" i="40"/>
  <c r="I96" i="40"/>
  <c r="I11" i="22"/>
  <c r="J70" i="40"/>
  <c r="J69" i="40"/>
  <c r="G60" i="44"/>
  <c r="G98" i="19"/>
  <c r="H33" i="44"/>
  <c r="G68" i="21"/>
  <c r="H10" i="44" s="1"/>
  <c r="H18" i="44"/>
  <c r="G59" i="21"/>
  <c r="H8" i="44"/>
  <c r="G110" i="21"/>
  <c r="G111" i="21" s="1"/>
  <c r="G23" i="18"/>
  <c r="G97" i="18" s="1"/>
  <c r="F107" i="21"/>
  <c r="F106" i="21"/>
  <c r="G62" i="44" s="1"/>
  <c r="H51" i="21"/>
  <c r="G69" i="21"/>
  <c r="G61" i="18"/>
  <c r="G58" i="18" s="1"/>
  <c r="H50" i="18"/>
  <c r="G32" i="17"/>
  <c r="G67" i="17" s="1"/>
  <c r="G61" i="17"/>
  <c r="G58" i="17" s="1"/>
  <c r="H50" i="17"/>
  <c r="G62" i="19"/>
  <c r="G59" i="19" s="1"/>
  <c r="H51" i="19"/>
  <c r="G33" i="19"/>
  <c r="G68" i="19" s="1"/>
  <c r="I93" i="40" l="1"/>
  <c r="I98" i="40" s="1"/>
  <c r="G77" i="21"/>
  <c r="G78" i="21"/>
  <c r="G88" i="21" s="1"/>
  <c r="G67" i="21"/>
  <c r="G58" i="21" s="1"/>
  <c r="G57" i="21" s="1"/>
  <c r="G32" i="18"/>
  <c r="G67" i="18" s="1"/>
  <c r="G68" i="17"/>
  <c r="G66" i="17" s="1"/>
  <c r="G57" i="17" s="1"/>
  <c r="G56" i="17" s="1"/>
  <c r="H23" i="44" s="1"/>
  <c r="G69" i="19"/>
  <c r="G67" i="19" s="1"/>
  <c r="G58" i="19" s="1"/>
  <c r="G57" i="19" s="1"/>
  <c r="H30" i="44" s="1"/>
  <c r="H12" i="21" l="1"/>
  <c r="H79" i="21" s="1"/>
  <c r="H87" i="21"/>
  <c r="H6" i="44"/>
  <c r="J102" i="40"/>
  <c r="J103" i="40" s="1"/>
  <c r="J101" i="40" s="1"/>
  <c r="I99" i="40"/>
  <c r="G21" i="20"/>
  <c r="G22" i="20"/>
  <c r="H5" i="44"/>
  <c r="H70" i="21"/>
  <c r="G23" i="20"/>
  <c r="G100" i="21"/>
  <c r="G85" i="21"/>
  <c r="G84" i="21"/>
  <c r="G86" i="21"/>
  <c r="G68" i="18"/>
  <c r="G66" i="18" s="1"/>
  <c r="G57" i="18" s="1"/>
  <c r="G56" i="18" s="1"/>
  <c r="G83" i="17"/>
  <c r="H69" i="17"/>
  <c r="G84" i="19"/>
  <c r="H70" i="19"/>
  <c r="G16" i="22"/>
  <c r="G17" i="22"/>
  <c r="G14" i="22"/>
  <c r="G15" i="22"/>
  <c r="G18" i="22"/>
  <c r="H13" i="21" l="1"/>
  <c r="J36" i="40"/>
  <c r="J68" i="40" s="1"/>
  <c r="J106" i="40"/>
  <c r="J92" i="40" s="1"/>
  <c r="I7" i="44"/>
  <c r="H50" i="21"/>
  <c r="G95" i="21"/>
  <c r="G96" i="21" s="1"/>
  <c r="H60" i="21"/>
  <c r="H52" i="21"/>
  <c r="H19" i="20"/>
  <c r="G83" i="18"/>
  <c r="G79" i="18" s="1"/>
  <c r="G80" i="18" s="1"/>
  <c r="H27" i="44"/>
  <c r="H69" i="18"/>
  <c r="H59" i="18"/>
  <c r="H51" i="18"/>
  <c r="G80" i="19"/>
  <c r="G81" i="19" s="1"/>
  <c r="H51" i="17"/>
  <c r="H59" i="17"/>
  <c r="G79" i="17"/>
  <c r="G80" i="17" s="1"/>
  <c r="H52" i="19"/>
  <c r="H60" i="19"/>
  <c r="J87" i="40" l="1"/>
  <c r="J88" i="40" s="1"/>
  <c r="J95" i="40" s="1"/>
  <c r="J78" i="40"/>
  <c r="J67" i="40"/>
  <c r="J58" i="40" s="1"/>
  <c r="J57" i="40" s="1"/>
  <c r="J77" i="40"/>
  <c r="H23" i="21"/>
  <c r="H24" i="21" s="1"/>
  <c r="H20" i="20"/>
  <c r="G104" i="21"/>
  <c r="G102" i="21"/>
  <c r="G105" i="21"/>
  <c r="G103" i="21"/>
  <c r="G88" i="18"/>
  <c r="G86" i="18"/>
  <c r="G87" i="19"/>
  <c r="G87" i="18"/>
  <c r="G86" i="19"/>
  <c r="G85" i="18"/>
  <c r="G89" i="19"/>
  <c r="G88" i="19"/>
  <c r="G86" i="17"/>
  <c r="G85" i="17"/>
  <c r="G88" i="17"/>
  <c r="G87" i="17"/>
  <c r="H22" i="17"/>
  <c r="H22" i="18"/>
  <c r="H22" i="19"/>
  <c r="J94" i="40" l="1"/>
  <c r="J93" i="40" s="1"/>
  <c r="J97" i="40"/>
  <c r="J96" i="40"/>
  <c r="J11" i="22"/>
  <c r="K70" i="40"/>
  <c r="K69" i="40"/>
  <c r="H30" i="21"/>
  <c r="H62" i="21" s="1"/>
  <c r="H61" i="44"/>
  <c r="G101" i="21"/>
  <c r="G84" i="18"/>
  <c r="G90" i="18" s="1"/>
  <c r="I16" i="44"/>
  <c r="G85" i="19"/>
  <c r="G90" i="19" s="1"/>
  <c r="G84" i="17"/>
  <c r="G90" i="17" s="1"/>
  <c r="H29" i="17"/>
  <c r="H23" i="17"/>
  <c r="H33" i="21"/>
  <c r="I18" i="44" s="1"/>
  <c r="H23" i="19"/>
  <c r="H30" i="19"/>
  <c r="H23" i="18"/>
  <c r="H29" i="18"/>
  <c r="H59" i="44" l="1"/>
  <c r="H58" i="44"/>
  <c r="K102" i="40"/>
  <c r="K103" i="40" s="1"/>
  <c r="K101" i="40" s="1"/>
  <c r="K106" i="40" s="1"/>
  <c r="K92" i="40" s="1"/>
  <c r="I51" i="21"/>
  <c r="J98" i="40"/>
  <c r="J99" i="40"/>
  <c r="H110" i="21"/>
  <c r="H111" i="21" s="1"/>
  <c r="H109" i="21" s="1"/>
  <c r="G107" i="21"/>
  <c r="G106" i="21"/>
  <c r="H62" i="44" s="1"/>
  <c r="H60" i="44"/>
  <c r="I33" i="44"/>
  <c r="H59" i="21"/>
  <c r="I8" i="44"/>
  <c r="G89" i="18"/>
  <c r="H93" i="18"/>
  <c r="H94" i="18" s="1"/>
  <c r="H92" i="18" s="1"/>
  <c r="G89" i="17"/>
  <c r="G91" i="19"/>
  <c r="H69" i="21"/>
  <c r="H32" i="18"/>
  <c r="H32" i="17"/>
  <c r="H61" i="18"/>
  <c r="H58" i="18" s="1"/>
  <c r="I50" i="18"/>
  <c r="H62" i="19"/>
  <c r="H59" i="19" s="1"/>
  <c r="I51" i="19"/>
  <c r="H33" i="19"/>
  <c r="H61" i="17"/>
  <c r="H58" i="17" s="1"/>
  <c r="I50" i="17"/>
  <c r="K36" i="40" l="1"/>
  <c r="K68" i="40" s="1"/>
  <c r="K77" i="40" s="1"/>
  <c r="H36" i="21"/>
  <c r="K87" i="40"/>
  <c r="K88" i="40" s="1"/>
  <c r="K94" i="40" s="1"/>
  <c r="H113" i="21"/>
  <c r="H100" i="21" s="1"/>
  <c r="H35" i="18"/>
  <c r="H67" i="18" s="1"/>
  <c r="H97" i="18"/>
  <c r="H83" i="18" s="1"/>
  <c r="H68" i="18"/>
  <c r="H69" i="19"/>
  <c r="H68" i="17"/>
  <c r="K78" i="40" l="1"/>
  <c r="K67" i="40"/>
  <c r="K58" i="40" s="1"/>
  <c r="K57" i="40" s="1"/>
  <c r="K11" i="22" s="1"/>
  <c r="H68" i="21"/>
  <c r="H77" i="21" s="1"/>
  <c r="I87" i="21" s="1"/>
  <c r="H90" i="21"/>
  <c r="H91" i="21" s="1"/>
  <c r="I13" i="44"/>
  <c r="K95" i="40"/>
  <c r="K93" i="40" s="1"/>
  <c r="K96" i="40"/>
  <c r="K97" i="40"/>
  <c r="H95" i="21"/>
  <c r="H96" i="21" s="1"/>
  <c r="H103" i="21" s="1"/>
  <c r="H66" i="18"/>
  <c r="H57" i="18" s="1"/>
  <c r="H56" i="18" s="1"/>
  <c r="H15" i="22"/>
  <c r="H79" i="18"/>
  <c r="H80" i="18" s="1"/>
  <c r="H67" i="21" l="1"/>
  <c r="H58" i="21" s="1"/>
  <c r="H57" i="21" s="1"/>
  <c r="H78" i="21"/>
  <c r="H88" i="21" s="1"/>
  <c r="I10" i="44"/>
  <c r="L69" i="40"/>
  <c r="K83" i="40"/>
  <c r="L70" i="40"/>
  <c r="H105" i="21"/>
  <c r="H104" i="21"/>
  <c r="I61" i="44" s="1"/>
  <c r="H102" i="21"/>
  <c r="H101" i="21" s="1"/>
  <c r="K98" i="40"/>
  <c r="L102" i="40"/>
  <c r="L103" i="40" s="1"/>
  <c r="L101" i="40" s="1"/>
  <c r="K99" i="40"/>
  <c r="H21" i="20"/>
  <c r="I69" i="18"/>
  <c r="I27" i="44"/>
  <c r="I6" i="44"/>
  <c r="H18" i="22"/>
  <c r="H17" i="22"/>
  <c r="H14" i="22"/>
  <c r="H16" i="22"/>
  <c r="I60" i="19"/>
  <c r="H85" i="18"/>
  <c r="H87" i="18"/>
  <c r="H88" i="18"/>
  <c r="H86" i="18"/>
  <c r="I5" i="44" l="1"/>
  <c r="H85" i="21"/>
  <c r="I70" i="21"/>
  <c r="H84" i="21"/>
  <c r="H22" i="20"/>
  <c r="H86" i="21"/>
  <c r="I12" i="21"/>
  <c r="I79" i="21" s="1"/>
  <c r="H23" i="20"/>
  <c r="H107" i="21"/>
  <c r="I58" i="44"/>
  <c r="L106" i="40"/>
  <c r="L92" i="40" s="1"/>
  <c r="L87" i="40" s="1"/>
  <c r="L88" i="40" s="1"/>
  <c r="L94" i="40" s="1"/>
  <c r="L36" i="40"/>
  <c r="L68" i="40" s="1"/>
  <c r="I60" i="44"/>
  <c r="I59" i="44"/>
  <c r="J7" i="44"/>
  <c r="I51" i="18"/>
  <c r="I59" i="18"/>
  <c r="I52" i="19"/>
  <c r="I51" i="17"/>
  <c r="I22" i="17" s="1"/>
  <c r="I59" i="17"/>
  <c r="I110" i="21"/>
  <c r="I111" i="21" s="1"/>
  <c r="I109" i="21" s="1"/>
  <c r="H106" i="21"/>
  <c r="I62" i="44" s="1"/>
  <c r="H84" i="18"/>
  <c r="I93" i="18" s="1"/>
  <c r="I94" i="18" s="1"/>
  <c r="I92" i="18" s="1"/>
  <c r="I19" i="20" l="1"/>
  <c r="I60" i="21"/>
  <c r="I13" i="21"/>
  <c r="I50" i="21"/>
  <c r="I52" i="21"/>
  <c r="L96" i="40"/>
  <c r="L97" i="40"/>
  <c r="L77" i="40"/>
  <c r="L78" i="40"/>
  <c r="L67" i="40"/>
  <c r="L58" i="40" s="1"/>
  <c r="L57" i="40" s="1"/>
  <c r="I20" i="20"/>
  <c r="I22" i="18"/>
  <c r="I23" i="18" s="1"/>
  <c r="I97" i="18" s="1"/>
  <c r="L95" i="40"/>
  <c r="L93" i="40" s="1"/>
  <c r="I36" i="21"/>
  <c r="I22" i="19"/>
  <c r="I23" i="19" s="1"/>
  <c r="H89" i="18"/>
  <c r="H90" i="18"/>
  <c r="I23" i="17"/>
  <c r="I29" i="17"/>
  <c r="I35" i="18"/>
  <c r="I23" i="21" l="1"/>
  <c r="I30" i="21" s="1"/>
  <c r="J51" i="21" s="1"/>
  <c r="J13" i="44"/>
  <c r="L83" i="40"/>
  <c r="M69" i="40"/>
  <c r="M70" i="40"/>
  <c r="L11" i="22"/>
  <c r="I29" i="18"/>
  <c r="J50" i="18" s="1"/>
  <c r="J33" i="44"/>
  <c r="I90" i="21"/>
  <c r="I91" i="21" s="1"/>
  <c r="M102" i="40"/>
  <c r="M103" i="40" s="1"/>
  <c r="M101" i="40" s="1"/>
  <c r="L99" i="40"/>
  <c r="L98" i="40"/>
  <c r="I30" i="19"/>
  <c r="I62" i="19" s="1"/>
  <c r="I59" i="19" s="1"/>
  <c r="I32" i="18"/>
  <c r="I68" i="18" s="1"/>
  <c r="I61" i="17"/>
  <c r="I58" i="17" s="1"/>
  <c r="J50" i="17"/>
  <c r="I32" i="17"/>
  <c r="I33" i="19"/>
  <c r="I24" i="21" l="1"/>
  <c r="I62" i="21"/>
  <c r="J8" i="44" s="1"/>
  <c r="I61" i="18"/>
  <c r="I58" i="18" s="1"/>
  <c r="M106" i="40"/>
  <c r="M92" i="40" s="1"/>
  <c r="M36" i="40"/>
  <c r="J51" i="19"/>
  <c r="I67" i="18"/>
  <c r="I66" i="18" s="1"/>
  <c r="I33" i="21" l="1"/>
  <c r="I113" i="21"/>
  <c r="I100" i="21" s="1"/>
  <c r="J16" i="44"/>
  <c r="I59" i="21"/>
  <c r="I57" i="18"/>
  <c r="I56" i="18" s="1"/>
  <c r="J27" i="44" s="1"/>
  <c r="I69" i="21"/>
  <c r="I83" i="18"/>
  <c r="I79" i="18" s="1"/>
  <c r="I80" i="18" s="1"/>
  <c r="M68" i="40"/>
  <c r="M78" i="40" s="1"/>
  <c r="M87" i="40"/>
  <c r="M88" i="40" s="1"/>
  <c r="I16" i="22"/>
  <c r="I68" i="21" l="1"/>
  <c r="I67" i="21" s="1"/>
  <c r="I58" i="21" s="1"/>
  <c r="I57" i="21" s="1"/>
  <c r="J18" i="44"/>
  <c r="I95" i="21"/>
  <c r="I96" i="21" s="1"/>
  <c r="I102" i="21" s="1"/>
  <c r="J69" i="18"/>
  <c r="I88" i="18"/>
  <c r="I87" i="18"/>
  <c r="I85" i="18"/>
  <c r="I86" i="18"/>
  <c r="M67" i="40"/>
  <c r="M58" i="40" s="1"/>
  <c r="M57" i="40" s="1"/>
  <c r="N70" i="40" s="1"/>
  <c r="M77" i="40"/>
  <c r="M95" i="40"/>
  <c r="M94" i="40"/>
  <c r="M97" i="40"/>
  <c r="M96" i="40"/>
  <c r="I14" i="22"/>
  <c r="I17" i="22"/>
  <c r="I18" i="22"/>
  <c r="I15" i="22"/>
  <c r="I105" i="21" l="1"/>
  <c r="I86" i="21"/>
  <c r="J5" i="44"/>
  <c r="I23" i="20"/>
  <c r="I84" i="21"/>
  <c r="I104" i="21"/>
  <c r="J61" i="44" s="1"/>
  <c r="I78" i="21"/>
  <c r="J10" i="44"/>
  <c r="I85" i="21"/>
  <c r="J70" i="21"/>
  <c r="I103" i="21"/>
  <c r="I101" i="21" s="1"/>
  <c r="I77" i="21"/>
  <c r="J87" i="21" s="1"/>
  <c r="J58" i="44"/>
  <c r="I84" i="18"/>
  <c r="I90" i="18" s="1"/>
  <c r="J59" i="44"/>
  <c r="N69" i="40"/>
  <c r="M83" i="40"/>
  <c r="M11" i="22"/>
  <c r="H36" i="44" s="1"/>
  <c r="M93" i="40"/>
  <c r="M99" i="40" s="1"/>
  <c r="J60" i="44" l="1"/>
  <c r="I107" i="21"/>
  <c r="J110" i="21"/>
  <c r="J111" i="21" s="1"/>
  <c r="J109" i="21" s="1"/>
  <c r="J36" i="21" s="1"/>
  <c r="J6" i="44"/>
  <c r="I21" i="20"/>
  <c r="I22" i="20"/>
  <c r="I88" i="21"/>
  <c r="I106" i="21"/>
  <c r="J62" i="44" s="1"/>
  <c r="I89" i="18"/>
  <c r="J93" i="18"/>
  <c r="J94" i="18" s="1"/>
  <c r="J92" i="18" s="1"/>
  <c r="J35" i="18" s="1"/>
  <c r="K13" i="44"/>
  <c r="N102" i="40"/>
  <c r="N103" i="40" s="1"/>
  <c r="N101" i="40" s="1"/>
  <c r="N106" i="40" s="1"/>
  <c r="N92" i="40" s="1"/>
  <c r="M98" i="40"/>
  <c r="J52" i="19"/>
  <c r="J51" i="17"/>
  <c r="J90" i="21" l="1"/>
  <c r="J91" i="21" s="1"/>
  <c r="J12" i="21" s="1"/>
  <c r="N36" i="40"/>
  <c r="N87" i="40"/>
  <c r="J59" i="18"/>
  <c r="J51" i="18"/>
  <c r="J60" i="19"/>
  <c r="J22" i="19"/>
  <c r="J30" i="19" s="1"/>
  <c r="J62" i="19" s="1"/>
  <c r="J59" i="17"/>
  <c r="J22" i="17"/>
  <c r="J29" i="17" s="1"/>
  <c r="K50" i="17" s="1"/>
  <c r="J19" i="20" l="1"/>
  <c r="K7" i="44"/>
  <c r="J13" i="21"/>
  <c r="J60" i="21"/>
  <c r="J52" i="21"/>
  <c r="J50" i="21"/>
  <c r="J79" i="21"/>
  <c r="G24" i="20"/>
  <c r="N68" i="40"/>
  <c r="N77" i="40" s="1"/>
  <c r="N97" i="40"/>
  <c r="N96" i="40"/>
  <c r="N88" i="40"/>
  <c r="N94" i="40" s="1"/>
  <c r="J22" i="18"/>
  <c r="J23" i="18" s="1"/>
  <c r="J97" i="18" s="1"/>
  <c r="J59" i="19"/>
  <c r="K51" i="19"/>
  <c r="J23" i="19"/>
  <c r="J61" i="17"/>
  <c r="J58" i="17" s="1"/>
  <c r="J23" i="17"/>
  <c r="J32" i="17" s="1"/>
  <c r="J23" i="21" l="1"/>
  <c r="J24" i="21" s="1"/>
  <c r="J20" i="20"/>
  <c r="G26" i="20" s="1"/>
  <c r="K16" i="44"/>
  <c r="K33" i="44"/>
  <c r="N67" i="40"/>
  <c r="N58" i="40" s="1"/>
  <c r="N57" i="40" s="1"/>
  <c r="N83" i="40" s="1"/>
  <c r="N78" i="40"/>
  <c r="N95" i="40"/>
  <c r="J29" i="18"/>
  <c r="K50" i="18" s="1"/>
  <c r="J33" i="19"/>
  <c r="J32" i="18"/>
  <c r="J30" i="21" l="1"/>
  <c r="K51" i="21" s="1"/>
  <c r="J113" i="21"/>
  <c r="J33" i="21"/>
  <c r="K18" i="44" s="1"/>
  <c r="N11" i="22"/>
  <c r="O70" i="40"/>
  <c r="O69" i="40"/>
  <c r="N93" i="40"/>
  <c r="O102" i="40" s="1"/>
  <c r="O103" i="40" s="1"/>
  <c r="O101" i="40" s="1"/>
  <c r="O106" i="40" s="1"/>
  <c r="O92" i="40" s="1"/>
  <c r="J61" i="18"/>
  <c r="J67" i="18"/>
  <c r="J68" i="18"/>
  <c r="J62" i="21" l="1"/>
  <c r="J100" i="21" s="1"/>
  <c r="J95" i="21" s="1"/>
  <c r="J96" i="21" s="1"/>
  <c r="J69" i="21"/>
  <c r="J68" i="21"/>
  <c r="K10" i="44" s="1"/>
  <c r="K8" i="44"/>
  <c r="N98" i="40"/>
  <c r="N99" i="40"/>
  <c r="O36" i="40"/>
  <c r="O68" i="40" s="1"/>
  <c r="O78" i="40" s="1"/>
  <c r="J58" i="18"/>
  <c r="J83" i="18"/>
  <c r="J79" i="18" s="1"/>
  <c r="J87" i="18" s="1"/>
  <c r="O87" i="40"/>
  <c r="J66" i="18"/>
  <c r="J59" i="21" l="1"/>
  <c r="J77" i="21" s="1"/>
  <c r="J78" i="21"/>
  <c r="J22" i="20" s="1"/>
  <c r="J67" i="21"/>
  <c r="J102" i="21"/>
  <c r="J103" i="21"/>
  <c r="J105" i="21"/>
  <c r="J104" i="21"/>
  <c r="K61" i="44" s="1"/>
  <c r="O77" i="40"/>
  <c r="O67" i="40"/>
  <c r="O58" i="40" s="1"/>
  <c r="O57" i="40" s="1"/>
  <c r="O83" i="40" s="1"/>
  <c r="O88" i="40"/>
  <c r="O95" i="40" s="1"/>
  <c r="J57" i="18"/>
  <c r="J56" i="18" s="1"/>
  <c r="O97" i="40"/>
  <c r="O96" i="40"/>
  <c r="J15" i="22"/>
  <c r="J14" i="22"/>
  <c r="J17" i="22"/>
  <c r="J18" i="22"/>
  <c r="J16" i="22"/>
  <c r="J88" i="18"/>
  <c r="J80" i="18"/>
  <c r="J85" i="18" s="1"/>
  <c r="K6" i="44" l="1"/>
  <c r="K87" i="21"/>
  <c r="J58" i="21"/>
  <c r="J57" i="21" s="1"/>
  <c r="J84" i="21" s="1"/>
  <c r="K5" i="44"/>
  <c r="J21" i="20"/>
  <c r="J88" i="21"/>
  <c r="J23" i="20"/>
  <c r="K70" i="21"/>
  <c r="J101" i="21"/>
  <c r="J106" i="21" s="1"/>
  <c r="K62" i="44" s="1"/>
  <c r="O11" i="22"/>
  <c r="P69" i="40"/>
  <c r="P70" i="40"/>
  <c r="K60" i="44"/>
  <c r="K59" i="44"/>
  <c r="K69" i="18"/>
  <c r="K27" i="44"/>
  <c r="O94" i="40"/>
  <c r="O93" i="40" s="1"/>
  <c r="O99" i="40" s="1"/>
  <c r="J86" i="18"/>
  <c r="J84" i="18" s="1"/>
  <c r="J90" i="18" s="1"/>
  <c r="J85" i="21" l="1"/>
  <c r="J86" i="21"/>
  <c r="J107" i="21"/>
  <c r="K110" i="21"/>
  <c r="K111" i="21" s="1"/>
  <c r="K109" i="21" s="1"/>
  <c r="K58" i="44"/>
  <c r="P102" i="40"/>
  <c r="P103" i="40" s="1"/>
  <c r="P101" i="40" s="1"/>
  <c r="P106" i="40" s="1"/>
  <c r="P92" i="40" s="1"/>
  <c r="P87" i="40" s="1"/>
  <c r="O98" i="40"/>
  <c r="K93" i="18"/>
  <c r="K94" i="18" s="1"/>
  <c r="K92" i="18" s="1"/>
  <c r="J89" i="18"/>
  <c r="K36" i="21" l="1"/>
  <c r="K90" i="21" s="1"/>
  <c r="K91" i="21" s="1"/>
  <c r="K12" i="21" s="1"/>
  <c r="P36" i="40"/>
  <c r="P68" i="40" s="1"/>
  <c r="P78" i="40" s="1"/>
  <c r="P97" i="40"/>
  <c r="P88" i="40"/>
  <c r="P95" i="40" s="1"/>
  <c r="P96" i="40"/>
  <c r="K35" i="18"/>
  <c r="K51" i="18"/>
  <c r="K59" i="17"/>
  <c r="K59" i="18"/>
  <c r="K79" i="21" l="1"/>
  <c r="K60" i="21"/>
  <c r="L13" i="44"/>
  <c r="K52" i="21"/>
  <c r="K19" i="20"/>
  <c r="K13" i="21"/>
  <c r="L7" i="44"/>
  <c r="K50" i="21"/>
  <c r="P67" i="40"/>
  <c r="P58" i="40" s="1"/>
  <c r="P57" i="40" s="1"/>
  <c r="P83" i="40" s="1"/>
  <c r="P77" i="40"/>
  <c r="K22" i="18"/>
  <c r="K29" i="18" s="1"/>
  <c r="L50" i="18" s="1"/>
  <c r="P94" i="40"/>
  <c r="P93" i="40" s="1"/>
  <c r="K52" i="19"/>
  <c r="K22" i="19" s="1"/>
  <c r="K30" i="19" s="1"/>
  <c r="K62" i="19" s="1"/>
  <c r="K60" i="19"/>
  <c r="K51" i="17"/>
  <c r="K22" i="17" s="1"/>
  <c r="K29" i="17" s="1"/>
  <c r="K61" i="17" s="1"/>
  <c r="K58" i="17" s="1"/>
  <c r="K23" i="21" l="1"/>
  <c r="K30" i="21" s="1"/>
  <c r="K62" i="21" s="1"/>
  <c r="K59" i="21" s="1"/>
  <c r="K20" i="20"/>
  <c r="Q69" i="40"/>
  <c r="P11" i="22"/>
  <c r="Q70" i="40"/>
  <c r="K61" i="18"/>
  <c r="K58" i="18" s="1"/>
  <c r="K23" i="18"/>
  <c r="K32" i="18" s="1"/>
  <c r="P99" i="40"/>
  <c r="Q102" i="40"/>
  <c r="Q103" i="40" s="1"/>
  <c r="Q101" i="40" s="1"/>
  <c r="P98" i="40"/>
  <c r="L51" i="19"/>
  <c r="L51" i="21"/>
  <c r="K59" i="19"/>
  <c r="K23" i="19"/>
  <c r="K23" i="17"/>
  <c r="K32" i="17" s="1"/>
  <c r="L50" i="17"/>
  <c r="L8" i="44" l="1"/>
  <c r="K24" i="21"/>
  <c r="L33" i="44"/>
  <c r="K97" i="18"/>
  <c r="K83" i="18" s="1"/>
  <c r="K79" i="18" s="1"/>
  <c r="K80" i="18" s="1"/>
  <c r="K85" i="18" s="1"/>
  <c r="K67" i="18"/>
  <c r="K68" i="18"/>
  <c r="Q106" i="40"/>
  <c r="Q92" i="40" s="1"/>
  <c r="Q36" i="40"/>
  <c r="Q68" i="40" s="1"/>
  <c r="K33" i="19"/>
  <c r="K16" i="22"/>
  <c r="K113" i="21" l="1"/>
  <c r="K100" i="21" s="1"/>
  <c r="K33" i="21"/>
  <c r="K68" i="21" s="1"/>
  <c r="K77" i="21" s="1"/>
  <c r="L16" i="44"/>
  <c r="K95" i="21"/>
  <c r="K96" i="21" s="1"/>
  <c r="L18" i="44"/>
  <c r="K66" i="18"/>
  <c r="K57" i="18" s="1"/>
  <c r="K56" i="18" s="1"/>
  <c r="K86" i="18"/>
  <c r="K84" i="18" s="1"/>
  <c r="K88" i="18"/>
  <c r="K87" i="18"/>
  <c r="Q78" i="40"/>
  <c r="Q77" i="40"/>
  <c r="Q67" i="40"/>
  <c r="Q58" i="40" s="1"/>
  <c r="Q57" i="40" s="1"/>
  <c r="Q83" i="40" s="1"/>
  <c r="Q87" i="40"/>
  <c r="Q88" i="40" s="1"/>
  <c r="K105" i="21"/>
  <c r="K104" i="21"/>
  <c r="L61" i="44" s="1"/>
  <c r="K17" i="22"/>
  <c r="K15" i="22"/>
  <c r="K14" i="22"/>
  <c r="K18" i="22"/>
  <c r="K102" i="21" l="1"/>
  <c r="K103" i="21"/>
  <c r="K69" i="21"/>
  <c r="L87" i="21"/>
  <c r="K21" i="20"/>
  <c r="K67" i="21"/>
  <c r="K58" i="21" s="1"/>
  <c r="K57" i="21" s="1"/>
  <c r="K85" i="21" s="1"/>
  <c r="L69" i="18"/>
  <c r="L27" i="44"/>
  <c r="L6" i="44"/>
  <c r="K78" i="21"/>
  <c r="K88" i="21" s="1"/>
  <c r="L10" i="44"/>
  <c r="K75" i="18"/>
  <c r="K89" i="18"/>
  <c r="K90" i="18"/>
  <c r="L93" i="18"/>
  <c r="L94" i="18" s="1"/>
  <c r="L92" i="18" s="1"/>
  <c r="L35" i="18" s="1"/>
  <c r="Q95" i="40"/>
  <c r="Q97" i="40"/>
  <c r="Q94" i="40"/>
  <c r="Q11" i="22"/>
  <c r="R69" i="40"/>
  <c r="R70" i="40"/>
  <c r="Q96" i="40"/>
  <c r="K101" i="21" l="1"/>
  <c r="K107" i="21"/>
  <c r="L58" i="44"/>
  <c r="L60" i="44"/>
  <c r="L59" i="44"/>
  <c r="K86" i="21"/>
  <c r="K83" i="21"/>
  <c r="K23" i="20"/>
  <c r="L70" i="21"/>
  <c r="K84" i="21"/>
  <c r="L5" i="44"/>
  <c r="K22" i="20"/>
  <c r="K106" i="21"/>
  <c r="L62" i="44" s="1"/>
  <c r="L110" i="21"/>
  <c r="L111" i="21" s="1"/>
  <c r="L109" i="21" s="1"/>
  <c r="Q93" i="40"/>
  <c r="R102" i="40" s="1"/>
  <c r="R103" i="40" s="1"/>
  <c r="R101" i="40" s="1"/>
  <c r="L51" i="18"/>
  <c r="Q99" i="40" l="1"/>
  <c r="Q98" i="40"/>
  <c r="L36" i="21"/>
  <c r="R106" i="40"/>
  <c r="R92" i="40" s="1"/>
  <c r="R36" i="40"/>
  <c r="R68" i="40" s="1"/>
  <c r="L59" i="18"/>
  <c r="L22" i="18"/>
  <c r="L29" i="18" s="1"/>
  <c r="L61" i="18" s="1"/>
  <c r="L51" i="17"/>
  <c r="L22" i="17" s="1"/>
  <c r="L59" i="17"/>
  <c r="L52" i="19"/>
  <c r="L60" i="19"/>
  <c r="M13" i="44" l="1"/>
  <c r="L90" i="21"/>
  <c r="L91" i="21" s="1"/>
  <c r="R78" i="40"/>
  <c r="R77" i="40"/>
  <c r="R67" i="40"/>
  <c r="R58" i="40" s="1"/>
  <c r="R57" i="40" s="1"/>
  <c r="R83" i="40" s="1"/>
  <c r="R87" i="40"/>
  <c r="R88" i="40" s="1"/>
  <c r="R95" i="40" s="1"/>
  <c r="L58" i="18"/>
  <c r="L23" i="18"/>
  <c r="M50" i="18"/>
  <c r="L29" i="17"/>
  <c r="L61" i="17" s="1"/>
  <c r="L58" i="17" s="1"/>
  <c r="L23" i="17"/>
  <c r="L32" i="17" s="1"/>
  <c r="L22" i="19"/>
  <c r="L12" i="21" l="1"/>
  <c r="R94" i="40"/>
  <c r="R93" i="40" s="1"/>
  <c r="R96" i="40"/>
  <c r="R97" i="40"/>
  <c r="L97" i="18"/>
  <c r="L83" i="18" s="1"/>
  <c r="R11" i="22"/>
  <c r="S70" i="40"/>
  <c r="S69" i="40"/>
  <c r="L32" i="18"/>
  <c r="L68" i="18" s="1"/>
  <c r="M50" i="17"/>
  <c r="L30" i="19"/>
  <c r="L23" i="19"/>
  <c r="L13" i="21" l="1"/>
  <c r="L19" i="20"/>
  <c r="M7" i="44"/>
  <c r="L52" i="21"/>
  <c r="L60" i="21"/>
  <c r="L50" i="21"/>
  <c r="L23" i="21" s="1"/>
  <c r="L30" i="21" s="1"/>
  <c r="L79" i="21"/>
  <c r="M33" i="44"/>
  <c r="S102" i="40"/>
  <c r="S103" i="40" s="1"/>
  <c r="S101" i="40" s="1"/>
  <c r="S36" i="40" s="1"/>
  <c r="S68" i="40" s="1"/>
  <c r="R98" i="40"/>
  <c r="R99" i="40"/>
  <c r="L79" i="18"/>
  <c r="L33" i="19"/>
  <c r="L67" i="18"/>
  <c r="L66" i="18" s="1"/>
  <c r="L57" i="18" s="1"/>
  <c r="L56" i="18" s="1"/>
  <c r="L62" i="19"/>
  <c r="L59" i="19" s="1"/>
  <c r="M51" i="19"/>
  <c r="L20" i="20" l="1"/>
  <c r="L75" i="18"/>
  <c r="M27" i="44"/>
  <c r="S106" i="40"/>
  <c r="S92" i="40" s="1"/>
  <c r="S87" i="40" s="1"/>
  <c r="S88" i="40" s="1"/>
  <c r="L24" i="21"/>
  <c r="L62" i="21"/>
  <c r="M51" i="21"/>
  <c r="L80" i="18"/>
  <c r="L85" i="18" s="1"/>
  <c r="L88" i="18"/>
  <c r="L87" i="18"/>
  <c r="S67" i="40"/>
  <c r="S58" i="40" s="1"/>
  <c r="S57" i="40" s="1"/>
  <c r="S83" i="40" s="1"/>
  <c r="S77" i="40"/>
  <c r="S78" i="40"/>
  <c r="C30" i="22"/>
  <c r="C27" i="22"/>
  <c r="C31" i="22"/>
  <c r="L17" i="22"/>
  <c r="M69" i="18"/>
  <c r="L59" i="21" l="1"/>
  <c r="M8" i="44"/>
  <c r="M16" i="44"/>
  <c r="L86" i="18"/>
  <c r="L84" i="18" s="1"/>
  <c r="L89" i="18" s="1"/>
  <c r="L33" i="21"/>
  <c r="L113" i="21"/>
  <c r="L100" i="21" s="1"/>
  <c r="S95" i="40"/>
  <c r="S97" i="40"/>
  <c r="S96" i="40"/>
  <c r="S94" i="40"/>
  <c r="S11" i="22"/>
  <c r="T70" i="40"/>
  <c r="T69" i="40"/>
  <c r="C29" i="22"/>
  <c r="C28" i="22"/>
  <c r="C22" i="22"/>
  <c r="L16" i="22"/>
  <c r="L18" i="22"/>
  <c r="L14" i="22"/>
  <c r="L15" i="22"/>
  <c r="L95" i="21" l="1"/>
  <c r="L105" i="21" s="1"/>
  <c r="L68" i="21"/>
  <c r="L77" i="21" s="1"/>
  <c r="M18" i="44"/>
  <c r="S93" i="40"/>
  <c r="S98" i="40" s="1"/>
  <c r="L69" i="21"/>
  <c r="M93" i="18"/>
  <c r="M94" i="18" s="1"/>
  <c r="M92" i="18" s="1"/>
  <c r="M35" i="18" s="1"/>
  <c r="L90" i="18"/>
  <c r="N12" i="19"/>
  <c r="M87" i="21" l="1"/>
  <c r="L104" i="21"/>
  <c r="L96" i="21"/>
  <c r="L103" i="21" s="1"/>
  <c r="N52" i="19"/>
  <c r="N50" i="19"/>
  <c r="L67" i="21"/>
  <c r="L58" i="21" s="1"/>
  <c r="L57" i="21" s="1"/>
  <c r="S99" i="40"/>
  <c r="L21" i="20"/>
  <c r="M6" i="44"/>
  <c r="L78" i="21"/>
  <c r="L88" i="21" s="1"/>
  <c r="M10" i="44"/>
  <c r="T102" i="40"/>
  <c r="T103" i="40" s="1"/>
  <c r="T101" i="40" s="1"/>
  <c r="T106" i="40" s="1"/>
  <c r="T92" i="40" s="1"/>
  <c r="T87" i="40" s="1"/>
  <c r="T97" i="40" s="1"/>
  <c r="L102" i="21"/>
  <c r="M51" i="18"/>
  <c r="M60" i="19"/>
  <c r="M51" i="17"/>
  <c r="M22" i="17" s="1"/>
  <c r="M29" i="17" s="1"/>
  <c r="M61" i="17" s="1"/>
  <c r="N12" i="17"/>
  <c r="M59" i="17"/>
  <c r="M52" i="19"/>
  <c r="M59" i="18"/>
  <c r="O12" i="19"/>
  <c r="O52" i="19" s="1"/>
  <c r="N60" i="19"/>
  <c r="M61" i="44" l="1"/>
  <c r="M5" i="44"/>
  <c r="M70" i="21"/>
  <c r="L86" i="21"/>
  <c r="L83" i="21"/>
  <c r="L85" i="21"/>
  <c r="L84" i="21"/>
  <c r="L23" i="20"/>
  <c r="N59" i="17"/>
  <c r="N49" i="17"/>
  <c r="O50" i="17" s="1"/>
  <c r="O50" i="19"/>
  <c r="L101" i="21"/>
  <c r="T36" i="40"/>
  <c r="L22" i="20"/>
  <c r="M22" i="18"/>
  <c r="M29" i="18" s="1"/>
  <c r="T96" i="40"/>
  <c r="T88" i="40"/>
  <c r="M22" i="19"/>
  <c r="M30" i="19" s="1"/>
  <c r="M62" i="19" s="1"/>
  <c r="M59" i="19" s="1"/>
  <c r="O12" i="17"/>
  <c r="O59" i="17" s="1"/>
  <c r="N51" i="17"/>
  <c r="N50" i="17"/>
  <c r="M58" i="17"/>
  <c r="M23" i="17"/>
  <c r="M32" i="17" s="1"/>
  <c r="O60" i="19"/>
  <c r="P12" i="19"/>
  <c r="P52" i="19" s="1"/>
  <c r="N59" i="18"/>
  <c r="N51" i="18"/>
  <c r="L106" i="21" l="1"/>
  <c r="M62" i="44" s="1"/>
  <c r="M58" i="44"/>
  <c r="M59" i="44"/>
  <c r="M60" i="44"/>
  <c r="T68" i="40"/>
  <c r="T78" i="40" s="1"/>
  <c r="L107" i="21"/>
  <c r="M110" i="21"/>
  <c r="M111" i="21" s="1"/>
  <c r="M109" i="21" s="1"/>
  <c r="M36" i="21" s="1"/>
  <c r="P50" i="19"/>
  <c r="O49" i="17"/>
  <c r="P50" i="17" s="1"/>
  <c r="M23" i="18"/>
  <c r="M97" i="18" s="1"/>
  <c r="T94" i="40"/>
  <c r="T95" i="40"/>
  <c r="O51" i="19"/>
  <c r="N51" i="19"/>
  <c r="N22" i="19" s="1"/>
  <c r="N30" i="19" s="1"/>
  <c r="N62" i="19" s="1"/>
  <c r="N59" i="19" s="1"/>
  <c r="M23" i="19"/>
  <c r="P12" i="17"/>
  <c r="Q12" i="17" s="1"/>
  <c r="R12" i="17" s="1"/>
  <c r="O51" i="17"/>
  <c r="P51" i="19"/>
  <c r="N22" i="17"/>
  <c r="N29" i="17" s="1"/>
  <c r="N61" i="17" s="1"/>
  <c r="N58" i="17" s="1"/>
  <c r="N50" i="18"/>
  <c r="N22" i="18" s="1"/>
  <c r="M61" i="18"/>
  <c r="Q12" i="19"/>
  <c r="Q52" i="19" s="1"/>
  <c r="P60" i="19"/>
  <c r="T67" i="40" l="1"/>
  <c r="T58" i="40" s="1"/>
  <c r="T57" i="40" s="1"/>
  <c r="T83" i="40" s="1"/>
  <c r="T77" i="40"/>
  <c r="N13" i="44"/>
  <c r="N33" i="44"/>
  <c r="P49" i="17"/>
  <c r="Q49" i="17" s="1"/>
  <c r="R49" i="17" s="1"/>
  <c r="Q50" i="19"/>
  <c r="M32" i="18"/>
  <c r="M68" i="18" s="1"/>
  <c r="M83" i="18"/>
  <c r="M90" i="21"/>
  <c r="M91" i="21" s="1"/>
  <c r="T93" i="40"/>
  <c r="T98" i="40" s="1"/>
  <c r="M33" i="19"/>
  <c r="P59" i="17"/>
  <c r="P51" i="17"/>
  <c r="Q59" i="17"/>
  <c r="Q51" i="17"/>
  <c r="O22" i="17"/>
  <c r="O29" i="17" s="1"/>
  <c r="O61" i="17" s="1"/>
  <c r="O58" i="17" s="1"/>
  <c r="Q51" i="19"/>
  <c r="N23" i="17"/>
  <c r="N32" i="17" s="1"/>
  <c r="O22" i="19"/>
  <c r="O30" i="19" s="1"/>
  <c r="O62" i="19" s="1"/>
  <c r="O59" i="19" s="1"/>
  <c r="N23" i="19"/>
  <c r="M58" i="18"/>
  <c r="Q60" i="19"/>
  <c r="R12" i="19"/>
  <c r="S12" i="19" s="1"/>
  <c r="M16" i="22"/>
  <c r="S12" i="17"/>
  <c r="R51" i="17"/>
  <c r="R59" i="17"/>
  <c r="N23" i="18"/>
  <c r="N29" i="18"/>
  <c r="U69" i="40" l="1"/>
  <c r="T11" i="22"/>
  <c r="U70" i="40"/>
  <c r="M12" i="21"/>
  <c r="M79" i="21" s="1"/>
  <c r="Q50" i="17"/>
  <c r="O33" i="44"/>
  <c r="R50" i="19"/>
  <c r="S50" i="19" s="1"/>
  <c r="S49" i="17"/>
  <c r="M67" i="18"/>
  <c r="M66" i="18" s="1"/>
  <c r="M57" i="18" s="1"/>
  <c r="M56" i="18" s="1"/>
  <c r="N7" i="44"/>
  <c r="T99" i="40"/>
  <c r="U102" i="40"/>
  <c r="U103" i="40" s="1"/>
  <c r="U101" i="40" s="1"/>
  <c r="U106" i="40" s="1"/>
  <c r="U92" i="40" s="1"/>
  <c r="U87" i="40" s="1"/>
  <c r="U96" i="40" s="1"/>
  <c r="N33" i="19"/>
  <c r="P22" i="17"/>
  <c r="P29" i="17" s="1"/>
  <c r="P61" i="17" s="1"/>
  <c r="P58" i="17" s="1"/>
  <c r="R50" i="17"/>
  <c r="R51" i="19"/>
  <c r="P22" i="19"/>
  <c r="P30" i="19" s="1"/>
  <c r="P62" i="19" s="1"/>
  <c r="P59" i="19" s="1"/>
  <c r="O23" i="17"/>
  <c r="O32" i="17" s="1"/>
  <c r="O23" i="19"/>
  <c r="M79" i="18"/>
  <c r="M87" i="18" s="1"/>
  <c r="R60" i="19"/>
  <c r="R52" i="19"/>
  <c r="D31" i="22"/>
  <c r="D28" i="22"/>
  <c r="D27" i="22"/>
  <c r="D22" i="22"/>
  <c r="M17" i="22"/>
  <c r="D30" i="22"/>
  <c r="M15" i="22"/>
  <c r="M14" i="22"/>
  <c r="M18" i="22"/>
  <c r="D29" i="22"/>
  <c r="S59" i="17"/>
  <c r="T12" i="17"/>
  <c r="S51" i="17"/>
  <c r="S52" i="19"/>
  <c r="T12" i="19"/>
  <c r="S60" i="19"/>
  <c r="N61" i="18"/>
  <c r="N58" i="18" s="1"/>
  <c r="O50" i="18"/>
  <c r="N32" i="18"/>
  <c r="M13" i="21" l="1"/>
  <c r="M52" i="21"/>
  <c r="M60" i="21"/>
  <c r="N12" i="21"/>
  <c r="N79" i="21" s="1"/>
  <c r="M50" i="21"/>
  <c r="M19" i="20"/>
  <c r="O12" i="20" s="1"/>
  <c r="N12" i="20" s="1"/>
  <c r="Q12" i="20"/>
  <c r="P12" i="20" s="1"/>
  <c r="M20" i="20"/>
  <c r="G27" i="20" s="1"/>
  <c r="P33" i="44"/>
  <c r="T49" i="17"/>
  <c r="T50" i="19"/>
  <c r="M75" i="18"/>
  <c r="N27" i="44"/>
  <c r="U36" i="40"/>
  <c r="U68" i="40" s="1"/>
  <c r="U77" i="40" s="1"/>
  <c r="D81" i="21"/>
  <c r="U88" i="40"/>
  <c r="U94" i="40" s="1"/>
  <c r="U97" i="40"/>
  <c r="O33" i="19"/>
  <c r="P23" i="17"/>
  <c r="P32" i="17" s="1"/>
  <c r="T50" i="17"/>
  <c r="Q22" i="17"/>
  <c r="Q29" i="17" s="1"/>
  <c r="Q61" i="17" s="1"/>
  <c r="Q58" i="17" s="1"/>
  <c r="Q22" i="19"/>
  <c r="Q30" i="19" s="1"/>
  <c r="Q62" i="19" s="1"/>
  <c r="Q59" i="19" s="1"/>
  <c r="P23" i="19"/>
  <c r="T51" i="19"/>
  <c r="N69" i="18"/>
  <c r="M88" i="18"/>
  <c r="M80" i="18"/>
  <c r="T52" i="19"/>
  <c r="T60" i="19"/>
  <c r="U12" i="19"/>
  <c r="U12" i="17"/>
  <c r="T51" i="17"/>
  <c r="T59" i="17"/>
  <c r="N68" i="18"/>
  <c r="N50" i="21" l="1"/>
  <c r="N60" i="21"/>
  <c r="G25" i="20"/>
  <c r="N52" i="21"/>
  <c r="O7" i="44"/>
  <c r="N13" i="21"/>
  <c r="M23" i="21"/>
  <c r="M24" i="21" s="1"/>
  <c r="O12" i="21"/>
  <c r="O79" i="21" s="1"/>
  <c r="U67" i="40"/>
  <c r="U58" i="40" s="1"/>
  <c r="U57" i="40" s="1"/>
  <c r="U83" i="40" s="1"/>
  <c r="U78" i="40"/>
  <c r="Q33" i="44"/>
  <c r="U50" i="19"/>
  <c r="U49" i="17"/>
  <c r="U95" i="40"/>
  <c r="U93" i="40" s="1"/>
  <c r="V102" i="40" s="1"/>
  <c r="V103" i="40" s="1"/>
  <c r="V101" i="40" s="1"/>
  <c r="P33" i="19"/>
  <c r="Q23" i="17"/>
  <c r="Q32" i="17" s="1"/>
  <c r="Q23" i="19"/>
  <c r="U50" i="17"/>
  <c r="S50" i="17"/>
  <c r="R22" i="17"/>
  <c r="R23" i="17" s="1"/>
  <c r="R32" i="17" s="1"/>
  <c r="R22" i="19"/>
  <c r="S22" i="19" s="1"/>
  <c r="S30" i="19" s="1"/>
  <c r="S62" i="19" s="1"/>
  <c r="S59" i="19" s="1"/>
  <c r="S51" i="19"/>
  <c r="M85" i="18"/>
  <c r="M86" i="18"/>
  <c r="U60" i="19"/>
  <c r="U52" i="19"/>
  <c r="V12" i="19"/>
  <c r="V12" i="17"/>
  <c r="U51" i="17"/>
  <c r="U59" i="17"/>
  <c r="O59" i="18"/>
  <c r="O51" i="18"/>
  <c r="N16" i="44" l="1"/>
  <c r="M113" i="21"/>
  <c r="O60" i="21"/>
  <c r="O52" i="21"/>
  <c r="M33" i="21"/>
  <c r="M68" i="21" s="1"/>
  <c r="P7" i="44"/>
  <c r="P12" i="21"/>
  <c r="P79" i="21" s="1"/>
  <c r="M30" i="21"/>
  <c r="O51" i="21" s="1"/>
  <c r="O13" i="21"/>
  <c r="O50" i="21"/>
  <c r="P50" i="21" s="1"/>
  <c r="U11" i="22"/>
  <c r="V70" i="40"/>
  <c r="V69" i="40"/>
  <c r="R33" i="44"/>
  <c r="V49" i="17"/>
  <c r="V50" i="19"/>
  <c r="U98" i="40"/>
  <c r="U99" i="40"/>
  <c r="V36" i="40"/>
  <c r="V68" i="40" s="1"/>
  <c r="V106" i="40"/>
  <c r="Q33" i="19"/>
  <c r="V50" i="17"/>
  <c r="R30" i="19"/>
  <c r="R62" i="19" s="1"/>
  <c r="R59" i="19" s="1"/>
  <c r="S23" i="19"/>
  <c r="T22" i="19"/>
  <c r="T23" i="19" s="1"/>
  <c r="R23" i="19"/>
  <c r="U51" i="19"/>
  <c r="R29" i="17"/>
  <c r="R61" i="17" s="1"/>
  <c r="R58" i="17" s="1"/>
  <c r="S22" i="17"/>
  <c r="T22" i="17" s="1"/>
  <c r="T29" i="17" s="1"/>
  <c r="T61" i="17" s="1"/>
  <c r="T58" i="17" s="1"/>
  <c r="M84" i="18"/>
  <c r="N93" i="18" s="1"/>
  <c r="N94" i="18" s="1"/>
  <c r="N92" i="18" s="1"/>
  <c r="V59" i="17"/>
  <c r="V51" i="17"/>
  <c r="W12" i="17"/>
  <c r="V60" i="19"/>
  <c r="V52" i="19"/>
  <c r="W12" i="19"/>
  <c r="V51" i="19"/>
  <c r="O22" i="18"/>
  <c r="N18" i="44" l="1"/>
  <c r="M69" i="21"/>
  <c r="N51" i="21"/>
  <c r="N23" i="21" s="1"/>
  <c r="M62" i="21"/>
  <c r="M59" i="21" s="1"/>
  <c r="M77" i="21" s="1"/>
  <c r="N87" i="21" s="1"/>
  <c r="Q12" i="21"/>
  <c r="Q79" i="21" s="1"/>
  <c r="Q7" i="44"/>
  <c r="P13" i="21"/>
  <c r="O23" i="21"/>
  <c r="O24" i="21" s="1"/>
  <c r="M67" i="21"/>
  <c r="N30" i="21"/>
  <c r="N62" i="21" s="1"/>
  <c r="O8" i="44" s="1"/>
  <c r="N24" i="21"/>
  <c r="S33" i="44"/>
  <c r="U33" i="44"/>
  <c r="T33" i="44"/>
  <c r="W50" i="19"/>
  <c r="W49" i="17"/>
  <c r="M78" i="21"/>
  <c r="M88" i="21" s="1"/>
  <c r="N10" i="44"/>
  <c r="Q13" i="21"/>
  <c r="M100" i="21"/>
  <c r="V92" i="40"/>
  <c r="N97" i="18"/>
  <c r="U22" i="19"/>
  <c r="V22" i="19" s="1"/>
  <c r="R33" i="19"/>
  <c r="T33" i="19"/>
  <c r="S33" i="19"/>
  <c r="W50" i="17"/>
  <c r="T30" i="19"/>
  <c r="T62" i="19" s="1"/>
  <c r="T59" i="19" s="1"/>
  <c r="T23" i="17"/>
  <c r="T32" i="17" s="1"/>
  <c r="V78" i="40"/>
  <c r="V67" i="40"/>
  <c r="V58" i="40" s="1"/>
  <c r="V57" i="40" s="1"/>
  <c r="V77" i="40"/>
  <c r="S23" i="17"/>
  <c r="S32" i="17" s="1"/>
  <c r="U22" i="17"/>
  <c r="U29" i="17" s="1"/>
  <c r="U61" i="17" s="1"/>
  <c r="U58" i="17" s="1"/>
  <c r="S29" i="17"/>
  <c r="S61" i="17" s="1"/>
  <c r="S58" i="17" s="1"/>
  <c r="M90" i="18"/>
  <c r="M89" i="18"/>
  <c r="N35" i="18"/>
  <c r="N67" i="18" s="1"/>
  <c r="N66" i="18" s="1"/>
  <c r="N57" i="18" s="1"/>
  <c r="N56" i="18" s="1"/>
  <c r="O27" i="44" s="1"/>
  <c r="W52" i="19"/>
  <c r="W60" i="19"/>
  <c r="W51" i="19"/>
  <c r="W51" i="17"/>
  <c r="W59" i="17"/>
  <c r="O29" i="18"/>
  <c r="O23" i="18"/>
  <c r="R7" i="44" l="1"/>
  <c r="Q50" i="21"/>
  <c r="N8" i="44"/>
  <c r="R12" i="21"/>
  <c r="R79" i="21" s="1"/>
  <c r="O30" i="21"/>
  <c r="O16" i="44"/>
  <c r="N33" i="21"/>
  <c r="O18" i="44" s="1"/>
  <c r="N59" i="21"/>
  <c r="M21" i="20"/>
  <c r="M58" i="21"/>
  <c r="M57" i="21" s="1"/>
  <c r="S7" i="44"/>
  <c r="M95" i="21"/>
  <c r="M96" i="21" s="1"/>
  <c r="M103" i="21" s="1"/>
  <c r="S12" i="21"/>
  <c r="S79" i="21" s="1"/>
  <c r="R13" i="21"/>
  <c r="M22" i="20"/>
  <c r="P16" i="44"/>
  <c r="N6" i="44"/>
  <c r="V11" i="22"/>
  <c r="V83" i="40"/>
  <c r="V87" i="40"/>
  <c r="V88" i="40" s="1"/>
  <c r="V95" i="40" s="1"/>
  <c r="N83" i="18"/>
  <c r="U23" i="19"/>
  <c r="U30" i="19"/>
  <c r="U62" i="19" s="1"/>
  <c r="U59" i="19" s="1"/>
  <c r="V22" i="17"/>
  <c r="W69" i="40"/>
  <c r="W70" i="40"/>
  <c r="U23" i="17"/>
  <c r="U32" i="17" s="1"/>
  <c r="N75" i="18"/>
  <c r="O69" i="18"/>
  <c r="W22" i="19"/>
  <c r="W23" i="19" s="1"/>
  <c r="V30" i="19"/>
  <c r="V62" i="19" s="1"/>
  <c r="V59" i="19" s="1"/>
  <c r="V23" i="19"/>
  <c r="O32" i="18"/>
  <c r="O61" i="18"/>
  <c r="O58" i="18" s="1"/>
  <c r="P50" i="18"/>
  <c r="O62" i="21"/>
  <c r="P51" i="21"/>
  <c r="O33" i="21"/>
  <c r="P18" i="44" s="1"/>
  <c r="R50" i="21" l="1"/>
  <c r="T12" i="21"/>
  <c r="T79" i="21" s="1"/>
  <c r="M83" i="21"/>
  <c r="M85" i="21"/>
  <c r="M86" i="21"/>
  <c r="N70" i="21"/>
  <c r="M104" i="21"/>
  <c r="M105" i="21"/>
  <c r="W33" i="44"/>
  <c r="V33" i="44"/>
  <c r="X33" i="44"/>
  <c r="S50" i="21"/>
  <c r="N5" i="44"/>
  <c r="M84" i="21"/>
  <c r="M23" i="20"/>
  <c r="M102" i="21"/>
  <c r="N69" i="21"/>
  <c r="S13" i="21"/>
  <c r="T7" i="44"/>
  <c r="O59" i="21"/>
  <c r="P8" i="44"/>
  <c r="V96" i="40"/>
  <c r="V94" i="40"/>
  <c r="V93" i="40" s="1"/>
  <c r="W22" i="17"/>
  <c r="W29" i="17" s="1"/>
  <c r="W61" i="17" s="1"/>
  <c r="W58" i="17" s="1"/>
  <c r="V97" i="40"/>
  <c r="N79" i="18"/>
  <c r="V33" i="19"/>
  <c r="W33" i="19"/>
  <c r="U33" i="19"/>
  <c r="V29" i="17"/>
  <c r="V61" i="17" s="1"/>
  <c r="V58" i="17" s="1"/>
  <c r="V23" i="17"/>
  <c r="V32" i="17" s="1"/>
  <c r="W30" i="19"/>
  <c r="W62" i="19" s="1"/>
  <c r="W59" i="19" s="1"/>
  <c r="O68" i="18"/>
  <c r="M12" i="20" l="1"/>
  <c r="L12" i="20"/>
  <c r="N61" i="44"/>
  <c r="U7" i="44"/>
  <c r="T13" i="21"/>
  <c r="U12" i="21"/>
  <c r="U79" i="21" s="1"/>
  <c r="T50" i="21"/>
  <c r="M101" i="21"/>
  <c r="V99" i="40"/>
  <c r="W102" i="40"/>
  <c r="W103" i="40" s="1"/>
  <c r="W101" i="40" s="1"/>
  <c r="W23" i="17"/>
  <c r="W32" i="17" s="1"/>
  <c r="V98" i="40"/>
  <c r="N87" i="18"/>
  <c r="N80" i="18"/>
  <c r="N85" i="18" s="1"/>
  <c r="N88" i="18"/>
  <c r="N18" i="22"/>
  <c r="E30" i="22"/>
  <c r="N17" i="22"/>
  <c r="N14" i="22"/>
  <c r="E29" i="22"/>
  <c r="N16" i="22"/>
  <c r="N15" i="22"/>
  <c r="E22" i="22"/>
  <c r="E27" i="22"/>
  <c r="E28" i="22"/>
  <c r="E31" i="22"/>
  <c r="U13" i="21" l="1"/>
  <c r="V12" i="21"/>
  <c r="V79" i="21" s="1"/>
  <c r="V7" i="44"/>
  <c r="M107" i="21"/>
  <c r="N58" i="44"/>
  <c r="U50" i="21"/>
  <c r="N60" i="44"/>
  <c r="M106" i="21"/>
  <c r="N62" i="44" s="1"/>
  <c r="N59" i="44"/>
  <c r="N110" i="21"/>
  <c r="N111" i="21" s="1"/>
  <c r="N109" i="21" s="1"/>
  <c r="N113" i="21" s="1"/>
  <c r="N100" i="21" s="1"/>
  <c r="N86" i="18"/>
  <c r="N84" i="18" s="1"/>
  <c r="W36" i="40"/>
  <c r="W106" i="40"/>
  <c r="W92" i="40" s="1"/>
  <c r="W87" i="40" s="1"/>
  <c r="W96" i="40" s="1"/>
  <c r="P52" i="21"/>
  <c r="P60" i="21"/>
  <c r="V13" i="21" l="1"/>
  <c r="W12" i="21"/>
  <c r="W79" i="21" s="1"/>
  <c r="W7" i="44"/>
  <c r="V50" i="21"/>
  <c r="N95" i="21"/>
  <c r="N105" i="21" s="1"/>
  <c r="N36" i="21"/>
  <c r="L2" i="43" a="1"/>
  <c r="L2" i="43" s="1"/>
  <c r="W68" i="40"/>
  <c r="W67" i="40" s="1"/>
  <c r="W58" i="40" s="1"/>
  <c r="W57" i="40" s="1"/>
  <c r="W83" i="40" s="1"/>
  <c r="G12" i="20" s="1"/>
  <c r="N90" i="18"/>
  <c r="N89" i="18"/>
  <c r="O93" i="18"/>
  <c r="O94" i="18" s="1"/>
  <c r="O92" i="18" s="1"/>
  <c r="O97" i="18" s="1"/>
  <c r="O83" i="18" s="1"/>
  <c r="W88" i="40"/>
  <c r="W95" i="40" s="1"/>
  <c r="W97" i="40"/>
  <c r="P23" i="21"/>
  <c r="P51" i="18"/>
  <c r="P59" i="18"/>
  <c r="X7" i="44" l="1"/>
  <c r="W13" i="21"/>
  <c r="W50" i="21"/>
  <c r="O13" i="44"/>
  <c r="N90" i="21"/>
  <c r="N91" i="21" s="1"/>
  <c r="N68" i="21"/>
  <c r="N67" i="21" s="1"/>
  <c r="N58" i="21" s="1"/>
  <c r="N57" i="21" s="1"/>
  <c r="N104" i="21"/>
  <c r="N96" i="21"/>
  <c r="N103" i="21" s="1"/>
  <c r="K2" i="43" a="1"/>
  <c r="K2" i="43" s="1"/>
  <c r="W77" i="40"/>
  <c r="I12" i="20" s="1"/>
  <c r="W78" i="40"/>
  <c r="O35" i="18"/>
  <c r="O67" i="18" s="1"/>
  <c r="O66" i="18" s="1"/>
  <c r="O57" i="18" s="1"/>
  <c r="O56" i="18" s="1"/>
  <c r="W94" i="40"/>
  <c r="W11" i="22"/>
  <c r="J12" i="20"/>
  <c r="O79" i="18"/>
  <c r="O80" i="18" s="1"/>
  <c r="O86" i="18" s="1"/>
  <c r="P24" i="21"/>
  <c r="P30" i="21"/>
  <c r="P22" i="18"/>
  <c r="O10" i="44" l="1"/>
  <c r="N77" i="21"/>
  <c r="N78" i="21"/>
  <c r="N88" i="21" s="1"/>
  <c r="N102" i="21"/>
  <c r="O5" i="44"/>
  <c r="O69" i="21"/>
  <c r="N83" i="21"/>
  <c r="N85" i="21"/>
  <c r="O70" i="21"/>
  <c r="N86" i="21"/>
  <c r="N84" i="21"/>
  <c r="Q16" i="44"/>
  <c r="P69" i="18"/>
  <c r="P27" i="44"/>
  <c r="O75" i="18"/>
  <c r="W93" i="40"/>
  <c r="W99" i="40" s="1"/>
  <c r="O85" i="18"/>
  <c r="O84" i="18" s="1"/>
  <c r="O88" i="18"/>
  <c r="O87" i="18"/>
  <c r="O18" i="22"/>
  <c r="F29" i="22"/>
  <c r="F30" i="22"/>
  <c r="F31" i="22"/>
  <c r="F28" i="22"/>
  <c r="O17" i="22"/>
  <c r="F27" i="22"/>
  <c r="O16" i="22"/>
  <c r="O15" i="22"/>
  <c r="O14" i="22"/>
  <c r="F22" i="22"/>
  <c r="P62" i="21"/>
  <c r="Q51" i="21"/>
  <c r="P23" i="18"/>
  <c r="P29" i="18"/>
  <c r="P33" i="21"/>
  <c r="Q18" i="44" s="1"/>
  <c r="O87" i="21" l="1"/>
  <c r="O6" i="44"/>
  <c r="O61" i="44"/>
  <c r="N101" i="21"/>
  <c r="P59" i="21"/>
  <c r="Q8" i="44"/>
  <c r="P93" i="18"/>
  <c r="P94" i="18" s="1"/>
  <c r="P92" i="18" s="1"/>
  <c r="P97" i="18" s="1"/>
  <c r="W98" i="40"/>
  <c r="O90" i="18"/>
  <c r="O89" i="18"/>
  <c r="P32" i="18"/>
  <c r="P61" i="18"/>
  <c r="P58" i="18" s="1"/>
  <c r="Q50" i="18"/>
  <c r="O59" i="44" l="1"/>
  <c r="O58" i="44"/>
  <c r="O60" i="44"/>
  <c r="N106" i="21"/>
  <c r="O62" i="44" s="1"/>
  <c r="O110" i="21"/>
  <c r="O111" i="21" s="1"/>
  <c r="O109" i="21" s="1"/>
  <c r="N107" i="21"/>
  <c r="P35" i="18"/>
  <c r="P67" i="18" s="1"/>
  <c r="P83" i="18"/>
  <c r="P68" i="18"/>
  <c r="O36" i="21" l="1"/>
  <c r="O113" i="21"/>
  <c r="O100" i="21" s="1"/>
  <c r="P66" i="18"/>
  <c r="P57" i="18" s="1"/>
  <c r="P56" i="18" s="1"/>
  <c r="P79" i="18"/>
  <c r="P80" i="18" s="1"/>
  <c r="Q60" i="21"/>
  <c r="Q52" i="21"/>
  <c r="O95" i="21" l="1"/>
  <c r="O104" i="21" s="1"/>
  <c r="O90" i="21"/>
  <c r="O91" i="21" s="1"/>
  <c r="O68" i="21"/>
  <c r="P13" i="44"/>
  <c r="Q69" i="18"/>
  <c r="Q27" i="44"/>
  <c r="P75" i="18"/>
  <c r="P88" i="18"/>
  <c r="P87" i="18"/>
  <c r="P85" i="18"/>
  <c r="Q23" i="21"/>
  <c r="Q59" i="18"/>
  <c r="Q51" i="18"/>
  <c r="P86" i="18"/>
  <c r="P10" i="44" l="1"/>
  <c r="O67" i="21"/>
  <c r="O58" i="21" s="1"/>
  <c r="O57" i="21" s="1"/>
  <c r="O78" i="21"/>
  <c r="O77" i="21"/>
  <c r="P87" i="21" s="1"/>
  <c r="O105" i="21"/>
  <c r="O96" i="21"/>
  <c r="Q22" i="18"/>
  <c r="Q30" i="21"/>
  <c r="Q24" i="21"/>
  <c r="P84" i="18"/>
  <c r="O102" i="21" l="1"/>
  <c r="O103" i="21"/>
  <c r="P6" i="44"/>
  <c r="O88" i="21"/>
  <c r="P69" i="21"/>
  <c r="P70" i="21"/>
  <c r="O86" i="21"/>
  <c r="O85" i="21"/>
  <c r="O84" i="21"/>
  <c r="P5" i="44"/>
  <c r="O83" i="21"/>
  <c r="R16" i="44"/>
  <c r="Q62" i="21"/>
  <c r="R51" i="21"/>
  <c r="Q29" i="18"/>
  <c r="Q23" i="18"/>
  <c r="P90" i="18"/>
  <c r="Q93" i="18"/>
  <c r="Q94" i="18" s="1"/>
  <c r="Q92" i="18" s="1"/>
  <c r="Q33" i="21"/>
  <c r="R18" i="44" s="1"/>
  <c r="P89" i="18"/>
  <c r="P61" i="44" l="1"/>
  <c r="O101" i="21"/>
  <c r="Q59" i="21"/>
  <c r="R8" i="44"/>
  <c r="Q97" i="18"/>
  <c r="P18" i="22"/>
  <c r="P14" i="22"/>
  <c r="P17" i="22"/>
  <c r="P16" i="22"/>
  <c r="G28" i="22"/>
  <c r="G22" i="22"/>
  <c r="G30" i="22"/>
  <c r="P15" i="22"/>
  <c r="G29" i="22"/>
  <c r="G27" i="22"/>
  <c r="G31" i="22"/>
  <c r="Q61" i="18"/>
  <c r="Q58" i="18" s="1"/>
  <c r="R50" i="18"/>
  <c r="Q35" i="18"/>
  <c r="Q32" i="18"/>
  <c r="Q68" i="18" s="1"/>
  <c r="O106" i="21" l="1"/>
  <c r="P62" i="44" s="1"/>
  <c r="P58" i="44"/>
  <c r="P60" i="44"/>
  <c r="P59" i="44"/>
  <c r="P110" i="21"/>
  <c r="P111" i="21" s="1"/>
  <c r="P109" i="21" s="1"/>
  <c r="P113" i="21" s="1"/>
  <c r="P100" i="21" s="1"/>
  <c r="O107" i="21"/>
  <c r="Q83" i="18"/>
  <c r="Q79" i="18" s="1"/>
  <c r="Q80" i="18" s="1"/>
  <c r="Q67" i="18"/>
  <c r="Q66" i="18" s="1"/>
  <c r="Q57" i="18" s="1"/>
  <c r="Q56" i="18" s="1"/>
  <c r="R27" i="44" s="1"/>
  <c r="P36" i="21" l="1"/>
  <c r="P95" i="21"/>
  <c r="P105" i="21" s="1"/>
  <c r="Q87" i="18"/>
  <c r="Q85" i="18"/>
  <c r="R52" i="21"/>
  <c r="R60" i="21"/>
  <c r="R69" i="18"/>
  <c r="Q75" i="18"/>
  <c r="Q88" i="18"/>
  <c r="Q86" i="18"/>
  <c r="Q13" i="44" l="1"/>
  <c r="P90" i="21"/>
  <c r="P91" i="21" s="1"/>
  <c r="P68" i="21"/>
  <c r="P67" i="21" s="1"/>
  <c r="P58" i="21" s="1"/>
  <c r="P57" i="21" s="1"/>
  <c r="P104" i="21"/>
  <c r="P96" i="21"/>
  <c r="P102" i="21" s="1"/>
  <c r="Q84" i="18"/>
  <c r="Q89" i="18" s="1"/>
  <c r="R23" i="21"/>
  <c r="R59" i="18"/>
  <c r="R51" i="18"/>
  <c r="Q10" i="44" l="1"/>
  <c r="P78" i="21"/>
  <c r="P88" i="21" s="1"/>
  <c r="P77" i="21"/>
  <c r="Q87" i="21" s="1"/>
  <c r="P103" i="21"/>
  <c r="Q61" i="44" s="1"/>
  <c r="Q69" i="21"/>
  <c r="P84" i="21"/>
  <c r="Q5" i="44"/>
  <c r="Q70" i="21"/>
  <c r="P85" i="21"/>
  <c r="P86" i="21"/>
  <c r="P83" i="21"/>
  <c r="Q90" i="18"/>
  <c r="R93" i="18"/>
  <c r="R94" i="18" s="1"/>
  <c r="R92" i="18" s="1"/>
  <c r="R24" i="21"/>
  <c r="R30" i="21"/>
  <c r="R22" i="18"/>
  <c r="Q6" i="44" l="1"/>
  <c r="P101" i="21"/>
  <c r="S16" i="44"/>
  <c r="R35" i="18"/>
  <c r="Q17" i="22"/>
  <c r="Q14" i="22"/>
  <c r="H28" i="22"/>
  <c r="Q16" i="22"/>
  <c r="H27" i="22"/>
  <c r="Q18" i="22"/>
  <c r="Q15" i="22"/>
  <c r="H29" i="22"/>
  <c r="H22" i="22"/>
  <c r="H31" i="22"/>
  <c r="H30" i="22"/>
  <c r="R62" i="21"/>
  <c r="S51" i="21"/>
  <c r="R29" i="18"/>
  <c r="R23" i="18"/>
  <c r="R97" i="18" s="1"/>
  <c r="R33" i="21"/>
  <c r="S18" i="44" s="1"/>
  <c r="Q60" i="44" l="1"/>
  <c r="Q58" i="44"/>
  <c r="Q59" i="44"/>
  <c r="Q110" i="21"/>
  <c r="Q111" i="21" s="1"/>
  <c r="Q109" i="21" s="1"/>
  <c r="Q113" i="21" s="1"/>
  <c r="Q100" i="21" s="1"/>
  <c r="P106" i="21"/>
  <c r="Q62" i="44" s="1"/>
  <c r="P107" i="21"/>
  <c r="R59" i="21"/>
  <c r="S8" i="44"/>
  <c r="R61" i="18"/>
  <c r="R58" i="18" s="1"/>
  <c r="S50" i="18"/>
  <c r="R32" i="18"/>
  <c r="R67" i="18" s="1"/>
  <c r="Q36" i="21" l="1"/>
  <c r="Q95" i="21"/>
  <c r="R83" i="18"/>
  <c r="R79" i="18" s="1"/>
  <c r="R80" i="18" s="1"/>
  <c r="R68" i="18"/>
  <c r="R66" i="18" s="1"/>
  <c r="R57" i="18" s="1"/>
  <c r="R56" i="18" s="1"/>
  <c r="S27" i="44" s="1"/>
  <c r="R13" i="44" l="1"/>
  <c r="Q68" i="21"/>
  <c r="Q78" i="21" s="1"/>
  <c r="Q90" i="21"/>
  <c r="Q91" i="21" s="1"/>
  <c r="Q105" i="21"/>
  <c r="Q104" i="21"/>
  <c r="Q96" i="21"/>
  <c r="Q103" i="21" s="1"/>
  <c r="R10" i="44"/>
  <c r="Q67" i="21"/>
  <c r="Q58" i="21" s="1"/>
  <c r="Q57" i="21" s="1"/>
  <c r="R18" i="22"/>
  <c r="R15" i="22"/>
  <c r="R14" i="22"/>
  <c r="R17" i="22"/>
  <c r="H12" i="20" s="1"/>
  <c r="R16" i="22"/>
  <c r="I27" i="22"/>
  <c r="I28" i="22"/>
  <c r="I22" i="22"/>
  <c r="I31" i="22"/>
  <c r="I29" i="22"/>
  <c r="I30" i="22"/>
  <c r="R88" i="18"/>
  <c r="R85" i="18"/>
  <c r="R87" i="18"/>
  <c r="R86" i="18"/>
  <c r="S52" i="21"/>
  <c r="S60" i="21"/>
  <c r="R75" i="18"/>
  <c r="S69" i="18"/>
  <c r="Q77" i="21" l="1"/>
  <c r="R87" i="21" s="1"/>
  <c r="I36" i="44"/>
  <c r="Q102" i="21"/>
  <c r="R70" i="21"/>
  <c r="R5" i="44"/>
  <c r="Q83" i="21"/>
  <c r="Q84" i="21"/>
  <c r="Q85" i="21"/>
  <c r="R69" i="21"/>
  <c r="Q86" i="21"/>
  <c r="Q88" i="21"/>
  <c r="R84" i="18"/>
  <c r="R90" i="18" s="1"/>
  <c r="S23" i="21"/>
  <c r="S51" i="18"/>
  <c r="S59" i="18"/>
  <c r="O36" i="44" l="1"/>
  <c r="S36" i="44" s="1" a="1"/>
  <c r="S36" i="44" s="1"/>
  <c r="P36" i="44"/>
  <c r="R36" i="44" s="1"/>
  <c r="R6" i="44"/>
  <c r="J36" i="44" a="1"/>
  <c r="J36" i="44" s="1"/>
  <c r="V36" i="44" s="1"/>
  <c r="K36" i="44" a="1"/>
  <c r="K36" i="44" s="1"/>
  <c r="M36" i="44" a="1"/>
  <c r="M36" i="44" s="1"/>
  <c r="L36" i="44" a="1"/>
  <c r="L36" i="44" s="1"/>
  <c r="R61" i="44"/>
  <c r="Q101" i="21"/>
  <c r="R89" i="18"/>
  <c r="S93" i="18"/>
  <c r="S94" i="18" s="1"/>
  <c r="S92" i="18" s="1"/>
  <c r="S30" i="21"/>
  <c r="S24" i="21"/>
  <c r="S22" i="18"/>
  <c r="T36" i="44" l="1"/>
  <c r="W36" i="44"/>
  <c r="R59" i="44"/>
  <c r="R58" i="44"/>
  <c r="Q36" i="44" a="1"/>
  <c r="Q36" i="44" s="1"/>
  <c r="R60" i="44"/>
  <c r="R110" i="21"/>
  <c r="R111" i="21" s="1"/>
  <c r="R109" i="21" s="1"/>
  <c r="Q106" i="21"/>
  <c r="R62" i="44" s="1"/>
  <c r="Q107" i="21"/>
  <c r="T16" i="44"/>
  <c r="S35" i="18"/>
  <c r="S62" i="21"/>
  <c r="T51" i="21"/>
  <c r="S29" i="18"/>
  <c r="S23" i="18"/>
  <c r="S97" i="18" s="1"/>
  <c r="S33" i="21"/>
  <c r="T18" i="44" s="1"/>
  <c r="F36" i="44" l="1"/>
  <c r="R113" i="21"/>
  <c r="R100" i="21" s="1"/>
  <c r="R36" i="21"/>
  <c r="S59" i="21"/>
  <c r="T8" i="44"/>
  <c r="S32" i="18"/>
  <c r="S67" i="18" s="1"/>
  <c r="S61" i="18"/>
  <c r="S58" i="18" s="1"/>
  <c r="T50" i="18"/>
  <c r="S13" i="44" l="1"/>
  <c r="R68" i="21"/>
  <c r="R90" i="21"/>
  <c r="R91" i="21" s="1"/>
  <c r="R95" i="21"/>
  <c r="S83" i="18"/>
  <c r="S68" i="18"/>
  <c r="S66" i="18" s="1"/>
  <c r="S57" i="18" s="1"/>
  <c r="S56" i="18" s="1"/>
  <c r="T27" i="44" s="1"/>
  <c r="R96" i="21" l="1"/>
  <c r="R103" i="21" s="1"/>
  <c r="R104" i="21"/>
  <c r="S10" i="44"/>
  <c r="R78" i="21"/>
  <c r="R77" i="21"/>
  <c r="S87" i="21" s="1"/>
  <c r="R67" i="21"/>
  <c r="R58" i="21" s="1"/>
  <c r="R57" i="21" s="1"/>
  <c r="R105" i="21"/>
  <c r="S79" i="18"/>
  <c r="S80" i="18" s="1"/>
  <c r="T69" i="18"/>
  <c r="S75" i="18"/>
  <c r="T52" i="21"/>
  <c r="T60" i="21"/>
  <c r="R102" i="21" l="1"/>
  <c r="S60" i="44" s="1"/>
  <c r="S61" i="44"/>
  <c r="S6" i="44"/>
  <c r="R88" i="21"/>
  <c r="S70" i="21"/>
  <c r="S5" i="44"/>
  <c r="R84" i="21"/>
  <c r="S69" i="21"/>
  <c r="R83" i="21"/>
  <c r="R85" i="21"/>
  <c r="R86" i="21"/>
  <c r="S85" i="18"/>
  <c r="S86" i="18"/>
  <c r="S87" i="18"/>
  <c r="S88" i="18"/>
  <c r="T23" i="21"/>
  <c r="T51" i="18"/>
  <c r="T59" i="18"/>
  <c r="R101" i="21" l="1"/>
  <c r="S84" i="18"/>
  <c r="S90" i="18" s="1"/>
  <c r="T22" i="18"/>
  <c r="T24" i="21"/>
  <c r="T30" i="21"/>
  <c r="R107" i="21" l="1"/>
  <c r="S58" i="44"/>
  <c r="S59" i="44"/>
  <c r="R106" i="21"/>
  <c r="S62" i="44" s="1"/>
  <c r="S110" i="21"/>
  <c r="S111" i="21" s="1"/>
  <c r="S109" i="21" s="1"/>
  <c r="S36" i="21" s="1"/>
  <c r="S89" i="18"/>
  <c r="T93" i="18"/>
  <c r="T94" i="18" s="1"/>
  <c r="T92" i="18" s="1"/>
  <c r="T35" i="18" s="1"/>
  <c r="U16" i="44"/>
  <c r="T62" i="21"/>
  <c r="U51" i="21"/>
  <c r="T33" i="21"/>
  <c r="T29" i="18"/>
  <c r="T23" i="18"/>
  <c r="S90" i="21" l="1"/>
  <c r="S91" i="21" s="1"/>
  <c r="S68" i="21"/>
  <c r="S67" i="21" s="1"/>
  <c r="S58" i="21" s="1"/>
  <c r="S57" i="21" s="1"/>
  <c r="T69" i="21" s="1"/>
  <c r="T13" i="44"/>
  <c r="S113" i="21"/>
  <c r="S100" i="21" s="1"/>
  <c r="T97" i="18"/>
  <c r="T10" i="44"/>
  <c r="T59" i="21"/>
  <c r="U8" i="44"/>
  <c r="U18" i="44"/>
  <c r="T61" i="18"/>
  <c r="T58" i="18" s="1"/>
  <c r="U50" i="18"/>
  <c r="T32" i="18"/>
  <c r="T67" i="18" s="1"/>
  <c r="S77" i="21" l="1"/>
  <c r="T6" i="44" s="1"/>
  <c r="S78" i="21"/>
  <c r="S88" i="21" s="1"/>
  <c r="S95" i="21"/>
  <c r="S96" i="21" s="1"/>
  <c r="S103" i="21" s="1"/>
  <c r="S85" i="21"/>
  <c r="S86" i="21"/>
  <c r="S83" i="21"/>
  <c r="S84" i="21"/>
  <c r="T70" i="21"/>
  <c r="T5" i="44"/>
  <c r="T83" i="18"/>
  <c r="T79" i="18" s="1"/>
  <c r="T80" i="18" s="1"/>
  <c r="T68" i="18"/>
  <c r="T66" i="18" s="1"/>
  <c r="T57" i="18" s="1"/>
  <c r="T56" i="18" s="1"/>
  <c r="T87" i="21" l="1"/>
  <c r="S102" i="21"/>
  <c r="S101" i="21" s="1"/>
  <c r="T58" i="44" s="1"/>
  <c r="S105" i="21"/>
  <c r="S104" i="21"/>
  <c r="T61" i="44" s="1"/>
  <c r="T60" i="44"/>
  <c r="U27" i="44"/>
  <c r="T75" i="18"/>
  <c r="U69" i="18"/>
  <c r="U60" i="21"/>
  <c r="U52" i="21"/>
  <c r="T88" i="18"/>
  <c r="T85" i="18"/>
  <c r="T87" i="18"/>
  <c r="T86" i="18"/>
  <c r="T59" i="44" l="1"/>
  <c r="S107" i="21"/>
  <c r="T110" i="21"/>
  <c r="T111" i="21" s="1"/>
  <c r="T109" i="21" s="1"/>
  <c r="T62" i="44"/>
  <c r="S106" i="21"/>
  <c r="T84" i="18"/>
  <c r="T90" i="18" s="1"/>
  <c r="U59" i="18"/>
  <c r="U51" i="18"/>
  <c r="U23" i="21"/>
  <c r="T113" i="21" l="1"/>
  <c r="T100" i="21" s="1"/>
  <c r="T95" i="21" s="1"/>
  <c r="T96" i="21" s="1"/>
  <c r="T36" i="21"/>
  <c r="U13" i="44"/>
  <c r="T89" i="18"/>
  <c r="U93" i="18"/>
  <c r="U94" i="18" s="1"/>
  <c r="U92" i="18" s="1"/>
  <c r="U30" i="21"/>
  <c r="U24" i="21"/>
  <c r="U22" i="18"/>
  <c r="T68" i="21" l="1"/>
  <c r="T67" i="21" s="1"/>
  <c r="T58" i="21" s="1"/>
  <c r="T57" i="21" s="1"/>
  <c r="T90" i="21"/>
  <c r="T91" i="21" s="1"/>
  <c r="T103" i="21"/>
  <c r="T104" i="21"/>
  <c r="U61" i="44" s="1"/>
  <c r="T102" i="21"/>
  <c r="T105" i="21"/>
  <c r="U10" i="44"/>
  <c r="V16" i="44"/>
  <c r="U35" i="18"/>
  <c r="U62" i="21"/>
  <c r="V51" i="21"/>
  <c r="U23" i="18"/>
  <c r="U97" i="18" s="1"/>
  <c r="U29" i="18"/>
  <c r="U33" i="21"/>
  <c r="T77" i="21" l="1"/>
  <c r="U87" i="21" s="1"/>
  <c r="T78" i="21"/>
  <c r="T88" i="21" s="1"/>
  <c r="T101" i="21"/>
  <c r="T106" i="21" s="1"/>
  <c r="U62" i="44" s="1"/>
  <c r="U6" i="44"/>
  <c r="U60" i="44"/>
  <c r="T86" i="21"/>
  <c r="T85" i="21"/>
  <c r="T84" i="21"/>
  <c r="U70" i="21"/>
  <c r="T83" i="21"/>
  <c r="U5" i="44"/>
  <c r="V18" i="44"/>
  <c r="U59" i="21"/>
  <c r="V8" i="44"/>
  <c r="U69" i="21"/>
  <c r="U61" i="18"/>
  <c r="U58" i="18" s="1"/>
  <c r="V50" i="18"/>
  <c r="U32" i="18"/>
  <c r="U67" i="18" s="1"/>
  <c r="U110" i="21" l="1"/>
  <c r="U111" i="21" s="1"/>
  <c r="U109" i="21" s="1"/>
  <c r="U36" i="21" s="1"/>
  <c r="T107" i="21"/>
  <c r="U59" i="44"/>
  <c r="U58" i="44"/>
  <c r="U83" i="18"/>
  <c r="U79" i="18" s="1"/>
  <c r="U80" i="18" s="1"/>
  <c r="U68" i="18"/>
  <c r="U66" i="18" s="1"/>
  <c r="U57" i="18" s="1"/>
  <c r="U56" i="18" s="1"/>
  <c r="V27" i="44" s="1"/>
  <c r="U113" i="21" l="1"/>
  <c r="U100" i="21" s="1"/>
  <c r="U95" i="21" s="1"/>
  <c r="U96" i="21" s="1"/>
  <c r="U102" i="21" s="1"/>
  <c r="V13" i="44"/>
  <c r="U90" i="21"/>
  <c r="U91" i="21" s="1"/>
  <c r="U68" i="21"/>
  <c r="U103" i="21"/>
  <c r="U101" i="21" s="1"/>
  <c r="V59" i="44" s="1"/>
  <c r="U105" i="21"/>
  <c r="U104" i="21"/>
  <c r="V69" i="18"/>
  <c r="U75" i="18"/>
  <c r="U87" i="18"/>
  <c r="U88" i="18"/>
  <c r="U86" i="18"/>
  <c r="U85" i="18"/>
  <c r="V52" i="21"/>
  <c r="V60" i="21"/>
  <c r="V58" i="44" l="1"/>
  <c r="V61" i="44"/>
  <c r="V10" i="44"/>
  <c r="U78" i="21"/>
  <c r="U77" i="21"/>
  <c r="V87" i="21" s="1"/>
  <c r="U67" i="21"/>
  <c r="U58" i="21" s="1"/>
  <c r="U57" i="21" s="1"/>
  <c r="V60" i="44"/>
  <c r="U84" i="18"/>
  <c r="V93" i="18" s="1"/>
  <c r="V94" i="18" s="1"/>
  <c r="V92" i="18" s="1"/>
  <c r="V110" i="21"/>
  <c r="V111" i="21" s="1"/>
  <c r="U107" i="21"/>
  <c r="V23" i="21"/>
  <c r="U106" i="21"/>
  <c r="V62" i="44" s="1"/>
  <c r="V51" i="18"/>
  <c r="V59" i="18"/>
  <c r="V70" i="21" l="1"/>
  <c r="U85" i="21"/>
  <c r="U86" i="21"/>
  <c r="U83" i="21"/>
  <c r="V5" i="44"/>
  <c r="U84" i="21"/>
  <c r="V6" i="44"/>
  <c r="U88" i="21"/>
  <c r="V109" i="21"/>
  <c r="U90" i="18"/>
  <c r="U89" i="18"/>
  <c r="V22" i="18"/>
  <c r="V24" i="21"/>
  <c r="V30" i="21"/>
  <c r="V35" i="18"/>
  <c r="V36" i="21" l="1"/>
  <c r="W16" i="44"/>
  <c r="V113" i="21"/>
  <c r="V62" i="21"/>
  <c r="W51" i="21"/>
  <c r="V33" i="21"/>
  <c r="V23" i="18"/>
  <c r="V97" i="18" s="1"/>
  <c r="V29" i="18"/>
  <c r="W13" i="44" l="1"/>
  <c r="V90" i="21"/>
  <c r="V91" i="21" s="1"/>
  <c r="V68" i="21"/>
  <c r="W10" i="44" s="1"/>
  <c r="W18" i="44"/>
  <c r="V59" i="21"/>
  <c r="W8" i="44"/>
  <c r="V100" i="21"/>
  <c r="V61" i="18"/>
  <c r="V58" i="18" s="1"/>
  <c r="W50" i="18"/>
  <c r="V69" i="21"/>
  <c r="V32" i="18"/>
  <c r="V67" i="18" s="1"/>
  <c r="V67" i="21" l="1"/>
  <c r="V58" i="21" s="1"/>
  <c r="V57" i="21" s="1"/>
  <c r="W5" i="44" s="1"/>
  <c r="V78" i="21"/>
  <c r="V88" i="21" s="1"/>
  <c r="V77" i="21"/>
  <c r="W87" i="21" s="1"/>
  <c r="V95" i="21"/>
  <c r="V96" i="21" s="1"/>
  <c r="V103" i="21" s="1"/>
  <c r="V83" i="18"/>
  <c r="V79" i="18" s="1"/>
  <c r="V80" i="18" s="1"/>
  <c r="V68" i="18"/>
  <c r="V66" i="18" s="1"/>
  <c r="V57" i="18" s="1"/>
  <c r="V56" i="18" s="1"/>
  <c r="W27" i="44" s="1"/>
  <c r="V85" i="21" l="1"/>
  <c r="V86" i="21"/>
  <c r="V83" i="21"/>
  <c r="V84" i="21"/>
  <c r="W6" i="44"/>
  <c r="W70" i="21"/>
  <c r="V104" i="21"/>
  <c r="V105" i="21"/>
  <c r="V102" i="21"/>
  <c r="V87" i="18"/>
  <c r="V86" i="18"/>
  <c r="V88" i="18"/>
  <c r="V75" i="18"/>
  <c r="W69" i="18"/>
  <c r="W60" i="21"/>
  <c r="W52" i="21"/>
  <c r="V85" i="18"/>
  <c r="W61" i="44" l="1"/>
  <c r="V101" i="21"/>
  <c r="W23" i="21"/>
  <c r="W30" i="21" s="1"/>
  <c r="W62" i="21" s="1"/>
  <c r="X8" i="44" s="1"/>
  <c r="V84" i="18"/>
  <c r="W93" i="18" s="1"/>
  <c r="W94" i="18" s="1"/>
  <c r="W92" i="18" s="1"/>
  <c r="W59" i="18"/>
  <c r="W51" i="18"/>
  <c r="V106" i="21" l="1"/>
  <c r="W62" i="44" s="1"/>
  <c r="W58" i="44"/>
  <c r="W110" i="21"/>
  <c r="W111" i="21" s="1"/>
  <c r="W109" i="21" s="1"/>
  <c r="W60" i="44"/>
  <c r="W59" i="44"/>
  <c r="V107" i="21"/>
  <c r="W24" i="21"/>
  <c r="W22" i="18"/>
  <c r="W23" i="18" s="1"/>
  <c r="W97" i="18" s="1"/>
  <c r="V89" i="18"/>
  <c r="V90" i="18"/>
  <c r="W59" i="21"/>
  <c r="W35" i="18"/>
  <c r="W36" i="21" l="1"/>
  <c r="X16" i="44"/>
  <c r="W113" i="21"/>
  <c r="W100" i="21" s="1"/>
  <c r="W33" i="21"/>
  <c r="W29" i="18"/>
  <c r="W61" i="18" s="1"/>
  <c r="W58" i="18" s="1"/>
  <c r="W32" i="18"/>
  <c r="W67" i="18" s="1"/>
  <c r="X13" i="44" l="1"/>
  <c r="W90" i="21"/>
  <c r="W91" i="21" s="1"/>
  <c r="W95" i="21"/>
  <c r="W96" i="21" s="1"/>
  <c r="W103" i="21" s="1"/>
  <c r="W68" i="21"/>
  <c r="W77" i="21" s="1"/>
  <c r="X18" i="44"/>
  <c r="W83" i="18"/>
  <c r="W79" i="18" s="1"/>
  <c r="W80" i="18" s="1"/>
  <c r="W85" i="18" s="1"/>
  <c r="W69" i="21"/>
  <c r="W68" i="18"/>
  <c r="W66" i="18" s="1"/>
  <c r="W57" i="18" s="1"/>
  <c r="W56" i="18" s="1"/>
  <c r="W105" i="21" l="1"/>
  <c r="W102" i="21"/>
  <c r="W101" i="21" s="1"/>
  <c r="W104" i="21"/>
  <c r="X61" i="44" s="1"/>
  <c r="W67" i="21"/>
  <c r="W58" i="21" s="1"/>
  <c r="W57" i="21" s="1"/>
  <c r="X27" i="44"/>
  <c r="J14" i="20"/>
  <c r="X6" i="44"/>
  <c r="W78" i="21"/>
  <c r="W88" i="21" s="1"/>
  <c r="X10" i="44"/>
  <c r="W87" i="18"/>
  <c r="W88" i="18"/>
  <c r="W86" i="18"/>
  <c r="W84" i="18" s="1"/>
  <c r="W75" i="18"/>
  <c r="G14" i="20" s="1"/>
  <c r="X5" i="44" l="1"/>
  <c r="W86" i="21"/>
  <c r="W85" i="21"/>
  <c r="W84" i="21"/>
  <c r="W83" i="21"/>
  <c r="W107" i="21"/>
  <c r="X58" i="44"/>
  <c r="X60" i="44"/>
  <c r="X59" i="44"/>
  <c r="W90" i="18"/>
  <c r="W89" i="18"/>
  <c r="W106" i="21"/>
  <c r="X62" i="44" s="1"/>
  <c r="H93" i="17"/>
  <c r="H94" i="17" s="1"/>
  <c r="H92" i="17" s="1"/>
  <c r="H97" i="17" s="1"/>
  <c r="H83" i="17" s="1"/>
  <c r="H35" i="17" l="1"/>
  <c r="H67" i="17" s="1"/>
  <c r="H66" i="17" s="1"/>
  <c r="H57" i="17" s="1"/>
  <c r="H56" i="17" s="1"/>
  <c r="I23" i="44" s="1"/>
  <c r="H79" i="17" l="1"/>
  <c r="H80" i="17" s="1"/>
  <c r="I69" i="17"/>
  <c r="I68" i="17"/>
  <c r="H87" i="17" l="1"/>
  <c r="H86" i="17"/>
  <c r="H85" i="17"/>
  <c r="H88" i="17"/>
  <c r="H84" i="17" l="1"/>
  <c r="I93" i="17" s="1"/>
  <c r="I94" i="17" s="1"/>
  <c r="I92" i="17" s="1"/>
  <c r="I97" i="17" s="1"/>
  <c r="I83" i="17" s="1"/>
  <c r="H89" i="17" l="1"/>
  <c r="H90" i="17"/>
  <c r="I35" i="17"/>
  <c r="I67" i="17" s="1"/>
  <c r="I66" i="17" s="1"/>
  <c r="I57" i="17" s="1"/>
  <c r="I56" i="17" s="1"/>
  <c r="J23" i="44" s="1"/>
  <c r="I79" i="17" l="1"/>
  <c r="I80" i="17" s="1"/>
  <c r="J68" i="17"/>
  <c r="J69" i="17"/>
  <c r="I87" i="17" l="1"/>
  <c r="I88" i="17"/>
  <c r="I86" i="17"/>
  <c r="I85" i="17"/>
  <c r="I84" i="17" l="1"/>
  <c r="J93" i="17" s="1"/>
  <c r="J94" i="17" s="1"/>
  <c r="J92" i="17" s="1"/>
  <c r="J97" i="17" s="1"/>
  <c r="J83" i="17" s="1"/>
  <c r="I89" i="17" l="1"/>
  <c r="I90" i="17"/>
  <c r="J35" i="17"/>
  <c r="J67" i="17" s="1"/>
  <c r="J66" i="17" s="1"/>
  <c r="J57" i="17" s="1"/>
  <c r="J56" i="17" s="1"/>
  <c r="K23" i="44" s="1"/>
  <c r="K37" i="17" l="1"/>
  <c r="K36" i="17"/>
  <c r="K68" i="17"/>
  <c r="K69" i="17"/>
  <c r="J79" i="17"/>
  <c r="J80" i="17" s="1"/>
  <c r="L24" i="44" l="1"/>
  <c r="L25" i="44"/>
  <c r="J88" i="17"/>
  <c r="J85" i="17"/>
  <c r="J87" i="17"/>
  <c r="J86" i="17"/>
  <c r="J84" i="17" l="1"/>
  <c r="J89" i="17" s="1"/>
  <c r="K93" i="17" l="1"/>
  <c r="K94" i="17" s="1"/>
  <c r="K92" i="17" s="1"/>
  <c r="K97" i="17" s="1"/>
  <c r="K83" i="17" s="1"/>
  <c r="J90" i="17"/>
  <c r="K35" i="17" l="1"/>
  <c r="K67" i="17" s="1"/>
  <c r="K66" i="17" s="1"/>
  <c r="K57" i="17" s="1"/>
  <c r="K56" i="17" s="1"/>
  <c r="K79" i="17"/>
  <c r="K80" i="17" s="1"/>
  <c r="L69" i="17" l="1"/>
  <c r="L23" i="44"/>
  <c r="K75" i="17"/>
  <c r="L68" i="17"/>
  <c r="K86" i="17"/>
  <c r="K88" i="17"/>
  <c r="K85" i="17"/>
  <c r="K87" i="17"/>
  <c r="K84" i="17" l="1"/>
  <c r="K90" i="17" s="1"/>
  <c r="K89" i="17" l="1"/>
  <c r="L93" i="17"/>
  <c r="L94" i="17" s="1"/>
  <c r="L92" i="17" s="1"/>
  <c r="L97" i="17" s="1"/>
  <c r="L83" i="17" s="1"/>
  <c r="L79" i="17" l="1"/>
  <c r="L80" i="17" s="1"/>
  <c r="L35" i="17"/>
  <c r="L67" i="17" s="1"/>
  <c r="L66" i="17" s="1"/>
  <c r="L57" i="17" s="1"/>
  <c r="L56" i="17" s="1"/>
  <c r="L75" i="17" l="1"/>
  <c r="M23" i="44"/>
  <c r="M69" i="17"/>
  <c r="M68" i="17"/>
  <c r="L87" i="17"/>
  <c r="L86" i="17"/>
  <c r="L85" i="17"/>
  <c r="L88" i="17"/>
  <c r="L84" i="17" l="1"/>
  <c r="L89" i="17" s="1"/>
  <c r="M93" i="17" l="1"/>
  <c r="M94" i="17" s="1"/>
  <c r="M92" i="17" s="1"/>
  <c r="M97" i="17" s="1"/>
  <c r="M83" i="17" s="1"/>
  <c r="L90" i="17"/>
  <c r="M35" i="17" l="1"/>
  <c r="M67" i="17" s="1"/>
  <c r="M66" i="17" s="1"/>
  <c r="M57" i="17" s="1"/>
  <c r="M56" i="17" s="1"/>
  <c r="N69" i="17" l="1"/>
  <c r="N23" i="44"/>
  <c r="M79" i="17"/>
  <c r="M80" i="17" s="1"/>
  <c r="M86" i="17" s="1"/>
  <c r="N37" i="17"/>
  <c r="N36" i="17"/>
  <c r="M75" i="17"/>
  <c r="N68" i="17"/>
  <c r="O24" i="44" l="1"/>
  <c r="O25" i="44"/>
  <c r="M85" i="17"/>
  <c r="M84" i="17" s="1"/>
  <c r="M88" i="17"/>
  <c r="M87" i="17"/>
  <c r="M90" i="17" l="1"/>
  <c r="N93" i="17"/>
  <c r="N94" i="17" s="1"/>
  <c r="N92" i="17" s="1"/>
  <c r="N97" i="17" s="1"/>
  <c r="N83" i="17" s="1"/>
  <c r="N79" i="17" s="1"/>
  <c r="M89" i="17"/>
  <c r="N35" i="17" l="1"/>
  <c r="N67" i="17" s="1"/>
  <c r="N66" i="17" s="1"/>
  <c r="N57" i="17" s="1"/>
  <c r="N56" i="17" s="1"/>
  <c r="N80" i="17"/>
  <c r="N86" i="17" s="1"/>
  <c r="N87" i="17"/>
  <c r="N88" i="17"/>
  <c r="O68" i="17" l="1"/>
  <c r="O23" i="44"/>
  <c r="O69" i="17"/>
  <c r="N75" i="17"/>
  <c r="N85" i="17"/>
  <c r="N84" i="17" s="1"/>
  <c r="N89" i="17" l="1"/>
  <c r="N90" i="17"/>
  <c r="O93" i="17"/>
  <c r="O94" i="17" s="1"/>
  <c r="O92" i="17" s="1"/>
  <c r="O97" i="17" s="1"/>
  <c r="O83" i="17" s="1"/>
  <c r="O35" i="17" l="1"/>
  <c r="O67" i="17" s="1"/>
  <c r="O66" i="17" s="1"/>
  <c r="O57" i="17" s="1"/>
  <c r="O56" i="17" s="1"/>
  <c r="O79" i="17"/>
  <c r="O80" i="17" s="1"/>
  <c r="P68" i="17" l="1"/>
  <c r="P23" i="44"/>
  <c r="P69" i="17"/>
  <c r="O75" i="17"/>
  <c r="O87" i="17"/>
  <c r="O86" i="17"/>
  <c r="O88" i="17"/>
  <c r="O85" i="17"/>
  <c r="O84" i="17" l="1"/>
  <c r="P93" i="17" s="1"/>
  <c r="P94" i="17" s="1"/>
  <c r="P92" i="17" s="1"/>
  <c r="P97" i="17" s="1"/>
  <c r="P83" i="17" s="1"/>
  <c r="O89" i="17" l="1"/>
  <c r="O90" i="17"/>
  <c r="P35" i="17"/>
  <c r="P67" i="17" s="1"/>
  <c r="P66" i="17" s="1"/>
  <c r="P57" i="17" s="1"/>
  <c r="P56" i="17" s="1"/>
  <c r="Q23" i="44" s="1"/>
  <c r="Q68" i="17" l="1"/>
  <c r="Q69" i="17"/>
  <c r="P75" i="17"/>
  <c r="P79" i="17"/>
  <c r="P80" i="17" s="1"/>
  <c r="P88" i="17" l="1"/>
  <c r="P87" i="17"/>
  <c r="P85" i="17"/>
  <c r="P86" i="17"/>
  <c r="P84" i="17" l="1"/>
  <c r="P90" i="17" l="1"/>
  <c r="Q93" i="17"/>
  <c r="Q94" i="17" s="1"/>
  <c r="Q92" i="17" s="1"/>
  <c r="Q97" i="17" s="1"/>
  <c r="Q83" i="17" s="1"/>
  <c r="P89" i="17"/>
  <c r="Q35" i="17" l="1"/>
  <c r="Q67" i="17" s="1"/>
  <c r="Q66" i="17" s="1"/>
  <c r="Q57" i="17" s="1"/>
  <c r="Q56" i="17" s="1"/>
  <c r="R23" i="44" s="1"/>
  <c r="R68" i="17" l="1"/>
  <c r="R69" i="17"/>
  <c r="Q75" i="17"/>
  <c r="Q79" i="17"/>
  <c r="Q80" i="17" s="1"/>
  <c r="Q85" i="17" l="1"/>
  <c r="Q87" i="17"/>
  <c r="Q88" i="17"/>
  <c r="Q86" i="17"/>
  <c r="Q84" i="17" l="1"/>
  <c r="R93" i="17" l="1"/>
  <c r="R94" i="17" s="1"/>
  <c r="R92" i="17" s="1"/>
  <c r="R97" i="17" s="1"/>
  <c r="R83" i="17" s="1"/>
  <c r="Q90" i="17"/>
  <c r="Q89" i="17"/>
  <c r="R35" i="17" l="1"/>
  <c r="R67" i="17" s="1"/>
  <c r="R66" i="17" s="1"/>
  <c r="R57" i="17" s="1"/>
  <c r="R56" i="17" s="1"/>
  <c r="S23" i="44" s="1"/>
  <c r="R75" i="17" l="1"/>
  <c r="S69" i="17"/>
  <c r="S68" i="17"/>
  <c r="R79" i="17"/>
  <c r="R80" i="17" s="1"/>
  <c r="R87" i="17" l="1"/>
  <c r="R88" i="17"/>
  <c r="R86" i="17"/>
  <c r="R85" i="17"/>
  <c r="R84" i="17" l="1"/>
  <c r="R90" i="17" s="1"/>
  <c r="R89" i="17" l="1"/>
  <c r="S93" i="17"/>
  <c r="S94" i="17" s="1"/>
  <c r="S92" i="17" s="1"/>
  <c r="S97" i="17" s="1"/>
  <c r="S83" i="17" s="1"/>
  <c r="S35" i="17" l="1"/>
  <c r="S67" i="17" s="1"/>
  <c r="S66" i="17" s="1"/>
  <c r="S57" i="17" s="1"/>
  <c r="S56" i="17" s="1"/>
  <c r="S79" i="17"/>
  <c r="S80" i="17" s="1"/>
  <c r="T68" i="17" l="1"/>
  <c r="T23" i="44"/>
  <c r="S75" i="17"/>
  <c r="T69" i="17"/>
  <c r="S87" i="17"/>
  <c r="S86" i="17"/>
  <c r="S88" i="17"/>
  <c r="S85" i="17"/>
  <c r="S84" i="17" l="1"/>
  <c r="S90" i="17" s="1"/>
  <c r="S89" i="17" l="1"/>
  <c r="T93" i="17"/>
  <c r="T94" i="17" s="1"/>
  <c r="T92" i="17" s="1"/>
  <c r="T97" i="17" s="1"/>
  <c r="T83" i="17" s="1"/>
  <c r="T79" i="17" l="1"/>
  <c r="T80" i="17" s="1"/>
  <c r="T35" i="17"/>
  <c r="T67" i="17" s="1"/>
  <c r="T66" i="17" s="1"/>
  <c r="T57" i="17" s="1"/>
  <c r="T56" i="17" s="1"/>
  <c r="U23" i="44" s="1"/>
  <c r="U69" i="17" l="1"/>
  <c r="U68" i="17"/>
  <c r="T75" i="17"/>
  <c r="T85" i="17"/>
  <c r="T88" i="17"/>
  <c r="T86" i="17"/>
  <c r="T87" i="17"/>
  <c r="T84" i="17" l="1"/>
  <c r="T90" i="17" l="1"/>
  <c r="U93" i="17"/>
  <c r="U94" i="17" s="1"/>
  <c r="U92" i="17" s="1"/>
  <c r="U97" i="17" s="1"/>
  <c r="U83" i="17" s="1"/>
  <c r="T89" i="17"/>
  <c r="U35" i="17" l="1"/>
  <c r="U67" i="17" s="1"/>
  <c r="U66" i="17" s="1"/>
  <c r="U57" i="17" s="1"/>
  <c r="U56" i="17" s="1"/>
  <c r="V23" i="44" s="1"/>
  <c r="U79" i="17" l="1"/>
  <c r="U80" i="17" s="1"/>
  <c r="V69" i="17"/>
  <c r="U75" i="17"/>
  <c r="V68" i="17"/>
  <c r="U87" i="17" l="1"/>
  <c r="U85" i="17"/>
  <c r="U86" i="17"/>
  <c r="U88" i="17"/>
  <c r="U84" i="17" l="1"/>
  <c r="U89" i="17" s="1"/>
  <c r="V93" i="17" l="1"/>
  <c r="V94" i="17" s="1"/>
  <c r="V92" i="17" s="1"/>
  <c r="V97" i="17" s="1"/>
  <c r="V83" i="17" s="1"/>
  <c r="U90" i="17"/>
  <c r="V35" i="17" l="1"/>
  <c r="V67" i="17" s="1"/>
  <c r="V66" i="17" s="1"/>
  <c r="V57" i="17" s="1"/>
  <c r="V56" i="17" s="1"/>
  <c r="V79" i="17"/>
  <c r="V80" i="17" s="1"/>
  <c r="V75" i="17" l="1"/>
  <c r="W23" i="44"/>
  <c r="W69" i="17"/>
  <c r="W68" i="17"/>
  <c r="V85" i="17"/>
  <c r="V88" i="17"/>
  <c r="V87" i="17"/>
  <c r="V86" i="17"/>
  <c r="V84" i="17" l="1"/>
  <c r="W93" i="17" s="1"/>
  <c r="W94" i="17" s="1"/>
  <c r="W92" i="17" s="1"/>
  <c r="W97" i="17" s="1"/>
  <c r="W83" i="17" s="1"/>
  <c r="W79" i="17" l="1"/>
  <c r="W35" i="17"/>
  <c r="W67" i="17" s="1"/>
  <c r="W66" i="17" s="1"/>
  <c r="W57" i="17" s="1"/>
  <c r="W56" i="17" s="1"/>
  <c r="X23" i="44" s="1"/>
  <c r="V90" i="17"/>
  <c r="V89" i="17"/>
  <c r="W75" i="17" l="1"/>
  <c r="G13" i="20" s="1"/>
  <c r="J13" i="20"/>
  <c r="W80" i="17"/>
  <c r="W85" i="17" s="1"/>
  <c r="W87" i="17"/>
  <c r="W88" i="17"/>
  <c r="W86" i="17" l="1"/>
  <c r="W84" i="17" s="1"/>
  <c r="W90" i="17" s="1"/>
  <c r="W89" i="17" l="1"/>
  <c r="H94" i="19"/>
  <c r="H95" i="19" s="1"/>
  <c r="H93" i="19" s="1"/>
  <c r="H98" i="19" s="1"/>
  <c r="H84" i="19" s="1"/>
  <c r="H36" i="19" l="1"/>
  <c r="H68" i="19" s="1"/>
  <c r="H67" i="19" s="1"/>
  <c r="H58" i="19" s="1"/>
  <c r="H57" i="19" s="1"/>
  <c r="I30" i="44" s="1"/>
  <c r="H80" i="19" l="1"/>
  <c r="H81" i="19" s="1"/>
  <c r="I70" i="19"/>
  <c r="I69" i="19"/>
  <c r="H87" i="19" l="1"/>
  <c r="H88" i="19"/>
  <c r="H89" i="19"/>
  <c r="H86" i="19"/>
  <c r="H85" i="19" l="1"/>
  <c r="I94" i="19" s="1"/>
  <c r="I95" i="19" s="1"/>
  <c r="I93" i="19" s="1"/>
  <c r="I98" i="19" s="1"/>
  <c r="I84" i="19" s="1"/>
  <c r="I36" i="19" l="1"/>
  <c r="I68" i="19" s="1"/>
  <c r="I67" i="19" s="1"/>
  <c r="I58" i="19" s="1"/>
  <c r="I57" i="19" s="1"/>
  <c r="H90" i="19"/>
  <c r="I80" i="19"/>
  <c r="H91" i="19"/>
  <c r="J69" i="19" l="1"/>
  <c r="J30" i="44"/>
  <c r="J70" i="19"/>
  <c r="I81" i="19"/>
  <c r="I86" i="19" s="1"/>
  <c r="I89" i="19"/>
  <c r="I88" i="19"/>
  <c r="I87" i="19" l="1"/>
  <c r="I85" i="19" s="1"/>
  <c r="I91" i="19" s="1"/>
  <c r="J94" i="19" l="1"/>
  <c r="J95" i="19" s="1"/>
  <c r="J93" i="19" s="1"/>
  <c r="J98" i="19" s="1"/>
  <c r="J84" i="19" s="1"/>
  <c r="I90" i="19"/>
  <c r="J36" i="19" l="1"/>
  <c r="J68" i="19" s="1"/>
  <c r="J67" i="19" s="1"/>
  <c r="J58" i="19" s="1"/>
  <c r="J57" i="19" s="1"/>
  <c r="J80" i="19"/>
  <c r="J81" i="19" s="1"/>
  <c r="K70" i="19" l="1"/>
  <c r="K30" i="44"/>
  <c r="K69" i="19"/>
  <c r="J87" i="19"/>
  <c r="J89" i="19"/>
  <c r="J86" i="19"/>
  <c r="J88" i="19"/>
  <c r="J85" i="19" l="1"/>
  <c r="K94" i="19" s="1"/>
  <c r="K95" i="19" s="1"/>
  <c r="K93" i="19" s="1"/>
  <c r="K98" i="19" s="1"/>
  <c r="K84" i="19" s="1"/>
  <c r="K36" i="19" l="1"/>
  <c r="K68" i="19" s="1"/>
  <c r="K67" i="19" s="1"/>
  <c r="K58" i="19" s="1"/>
  <c r="K57" i="19" s="1"/>
  <c r="J91" i="19"/>
  <c r="J90" i="19"/>
  <c r="K80" i="19"/>
  <c r="L70" i="19" l="1"/>
  <c r="L30" i="44"/>
  <c r="L69" i="19"/>
  <c r="K76" i="19"/>
  <c r="K81" i="19"/>
  <c r="K86" i="19" s="1"/>
  <c r="K88" i="19"/>
  <c r="K89" i="19"/>
  <c r="K87" i="19" l="1"/>
  <c r="K85" i="19" s="1"/>
  <c r="K91" i="19" s="1"/>
  <c r="K90" i="19" l="1"/>
  <c r="L94" i="19"/>
  <c r="L95" i="19" s="1"/>
  <c r="L93" i="19" s="1"/>
  <c r="L98" i="19" s="1"/>
  <c r="L84" i="19" s="1"/>
  <c r="L36" i="19" l="1"/>
  <c r="L68" i="19" s="1"/>
  <c r="L67" i="19" s="1"/>
  <c r="L58" i="19" s="1"/>
  <c r="L57" i="19" s="1"/>
  <c r="L80" i="19"/>
  <c r="L81" i="19" s="1"/>
  <c r="L87" i="19" s="1"/>
  <c r="M69" i="19" l="1"/>
  <c r="M30" i="44"/>
  <c r="M70" i="19"/>
  <c r="L76" i="19"/>
  <c r="L89" i="19"/>
  <c r="L86" i="19"/>
  <c r="L85" i="19" s="1"/>
  <c r="L88" i="19"/>
  <c r="M94" i="19" l="1"/>
  <c r="M95" i="19" s="1"/>
  <c r="M93" i="19" s="1"/>
  <c r="M98" i="19" s="1"/>
  <c r="M84" i="19" s="1"/>
  <c r="L90" i="19"/>
  <c r="L91" i="19"/>
  <c r="M36" i="19" l="1"/>
  <c r="M68" i="19" s="1"/>
  <c r="M67" i="19" s="1"/>
  <c r="M58" i="19" s="1"/>
  <c r="M57" i="19" s="1"/>
  <c r="M80" i="19"/>
  <c r="M81" i="19" s="1"/>
  <c r="M87" i="19" s="1"/>
  <c r="N70" i="19" l="1"/>
  <c r="N30" i="44"/>
  <c r="M76" i="19"/>
  <c r="N69" i="19"/>
  <c r="M88" i="19"/>
  <c r="M89" i="19"/>
  <c r="M86" i="19"/>
  <c r="M85" i="19" s="1"/>
  <c r="N94" i="19" l="1"/>
  <c r="N95" i="19" s="1"/>
  <c r="N93" i="19" s="1"/>
  <c r="N98" i="19" s="1"/>
  <c r="N84" i="19" s="1"/>
  <c r="M91" i="19"/>
  <c r="M90" i="19"/>
  <c r="N36" i="19" l="1"/>
  <c r="N68" i="19" s="1"/>
  <c r="N67" i="19" s="1"/>
  <c r="N58" i="19" s="1"/>
  <c r="N57" i="19" s="1"/>
  <c r="N80" i="19"/>
  <c r="N81" i="19" s="1"/>
  <c r="O70" i="19" l="1"/>
  <c r="O30" i="44"/>
  <c r="O69" i="19"/>
  <c r="N76" i="19"/>
  <c r="N89" i="19"/>
  <c r="N87" i="19"/>
  <c r="N88" i="19"/>
  <c r="N86" i="19"/>
  <c r="N85" i="19" l="1"/>
  <c r="O94" i="19" s="1"/>
  <c r="O95" i="19" s="1"/>
  <c r="O93" i="19" s="1"/>
  <c r="O98" i="19" s="1"/>
  <c r="O84" i="19" s="1"/>
  <c r="N90" i="19" l="1"/>
  <c r="N91" i="19"/>
  <c r="O36" i="19"/>
  <c r="O68" i="19" s="1"/>
  <c r="O67" i="19" s="1"/>
  <c r="O58" i="19" s="1"/>
  <c r="O57" i="19" s="1"/>
  <c r="P30" i="44" s="1"/>
  <c r="O80" i="19" l="1"/>
  <c r="O81" i="19" s="1"/>
  <c r="P69" i="19"/>
  <c r="O76" i="19"/>
  <c r="P70" i="19"/>
  <c r="O88" i="19" l="1"/>
  <c r="O87" i="19"/>
  <c r="O89" i="19"/>
  <c r="O86" i="19"/>
  <c r="O85" i="19" l="1"/>
  <c r="P94" i="19" s="1"/>
  <c r="P95" i="19" s="1"/>
  <c r="P93" i="19" s="1"/>
  <c r="P98" i="19" s="1"/>
  <c r="P84" i="19" s="1"/>
  <c r="O90" i="19" l="1"/>
  <c r="O91" i="19"/>
  <c r="P36" i="19"/>
  <c r="P68" i="19" s="1"/>
  <c r="P67" i="19" s="1"/>
  <c r="P58" i="19" s="1"/>
  <c r="P57" i="19" s="1"/>
  <c r="Q30" i="44" s="1"/>
  <c r="P80" i="19" l="1"/>
  <c r="P81" i="19" s="1"/>
  <c r="Q70" i="19"/>
  <c r="P76" i="19"/>
  <c r="Q69" i="19"/>
  <c r="P86" i="19" l="1"/>
  <c r="P88" i="19"/>
  <c r="P87" i="19"/>
  <c r="P89" i="19"/>
  <c r="P85" i="19" l="1"/>
  <c r="Q94" i="19" s="1"/>
  <c r="Q95" i="19" s="1"/>
  <c r="Q93" i="19" s="1"/>
  <c r="Q98" i="19" s="1"/>
  <c r="Q84" i="19" s="1"/>
  <c r="P91" i="19" l="1"/>
  <c r="P90" i="19"/>
  <c r="Q80" i="19"/>
  <c r="Q36" i="19"/>
  <c r="Q68" i="19" s="1"/>
  <c r="Q67" i="19" s="1"/>
  <c r="Q58" i="19" s="1"/>
  <c r="Q57" i="19" s="1"/>
  <c r="R70" i="19" l="1"/>
  <c r="R30" i="44"/>
  <c r="Q81" i="19"/>
  <c r="Q87" i="19" s="1"/>
  <c r="Q76" i="19"/>
  <c r="R69" i="19"/>
  <c r="Q89" i="19"/>
  <c r="Q88" i="19"/>
  <c r="Q86" i="19" l="1"/>
  <c r="Q85" i="19" s="1"/>
  <c r="Q91" i="19" s="1"/>
  <c r="Q90" i="19" l="1"/>
  <c r="R94" i="19"/>
  <c r="R95" i="19" s="1"/>
  <c r="R93" i="19" s="1"/>
  <c r="R98" i="19" s="1"/>
  <c r="R84" i="19" s="1"/>
  <c r="R36" i="19" l="1"/>
  <c r="R68" i="19" s="1"/>
  <c r="R67" i="19" s="1"/>
  <c r="R58" i="19" s="1"/>
  <c r="R57" i="19" s="1"/>
  <c r="R80" i="19"/>
  <c r="R81" i="19" s="1"/>
  <c r="S70" i="19" l="1"/>
  <c r="S30" i="44"/>
  <c r="S69" i="19"/>
  <c r="R76" i="19"/>
  <c r="R88" i="19"/>
  <c r="R87" i="19"/>
  <c r="R86" i="19"/>
  <c r="R89" i="19"/>
  <c r="R85" i="19" l="1"/>
  <c r="S94" i="19" l="1"/>
  <c r="S95" i="19" s="1"/>
  <c r="S93" i="19" s="1"/>
  <c r="S98" i="19" s="1"/>
  <c r="S84" i="19" s="1"/>
  <c r="R91" i="19"/>
  <c r="R90" i="19"/>
  <c r="S36" i="19" l="1"/>
  <c r="S68" i="19" s="1"/>
  <c r="S67" i="19" s="1"/>
  <c r="S58" i="19" s="1"/>
  <c r="S57" i="19" s="1"/>
  <c r="T30" i="44" s="1"/>
  <c r="S80" i="19"/>
  <c r="S81" i="19" s="1"/>
  <c r="S88" i="19" l="1"/>
  <c r="S87" i="19"/>
  <c r="S86" i="19"/>
  <c r="S89" i="19"/>
  <c r="T69" i="19"/>
  <c r="T70" i="19"/>
  <c r="S76" i="19"/>
  <c r="S85" i="19" l="1"/>
  <c r="T94" i="19" s="1"/>
  <c r="T95" i="19" s="1"/>
  <c r="T93" i="19" s="1"/>
  <c r="T98" i="19" s="1"/>
  <c r="T84" i="19" s="1"/>
  <c r="T36" i="19" l="1"/>
  <c r="T68" i="19" s="1"/>
  <c r="T67" i="19" s="1"/>
  <c r="T58" i="19" s="1"/>
  <c r="T57" i="19" s="1"/>
  <c r="S91" i="19"/>
  <c r="S90" i="19"/>
  <c r="T80" i="19"/>
  <c r="U70" i="19" l="1"/>
  <c r="U30" i="44"/>
  <c r="T76" i="19"/>
  <c r="U69" i="19"/>
  <c r="T81" i="19"/>
  <c r="T86" i="19" s="1"/>
  <c r="T88" i="19"/>
  <c r="T89" i="19"/>
  <c r="T87" i="19" l="1"/>
  <c r="T85" i="19" s="1"/>
  <c r="U94" i="19" s="1"/>
  <c r="U95" i="19" s="1"/>
  <c r="U93" i="19" s="1"/>
  <c r="U98" i="19" s="1"/>
  <c r="U84" i="19" s="1"/>
  <c r="T90" i="19" l="1"/>
  <c r="T91" i="19"/>
  <c r="U36" i="19"/>
  <c r="U68" i="19" s="1"/>
  <c r="U67" i="19" s="1"/>
  <c r="U58" i="19" s="1"/>
  <c r="U57" i="19" s="1"/>
  <c r="V30" i="44" s="1"/>
  <c r="U80" i="19" l="1"/>
  <c r="U81" i="19" s="1"/>
  <c r="V69" i="19"/>
  <c r="V70" i="19"/>
  <c r="U76" i="19"/>
  <c r="U88" i="19" l="1"/>
  <c r="U86" i="19"/>
  <c r="U89" i="19"/>
  <c r="U87" i="19"/>
  <c r="U85" i="19" l="1"/>
  <c r="V94" i="19" s="1"/>
  <c r="V95" i="19" s="1"/>
  <c r="V93" i="19" s="1"/>
  <c r="V98" i="19" l="1"/>
  <c r="V84" i="19" s="1"/>
  <c r="U90" i="19"/>
  <c r="U91" i="19"/>
  <c r="V36" i="19"/>
  <c r="V68" i="19" s="1"/>
  <c r="V67" i="19" s="1"/>
  <c r="V58" i="19" s="1"/>
  <c r="V57" i="19" s="1"/>
  <c r="W30" i="44" s="1"/>
  <c r="V80" i="19" l="1"/>
  <c r="V81" i="19" s="1"/>
  <c r="W70" i="19"/>
  <c r="W69" i="19"/>
  <c r="V76" i="19"/>
  <c r="V88" i="19" l="1"/>
  <c r="V89" i="19"/>
  <c r="V87" i="19"/>
  <c r="V86" i="19"/>
  <c r="V85" i="19" l="1"/>
  <c r="W94" i="19" s="1"/>
  <c r="W95" i="19" s="1"/>
  <c r="W93" i="19" s="1"/>
  <c r="W98" i="19" l="1"/>
  <c r="W84" i="19" s="1"/>
  <c r="V90" i="19"/>
  <c r="V91" i="19"/>
  <c r="W36" i="19"/>
  <c r="W68" i="19" s="1"/>
  <c r="W67" i="19" s="1"/>
  <c r="W58" i="19" s="1"/>
  <c r="W57" i="19" s="1"/>
  <c r="J15" i="20" l="1"/>
  <c r="X30" i="44"/>
  <c r="W76" i="19"/>
  <c r="G15" i="20" s="1"/>
  <c r="H3" i="20" s="1"/>
  <c r="W80" i="19"/>
  <c r="W81" i="19" s="1"/>
  <c r="W88" i="19" l="1"/>
  <c r="W86" i="19"/>
  <c r="W89" i="19"/>
  <c r="W87" i="19"/>
  <c r="W85" i="19" l="1"/>
  <c r="W91" i="19" s="1"/>
  <c r="W90" i="19" l="1"/>
  <c r="H96" i="9"/>
  <c r="H101" i="9" s="1"/>
  <c r="H87" i="9" s="1"/>
  <c r="H35" i="9" l="1"/>
  <c r="H67" i="9" l="1"/>
  <c r="H77" i="9" s="1"/>
  <c r="I48" i="44"/>
  <c r="H83" i="9"/>
  <c r="H84" i="9" s="1"/>
  <c r="H90" i="9" s="1"/>
  <c r="H91" i="9" l="1"/>
  <c r="H66" i="9"/>
  <c r="H57" i="9" s="1"/>
  <c r="H56" i="9" s="1"/>
  <c r="I41" i="44" s="1"/>
  <c r="H92" i="9"/>
  <c r="H76" i="9"/>
  <c r="I42" i="44" s="1"/>
  <c r="I45" i="44"/>
  <c r="H89" i="9"/>
  <c r="H88" i="9" s="1"/>
  <c r="H94" i="9" l="1"/>
  <c r="I68" i="9"/>
  <c r="I69" i="9"/>
  <c r="H93" i="9"/>
  <c r="I97" i="9"/>
  <c r="I98" i="9" s="1"/>
  <c r="I96" i="9" l="1"/>
  <c r="I101" i="9" l="1"/>
  <c r="I87" i="9" s="1"/>
  <c r="I35" i="9"/>
  <c r="I67" i="9" l="1"/>
  <c r="J45" i="44" s="1"/>
  <c r="J48" i="44"/>
  <c r="I83" i="9"/>
  <c r="I84" i="9" s="1"/>
  <c r="I89" i="9" s="1"/>
  <c r="I77" i="9" l="1"/>
  <c r="I76" i="9"/>
  <c r="J42" i="44" s="1"/>
  <c r="I66" i="9"/>
  <c r="I57" i="9" s="1"/>
  <c r="I56" i="9" s="1"/>
  <c r="J68" i="9" s="1"/>
  <c r="I90" i="9"/>
  <c r="I88" i="9" s="1"/>
  <c r="I92" i="9"/>
  <c r="I91" i="9"/>
  <c r="J41" i="44"/>
  <c r="J69" i="9" l="1"/>
  <c r="J97" i="9"/>
  <c r="J98" i="9" s="1"/>
  <c r="J96" i="9" s="1"/>
  <c r="J101" i="9" s="1"/>
  <c r="J87" i="9" s="1"/>
  <c r="I94" i="9"/>
  <c r="I93" i="9"/>
  <c r="J35" i="9" l="1"/>
  <c r="J67" i="9" s="1"/>
  <c r="J77" i="9" s="1"/>
  <c r="J83" i="9"/>
  <c r="J84" i="9" s="1"/>
  <c r="J90" i="9" s="1"/>
  <c r="K48" i="44" l="1"/>
  <c r="J66" i="9"/>
  <c r="J57" i="9" s="1"/>
  <c r="J56" i="9" s="1"/>
  <c r="K41" i="44" s="1"/>
  <c r="J76" i="9"/>
  <c r="K42" i="44" s="1"/>
  <c r="K45" i="44"/>
  <c r="J92" i="9"/>
  <c r="J89" i="9"/>
  <c r="J88" i="9" s="1"/>
  <c r="J91" i="9"/>
  <c r="K69" i="9"/>
  <c r="K68" i="9" l="1"/>
  <c r="K97" i="9"/>
  <c r="K98" i="9" s="1"/>
  <c r="K96" i="9" s="1"/>
  <c r="J93" i="9"/>
  <c r="J94" i="9"/>
  <c r="K101" i="9" l="1"/>
  <c r="K87" i="9" s="1"/>
  <c r="K35" i="9"/>
  <c r="K67" i="9" l="1"/>
  <c r="K77" i="9" s="1"/>
  <c r="L48" i="44"/>
  <c r="K83" i="9"/>
  <c r="K84" i="9" s="1"/>
  <c r="K89" i="9" s="1"/>
  <c r="K66" i="9"/>
  <c r="K57" i="9" s="1"/>
  <c r="K56" i="9" s="1"/>
  <c r="L41" i="44" s="1"/>
  <c r="K76" i="9" l="1"/>
  <c r="L42" i="44" s="1"/>
  <c r="L45" i="44"/>
  <c r="K92" i="9"/>
  <c r="K91" i="9"/>
  <c r="K90" i="9"/>
  <c r="K88" i="9" s="1"/>
  <c r="L68" i="9"/>
  <c r="L69" i="9"/>
  <c r="L97" i="9" l="1"/>
  <c r="L98" i="9" s="1"/>
  <c r="L96" i="9" s="1"/>
  <c r="L101" i="9" s="1"/>
  <c r="L87" i="9" s="1"/>
  <c r="K94" i="9"/>
  <c r="K93" i="9"/>
  <c r="L35" i="9" l="1"/>
  <c r="L67" i="9" l="1"/>
  <c r="L77" i="9" s="1"/>
  <c r="M48" i="44"/>
  <c r="L83" i="9"/>
  <c r="L84" i="9" s="1"/>
  <c r="L66" i="9" l="1"/>
  <c r="L57" i="9" s="1"/>
  <c r="L56" i="9" s="1"/>
  <c r="M41" i="44" s="1"/>
  <c r="L76" i="9"/>
  <c r="M42" i="44" s="1"/>
  <c r="M45" i="44"/>
  <c r="L92" i="9"/>
  <c r="L90" i="9"/>
  <c r="L89" i="9"/>
  <c r="L91" i="9"/>
  <c r="M68" i="9" l="1"/>
  <c r="M69" i="9"/>
  <c r="L88" i="9"/>
  <c r="L94" i="9" s="1"/>
  <c r="L93" i="9" l="1"/>
  <c r="M97" i="9"/>
  <c r="M98" i="9" s="1"/>
  <c r="M96" i="9" s="1"/>
  <c r="M101" i="9" l="1"/>
  <c r="M87" i="9" s="1"/>
  <c r="M35" i="9"/>
  <c r="M67" i="9" l="1"/>
  <c r="M77" i="9" s="1"/>
  <c r="N48" i="44"/>
  <c r="M83" i="9"/>
  <c r="M84" i="9" s="1"/>
  <c r="M89" i="9" s="1"/>
  <c r="M66" i="9" l="1"/>
  <c r="M57" i="9" s="1"/>
  <c r="M56" i="9" s="1"/>
  <c r="M76" i="9"/>
  <c r="N42" i="44" s="1"/>
  <c r="N45" i="44"/>
  <c r="M92" i="9"/>
  <c r="M91" i="9"/>
  <c r="M90" i="9"/>
  <c r="M88" i="9" s="1"/>
  <c r="N68" i="9"/>
  <c r="N69" i="9" l="1"/>
  <c r="N41" i="44"/>
  <c r="N97" i="9"/>
  <c r="N98" i="9" s="1"/>
  <c r="M94" i="9"/>
  <c r="M93" i="9"/>
  <c r="N96" i="9" l="1"/>
  <c r="N101" i="9" s="1"/>
  <c r="N87" i="9" s="1"/>
  <c r="N35" i="9" l="1"/>
  <c r="N67" i="9" l="1"/>
  <c r="O45" i="44" s="1"/>
  <c r="O48" i="44"/>
  <c r="N83" i="9"/>
  <c r="N66" i="9" l="1"/>
  <c r="N57" i="9" s="1"/>
  <c r="N56" i="9" s="1"/>
  <c r="N77" i="9"/>
  <c r="N76" i="9"/>
  <c r="O42" i="44" s="1"/>
  <c r="N92" i="9"/>
  <c r="N91" i="9"/>
  <c r="N84" i="9"/>
  <c r="N90" i="9" s="1"/>
  <c r="O41" i="44" l="1"/>
  <c r="O69" i="9"/>
  <c r="O68" i="9"/>
  <c r="N89" i="9"/>
  <c r="N88" i="9" l="1"/>
  <c r="N94" i="9" s="1"/>
  <c r="O97" i="9" l="1"/>
  <c r="O98" i="9" s="1"/>
  <c r="O96" i="9" s="1"/>
  <c r="N93" i="9"/>
  <c r="O35" i="9" l="1"/>
  <c r="O101" i="9"/>
  <c r="O87" i="9" s="1"/>
  <c r="O67" i="9" l="1"/>
  <c r="O66" i="9" s="1"/>
  <c r="O57" i="9" s="1"/>
  <c r="O56" i="9" s="1"/>
  <c r="P69" i="9" s="1"/>
  <c r="P48" i="44"/>
  <c r="O83" i="9"/>
  <c r="O84" i="9" s="1"/>
  <c r="O76" i="9" l="1"/>
  <c r="P42" i="44" s="1"/>
  <c r="P41" i="44"/>
  <c r="O77" i="9"/>
  <c r="P45" i="44"/>
  <c r="P68" i="9"/>
  <c r="O92" i="9"/>
  <c r="O89" i="9"/>
  <c r="O91" i="9"/>
  <c r="O90" i="9"/>
  <c r="O88" i="9" l="1"/>
  <c r="O94" i="9" s="1"/>
  <c r="O93" i="9" l="1"/>
  <c r="P97" i="9"/>
  <c r="P98" i="9" s="1"/>
  <c r="P96" i="9" s="1"/>
  <c r="P101" i="9" s="1"/>
  <c r="P87" i="9" s="1"/>
  <c r="P35" i="9" l="1"/>
  <c r="P83" i="9"/>
  <c r="P84" i="9" s="1"/>
  <c r="P90" i="9" s="1"/>
  <c r="P67" i="9" l="1"/>
  <c r="P66" i="9" s="1"/>
  <c r="P57" i="9" s="1"/>
  <c r="P56" i="9" s="1"/>
  <c r="Q48" i="44"/>
  <c r="P91" i="9"/>
  <c r="P92" i="9"/>
  <c r="P89" i="9"/>
  <c r="P88" i="9" s="1"/>
  <c r="P77" i="9" l="1"/>
  <c r="Q68" i="9"/>
  <c r="Q41" i="44"/>
  <c r="P76" i="9"/>
  <c r="Q42" i="44" s="1"/>
  <c r="Q45" i="44"/>
  <c r="Q69" i="9"/>
  <c r="P94" i="9"/>
  <c r="P93" i="9"/>
  <c r="Q97" i="9"/>
  <c r="Q98" i="9" s="1"/>
  <c r="Q96" i="9" s="1"/>
  <c r="Q101" i="9" s="1"/>
  <c r="Q87" i="9" s="1"/>
  <c r="Q35" i="9" l="1"/>
  <c r="Q67" i="9" l="1"/>
  <c r="R45" i="44" s="1"/>
  <c r="R48" i="44"/>
  <c r="Q83" i="9"/>
  <c r="Q84" i="9" s="1"/>
  <c r="Q76" i="9" l="1"/>
  <c r="R42" i="44" s="1"/>
  <c r="Q66" i="9"/>
  <c r="Q57" i="9" s="1"/>
  <c r="Q56" i="9" s="1"/>
  <c r="Q77" i="9"/>
  <c r="Q90" i="9"/>
  <c r="Q91" i="9"/>
  <c r="Q92" i="9"/>
  <c r="Q89" i="9"/>
  <c r="R69" i="9" l="1"/>
  <c r="R41" i="44"/>
  <c r="R68" i="9"/>
  <c r="Q88" i="9"/>
  <c r="Q93" i="9" s="1"/>
  <c r="Q94" i="9" l="1"/>
  <c r="R97" i="9"/>
  <c r="R98" i="9" s="1"/>
  <c r="R96" i="9" s="1"/>
  <c r="R101" i="9" s="1"/>
  <c r="R87" i="9" s="1"/>
  <c r="R35" i="9" l="1"/>
  <c r="R67" i="9" l="1"/>
  <c r="S45" i="44" s="1"/>
  <c r="S48" i="44"/>
  <c r="R83" i="9"/>
  <c r="R84" i="9" s="1"/>
  <c r="R77" i="9" l="1"/>
  <c r="R76" i="9"/>
  <c r="S42" i="44" s="1"/>
  <c r="R66" i="9"/>
  <c r="R57" i="9" s="1"/>
  <c r="R56" i="9" s="1"/>
  <c r="S41" i="44"/>
  <c r="R92" i="9"/>
  <c r="R90" i="9"/>
  <c r="R91" i="9"/>
  <c r="R89" i="9"/>
  <c r="S68" i="9" l="1"/>
  <c r="S69" i="9"/>
  <c r="R88" i="9"/>
  <c r="R94" i="9" s="1"/>
  <c r="S97" i="9" l="1"/>
  <c r="S98" i="9" s="1"/>
  <c r="S96" i="9" s="1"/>
  <c r="R93" i="9"/>
  <c r="S35" i="9" l="1"/>
  <c r="S101" i="9"/>
  <c r="S87" i="9" s="1"/>
  <c r="S67" i="9" l="1"/>
  <c r="S76" i="9" s="1"/>
  <c r="T42" i="44" s="1"/>
  <c r="T48" i="44"/>
  <c r="S83" i="9"/>
  <c r="S84" i="9" s="1"/>
  <c r="S77" i="9" l="1"/>
  <c r="S66" i="9"/>
  <c r="S57" i="9" s="1"/>
  <c r="S56" i="9" s="1"/>
  <c r="T45" i="44"/>
  <c r="S89" i="9"/>
  <c r="S92" i="9"/>
  <c r="S91" i="9"/>
  <c r="S90" i="9"/>
  <c r="T41" i="44" l="1"/>
  <c r="T68" i="9"/>
  <c r="T69" i="9"/>
  <c r="S88" i="9"/>
  <c r="S94" i="9" s="1"/>
  <c r="S93" i="9" l="1"/>
  <c r="T97" i="9"/>
  <c r="T98" i="9" s="1"/>
  <c r="T96" i="9" s="1"/>
  <c r="T35" i="9" s="1"/>
  <c r="T67" i="9" l="1"/>
  <c r="T66" i="9" s="1"/>
  <c r="T57" i="9" s="1"/>
  <c r="T56" i="9" s="1"/>
  <c r="U48" i="44"/>
  <c r="T101" i="9"/>
  <c r="T87" i="9" s="1"/>
  <c r="T77" i="9" l="1"/>
  <c r="T83" i="9"/>
  <c r="T84" i="9" s="1"/>
  <c r="T90" i="9" s="1"/>
  <c r="U41" i="44"/>
  <c r="T76" i="9"/>
  <c r="U42" i="44" s="1"/>
  <c r="U45" i="44"/>
  <c r="U69" i="9"/>
  <c r="U68" i="9"/>
  <c r="T92" i="9" l="1"/>
  <c r="T91" i="9"/>
  <c r="T89" i="9"/>
  <c r="T88" i="9" s="1"/>
  <c r="T93" i="9" l="1"/>
  <c r="T94" i="9"/>
  <c r="U97" i="9"/>
  <c r="U98" i="9" s="1"/>
  <c r="U96" i="9" s="1"/>
  <c r="U101" i="9" s="1"/>
  <c r="U87" i="9" s="1"/>
  <c r="U35" i="9" l="1"/>
  <c r="U83" i="9"/>
  <c r="U84" i="9" s="1"/>
  <c r="U67" i="9" l="1"/>
  <c r="U77" i="9" s="1"/>
  <c r="V48" i="44"/>
  <c r="U91" i="9"/>
  <c r="U92" i="9"/>
  <c r="U89" i="9"/>
  <c r="U90" i="9"/>
  <c r="U76" i="9" l="1"/>
  <c r="V42" i="44" s="1"/>
  <c r="U66" i="9"/>
  <c r="U57" i="9" s="1"/>
  <c r="U56" i="9" s="1"/>
  <c r="V45" i="44"/>
  <c r="U88" i="9"/>
  <c r="U93" i="9" s="1"/>
  <c r="V41" i="44" l="1"/>
  <c r="V69" i="9"/>
  <c r="V68" i="9"/>
  <c r="U94" i="9"/>
  <c r="V97" i="9"/>
  <c r="V98" i="9" s="1"/>
  <c r="V96" i="9" s="1"/>
  <c r="V35" i="9" l="1"/>
  <c r="V101" i="9"/>
  <c r="V87" i="9" s="1"/>
  <c r="V67" i="9" l="1"/>
  <c r="V77" i="9" s="1"/>
  <c r="W48" i="44"/>
  <c r="V83" i="9"/>
  <c r="V84" i="9" s="1"/>
  <c r="V66" i="9" l="1"/>
  <c r="V57" i="9" s="1"/>
  <c r="V56" i="9" s="1"/>
  <c r="W69" i="9" s="1"/>
  <c r="V76" i="9"/>
  <c r="W42" i="44" s="1"/>
  <c r="W45" i="44"/>
  <c r="V92" i="9"/>
  <c r="V91" i="9"/>
  <c r="V89" i="9"/>
  <c r="V90" i="9"/>
  <c r="W68" i="9" l="1"/>
  <c r="W41" i="44"/>
  <c r="V88" i="9"/>
  <c r="V93" i="9" s="1"/>
  <c r="W97" i="9" l="1"/>
  <c r="W98" i="9" s="1"/>
  <c r="W96" i="9" s="1"/>
  <c r="W101" i="9" s="1"/>
  <c r="V94" i="9"/>
  <c r="W35" i="9" l="1"/>
  <c r="W87" i="9"/>
  <c r="W67" i="9" l="1"/>
  <c r="W76" i="9" s="1"/>
  <c r="X42" i="44" s="1"/>
  <c r="X48" i="44"/>
  <c r="W83" i="9"/>
  <c r="W84" i="9" s="1"/>
  <c r="W77" i="9" l="1"/>
  <c r="W66" i="9"/>
  <c r="W57" i="9" s="1"/>
  <c r="W56" i="9" s="1"/>
  <c r="X45" i="44"/>
  <c r="W91" i="9"/>
  <c r="W90" i="9"/>
  <c r="W89" i="9"/>
  <c r="W92" i="9"/>
  <c r="X41" i="44" l="1"/>
  <c r="W88" i="9"/>
  <c r="W94" i="9" s="1"/>
  <c r="W93" i="9"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<sst xmlns="http://schemas.openxmlformats.org/spreadsheetml/2006/main" count="815" uniqueCount="296">
  <si>
    <t>European Commission</t>
  </si>
  <si>
    <t>Directorate-General for Economic and Financial Affairs</t>
  </si>
  <si>
    <t>Unit C2  - Sustainability of public finances</t>
  </si>
  <si>
    <t>ECFIN-Secretariat-C2@ec.europa.eu</t>
  </si>
  <si>
    <t>FILE DESCRIPTION</t>
  </si>
  <si>
    <t>HOW TO USE THIS TOOL TO CALCULATE NEW DEBT PROJECTIONS</t>
  </si>
  <si>
    <t>The spreadsheet is composed of the following elements:</t>
  </si>
  <si>
    <t>Coloured cells indicate data sources as follows (this colour-coding holds in the other spreadsheets):</t>
  </si>
  <si>
    <r>
      <t xml:space="preserve">Cells in </t>
    </r>
    <r>
      <rPr>
        <i/>
        <sz val="11"/>
        <color rgb="FF0070C0"/>
        <rFont val="Calibri"/>
        <family val="2"/>
        <scheme val="minor"/>
      </rPr>
      <t>light orange</t>
    </r>
    <r>
      <rPr>
        <sz val="11"/>
        <color rgb="FF0070C0"/>
        <rFont val="Calibri"/>
        <family val="2"/>
        <scheme val="minor"/>
      </rPr>
      <t xml:space="preserve"> provide parameters needed to compute the decomposition of government debt according to its maturity structure (i.e. short-term and long-term debt, maturing, rolled-over and non-maturing debt). </t>
    </r>
    <r>
      <rPr>
        <b/>
        <u/>
        <sz val="11"/>
        <color rgb="FF0070C0"/>
        <rFont val="Calibri"/>
        <family val="2"/>
        <scheme val="minor"/>
      </rPr>
      <t>These are fixed shares which the user cannot change.</t>
    </r>
  </si>
  <si>
    <r>
      <t xml:space="preserve">Cells in </t>
    </r>
    <r>
      <rPr>
        <i/>
        <sz val="11"/>
        <color rgb="FF0070C0"/>
        <rFont val="Calibri"/>
        <family val="2"/>
        <scheme val="minor"/>
      </rPr>
      <t>dark orange</t>
    </r>
    <r>
      <rPr>
        <sz val="11"/>
        <color rgb="FF0070C0"/>
        <rFont val="Calibri"/>
        <family val="2"/>
        <scheme val="minor"/>
      </rPr>
      <t xml:space="preserve"> indicate financial market prices.</t>
    </r>
  </si>
  <si>
    <t>· Financial stress scenario</t>
  </si>
  <si>
    <t>· Lower SPB scenario</t>
  </si>
  <si>
    <t>· Adverse 'r-g' scenario</t>
  </si>
  <si>
    <r>
      <t>In the sheets associated with the stress-test scenarios, i.e. "</t>
    </r>
    <r>
      <rPr>
        <b/>
        <sz val="11"/>
        <color rgb="FF0070C0"/>
        <rFont val="Calibri"/>
        <family val="2"/>
        <scheme val="minor"/>
      </rPr>
      <t>Financial stress</t>
    </r>
    <r>
      <rPr>
        <sz val="11"/>
        <color rgb="FF0070C0"/>
        <rFont val="Calibri"/>
        <family val="2"/>
        <scheme val="minor"/>
      </rPr>
      <t>", "</t>
    </r>
    <r>
      <rPr>
        <b/>
        <sz val="11"/>
        <color rgb="FF0070C0"/>
        <rFont val="Calibri"/>
        <family val="2"/>
        <scheme val="minor"/>
      </rPr>
      <t>Lower SPB</t>
    </r>
    <r>
      <rPr>
        <sz val="11"/>
        <color rgb="FF0070C0"/>
        <rFont val="Calibri"/>
        <family val="2"/>
        <scheme val="minor"/>
      </rPr>
      <t>" and "</t>
    </r>
    <r>
      <rPr>
        <b/>
        <sz val="11"/>
        <color rgb="FF0070C0"/>
        <rFont val="Calibri"/>
        <family val="2"/>
        <scheme val="minor"/>
      </rPr>
      <t>Adverse (r-g)</t>
    </r>
    <r>
      <rPr>
        <sz val="11"/>
        <color rgb="FF0070C0"/>
        <rFont val="Calibri"/>
        <family val="2"/>
        <scheme val="minor"/>
      </rPr>
      <t>", initial shocks are identified as follows:</t>
    </r>
  </si>
  <si>
    <t>WHERE ARE THE MAIN RESULTS LOCATED?</t>
  </si>
  <si>
    <t>Country</t>
  </si>
  <si>
    <t>Annual adjustment (when benchmark not binding)</t>
  </si>
  <si>
    <t>Deficit resilience safeguard</t>
  </si>
  <si>
    <t>Criterion 1 
(Debt decreasing under deterministic scenarios)</t>
  </si>
  <si>
    <t>Criterion 2 *
(Debt declining with sufficient probability)</t>
  </si>
  <si>
    <t>Criterion 3 
(Deficit below 
3% of GDP)</t>
  </si>
  <si>
    <t>0.5 pp. of GDP adjustment if deficit in previous year &gt; 3% of GDP</t>
  </si>
  <si>
    <t>Number of years the benchmark applies</t>
  </si>
  <si>
    <t>0.40 pp. (0.25 pp.) of GDP adjustment under plan without (with) extension if structural deficit in previous year 
&gt; 1.5% of GDP</t>
  </si>
  <si>
    <t>Number of years the deficit resilience safeguard applies 
(over the adjustment horizon)</t>
  </si>
  <si>
    <t>Adjustment scenario</t>
  </si>
  <si>
    <t>Financial stress scenario</t>
  </si>
  <si>
    <t>Lower SPB scenario</t>
  </si>
  <si>
    <t>Adverse r-g scenario</t>
  </si>
  <si>
    <r>
      <t xml:space="preserve">Annual adjustment </t>
    </r>
    <r>
      <rPr>
        <sz val="10"/>
        <rFont val="Arial"/>
        <family val="2"/>
      </rPr>
      <t>(change in SPB)</t>
    </r>
  </si>
  <si>
    <t>Net primary expenditure growth</t>
  </si>
  <si>
    <t>Average annual adjustment over the plan period</t>
  </si>
  <si>
    <t>Average annual adjustment over the adjustment period</t>
  </si>
  <si>
    <t>Average net primary expenditure growth over the plan period</t>
  </si>
  <si>
    <t>Average net primary expenditure growth over the adjustment period</t>
  </si>
  <si>
    <t>No extension</t>
  </si>
  <si>
    <t>Extension</t>
  </si>
  <si>
    <t>Annual adjustment</t>
  </si>
  <si>
    <t>Key years</t>
  </si>
  <si>
    <t>Last year of no-fiscal-policy-change projections</t>
  </si>
  <si>
    <t>Structural primary balance</t>
  </si>
  <si>
    <t>Headline balance</t>
  </si>
  <si>
    <t>Structural balance</t>
  </si>
  <si>
    <t>Debt</t>
  </si>
  <si>
    <t>Last year of adjustment</t>
  </si>
  <si>
    <t>Key assumptions</t>
  </si>
  <si>
    <t>Fiscal assumptions (% of GDP)</t>
  </si>
  <si>
    <t/>
  </si>
  <si>
    <t>Structural primary balance ('+' means 'surplus')</t>
  </si>
  <si>
    <t>One-off and other temporary measures</t>
  </si>
  <si>
    <t>Stock-flow adjustments (without exchange rate effect)</t>
  </si>
  <si>
    <t>Stock-flow adjustment (total)</t>
  </si>
  <si>
    <t>Total ageing cost (net of taxes on pensions)</t>
  </si>
  <si>
    <t>of which: Public pensions expenditure</t>
  </si>
  <si>
    <t xml:space="preserve">            Health care expenditure</t>
  </si>
  <si>
    <t xml:space="preserve">            Long-term care expenditure</t>
  </si>
  <si>
    <t xml:space="preserve">            Education &amp; unemployment benefits expenditure</t>
  </si>
  <si>
    <t xml:space="preserve">           Taxes on pensions</t>
  </si>
  <si>
    <t>Property income</t>
  </si>
  <si>
    <t>Actual GDP</t>
  </si>
  <si>
    <t>Growth rate</t>
  </si>
  <si>
    <t>Level</t>
  </si>
  <si>
    <t>Potential GDP</t>
  </si>
  <si>
    <t>Nominal implicit interest rate on debt</t>
  </si>
  <si>
    <t>Short-term nominal interest rate</t>
  </si>
  <si>
    <t>Long-term nominal interest rate</t>
  </si>
  <si>
    <t>GDP deflator (national currency)</t>
  </si>
  <si>
    <t>Additional parameters</t>
  </si>
  <si>
    <t>Fiscal multiplier</t>
  </si>
  <si>
    <t xml:space="preserve">Carnot, N. and de Castro, F. (2015), “The Discretionary Fiscal Effort: an Assessment of Fiscal Policy and its Output Effect”, European Economy, Economic Papers, No. 543. </t>
  </si>
  <si>
    <t>Mourre, G. et al. (2019), "The Semi-Elasticities Underlying the Cyclically-Adjusted Budget Balance: An Update and Further Analysis", European Economy, Discussion Paper, No. 098.</t>
  </si>
  <si>
    <t>Bloomberg data, country-specific forward market rates.</t>
  </si>
  <si>
    <t>DSM 2023</t>
  </si>
  <si>
    <t>Share of short-term debt in total government debt</t>
  </si>
  <si>
    <t>Share of long-term debt in total government debt</t>
  </si>
  <si>
    <t>Bloomberg data, inflation swaps.</t>
  </si>
  <si>
    <t>Central bank inflation target</t>
  </si>
  <si>
    <t>Share of outstanding debt in total debt in 2022</t>
  </si>
  <si>
    <t>Derived from the model and made consistent with the short-term forecast.</t>
  </si>
  <si>
    <t>Share of new long-term debt in 2022</t>
  </si>
  <si>
    <t>Share of new short-term debt in 2022</t>
  </si>
  <si>
    <t>Stochastic projections: ranges around adjustment scenario</t>
  </si>
  <si>
    <t>T+1</t>
  </si>
  <si>
    <t>T+2</t>
  </si>
  <si>
    <t>T+3</t>
  </si>
  <si>
    <t>T+4</t>
  </si>
  <si>
    <t>T+5</t>
  </si>
  <si>
    <t>Stock flow adjustments (without exchange rate effect)</t>
  </si>
  <si>
    <t>GDP growth assumptions</t>
  </si>
  <si>
    <t>Actual GDP (real)</t>
  </si>
  <si>
    <t xml:space="preserve">Potential GDP (real) </t>
  </si>
  <si>
    <t>Output gap</t>
  </si>
  <si>
    <t>Actual GDP (nominal, national currency)</t>
  </si>
  <si>
    <t>Interest rate</t>
  </si>
  <si>
    <t>Long-term interest rate</t>
  </si>
  <si>
    <t>Short-term interest rate</t>
  </si>
  <si>
    <t>Share of long-term debt that matures every year</t>
  </si>
  <si>
    <t>Inflation and exchange rate</t>
  </si>
  <si>
    <t>Exchange rate composite change (weighted by share of debt in each currency)</t>
  </si>
  <si>
    <t>Intermediate calculations (growth rate equation)</t>
  </si>
  <si>
    <t>Auxiliary variable to control the closure of the output gap</t>
  </si>
  <si>
    <t>OG intermediate auxiliary value</t>
  </si>
  <si>
    <t>GDP intermediate growth rate - only feedback effect and no closure of the OG</t>
  </si>
  <si>
    <t>Debt projections</t>
  </si>
  <si>
    <t xml:space="preserve">Gross debt </t>
  </si>
  <si>
    <t>Change in debt (-1+2+3)</t>
  </si>
  <si>
    <t>(1) Primary balance (1.1 + 1.2 - 1.3 -1.4 -1.5 - 1.6 -1.7)</t>
  </si>
  <si>
    <t>(1.1) Structural primary balance (before ageing cost)</t>
  </si>
  <si>
    <t>(1.2) Cumulated budgetary effort (in terms of primary balance)</t>
  </si>
  <si>
    <t>(1.3) Cyclical component</t>
  </si>
  <si>
    <t>(1.4) One-off and other temporary measures</t>
  </si>
  <si>
    <t>(1.5) Cost of ageing</t>
  </si>
  <si>
    <t>(1.6) Property incomes</t>
  </si>
  <si>
    <t>(1.7) Revenues</t>
  </si>
  <si>
    <t>(2) Snowball effect (2.1 + 2.2 + 2.3)</t>
  </si>
  <si>
    <t>(2.1) Interest expenditure</t>
  </si>
  <si>
    <t>(2.2) Growth effect</t>
  </si>
  <si>
    <t>(2.3) Inflation effect</t>
  </si>
  <si>
    <t>(2.4) Exchange rate effect linked to the interest rate</t>
  </si>
  <si>
    <t>(3 ) Stock flow adjustments (3.1 + 3.2)</t>
  </si>
  <si>
    <t>(3.1) Base</t>
  </si>
  <si>
    <t>(3.2) Adjustment due to the exchange rate effect linked to debt value</t>
  </si>
  <si>
    <t>Other budgetary variables</t>
  </si>
  <si>
    <t>Net expenditure growth</t>
  </si>
  <si>
    <t>Debt decomposition and IIR</t>
  </si>
  <si>
    <t>Auxiliary variable identifying whether debt is increasing</t>
  </si>
  <si>
    <t>Auxiliary variable identifying whether some debt is rolled over even though debt is decreasing</t>
  </si>
  <si>
    <r>
      <rPr>
        <i/>
        <sz val="8"/>
        <color theme="1"/>
        <rFont val="Arial"/>
        <family val="2"/>
      </rPr>
      <t>Of which</t>
    </r>
    <r>
      <rPr>
        <sz val="8"/>
        <color theme="1"/>
        <rFont val="Arial"/>
        <family val="2"/>
      </rPr>
      <t xml:space="preserve"> Outstanding debt</t>
    </r>
  </si>
  <si>
    <t>Rolled over long-term debt</t>
  </si>
  <si>
    <t>Rolled over short-term debt</t>
  </si>
  <si>
    <t>New long-term debt</t>
  </si>
  <si>
    <t>New short-term debt</t>
  </si>
  <si>
    <t>IIR</t>
  </si>
  <si>
    <t>Long-term implicit interest rate</t>
  </si>
  <si>
    <r>
      <t>Nominal implicit interest rate on debt (</t>
    </r>
    <r>
      <rPr>
        <b/>
        <sz val="8"/>
        <color theme="1"/>
        <rFont val="Arial"/>
        <family val="2"/>
      </rPr>
      <t>Excel approximation</t>
    </r>
    <r>
      <rPr>
        <sz val="8"/>
        <color theme="1"/>
        <rFont val="Arial"/>
        <family val="2"/>
      </rPr>
      <t>)</t>
    </r>
  </si>
  <si>
    <t>Diff. STATA</t>
  </si>
  <si>
    <t>Per memo - STATA results</t>
  </si>
  <si>
    <t>CY</t>
  </si>
  <si>
    <t>EL</t>
  </si>
  <si>
    <t>IE</t>
  </si>
  <si>
    <t>PT</t>
  </si>
  <si>
    <t>Interest rates</t>
  </si>
  <si>
    <t>GDP deflator (National currency)</t>
  </si>
  <si>
    <t>Average net primary expenditure growth</t>
  </si>
  <si>
    <t>Approximation of interest payments in % GDP</t>
  </si>
  <si>
    <t>Growth rate (including feedback and output-gap closure effect)</t>
  </si>
  <si>
    <t>per memo: initial shock (GDP growth rate in baseline scenario - 0.5)</t>
  </si>
  <si>
    <t>Potential GDP (real)</t>
  </si>
  <si>
    <t>Interest rates and inflation</t>
  </si>
  <si>
    <t>First year of stochastic projections</t>
  </si>
  <si>
    <t>Last year of stochastic projections</t>
  </si>
  <si>
    <t>Baseline assumptions</t>
  </si>
  <si>
    <t>Distribution of debt paths</t>
  </si>
  <si>
    <t>p10</t>
  </si>
  <si>
    <t>p30</t>
  </si>
  <si>
    <t>p70</t>
  </si>
  <si>
    <t>p90</t>
  </si>
  <si>
    <t>Graph</t>
  </si>
  <si>
    <t>p30_p10</t>
  </si>
  <si>
    <t>p50_p30</t>
  </si>
  <si>
    <t>p70_p50</t>
  </si>
  <si>
    <t>p90_p70</t>
  </si>
  <si>
    <t>p50</t>
  </si>
  <si>
    <t>MT</t>
  </si>
  <si>
    <r>
      <rPr>
        <i/>
        <sz val="11"/>
        <color rgb="FF0070C0"/>
        <rFont val="Calibri"/>
        <family val="2"/>
        <scheme val="minor"/>
      </rPr>
      <t>Dark grey</t>
    </r>
    <r>
      <rPr>
        <sz val="11"/>
        <color rgb="FF0070C0"/>
        <rFont val="Calibri"/>
        <family val="2"/>
        <scheme val="minor"/>
      </rPr>
      <t xml:space="preserve"> indicates the period in which the SPB, net of changes in cost of ageing, remains constant at its value of end of adjustment.</t>
    </r>
  </si>
  <si>
    <t>Additionally, for the lower SPB scenario, the cells get thick black borders in the years when the SPB is gradually reduced.</t>
  </si>
  <si>
    <r>
      <t xml:space="preserve">All variables that are shocked turn </t>
    </r>
    <r>
      <rPr>
        <i/>
        <sz val="11"/>
        <color rgb="FF0070C0"/>
        <rFont val="Calibri"/>
        <family val="2"/>
        <scheme val="minor"/>
      </rPr>
      <t>very dark grey</t>
    </r>
    <r>
      <rPr>
        <sz val="11"/>
        <color rgb="FF0070C0"/>
        <rFont val="Calibri"/>
        <family val="2"/>
        <scheme val="minor"/>
      </rPr>
      <t>.</t>
    </r>
  </si>
  <si>
    <t>Table 1 - Adjustment input data</t>
  </si>
  <si>
    <t>Table 2 - DSA-based criteria</t>
  </si>
  <si>
    <t>Table 3 - Safeguards and benchmark</t>
  </si>
  <si>
    <t>Table 5 - DSA-based adjustment *</t>
  </si>
  <si>
    <t>Last year before the adjustment</t>
  </si>
  <si>
    <t>Table 4 - Main fiscal variables</t>
  </si>
  <si>
    <r>
      <rPr>
        <i/>
        <sz val="11"/>
        <color rgb="FF0070C0"/>
        <rFont val="Calibri"/>
        <family val="2"/>
        <scheme val="minor"/>
      </rPr>
      <t>Light grey</t>
    </r>
    <r>
      <rPr>
        <sz val="11"/>
        <color rgb="FF0070C0"/>
        <rFont val="Calibri"/>
        <family val="2"/>
        <scheme val="minor"/>
      </rPr>
      <t xml:space="preserve"> indicates the pre-plan period, corresponding to the EC forecast</t>
    </r>
  </si>
  <si>
    <t>Sources</t>
  </si>
  <si>
    <t>Eurostat, average shares over the 3 last available years.</t>
  </si>
  <si>
    <t>ECB, country-specific historical average shares over the 6 last available years. For post-programme countries (CY, El , IE and PT), the redemption profile of official loans has been taken into account for the computation of the share of long-term debt that matures every year. For these countries, changing this parameter would not affect debt projections.</t>
  </si>
  <si>
    <t>Share of rolled-over long-term debt in 2022</t>
  </si>
  <si>
    <t>Share of rolled-over short-term debt in 2022</t>
  </si>
  <si>
    <t>Difference between debt level in 50th and 10th percentiles of the distribution</t>
  </si>
  <si>
    <t>Difference between debt level in 50th and 30th percentiles of the distribution</t>
  </si>
  <si>
    <t>Difference between debt level in 70th and 50th percentiles of the distribution</t>
  </si>
  <si>
    <t>Difference between debt level in 90th and 50th percentiles of the distribution</t>
  </si>
  <si>
    <r>
      <t xml:space="preserve">The sheet "Input data" in light blue presents the </t>
    </r>
    <r>
      <rPr>
        <b/>
        <sz val="11"/>
        <color rgb="FF0070C0"/>
        <rFont val="Calibri"/>
        <family val="2"/>
        <scheme val="minor"/>
      </rPr>
      <t>input data</t>
    </r>
    <r>
      <rPr>
        <sz val="11"/>
        <color rgb="FF0070C0"/>
        <rFont val="Calibri"/>
        <family val="2"/>
        <scheme val="minor"/>
      </rPr>
      <t>, including fiscal and GDP growth assumptions as well as  additional fiscal parameters. Unless stated otherwise below,</t>
    </r>
    <r>
      <rPr>
        <b/>
        <u/>
        <sz val="11"/>
        <color rgb="FF0070C0"/>
        <rFont val="Calibri"/>
        <family val="2"/>
        <scheme val="minor"/>
      </rPr>
      <t xml:space="preserve"> the user can change all values in this tab.</t>
    </r>
  </si>
  <si>
    <r>
      <rPr>
        <i/>
        <sz val="11"/>
        <color rgb="FF0070C0"/>
        <rFont val="Calibri"/>
        <family val="2"/>
        <scheme val="minor"/>
      </rPr>
      <t>Mild grey</t>
    </r>
    <r>
      <rPr>
        <sz val="11"/>
        <color rgb="FF0070C0"/>
        <rFont val="Calibri"/>
        <family val="2"/>
        <scheme val="minor"/>
      </rPr>
      <t xml:space="preserve"> indicates the period during which the SPB adjusts  according to the path set in sheet "</t>
    </r>
    <r>
      <rPr>
        <b/>
        <sz val="11"/>
        <color rgb="FF0070C0"/>
        <rFont val="Calibri"/>
        <family val="2"/>
        <scheme val="minor"/>
      </rPr>
      <t>Criteria results</t>
    </r>
    <r>
      <rPr>
        <sz val="11"/>
        <color rgb="FF0070C0"/>
        <rFont val="Calibri"/>
        <family val="2"/>
        <scheme val="minor"/>
      </rPr>
      <t>"</t>
    </r>
  </si>
  <si>
    <t>IIR difference STATA - Excel</t>
  </si>
  <si>
    <t>(i - g)</t>
  </si>
  <si>
    <t>Debt increasing? (For criterion 1)</t>
  </si>
  <si>
    <t>Gross debt ratio in the Adjust. no safeguard</t>
  </si>
  <si>
    <t>p50 - Adjust. no safeguard</t>
  </si>
  <si>
    <t xml:space="preserve">* The adjustment in this table does not account for the minimum adjustment of 0.5 pp. of GDP as a benchmark nor for the debt sustainability and deficit resillience safeguards. </t>
  </si>
  <si>
    <t xml:space="preserve">· Adjustment scenario without safeguard and benchmark </t>
  </si>
  <si>
    <t>Annual change in SPB</t>
  </si>
  <si>
    <t>Debt declines by 1pp (0.5pp) of GDP on average as long as debt exceeds 90% (60%) of GDP</t>
  </si>
  <si>
    <t>Average change in debt</t>
  </si>
  <si>
    <t>Debt sustainability safeguard *</t>
  </si>
  <si>
    <t>Deficit benchmark **</t>
  </si>
  <si>
    <t>Each scenario is computed automatically based on the yearly adjustment path set in "Criteria results" (see above).</t>
  </si>
  <si>
    <t xml:space="preserve">The next spreadsheets present the deterministic and stochastic projections. Each deterministic projection provides a single path for debt until 2038 or 2041 under certain assumptions for budgetary, macroeconomic and financial variables, while the outcome of the stochastic projections is a distribution of debt paths resulting from a wide set of shocks. 
The sheets are grouped in four blocs, identified by their colour coding:
</t>
  </si>
  <si>
    <t>Within the orange sheet and each green sheet, the background of the SPB line has three colours. Each colour corresponds to a specific period of the projections:</t>
  </si>
  <si>
    <r>
      <t xml:space="preserve">The sheet in dark green presents the </t>
    </r>
    <r>
      <rPr>
        <u/>
        <sz val="11"/>
        <color rgb="FF0070C0"/>
        <rFont val="Calibri"/>
        <family val="2"/>
        <scheme val="minor"/>
      </rPr>
      <t>stochastic projections</t>
    </r>
    <r>
      <rPr>
        <sz val="11"/>
        <color rgb="FF0070C0"/>
        <rFont val="Calibri"/>
        <family val="2"/>
        <scheme val="minor"/>
      </rPr>
      <t xml:space="preserve"> surrounding the adjustment scenario without safeguard and benchmark .</t>
    </r>
  </si>
  <si>
    <t>Level (billions, national currency)</t>
  </si>
  <si>
    <t xml:space="preserve">Adjustment in a plan without extension </t>
  </si>
  <si>
    <t xml:space="preserve">Adjustment in a plan with extension </t>
  </si>
  <si>
    <t xml:space="preserve">    </t>
  </si>
  <si>
    <t>* The average change in debt is computed from the year before the start of the reference trajectory or the year in which the excessive deficit procedure is projected to be abrogated, whichever occurs last, until the end of the adjustment period. 
** The deficit benchmark is applied in terms of change in SPB during the transitory period of 2025-2027 and in terms of change in SB thereafter.</t>
  </si>
  <si>
    <t>country</t>
  </si>
  <si>
    <t>year</t>
  </si>
  <si>
    <t>spb_gdp_DSM</t>
  </si>
  <si>
    <t>exchrate_ameco</t>
  </si>
  <si>
    <t>cyclcomp_gdp_DSM</t>
  </si>
  <si>
    <t>rGDPgr_DSM</t>
  </si>
  <si>
    <t>infl_DSM</t>
  </si>
  <si>
    <t>oneOffMeasures_DSM</t>
  </si>
  <si>
    <t>Stockflowadjustments_DSM</t>
  </si>
  <si>
    <t>AgeingCost_DSM</t>
  </si>
  <si>
    <t>gdebt_gdp_DSM</t>
  </si>
  <si>
    <t>nIIR_DSM</t>
  </si>
  <si>
    <t>Debt decreasing? (For criterion 1)</t>
  </si>
  <si>
    <t>Table 7a: Debt and headline balance projections and key underlying assumptions (under the planned fiscal path)</t>
  </si>
  <si>
    <t>Gross debt</t>
  </si>
  <si>
    <t>(% GDP)</t>
  </si>
  <si>
    <t>General government balance</t>
  </si>
  <si>
    <t>(% pot. GDP)</t>
  </si>
  <si>
    <t>Cyclical component</t>
  </si>
  <si>
    <t>One-off measures</t>
  </si>
  <si>
    <t>Interest expenditure</t>
  </si>
  <si>
    <t>(%)</t>
  </si>
  <si>
    <t>Implicit average interest rate</t>
  </si>
  <si>
    <t>Stock-flow adjustment</t>
  </si>
  <si>
    <t>(growth rate)</t>
  </si>
  <si>
    <t>Real GDP</t>
  </si>
  <si>
    <t>GDP deflator</t>
  </si>
  <si>
    <t>Nominal GDP</t>
  </si>
  <si>
    <t>Table 7b: Debt projections and key stressed variables, deterministic scenarios and stochastic simulations</t>
  </si>
  <si>
    <t>Adverse 'r-g' scenario</t>
  </si>
  <si>
    <t>Stochastic simulations</t>
  </si>
  <si>
    <t>Probability of debt being below its value in T+4/7</t>
  </si>
  <si>
    <t>Table 7c: Debt and headline balance projections and underlying assumptions (under 'no-fiscal-policy-change' baseline)</t>
  </si>
  <si>
    <t>Table 7d: Debt projections and additional assumptions (under the planned fiscal path)</t>
  </si>
  <si>
    <t>line</t>
  </si>
  <si>
    <t>approximation</t>
  </si>
  <si>
    <t>SF24</t>
  </si>
  <si>
    <t>Real GDP growth assumptions (based on SF 2024 T+10 projections and AR 2024 projections)</t>
  </si>
  <si>
    <t>Average (2025-28)</t>
  </si>
  <si>
    <r>
      <t xml:space="preserve">Cells in </t>
    </r>
    <r>
      <rPr>
        <i/>
        <sz val="11"/>
        <color rgb="FF0070C0"/>
        <rFont val="Calibri"/>
        <family val="2"/>
        <scheme val="minor"/>
      </rPr>
      <t>light blue</t>
    </r>
    <r>
      <rPr>
        <sz val="11"/>
        <color rgb="FF0070C0"/>
        <rFont val="Calibri"/>
        <family val="2"/>
        <scheme val="minor"/>
      </rPr>
      <t xml:space="preserve"> indicate values from the Ageing Report 2024</t>
    </r>
  </si>
  <si>
    <t xml:space="preserve">Share of primary expenditure in GDP in 2024 </t>
  </si>
  <si>
    <t>Long-term nominal interest rate (T+10 convergence value)</t>
  </si>
  <si>
    <t>Short-term nominal interest rate (T+10 convergence value)</t>
  </si>
  <si>
    <t>Long-term nominal interest rate (T+30 convergence value)</t>
  </si>
  <si>
    <t>Short-term nominal interest rate (T+30 convergence value)</t>
  </si>
  <si>
    <t>Share of long-term debt that matures every year (T+10 convergence value)</t>
  </si>
  <si>
    <t>GDP deflator (national currency) (T+10 convergence value)</t>
  </si>
  <si>
    <t>GDP deflator (national currency) (T+30 convergence value)</t>
  </si>
  <si>
    <r>
      <t xml:space="preserve">Data reported in this file are based on the </t>
    </r>
    <r>
      <rPr>
        <i/>
        <sz val="11"/>
        <color rgb="FF0070C0"/>
        <rFont val="Calibri"/>
        <family val="2"/>
        <scheme val="minor"/>
      </rPr>
      <t>European Commission (EC) 2024 spring forecast (SF 2024)</t>
    </r>
    <r>
      <rPr>
        <sz val="11"/>
        <color rgb="FF0070C0"/>
        <rFont val="Calibri"/>
        <family val="2"/>
        <scheme val="minor"/>
      </rPr>
      <t xml:space="preserve"> and macroeconomic and budgetary projections from the joint </t>
    </r>
    <r>
      <rPr>
        <i/>
        <sz val="11"/>
        <color rgb="FF0070C0"/>
        <rFont val="Calibri"/>
        <family val="2"/>
        <scheme val="minor"/>
      </rPr>
      <t>EC-EPC Ageing Report 2024 (AR 2024)</t>
    </r>
    <r>
      <rPr>
        <sz val="11"/>
        <color rgb="FF0070C0"/>
        <rFont val="Calibri"/>
        <family val="2"/>
        <scheme val="minor"/>
      </rPr>
      <t>.</t>
    </r>
  </si>
  <si>
    <t>Interest rates (SF 2024, %)</t>
  </si>
  <si>
    <t>Inflation (SF 2024, %)</t>
  </si>
  <si>
    <t>Net primary expenditure growth (SF 2024, %)</t>
  </si>
  <si>
    <t>Budget balance semi-elasticity</t>
  </si>
  <si>
    <t>Structural balance ensuring safety margin (for deficit resilience safeguard)</t>
  </si>
  <si>
    <t>Change in interest payments (for deficit benchmark in SB terms from 2028 onwards)</t>
  </si>
  <si>
    <t>Debt above 90% (for debt sustainability safeguard)</t>
  </si>
  <si>
    <t>Debt between 60% and 90% (for debt sustainability safeguard)</t>
  </si>
  <si>
    <t>Debt above 60% (for debt sustainability safeguard)</t>
  </si>
  <si>
    <t>Deficit exceeding 3% / under EDP (for deficit benchmark and debt sustainability safeguard)</t>
  </si>
  <si>
    <t>Table 6 - Reference trajectory</t>
  </si>
  <si>
    <t xml:space="preserve">Table 5 "DSA-based adjustment" summarises the key characteristics of the adjustment path that complies with the DSA-based criteria before applying the safeguards and benchmark, for a plan both with and without extension. </t>
  </si>
  <si>
    <t xml:space="preserve">Table 4 "Main fiscal variables" reports the annual adjustment over the adjustment period, in terms of change in SPB (line 19) and net primary expenditure growth (line 20). The table also reports the headline balance, the structural balance and  debt (lines 21 to 23). The average annual adjustment is reported in cells G24 (average change in SPB over the 4-year plan period), G25 (average change in SPB over the 4-year or 7-year adjustment period), G26 (average net primary expenditure growth over the plan period) and G27 (average net primary expenditure growth over the adjustment period). </t>
  </si>
  <si>
    <r>
      <t>The grey sheet "</t>
    </r>
    <r>
      <rPr>
        <b/>
        <sz val="11"/>
        <color rgb="FF0070C0"/>
        <rFont val="Calibri"/>
        <family val="2"/>
        <scheme val="minor"/>
      </rPr>
      <t>Criteria results</t>
    </r>
    <r>
      <rPr>
        <sz val="11"/>
        <color rgb="FF0070C0"/>
        <rFont val="Calibri"/>
        <family val="2"/>
        <scheme val="minor"/>
      </rPr>
      <t>" contains three types of cells identified by different colours:</t>
    </r>
  </si>
  <si>
    <r>
      <t>The sheet "</t>
    </r>
    <r>
      <rPr>
        <b/>
        <sz val="11"/>
        <color rgb="FF0070C0"/>
        <rFont val="Calibri"/>
        <family val="2"/>
        <scheme val="minor"/>
      </rPr>
      <t>Criteria results</t>
    </r>
    <r>
      <rPr>
        <sz val="11"/>
        <color rgb="FF0070C0"/>
        <rFont val="Calibri"/>
        <family val="2"/>
        <scheme val="minor"/>
      </rPr>
      <t>" contains six tables:
Table 1 "Adjustment input data": the user can set the duration of the plan (4 years under no extension or 7 years under extension) and the yearly adjustment pace in cells F5 and F6 in yellow. Note that the country cell (F4) cannot be changed.</t>
    </r>
  </si>
  <si>
    <r>
      <t xml:space="preserve">Cells in </t>
    </r>
    <r>
      <rPr>
        <i/>
        <sz val="11"/>
        <color rgb="FF0070C0"/>
        <rFont val="Calibri"/>
        <family val="2"/>
        <scheme val="minor"/>
      </rPr>
      <t>light grey</t>
    </r>
    <r>
      <rPr>
        <sz val="11"/>
        <color rgb="FF0070C0"/>
        <rFont val="Calibri"/>
        <family val="2"/>
        <scheme val="minor"/>
      </rPr>
      <t xml:space="preserve"> indicate a Commission forecast (available in the AMECO database)</t>
    </r>
  </si>
  <si>
    <t>Cost of ageing and selected public revenue (based on the Commission-Council 2024 Ageing Report ("AR 2024"))</t>
  </si>
  <si>
    <r>
      <t>Cells in</t>
    </r>
    <r>
      <rPr>
        <i/>
        <sz val="11"/>
        <color rgb="FF0070C0"/>
        <rFont val="Calibri"/>
        <family val="2"/>
        <scheme val="minor"/>
      </rPr>
      <t xml:space="preserve"> light red</t>
    </r>
    <r>
      <rPr>
        <sz val="11"/>
        <color rgb="FF0070C0"/>
        <rFont val="Calibri"/>
        <family val="2"/>
        <scheme val="minor"/>
      </rPr>
      <t xml:space="preserve"> indicate whether the country is subject to an ongoing excessive deficit procedure (EDP) or whether the Commission's June 2024 report under Art. 126(3) of the Treaty recommends opening an EDP. If neither of these conditions are met, the deficit benchmark is not relevant and therefore not applied.</t>
    </r>
  </si>
  <si>
    <t>Non-coloured parameters in cells C49:C70 were calibrated based on different data sources. The data sources are indicated in the corresponding cells of column E.
The last part of the sheet "Input data" (cells C73:G77) provides the parameters measuring the size of the cone of the fanchart that results from the stochastic analysis. For reproducibility reasons, these parameters are kept constant.</t>
  </si>
  <si>
    <t xml:space="preserve">The sheet in orange presents the scenario that automatically corrects the yearly adjustment path to account for the deficit benchmark and the deficit resillience safeguard. By contrast, the yearly adjustment profile is not automatically adjusted to ensure that the debt sustainability safeguard is met. However, the sheet "Criteria results" indicates whether that safeguard is met. </t>
  </si>
  <si>
    <r>
      <t xml:space="preserve">The sheets in green present the </t>
    </r>
    <r>
      <rPr>
        <u/>
        <sz val="11"/>
        <color rgb="FF0070C0"/>
        <rFont val="Calibri"/>
        <family val="2"/>
        <scheme val="minor"/>
      </rPr>
      <t>deterministic projections</t>
    </r>
    <r>
      <rPr>
        <sz val="11"/>
        <color rgb="FF0070C0"/>
        <rFont val="Calibri"/>
        <family val="2"/>
        <scheme val="minor"/>
      </rPr>
      <t xml:space="preserve"> that are used to compute the DSA-based requirements (in the sheet "Criteria results"). They include four scenarios:
</t>
    </r>
  </si>
  <si>
    <r>
      <rPr>
        <b/>
        <sz val="11"/>
        <color rgb="FF0070C0"/>
        <rFont val="Calibri"/>
        <family val="2"/>
        <scheme val="minor"/>
      </rPr>
      <t>Debt projections</t>
    </r>
    <r>
      <rPr>
        <sz val="11"/>
        <color rgb="FF0070C0"/>
        <rFont val="Calibri"/>
        <family val="2"/>
        <scheme val="minor"/>
      </rPr>
      <t xml:space="preserve"> can be found in line 56 or 57 of each scenario. The corresponding </t>
    </r>
    <r>
      <rPr>
        <b/>
        <sz val="11"/>
        <color rgb="FF0070C0"/>
        <rFont val="Calibri"/>
        <family val="2"/>
        <scheme val="minor"/>
      </rPr>
      <t>net expenditure growth</t>
    </r>
    <r>
      <rPr>
        <sz val="11"/>
        <color rgb="FF0070C0"/>
        <rFont val="Calibri"/>
        <family val="2"/>
        <scheme val="minor"/>
      </rPr>
      <t xml:space="preserve"> is located in line 79 or 80 in the baseline and adjustment scenario (and Adj. no safeguard) sheets. The average net expenditure growth over the adjustment period is computed in cell D81 of the sheet "Adjustment scenario". As a reminder, these numbers are also available in Table 4 in "Criteria results".</t>
    </r>
  </si>
  <si>
    <r>
      <t>This file contains a simplified version of the EC model used to calculate the general governement debt ratio dynamics for EU countries under different scenarios. A detailed description of the EC's general govern</t>
    </r>
    <r>
      <rPr>
        <strike/>
        <sz val="11"/>
        <color rgb="FF0070C0"/>
        <rFont val="Calibri"/>
        <family val="2"/>
        <scheme val="minor"/>
      </rPr>
      <t>e</t>
    </r>
    <r>
      <rPr>
        <sz val="11"/>
        <color rgb="FF0070C0"/>
        <rFont val="Calibri"/>
        <family val="2"/>
        <scheme val="minor"/>
      </rPr>
      <t>ment debt projections can be found</t>
    </r>
    <r>
      <rPr>
        <b/>
        <sz val="11"/>
        <color rgb="FF0070C0"/>
        <rFont val="Calibri"/>
        <family val="2"/>
        <scheme val="minor"/>
      </rPr>
      <t xml:space="preserve"> </t>
    </r>
    <r>
      <rPr>
        <sz val="11"/>
        <color rgb="FF0070C0"/>
        <rFont val="Calibri"/>
        <family val="2"/>
        <scheme val="minor"/>
      </rPr>
      <t xml:space="preserve">in the </t>
    </r>
    <r>
      <rPr>
        <b/>
        <sz val="11"/>
        <color rgb="FF0070C0"/>
        <rFont val="Calibri"/>
        <family val="2"/>
        <scheme val="minor"/>
      </rPr>
      <t>"</t>
    </r>
    <r>
      <rPr>
        <b/>
        <u/>
        <sz val="11"/>
        <color rgb="FF0070C0"/>
        <rFont val="Calibri"/>
        <family val="2"/>
        <scheme val="minor"/>
      </rPr>
      <t>Debt Sustainability Monitor 2023" (DSM, March 2024)</t>
    </r>
    <r>
      <rPr>
        <b/>
        <sz val="11"/>
        <color rgb="FF0070C0"/>
        <rFont val="Calibri"/>
        <family val="2"/>
        <scheme val="minor"/>
      </rPr>
      <t xml:space="preserve">. </t>
    </r>
  </si>
  <si>
    <t>Table 6 "Reference trajectory" reports the net expenditure growth and the corresponding annual change in SPB that are consistent with all requirements including the safeguards and benchmark, both without and with extension.</t>
  </si>
  <si>
    <t xml:space="preserve">Table 2 "DSA-based criteria" reports whether the chosen adjustment fulfils each of the DSA-based criteria. </t>
  </si>
  <si>
    <t>Table 3 "Safeguards and benchmark" reports whether (i) the chosen adjustment ensures that the debt sustainability safeguard is met, (ii) the 'deficit benchmark', i.e. the minimum adjustment of 0.5 pp. of GDP as a benchmark when the country is in EDP and/or the deficit exceeds 3% of GDP, is binding, and (iii) the deficit resilience safeguard is binding.</t>
  </si>
  <si>
    <t>To the right of Table 1, a message automatically signals whether the chosen adjustment is sufficient to fulfill all the requirements, summarising the results from Tables 2 and 3.</t>
  </si>
  <si>
    <t>Number of years of adjustment</t>
  </si>
  <si>
    <t>Probability that debt decreases</t>
  </si>
  <si>
    <r>
      <t xml:space="preserve">Cells with a </t>
    </r>
    <r>
      <rPr>
        <i/>
        <sz val="11"/>
        <color rgb="FF0070C0"/>
        <rFont val="Calibri"/>
        <family val="2"/>
        <scheme val="minor"/>
      </rPr>
      <t>yellow background and a red frame</t>
    </r>
    <r>
      <rPr>
        <sz val="11"/>
        <color rgb="FF0070C0"/>
        <rFont val="Calibri"/>
        <family val="2"/>
        <scheme val="minor"/>
      </rPr>
      <t xml:space="preserve"> can be modified to see the impact of a different duration or pace of adjustment.</t>
    </r>
  </si>
  <si>
    <r>
      <t xml:space="preserve">Cells with a </t>
    </r>
    <r>
      <rPr>
        <i/>
        <sz val="11"/>
        <color rgb="FF0070C0"/>
        <rFont val="Calibri"/>
        <family val="2"/>
        <scheme val="minor"/>
      </rPr>
      <t xml:space="preserve">white or grey background </t>
    </r>
    <r>
      <rPr>
        <sz val="11"/>
        <color rgb="FF0070C0"/>
        <rFont val="Calibri"/>
        <family val="2"/>
        <scheme val="minor"/>
      </rPr>
      <t>provide results obtained with the adjustment chosen in the yellow cells. To replicate the Commission's calculations, the underlying formulas should not be modified.</t>
    </r>
  </si>
  <si>
    <r>
      <t xml:space="preserve">Cells with a </t>
    </r>
    <r>
      <rPr>
        <i/>
        <sz val="11"/>
        <color rgb="FF0070C0"/>
        <rFont val="Calibri"/>
        <family val="2"/>
        <scheme val="minor"/>
      </rPr>
      <t>pale blue background</t>
    </r>
    <r>
      <rPr>
        <sz val="11"/>
        <color rgb="FF0070C0"/>
        <rFont val="Calibri"/>
        <family val="2"/>
        <scheme val="minor"/>
      </rPr>
      <t xml:space="preserve"> correspond to the Commission's prior guidance provided to the Member State. Those are hard numbers that do not depend on the adjustment chosen in the file.</t>
    </r>
  </si>
  <si>
    <t>Subject to an excessive deficit procedure (EDP) (0-no/1-yes)</t>
  </si>
  <si>
    <t>Key fiscal variables (based on the Commission 2024 spring forecast ("SF 2024") T+2 forecast and the June 2024 report prepared under Art. 126(3) of the Treaty)</t>
  </si>
  <si>
    <r>
      <t>This tool can be used to calculate debt projections under different macroeconomic and structural primary balance adjustment assumptions. Debt projections for each scenario will update automatically with changes in the macroeconomic assumptions or the adjustment parameters. The fulfilment of DSA-based criteria, the safeguards and the benchmark will be automatically calculated in the sheet "</t>
    </r>
    <r>
      <rPr>
        <b/>
        <sz val="11"/>
        <color rgb="FF0070C0"/>
        <rFont val="Calibri"/>
        <family val="2"/>
        <scheme val="minor"/>
      </rPr>
      <t>Criteria results</t>
    </r>
    <r>
      <rPr>
        <sz val="11"/>
        <color rgb="FF0070C0"/>
        <rFont val="Calibri"/>
        <family val="2"/>
        <scheme val="minor"/>
      </rPr>
      <t>".
Formulas are fully visible. To assess the impact of alternative adjustment paths compared with the reference trajectory calculated by the EC or to check its robustness to underlying macroeconomic assumptions, the user can modify the content of key cells in the sheets "</t>
    </r>
    <r>
      <rPr>
        <b/>
        <sz val="11"/>
        <color rgb="FF0070C0"/>
        <rFont val="Calibri"/>
        <family val="2"/>
        <scheme val="minor"/>
      </rPr>
      <t>Criteria results</t>
    </r>
    <r>
      <rPr>
        <sz val="11"/>
        <color rgb="FF0070C0"/>
        <rFont val="Calibri"/>
        <family val="2"/>
        <scheme val="minor"/>
      </rPr>
      <t>" and "</t>
    </r>
    <r>
      <rPr>
        <b/>
        <sz val="11"/>
        <color rgb="FF0070C0"/>
        <rFont val="Calibri"/>
        <family val="2"/>
        <scheme val="minor"/>
      </rPr>
      <t>Input data</t>
    </r>
    <r>
      <rPr>
        <sz val="11"/>
        <color rgb="FF0070C0"/>
        <rFont val="Calibri"/>
        <family val="2"/>
        <scheme val="minor"/>
      </rPr>
      <t>" (see below).
Note that, for a proper functioning of the file, you should make sure that Excel is in "Automatic" computation mode, i.e. in the File menu, Option tab, click on "Formulas", "Calculation Options" and "Automatic".</t>
    </r>
  </si>
  <si>
    <t>The 'FASTOP reporting' sheet in violet provides help for preparing reporting tables. It readily provides all the tables envisaged in the guidance notice on the "Information Requirements for the Medium-Term Fiscal-Structural Plans" once the parameters are set in the rest of this file.
Note that the probability of a declining debt ratio in table 7c derived from the stochastic simulations is only an approximation since the stochastic analysis is not an integral part of this Excel file. For a precise figure, the simulations need to be run.
This sheet is therefore only meant to provide assistance. The figures still need to be thoroughly scrutinised before submitting the tables.</t>
  </si>
  <si>
    <t>* The stochastic simulations are provided mainly for information, as the Excel worksheet only allows for an approximation of what is done in the Commission's Stata model. Indeed, in this Excel worksheet, the size of the cone of the fanchart is assumed to be constant over different adjustment paths. In ther Stata model, it is a non linear function of the level of debt, as shocks (in particular interest rate shocks) have different impacts according to the level of debt ratio. 
** In case a smaller adjustment than the one implied by criterion 1 and criterion 2 is sufficient to ensure that debt is brought (and/or remains) below 60% of GDP under the adjustment scenario and all deterministic stress tests while ensuring that the criterion 3 is met, then that smaller, 'eased-up' adjustment is chosen.</t>
  </si>
  <si>
    <t xml:space="preserve">In case of a plan with no extension, both the plan period and the adjustment period last 4 years. 
In case of a plan with extension, the plan period remains 4 years while the adjustment period lasts 7 years. Morever, in case of extension, if neither the deficit benchmark nor the deficit resilience safeguard are binding, the values in G24 and G25 (and G26 and G27) are the same. However, if the benchmark or the safeguard is binding, the values in those cells can be different. </t>
  </si>
  <si>
    <t>No extension (annual adjustment of 0.44)</t>
  </si>
  <si>
    <t>Extension (annual adjustment of 0.28)</t>
  </si>
  <si>
    <t>The sheet in blue provides, as a reference, the baseline no-fiscal-policy-change scenario. The background colour coding is the same as in the sheet "Input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</si>
</sst>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
    <numFmt numFmtId="165" formatCode="0.0"/>
    <numFmt numFmtId="166" formatCode="0.000"/>
    <numFmt numFmtId="167" formatCode="0.00000"/>
    <numFmt numFmtId="168" formatCode="0.000000"/>
    <numFmt numFmtId="169" formatCode="0.0000000"/>
    <numFmt numFmtId="170" formatCode="0.00000000"/>
  </numFmts>
  <fonts count="52"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theme="1"/>
      <name val="Arial"/>
      <family val="2"/>
    </font>
    <font>
      <i/>
      <sz val="8"/>
      <color theme="1"/>
      <name val="Arial"/>
      <family val="2"/>
    </font>
    <font>
      <b/>
      <sz val="8"/>
      <color theme="1"/>
      <name val="Arial"/>
      <family val="2"/>
    </font>
    <font>
      <b/>
      <sz val="8"/>
      <name val="Arial"/>
      <family val="2"/>
    </font>
    <font>
      <i/>
      <sz val="8"/>
      <name val="Arial"/>
      <family val="2"/>
    </font>
    <font>
      <b/>
      <i/>
      <sz val="8"/>
      <name val="Arial"/>
      <family val="2"/>
    </font>
    <font>
      <sz val="8"/>
      <name val="Arial"/>
      <family val="2"/>
    </font>
    <font>
      <b/>
      <sz val="8"/>
      <color rgb="FF002060"/>
      <name val="Arial"/>
      <family val="2"/>
    </font>
    <font>
      <b/>
      <sz val="10"/>
      <color theme="1"/>
      <name val="Arial"/>
      <family val="2"/>
    </font>
    <font>
      <u/>
      <sz val="11"/>
      <color theme="10"/>
      <name val="Calibri"/>
      <family val="2"/>
      <scheme val="minor"/>
    </font>
    <font>
      <strike/>
      <sz val="11"/>
      <color theme="4"/>
      <name val="Calibri"/>
      <family val="2"/>
      <scheme val="minor"/>
    </font>
    <font>
      <b/>
      <sz val="9"/>
      <color theme="1"/>
      <name val="Arial"/>
      <family val="2"/>
    </font>
    <font>
      <sz val="10"/>
      <color rgb="FF000000"/>
      <name val="Arial"/>
      <family val="2"/>
    </font>
    <font>
      <b/>
      <sz val="10"/>
      <color theme="0"/>
      <name val="Arial"/>
      <family val="2"/>
    </font>
    <font>
      <b/>
      <sz val="8"/>
      <color rgb="FF0070C0"/>
      <name val="Arial"/>
      <family val="2"/>
    </font>
    <font>
      <sz val="8"/>
      <color theme="0"/>
      <name val="Arial"/>
      <family val="2"/>
    </font>
    <font>
      <sz val="10"/>
      <color theme="0"/>
      <name val="Arial"/>
      <family val="2"/>
    </font>
    <font>
      <b/>
      <sz val="8"/>
      <color theme="0"/>
      <name val="Arial"/>
      <family val="2"/>
    </font>
    <font>
      <i/>
      <sz val="10"/>
      <color theme="1"/>
      <name val="Arial"/>
      <family val="2"/>
    </font>
    <font>
      <sz val="8"/>
      <color rgb="FF002060"/>
      <name val="Arial"/>
      <family val="2"/>
    </font>
    <font>
      <b/>
      <i/>
      <sz val="10"/>
      <color theme="0"/>
      <name val="Arial"/>
      <family val="2"/>
    </font>
    <font>
      <b/>
      <sz val="10"/>
      <color rgb="FF002060"/>
      <name val="Arial"/>
      <family val="2"/>
    </font>
    <font>
      <b/>
      <i/>
      <sz val="10"/>
      <color rgb="FF002060"/>
      <name val="Arial"/>
      <family val="2"/>
    </font>
    <font>
      <b/>
      <sz val="11"/>
      <color theme="0"/>
      <name val="Calibri"/>
      <family val="2"/>
      <scheme val="minor"/>
    </font>
    <font>
      <sz val="11"/>
      <color rgb="FF0070C0"/>
      <name val="Calibri"/>
      <family val="2"/>
      <scheme val="minor"/>
    </font>
    <font>
      <b/>
      <sz val="11"/>
      <color rgb="FF0070C0"/>
      <name val="Calibri"/>
      <family val="2"/>
      <scheme val="minor"/>
    </font>
    <font>
      <u/>
      <sz val="11"/>
      <color rgb="FF0070C0"/>
      <name val="Calibri"/>
      <family val="2"/>
      <scheme val="minor"/>
    </font>
    <font>
      <i/>
      <sz val="11"/>
      <color rgb="FF0070C0"/>
      <name val="Calibri"/>
      <family val="2"/>
      <scheme val="minor"/>
    </font>
    <font>
      <strike/>
      <sz val="11"/>
      <color rgb="FF0070C0"/>
      <name val="Calibri"/>
      <family val="2"/>
      <scheme val="minor"/>
    </font>
    <font>
      <b/>
      <u/>
      <sz val="11"/>
      <color rgb="FF0070C0"/>
      <name val="Calibri"/>
      <family val="2"/>
      <scheme val="minor"/>
    </font>
    <font>
      <sz val="8"/>
      <color rgb="FF0070C0"/>
      <name val="Arial"/>
      <family val="2"/>
    </font>
    <font>
      <sz val="11"/>
      <name val="Calibri"/>
      <family val="2"/>
      <scheme val="minor"/>
    </font>
    <font>
      <sz val="11"/>
      <color rgb="FF000000"/>
      <name val="Calibri"/>
      <family val="2"/>
    </font>
    <font>
      <b/>
      <sz val="10"/>
      <color rgb="FFFF0000"/>
      <name val="Arial"/>
      <family val="2"/>
    </font>
    <font>
      <sz val="10"/>
      <name val="Arial"/>
      <family val="2"/>
    </font>
    <font>
      <b/>
      <sz val="10"/>
      <name val="Arial"/>
      <family val="2"/>
    </font>
    <font>
      <i/>
      <sz val="8"/>
      <color theme="0" tint="-0.34998626667073579"/>
      <name val="Arial"/>
      <family val="2"/>
    </font>
    <font>
      <sz val="11"/>
      <color rgb="FFFF0000"/>
      <name val="Calibri"/>
      <family val="2"/>
      <scheme val="minor"/>
    </font>
    <font>
      <i/>
      <sz val="8"/>
      <color theme="0" tint="-0.499984740745262"/>
      <name val="Arial"/>
      <family val="2"/>
    </font>
    <font>
      <b/>
      <sz val="10"/>
      <color rgb="FFFFFFFF"/>
      <name val="Arial"/>
      <family val="2"/>
    </font>
    <font>
      <b/>
      <sz val="10"/>
      <color theme="4" tint="-0.249977111117893"/>
      <name val="Arial"/>
      <family val="2"/>
    </font>
    <font>
      <sz val="11"/>
      <name val="Calibri"/>
      <family val="2"/>
    </font>
    <font>
      <b/>
      <sz val="12"/>
      <color rgb="FFFF0000"/>
      <name val="Arial"/>
      <family val="2"/>
    </font>
  </fonts>
  <fills count="22">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rgb="FF92D050"/>
        <bgColor indexed="64"/>
      </patternFill>
    </fill>
    <fill>
      <patternFill patternType="solid">
        <fgColor rgb="FF92CDDC"/>
        <bgColor indexed="64"/>
      </patternFill>
    </fill>
    <fill>
      <patternFill patternType="solid">
        <fgColor rgb="FF0070C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0"/>
        <bgColor rgb="FF000000"/>
      </patternFill>
    </fill>
    <fill>
      <patternFill patternType="solid">
        <fgColor theme="9"/>
        <bgColor indexed="64"/>
      </patternFill>
    </fill>
    <fill>
      <patternFill patternType="solid">
        <fgColor rgb="FF00B050"/>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rgb="FF7030A0"/>
        <bgColor indexed="64"/>
      </patternFill>
    </fill>
    <fill>
      <patternFill patternType="solid">
        <fgColor theme="5" tint="0.7999816888943144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ck">
        <color rgb="FFFF0000"/>
      </left>
      <right style="thick">
        <color rgb="FFFF0000"/>
      </right>
      <top style="thick">
        <color rgb="FFFF0000"/>
      </top>
      <bottom/>
      <diagonal/>
    </border>
    <border>
      <left style="thick">
        <color rgb="FFFF0000"/>
      </left>
      <right style="thick">
        <color rgb="FFFF0000"/>
      </right>
      <top/>
      <bottom style="thick">
        <color rgb="FFFF0000"/>
      </bottom>
      <diagonal/>
    </border>
    <border>
      <left style="medium">
        <color indexed="64"/>
      </left>
      <right style="medium">
        <color indexed="64"/>
      </right>
      <top style="medium">
        <color indexed="64"/>
      </top>
      <bottom style="medium">
        <color indexed="64"/>
      </bottom>
      <diagonal/>
    </border>
    <border>
      <left/>
      <right style="thick">
        <color rgb="FFFF0000"/>
      </right>
      <top/>
      <bottom style="thin">
        <color indexed="64"/>
      </bottom>
      <diagonal/>
    </border>
    <border>
      <left style="thick">
        <color rgb="FFFF0000"/>
      </left>
      <right style="thick">
        <color rgb="FFFF0000"/>
      </right>
      <top style="thick">
        <color rgb="FFFF0000"/>
      </top>
      <bottom style="thick">
        <color rgb="FFFF0000"/>
      </bottom>
      <diagonal/>
    </border>
    <border>
      <left style="medium">
        <color indexed="64"/>
      </left>
      <right/>
      <top/>
      <bottom/>
      <diagonal/>
    </border>
    <border>
      <left style="thick">
        <color rgb="FFFF0000"/>
      </left>
      <right/>
      <top/>
      <bottom/>
      <diagonal/>
    </border>
  </borders>
  <cellStyleXfs count="14">
    <xf numFmtId="0" fontId="0" fillId="0" borderId="0"/>
    <xf numFmtId="0" fontId="8" fillId="0" borderId="0"/>
    <xf numFmtId="0" fontId="8" fillId="0" borderId="0"/>
    <xf numFmtId="0" fontId="7" fillId="0" borderId="0"/>
    <xf numFmtId="0" fontId="18" fillId="0" borderId="0" applyNumberFormat="0" applyFill="0" applyBorder="0" applyAlignment="0" applyProtection="0"/>
    <xf numFmtId="0" fontId="6" fillId="0" borderId="0"/>
    <xf numFmtId="0" fontId="5" fillId="0" borderId="0"/>
    <xf numFmtId="0" fontId="4" fillId="0" borderId="0"/>
    <xf numFmtId="0" fontId="4" fillId="0" borderId="0"/>
    <xf numFmtId="0" fontId="4" fillId="0" borderId="0"/>
    <xf numFmtId="0" fontId="4" fillId="0" borderId="0"/>
    <xf numFmtId="0" fontId="4" fillId="0" borderId="0"/>
    <xf numFmtId="0" fontId="2" fillId="0" borderId="0"/>
    <xf numFmtId="0" fontId="50" fillId="0" borderId="0"/>
  </cellStyleXfs>
  <cellXfs count="470">
    <xf numFmtId="0" fontId="0" fillId="0" borderId="0" xfId="0"/>
    <xf numFmtId="165" fontId="15" fillId="2" borderId="0" xfId="0" applyNumberFormat="1" applyFont="1" applyFill="1" applyAlignment="1">
      <alignment horizontal="center"/>
    </xf>
    <xf numFmtId="165" fontId="15" fillId="3" borderId="0" xfId="0" applyNumberFormat="1" applyFont="1" applyFill="1" applyAlignment="1">
      <alignment horizontal="center"/>
    </xf>
    <xf numFmtId="165" fontId="15" fillId="4" borderId="0" xfId="0" applyNumberFormat="1" applyFont="1" applyFill="1" applyAlignment="1">
      <alignment horizontal="center"/>
    </xf>
    <xf numFmtId="165" fontId="9" fillId="4" borderId="0" xfId="0" applyNumberFormat="1" applyFont="1" applyFill="1" applyAlignment="1">
      <alignment horizontal="center"/>
    </xf>
    <xf numFmtId="0" fontId="0" fillId="2" borderId="0" xfId="0" applyFill="1"/>
    <xf numFmtId="0" fontId="0" fillId="2" borderId="6" xfId="0" applyFill="1" applyBorder="1"/>
    <xf numFmtId="165" fontId="0" fillId="0" borderId="0" xfId="0" applyNumberFormat="1"/>
    <xf numFmtId="0" fontId="0" fillId="2" borderId="8" xfId="0" applyFill="1" applyBorder="1" applyAlignment="1">
      <alignment horizontal="center"/>
    </xf>
    <xf numFmtId="0" fontId="0" fillId="2" borderId="7" xfId="0" applyFill="1" applyBorder="1" applyAlignment="1">
      <alignment horizontal="center"/>
    </xf>
    <xf numFmtId="0" fontId="0" fillId="2" borderId="5" xfId="0" applyFill="1" applyBorder="1" applyAlignment="1">
      <alignment horizontal="center"/>
    </xf>
    <xf numFmtId="0" fontId="0" fillId="2" borderId="9" xfId="0" applyFill="1" applyBorder="1" applyAlignment="1">
      <alignment horizontal="center"/>
    </xf>
    <xf numFmtId="0" fontId="0" fillId="2" borderId="13" xfId="0" applyFill="1" applyBorder="1" applyAlignment="1">
      <alignment horizontal="center"/>
    </xf>
    <xf numFmtId="0" fontId="0" fillId="2" borderId="14" xfId="0" applyFill="1" applyBorder="1" applyAlignment="1">
      <alignment horizontal="center"/>
    </xf>
    <xf numFmtId="0" fontId="17" fillId="2" borderId="5" xfId="0" applyFont="1" applyFill="1" applyBorder="1"/>
    <xf numFmtId="0" fontId="17" fillId="2" borderId="9" xfId="0" applyFont="1" applyFill="1" applyBorder="1"/>
    <xf numFmtId="0" fontId="17" fillId="2" borderId="0" xfId="0" applyFont="1" applyFill="1"/>
    <xf numFmtId="0" fontId="0" fillId="2" borderId="0" xfId="0" applyFill="1" applyAlignment="1">
      <alignment horizontal="right" vertical="center"/>
    </xf>
    <xf numFmtId="0" fontId="17" fillId="2" borderId="3" xfId="0" applyFont="1" applyFill="1" applyBorder="1"/>
    <xf numFmtId="0" fontId="11" fillId="2" borderId="2" xfId="0" applyFont="1" applyFill="1" applyBorder="1" applyAlignment="1">
      <alignment horizontal="center" vertical="center"/>
    </xf>
    <xf numFmtId="0" fontId="11" fillId="2" borderId="4" xfId="0" applyFont="1" applyFill="1" applyBorder="1" applyAlignment="1">
      <alignment horizontal="center" vertical="center"/>
    </xf>
    <xf numFmtId="0" fontId="9" fillId="2" borderId="8" xfId="0" applyFont="1" applyFill="1" applyBorder="1" applyAlignment="1">
      <alignment horizontal="center"/>
    </xf>
    <xf numFmtId="0" fontId="9" fillId="2" borderId="5" xfId="0" applyFont="1" applyFill="1" applyBorder="1" applyAlignment="1">
      <alignment horizontal="center" vertical="center" wrapText="1"/>
    </xf>
    <xf numFmtId="0" fontId="9" fillId="2" borderId="8" xfId="0" applyFont="1" applyFill="1" applyBorder="1" applyAlignment="1" applyProtection="1">
      <alignment horizontal="center"/>
      <protection locked="0"/>
    </xf>
    <xf numFmtId="0" fontId="9" fillId="2" borderId="9" xfId="0" applyFont="1" applyFill="1" applyBorder="1" applyAlignment="1">
      <alignment horizontal="center"/>
    </xf>
    <xf numFmtId="0" fontId="22" fillId="10" borderId="0" xfId="0" applyFont="1" applyFill="1"/>
    <xf numFmtId="0" fontId="9" fillId="2" borderId="0" xfId="0" applyFont="1" applyFill="1"/>
    <xf numFmtId="0" fontId="16" fillId="2" borderId="0" xfId="0" applyFont="1" applyFill="1" applyAlignment="1">
      <alignment horizontal="left" vertical="center"/>
    </xf>
    <xf numFmtId="0" fontId="11" fillId="2" borderId="0" xfId="0" applyFont="1" applyFill="1"/>
    <xf numFmtId="0" fontId="9" fillId="2" borderId="0" xfId="0" applyFont="1" applyFill="1" applyAlignment="1">
      <alignment horizontal="center"/>
    </xf>
    <xf numFmtId="0" fontId="10" fillId="2" borderId="0" xfId="0" applyFont="1" applyFill="1"/>
    <xf numFmtId="0" fontId="11" fillId="2" borderId="0" xfId="0" applyFont="1" applyFill="1" applyAlignment="1">
      <alignment horizontal="center"/>
    </xf>
    <xf numFmtId="0" fontId="9" fillId="2" borderId="0" xfId="0" applyFont="1" applyFill="1" applyAlignment="1">
      <alignment horizontal="left" indent="1"/>
    </xf>
    <xf numFmtId="0" fontId="9" fillId="2" borderId="0" xfId="0" applyFont="1" applyFill="1" applyAlignment="1">
      <alignment horizontal="left"/>
    </xf>
    <xf numFmtId="165" fontId="9" fillId="2" borderId="0" xfId="0" applyNumberFormat="1" applyFont="1" applyFill="1" applyAlignment="1">
      <alignment horizontal="center"/>
    </xf>
    <xf numFmtId="0" fontId="9" fillId="2" borderId="6" xfId="0" applyFont="1" applyFill="1" applyBorder="1"/>
    <xf numFmtId="2" fontId="9" fillId="2" borderId="0" xfId="0" applyNumberFormat="1" applyFont="1" applyFill="1" applyAlignment="1">
      <alignment horizontal="center"/>
    </xf>
    <xf numFmtId="165" fontId="15" fillId="2" borderId="6" xfId="0" applyNumberFormat="1" applyFont="1" applyFill="1" applyBorder="1" applyAlignment="1">
      <alignment horizontal="center"/>
    </xf>
    <xf numFmtId="165" fontId="9" fillId="2" borderId="0" xfId="0" applyNumberFormat="1" applyFont="1" applyFill="1"/>
    <xf numFmtId="0" fontId="23" fillId="2" borderId="0" xfId="0" applyFont="1" applyFill="1" applyAlignment="1">
      <alignment horizontal="left" vertical="center"/>
    </xf>
    <xf numFmtId="0" fontId="0" fillId="2" borderId="4" xfId="0" applyFill="1" applyBorder="1" applyAlignment="1">
      <alignment horizontal="center"/>
    </xf>
    <xf numFmtId="0" fontId="17" fillId="2" borderId="12" xfId="0" applyFont="1" applyFill="1" applyBorder="1" applyAlignment="1">
      <alignment horizontal="center" vertical="center" wrapText="1"/>
    </xf>
    <xf numFmtId="0" fontId="17" fillId="2" borderId="10" xfId="0" applyFont="1" applyFill="1" applyBorder="1" applyAlignment="1">
      <alignment horizontal="center" vertical="center" wrapText="1"/>
    </xf>
    <xf numFmtId="0" fontId="9" fillId="2" borderId="0" xfId="0" applyFont="1" applyFill="1" applyAlignment="1">
      <alignment horizontal="right"/>
    </xf>
    <xf numFmtId="164" fontId="9" fillId="2" borderId="0" xfId="0" applyNumberFormat="1" applyFont="1" applyFill="1" applyAlignment="1">
      <alignment horizontal="right"/>
    </xf>
    <xf numFmtId="165" fontId="16" fillId="2" borderId="0" xfId="0" applyNumberFormat="1" applyFont="1" applyFill="1" applyAlignment="1">
      <alignment horizontal="center"/>
    </xf>
    <xf numFmtId="165" fontId="16" fillId="2" borderId="3" xfId="0" applyNumberFormat="1" applyFont="1" applyFill="1" applyBorder="1" applyAlignment="1">
      <alignment horizontal="center"/>
    </xf>
    <xf numFmtId="165" fontId="13" fillId="2" borderId="6" xfId="0" applyNumberFormat="1" applyFont="1" applyFill="1" applyBorder="1" applyAlignment="1">
      <alignment horizontal="center"/>
    </xf>
    <xf numFmtId="165" fontId="12" fillId="2" borderId="3" xfId="0" applyNumberFormat="1" applyFont="1" applyFill="1" applyBorder="1" applyAlignment="1">
      <alignment horizontal="center"/>
    </xf>
    <xf numFmtId="165" fontId="9" fillId="2" borderId="6" xfId="0" applyNumberFormat="1" applyFont="1" applyFill="1" applyBorder="1" applyAlignment="1">
      <alignment horizontal="center"/>
    </xf>
    <xf numFmtId="165" fontId="14" fillId="2" borderId="3" xfId="0" applyNumberFormat="1" applyFont="1" applyFill="1" applyBorder="1" applyAlignment="1">
      <alignment horizontal="center"/>
    </xf>
    <xf numFmtId="0" fontId="9" fillId="2" borderId="11" xfId="0" applyFont="1" applyFill="1" applyBorder="1"/>
    <xf numFmtId="165" fontId="9" fillId="2" borderId="11" xfId="0" applyNumberFormat="1" applyFont="1" applyFill="1" applyBorder="1" applyAlignment="1">
      <alignment horizontal="center"/>
    </xf>
    <xf numFmtId="2" fontId="9" fillId="2" borderId="0" xfId="0" applyNumberFormat="1" applyFont="1" applyFill="1"/>
    <xf numFmtId="0" fontId="11" fillId="2" borderId="2" xfId="0" applyFont="1" applyFill="1" applyBorder="1"/>
    <xf numFmtId="2" fontId="9" fillId="2" borderId="4" xfId="0" applyNumberFormat="1" applyFont="1" applyFill="1" applyBorder="1" applyAlignment="1" applyProtection="1">
      <alignment horizontal="center"/>
      <protection locked="0"/>
    </xf>
    <xf numFmtId="0" fontId="11" fillId="2" borderId="9" xfId="0" applyFont="1" applyFill="1" applyBorder="1"/>
    <xf numFmtId="2" fontId="9" fillId="2" borderId="7" xfId="0" applyNumberFormat="1" applyFont="1" applyFill="1" applyBorder="1" applyAlignment="1" applyProtection="1">
      <alignment horizontal="center"/>
      <protection locked="0"/>
    </xf>
    <xf numFmtId="2" fontId="9" fillId="2" borderId="0" xfId="0" applyNumberFormat="1" applyFont="1" applyFill="1" applyAlignment="1" applyProtection="1">
      <alignment horizontal="center"/>
      <protection locked="0"/>
    </xf>
    <xf numFmtId="165" fontId="15" fillId="2" borderId="0" xfId="0" applyNumberFormat="1" applyFont="1" applyFill="1" applyAlignment="1" applyProtection="1">
      <alignment horizontal="center"/>
      <protection locked="0"/>
    </xf>
    <xf numFmtId="0" fontId="9" fillId="2" borderId="0" xfId="0" applyFont="1" applyFill="1" applyProtection="1">
      <protection locked="0"/>
    </xf>
    <xf numFmtId="164" fontId="9" fillId="2" borderId="0" xfId="0" applyNumberFormat="1" applyFont="1" applyFill="1"/>
    <xf numFmtId="0" fontId="15" fillId="2" borderId="0" xfId="0" applyFont="1" applyFill="1"/>
    <xf numFmtId="2" fontId="15" fillId="2" borderId="0" xfId="0" applyNumberFormat="1" applyFont="1" applyFill="1" applyAlignment="1" applyProtection="1">
      <alignment horizontal="center"/>
      <protection locked="0"/>
    </xf>
    <xf numFmtId="0" fontId="10" fillId="2" borderId="5" xfId="0" applyFont="1" applyFill="1" applyBorder="1" applyAlignment="1">
      <alignment horizontal="center"/>
    </xf>
    <xf numFmtId="0" fontId="9" fillId="2" borderId="5" xfId="0" applyFont="1" applyFill="1" applyBorder="1" applyAlignment="1">
      <alignment horizontal="center"/>
    </xf>
    <xf numFmtId="0" fontId="9" fillId="2" borderId="7" xfId="0" applyFont="1" applyFill="1" applyBorder="1" applyAlignment="1">
      <alignment horizontal="center"/>
    </xf>
    <xf numFmtId="0" fontId="24" fillId="10" borderId="0" xfId="0" applyFont="1" applyFill="1"/>
    <xf numFmtId="2" fontId="24" fillId="10" borderId="0" xfId="0" applyNumberFormat="1" applyFont="1" applyFill="1" applyAlignment="1">
      <alignment horizontal="center"/>
    </xf>
    <xf numFmtId="0" fontId="24" fillId="10" borderId="0" xfId="0" applyFont="1" applyFill="1" applyAlignment="1">
      <alignment horizontal="center"/>
    </xf>
    <xf numFmtId="0" fontId="24" fillId="10" borderId="0" xfId="0" applyFont="1" applyFill="1" applyAlignment="1">
      <alignment horizontal="right"/>
    </xf>
    <xf numFmtId="0" fontId="25" fillId="10" borderId="0" xfId="0" applyFont="1" applyFill="1" applyAlignment="1">
      <alignment vertical="center"/>
    </xf>
    <xf numFmtId="0" fontId="22" fillId="10" borderId="0" xfId="0" applyFont="1" applyFill="1" applyAlignment="1">
      <alignment horizontal="left" vertical="center"/>
    </xf>
    <xf numFmtId="0" fontId="25" fillId="10" borderId="0" xfId="0" applyFont="1" applyFill="1" applyAlignment="1">
      <alignment horizontal="center" vertical="center"/>
    </xf>
    <xf numFmtId="0" fontId="25" fillId="10" borderId="0" xfId="0" applyFont="1" applyFill="1" applyAlignment="1">
      <alignment horizontal="right" vertical="center"/>
    </xf>
    <xf numFmtId="0" fontId="22" fillId="10" borderId="0" xfId="0" applyFont="1" applyFill="1" applyAlignment="1">
      <alignment vertical="center"/>
    </xf>
    <xf numFmtId="2" fontId="25" fillId="10" borderId="0" xfId="0" applyNumberFormat="1" applyFont="1" applyFill="1" applyAlignment="1">
      <alignment horizontal="center" vertical="center"/>
    </xf>
    <xf numFmtId="0" fontId="9" fillId="2" borderId="3" xfId="0" applyFont="1" applyFill="1" applyBorder="1"/>
    <xf numFmtId="165" fontId="9" fillId="2" borderId="3" xfId="0" applyNumberFormat="1" applyFont="1" applyFill="1" applyBorder="1" applyAlignment="1">
      <alignment horizontal="center"/>
    </xf>
    <xf numFmtId="0" fontId="15" fillId="2" borderId="0" xfId="0" applyFont="1" applyFill="1" applyAlignment="1">
      <alignment horizontal="left" indent="1"/>
    </xf>
    <xf numFmtId="0" fontId="9" fillId="2" borderId="0" xfId="0" quotePrefix="1" applyFont="1" applyFill="1"/>
    <xf numFmtId="0" fontId="21" fillId="2" borderId="0" xfId="0" applyFont="1" applyFill="1" applyAlignment="1">
      <alignment horizontal="left" vertical="center" readingOrder="1"/>
    </xf>
    <xf numFmtId="0" fontId="20" fillId="2" borderId="0" xfId="0" applyFont="1" applyFill="1" applyAlignment="1">
      <alignment horizontal="center"/>
    </xf>
    <xf numFmtId="165" fontId="0" fillId="2" borderId="0" xfId="0" applyNumberFormat="1" applyFill="1"/>
    <xf numFmtId="0" fontId="12" fillId="2" borderId="3" xfId="0" applyFont="1" applyFill="1" applyBorder="1"/>
    <xf numFmtId="0" fontId="12" fillId="2" borderId="11" xfId="0" applyFont="1" applyFill="1" applyBorder="1"/>
    <xf numFmtId="0" fontId="12" fillId="2" borderId="11" xfId="0" applyFont="1" applyFill="1" applyBorder="1" applyAlignment="1">
      <alignment horizontal="center"/>
    </xf>
    <xf numFmtId="0" fontId="16" fillId="2" borderId="3" xfId="0" applyFont="1" applyFill="1" applyBorder="1"/>
    <xf numFmtId="0" fontId="13" fillId="2" borderId="0" xfId="0" applyFont="1" applyFill="1" applyAlignment="1">
      <alignment horizontal="left" indent="1"/>
    </xf>
    <xf numFmtId="0" fontId="15" fillId="2" borderId="6" xfId="0" applyFont="1" applyFill="1" applyBorder="1" applyAlignment="1">
      <alignment horizontal="left" indent="1"/>
    </xf>
    <xf numFmtId="0" fontId="26" fillId="10" borderId="0" xfId="0" applyFont="1" applyFill="1"/>
    <xf numFmtId="0" fontId="16" fillId="2" borderId="0" xfId="0" applyFont="1" applyFill="1"/>
    <xf numFmtId="0" fontId="17" fillId="2" borderId="1" xfId="0" applyFont="1" applyFill="1" applyBorder="1" applyAlignment="1">
      <alignment horizontal="center" vertical="center" wrapText="1"/>
    </xf>
    <xf numFmtId="0" fontId="25" fillId="10" borderId="0" xfId="0" applyFont="1" applyFill="1"/>
    <xf numFmtId="0" fontId="22" fillId="10" borderId="0" xfId="0" applyFont="1" applyFill="1" applyAlignment="1">
      <alignment horizontal="left"/>
    </xf>
    <xf numFmtId="0" fontId="25" fillId="10" borderId="0" xfId="0" applyFont="1" applyFill="1" applyAlignment="1">
      <alignment horizontal="center"/>
    </xf>
    <xf numFmtId="0" fontId="25" fillId="10" borderId="0" xfId="0" applyFont="1" applyFill="1" applyAlignment="1">
      <alignment horizontal="right"/>
    </xf>
    <xf numFmtId="166" fontId="9" fillId="2" borderId="0" xfId="0" applyNumberFormat="1" applyFont="1" applyFill="1" applyAlignment="1">
      <alignment horizontal="center"/>
    </xf>
    <xf numFmtId="164" fontId="9" fillId="2" borderId="0" xfId="0" applyNumberFormat="1" applyFont="1" applyFill="1" applyAlignment="1">
      <alignment horizontal="center"/>
    </xf>
    <xf numFmtId="166" fontId="15" fillId="2" borderId="0" xfId="0" applyNumberFormat="1" applyFont="1" applyFill="1" applyAlignment="1">
      <alignment horizontal="center"/>
    </xf>
    <xf numFmtId="165" fontId="9" fillId="3" borderId="0" xfId="0" applyNumberFormat="1" applyFont="1" applyFill="1" applyAlignment="1">
      <alignment horizontal="center"/>
    </xf>
    <xf numFmtId="165" fontId="15" fillId="5" borderId="0" xfId="0" applyNumberFormat="1" applyFont="1" applyFill="1" applyAlignment="1">
      <alignment horizontal="center"/>
    </xf>
    <xf numFmtId="0" fontId="22" fillId="2" borderId="0" xfId="0" applyFont="1" applyFill="1"/>
    <xf numFmtId="167" fontId="15" fillId="2" borderId="0" xfId="0" applyNumberFormat="1" applyFont="1" applyFill="1" applyAlignment="1">
      <alignment horizontal="center"/>
    </xf>
    <xf numFmtId="170" fontId="15" fillId="2" borderId="0" xfId="0" applyNumberFormat="1" applyFont="1" applyFill="1" applyAlignment="1">
      <alignment horizontal="center"/>
    </xf>
    <xf numFmtId="0" fontId="9" fillId="2" borderId="0" xfId="0" applyFont="1" applyFill="1" applyAlignment="1">
      <alignment horizontal="left" indent="3"/>
    </xf>
    <xf numFmtId="0" fontId="16" fillId="2" borderId="6" xfId="0" applyFont="1" applyFill="1" applyBorder="1"/>
    <xf numFmtId="0" fontId="9" fillId="2" borderId="6" xfId="0" applyFont="1" applyFill="1" applyBorder="1" applyAlignment="1">
      <alignment horizontal="left" indent="3"/>
    </xf>
    <xf numFmtId="2" fontId="9" fillId="2" borderId="6" xfId="0" applyNumberFormat="1" applyFont="1" applyFill="1" applyBorder="1" applyAlignment="1">
      <alignment horizontal="center"/>
    </xf>
    <xf numFmtId="0" fontId="25" fillId="2" borderId="0" xfId="0" applyFont="1" applyFill="1"/>
    <xf numFmtId="165" fontId="16" fillId="2" borderId="6" xfId="0" applyNumberFormat="1" applyFont="1" applyFill="1" applyBorder="1" applyAlignment="1">
      <alignment horizontal="center"/>
    </xf>
    <xf numFmtId="0" fontId="9" fillId="2" borderId="0" xfId="0" applyFont="1" applyFill="1" applyAlignment="1">
      <alignment vertical="center"/>
    </xf>
    <xf numFmtId="165" fontId="29" fillId="10" borderId="0" xfId="0" applyNumberFormat="1" applyFont="1" applyFill="1" applyAlignment="1">
      <alignment horizontal="center"/>
    </xf>
    <xf numFmtId="0" fontId="16" fillId="2" borderId="11" xfId="0" applyFont="1" applyFill="1" applyBorder="1"/>
    <xf numFmtId="165" fontId="9" fillId="2" borderId="6" xfId="0" applyNumberFormat="1" applyFont="1" applyFill="1" applyBorder="1"/>
    <xf numFmtId="165" fontId="16" fillId="2" borderId="11" xfId="0" applyNumberFormat="1" applyFont="1" applyFill="1" applyBorder="1" applyAlignment="1">
      <alignment horizontal="center"/>
    </xf>
    <xf numFmtId="0" fontId="28" fillId="2" borderId="0" xfId="0" applyFont="1" applyFill="1"/>
    <xf numFmtId="165" fontId="28" fillId="2" borderId="0" xfId="0" applyNumberFormat="1" applyFont="1" applyFill="1" applyAlignment="1" applyProtection="1">
      <alignment horizontal="center"/>
      <protection locked="0"/>
    </xf>
    <xf numFmtId="168" fontId="9" fillId="2" borderId="0" xfId="0" applyNumberFormat="1" applyFont="1" applyFill="1"/>
    <xf numFmtId="165" fontId="15" fillId="7" borderId="0" xfId="0" applyNumberFormat="1" applyFont="1" applyFill="1" applyAlignment="1">
      <alignment horizontal="center"/>
    </xf>
    <xf numFmtId="0" fontId="15" fillId="2" borderId="0" xfId="0" applyFont="1" applyFill="1" applyAlignment="1">
      <alignment horizontal="left"/>
    </xf>
    <xf numFmtId="166" fontId="9" fillId="2" borderId="0" xfId="0" applyNumberFormat="1" applyFont="1" applyFill="1"/>
    <xf numFmtId="166" fontId="9" fillId="2" borderId="0" xfId="0" applyNumberFormat="1" applyFont="1" applyFill="1" applyAlignment="1">
      <alignment horizontal="right"/>
    </xf>
    <xf numFmtId="2" fontId="9" fillId="2" borderId="0" xfId="0" applyNumberFormat="1" applyFont="1" applyFill="1" applyAlignment="1">
      <alignment horizontal="right"/>
    </xf>
    <xf numFmtId="165" fontId="29" fillId="2" borderId="0" xfId="0" applyNumberFormat="1" applyFont="1" applyFill="1" applyAlignment="1">
      <alignment horizontal="center"/>
    </xf>
    <xf numFmtId="165" fontId="29" fillId="2" borderId="6" xfId="0" applyNumberFormat="1" applyFont="1" applyFill="1" applyBorder="1" applyAlignment="1">
      <alignment horizontal="center"/>
    </xf>
    <xf numFmtId="165" fontId="28" fillId="2" borderId="6" xfId="0" applyNumberFormat="1" applyFont="1" applyFill="1" applyBorder="1" applyAlignment="1">
      <alignment horizontal="center"/>
    </xf>
    <xf numFmtId="0" fontId="30" fillId="2" borderId="0" xfId="0" applyFont="1" applyFill="1"/>
    <xf numFmtId="165" fontId="31" fillId="2" borderId="0" xfId="0" applyNumberFormat="1" applyFont="1" applyFill="1" applyAlignment="1">
      <alignment horizontal="center"/>
    </xf>
    <xf numFmtId="165" fontId="31" fillId="2" borderId="6" xfId="0" applyNumberFormat="1" applyFont="1" applyFill="1" applyBorder="1" applyAlignment="1">
      <alignment horizontal="center"/>
    </xf>
    <xf numFmtId="0" fontId="23" fillId="2" borderId="0" xfId="0" applyFont="1" applyFill="1" applyAlignment="1" applyProtection="1">
      <alignment horizontal="left" vertical="center"/>
      <protection locked="0"/>
    </xf>
    <xf numFmtId="0" fontId="16" fillId="2" borderId="0" xfId="0" applyFont="1" applyFill="1" applyAlignment="1" applyProtection="1">
      <alignment horizontal="left" vertical="center"/>
      <protection locked="0"/>
    </xf>
    <xf numFmtId="0" fontId="11" fillId="2" borderId="2" xfId="0" applyFont="1" applyFill="1" applyBorder="1" applyAlignment="1" applyProtection="1">
      <alignment horizontal="center" vertical="center"/>
      <protection locked="0"/>
    </xf>
    <xf numFmtId="0" fontId="11" fillId="2" borderId="4" xfId="0" applyFont="1" applyFill="1" applyBorder="1" applyAlignment="1" applyProtection="1">
      <alignment horizontal="center" vertical="center"/>
      <protection locked="0"/>
    </xf>
    <xf numFmtId="0" fontId="10" fillId="2" borderId="5" xfId="0" applyFont="1" applyFill="1" applyBorder="1" applyAlignment="1" applyProtection="1">
      <alignment horizontal="left" vertical="center"/>
      <protection locked="0"/>
    </xf>
    <xf numFmtId="0" fontId="9" fillId="2" borderId="5" xfId="0" applyFont="1" applyFill="1" applyBorder="1" applyAlignment="1" applyProtection="1">
      <alignment horizontal="center" vertical="center" wrapText="1"/>
      <protection locked="0"/>
    </xf>
    <xf numFmtId="0" fontId="9" fillId="2" borderId="9" xfId="0" applyFont="1" applyFill="1" applyBorder="1" applyAlignment="1" applyProtection="1">
      <alignment horizontal="center"/>
      <protection locked="0"/>
    </xf>
    <xf numFmtId="0" fontId="0" fillId="2" borderId="0" xfId="0" applyFill="1" applyProtection="1">
      <protection locked="0"/>
    </xf>
    <xf numFmtId="0" fontId="0" fillId="10" borderId="0" xfId="0" applyFill="1" applyProtection="1">
      <protection locked="0"/>
    </xf>
    <xf numFmtId="0" fontId="22" fillId="10" borderId="0" xfId="0" applyFont="1" applyFill="1" applyProtection="1">
      <protection locked="0"/>
    </xf>
    <xf numFmtId="0" fontId="9" fillId="10" borderId="0" xfId="0" applyFont="1" applyFill="1" applyProtection="1">
      <protection locked="0"/>
    </xf>
    <xf numFmtId="0" fontId="11" fillId="2" borderId="0" xfId="0" applyFont="1" applyFill="1" applyAlignment="1" applyProtection="1">
      <alignment horizontal="center"/>
      <protection locked="0"/>
    </xf>
    <xf numFmtId="0" fontId="0" fillId="2" borderId="6" xfId="0" applyFill="1" applyBorder="1" applyProtection="1">
      <protection locked="0"/>
    </xf>
    <xf numFmtId="0" fontId="11" fillId="2" borderId="6" xfId="0" applyFont="1" applyFill="1" applyBorder="1" applyProtection="1">
      <protection locked="0"/>
    </xf>
    <xf numFmtId="0" fontId="9" fillId="2" borderId="6" xfId="0" applyFont="1" applyFill="1" applyBorder="1" applyAlignment="1" applyProtection="1">
      <alignment horizontal="center"/>
      <protection locked="0"/>
    </xf>
    <xf numFmtId="0" fontId="10" fillId="2" borderId="0" xfId="0" applyFont="1" applyFill="1" applyProtection="1">
      <protection locked="0"/>
    </xf>
    <xf numFmtId="0" fontId="9" fillId="2" borderId="0" xfId="0" applyFont="1" applyFill="1" applyAlignment="1" applyProtection="1">
      <alignment horizontal="center"/>
      <protection locked="0"/>
    </xf>
    <xf numFmtId="165" fontId="15" fillId="3" borderId="0" xfId="0" applyNumberFormat="1" applyFont="1" applyFill="1" applyAlignment="1" applyProtection="1">
      <alignment horizontal="center"/>
      <protection locked="0"/>
    </xf>
    <xf numFmtId="165" fontId="15" fillId="5" borderId="0" xfId="0" applyNumberFormat="1" applyFont="1" applyFill="1" applyAlignment="1" applyProtection="1">
      <alignment horizontal="center"/>
      <protection locked="0"/>
    </xf>
    <xf numFmtId="0" fontId="9" fillId="2" borderId="0" xfId="0" applyFont="1" applyFill="1" applyAlignment="1" applyProtection="1">
      <alignment horizontal="left"/>
      <protection locked="0"/>
    </xf>
    <xf numFmtId="0" fontId="9" fillId="2" borderId="0" xfId="0" applyFont="1" applyFill="1" applyAlignment="1" applyProtection="1">
      <alignment horizontal="left" indent="1"/>
      <protection locked="0"/>
    </xf>
    <xf numFmtId="0" fontId="9" fillId="2" borderId="6" xfId="0" applyFont="1" applyFill="1" applyBorder="1" applyProtection="1">
      <protection locked="0"/>
    </xf>
    <xf numFmtId="165" fontId="9" fillId="2" borderId="0" xfId="0" applyNumberFormat="1" applyFont="1" applyFill="1" applyAlignment="1" applyProtection="1">
      <alignment horizontal="center"/>
      <protection locked="0"/>
    </xf>
    <xf numFmtId="165" fontId="9" fillId="3" borderId="0" xfId="0" applyNumberFormat="1" applyFont="1" applyFill="1" applyAlignment="1" applyProtection="1">
      <alignment horizontal="center"/>
      <protection locked="0"/>
    </xf>
    <xf numFmtId="165" fontId="9" fillId="5" borderId="0" xfId="0" applyNumberFormat="1" applyFont="1" applyFill="1" applyAlignment="1" applyProtection="1">
      <alignment horizontal="center"/>
      <protection locked="0"/>
    </xf>
    <xf numFmtId="169" fontId="15" fillId="2" borderId="0" xfId="0" applyNumberFormat="1" applyFont="1" applyFill="1" applyAlignment="1" applyProtection="1">
      <alignment horizontal="center"/>
      <protection locked="0"/>
    </xf>
    <xf numFmtId="0" fontId="11" fillId="2" borderId="6" xfId="0" applyFont="1" applyFill="1" applyBorder="1" applyAlignment="1" applyProtection="1">
      <alignment horizontal="left"/>
      <protection locked="0"/>
    </xf>
    <xf numFmtId="165" fontId="15" fillId="2" borderId="6" xfId="0" applyNumberFormat="1" applyFont="1" applyFill="1" applyBorder="1" applyAlignment="1" applyProtection="1">
      <alignment horizontal="center"/>
      <protection locked="0"/>
    </xf>
    <xf numFmtId="164" fontId="15" fillId="2" borderId="6" xfId="0" applyNumberFormat="1" applyFont="1" applyFill="1" applyBorder="1" applyAlignment="1" applyProtection="1">
      <alignment horizontal="center"/>
      <protection locked="0"/>
    </xf>
    <xf numFmtId="165" fontId="15" fillId="10" borderId="0" xfId="0" applyNumberFormat="1" applyFont="1" applyFill="1" applyAlignment="1" applyProtection="1">
      <alignment horizontal="center"/>
      <protection locked="0"/>
    </xf>
    <xf numFmtId="0" fontId="22" fillId="2" borderId="0" xfId="0" applyFont="1" applyFill="1" applyProtection="1">
      <protection locked="0"/>
    </xf>
    <xf numFmtId="165" fontId="15" fillId="6" borderId="0" xfId="0" applyNumberFormat="1" applyFont="1" applyFill="1" applyAlignment="1" applyProtection="1">
      <alignment horizontal="center"/>
      <protection locked="0"/>
    </xf>
    <xf numFmtId="165" fontId="9" fillId="6" borderId="0" xfId="0" applyNumberFormat="1" applyFont="1" applyFill="1" applyAlignment="1" applyProtection="1">
      <alignment horizontal="center"/>
      <protection locked="0"/>
    </xf>
    <xf numFmtId="0" fontId="11" fillId="2" borderId="0" xfId="0" applyFont="1" applyFill="1" applyProtection="1">
      <protection locked="0"/>
    </xf>
    <xf numFmtId="165" fontId="12" fillId="2" borderId="0" xfId="0" applyNumberFormat="1" applyFont="1" applyFill="1" applyAlignment="1" applyProtection="1">
      <alignment horizontal="center"/>
      <protection locked="0"/>
    </xf>
    <xf numFmtId="0" fontId="12" fillId="2" borderId="0" xfId="0" applyFont="1" applyFill="1" applyAlignment="1" applyProtection="1">
      <alignment horizontal="center"/>
      <protection locked="0"/>
    </xf>
    <xf numFmtId="165" fontId="15" fillId="11" borderId="0" xfId="0" applyNumberFormat="1" applyFont="1" applyFill="1" applyAlignment="1">
      <alignment horizontal="center"/>
    </xf>
    <xf numFmtId="0" fontId="0" fillId="12" borderId="16" xfId="0" quotePrefix="1" applyFill="1" applyBorder="1" applyAlignment="1" applyProtection="1">
      <alignment horizontal="center" vertical="center"/>
      <protection locked="0"/>
    </xf>
    <xf numFmtId="2" fontId="0" fillId="12" borderId="17" xfId="0" applyNumberFormat="1" applyFill="1" applyBorder="1" applyAlignment="1" applyProtection="1">
      <alignment horizontal="center" vertical="center"/>
      <protection locked="0"/>
    </xf>
    <xf numFmtId="0" fontId="5" fillId="2" borderId="2" xfId="6" applyFill="1" applyBorder="1"/>
    <xf numFmtId="0" fontId="5" fillId="2" borderId="3" xfId="6" applyFill="1" applyBorder="1"/>
    <xf numFmtId="0" fontId="33" fillId="2" borderId="3" xfId="6" applyFont="1" applyFill="1" applyBorder="1"/>
    <xf numFmtId="0" fontId="5" fillId="2" borderId="4" xfId="6" applyFill="1" applyBorder="1"/>
    <xf numFmtId="0" fontId="5" fillId="5" borderId="0" xfId="6" applyFill="1"/>
    <xf numFmtId="0" fontId="5" fillId="2" borderId="5" xfId="6" applyFill="1" applyBorder="1"/>
    <xf numFmtId="0" fontId="5" fillId="2" borderId="0" xfId="6" applyFill="1"/>
    <xf numFmtId="0" fontId="33" fillId="2" borderId="0" xfId="6" applyFont="1" applyFill="1"/>
    <xf numFmtId="0" fontId="5" fillId="2" borderId="8" xfId="6" applyFill="1" applyBorder="1"/>
    <xf numFmtId="0" fontId="34" fillId="2" borderId="0" xfId="6" applyFont="1" applyFill="1"/>
    <xf numFmtId="0" fontId="35" fillId="2" borderId="0" xfId="4" applyFont="1" applyFill="1" applyBorder="1"/>
    <xf numFmtId="0" fontId="5" fillId="2" borderId="9" xfId="6" applyFill="1" applyBorder="1"/>
    <xf numFmtId="0" fontId="5" fillId="2" borderId="6" xfId="6" applyFill="1" applyBorder="1"/>
    <xf numFmtId="0" fontId="5" fillId="2" borderId="7" xfId="6" applyFill="1" applyBorder="1"/>
    <xf numFmtId="0" fontId="33" fillId="2" borderId="0" xfId="6" applyFont="1" applyFill="1" applyAlignment="1">
      <alignment horizontal="left" wrapText="1"/>
    </xf>
    <xf numFmtId="0" fontId="33" fillId="7" borderId="0" xfId="6" applyFont="1" applyFill="1" applyAlignment="1">
      <alignment horizontal="justify" wrapText="1"/>
    </xf>
    <xf numFmtId="0" fontId="33" fillId="9" borderId="0" xfId="6" applyFont="1" applyFill="1" applyAlignment="1">
      <alignment horizontal="justify" wrapText="1"/>
    </xf>
    <xf numFmtId="0" fontId="33" fillId="2" borderId="0" xfId="6" applyFont="1" applyFill="1" applyAlignment="1">
      <alignment horizontal="left" vertical="center" wrapText="1"/>
    </xf>
    <xf numFmtId="165" fontId="39" fillId="3" borderId="0" xfId="6" applyNumberFormat="1" applyFont="1" applyFill="1" applyAlignment="1">
      <alignment horizontal="center"/>
    </xf>
    <xf numFmtId="165" fontId="39" fillId="5" borderId="0" xfId="6" applyNumberFormat="1" applyFont="1" applyFill="1" applyAlignment="1">
      <alignment horizontal="center"/>
    </xf>
    <xf numFmtId="165" fontId="39" fillId="13" borderId="0" xfId="6" applyNumberFormat="1" applyFont="1" applyFill="1" applyAlignment="1">
      <alignment horizontal="center"/>
    </xf>
    <xf numFmtId="165" fontId="39" fillId="4" borderId="0" xfId="6" applyNumberFormat="1" applyFont="1" applyFill="1" applyAlignment="1">
      <alignment horizontal="center"/>
    </xf>
    <xf numFmtId="165" fontId="39" fillId="2" borderId="0" xfId="6" applyNumberFormat="1" applyFont="1" applyFill="1" applyAlignment="1">
      <alignment horizontal="center"/>
    </xf>
    <xf numFmtId="165" fontId="39" fillId="14" borderId="0" xfId="6" applyNumberFormat="1" applyFont="1" applyFill="1" applyAlignment="1">
      <alignment horizontal="center"/>
    </xf>
    <xf numFmtId="165" fontId="39" fillId="2" borderId="18" xfId="6" applyNumberFormat="1" applyFont="1" applyFill="1" applyBorder="1" applyAlignment="1">
      <alignment horizontal="center"/>
    </xf>
    <xf numFmtId="0" fontId="33" fillId="2" borderId="0" xfId="6" applyFont="1" applyFill="1" applyAlignment="1">
      <alignment vertical="center" wrapText="1"/>
    </xf>
    <xf numFmtId="0" fontId="32" fillId="5" borderId="0" xfId="6" applyFont="1" applyFill="1"/>
    <xf numFmtId="0" fontId="40" fillId="5" borderId="0" xfId="6" applyFont="1" applyFill="1"/>
    <xf numFmtId="168" fontId="0" fillId="2" borderId="0" xfId="0" applyNumberFormat="1" applyFill="1" applyProtection="1">
      <protection locked="0"/>
    </xf>
    <xf numFmtId="165" fontId="39" fillId="6" borderId="0" xfId="6" applyNumberFormat="1" applyFont="1" applyFill="1" applyAlignment="1">
      <alignment horizontal="center"/>
    </xf>
    <xf numFmtId="0" fontId="0" fillId="5" borderId="10" xfId="0" applyFill="1" applyBorder="1" applyAlignment="1">
      <alignment horizontal="center"/>
    </xf>
    <xf numFmtId="0" fontId="0" fillId="5" borderId="1" xfId="0" applyFill="1" applyBorder="1" applyAlignment="1">
      <alignment horizontal="center"/>
    </xf>
    <xf numFmtId="0" fontId="0" fillId="5" borderId="13" xfId="0" quotePrefix="1" applyFill="1" applyBorder="1" applyAlignment="1">
      <alignment horizontal="center" vertical="center"/>
    </xf>
    <xf numFmtId="2" fontId="0" fillId="5" borderId="13" xfId="0" applyNumberFormat="1" applyFill="1" applyBorder="1" applyAlignment="1">
      <alignment horizontal="center" vertical="center"/>
    </xf>
    <xf numFmtId="165" fontId="0" fillId="5" borderId="14" xfId="0" applyNumberFormat="1" applyFill="1" applyBorder="1" applyAlignment="1">
      <alignment horizontal="center" vertical="center"/>
    </xf>
    <xf numFmtId="0" fontId="0" fillId="5" borderId="3" xfId="0" applyFill="1" applyBorder="1"/>
    <xf numFmtId="0" fontId="0" fillId="5" borderId="4" xfId="0" applyFill="1" applyBorder="1"/>
    <xf numFmtId="0" fontId="0" fillId="5" borderId="0" xfId="0" applyFill="1"/>
    <xf numFmtId="0" fontId="0" fillId="5" borderId="8" xfId="0" applyFill="1" applyBorder="1"/>
    <xf numFmtId="0" fontId="0" fillId="5" borderId="6" xfId="0" applyFill="1" applyBorder="1"/>
    <xf numFmtId="0" fontId="0" fillId="5" borderId="7" xfId="0" applyFill="1" applyBorder="1"/>
    <xf numFmtId="0" fontId="0" fillId="5" borderId="0" xfId="0" quotePrefix="1" applyFill="1" applyAlignment="1">
      <alignment horizontal="center" vertical="center"/>
    </xf>
    <xf numFmtId="2" fontId="0" fillId="5" borderId="0" xfId="0" applyNumberFormat="1" applyFill="1" applyAlignment="1">
      <alignment horizontal="center" vertical="center"/>
    </xf>
    <xf numFmtId="165" fontId="0" fillId="5" borderId="6" xfId="0" applyNumberFormat="1" applyFill="1" applyBorder="1" applyAlignment="1">
      <alignment horizontal="center" vertical="center"/>
    </xf>
    <xf numFmtId="0" fontId="17" fillId="2" borderId="6" xfId="0" applyFont="1" applyFill="1" applyBorder="1"/>
    <xf numFmtId="0" fontId="17" fillId="2" borderId="7" xfId="0" applyFont="1" applyFill="1" applyBorder="1"/>
    <xf numFmtId="165" fontId="15" fillId="2" borderId="11" xfId="0" applyNumberFormat="1" applyFont="1" applyFill="1" applyBorder="1" applyAlignment="1">
      <alignment horizontal="center"/>
    </xf>
    <xf numFmtId="0" fontId="27" fillId="2" borderId="13" xfId="0" applyFont="1" applyFill="1" applyBorder="1"/>
    <xf numFmtId="0" fontId="27" fillId="2" borderId="2" xfId="0" applyFont="1" applyFill="1" applyBorder="1"/>
    <xf numFmtId="0" fontId="33" fillId="2" borderId="0" xfId="6" applyFont="1" applyFill="1" applyAlignment="1">
      <alignment horizontal="justify" wrapText="1"/>
    </xf>
    <xf numFmtId="0" fontId="17" fillId="13" borderId="11" xfId="0" applyFont="1" applyFill="1" applyBorder="1" applyAlignment="1">
      <alignment horizontal="center" vertical="center" wrapText="1"/>
    </xf>
    <xf numFmtId="0" fontId="0" fillId="13" borderId="0" xfId="0" applyFill="1" applyAlignment="1">
      <alignment horizontal="center"/>
    </xf>
    <xf numFmtId="0" fontId="0" fillId="13" borderId="6" xfId="0" applyFill="1" applyBorder="1" applyAlignment="1">
      <alignment horizontal="center"/>
    </xf>
    <xf numFmtId="164" fontId="15" fillId="2" borderId="0" xfId="0" applyNumberFormat="1" applyFont="1" applyFill="1" applyAlignment="1">
      <alignment horizontal="center"/>
    </xf>
    <xf numFmtId="170" fontId="9" fillId="2" borderId="0" xfId="0" applyNumberFormat="1" applyFont="1" applyFill="1" applyAlignment="1">
      <alignment horizontal="center"/>
    </xf>
    <xf numFmtId="0" fontId="41" fillId="15" borderId="0" xfId="3" applyFont="1" applyFill="1" applyAlignment="1">
      <alignment horizontal="left" vertical="top"/>
    </xf>
    <xf numFmtId="164" fontId="15" fillId="2" borderId="6" xfId="0" applyNumberFormat="1" applyFont="1" applyFill="1" applyBorder="1" applyAlignment="1">
      <alignment horizontal="center"/>
    </xf>
    <xf numFmtId="0" fontId="17" fillId="2" borderId="14" xfId="0" applyFont="1" applyFill="1" applyBorder="1" applyAlignment="1">
      <alignment horizontal="center" vertical="center" wrapText="1"/>
    </xf>
    <xf numFmtId="0" fontId="0" fillId="2" borderId="0" xfId="0" applyFill="1" applyAlignment="1">
      <alignment horizontal="justify" vertical="top" wrapText="1"/>
    </xf>
    <xf numFmtId="0" fontId="0" fillId="2" borderId="6" xfId="0" applyFill="1" applyBorder="1" applyAlignment="1">
      <alignment horizontal="justify" vertical="top" wrapText="1"/>
    </xf>
    <xf numFmtId="0" fontId="17" fillId="2" borderId="10" xfId="0" applyFont="1" applyFill="1" applyBorder="1" applyAlignment="1">
      <alignment horizontal="center" vertical="top" wrapText="1"/>
    </xf>
    <xf numFmtId="0" fontId="17" fillId="2" borderId="11" xfId="0" applyFont="1" applyFill="1" applyBorder="1" applyAlignment="1">
      <alignment horizontal="center" vertical="top" wrapText="1"/>
    </xf>
    <xf numFmtId="2" fontId="0" fillId="2" borderId="0" xfId="0" applyNumberFormat="1" applyFill="1"/>
    <xf numFmtId="2" fontId="0" fillId="2" borderId="0" xfId="0" applyNumberFormat="1" applyFill="1" applyAlignment="1">
      <alignment horizontal="center" vertical="top" wrapText="1"/>
    </xf>
    <xf numFmtId="0" fontId="0" fillId="2" borderId="0" xfId="0" applyFill="1" applyAlignment="1">
      <alignment vertical="top" wrapText="1"/>
    </xf>
    <xf numFmtId="0" fontId="0" fillId="2" borderId="7" xfId="0" applyFill="1" applyBorder="1" applyAlignment="1">
      <alignment horizontal="justify" vertical="top" wrapText="1"/>
    </xf>
    <xf numFmtId="0" fontId="17" fillId="2" borderId="0" xfId="0" applyFont="1" applyFill="1" applyAlignment="1">
      <alignment horizontal="center" vertical="top" wrapText="1"/>
    </xf>
    <xf numFmtId="0" fontId="0" fillId="2" borderId="0" xfId="0" applyFill="1" applyAlignment="1">
      <alignment vertical="center" wrapText="1"/>
    </xf>
    <xf numFmtId="165" fontId="0" fillId="2" borderId="9" xfId="0" applyNumberFormat="1" applyFill="1" applyBorder="1" applyAlignment="1">
      <alignment horizontal="center" vertical="top" wrapText="1"/>
    </xf>
    <xf numFmtId="165" fontId="0" fillId="2" borderId="6" xfId="0" applyNumberFormat="1" applyFill="1" applyBorder="1" applyAlignment="1">
      <alignment horizontal="center" vertical="top" wrapText="1"/>
    </xf>
    <xf numFmtId="2" fontId="0" fillId="2" borderId="3" xfId="0" applyNumberFormat="1" applyFill="1" applyBorder="1" applyAlignment="1">
      <alignment horizontal="center" vertical="top" wrapText="1"/>
    </xf>
    <xf numFmtId="2" fontId="0" fillId="2" borderId="4" xfId="0" applyNumberFormat="1" applyFill="1" applyBorder="1" applyAlignment="1">
      <alignment horizontal="center" vertical="top" wrapText="1"/>
    </xf>
    <xf numFmtId="165" fontId="0" fillId="2" borderId="7" xfId="0" applyNumberFormat="1" applyFill="1" applyBorder="1" applyAlignment="1">
      <alignment horizontal="center" vertical="top" wrapText="1"/>
    </xf>
    <xf numFmtId="0" fontId="0" fillId="2" borderId="14" xfId="0" applyFill="1" applyBorder="1" applyAlignment="1">
      <alignment vertical="center"/>
    </xf>
    <xf numFmtId="165" fontId="39" fillId="11" borderId="0" xfId="6" applyNumberFormat="1" applyFont="1" applyFill="1" applyAlignment="1">
      <alignment horizontal="center"/>
    </xf>
    <xf numFmtId="0" fontId="33" fillId="8" borderId="0" xfId="6" applyFont="1" applyFill="1"/>
    <xf numFmtId="0" fontId="33" fillId="8" borderId="0" xfId="6" applyFont="1" applyFill="1" applyAlignment="1">
      <alignment horizontal="justify" wrapText="1"/>
    </xf>
    <xf numFmtId="0" fontId="42" fillId="2" borderId="0" xfId="0" applyFont="1" applyFill="1" applyAlignment="1">
      <alignment vertical="top" wrapText="1"/>
    </xf>
    <xf numFmtId="0" fontId="17" fillId="2" borderId="12" xfId="0" applyFont="1" applyFill="1" applyBorder="1" applyAlignment="1">
      <alignment horizontal="center" vertical="top" wrapText="1"/>
    </xf>
    <xf numFmtId="0" fontId="27" fillId="2" borderId="9" xfId="0" applyFont="1" applyFill="1" applyBorder="1"/>
    <xf numFmtId="0" fontId="0" fillId="2" borderId="19" xfId="0" applyFill="1" applyBorder="1"/>
    <xf numFmtId="0" fontId="0" fillId="2" borderId="8" xfId="0" applyFill="1" applyBorder="1" applyAlignment="1">
      <alignment horizontal="justify" vertical="top" wrapText="1"/>
    </xf>
    <xf numFmtId="0" fontId="27" fillId="2" borderId="0" xfId="0" applyFont="1" applyFill="1"/>
    <xf numFmtId="165" fontId="15" fillId="6" borderId="0" xfId="0" applyNumberFormat="1" applyFont="1" applyFill="1" applyAlignment="1">
      <alignment horizontal="center"/>
    </xf>
    <xf numFmtId="168" fontId="9" fillId="2" borderId="0" xfId="0" applyNumberFormat="1" applyFont="1" applyFill="1" applyAlignment="1">
      <alignment horizontal="center"/>
    </xf>
    <xf numFmtId="165" fontId="9" fillId="11" borderId="0" xfId="0" applyNumberFormat="1" applyFont="1" applyFill="1" applyAlignment="1">
      <alignment horizontal="center"/>
    </xf>
    <xf numFmtId="165" fontId="9" fillId="11" borderId="6" xfId="0" applyNumberFormat="1" applyFont="1" applyFill="1" applyBorder="1" applyAlignment="1">
      <alignment horizontal="center"/>
    </xf>
    <xf numFmtId="165" fontId="0" fillId="2" borderId="0" xfId="0" applyNumberFormat="1" applyFill="1" applyAlignment="1">
      <alignment horizontal="center" vertical="top" wrapText="1"/>
    </xf>
    <xf numFmtId="0" fontId="44" fillId="2" borderId="0" xfId="0" applyFont="1" applyFill="1" applyAlignment="1">
      <alignment vertical="center" wrapText="1"/>
    </xf>
    <xf numFmtId="0" fontId="9" fillId="2" borderId="11" xfId="0" applyFont="1" applyFill="1" applyBorder="1" applyAlignment="1">
      <alignment horizontal="center"/>
    </xf>
    <xf numFmtId="169" fontId="9" fillId="2" borderId="0" xfId="0" applyNumberFormat="1" applyFont="1" applyFill="1"/>
    <xf numFmtId="2" fontId="9" fillId="11" borderId="0" xfId="0" applyNumberFormat="1" applyFont="1" applyFill="1" applyAlignment="1">
      <alignment horizontal="center"/>
    </xf>
    <xf numFmtId="2" fontId="9" fillId="11" borderId="6" xfId="0" applyNumberFormat="1" applyFont="1" applyFill="1" applyBorder="1" applyAlignment="1">
      <alignment horizontal="center"/>
    </xf>
    <xf numFmtId="0" fontId="44" fillId="2" borderId="14" xfId="0" applyFont="1" applyFill="1" applyBorder="1" applyAlignment="1">
      <alignment horizontal="center" vertical="center" wrapText="1"/>
    </xf>
    <xf numFmtId="2" fontId="45" fillId="2" borderId="0" xfId="0" applyNumberFormat="1" applyFont="1" applyFill="1" applyAlignment="1">
      <alignment horizontal="center"/>
    </xf>
    <xf numFmtId="2" fontId="15" fillId="2" borderId="0" xfId="0" applyNumberFormat="1" applyFont="1" applyFill="1" applyAlignment="1">
      <alignment horizontal="center"/>
    </xf>
    <xf numFmtId="2" fontId="15" fillId="2" borderId="6" xfId="0" applyNumberFormat="1" applyFont="1" applyFill="1" applyBorder="1" applyAlignment="1">
      <alignment horizontal="center"/>
    </xf>
    <xf numFmtId="165" fontId="9" fillId="13" borderId="0" xfId="0" applyNumberFormat="1" applyFont="1" applyFill="1" applyAlignment="1">
      <alignment horizontal="center"/>
    </xf>
    <xf numFmtId="2" fontId="0" fillId="2" borderId="0" xfId="0" quotePrefix="1" applyNumberFormat="1" applyFill="1" applyAlignment="1" applyProtection="1">
      <alignment horizontal="center" vertical="center"/>
      <protection locked="0"/>
    </xf>
    <xf numFmtId="0" fontId="3" fillId="5" borderId="0" xfId="6" applyFont="1" applyFill="1"/>
    <xf numFmtId="0" fontId="3" fillId="5" borderId="0" xfId="6" applyFont="1" applyFill="1" applyAlignment="1">
      <alignment vertical="top"/>
    </xf>
    <xf numFmtId="0" fontId="3" fillId="5" borderId="0" xfId="6" applyFont="1" applyFill="1" applyAlignment="1">
      <alignment vertical="top" wrapText="1"/>
    </xf>
    <xf numFmtId="0" fontId="0" fillId="2" borderId="0" xfId="0" applyFont="1" applyFill="1"/>
    <xf numFmtId="2" fontId="0" fillId="2" borderId="14" xfId="0" applyNumberFormat="1" applyFill="1" applyBorder="1" applyAlignment="1">
      <alignment horizontal="center"/>
    </xf>
    <xf numFmtId="0" fontId="0" fillId="2" borderId="0" xfId="0" applyFill="1" applyBorder="1"/>
    <xf numFmtId="0" fontId="0" fillId="2" borderId="0" xfId="0" applyFill="1" applyBorder="1" applyAlignment="1">
      <alignment horizontal="left" vertical="center" wrapText="1"/>
    </xf>
    <xf numFmtId="0" fontId="0" fillId="2" borderId="8" xfId="0" applyFill="1" applyBorder="1" applyAlignment="1">
      <alignment horizontal="left" vertical="center" wrapText="1"/>
    </xf>
    <xf numFmtId="165" fontId="0" fillId="2" borderId="5" xfId="0" applyNumberFormat="1" applyFill="1" applyBorder="1" applyAlignment="1">
      <alignment horizontal="center" vertical="top" wrapText="1"/>
    </xf>
    <xf numFmtId="165" fontId="0" fillId="2" borderId="0" xfId="0" applyNumberFormat="1" applyFill="1" applyBorder="1" applyAlignment="1">
      <alignment horizontal="center" vertical="top" wrapText="1"/>
    </xf>
    <xf numFmtId="2" fontId="0" fillId="2" borderId="13" xfId="0" applyNumberFormat="1" applyFill="1" applyBorder="1" applyAlignment="1">
      <alignment horizontal="center"/>
    </xf>
    <xf numFmtId="165" fontId="0" fillId="2" borderId="2" xfId="0" applyNumberFormat="1" applyFill="1" applyBorder="1" applyAlignment="1">
      <alignment horizontal="center" vertical="top" wrapText="1"/>
    </xf>
    <xf numFmtId="165" fontId="0" fillId="2" borderId="3" xfId="0" applyNumberFormat="1" applyFill="1" applyBorder="1" applyAlignment="1">
      <alignment horizontal="center" vertical="top" wrapText="1"/>
    </xf>
    <xf numFmtId="165" fontId="0" fillId="2" borderId="4" xfId="0" applyNumberFormat="1" applyFill="1" applyBorder="1" applyAlignment="1">
      <alignment horizontal="center" vertical="top" wrapText="1"/>
    </xf>
    <xf numFmtId="165" fontId="0" fillId="2" borderId="8" xfId="0" applyNumberFormat="1" applyFill="1" applyBorder="1" applyAlignment="1">
      <alignment horizontal="center" vertical="top" wrapText="1"/>
    </xf>
    <xf numFmtId="0" fontId="0" fillId="2" borderId="5" xfId="0" applyFill="1" applyBorder="1" applyAlignment="1">
      <alignment horizontal="left" vertical="center"/>
    </xf>
    <xf numFmtId="0" fontId="0" fillId="2" borderId="0" xfId="0" applyFill="1" applyAlignment="1">
      <alignment horizontal="center" vertical="center"/>
    </xf>
    <xf numFmtId="165" fontId="9" fillId="3" borderId="6" xfId="0" applyNumberFormat="1" applyFont="1" applyFill="1" applyBorder="1" applyAlignment="1">
      <alignment horizontal="center"/>
    </xf>
    <xf numFmtId="1" fontId="9" fillId="2" borderId="7" xfId="0" applyNumberFormat="1" applyFont="1" applyFill="1" applyBorder="1" applyAlignment="1" applyProtection="1">
      <alignment horizontal="center"/>
      <protection locked="0"/>
    </xf>
    <xf numFmtId="169" fontId="15" fillId="2" borderId="0" xfId="0" applyNumberFormat="1" applyFont="1" applyFill="1" applyAlignment="1" applyProtection="1">
      <alignment horizontal="left"/>
      <protection locked="0"/>
    </xf>
    <xf numFmtId="165" fontId="15" fillId="11" borderId="2" xfId="0" applyNumberFormat="1" applyFont="1" applyFill="1" applyBorder="1" applyAlignment="1" applyProtection="1">
      <alignment horizontal="center"/>
      <protection locked="0"/>
    </xf>
    <xf numFmtId="165" fontId="15" fillId="11" borderId="4" xfId="0" applyNumberFormat="1" applyFont="1" applyFill="1" applyBorder="1" applyAlignment="1" applyProtection="1">
      <alignment horizontal="center"/>
      <protection locked="0"/>
    </xf>
    <xf numFmtId="165" fontId="15" fillId="11" borderId="9" xfId="0" applyNumberFormat="1" applyFont="1" applyFill="1" applyBorder="1" applyAlignment="1" applyProtection="1">
      <alignment horizontal="center"/>
      <protection locked="0"/>
    </xf>
    <xf numFmtId="165" fontId="15" fillId="11" borderId="7" xfId="0" applyNumberFormat="1" applyFont="1" applyFill="1" applyBorder="1" applyAlignment="1" applyProtection="1">
      <alignment horizontal="center"/>
      <protection locked="0"/>
    </xf>
    <xf numFmtId="0" fontId="1" fillId="5" borderId="0" xfId="6" applyFont="1" applyFill="1"/>
    <xf numFmtId="0" fontId="1" fillId="5" borderId="0" xfId="6" applyFont="1" applyFill="1" applyAlignment="1">
      <alignment vertical="top"/>
    </xf>
    <xf numFmtId="0" fontId="1" fillId="5" borderId="0" xfId="6" applyFont="1" applyFill="1" applyAlignment="1">
      <alignment vertical="top" wrapText="1"/>
    </xf>
    <xf numFmtId="0" fontId="1" fillId="5" borderId="0" xfId="6" applyFont="1" applyFill="1" applyAlignment="1">
      <alignment vertical="center" wrapText="1"/>
    </xf>
    <xf numFmtId="0" fontId="33" fillId="2" borderId="0" xfId="6" applyFont="1" applyFill="1" applyAlignment="1">
      <alignment horizontal="justify" vertical="top" wrapText="1"/>
    </xf>
    <xf numFmtId="0" fontId="33" fillId="2" borderId="0" xfId="6" applyFont="1" applyFill="1" applyAlignment="1">
      <alignment horizontal="justify" vertical="justify" wrapText="1"/>
    </xf>
    <xf numFmtId="0" fontId="34" fillId="2" borderId="0" xfId="6" applyFont="1" applyFill="1" applyAlignment="1">
      <alignment horizontal="justify" vertical="top" wrapText="1"/>
    </xf>
    <xf numFmtId="0" fontId="15" fillId="2" borderId="0" xfId="0" applyFont="1" applyFill="1" applyAlignment="1" applyProtection="1">
      <alignment horizontal="left"/>
      <protection locked="0"/>
    </xf>
    <xf numFmtId="0" fontId="15" fillId="2" borderId="0" xfId="0" applyFont="1" applyFill="1" applyProtection="1">
      <protection locked="0"/>
    </xf>
    <xf numFmtId="0" fontId="13" fillId="2" borderId="0" xfId="0" applyFont="1" applyFill="1" applyProtection="1">
      <protection locked="0"/>
    </xf>
    <xf numFmtId="0" fontId="33" fillId="10" borderId="0" xfId="6" applyFont="1" applyFill="1" applyAlignment="1">
      <alignment horizontal="justify" wrapText="1"/>
    </xf>
    <xf numFmtId="0" fontId="33" fillId="16" borderId="0" xfId="6" applyFont="1" applyFill="1" applyAlignment="1">
      <alignment horizontal="justify" wrapText="1"/>
    </xf>
    <xf numFmtId="0" fontId="46" fillId="5" borderId="0" xfId="6" applyFont="1" applyFill="1"/>
    <xf numFmtId="0" fontId="47" fillId="2" borderId="0" xfId="0" applyFont="1" applyFill="1" applyAlignment="1">
      <alignment horizontal="left" indent="1"/>
    </xf>
    <xf numFmtId="0" fontId="33" fillId="17" borderId="0" xfId="6" applyFont="1" applyFill="1" applyAlignment="1">
      <alignment horizontal="justify" wrapText="1"/>
    </xf>
    <xf numFmtId="0" fontId="17" fillId="5" borderId="3" xfId="0" applyFont="1" applyFill="1" applyBorder="1" applyAlignment="1">
      <alignment horizontal="center" vertical="top" wrapText="1"/>
    </xf>
    <xf numFmtId="0" fontId="17" fillId="5" borderId="4" xfId="0" applyFont="1" applyFill="1" applyBorder="1" applyAlignment="1">
      <alignment horizontal="center" vertical="top" wrapText="1"/>
    </xf>
    <xf numFmtId="0" fontId="17" fillId="5" borderId="15" xfId="0" applyFont="1" applyFill="1" applyBorder="1" applyAlignment="1">
      <alignment horizontal="center"/>
    </xf>
    <xf numFmtId="0" fontId="0" fillId="5" borderId="15" xfId="0" applyFill="1" applyBorder="1" applyAlignment="1">
      <alignment horizontal="center" vertical="center"/>
    </xf>
    <xf numFmtId="2" fontId="0" fillId="5" borderId="14" xfId="0" applyNumberFormat="1" applyFill="1" applyBorder="1" applyAlignment="1">
      <alignment horizontal="center" vertical="center"/>
    </xf>
    <xf numFmtId="2" fontId="0" fillId="5" borderId="15" xfId="0" applyNumberFormat="1" applyFill="1" applyBorder="1" applyAlignment="1">
      <alignment horizontal="center" vertical="center"/>
    </xf>
    <xf numFmtId="165" fontId="44" fillId="5" borderId="13" xfId="0" applyNumberFormat="1" applyFont="1" applyFill="1" applyBorder="1" applyAlignment="1">
      <alignment horizontal="center" vertical="center"/>
    </xf>
    <xf numFmtId="0" fontId="0" fillId="2" borderId="0" xfId="0" applyFill="1" applyAlignment="1">
      <alignment vertical="center"/>
    </xf>
    <xf numFmtId="0" fontId="17" fillId="5" borderId="3" xfId="0" applyFont="1" applyFill="1" applyBorder="1" applyAlignment="1">
      <alignment horizontal="center" vertical="center" wrapText="1"/>
    </xf>
    <xf numFmtId="0" fontId="17" fillId="5" borderId="4" xfId="0" applyFont="1" applyFill="1" applyBorder="1" applyAlignment="1">
      <alignment horizontal="center" vertical="center" wrapText="1"/>
    </xf>
    <xf numFmtId="0" fontId="17" fillId="5" borderId="0" xfId="0" applyFont="1" applyFill="1" applyBorder="1" applyAlignment="1">
      <alignment horizontal="center" vertical="center" wrapText="1"/>
    </xf>
    <xf numFmtId="0" fontId="17" fillId="5" borderId="8" xfId="0" applyFont="1" applyFill="1" applyBorder="1" applyAlignment="1">
      <alignment horizontal="center" vertical="center" wrapText="1"/>
    </xf>
    <xf numFmtId="2" fontId="0" fillId="5" borderId="0" xfId="0" applyNumberFormat="1" applyFill="1" applyBorder="1" applyAlignment="1">
      <alignment horizontal="center" vertical="center" wrapText="1"/>
    </xf>
    <xf numFmtId="2" fontId="0" fillId="5" borderId="8" xfId="0" applyNumberFormat="1" applyFill="1" applyBorder="1" applyAlignment="1">
      <alignment horizontal="center" vertical="center" wrapText="1"/>
    </xf>
    <xf numFmtId="2" fontId="0" fillId="5" borderId="3" xfId="0" applyNumberFormat="1" applyFill="1" applyBorder="1" applyAlignment="1">
      <alignment horizontal="center" vertical="center" wrapText="1"/>
    </xf>
    <xf numFmtId="2" fontId="0" fillId="5" borderId="4" xfId="0" applyNumberFormat="1" applyFill="1" applyBorder="1" applyAlignment="1">
      <alignment horizontal="center" vertical="center" wrapText="1"/>
    </xf>
    <xf numFmtId="165" fontId="17" fillId="5" borderId="0" xfId="0" applyNumberFormat="1" applyFont="1" applyFill="1" applyBorder="1" applyAlignment="1">
      <alignment horizontal="center" vertical="center" wrapText="1"/>
    </xf>
    <xf numFmtId="165" fontId="17" fillId="5" borderId="8" xfId="0" applyNumberFormat="1" applyFont="1" applyFill="1" applyBorder="1" applyAlignment="1">
      <alignment horizontal="center" vertical="center" wrapText="1"/>
    </xf>
    <xf numFmtId="2" fontId="0" fillId="5" borderId="6" xfId="0" applyNumberFormat="1" applyFill="1" applyBorder="1" applyAlignment="1">
      <alignment horizontal="center" vertical="center" wrapText="1"/>
    </xf>
    <xf numFmtId="2" fontId="0" fillId="5" borderId="7" xfId="0" applyNumberFormat="1" applyFill="1" applyBorder="1" applyAlignment="1">
      <alignment horizontal="center" vertical="center" wrapText="1"/>
    </xf>
    <xf numFmtId="0" fontId="0" fillId="5" borderId="5" xfId="0" applyFill="1" applyBorder="1" applyAlignment="1">
      <alignment horizontal="left" vertical="center" indent="2"/>
    </xf>
    <xf numFmtId="0" fontId="0" fillId="5" borderId="0" xfId="0" applyFill="1" applyBorder="1" applyAlignment="1">
      <alignment horizontal="left" vertical="center" wrapText="1" indent="2"/>
    </xf>
    <xf numFmtId="0" fontId="0" fillId="5" borderId="8" xfId="0" applyFill="1" applyBorder="1" applyAlignment="1">
      <alignment horizontal="left" vertical="center" wrapText="1" indent="2"/>
    </xf>
    <xf numFmtId="165" fontId="15" fillId="2" borderId="3" xfId="0" applyNumberFormat="1" applyFont="1" applyFill="1" applyBorder="1" applyAlignment="1">
      <alignment horizontal="center"/>
    </xf>
    <xf numFmtId="0" fontId="0" fillId="0" borderId="0" xfId="0" applyFont="1"/>
    <xf numFmtId="165" fontId="0" fillId="2" borderId="0" xfId="0" applyNumberFormat="1" applyFont="1" applyFill="1" applyAlignment="1">
      <alignment horizontal="center" vertical="center"/>
    </xf>
    <xf numFmtId="0" fontId="0" fillId="2" borderId="0" xfId="0" applyFont="1" applyFill="1" applyAlignment="1">
      <alignment horizontal="center" vertical="top"/>
    </xf>
    <xf numFmtId="0" fontId="0" fillId="19" borderId="0" xfId="0" applyFont="1" applyFill="1" applyAlignment="1">
      <alignment horizontal="center" vertical="top"/>
    </xf>
    <xf numFmtId="0" fontId="0" fillId="19" borderId="0" xfId="0" applyFont="1" applyFill="1" applyAlignment="1">
      <alignment vertical="top"/>
    </xf>
    <xf numFmtId="0" fontId="17" fillId="0" borderId="0" xfId="0" applyFont="1" applyFill="1" applyAlignment="1">
      <alignment horizontal="left" vertical="center"/>
    </xf>
    <xf numFmtId="0" fontId="48" fillId="18" borderId="0" xfId="0" applyFont="1" applyFill="1" applyAlignment="1">
      <alignment horizontal="left" vertical="center"/>
    </xf>
    <xf numFmtId="0" fontId="0" fillId="18" borderId="0" xfId="0" applyFont="1" applyFill="1" applyAlignment="1">
      <alignment vertical="top"/>
    </xf>
    <xf numFmtId="0" fontId="22" fillId="18" borderId="0" xfId="0" applyFont="1" applyFill="1" applyAlignment="1">
      <alignment horizontal="center" vertical="top"/>
    </xf>
    <xf numFmtId="0" fontId="22" fillId="18" borderId="0" xfId="0" applyFont="1" applyFill="1" applyAlignment="1">
      <alignment horizontal="center"/>
    </xf>
    <xf numFmtId="0" fontId="49" fillId="18" borderId="0" xfId="0" applyFont="1" applyFill="1" applyAlignment="1">
      <alignment horizontal="center" vertical="center" wrapText="1"/>
    </xf>
    <xf numFmtId="0" fontId="48" fillId="18" borderId="0" xfId="0" applyFont="1" applyFill="1" applyAlignment="1">
      <alignment horizontal="center" vertical="center" wrapText="1"/>
    </xf>
    <xf numFmtId="0" fontId="43" fillId="19" borderId="0" xfId="0" applyFont="1" applyFill="1" applyAlignment="1">
      <alignment horizontal="left" vertical="top" wrapText="1"/>
    </xf>
    <xf numFmtId="0" fontId="25" fillId="19" borderId="0" xfId="0" applyFont="1" applyFill="1" applyAlignment="1">
      <alignment horizontal="center"/>
    </xf>
    <xf numFmtId="0" fontId="0" fillId="19" borderId="0" xfId="0" applyFont="1" applyFill="1" applyAlignment="1">
      <alignment horizontal="left"/>
    </xf>
    <xf numFmtId="0" fontId="43" fillId="19" borderId="0" xfId="0" applyFont="1" applyFill="1" applyAlignment="1">
      <alignment horizontal="left" vertical="top" wrapText="1" indent="1"/>
    </xf>
    <xf numFmtId="0" fontId="43" fillId="19" borderId="0" xfId="0" applyFont="1" applyFill="1" applyAlignment="1">
      <alignment vertical="top"/>
    </xf>
    <xf numFmtId="0" fontId="43" fillId="19" borderId="0" xfId="0" applyFont="1" applyFill="1" applyAlignment="1">
      <alignment horizontal="left" wrapText="1"/>
    </xf>
    <xf numFmtId="0" fontId="0" fillId="18" borderId="0" xfId="0" applyFont="1" applyFill="1"/>
    <xf numFmtId="1" fontId="48" fillId="18" borderId="0" xfId="0" applyNumberFormat="1" applyFont="1" applyFill="1" applyAlignment="1">
      <alignment horizontal="center" vertical="center" wrapText="1"/>
    </xf>
    <xf numFmtId="2" fontId="0" fillId="2" borderId="0" xfId="0" applyNumberFormat="1" applyFont="1" applyFill="1" applyAlignment="1">
      <alignment horizontal="center" vertical="center"/>
    </xf>
    <xf numFmtId="165" fontId="25" fillId="2" borderId="0" xfId="0" applyNumberFormat="1" applyFont="1" applyFill="1" applyAlignment="1">
      <alignment horizontal="center" vertical="center"/>
    </xf>
    <xf numFmtId="0" fontId="25" fillId="2" borderId="0" xfId="0" applyFont="1" applyFill="1" applyAlignment="1">
      <alignment horizontal="center" vertical="center"/>
    </xf>
    <xf numFmtId="0" fontId="0" fillId="2" borderId="0" xfId="0" applyFont="1" applyFill="1" applyAlignment="1">
      <alignment vertical="top"/>
    </xf>
    <xf numFmtId="0" fontId="17" fillId="2" borderId="0" xfId="0" applyFont="1" applyFill="1" applyAlignment="1">
      <alignment horizontal="left" vertical="center"/>
    </xf>
    <xf numFmtId="0" fontId="0" fillId="19" borderId="0" xfId="0" applyFont="1" applyFill="1" applyAlignment="1">
      <alignment horizontal="center"/>
    </xf>
    <xf numFmtId="165" fontId="25" fillId="0" borderId="0" xfId="0" applyNumberFormat="1" applyFont="1" applyAlignment="1">
      <alignment horizontal="center" vertical="center"/>
    </xf>
    <xf numFmtId="165" fontId="9" fillId="2" borderId="0" xfId="0" applyNumberFormat="1" applyFont="1" applyFill="1" applyAlignment="1">
      <alignment horizontal="center" vertical="center"/>
    </xf>
    <xf numFmtId="0" fontId="33" fillId="2" borderId="0" xfId="6" applyFont="1" applyFill="1" applyAlignment="1">
      <alignment horizontal="justify" vertical="top" wrapText="1"/>
    </xf>
    <xf numFmtId="0" fontId="0" fillId="2" borderId="0" xfId="0" applyFill="1" applyAlignment="1">
      <alignment wrapText="1"/>
    </xf>
    <xf numFmtId="0" fontId="33" fillId="20" borderId="0" xfId="6" applyFont="1" applyFill="1" applyAlignment="1">
      <alignment horizontal="justify" wrapText="1"/>
    </xf>
    <xf numFmtId="0" fontId="43" fillId="2" borderId="0" xfId="0" applyFont="1" applyFill="1"/>
    <xf numFmtId="0" fontId="25" fillId="2" borderId="0" xfId="0" applyFont="1" applyFill="1" applyAlignment="1">
      <alignment horizontal="center"/>
    </xf>
    <xf numFmtId="165" fontId="25" fillId="2" borderId="0" xfId="0" applyNumberFormat="1" applyFont="1" applyFill="1" applyAlignment="1">
      <alignment horizontal="center"/>
    </xf>
    <xf numFmtId="165" fontId="15" fillId="2" borderId="0" xfId="0" applyNumberFormat="1" applyFont="1" applyFill="1" applyAlignment="1" applyProtection="1">
      <alignment horizontal="left"/>
      <protection locked="0"/>
    </xf>
    <xf numFmtId="1" fontId="9" fillId="2" borderId="0" xfId="0" applyNumberFormat="1" applyFont="1" applyFill="1" applyAlignment="1">
      <alignment horizontal="center"/>
    </xf>
    <xf numFmtId="1" fontId="15" fillId="21" borderId="0" xfId="0" applyNumberFormat="1" applyFont="1" applyFill="1" applyAlignment="1" applyProtection="1">
      <alignment horizontal="center"/>
      <protection locked="0"/>
    </xf>
    <xf numFmtId="165" fontId="39" fillId="21" borderId="0" xfId="6" applyNumberFormat="1" applyFont="1" applyFill="1" applyAlignment="1">
      <alignment horizontal="center"/>
    </xf>
    <xf numFmtId="0" fontId="0" fillId="5" borderId="2" xfId="0" applyFont="1" applyFill="1" applyBorder="1"/>
    <xf numFmtId="0" fontId="0" fillId="5" borderId="5" xfId="0" applyFont="1" applyFill="1" applyBorder="1"/>
    <xf numFmtId="0" fontId="0" fillId="5" borderId="9" xfId="0" applyFont="1" applyFill="1" applyBorder="1" applyAlignment="1">
      <alignment horizontal="left"/>
    </xf>
    <xf numFmtId="0" fontId="44" fillId="13" borderId="14" xfId="0" applyFont="1" applyFill="1" applyBorder="1" applyAlignment="1">
      <alignment horizontal="center" vertical="center" wrapText="1"/>
    </xf>
    <xf numFmtId="0" fontId="17" fillId="13" borderId="1" xfId="0" applyFont="1" applyFill="1" applyBorder="1" applyAlignment="1">
      <alignment horizontal="center" vertical="center" wrapText="1"/>
    </xf>
    <xf numFmtId="165" fontId="17" fillId="2" borderId="15" xfId="0" applyNumberFormat="1" applyFont="1" applyFill="1" applyBorder="1" applyAlignment="1">
      <alignment horizontal="center"/>
    </xf>
    <xf numFmtId="165" fontId="17" fillId="2" borderId="14" xfId="0" applyNumberFormat="1" applyFont="1" applyFill="1" applyBorder="1" applyAlignment="1">
      <alignment horizontal="center"/>
    </xf>
    <xf numFmtId="0" fontId="0" fillId="2" borderId="7" xfId="0" applyFill="1" applyBorder="1" applyAlignment="1">
      <alignment vertical="center"/>
    </xf>
    <xf numFmtId="0" fontId="0" fillId="2" borderId="9" xfId="0" applyFill="1" applyBorder="1" applyAlignment="1">
      <alignment vertical="center"/>
    </xf>
    <xf numFmtId="0" fontId="5" fillId="2" borderId="5" xfId="6" applyFill="1" applyBorder="1" applyAlignment="1">
      <alignment vertical="center"/>
    </xf>
    <xf numFmtId="0" fontId="33" fillId="7" borderId="0" xfId="6" applyFont="1" applyFill="1" applyAlignment="1">
      <alignment horizontal="justify" vertical="center" wrapText="1"/>
    </xf>
    <xf numFmtId="0" fontId="33" fillId="12" borderId="20" xfId="6" applyFont="1" applyFill="1" applyBorder="1" applyAlignment="1">
      <alignment vertical="center" wrapText="1"/>
    </xf>
    <xf numFmtId="0" fontId="5" fillId="2" borderId="8" xfId="6" applyFill="1" applyBorder="1" applyAlignment="1">
      <alignment vertical="center"/>
    </xf>
    <xf numFmtId="0" fontId="3" fillId="5" borderId="0" xfId="6" applyFont="1" applyFill="1" applyAlignment="1">
      <alignment vertical="center"/>
    </xf>
    <xf numFmtId="0" fontId="5" fillId="5" borderId="0" xfId="6" applyFill="1" applyAlignment="1">
      <alignment vertical="center"/>
    </xf>
    <xf numFmtId="0" fontId="33" fillId="2" borderId="14" xfId="6" applyFont="1" applyFill="1" applyBorder="1" applyAlignment="1">
      <alignment vertical="center" wrapText="1"/>
    </xf>
    <xf numFmtId="0" fontId="33" fillId="13" borderId="3" xfId="6" applyFont="1" applyFill="1" applyBorder="1" applyAlignment="1">
      <alignment vertical="center" wrapText="1"/>
    </xf>
    <xf numFmtId="0" fontId="33" fillId="5" borderId="0" xfId="6" applyFont="1" applyFill="1" applyBorder="1" applyAlignment="1">
      <alignment vertical="center" wrapText="1"/>
    </xf>
    <xf numFmtId="2" fontId="25" fillId="2" borderId="0" xfId="0" applyNumberFormat="1" applyFont="1" applyFill="1"/>
    <xf numFmtId="0" fontId="25" fillId="2" borderId="0" xfId="0" applyFont="1" applyFill="1" applyAlignment="1">
      <alignment vertical="center"/>
    </xf>
    <xf numFmtId="2" fontId="25" fillId="2" borderId="0" xfId="0" applyNumberFormat="1" applyFont="1" applyFill="1" applyAlignment="1">
      <alignment vertical="center"/>
    </xf>
    <xf numFmtId="0" fontId="33" fillId="2" borderId="0" xfId="6" applyFont="1" applyFill="1" applyBorder="1" applyAlignment="1">
      <alignment horizontal="left" vertical="center" wrapText="1"/>
    </xf>
    <xf numFmtId="0" fontId="33" fillId="2" borderId="0" xfId="6" applyFont="1" applyFill="1" applyAlignment="1">
      <alignment horizontal="left" vertical="center" wrapText="1"/>
    </xf>
    <xf numFmtId="0" fontId="33" fillId="2" borderId="0" xfId="6" applyFont="1" applyFill="1" applyAlignment="1">
      <alignment horizontal="left" vertical="top" wrapText="1"/>
    </xf>
    <xf numFmtId="0" fontId="33" fillId="2" borderId="8" xfId="6" applyFont="1" applyFill="1" applyBorder="1" applyAlignment="1">
      <alignment horizontal="left" vertical="top" wrapText="1"/>
    </xf>
    <xf numFmtId="0" fontId="33" fillId="2" borderId="0" xfId="6" applyFont="1" applyFill="1" applyAlignment="1">
      <alignment horizontal="justify" vertical="top" wrapText="1"/>
    </xf>
    <xf numFmtId="0" fontId="33" fillId="2" borderId="22" xfId="6" applyFont="1" applyFill="1" applyBorder="1" applyAlignment="1">
      <alignment horizontal="left" vertical="center" wrapText="1"/>
    </xf>
    <xf numFmtId="0" fontId="33" fillId="2" borderId="0" xfId="6" applyFont="1" applyFill="1" applyAlignment="1">
      <alignment horizontal="justify" vertical="center" wrapText="1"/>
    </xf>
    <xf numFmtId="0" fontId="33" fillId="2" borderId="0" xfId="12" applyFont="1" applyFill="1" applyAlignment="1">
      <alignment horizontal="left" vertical="top" wrapText="1"/>
    </xf>
    <xf numFmtId="0" fontId="34" fillId="2" borderId="0" xfId="6" applyFont="1" applyFill="1" applyAlignment="1">
      <alignment horizontal="justify" vertical="top"/>
    </xf>
    <xf numFmtId="0" fontId="34" fillId="2" borderId="0" xfId="6" applyFont="1" applyFill="1" applyAlignment="1">
      <alignment horizontal="justify" vertical="top" wrapText="1"/>
    </xf>
    <xf numFmtId="0" fontId="46" fillId="2" borderId="0" xfId="6" applyFont="1" applyFill="1" applyAlignment="1">
      <alignment horizontal="justify" vertical="top" wrapText="1"/>
    </xf>
    <xf numFmtId="0" fontId="34" fillId="2" borderId="0" xfId="6" applyFont="1" applyFill="1" applyAlignment="1">
      <alignment horizontal="justify" vertical="justify" wrapText="1"/>
    </xf>
    <xf numFmtId="0" fontId="33" fillId="2" borderId="0" xfId="6" applyFont="1" applyFill="1" applyAlignment="1">
      <alignment horizontal="justify" vertical="justify" wrapText="1"/>
    </xf>
    <xf numFmtId="0" fontId="19" fillId="2" borderId="6" xfId="6" applyFont="1" applyFill="1" applyBorder="1" applyAlignment="1">
      <alignment horizontal="left" wrapText="1"/>
    </xf>
    <xf numFmtId="0" fontId="33" fillId="2" borderId="21" xfId="6" applyFont="1" applyFill="1" applyBorder="1" applyAlignment="1">
      <alignment horizontal="left" vertical="center" wrapText="1"/>
    </xf>
    <xf numFmtId="0" fontId="0" fillId="2" borderId="9" xfId="0" applyFill="1"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7" fillId="2" borderId="2" xfId="0" applyFont="1" applyFill="1" applyBorder="1" applyAlignment="1">
      <alignment horizontal="left"/>
    </xf>
    <xf numFmtId="0" fontId="17" fillId="2" borderId="3" xfId="0" applyFont="1" applyFill="1" applyBorder="1" applyAlignment="1">
      <alignment horizontal="left"/>
    </xf>
    <xf numFmtId="0" fontId="17" fillId="2" borderId="9" xfId="0" applyFont="1" applyFill="1" applyBorder="1" applyAlignment="1">
      <alignment horizontal="left"/>
    </xf>
    <xf numFmtId="0" fontId="17" fillId="2" borderId="6" xfId="0" applyFont="1" applyFill="1" applyBorder="1" applyAlignment="1">
      <alignment horizontal="left"/>
    </xf>
    <xf numFmtId="0" fontId="0" fillId="2" borderId="0" xfId="0" applyFill="1" applyAlignment="1">
      <alignment horizontal="justify" vertical="top" wrapText="1"/>
    </xf>
    <xf numFmtId="0" fontId="0" fillId="13" borderId="15" xfId="0" applyFill="1" applyBorder="1" applyAlignment="1">
      <alignment horizontal="center" vertical="center"/>
    </xf>
    <xf numFmtId="0" fontId="0" fillId="13" borderId="13" xfId="0" applyFill="1" applyBorder="1" applyAlignment="1">
      <alignment horizontal="center" vertical="center"/>
    </xf>
    <xf numFmtId="0" fontId="0" fillId="13" borderId="14" xfId="0" applyFill="1" applyBorder="1" applyAlignment="1">
      <alignment horizontal="center" vertical="center"/>
    </xf>
    <xf numFmtId="0" fontId="0" fillId="2" borderId="15"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165" fontId="0" fillId="2" borderId="15" xfId="0" applyNumberFormat="1" applyFill="1" applyBorder="1" applyAlignment="1">
      <alignment horizontal="center" vertical="center" wrapText="1"/>
    </xf>
    <xf numFmtId="165" fontId="0" fillId="2" borderId="13" xfId="0" applyNumberFormat="1" applyFill="1" applyBorder="1" applyAlignment="1">
      <alignment horizontal="center" vertical="center" wrapText="1"/>
    </xf>
    <xf numFmtId="165" fontId="0" fillId="2" borderId="14" xfId="0" applyNumberFormat="1" applyFill="1" applyBorder="1" applyAlignment="1">
      <alignment horizontal="center" vertical="center" wrapText="1"/>
    </xf>
    <xf numFmtId="0" fontId="0" fillId="2" borderId="3" xfId="0" applyFill="1" applyBorder="1" applyAlignment="1">
      <alignment horizontal="justify" vertical="top" wrapText="1"/>
    </xf>
    <xf numFmtId="0" fontId="44" fillId="2" borderId="10" xfId="0" applyFont="1" applyFill="1" applyBorder="1" applyAlignment="1">
      <alignment horizontal="center" vertical="center" wrapText="1"/>
    </xf>
    <xf numFmtId="0" fontId="44" fillId="2" borderId="11" xfId="0" applyFont="1" applyFill="1" applyBorder="1" applyAlignment="1">
      <alignment horizontal="center" vertical="center" wrapText="1"/>
    </xf>
    <xf numFmtId="0" fontId="44" fillId="2" borderId="12" xfId="0" applyFont="1" applyFill="1" applyBorder="1" applyAlignment="1">
      <alignment horizontal="center"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0" fillId="5" borderId="5" xfId="0" applyFill="1" applyBorder="1" applyAlignment="1">
      <alignment horizontal="left" vertical="center" wrapText="1" indent="2"/>
    </xf>
    <xf numFmtId="0" fontId="0" fillId="5" borderId="0" xfId="0" applyFill="1" applyBorder="1" applyAlignment="1">
      <alignment horizontal="left" vertical="center" wrapText="1" indent="2"/>
    </xf>
    <xf numFmtId="0" fontId="0" fillId="5" borderId="8" xfId="0" applyFill="1" applyBorder="1" applyAlignment="1">
      <alignment horizontal="left" vertical="center" wrapText="1" indent="2"/>
    </xf>
    <xf numFmtId="0" fontId="0" fillId="5" borderId="9" xfId="0" applyFill="1" applyBorder="1" applyAlignment="1">
      <alignment horizontal="left" vertical="center" wrapText="1" indent="2"/>
    </xf>
    <xf numFmtId="0" fontId="0" fillId="5" borderId="6" xfId="0" applyFill="1" applyBorder="1" applyAlignment="1">
      <alignment horizontal="left" vertical="center" wrapText="1" indent="2"/>
    </xf>
    <xf numFmtId="0" fontId="0" fillId="5" borderId="7" xfId="0" applyFill="1" applyBorder="1" applyAlignment="1">
      <alignment horizontal="left" vertical="center" wrapText="1" indent="2"/>
    </xf>
    <xf numFmtId="0" fontId="43" fillId="2" borderId="3" xfId="0" applyFont="1" applyFill="1" applyBorder="1" applyAlignment="1">
      <alignment horizontal="justify" vertical="top" wrapText="1"/>
    </xf>
    <xf numFmtId="0" fontId="44" fillId="5" borderId="10" xfId="0" applyFont="1" applyFill="1" applyBorder="1" applyAlignment="1">
      <alignment horizontal="center" vertical="center" wrapText="1"/>
    </xf>
    <xf numFmtId="0" fontId="44" fillId="5" borderId="11" xfId="0" applyFont="1" applyFill="1" applyBorder="1" applyAlignment="1">
      <alignment horizontal="center" vertical="center" wrapText="1"/>
    </xf>
    <xf numFmtId="0" fontId="44" fillId="5" borderId="12" xfId="0" applyFont="1" applyFill="1" applyBorder="1" applyAlignment="1">
      <alignment horizontal="center" vertical="center" wrapText="1"/>
    </xf>
    <xf numFmtId="0" fontId="0" fillId="2" borderId="15" xfId="0" applyFill="1" applyBorder="1" applyAlignment="1">
      <alignment horizontal="left" vertical="center"/>
    </xf>
    <xf numFmtId="0" fontId="17" fillId="5" borderId="10" xfId="0" applyFont="1" applyFill="1" applyBorder="1" applyAlignment="1">
      <alignment horizontal="center" vertical="center" wrapText="1"/>
    </xf>
    <xf numFmtId="0" fontId="17" fillId="5" borderId="12" xfId="0" applyFont="1" applyFill="1" applyBorder="1" applyAlignment="1">
      <alignment horizontal="center" vertical="center" wrapText="1"/>
    </xf>
    <xf numFmtId="0" fontId="30" fillId="5" borderId="2" xfId="0" applyFont="1" applyFill="1" applyBorder="1" applyAlignment="1">
      <alignment horizontal="left" vertical="center" wrapText="1"/>
    </xf>
    <xf numFmtId="0" fontId="30" fillId="5" borderId="3" xfId="0" applyFont="1" applyFill="1" applyBorder="1" applyAlignment="1">
      <alignment horizontal="left" vertical="center" wrapText="1"/>
    </xf>
    <xf numFmtId="0" fontId="30" fillId="5" borderId="4" xfId="0" applyFont="1" applyFill="1" applyBorder="1" applyAlignment="1">
      <alignment horizontal="left" vertical="center" wrapText="1"/>
    </xf>
    <xf numFmtId="0" fontId="17" fillId="2" borderId="10" xfId="0" applyFont="1" applyFill="1" applyBorder="1" applyAlignment="1">
      <alignment horizontal="center"/>
    </xf>
    <xf numFmtId="0" fontId="17" fillId="2" borderId="11" xfId="0" applyFont="1" applyFill="1" applyBorder="1" applyAlignment="1">
      <alignment horizontal="center"/>
    </xf>
    <xf numFmtId="0" fontId="17" fillId="2" borderId="12" xfId="0" applyFont="1" applyFill="1" applyBorder="1" applyAlignment="1">
      <alignment horizontal="center"/>
    </xf>
    <xf numFmtId="0" fontId="0" fillId="2" borderId="15" xfId="0" applyFill="1" applyBorder="1" applyAlignment="1">
      <alignment horizontal="center" vertical="center"/>
    </xf>
    <xf numFmtId="0" fontId="0" fillId="2" borderId="13" xfId="0" applyFill="1" applyBorder="1" applyAlignment="1">
      <alignment horizontal="center" vertical="center"/>
    </xf>
    <xf numFmtId="0" fontId="0" fillId="2" borderId="14" xfId="0" applyFill="1" applyBorder="1" applyAlignment="1">
      <alignment horizontal="center" vertical="center"/>
    </xf>
    <xf numFmtId="0" fontId="17" fillId="2" borderId="10" xfId="0" applyFont="1" applyFill="1" applyBorder="1" applyAlignment="1">
      <alignment horizontal="center" vertical="center" wrapText="1"/>
    </xf>
    <xf numFmtId="0" fontId="17" fillId="2" borderId="12" xfId="0" applyFont="1" applyFill="1" applyBorder="1" applyAlignment="1">
      <alignment horizontal="center" vertical="center" wrapText="1"/>
    </xf>
    <xf numFmtId="0" fontId="0" fillId="2" borderId="3" xfId="0" applyFill="1" applyBorder="1" applyAlignment="1">
      <alignment horizontal="left" vertical="top" wrapText="1"/>
    </xf>
    <xf numFmtId="0" fontId="17" fillId="2" borderId="11" xfId="0" applyFont="1" applyFill="1" applyBorder="1" applyAlignment="1">
      <alignment horizontal="center" vertical="center" wrapText="1"/>
    </xf>
    <xf numFmtId="0" fontId="17" fillId="13" borderId="10" xfId="0" applyFont="1" applyFill="1" applyBorder="1" applyAlignment="1">
      <alignment horizontal="center" vertical="center" wrapText="1"/>
    </xf>
    <xf numFmtId="0" fontId="17" fillId="13" borderId="12" xfId="0" applyFont="1" applyFill="1" applyBorder="1" applyAlignment="1">
      <alignment horizontal="center" vertical="center" wrapText="1"/>
    </xf>
    <xf numFmtId="0" fontId="0" fillId="13" borderId="15" xfId="0" applyFill="1" applyBorder="1" applyAlignment="1">
      <alignment horizontal="center" vertical="center" wrapText="1"/>
    </xf>
    <xf numFmtId="0" fontId="0" fillId="13" borderId="13" xfId="0" applyFill="1" applyBorder="1" applyAlignment="1">
      <alignment horizontal="center" vertical="center" wrapText="1"/>
    </xf>
    <xf numFmtId="0" fontId="0" fillId="13" borderId="14" xfId="0" applyFill="1" applyBorder="1" applyAlignment="1">
      <alignment horizontal="center" vertical="center" wrapText="1"/>
    </xf>
    <xf numFmtId="0" fontId="17" fillId="2" borderId="2" xfId="0" applyFont="1" applyFill="1" applyBorder="1" applyAlignment="1">
      <alignment horizontal="center" vertical="center"/>
    </xf>
    <xf numFmtId="0" fontId="17" fillId="2" borderId="3" xfId="0" applyFont="1" applyFill="1" applyBorder="1" applyAlignment="1">
      <alignment horizontal="center" vertical="center"/>
    </xf>
    <xf numFmtId="0" fontId="17" fillId="2" borderId="4" xfId="0" applyFont="1" applyFill="1" applyBorder="1" applyAlignment="1">
      <alignment horizontal="center" vertical="center"/>
    </xf>
    <xf numFmtId="0" fontId="17" fillId="2" borderId="9" xfId="0" applyFont="1" applyFill="1" applyBorder="1" applyAlignment="1">
      <alignment horizontal="center" vertical="center"/>
    </xf>
    <xf numFmtId="0" fontId="17" fillId="2" borderId="6" xfId="0" applyFont="1" applyFill="1" applyBorder="1" applyAlignment="1">
      <alignment horizontal="center" vertical="center"/>
    </xf>
    <xf numFmtId="0" fontId="17" fillId="2" borderId="7" xfId="0" applyFont="1" applyFill="1" applyBorder="1" applyAlignment="1">
      <alignment horizontal="center" vertical="center"/>
    </xf>
    <xf numFmtId="0" fontId="17" fillId="2" borderId="10" xfId="0" applyFont="1" applyFill="1" applyBorder="1" applyAlignment="1">
      <alignment horizontal="center" vertical="center"/>
    </xf>
    <xf numFmtId="0" fontId="17" fillId="2" borderId="11" xfId="0" applyFont="1" applyFill="1" applyBorder="1" applyAlignment="1">
      <alignment horizontal="center" vertical="center"/>
    </xf>
    <xf numFmtId="0" fontId="17" fillId="2" borderId="12" xfId="0" applyFont="1" applyFill="1" applyBorder="1" applyAlignment="1">
      <alignment horizontal="center" vertical="center"/>
    </xf>
    <xf numFmtId="0" fontId="51" fillId="2" borderId="0" xfId="0" applyFont="1" applyFill="1" applyAlignment="1">
      <alignment horizontal="center" vertical="center" wrapText="1"/>
    </xf>
  </cellXfs>
  <cellStyles count="14">
    <cellStyle name="Hyperlink 2" xfId="4" xr:uid="{00000000-0005-0000-0000-000000000000}"/>
    <cellStyle name="Normal" xfId="0" builtinId="0"/>
    <cellStyle name="Normal 2" xfId="3" xr:uid="{00000000-0005-0000-0000-000002000000}"/>
    <cellStyle name="Normal 2 2" xfId="5" xr:uid="{00000000-0005-0000-0000-000003000000}"/>
    <cellStyle name="Normal 2 2 2" xfId="6" xr:uid="{00000000-0005-0000-0000-000004000000}"/>
    <cellStyle name="Normal 2 2 2 2" xfId="11" xr:uid="{D0E23963-54C4-40C3-A08B-C51BBEBC5911}"/>
    <cellStyle name="Normal 2 2 2 3" xfId="12" xr:uid="{E686E16B-8FF5-42A3-854C-C9783938C00C}"/>
    <cellStyle name="Normal 2 2 3" xfId="10" xr:uid="{8E0939B2-890A-4E4A-9A67-9A990C4259EA}"/>
    <cellStyle name="Normal 2 3" xfId="9" xr:uid="{6D6AF9E9-B81E-4C25-8D2A-8C5EC56A28D7}"/>
    <cellStyle name="Normal 4 5" xfId="13" xr:uid="{961F5BD5-E2A8-4CCD-93A3-2FC6DE1553AE}"/>
    <cellStyle name="Normal 5" xfId="2" xr:uid="{00000000-0005-0000-0000-000005000000}"/>
    <cellStyle name="Normal 5 2" xfId="8" xr:uid="{BE5ABAF7-F156-47EA-94C7-F5604FBB16A1}"/>
    <cellStyle name="Normal 6" xfId="1" xr:uid="{00000000-0005-0000-0000-000006000000}"/>
    <cellStyle name="Normal 6 2" xfId="7" xr:uid="{D760FB6E-0ACD-4E7B-8A23-51253FCE930B}"/>
  </cellStyles>
  <dxfs count="44">
    <dxf>
      <font>
        <color theme="0"/>
      </font>
      <fill>
        <patternFill>
          <bgColor theme="0"/>
        </patternFill>
      </fill>
    </dxf>
    <dxf>
      <font>
        <color theme="0"/>
      </font>
      <fill>
        <patternFill>
          <bgColor theme="0"/>
        </patternFill>
      </fill>
    </dxf>
    <dxf>
      <font>
        <color theme="0"/>
      </font>
    </dxf>
    <dxf>
      <font>
        <color theme="0"/>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patternFill>
      </fill>
    </dxf>
    <dxf>
      <fill>
        <patternFill>
          <bgColor theme="0"/>
        </patternFill>
      </fill>
    </dxf>
    <dxf>
      <fill>
        <patternFill>
          <bgColor theme="0"/>
        </patternFill>
      </fill>
    </dxf>
    <dxf>
      <font>
        <color theme="0"/>
      </font>
      <fill>
        <patternFill>
          <bgColor theme="0"/>
        </patternFill>
      </fill>
      <border>
        <left/>
        <right/>
        <top/>
        <bottom/>
      </border>
    </dxf>
    <dxf>
      <fill>
        <patternFill>
          <bgColor theme="0" tint="-0.14996795556505021"/>
        </patternFill>
      </fill>
    </dxf>
    <dxf>
      <fill>
        <patternFill>
          <bgColor theme="0"/>
        </patternFill>
      </fill>
    </dxf>
    <dxf>
      <font>
        <color theme="0"/>
      </font>
    </dxf>
    <dxf>
      <font>
        <color theme="0"/>
      </font>
    </dxf>
    <dxf>
      <border>
        <left style="thin">
          <color auto="1"/>
        </left>
        <top style="thin">
          <color auto="1"/>
        </top>
        <bottom style="thin">
          <color auto="1"/>
        </bottom>
        <vertical/>
        <horizontal/>
      </border>
    </dxf>
    <dxf>
      <border>
        <right style="thin">
          <color auto="1"/>
        </right>
        <top style="thin">
          <color auto="1"/>
        </top>
        <bottom style="thin">
          <color auto="1"/>
        </bottom>
        <vertical/>
        <horizontal/>
      </border>
    </dxf>
    <dxf>
      <border>
        <left style="thin">
          <color auto="1"/>
        </left>
        <top style="thin">
          <color auto="1"/>
        </top>
        <bottom style="thin">
          <color auto="1"/>
        </bottom>
        <vertical/>
        <horizontal/>
      </border>
    </dxf>
    <dxf>
      <fill>
        <patternFill>
          <bgColor theme="0" tint="-0.14996795556505021"/>
        </patternFill>
      </fill>
    </dxf>
    <dxf>
      <font>
        <color theme="0"/>
      </font>
      <fill>
        <patternFill>
          <bgColor theme="0"/>
        </patternFill>
      </fill>
      <border>
        <left/>
        <right/>
        <top/>
        <bottom/>
        <vertical/>
        <horizontal/>
      </border>
    </dxf>
    <dxf>
      <font>
        <color theme="0"/>
      </font>
    </dxf>
    <dxf>
      <font>
        <color theme="0"/>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patternFill>
      </fill>
    </dxf>
    <dxf>
      <fill>
        <patternFill>
          <bgColor theme="0" tint="-0.34998626667073579"/>
        </patternFill>
      </fill>
    </dxf>
    <dxf>
      <fill>
        <patternFill>
          <bgColor theme="0" tint="-0.14996795556505021"/>
        </patternFill>
      </fill>
    </dxf>
    <dxf>
      <font>
        <color theme="0"/>
      </font>
      <fill>
        <patternFill>
          <bgColor theme="0"/>
        </patternFill>
      </fill>
      <border>
        <left/>
        <right/>
        <top/>
        <bottom/>
      </border>
    </dxf>
    <dxf>
      <fill>
        <patternFill>
          <bgColor theme="0" tint="-0.34998626667073579"/>
        </patternFill>
      </fill>
      <border>
        <left style="thin">
          <color auto="1"/>
        </left>
        <right style="thin">
          <color auto="1"/>
        </right>
        <bottom style="thin">
          <color auto="1"/>
        </bottom>
      </border>
    </dxf>
    <dxf>
      <fill>
        <patternFill>
          <bgColor theme="0" tint="-0.34998626667073579"/>
        </patternFill>
      </fill>
      <border>
        <left style="thin">
          <color auto="1"/>
        </left>
        <right style="thin">
          <color auto="1"/>
        </right>
        <top style="thin">
          <color auto="1"/>
        </top>
      </border>
    </dxf>
    <dxf>
      <font>
        <color theme="0"/>
      </font>
      <fill>
        <patternFill>
          <bgColor theme="0"/>
        </patternFill>
      </fill>
      <border>
        <left/>
        <right/>
        <top/>
        <bottom/>
      </border>
    </dxf>
    <dxf>
      <font>
        <color theme="0"/>
      </font>
      <fill>
        <patternFill patternType="solid">
          <bgColor theme="0"/>
        </patternFill>
      </fill>
      <border>
        <left/>
        <right/>
        <top/>
        <bottom/>
        <vertical/>
        <horizontal/>
      </border>
    </dxf>
    <dxf>
      <fill>
        <patternFill>
          <bgColor theme="0" tint="-0.14996795556505021"/>
        </patternFill>
      </fill>
    </dxf>
    <dxf>
      <font>
        <color theme="0"/>
      </font>
    </dxf>
    <dxf>
      <font>
        <color theme="0"/>
      </font>
    </dxf>
    <dxf>
      <font>
        <color theme="0"/>
      </font>
      <fill>
        <patternFill>
          <bgColor theme="0"/>
        </patternFill>
      </fill>
      <border>
        <left/>
        <right/>
        <top/>
        <bottom/>
      </border>
    </dxf>
    <dxf>
      <fill>
        <patternFill>
          <bgColor theme="0" tint="-0.14996795556505021"/>
        </patternFill>
      </fill>
    </dxf>
    <dxf>
      <font>
        <color theme="0"/>
      </font>
      <fill>
        <patternFill>
          <bgColor theme="0"/>
        </patternFill>
      </fill>
      <border>
        <left/>
        <right/>
        <top/>
        <bottom/>
      </border>
    </dxf>
    <dxf>
      <font>
        <b/>
        <i val="0"/>
        <color rgb="FF00B050"/>
      </font>
    </dxf>
    <dxf>
      <border>
        <left/>
        <right/>
        <top/>
        <bottom/>
        <vertical/>
        <horizontal/>
      </border>
    </dxf>
    <dxf>
      <border>
        <left style="thin">
          <color auto="1"/>
        </left>
        <right/>
        <top/>
        <bottom/>
        <vertical/>
        <horizontal/>
      </border>
    </dxf>
    <dxf>
      <font>
        <strike val="0"/>
        <color theme="0"/>
      </font>
    </dxf>
    <dxf>
      <border>
        <left/>
        <right/>
        <top/>
        <bottom/>
        <vertical/>
        <horizontal/>
      </border>
    </dxf>
  </dxfs>
  <tableStyles count="0" defaultTableStyle="TableStyleMedium2" defaultPivotStyle="PivotStyleLight16"/>
  <colors>
    <mruColors>
      <color rgb="FFFFFFCC"/>
      <color rgb="FFF8A8ED"/>
      <color rgb="FFFFC7CE"/>
      <color rgb="FFF2DC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Stochastic!$B$21</c:f>
          <c:strCache>
            <c:ptCount val="1"/>
            <c:pt idx="0">
              <c:v>Stochastic debt projections 2029-2033</c:v>
            </c:pt>
          </c:strCache>
        </c:strRef>
      </c:tx>
      <c:overlay val="0"/>
    </c:title>
    <c:autoTitleDeleted val="0"/>
    <c:plotArea>
      <c:layout>
        <c:manualLayout>
          <c:layoutTarget val="inner"/>
          <c:xMode val="edge"/>
          <c:yMode val="edge"/>
          <c:x val="8.6310419062785679E-2"/>
          <c:y val="0.14954234919701911"/>
          <c:w val="0.85496978555227576"/>
          <c:h val="0.75103905168930085"/>
        </c:manualLayout>
      </c:layout>
      <c:areaChart>
        <c:grouping val="stacked"/>
        <c:varyColors val="0"/>
        <c:ser>
          <c:idx val="1"/>
          <c:order val="0"/>
          <c:tx>
            <c:strRef>
              <c:f>Stochastic!$B$22</c:f>
              <c:strCache>
                <c:ptCount val="1"/>
                <c:pt idx="0">
                  <c:v>p10</c:v>
                </c:pt>
              </c:strCache>
            </c:strRef>
          </c:tx>
          <c:spPr>
            <a:noFill/>
            <a:ln w="25400">
              <a:noFill/>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Stochastic!$C$22:$I$22</c:f>
              <c:numCache>
                <c:formatCode>0.0</c:formatCode>
                <c:ptCount val="7"/>
                <c:pt idx="0">
                  <c:v>52.754005449493576</c:v>
                </c:pt>
                <c:pt idx="1">
                  <c:v>52.204191928643532</c:v>
                </c:pt>
                <c:pt idx="2">
                  <c:v>42.410902660485959</c:v>
                </c:pt>
                <c:pt idx="3">
                  <c:v>38.156174231717976</c:v>
                </c:pt>
                <c:pt idx="4">
                  <c:v>34.856388109724726</c:v>
                </c:pt>
                <c:pt idx="5">
                  <c:v>32.432652491779017</c:v>
                </c:pt>
                <c:pt idx="6">
                  <c:v>30.162662538268812</c:v>
                </c:pt>
              </c:numCache>
            </c:numRef>
          </c:val>
          <c:extLst>
            <c:ext xmlns:c16="http://schemas.microsoft.com/office/drawing/2014/chart" uri="{C3380CC4-5D6E-409C-BE32-E72D297353CC}">
              <c16:uniqueId val="{00000000-0172-4116-9325-0285A655A4B3}"/>
            </c:ext>
          </c:extLst>
        </c:ser>
        <c:ser>
          <c:idx val="2"/>
          <c:order val="1"/>
          <c:tx>
            <c:strRef>
              <c:f>Stochastic!$B$23</c:f>
              <c:strCache>
                <c:ptCount val="1"/>
                <c:pt idx="0">
                  <c:v>p30_p10</c:v>
                </c:pt>
              </c:strCache>
            </c:strRef>
          </c:tx>
          <c:spPr>
            <a:solidFill>
              <a:srgbClr val="4F81BD">
                <a:lumMod val="60000"/>
                <a:lumOff val="40000"/>
              </a:srgbClr>
            </a:solidFill>
            <a:ln w="12700">
              <a:solidFill>
                <a:srgbClr val="000000"/>
              </a:solidFill>
              <a:prstDash val="solid"/>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Stochastic!$C$23:$I$23</c:f>
              <c:numCache>
                <c:formatCode>0.0</c:formatCode>
                <c:ptCount val="7"/>
                <c:pt idx="0">
                  <c:v>0</c:v>
                </c:pt>
                <c:pt idx="1">
                  <c:v>0</c:v>
                </c:pt>
                <c:pt idx="2">
                  <c:v>5.45458984375</c:v>
                </c:pt>
                <c:pt idx="3">
                  <c:v>7.1634597778320313</c:v>
                </c:pt>
                <c:pt idx="4">
                  <c:v>8.4993820190429688</c:v>
                </c:pt>
                <c:pt idx="5">
                  <c:v>9.4442977905273438</c:v>
                </c:pt>
                <c:pt idx="6">
                  <c:v>10.482452392578125</c:v>
                </c:pt>
              </c:numCache>
            </c:numRef>
          </c:val>
          <c:extLst>
            <c:ext xmlns:c16="http://schemas.microsoft.com/office/drawing/2014/chart" uri="{C3380CC4-5D6E-409C-BE32-E72D297353CC}">
              <c16:uniqueId val="{00000001-0172-4116-9325-0285A655A4B3}"/>
            </c:ext>
          </c:extLst>
        </c:ser>
        <c:ser>
          <c:idx val="3"/>
          <c:order val="2"/>
          <c:tx>
            <c:strRef>
              <c:f>Stochastic!$B$24</c:f>
              <c:strCache>
                <c:ptCount val="1"/>
                <c:pt idx="0">
                  <c:v>p50_p30</c:v>
                </c:pt>
              </c:strCache>
            </c:strRef>
          </c:tx>
          <c:spPr>
            <a:solidFill>
              <a:schemeClr val="accent1">
                <a:lumMod val="60000"/>
                <a:lumOff val="40000"/>
              </a:schemeClr>
            </a:solidFill>
            <a:ln w="12700">
              <a:solidFill>
                <a:srgbClr val="000000"/>
              </a:solidFill>
              <a:prstDash val="solid"/>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Stochastic!$C$24:$I$24</c:f>
              <c:numCache>
                <c:formatCode>0.0</c:formatCode>
                <c:ptCount val="7"/>
                <c:pt idx="0">
                  <c:v>0</c:v>
                </c:pt>
                <c:pt idx="1">
                  <c:v>0</c:v>
                </c:pt>
                <c:pt idx="2">
                  <c:v>3.5068588256835938</c:v>
                </c:pt>
                <c:pt idx="3">
                  <c:v>5.1395797729492188</c:v>
                </c:pt>
                <c:pt idx="4">
                  <c:v>6.1448287963867188</c:v>
                </c:pt>
                <c:pt idx="5">
                  <c:v>6.9132499694824219</c:v>
                </c:pt>
                <c:pt idx="6">
                  <c:v>7.4928703308105469</c:v>
                </c:pt>
              </c:numCache>
            </c:numRef>
          </c:val>
          <c:extLst>
            <c:ext xmlns:c16="http://schemas.microsoft.com/office/drawing/2014/chart" uri="{C3380CC4-5D6E-409C-BE32-E72D297353CC}">
              <c16:uniqueId val="{00000002-0172-4116-9325-0285A655A4B3}"/>
            </c:ext>
          </c:extLst>
        </c:ser>
        <c:ser>
          <c:idx val="4"/>
          <c:order val="3"/>
          <c:tx>
            <c:strRef>
              <c:f>Stochastic!$B$25</c:f>
              <c:strCache>
                <c:ptCount val="1"/>
                <c:pt idx="0">
                  <c:v>p70_p50</c:v>
                </c:pt>
              </c:strCache>
            </c:strRef>
          </c:tx>
          <c:spPr>
            <a:solidFill>
              <a:srgbClr val="4F81BD">
                <a:lumMod val="60000"/>
                <a:lumOff val="40000"/>
              </a:srgbClr>
            </a:solidFill>
            <a:ln w="12700">
              <a:solidFill>
                <a:srgbClr val="000000"/>
              </a:solidFill>
              <a:prstDash val="solid"/>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Stochastic!$C$25:$I$25</c:f>
              <c:numCache>
                <c:formatCode>0.0</c:formatCode>
                <c:ptCount val="7"/>
                <c:pt idx="0">
                  <c:v>0</c:v>
                </c:pt>
                <c:pt idx="1">
                  <c:v>0</c:v>
                </c:pt>
                <c:pt idx="2">
                  <c:v>3.7307815551757813</c:v>
                </c:pt>
                <c:pt idx="3">
                  <c:v>5.0288772583007813</c:v>
                </c:pt>
                <c:pt idx="4">
                  <c:v>6.0887031555175781</c:v>
                </c:pt>
                <c:pt idx="5">
                  <c:v>7.1095352172851563</c:v>
                </c:pt>
                <c:pt idx="6">
                  <c:v>8.1417655944824219</c:v>
                </c:pt>
              </c:numCache>
            </c:numRef>
          </c:val>
          <c:extLst>
            <c:ext xmlns:c16="http://schemas.microsoft.com/office/drawing/2014/chart" uri="{C3380CC4-5D6E-409C-BE32-E72D297353CC}">
              <c16:uniqueId val="{00000003-0172-4116-9325-0285A655A4B3}"/>
            </c:ext>
          </c:extLst>
        </c:ser>
        <c:ser>
          <c:idx val="5"/>
          <c:order val="4"/>
          <c:tx>
            <c:strRef>
              <c:f>Stochastic!$B$26</c:f>
              <c:strCache>
                <c:ptCount val="1"/>
                <c:pt idx="0">
                  <c:v>p90_p70</c:v>
                </c:pt>
              </c:strCache>
            </c:strRef>
          </c:tx>
          <c:spPr>
            <a:solidFill>
              <a:srgbClr val="4F81BD">
                <a:lumMod val="20000"/>
                <a:lumOff val="80000"/>
              </a:srgbClr>
            </a:solidFill>
            <a:ln w="12700">
              <a:solidFill>
                <a:srgbClr val="000000"/>
              </a:solidFill>
              <a:prstDash val="solid"/>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Stochastic!$C$26:$I$26</c:f>
              <c:numCache>
                <c:formatCode>0.0</c:formatCode>
                <c:ptCount val="7"/>
                <c:pt idx="0">
                  <c:v>0</c:v>
                </c:pt>
                <c:pt idx="1">
                  <c:v>0</c:v>
                </c:pt>
                <c:pt idx="2">
                  <c:v>5.3500633239746094</c:v>
                </c:pt>
                <c:pt idx="3">
                  <c:v>7.6571731567382813</c:v>
                </c:pt>
                <c:pt idx="4">
                  <c:v>9.3806190490722656</c:v>
                </c:pt>
                <c:pt idx="5">
                  <c:v>10.649616241455078</c:v>
                </c:pt>
                <c:pt idx="6">
                  <c:v>11.403823852539063</c:v>
                </c:pt>
              </c:numCache>
            </c:numRef>
          </c:val>
          <c:extLst>
            <c:ext xmlns:c16="http://schemas.microsoft.com/office/drawing/2014/chart" uri="{C3380CC4-5D6E-409C-BE32-E72D297353CC}">
              <c16:uniqueId val="{00000004-0172-4116-9325-0285A655A4B3}"/>
            </c:ext>
          </c:extLst>
        </c:ser>
        <c:dLbls>
          <c:showLegendKey val="0"/>
          <c:showVal val="0"/>
          <c:showCatName val="0"/>
          <c:showSerName val="0"/>
          <c:showPercent val="0"/>
          <c:showBubbleSize val="0"/>
        </c:dLbls>
        <c:axId val="1747775104"/>
        <c:axId val="1"/>
      </c:areaChart>
      <c:lineChart>
        <c:grouping val="standard"/>
        <c:varyColors val="0"/>
        <c:ser>
          <c:idx val="0"/>
          <c:order val="5"/>
          <c:tx>
            <c:strRef>
              <c:f>Stochastic!$B$30</c:f>
              <c:strCache>
                <c:ptCount val="1"/>
                <c:pt idx="0">
                  <c:v>p70</c:v>
                </c:pt>
              </c:strCache>
            </c:strRef>
          </c:tx>
          <c:spPr>
            <a:ln w="44450">
              <a:solidFill>
                <a:srgbClr val="FF0000"/>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1-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02-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03-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04-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05-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06-2026-4D35-8044-BA74213EFFB8}"/>
                </c:ext>
              </c:extLst>
            </c:dLbl>
            <c:dLbl>
              <c:idx val="6"/>
              <c:layout>
                <c:manualLayout>
                  <c:x val="0"/>
                  <c:y val="-1.0357327809425169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7-2026-4D35-8044-BA74213EFFB8}"/>
                </c:ext>
              </c:extLst>
            </c:dLbl>
            <c:spPr>
              <a:ln>
                <a:noFill/>
              </a:ln>
              <a:effectLst/>
            </c:spPr>
            <c:txPr>
              <a:bodyPr wrap="square" lIns="38100" tIns="19050" rIns="38100" bIns="19050" anchor="ctr">
                <a:spAutoFit/>
              </a:bodyPr>
              <a:lstStyle/>
              <a:p>
                <a:pPr>
                  <a:defRPr b="1">
                    <a:solidFill>
                      <a:srgbClr val="FF0000"/>
                    </a:solidFill>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Stochastic!$C$30:$I$30</c:f>
              <c:numCache>
                <c:formatCode>0.0</c:formatCode>
                <c:ptCount val="7"/>
                <c:pt idx="0">
                  <c:v>52.754005449493576</c:v>
                </c:pt>
                <c:pt idx="1">
                  <c:v>52.204191928643532</c:v>
                </c:pt>
                <c:pt idx="2">
                  <c:v>55.103132885095334</c:v>
                </c:pt>
                <c:pt idx="3">
                  <c:v>55.488091040800008</c:v>
                </c:pt>
                <c:pt idx="4">
                  <c:v>55.589302080671992</c:v>
                </c:pt>
                <c:pt idx="5">
                  <c:v>55.899735469073939</c:v>
                </c:pt>
                <c:pt idx="6">
                  <c:v>56.279750856139906</c:v>
                </c:pt>
              </c:numCache>
            </c:numRef>
          </c:val>
          <c:smooth val="0"/>
          <c:extLst>
            <c:ext xmlns:c16="http://schemas.microsoft.com/office/drawing/2014/chart" uri="{C3380CC4-5D6E-409C-BE32-E72D297353CC}">
              <c16:uniqueId val="{00000000-2026-4D35-8044-BA74213EFFB8}"/>
            </c:ext>
          </c:extLst>
        </c:ser>
        <c:ser>
          <c:idx val="6"/>
          <c:order val="6"/>
          <c:tx>
            <c:strRef>
              <c:f>Stochastic!$B$28</c:f>
              <c:strCache>
                <c:ptCount val="1"/>
                <c:pt idx="0">
                  <c:v>p30</c:v>
                </c:pt>
              </c:strCache>
            </c:strRef>
          </c:tx>
          <c:spPr>
            <a:ln w="3175">
              <a:solidFill>
                <a:sysClr val="windowText" lastClr="000000">
                  <a:alpha val="25000"/>
                </a:sysClr>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1-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12-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13-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14-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15-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16-2026-4D35-8044-BA74213EFFB8}"/>
                </c:ext>
              </c:extLst>
            </c:dLbl>
            <c:spPr>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Stochastic!$C$28:$I$28</c:f>
              <c:numCache>
                <c:formatCode>0.0</c:formatCode>
                <c:ptCount val="7"/>
                <c:pt idx="0">
                  <c:v>52.754005449493576</c:v>
                </c:pt>
                <c:pt idx="1">
                  <c:v>52.204191928643532</c:v>
                </c:pt>
                <c:pt idx="2">
                  <c:v>47.865492504235959</c:v>
                </c:pt>
                <c:pt idx="3">
                  <c:v>45.319634009550008</c:v>
                </c:pt>
                <c:pt idx="4">
                  <c:v>43.355770128767695</c:v>
                </c:pt>
                <c:pt idx="5">
                  <c:v>41.87695028230636</c:v>
                </c:pt>
                <c:pt idx="6">
                  <c:v>40.645114930846937</c:v>
                </c:pt>
              </c:numCache>
            </c:numRef>
          </c:val>
          <c:smooth val="0"/>
          <c:extLst>
            <c:ext xmlns:c16="http://schemas.microsoft.com/office/drawing/2014/chart" uri="{C3380CC4-5D6E-409C-BE32-E72D297353CC}">
              <c16:uniqueId val="{00000007-2026-4D35-8044-BA74213EFFB8}"/>
            </c:ext>
          </c:extLst>
        </c:ser>
        <c:ser>
          <c:idx val="7"/>
          <c:order val="7"/>
          <c:tx>
            <c:strRef>
              <c:f>Stochastic!$B$31</c:f>
              <c:strCache>
                <c:ptCount val="1"/>
                <c:pt idx="0">
                  <c:v>p90</c:v>
                </c:pt>
              </c:strCache>
            </c:strRef>
          </c:tx>
          <c:spPr>
            <a:ln w="3175">
              <a:solidFill>
                <a:sysClr val="windowText" lastClr="000000">
                  <a:alpha val="25000"/>
                </a:sysClr>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8-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19-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1A-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1B-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1C-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1D-2026-4D35-8044-BA74213EFFB8}"/>
                </c:ext>
              </c:extLst>
            </c:dLbl>
            <c:spPr>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Stochastic!$C$31:$I$31</c:f>
              <c:numCache>
                <c:formatCode>0.0</c:formatCode>
                <c:ptCount val="7"/>
                <c:pt idx="0">
                  <c:v>52.754005449493576</c:v>
                </c:pt>
                <c:pt idx="1">
                  <c:v>52.204191928643532</c:v>
                </c:pt>
                <c:pt idx="2">
                  <c:v>60.453196209069944</c:v>
                </c:pt>
                <c:pt idx="3">
                  <c:v>63.145264197538289</c:v>
                </c:pt>
                <c:pt idx="4">
                  <c:v>64.96992112974425</c:v>
                </c:pt>
                <c:pt idx="5">
                  <c:v>66.54935171052901</c:v>
                </c:pt>
                <c:pt idx="6">
                  <c:v>67.683574708678975</c:v>
                </c:pt>
              </c:numCache>
            </c:numRef>
          </c:val>
          <c:smooth val="0"/>
          <c:extLst>
            <c:ext xmlns:c16="http://schemas.microsoft.com/office/drawing/2014/chart" uri="{C3380CC4-5D6E-409C-BE32-E72D297353CC}">
              <c16:uniqueId val="{00000008-2026-4D35-8044-BA74213EFFB8}"/>
            </c:ext>
          </c:extLst>
        </c:ser>
        <c:ser>
          <c:idx val="8"/>
          <c:order val="8"/>
          <c:tx>
            <c:strRef>
              <c:f>Stochastic!$B$29</c:f>
              <c:strCache>
                <c:ptCount val="1"/>
                <c:pt idx="0">
                  <c:v>p50</c:v>
                </c:pt>
              </c:strCache>
            </c:strRef>
          </c:tx>
          <c:spPr>
            <a:ln w="3175">
              <a:solidFill>
                <a:sysClr val="windowText" lastClr="000000">
                  <a:alpha val="25000"/>
                </a:sysClr>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A-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0B-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0C-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0D-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0E-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0F-2026-4D35-8044-BA74213EFFB8}"/>
                </c:ext>
              </c:extLst>
            </c:dLbl>
            <c:dLbl>
              <c:idx val="6"/>
              <c:layout>
                <c:manualLayout>
                  <c:x val="-1.0111916703481372E-2"/>
                  <c:y val="-5.184033177812338E-3"/>
                </c:manualLayout>
              </c:layout>
              <c:tx>
                <c:rich>
                  <a:bodyPr wrap="square" lIns="38100" tIns="19050" rIns="38100" bIns="19050" anchor="ctr">
                    <a:noAutofit/>
                  </a:bodyPr>
                  <a:lstStyle/>
                  <a:p>
                    <a:pPr>
                      <a:defRPr sz="1200"/>
                    </a:pPr>
                    <a:fld id="{395A9F43-309F-4036-9976-E03D2F102A6A}" type="SERIESNAME">
                      <a:rPr lang="en-US" sz="1200"/>
                      <a:pPr>
                        <a:defRPr sz="1200"/>
                      </a:pPr>
                      <a:t>[SERIES NAME]</a:t>
                    </a:fld>
                    <a:endParaRPr lang="en-GB"/>
                  </a:p>
                </c:rich>
              </c:tx>
              <c:spPr>
                <a:ln>
                  <a:noFill/>
                </a:ln>
                <a:effectLst/>
              </c:spPr>
              <c:showLegendKey val="0"/>
              <c:showVal val="0"/>
              <c:showCatName val="0"/>
              <c:showSerName val="1"/>
              <c:showPercent val="0"/>
              <c:showBubbleSize val="0"/>
              <c:extLst>
                <c:ext xmlns:c15="http://schemas.microsoft.com/office/drawing/2012/chart" uri="{CE6537A1-D6FC-4f65-9D91-7224C49458BB}">
                  <c15:layout>
                    <c:manualLayout>
                      <c:w val="7.2647564068536369E-2"/>
                      <c:h val="7.4010849732430412E-2"/>
                    </c:manualLayout>
                  </c15:layout>
                  <c15:dlblFieldTable/>
                  <c15:showDataLabelsRange val="0"/>
                </c:ext>
                <c:ext xmlns:c16="http://schemas.microsoft.com/office/drawing/2014/chart" uri="{C3380CC4-5D6E-409C-BE32-E72D297353CC}">
                  <c16:uniqueId val="{00000010-2026-4D35-8044-BA74213EFFB8}"/>
                </c:ext>
              </c:extLst>
            </c:dLbl>
            <c:spPr>
              <a:ln>
                <a:noFill/>
              </a:ln>
              <a:effectLst/>
            </c:spPr>
            <c:txPr>
              <a:bodyPr wrap="square" lIns="38100" tIns="19050" rIns="38100" bIns="19050" anchor="ctr">
                <a:spAutoFit/>
              </a:bodyPr>
              <a:lstStyle/>
              <a:p>
                <a:pPr>
                  <a:defRPr sz="1200"/>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Stochastic!$C$29:$I$29</c:f>
              <c:numCache>
                <c:formatCode>0.0</c:formatCode>
                <c:ptCount val="7"/>
                <c:pt idx="0">
                  <c:v>52.754005449493576</c:v>
                </c:pt>
                <c:pt idx="1">
                  <c:v>52.204191928643532</c:v>
                </c:pt>
                <c:pt idx="2">
                  <c:v>51.372351329919553</c:v>
                </c:pt>
                <c:pt idx="3">
                  <c:v>50.459213782499226</c:v>
                </c:pt>
                <c:pt idx="4">
                  <c:v>49.500598925154414</c:v>
                </c:pt>
                <c:pt idx="5">
                  <c:v>48.790200251788782</c:v>
                </c:pt>
                <c:pt idx="6">
                  <c:v>48.137985261657484</c:v>
                </c:pt>
              </c:numCache>
            </c:numRef>
          </c:val>
          <c:smooth val="0"/>
          <c:extLst>
            <c:ext xmlns:c16="http://schemas.microsoft.com/office/drawing/2014/chart" uri="{C3380CC4-5D6E-409C-BE32-E72D297353CC}">
              <c16:uniqueId val="{00000009-2026-4D35-8044-BA74213EFFB8}"/>
            </c:ext>
          </c:extLst>
        </c:ser>
        <c:ser>
          <c:idx val="9"/>
          <c:order val="9"/>
          <c:tx>
            <c:strRef>
              <c:f>Stochastic!$B$27</c:f>
              <c:strCache>
                <c:ptCount val="1"/>
                <c:pt idx="0">
                  <c:v>p10</c:v>
                </c:pt>
              </c:strCache>
            </c:strRef>
          </c:tx>
          <c:spPr>
            <a:ln w="3175">
              <a:solidFill>
                <a:sysClr val="windowText" lastClr="000000">
                  <a:alpha val="25000"/>
                </a:sysClr>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21-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22-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23-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24-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25-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26-2026-4D35-8044-BA74213EFFB8}"/>
                </c:ext>
              </c:extLst>
            </c:dLbl>
            <c:spPr>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Stochastic!$C$27:$I$27</c:f>
              <c:numCache>
                <c:formatCode>0.0</c:formatCode>
                <c:ptCount val="7"/>
                <c:pt idx="0">
                  <c:v>52.754005449493576</c:v>
                </c:pt>
                <c:pt idx="1">
                  <c:v>52.204191928643532</c:v>
                </c:pt>
                <c:pt idx="2">
                  <c:v>42.410902660485959</c:v>
                </c:pt>
                <c:pt idx="3">
                  <c:v>38.156174231717976</c:v>
                </c:pt>
                <c:pt idx="4">
                  <c:v>34.856388109724726</c:v>
                </c:pt>
                <c:pt idx="5">
                  <c:v>32.432652491779017</c:v>
                </c:pt>
                <c:pt idx="6">
                  <c:v>30.162662538268812</c:v>
                </c:pt>
              </c:numCache>
            </c:numRef>
          </c:val>
          <c:smooth val="0"/>
          <c:extLst>
            <c:ext xmlns:c16="http://schemas.microsoft.com/office/drawing/2014/chart" uri="{C3380CC4-5D6E-409C-BE32-E72D297353CC}">
              <c16:uniqueId val="{00000020-2026-4D35-8044-BA74213EFFB8}"/>
            </c:ext>
          </c:extLst>
        </c:ser>
        <c:dLbls>
          <c:showLegendKey val="0"/>
          <c:showVal val="0"/>
          <c:showCatName val="0"/>
          <c:showSerName val="0"/>
          <c:showPercent val="0"/>
          <c:showBubbleSize val="0"/>
        </c:dLbls>
        <c:marker val="1"/>
        <c:smooth val="0"/>
        <c:axId val="1747775104"/>
        <c:axId val="1"/>
      </c:lineChart>
      <c:catAx>
        <c:axId val="1747775104"/>
        <c:scaling>
          <c:orientation val="minMax"/>
        </c:scaling>
        <c:delete val="0"/>
        <c:axPos val="b"/>
        <c:numFmt formatCode="General" sourceLinked="1"/>
        <c:majorTickMark val="none"/>
        <c:minorTickMark val="none"/>
        <c:tickLblPos val="nextTo"/>
        <c:spPr>
          <a:ln w="3175">
            <a:solidFill>
              <a:sysClr val="windowText" lastClr="000000"/>
            </a:solidFill>
            <a:prstDash val="solid"/>
          </a:ln>
        </c:spPr>
        <c:txPr>
          <a:bodyPr rot="0" vert="horz"/>
          <a:lstStyle/>
          <a:p>
            <a:pPr>
              <a:defRPr sz="1200" b="0" i="0" u="none" strike="noStrike" baseline="0">
                <a:solidFill>
                  <a:sysClr val="windowText" lastClr="000000"/>
                </a:solidFill>
                <a:latin typeface="+mn-lt"/>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title>
          <c:tx>
            <c:rich>
              <a:bodyPr rot="0" vert="horz" anchor="t" anchorCtr="0"/>
              <a:lstStyle/>
              <a:p>
                <a:pPr>
                  <a:defRPr/>
                </a:pPr>
                <a:r>
                  <a:rPr lang="en-IE" sz="1050"/>
                  <a:t>% GDP</a:t>
                </a:r>
              </a:p>
            </c:rich>
          </c:tx>
          <c:layout>
            <c:manualLayout>
              <c:xMode val="edge"/>
              <c:yMode val="edge"/>
              <c:x val="0"/>
              <c:y val="7.0931724514217989E-2"/>
            </c:manualLayout>
          </c:layout>
          <c:overlay val="0"/>
        </c:title>
        <c:numFmt formatCode="0" sourceLinked="0"/>
        <c:majorTickMark val="none"/>
        <c:minorTickMark val="none"/>
        <c:tickLblPos val="nextTo"/>
        <c:spPr>
          <a:ln w="3175">
            <a:solidFill>
              <a:srgbClr val="000000"/>
            </a:solidFill>
            <a:prstDash val="solid"/>
          </a:ln>
        </c:spPr>
        <c:txPr>
          <a:bodyPr rot="0" vert="horz"/>
          <a:lstStyle/>
          <a:p>
            <a:pPr>
              <a:defRPr sz="1100" b="0" i="0" u="none" strike="noStrike" baseline="0">
                <a:solidFill>
                  <a:sysClr val="windowText" lastClr="000000"/>
                </a:solidFill>
                <a:latin typeface="+mn-lt"/>
                <a:ea typeface="Arial"/>
                <a:cs typeface="Arial"/>
              </a:defRPr>
            </a:pPr>
            <a:endParaRPr lang="en-US"/>
          </a:p>
        </c:txPr>
        <c:crossAx val="1747775104"/>
        <c:crosses val="autoZero"/>
        <c:crossBetween val="between"/>
      </c:valAx>
      <c:spPr>
        <a:noFill/>
        <a:ln w="25400">
          <a:noFill/>
        </a:ln>
      </c:spPr>
    </c:plotArea>
    <c:plotVisOnly val="1"/>
    <c:dispBlanksAs val="gap"/>
    <c:showDLblsOverMax val="0"/>
  </c:chart>
  <c:spPr>
    <a:solidFill>
      <a:srgbClr val="FFFFFF"/>
    </a:solidFill>
    <a:ln w="3175">
      <a:solidFill>
        <a:sysClr val="windowText" lastClr="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88354</xdr:colOff>
      <xdr:row>1</xdr:row>
      <xdr:rowOff>121091</xdr:rowOff>
    </xdr:from>
    <xdr:to>
      <xdr:col>5</xdr:col>
      <xdr:colOff>16549</xdr:colOff>
      <xdr:row>9</xdr:row>
      <xdr:rowOff>2950</xdr:rowOff>
    </xdr:to>
    <xdr:pic>
      <xdr:nvPicPr>
        <xdr:cNvPr id="2" name="Picture 1">
          <a:extLst>
            <a:ext uri="{FF2B5EF4-FFF2-40B4-BE49-F238E27FC236}">
              <a16:creationId xmlns:a16="http://schemas.microsoft.com/office/drawing/2014/main" id="{5DF9B7FF-C014-4B8E-95A6-509766BF47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0339" y="303971"/>
          <a:ext cx="2124660" cy="13277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97153</xdr:colOff>
      <xdr:row>4</xdr:row>
      <xdr:rowOff>38102</xdr:rowOff>
    </xdr:from>
    <xdr:to>
      <xdr:col>6</xdr:col>
      <xdr:colOff>600075</xdr:colOff>
      <xdr:row>5</xdr:row>
      <xdr:rowOff>137163</xdr:rowOff>
    </xdr:to>
    <xdr:sp macro="" textlink="">
      <xdr:nvSpPr>
        <xdr:cNvPr id="3" name="Arrow: Down 2">
          <a:extLst>
            <a:ext uri="{FF2B5EF4-FFF2-40B4-BE49-F238E27FC236}">
              <a16:creationId xmlns:a16="http://schemas.microsoft.com/office/drawing/2014/main" id="{870E84B9-D7D9-4AE0-8686-64A30E36AF6E}"/>
            </a:ext>
          </a:extLst>
        </xdr:cNvPr>
        <xdr:cNvSpPr/>
      </xdr:nvSpPr>
      <xdr:spPr>
        <a:xfrm rot="5400000">
          <a:off x="6010273" y="601982"/>
          <a:ext cx="274321" cy="502922"/>
        </a:xfrm>
        <a:prstGeom prst="down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87630</xdr:colOff>
      <xdr:row>21</xdr:row>
      <xdr:rowOff>9525</xdr:rowOff>
    </xdr:from>
    <xdr:to>
      <xdr:col>19</xdr:col>
      <xdr:colOff>377190</xdr:colOff>
      <xdr:row>42</xdr:row>
      <xdr:rowOff>83820</xdr:rowOff>
    </xdr:to>
    <xdr:graphicFrame macro="">
      <xdr:nvGraphicFramePr>
        <xdr:cNvPr id="9" name="Chart stochastic">
          <a:extLst>
            <a:ext uri="{FF2B5EF4-FFF2-40B4-BE49-F238E27FC236}">
              <a16:creationId xmlns:a16="http://schemas.microsoft.com/office/drawing/2014/main" id="{9ECBE4A0-5C2C-8A7C-9086-251DAC5F4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3B7DC54-38DF-4F97-8302-BDF605CAF2E1}">
  <we:reference id="dc57e6d2-28bf-4130-be1a-5961fe0ee311" version="1.0.0.0" store="https://eceuropaeu.sharepoint.com/sites/AppCatalog" storeType="SP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CFIN-Secretariat-C2@ec.europa.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tabColor theme="1"/>
  </sheetPr>
  <dimension ref="B2:N87"/>
  <sheetViews>
    <sheetView tabSelected="1" zoomScaleNormal="100" workbookViewId="0"/>
  </sheetViews>
  <sheetFormatPr defaultColWidth="9.28515625" defaultRowHeight="15" x14ac:dyDescent="0.25"/>
  <cols>
    <col min="1" max="3" width="9.28515625" style="173"/>
    <col min="4" max="4" width="7.28515625" style="173" customWidth="1"/>
    <col min="5" max="5" width="6.140625" style="173" customWidth="1"/>
    <col min="6" max="6" width="3.140625" style="173" customWidth="1"/>
    <col min="7" max="13" width="9.28515625" style="173"/>
    <col min="14" max="14" width="18.140625" style="173" customWidth="1"/>
    <col min="15" max="16384" width="9.28515625" style="173"/>
  </cols>
  <sheetData>
    <row r="2" spans="2:12" x14ac:dyDescent="0.25">
      <c r="B2" s="169"/>
      <c r="C2" s="170"/>
      <c r="D2" s="170"/>
      <c r="E2" s="170"/>
      <c r="F2" s="170"/>
      <c r="G2" s="171"/>
      <c r="H2" s="170"/>
      <c r="I2" s="170"/>
      <c r="J2" s="170"/>
      <c r="K2" s="170"/>
      <c r="L2" s="172"/>
    </row>
    <row r="3" spans="2:12" x14ac:dyDescent="0.25">
      <c r="B3" s="174"/>
      <c r="C3" s="175"/>
      <c r="D3" s="175"/>
      <c r="E3" s="175"/>
      <c r="F3" s="175"/>
      <c r="G3" s="176"/>
      <c r="H3" s="175"/>
      <c r="I3" s="175"/>
      <c r="J3" s="175"/>
      <c r="K3" s="175"/>
      <c r="L3" s="177"/>
    </row>
    <row r="4" spans="2:12" x14ac:dyDescent="0.25">
      <c r="B4" s="174"/>
      <c r="C4" s="175"/>
      <c r="D4" s="175"/>
      <c r="E4" s="175"/>
      <c r="F4" s="175"/>
      <c r="G4" s="178" t="s">
        <v>0</v>
      </c>
      <c r="H4" s="175"/>
      <c r="I4" s="175"/>
      <c r="J4" s="175"/>
      <c r="K4" s="175"/>
      <c r="L4" s="177"/>
    </row>
    <row r="5" spans="2:12" x14ac:dyDescent="0.25">
      <c r="B5" s="174"/>
      <c r="C5" s="175"/>
      <c r="D5" s="175"/>
      <c r="E5" s="175"/>
      <c r="F5" s="175"/>
      <c r="G5" s="176"/>
      <c r="H5" s="175"/>
      <c r="I5" s="175"/>
      <c r="J5" s="175"/>
      <c r="K5" s="175"/>
      <c r="L5" s="177"/>
    </row>
    <row r="6" spans="2:12" x14ac:dyDescent="0.25">
      <c r="B6" s="174"/>
      <c r="C6" s="175"/>
      <c r="D6" s="175"/>
      <c r="E6" s="175"/>
      <c r="F6" s="175"/>
      <c r="G6" s="176" t="s">
        <v>1</v>
      </c>
      <c r="H6" s="175"/>
      <c r="I6" s="175"/>
      <c r="J6" s="175"/>
      <c r="K6" s="175"/>
      <c r="L6" s="177"/>
    </row>
    <row r="7" spans="2:12" x14ac:dyDescent="0.25">
      <c r="B7" s="174"/>
      <c r="C7" s="175"/>
      <c r="D7" s="175"/>
      <c r="E7" s="175"/>
      <c r="F7" s="175"/>
      <c r="G7" s="176" t="s">
        <v>2</v>
      </c>
      <c r="H7" s="175"/>
      <c r="I7" s="175"/>
      <c r="J7" s="175"/>
      <c r="K7" s="175"/>
      <c r="L7" s="177"/>
    </row>
    <row r="8" spans="2:12" x14ac:dyDescent="0.25">
      <c r="B8" s="174"/>
      <c r="C8" s="175"/>
      <c r="D8" s="175"/>
      <c r="E8" s="175"/>
      <c r="F8" s="175"/>
      <c r="G8" s="179" t="s">
        <v>3</v>
      </c>
      <c r="H8" s="175"/>
      <c r="I8" s="175"/>
      <c r="J8" s="175"/>
      <c r="K8" s="175"/>
      <c r="L8" s="177"/>
    </row>
    <row r="9" spans="2:12" x14ac:dyDescent="0.25">
      <c r="B9" s="174"/>
      <c r="C9" s="175"/>
      <c r="D9" s="175"/>
      <c r="E9" s="175"/>
      <c r="F9" s="175"/>
      <c r="G9" s="176"/>
      <c r="H9" s="175"/>
      <c r="I9" s="175"/>
      <c r="J9" s="175"/>
      <c r="K9" s="175"/>
      <c r="L9" s="177"/>
    </row>
    <row r="10" spans="2:12" x14ac:dyDescent="0.25">
      <c r="B10" s="174"/>
      <c r="C10" s="175"/>
      <c r="D10" s="175"/>
      <c r="E10" s="175"/>
      <c r="F10" s="175"/>
      <c r="G10" s="176"/>
      <c r="H10" s="175"/>
      <c r="I10" s="175"/>
      <c r="J10" s="175"/>
      <c r="K10" s="175"/>
      <c r="L10" s="177"/>
    </row>
    <row r="11" spans="2:12" x14ac:dyDescent="0.25">
      <c r="B11" s="180"/>
      <c r="C11" s="181"/>
      <c r="D11" s="181"/>
      <c r="E11" s="181"/>
      <c r="F11" s="181"/>
      <c r="G11" s="181"/>
      <c r="H11" s="181"/>
      <c r="I11" s="181"/>
      <c r="J11" s="181"/>
      <c r="K11" s="181"/>
      <c r="L11" s="182"/>
    </row>
    <row r="15" spans="2:12" x14ac:dyDescent="0.25">
      <c r="B15" s="169"/>
      <c r="C15" s="170"/>
      <c r="D15" s="170"/>
      <c r="E15" s="170"/>
      <c r="F15" s="170"/>
      <c r="G15" s="170"/>
      <c r="H15" s="170"/>
      <c r="I15" s="170"/>
      <c r="J15" s="170"/>
      <c r="K15" s="170"/>
      <c r="L15" s="172"/>
    </row>
    <row r="16" spans="2:12" x14ac:dyDescent="0.25">
      <c r="B16" s="174"/>
      <c r="C16" s="178" t="s">
        <v>4</v>
      </c>
      <c r="D16" s="176"/>
      <c r="E16" s="176"/>
      <c r="F16" s="176"/>
      <c r="G16" s="176"/>
      <c r="H16" s="176"/>
      <c r="I16" s="176"/>
      <c r="J16" s="176"/>
      <c r="K16" s="176"/>
      <c r="L16" s="177"/>
    </row>
    <row r="17" spans="2:14" x14ac:dyDescent="0.25">
      <c r="B17" s="174"/>
      <c r="C17" s="176"/>
      <c r="D17" s="176"/>
      <c r="E17" s="176"/>
      <c r="F17" s="176"/>
      <c r="G17" s="178"/>
      <c r="H17" s="176"/>
      <c r="I17" s="176"/>
      <c r="J17" s="176"/>
      <c r="K17" s="176"/>
      <c r="L17" s="177"/>
    </row>
    <row r="18" spans="2:14" ht="15" customHeight="1" x14ac:dyDescent="0.25">
      <c r="B18" s="174"/>
      <c r="C18" s="394" t="s">
        <v>254</v>
      </c>
      <c r="D18" s="394"/>
      <c r="E18" s="394"/>
      <c r="F18" s="394"/>
      <c r="G18" s="394"/>
      <c r="H18" s="394"/>
      <c r="I18" s="394"/>
      <c r="J18" s="394"/>
      <c r="K18" s="394"/>
      <c r="L18" s="177"/>
      <c r="N18" s="292"/>
    </row>
    <row r="19" spans="2:14" x14ac:dyDescent="0.25">
      <c r="B19" s="174"/>
      <c r="C19" s="394"/>
      <c r="D19" s="394"/>
      <c r="E19" s="394"/>
      <c r="F19" s="394"/>
      <c r="G19" s="394"/>
      <c r="H19" s="394"/>
      <c r="I19" s="394"/>
      <c r="J19" s="394"/>
      <c r="K19" s="394"/>
      <c r="L19" s="177"/>
    </row>
    <row r="20" spans="2:14" x14ac:dyDescent="0.25">
      <c r="B20" s="174"/>
      <c r="C20" s="394"/>
      <c r="D20" s="394"/>
      <c r="E20" s="394"/>
      <c r="F20" s="394"/>
      <c r="G20" s="394"/>
      <c r="H20" s="394"/>
      <c r="I20" s="394"/>
      <c r="J20" s="394"/>
      <c r="K20" s="394"/>
      <c r="L20" s="177"/>
    </row>
    <row r="21" spans="2:14" ht="9" customHeight="1" x14ac:dyDescent="0.25">
      <c r="B21" s="174"/>
      <c r="C21" s="176"/>
      <c r="D21" s="176"/>
      <c r="E21" s="176"/>
      <c r="F21" s="176"/>
      <c r="G21" s="176"/>
      <c r="H21" s="176"/>
      <c r="I21" s="176"/>
      <c r="J21" s="176"/>
      <c r="K21" s="176"/>
      <c r="L21" s="177"/>
    </row>
    <row r="22" spans="2:14" ht="15" customHeight="1" x14ac:dyDescent="0.25">
      <c r="B22" s="174"/>
      <c r="C22" s="394" t="s">
        <v>277</v>
      </c>
      <c r="D22" s="394"/>
      <c r="E22" s="394"/>
      <c r="F22" s="394"/>
      <c r="G22" s="394"/>
      <c r="H22" s="394"/>
      <c r="I22" s="394"/>
      <c r="J22" s="394"/>
      <c r="K22" s="394"/>
      <c r="L22" s="177"/>
    </row>
    <row r="23" spans="2:14" x14ac:dyDescent="0.25">
      <c r="B23" s="174"/>
      <c r="C23" s="394"/>
      <c r="D23" s="394"/>
      <c r="E23" s="394"/>
      <c r="F23" s="394"/>
      <c r="G23" s="394"/>
      <c r="H23" s="394"/>
      <c r="I23" s="394"/>
      <c r="J23" s="394"/>
      <c r="K23" s="394"/>
      <c r="L23" s="177"/>
    </row>
    <row r="24" spans="2:14" x14ac:dyDescent="0.25">
      <c r="B24" s="174"/>
      <c r="C24" s="394"/>
      <c r="D24" s="394"/>
      <c r="E24" s="394"/>
      <c r="F24" s="394"/>
      <c r="G24" s="394"/>
      <c r="H24" s="394"/>
      <c r="I24" s="394"/>
      <c r="J24" s="394"/>
      <c r="K24" s="394"/>
      <c r="L24" s="177"/>
    </row>
    <row r="25" spans="2:14" ht="30" customHeight="1" x14ac:dyDescent="0.25">
      <c r="B25" s="174"/>
      <c r="C25" s="394"/>
      <c r="D25" s="394"/>
      <c r="E25" s="394"/>
      <c r="F25" s="394"/>
      <c r="G25" s="394"/>
      <c r="H25" s="394"/>
      <c r="I25" s="394"/>
      <c r="J25" s="394"/>
      <c r="K25" s="394"/>
      <c r="L25" s="177"/>
      <c r="N25" s="269"/>
    </row>
    <row r="26" spans="2:14" x14ac:dyDescent="0.25">
      <c r="B26" s="174"/>
      <c r="C26" s="218"/>
      <c r="D26" s="218"/>
      <c r="E26" s="218"/>
      <c r="F26" s="218"/>
      <c r="G26" s="218"/>
      <c r="H26" s="218"/>
      <c r="I26" s="218"/>
      <c r="J26" s="218"/>
      <c r="K26" s="218"/>
      <c r="L26" s="177"/>
    </row>
    <row r="27" spans="2:14" x14ac:dyDescent="0.25">
      <c r="B27" s="174"/>
      <c r="C27" s="401" t="s">
        <v>5</v>
      </c>
      <c r="D27" s="401"/>
      <c r="E27" s="401"/>
      <c r="F27" s="401"/>
      <c r="G27" s="401"/>
      <c r="H27" s="401"/>
      <c r="I27" s="401"/>
      <c r="J27" s="401"/>
      <c r="K27" s="401"/>
      <c r="L27" s="177"/>
    </row>
    <row r="28" spans="2:14" x14ac:dyDescent="0.25">
      <c r="B28" s="174"/>
      <c r="C28" s="297"/>
      <c r="D28" s="297"/>
      <c r="E28" s="297"/>
      <c r="F28" s="297"/>
      <c r="G28" s="297"/>
      <c r="H28" s="297"/>
      <c r="I28" s="297"/>
      <c r="J28" s="297"/>
      <c r="K28" s="297"/>
      <c r="L28" s="177"/>
    </row>
    <row r="29" spans="2:14" ht="230.1" customHeight="1" x14ac:dyDescent="0.25">
      <c r="B29" s="174"/>
      <c r="C29" s="394" t="s">
        <v>289</v>
      </c>
      <c r="D29" s="394"/>
      <c r="E29" s="394"/>
      <c r="F29" s="394"/>
      <c r="G29" s="394"/>
      <c r="H29" s="394"/>
      <c r="I29" s="394"/>
      <c r="J29" s="394"/>
      <c r="K29" s="394"/>
      <c r="L29" s="177"/>
      <c r="N29" s="293"/>
    </row>
    <row r="30" spans="2:14" x14ac:dyDescent="0.25">
      <c r="B30" s="174"/>
      <c r="C30" s="297"/>
      <c r="D30" s="297"/>
      <c r="E30" s="297"/>
      <c r="F30" s="297"/>
      <c r="G30" s="297"/>
      <c r="H30" s="297"/>
      <c r="I30" s="297"/>
      <c r="J30" s="297"/>
      <c r="K30" s="297"/>
      <c r="L30" s="177"/>
      <c r="N30" s="195"/>
    </row>
    <row r="31" spans="2:14" x14ac:dyDescent="0.25">
      <c r="B31" s="174"/>
      <c r="C31" s="402" t="s">
        <v>6</v>
      </c>
      <c r="D31" s="402"/>
      <c r="E31" s="402"/>
      <c r="F31" s="402"/>
      <c r="G31" s="402"/>
      <c r="H31" s="402"/>
      <c r="I31" s="402"/>
      <c r="J31" s="402"/>
      <c r="K31" s="402"/>
      <c r="L31" s="177"/>
    </row>
    <row r="32" spans="2:14" x14ac:dyDescent="0.25">
      <c r="B32" s="174"/>
      <c r="C32" s="218"/>
      <c r="D32" s="183"/>
      <c r="E32" s="183"/>
      <c r="F32" s="183"/>
      <c r="G32" s="183"/>
      <c r="H32" s="183"/>
      <c r="I32" s="183"/>
      <c r="J32" s="183"/>
      <c r="K32" s="183"/>
      <c r="L32" s="177"/>
    </row>
    <row r="33" spans="2:14" ht="36" customHeight="1" thickBot="1" x14ac:dyDescent="0.3">
      <c r="B33" s="174"/>
      <c r="C33" s="184"/>
      <c r="D33" s="394" t="s">
        <v>268</v>
      </c>
      <c r="E33" s="394"/>
      <c r="F33" s="394"/>
      <c r="G33" s="394"/>
      <c r="H33" s="394"/>
      <c r="I33" s="394"/>
      <c r="J33" s="394"/>
      <c r="K33" s="394"/>
      <c r="L33" s="177"/>
      <c r="M33" s="268"/>
      <c r="N33" s="295"/>
    </row>
    <row r="34" spans="2:14" s="383" customFormat="1" ht="50.1" customHeight="1" thickTop="1" thickBot="1" x14ac:dyDescent="0.25">
      <c r="B34" s="378"/>
      <c r="C34" s="379"/>
      <c r="D34" s="194"/>
      <c r="E34" s="380"/>
      <c r="F34" s="395" t="s">
        <v>284</v>
      </c>
      <c r="G34" s="391"/>
      <c r="H34" s="391"/>
      <c r="I34" s="391"/>
      <c r="J34" s="391"/>
      <c r="K34" s="391"/>
      <c r="L34" s="381"/>
      <c r="M34" s="382"/>
      <c r="N34" s="295"/>
    </row>
    <row r="35" spans="2:14" s="383" customFormat="1" ht="33" customHeight="1" thickTop="1" x14ac:dyDescent="0.2">
      <c r="B35" s="378"/>
      <c r="C35" s="379"/>
      <c r="D35" s="194"/>
      <c r="E35" s="384"/>
      <c r="F35" s="390" t="s">
        <v>285</v>
      </c>
      <c r="G35" s="390"/>
      <c r="H35" s="390"/>
      <c r="I35" s="390"/>
      <c r="J35" s="390"/>
      <c r="K35" s="390"/>
      <c r="L35" s="381"/>
      <c r="M35" s="382"/>
      <c r="N35" s="295"/>
    </row>
    <row r="36" spans="2:14" s="383" customFormat="1" ht="33" customHeight="1" x14ac:dyDescent="0.2">
      <c r="B36" s="378"/>
      <c r="C36" s="379"/>
      <c r="D36" s="194"/>
      <c r="E36" s="385"/>
      <c r="F36" s="390"/>
      <c r="G36" s="390"/>
      <c r="H36" s="390"/>
      <c r="I36" s="390"/>
      <c r="J36" s="390"/>
      <c r="K36" s="390"/>
      <c r="L36" s="381"/>
      <c r="M36" s="382"/>
      <c r="N36" s="295"/>
    </row>
    <row r="37" spans="2:14" s="383" customFormat="1" ht="66" customHeight="1" x14ac:dyDescent="0.2">
      <c r="B37" s="378"/>
      <c r="C37" s="379"/>
      <c r="D37" s="194"/>
      <c r="E37" s="386"/>
      <c r="F37" s="390" t="s">
        <v>286</v>
      </c>
      <c r="G37" s="391"/>
      <c r="H37" s="391"/>
      <c r="I37" s="391"/>
      <c r="J37" s="391"/>
      <c r="K37" s="391"/>
      <c r="L37" s="381"/>
      <c r="M37" s="382"/>
      <c r="N37" s="295"/>
    </row>
    <row r="38" spans="2:14" ht="9" customHeight="1" x14ac:dyDescent="0.25">
      <c r="B38" s="174"/>
      <c r="C38" s="184"/>
      <c r="D38" s="392"/>
      <c r="E38" s="392"/>
      <c r="F38" s="392"/>
      <c r="G38" s="392"/>
      <c r="H38" s="392"/>
      <c r="I38" s="392"/>
      <c r="J38" s="392"/>
      <c r="K38" s="392"/>
      <c r="L38" s="393"/>
      <c r="M38" s="268"/>
      <c r="N38" s="295"/>
    </row>
    <row r="39" spans="2:14" ht="102.75" customHeight="1" x14ac:dyDescent="0.25">
      <c r="B39" s="174"/>
      <c r="C39" s="184"/>
      <c r="D39" s="394" t="s">
        <v>269</v>
      </c>
      <c r="E39" s="394"/>
      <c r="F39" s="394"/>
      <c r="G39" s="394"/>
      <c r="H39" s="394"/>
      <c r="I39" s="394"/>
      <c r="J39" s="394"/>
      <c r="K39" s="394"/>
      <c r="L39" s="177"/>
      <c r="M39" s="268"/>
      <c r="N39" s="295"/>
    </row>
    <row r="40" spans="2:14" ht="52.5" customHeight="1" x14ac:dyDescent="0.25">
      <c r="B40" s="174"/>
      <c r="C40" s="184"/>
      <c r="D40" s="394" t="s">
        <v>281</v>
      </c>
      <c r="E40" s="394"/>
      <c r="F40" s="394"/>
      <c r="G40" s="394"/>
      <c r="H40" s="394"/>
      <c r="I40" s="394"/>
      <c r="J40" s="394"/>
      <c r="K40" s="394"/>
      <c r="L40" s="177"/>
      <c r="M40" s="268"/>
      <c r="N40" s="270"/>
    </row>
    <row r="41" spans="2:14" ht="41.25" customHeight="1" x14ac:dyDescent="0.25">
      <c r="B41" s="174"/>
      <c r="C41" s="184"/>
      <c r="D41" s="394" t="s">
        <v>279</v>
      </c>
      <c r="E41" s="394"/>
      <c r="F41" s="394"/>
      <c r="G41" s="394"/>
      <c r="H41" s="394"/>
      <c r="I41" s="394"/>
      <c r="J41" s="394"/>
      <c r="K41" s="394"/>
      <c r="L41" s="177"/>
      <c r="M41" s="268"/>
      <c r="N41" s="270"/>
    </row>
    <row r="42" spans="2:14" ht="96.75" customHeight="1" x14ac:dyDescent="0.25">
      <c r="B42" s="174"/>
      <c r="C42" s="184"/>
      <c r="D42" s="394" t="s">
        <v>280</v>
      </c>
      <c r="E42" s="394"/>
      <c r="F42" s="394"/>
      <c r="G42" s="394"/>
      <c r="H42" s="394"/>
      <c r="I42" s="394"/>
      <c r="J42" s="394"/>
      <c r="K42" s="394"/>
      <c r="L42" s="177"/>
      <c r="M42" s="268"/>
      <c r="N42" s="295"/>
    </row>
    <row r="43" spans="2:14" ht="144" customHeight="1" x14ac:dyDescent="0.25">
      <c r="B43" s="174"/>
      <c r="C43" s="184"/>
      <c r="D43" s="394" t="s">
        <v>267</v>
      </c>
      <c r="E43" s="394"/>
      <c r="F43" s="394"/>
      <c r="G43" s="394"/>
      <c r="H43" s="394"/>
      <c r="I43" s="394"/>
      <c r="J43" s="394"/>
      <c r="K43" s="394"/>
      <c r="L43" s="177"/>
      <c r="M43" s="268"/>
      <c r="N43" s="295"/>
    </row>
    <row r="44" spans="2:14" ht="66" customHeight="1" x14ac:dyDescent="0.25">
      <c r="B44" s="174"/>
      <c r="C44" s="184"/>
      <c r="D44" s="394" t="s">
        <v>266</v>
      </c>
      <c r="E44" s="394"/>
      <c r="F44" s="394"/>
      <c r="G44" s="394"/>
      <c r="H44" s="394"/>
      <c r="I44" s="394"/>
      <c r="J44" s="394"/>
      <c r="K44" s="394"/>
      <c r="L44" s="177"/>
      <c r="M44" s="268"/>
      <c r="N44" s="270"/>
    </row>
    <row r="45" spans="2:14" ht="68.25" customHeight="1" x14ac:dyDescent="0.25">
      <c r="B45" s="174"/>
      <c r="C45" s="184"/>
      <c r="D45" s="394" t="s">
        <v>278</v>
      </c>
      <c r="E45" s="394"/>
      <c r="F45" s="394"/>
      <c r="G45" s="394"/>
      <c r="H45" s="394"/>
      <c r="I45" s="394"/>
      <c r="J45" s="394"/>
      <c r="K45" s="394"/>
      <c r="L45" s="177"/>
      <c r="M45" s="268"/>
      <c r="N45" s="270"/>
    </row>
    <row r="46" spans="2:14" x14ac:dyDescent="0.25">
      <c r="B46" s="174"/>
      <c r="C46" s="218"/>
      <c r="D46" s="183"/>
      <c r="E46" s="183"/>
      <c r="F46" s="183"/>
      <c r="G46" s="183"/>
      <c r="H46" s="183"/>
      <c r="I46" s="183"/>
      <c r="J46" s="183"/>
      <c r="K46" s="183"/>
      <c r="L46" s="177"/>
    </row>
    <row r="47" spans="2:14" ht="61.9" customHeight="1" x14ac:dyDescent="0.25">
      <c r="B47" s="174"/>
      <c r="C47" s="185"/>
      <c r="D47" s="394" t="s">
        <v>183</v>
      </c>
      <c r="E47" s="394"/>
      <c r="F47" s="394"/>
      <c r="G47" s="394"/>
      <c r="H47" s="394"/>
      <c r="I47" s="394"/>
      <c r="J47" s="394"/>
      <c r="K47" s="394"/>
      <c r="L47" s="177"/>
      <c r="N47" s="295"/>
    </row>
    <row r="48" spans="2:14" ht="32.450000000000003" customHeight="1" x14ac:dyDescent="0.25">
      <c r="B48" s="174"/>
      <c r="C48" s="185"/>
      <c r="D48" s="394" t="s">
        <v>7</v>
      </c>
      <c r="E48" s="394"/>
      <c r="F48" s="394"/>
      <c r="G48" s="394"/>
      <c r="H48" s="394"/>
      <c r="I48" s="394"/>
      <c r="J48" s="394"/>
      <c r="K48" s="394"/>
      <c r="L48" s="177"/>
    </row>
    <row r="49" spans="2:14" ht="33.6" customHeight="1" x14ac:dyDescent="0.25">
      <c r="B49" s="174"/>
      <c r="C49" s="185"/>
      <c r="D49" s="186"/>
      <c r="E49" s="187"/>
      <c r="F49" s="394" t="s">
        <v>270</v>
      </c>
      <c r="G49" s="394"/>
      <c r="H49" s="394"/>
      <c r="I49" s="394"/>
      <c r="J49" s="394"/>
      <c r="K49" s="394"/>
      <c r="L49" s="177"/>
    </row>
    <row r="50" spans="2:14" ht="98.25" customHeight="1" x14ac:dyDescent="0.25">
      <c r="B50" s="174"/>
      <c r="C50" s="185"/>
      <c r="D50" s="186"/>
      <c r="E50" s="368"/>
      <c r="F50" s="391" t="s">
        <v>272</v>
      </c>
      <c r="G50" s="391"/>
      <c r="H50" s="391"/>
      <c r="I50" s="391"/>
      <c r="J50" s="391"/>
      <c r="K50" s="391"/>
      <c r="L50" s="177"/>
    </row>
    <row r="51" spans="2:14" ht="32.25" customHeight="1" x14ac:dyDescent="0.25">
      <c r="B51" s="174"/>
      <c r="C51" s="185"/>
      <c r="D51" s="186"/>
      <c r="E51" s="188"/>
      <c r="F51" s="396" t="s">
        <v>245</v>
      </c>
      <c r="G51" s="396"/>
      <c r="H51" s="396"/>
      <c r="I51" s="396"/>
      <c r="J51" s="396"/>
      <c r="K51" s="396"/>
      <c r="L51" s="177"/>
    </row>
    <row r="52" spans="2:14" ht="92.25" customHeight="1" x14ac:dyDescent="0.25">
      <c r="B52" s="174"/>
      <c r="C52" s="185"/>
      <c r="D52" s="186"/>
      <c r="E52" s="243"/>
      <c r="F52" s="396" t="s">
        <v>8</v>
      </c>
      <c r="G52" s="396"/>
      <c r="H52" s="396"/>
      <c r="I52" s="396"/>
      <c r="J52" s="396"/>
      <c r="K52" s="396"/>
      <c r="L52" s="177"/>
    </row>
    <row r="53" spans="2:14" ht="23.25" customHeight="1" x14ac:dyDescent="0.25">
      <c r="B53" s="174"/>
      <c r="C53" s="185"/>
      <c r="D53" s="186"/>
      <c r="E53" s="198"/>
      <c r="F53" s="396" t="s">
        <v>9</v>
      </c>
      <c r="G53" s="396"/>
      <c r="H53" s="396"/>
      <c r="I53" s="396"/>
      <c r="J53" s="396"/>
      <c r="K53" s="396"/>
      <c r="L53" s="177"/>
    </row>
    <row r="54" spans="2:14" ht="121.5" customHeight="1" x14ac:dyDescent="0.25">
      <c r="B54" s="174"/>
      <c r="C54" s="185"/>
      <c r="D54" s="394" t="s">
        <v>273</v>
      </c>
      <c r="E54" s="394"/>
      <c r="F54" s="394"/>
      <c r="G54" s="394"/>
      <c r="H54" s="394"/>
      <c r="I54" s="394"/>
      <c r="J54" s="394"/>
      <c r="K54" s="394"/>
      <c r="L54" s="177"/>
      <c r="N54" s="294"/>
    </row>
    <row r="55" spans="2:14" x14ac:dyDescent="0.25">
      <c r="B55" s="174"/>
      <c r="C55" s="218"/>
      <c r="D55" s="296"/>
      <c r="E55" s="296"/>
      <c r="F55" s="296"/>
      <c r="G55" s="296"/>
      <c r="H55" s="296"/>
      <c r="I55" s="296"/>
      <c r="J55" s="296"/>
      <c r="K55" s="296"/>
      <c r="L55" s="177"/>
      <c r="N55" s="294"/>
    </row>
    <row r="56" spans="2:14" ht="98.25" customHeight="1" x14ac:dyDescent="0.25">
      <c r="B56" s="174"/>
      <c r="C56" s="394" t="s">
        <v>198</v>
      </c>
      <c r="D56" s="394"/>
      <c r="E56" s="394"/>
      <c r="F56" s="394"/>
      <c r="G56" s="394"/>
      <c r="H56" s="394"/>
      <c r="I56" s="394"/>
      <c r="J56" s="394"/>
      <c r="K56" s="394"/>
      <c r="L56" s="177"/>
      <c r="N56" s="294"/>
    </row>
    <row r="57" spans="2:14" x14ac:dyDescent="0.25">
      <c r="B57" s="174"/>
      <c r="C57" s="218"/>
      <c r="D57" s="296"/>
      <c r="E57" s="296"/>
      <c r="F57" s="296"/>
      <c r="G57" s="296"/>
      <c r="H57" s="296"/>
      <c r="I57" s="296"/>
      <c r="J57" s="296"/>
      <c r="K57" s="296"/>
      <c r="L57" s="177"/>
      <c r="N57" s="294"/>
    </row>
    <row r="58" spans="2:14" ht="48.75" customHeight="1" x14ac:dyDescent="0.25">
      <c r="B58" s="174"/>
      <c r="C58" s="302"/>
      <c r="D58" s="394" t="s">
        <v>295</v>
      </c>
      <c r="E58" s="394"/>
      <c r="F58" s="394"/>
      <c r="G58" s="394"/>
      <c r="H58" s="394"/>
      <c r="I58" s="394"/>
      <c r="J58" s="394"/>
      <c r="K58" s="394"/>
      <c r="L58" s="177"/>
      <c r="N58" s="294"/>
    </row>
    <row r="59" spans="2:14" x14ac:dyDescent="0.25">
      <c r="B59" s="174"/>
      <c r="C59" s="218"/>
      <c r="D59" s="296"/>
      <c r="E59" s="296"/>
      <c r="F59" s="296"/>
      <c r="G59" s="296"/>
      <c r="H59" s="296"/>
      <c r="I59" s="296"/>
      <c r="J59" s="296"/>
      <c r="K59" s="296"/>
      <c r="L59" s="177"/>
      <c r="N59" s="294"/>
    </row>
    <row r="60" spans="2:14" ht="97.5" customHeight="1" x14ac:dyDescent="0.25">
      <c r="B60" s="174"/>
      <c r="C60" s="303"/>
      <c r="D60" s="394" t="s">
        <v>274</v>
      </c>
      <c r="E60" s="394"/>
      <c r="F60" s="394"/>
      <c r="G60" s="394"/>
      <c r="H60" s="394"/>
      <c r="I60" s="394"/>
      <c r="J60" s="394"/>
      <c r="K60" s="394"/>
      <c r="L60" s="177"/>
      <c r="N60" s="294"/>
    </row>
    <row r="61" spans="2:14" x14ac:dyDescent="0.25">
      <c r="B61" s="174"/>
      <c r="C61" s="218"/>
      <c r="D61" s="218"/>
      <c r="E61" s="218"/>
      <c r="F61" s="218"/>
      <c r="G61" s="218"/>
      <c r="H61" s="218"/>
      <c r="I61" s="218"/>
      <c r="J61" s="218"/>
      <c r="K61" s="218"/>
      <c r="L61" s="177"/>
    </row>
    <row r="62" spans="2:14" ht="54" customHeight="1" x14ac:dyDescent="0.25">
      <c r="B62" s="174"/>
      <c r="C62" s="244"/>
      <c r="D62" s="394" t="s">
        <v>275</v>
      </c>
      <c r="E62" s="394"/>
      <c r="F62" s="394"/>
      <c r="G62" s="394"/>
      <c r="H62" s="394"/>
      <c r="I62" s="394"/>
      <c r="J62" s="394"/>
      <c r="K62" s="394"/>
      <c r="L62" s="177"/>
    </row>
    <row r="63" spans="2:14" x14ac:dyDescent="0.25">
      <c r="B63" s="174"/>
      <c r="C63" s="245"/>
      <c r="D63" s="398" t="s">
        <v>191</v>
      </c>
      <c r="E63" s="398"/>
      <c r="F63" s="398"/>
      <c r="G63" s="398"/>
      <c r="H63" s="398"/>
      <c r="I63" s="398"/>
      <c r="J63" s="398"/>
      <c r="K63" s="398"/>
      <c r="L63" s="177"/>
    </row>
    <row r="64" spans="2:14" x14ac:dyDescent="0.25">
      <c r="B64" s="174"/>
      <c r="C64" s="245"/>
      <c r="D64" s="399" t="s">
        <v>10</v>
      </c>
      <c r="E64" s="399"/>
      <c r="F64" s="399"/>
      <c r="G64" s="399"/>
      <c r="H64" s="399"/>
      <c r="I64" s="399"/>
      <c r="J64" s="399"/>
      <c r="K64" s="399"/>
      <c r="L64" s="177"/>
    </row>
    <row r="65" spans="2:14" x14ac:dyDescent="0.25">
      <c r="B65" s="174"/>
      <c r="C65" s="245"/>
      <c r="D65" s="399" t="s">
        <v>11</v>
      </c>
      <c r="E65" s="399"/>
      <c r="F65" s="399"/>
      <c r="G65" s="399"/>
      <c r="H65" s="399"/>
      <c r="I65" s="399"/>
      <c r="J65" s="399"/>
      <c r="K65" s="399"/>
      <c r="L65" s="177"/>
    </row>
    <row r="66" spans="2:14" x14ac:dyDescent="0.25">
      <c r="B66" s="174"/>
      <c r="C66" s="245"/>
      <c r="D66" s="399" t="s">
        <v>12</v>
      </c>
      <c r="E66" s="399"/>
      <c r="F66" s="399"/>
      <c r="G66" s="399"/>
      <c r="H66" s="399"/>
      <c r="I66" s="399"/>
      <c r="J66" s="399"/>
      <c r="K66" s="399"/>
      <c r="L66" s="177"/>
    </row>
    <row r="67" spans="2:14" x14ac:dyDescent="0.25">
      <c r="B67" s="174"/>
      <c r="C67" s="245"/>
      <c r="D67" s="298"/>
      <c r="E67" s="298"/>
      <c r="F67" s="298"/>
      <c r="G67" s="298"/>
      <c r="H67" s="298"/>
      <c r="I67" s="298"/>
      <c r="J67" s="298"/>
      <c r="K67" s="298"/>
      <c r="L67" s="177"/>
    </row>
    <row r="68" spans="2:14" ht="33.75" customHeight="1" x14ac:dyDescent="0.25">
      <c r="B68" s="174"/>
      <c r="C68" s="245"/>
      <c r="D68" s="394" t="s">
        <v>197</v>
      </c>
      <c r="E68" s="400"/>
      <c r="F68" s="400"/>
      <c r="G68" s="400"/>
      <c r="H68" s="400"/>
      <c r="I68" s="400"/>
      <c r="J68" s="400"/>
      <c r="K68" s="400"/>
      <c r="L68" s="177"/>
      <c r="N68" s="196"/>
    </row>
    <row r="69" spans="2:14" x14ac:dyDescent="0.25">
      <c r="B69" s="174"/>
      <c r="C69" s="218"/>
      <c r="D69" s="297"/>
      <c r="E69" s="297"/>
      <c r="F69" s="297"/>
      <c r="G69" s="297"/>
      <c r="H69" s="297"/>
      <c r="I69" s="297"/>
      <c r="J69" s="297"/>
      <c r="K69" s="297"/>
      <c r="L69" s="177"/>
    </row>
    <row r="70" spans="2:14" ht="52.5" customHeight="1" x14ac:dyDescent="0.25">
      <c r="B70" s="174"/>
      <c r="C70" s="306"/>
      <c r="D70" s="394" t="s">
        <v>200</v>
      </c>
      <c r="E70" s="394"/>
      <c r="F70" s="394"/>
      <c r="G70" s="394"/>
      <c r="H70" s="394"/>
      <c r="I70" s="394"/>
      <c r="J70" s="394"/>
      <c r="K70" s="394"/>
      <c r="L70" s="177"/>
    </row>
    <row r="71" spans="2:14" x14ac:dyDescent="0.25">
      <c r="B71" s="174"/>
      <c r="C71" s="218"/>
      <c r="D71" s="194"/>
      <c r="E71" s="194"/>
      <c r="F71" s="194"/>
      <c r="G71" s="194"/>
      <c r="H71" s="194"/>
      <c r="I71" s="194"/>
      <c r="J71" s="194"/>
      <c r="K71" s="194"/>
      <c r="L71" s="177"/>
    </row>
    <row r="72" spans="2:14" ht="46.15" customHeight="1" x14ac:dyDescent="0.25">
      <c r="B72" s="174"/>
      <c r="C72" s="397" t="s">
        <v>199</v>
      </c>
      <c r="D72" s="397"/>
      <c r="E72" s="397"/>
      <c r="F72" s="397"/>
      <c r="G72" s="397"/>
      <c r="H72" s="397"/>
      <c r="I72" s="397"/>
      <c r="J72" s="397"/>
      <c r="K72" s="397"/>
      <c r="L72" s="177"/>
    </row>
    <row r="73" spans="2:14" ht="38.25" customHeight="1" x14ac:dyDescent="0.25">
      <c r="B73" s="174"/>
      <c r="C73" s="218"/>
      <c r="D73" s="187"/>
      <c r="E73" s="391" t="s">
        <v>173</v>
      </c>
      <c r="F73" s="391"/>
      <c r="G73" s="391"/>
      <c r="H73" s="391"/>
      <c r="I73" s="391"/>
      <c r="J73" s="391"/>
      <c r="K73" s="391"/>
      <c r="L73" s="177"/>
      <c r="N73" s="268"/>
    </row>
    <row r="74" spans="2:14" ht="45.6" customHeight="1" x14ac:dyDescent="0.25">
      <c r="B74" s="174"/>
      <c r="C74" s="218"/>
      <c r="D74" s="189"/>
      <c r="E74" s="391" t="s">
        <v>184</v>
      </c>
      <c r="F74" s="391"/>
      <c r="G74" s="391"/>
      <c r="H74" s="391"/>
      <c r="I74" s="391"/>
      <c r="J74" s="391"/>
      <c r="K74" s="391"/>
      <c r="L74" s="177"/>
      <c r="N74" s="295"/>
    </row>
    <row r="75" spans="2:14" ht="45" customHeight="1" x14ac:dyDescent="0.25">
      <c r="B75" s="174"/>
      <c r="C75" s="218"/>
      <c r="D75" s="190"/>
      <c r="E75" s="391" t="s">
        <v>164</v>
      </c>
      <c r="F75" s="391"/>
      <c r="G75" s="391"/>
      <c r="H75" s="391"/>
      <c r="I75" s="391"/>
      <c r="J75" s="391"/>
      <c r="K75" s="391"/>
      <c r="L75" s="177"/>
    </row>
    <row r="76" spans="2:14" x14ac:dyDescent="0.25">
      <c r="B76" s="174"/>
      <c r="C76" s="218"/>
      <c r="D76" s="297"/>
      <c r="E76" s="191"/>
      <c r="F76" s="296"/>
      <c r="G76" s="296"/>
      <c r="H76" s="296"/>
      <c r="I76" s="296"/>
      <c r="J76" s="296"/>
      <c r="K76" s="296"/>
      <c r="L76" s="177"/>
    </row>
    <row r="77" spans="2:14" ht="48" customHeight="1" x14ac:dyDescent="0.25">
      <c r="B77" s="174"/>
      <c r="C77" s="218"/>
      <c r="D77" s="394" t="s">
        <v>13</v>
      </c>
      <c r="E77" s="394"/>
      <c r="F77" s="394"/>
      <c r="G77" s="394"/>
      <c r="H77" s="394"/>
      <c r="I77" s="394"/>
      <c r="J77" s="394"/>
      <c r="K77" s="394"/>
      <c r="L77" s="177"/>
    </row>
    <row r="78" spans="2:14" ht="33" customHeight="1" thickBot="1" x14ac:dyDescent="0.3">
      <c r="B78" s="174"/>
      <c r="C78" s="218"/>
      <c r="D78" s="192"/>
      <c r="E78" s="391" t="s">
        <v>166</v>
      </c>
      <c r="F78" s="391"/>
      <c r="G78" s="391"/>
      <c r="H78" s="391"/>
      <c r="I78" s="391"/>
      <c r="J78" s="391"/>
      <c r="K78" s="391"/>
      <c r="L78" s="177"/>
    </row>
    <row r="79" spans="2:14" ht="33" customHeight="1" thickBot="1" x14ac:dyDescent="0.3">
      <c r="B79" s="174"/>
      <c r="C79" s="218"/>
      <c r="D79" s="193"/>
      <c r="E79" s="404" t="s">
        <v>165</v>
      </c>
      <c r="F79" s="391"/>
      <c r="G79" s="391"/>
      <c r="H79" s="391"/>
      <c r="I79" s="391"/>
      <c r="J79" s="391"/>
      <c r="K79" s="391"/>
      <c r="L79" s="177"/>
    </row>
    <row r="80" spans="2:14" x14ac:dyDescent="0.25">
      <c r="B80" s="174"/>
      <c r="C80" s="218"/>
      <c r="D80" s="297"/>
      <c r="E80" s="297"/>
      <c r="F80" s="297"/>
      <c r="G80" s="297"/>
      <c r="H80" s="297"/>
      <c r="I80" s="297"/>
      <c r="J80" s="297"/>
      <c r="K80" s="297"/>
      <c r="L80" s="177"/>
    </row>
    <row r="81" spans="2:14" ht="17.45" customHeight="1" x14ac:dyDescent="0.25">
      <c r="B81" s="174"/>
      <c r="C81" s="401" t="s">
        <v>14</v>
      </c>
      <c r="D81" s="401"/>
      <c r="E81" s="401"/>
      <c r="F81" s="401"/>
      <c r="G81" s="401"/>
      <c r="H81" s="401"/>
      <c r="I81" s="401"/>
      <c r="J81" s="401"/>
      <c r="K81" s="401"/>
      <c r="L81" s="177"/>
    </row>
    <row r="82" spans="2:14" ht="90" customHeight="1" x14ac:dyDescent="0.25">
      <c r="B82" s="174"/>
      <c r="C82" s="394" t="s">
        <v>276</v>
      </c>
      <c r="D82" s="394"/>
      <c r="E82" s="394"/>
      <c r="F82" s="394"/>
      <c r="G82" s="394"/>
      <c r="H82" s="394"/>
      <c r="I82" s="394"/>
      <c r="J82" s="394"/>
      <c r="K82" s="394"/>
      <c r="L82" s="177"/>
      <c r="N82" s="269"/>
    </row>
    <row r="83" spans="2:14" ht="15" customHeight="1" x14ac:dyDescent="0.25">
      <c r="B83" s="174"/>
      <c r="C83" s="359"/>
      <c r="D83" s="359"/>
      <c r="E83" s="359"/>
      <c r="F83" s="359"/>
      <c r="G83" s="359"/>
      <c r="H83" s="359"/>
      <c r="I83" s="359"/>
      <c r="J83" s="359"/>
      <c r="K83" s="359"/>
      <c r="L83" s="177"/>
      <c r="N83" s="269"/>
    </row>
    <row r="84" spans="2:14" ht="165" customHeight="1" x14ac:dyDescent="0.25">
      <c r="B84" s="174"/>
      <c r="C84" s="361"/>
      <c r="D84" s="394" t="s">
        <v>290</v>
      </c>
      <c r="E84" s="394"/>
      <c r="F84" s="394"/>
      <c r="G84" s="394"/>
      <c r="H84" s="394"/>
      <c r="I84" s="394"/>
      <c r="J84" s="394"/>
      <c r="K84" s="394"/>
      <c r="L84" s="177"/>
      <c r="N84" s="269"/>
    </row>
    <row r="85" spans="2:14" x14ac:dyDescent="0.25">
      <c r="B85" s="180"/>
      <c r="C85" s="403"/>
      <c r="D85" s="403"/>
      <c r="E85" s="403"/>
      <c r="F85" s="403"/>
      <c r="G85" s="403"/>
      <c r="H85" s="403"/>
      <c r="I85" s="403"/>
      <c r="J85" s="403"/>
      <c r="K85" s="403"/>
      <c r="L85" s="182"/>
    </row>
    <row r="87" spans="2:14" x14ac:dyDescent="0.25">
      <c r="C87" s="304"/>
    </row>
  </sheetData>
  <mergeCells count="46">
    <mergeCell ref="C82:K82"/>
    <mergeCell ref="C85:K85"/>
    <mergeCell ref="D77:K77"/>
    <mergeCell ref="D70:K70"/>
    <mergeCell ref="C81:K81"/>
    <mergeCell ref="E75:K75"/>
    <mergeCell ref="E78:K78"/>
    <mergeCell ref="E79:K79"/>
    <mergeCell ref="D84:K84"/>
    <mergeCell ref="C18:K20"/>
    <mergeCell ref="C22:K25"/>
    <mergeCell ref="C27:K27"/>
    <mergeCell ref="C29:K29"/>
    <mergeCell ref="C31:K31"/>
    <mergeCell ref="F51:K51"/>
    <mergeCell ref="D44:K44"/>
    <mergeCell ref="D43:K43"/>
    <mergeCell ref="D41:K41"/>
    <mergeCell ref="D42:K42"/>
    <mergeCell ref="D45:K45"/>
    <mergeCell ref="F53:K53"/>
    <mergeCell ref="F52:K52"/>
    <mergeCell ref="C72:K72"/>
    <mergeCell ref="E73:K73"/>
    <mergeCell ref="E74:K74"/>
    <mergeCell ref="D54:K54"/>
    <mergeCell ref="D62:K62"/>
    <mergeCell ref="D63:K63"/>
    <mergeCell ref="D64:K64"/>
    <mergeCell ref="D65:K65"/>
    <mergeCell ref="D66:K66"/>
    <mergeCell ref="D68:K68"/>
    <mergeCell ref="C56:K56"/>
    <mergeCell ref="D58:K58"/>
    <mergeCell ref="D60:K60"/>
    <mergeCell ref="F37:K37"/>
    <mergeCell ref="D38:L38"/>
    <mergeCell ref="F50:K50"/>
    <mergeCell ref="D40:K40"/>
    <mergeCell ref="D33:K33"/>
    <mergeCell ref="F34:K34"/>
    <mergeCell ref="F35:K36"/>
    <mergeCell ref="D39:K39"/>
    <mergeCell ref="D47:K47"/>
    <mergeCell ref="D48:K48"/>
    <mergeCell ref="F49:K49"/>
  </mergeCells>
  <hyperlinks>
    <hyperlink ref="G8" r:id="rId1" xr:uid="{00000000-0004-0000-0000-000000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0" tint="-0.14999847407452621"/>
  </sheetPr>
  <dimension ref="A2:V82"/>
  <sheetViews>
    <sheetView zoomScale="80" zoomScaleNormal="80" workbookViewId="0"/>
  </sheetViews>
  <sheetFormatPr defaultColWidth="8.7109375" defaultRowHeight="12.75" x14ac:dyDescent="0.2"/>
  <cols>
    <col min="1" max="3" width="8.7109375" style="5"/>
    <col min="4" max="4" width="11.42578125" style="5" customWidth="1"/>
    <col min="5" max="5" width="38.28515625" style="5" customWidth="1"/>
    <col min="6" max="6" width="16.42578125" style="5" customWidth="1"/>
    <col min="7" max="7" width="22.140625" style="5" customWidth="1"/>
    <col min="8" max="8" width="21.140625" style="5" customWidth="1"/>
    <col min="9" max="9" width="18.5703125" style="5" customWidth="1"/>
    <col min="10" max="10" width="19" style="5" customWidth="1"/>
    <col min="11" max="11" width="16.28515625" style="5" customWidth="1"/>
    <col min="12" max="12" width="20.5703125" style="5" customWidth="1"/>
    <col min="13" max="13" width="20.140625" style="5" customWidth="1"/>
    <col min="14" max="14" width="18.5703125" style="5" customWidth="1"/>
    <col min="15" max="15" width="18.140625" style="5" customWidth="1"/>
    <col min="16" max="16" width="24.7109375" style="5" customWidth="1"/>
    <col min="17" max="17" width="21.42578125" style="5" customWidth="1"/>
    <col min="18" max="20" width="8.7109375" style="5"/>
    <col min="21" max="21" width="8.7109375" style="109"/>
    <col min="22" max="22" width="8.7109375" style="387"/>
    <col min="23" max="16384" width="8.7109375" style="5"/>
  </cols>
  <sheetData>
    <row r="2" spans="1:22" x14ac:dyDescent="0.2">
      <c r="U2" s="109">
        <v>4</v>
      </c>
      <c r="V2" s="387">
        <v>0</v>
      </c>
    </row>
    <row r="3" spans="1:22" ht="12.75" customHeight="1" x14ac:dyDescent="0.2">
      <c r="D3" s="445" t="s">
        <v>167</v>
      </c>
      <c r="E3" s="446"/>
      <c r="F3" s="447"/>
      <c r="H3" s="469" t="str">
        <f ca="1">IF(OR(AND($G$12="ok",$G$13="ok",$G$14="ok",$G$15="ok",$H$12="ok",$I$12="ok",$L$12&lt;&gt;"Not met"),
AND($I$12="ok",$J$12="ok",$J$13="ok",$J$14="ok",$J$15="ok",$L$12&lt;&gt;"Not met")),
"OK"&amp;CHAR(10)&amp;"adjustment"&amp;CHAR(10)&amp;"complies with all requirements",
"NOT OK"&amp;CHAR(10)&amp;"adjustment does not"&amp;CHAR(10)&amp;"comply with all requirements")</f>
        <v>OK
adjustment
complies with all requirements</v>
      </c>
      <c r="I3" s="469"/>
      <c r="U3" s="109">
        <v>7</v>
      </c>
      <c r="V3" s="387">
        <v>0.02</v>
      </c>
    </row>
    <row r="4" spans="1:22" ht="13.5" thickBot="1" x14ac:dyDescent="0.25">
      <c r="D4" s="217" t="s">
        <v>15</v>
      </c>
      <c r="E4" s="18"/>
      <c r="F4" s="40" t="s">
        <v>163</v>
      </c>
      <c r="H4" s="469"/>
      <c r="I4" s="469"/>
      <c r="V4" s="387">
        <v>0.04</v>
      </c>
    </row>
    <row r="5" spans="1:22" ht="13.5" thickTop="1" x14ac:dyDescent="0.2">
      <c r="D5" s="216" t="s">
        <v>282</v>
      </c>
      <c r="F5" s="167">
        <v>4</v>
      </c>
      <c r="H5" s="469"/>
      <c r="I5" s="469"/>
      <c r="V5" s="387">
        <v>0.06</v>
      </c>
    </row>
    <row r="6" spans="1:22" ht="13.5" thickBot="1" x14ac:dyDescent="0.25">
      <c r="D6" s="248" t="s">
        <v>16</v>
      </c>
      <c r="E6" s="249"/>
      <c r="F6" s="168">
        <v>0.44</v>
      </c>
      <c r="H6" s="469"/>
      <c r="I6" s="469"/>
      <c r="V6" s="387">
        <v>0.08</v>
      </c>
    </row>
    <row r="7" spans="1:22" ht="13.5" thickTop="1" x14ac:dyDescent="0.2">
      <c r="D7" s="251"/>
      <c r="F7" s="267"/>
      <c r="V7" s="387">
        <v>0.1</v>
      </c>
    </row>
    <row r="8" spans="1:22" x14ac:dyDescent="0.2">
      <c r="D8" s="16"/>
      <c r="F8" s="17"/>
      <c r="V8" s="387">
        <v>0.12</v>
      </c>
    </row>
    <row r="9" spans="1:22" ht="18.75" customHeight="1" x14ac:dyDescent="0.2">
      <c r="D9" s="16"/>
      <c r="F9" s="17"/>
      <c r="G9" s="460" t="s">
        <v>168</v>
      </c>
      <c r="H9" s="461"/>
      <c r="I9" s="461"/>
      <c r="J9" s="462"/>
      <c r="L9" s="466" t="s">
        <v>169</v>
      </c>
      <c r="M9" s="467"/>
      <c r="N9" s="467"/>
      <c r="O9" s="467"/>
      <c r="P9" s="467"/>
      <c r="Q9" s="468"/>
      <c r="V9" s="387">
        <v>0.14000000000000001</v>
      </c>
    </row>
    <row r="10" spans="1:22" ht="18.75" customHeight="1" x14ac:dyDescent="0.2">
      <c r="A10" s="284"/>
      <c r="F10" s="273"/>
      <c r="G10" s="463"/>
      <c r="H10" s="464"/>
      <c r="I10" s="464"/>
      <c r="J10" s="465"/>
      <c r="L10" s="451" t="s">
        <v>195</v>
      </c>
      <c r="M10" s="454"/>
      <c r="N10" s="455" t="s">
        <v>196</v>
      </c>
      <c r="O10" s="456"/>
      <c r="P10" s="451" t="s">
        <v>17</v>
      </c>
      <c r="Q10" s="452"/>
      <c r="V10" s="387">
        <v>0.16</v>
      </c>
    </row>
    <row r="11" spans="1:22" ht="107.25" customHeight="1" x14ac:dyDescent="0.2">
      <c r="A11" s="360"/>
      <c r="D11" s="213"/>
      <c r="E11" s="213"/>
      <c r="F11" s="214" t="s">
        <v>204</v>
      </c>
      <c r="G11" s="42" t="s">
        <v>18</v>
      </c>
      <c r="H11" s="219" t="s">
        <v>19</v>
      </c>
      <c r="I11" s="41" t="s">
        <v>20</v>
      </c>
      <c r="J11" s="92" t="str">
        <f>"Debt below 60% of GDP in T+"&amp;10+F5&amp;" **"</f>
        <v>Debt below 60% of GDP in T+14 **</v>
      </c>
      <c r="L11" s="92" t="s">
        <v>193</v>
      </c>
      <c r="M11" s="226" t="s">
        <v>194</v>
      </c>
      <c r="N11" s="372" t="s">
        <v>21</v>
      </c>
      <c r="O11" s="373" t="s">
        <v>22</v>
      </c>
      <c r="P11" s="262" t="s">
        <v>23</v>
      </c>
      <c r="Q11" s="92" t="s">
        <v>24</v>
      </c>
      <c r="V11" s="387">
        <v>0.18</v>
      </c>
    </row>
    <row r="12" spans="1:22" x14ac:dyDescent="0.2">
      <c r="D12" s="14" t="s">
        <v>25</v>
      </c>
      <c r="G12" s="10" t="str">
        <f ca="1">IF(OR('Adjust. no safeguard'!F57&gt;60,'Adjust. no safeguard'!F77&lt;-3),IF(SUM(OFFSET('Adjust. no safeguard'!$F$83,0,$F$5+1,1,10))=0,"ok","Not met"),"")</f>
        <v>Not met</v>
      </c>
      <c r="H12" s="220" t="str">
        <f>IF(OR('Adjust. no safeguard'!F57&gt;60,'Adjust. no safeguard'!F77&lt;-3),IF($F$5=4,IF(Stochastic!$O$17&lt;Stochastic!$J$17,"ok","Not met"),IF(Stochastic!$R$17&lt;Stochastic!$M$17,"ok","Not met")),"")</f>
        <v>Not met</v>
      </c>
      <c r="I12" s="8" t="str">
        <f ca="1">IF(MIN(OFFSET('Adjust. no safeguard'!$F$77,0,$F$5,1,11))&gt;-3.05,"ok","Not met")</f>
        <v>ok</v>
      </c>
      <c r="J12" s="12" t="str">
        <f ca="1">IF(OFFSET('Adjust. no safeguard'!$F$57,0,$F$5+10,1,1)&lt;60,"ok","Not met")</f>
        <v>ok</v>
      </c>
      <c r="L12" s="416" t="str">
        <f ca="1">_xlfn.LET(_xlpm.debtChange,OFFSET('Adjustment scenario'!F58,0,1,1,$F$5),
_xlpm.debt6090,OFFSET('Adjustment scenario'!F85,0,1,1,$F$5),
_xlpm.debt90,OFFSET('Adjustment scenario'!F84,0,1,1,$F$5),
_xlpm.EDP,OFFSET('Adjustment scenario'!F87,0,1,1,$F$5),
IF(AND(MAX(_xlpm.debt90)=0,MAX(_xlpm.debt6090)=0),"Debt below 60% of GDP over the adjustment period",
IF(MIN(_xlpm.EDP)=1,"Not applicable, reference year is the last year of adjustment",
IF(AND(MAX(_xlpm.debt90)=0,MAX(_xlpm.debt6090)=1),IF(AVERAGEIFS(_xlpm.debtChange,_xlpm.debt6090,1,_xlpm.EDP,0)&lt;-0.5,"ok","Not met"),
IF(AND(MAX(_xlpm.debt90)=1,MAX(_xlpm.debt6090)=0),IF(AVERAGEIFS(_xlpm.debtChange,_xlpm.EDP,0)&lt;-1,"ok","Not met"),
IF(AND(MAX(_xlpm.debt90)=1,MAX(_xlpm.debt6090)=1),IF(AND(AVERAGEIFS(_xlpm.debtChange,_xlpm.debt90,1,_xlpm.EDP,0)&lt;-1,AVERAGEIFS(_xlpm.debtChange,_xlpm.debt6090,1,_xlpm.EDP,0)&lt;-0.5),"ok","Not met")))))))</f>
        <v>Debt below 60% of GDP over the adjustment period</v>
      </c>
      <c r="M12" s="419" t="str">
        <f ca="1">_xlfn.LET(_xlpm.debtChange,OFFSET('Adjustment scenario'!F58,0,1,1,$F$5),
_xlpm.debt60,OFFSET('Adjustment scenario'!F86,0,1,1,$F$5),
_xlpm.debt6090,OFFSET('Adjustment scenario'!F85,0,1,1,$F$5),
_xlpm.debt90,OFFSET('Adjustment scenario'!F84,0,1,1,$F$5),
_xlpm.EDP,OFFSET('Adjustment scenario'!F87,0,1,1,$F$5),
IF(AND(MAX(_xlpm.debt90)=0,MAX(_xlpm.debt6090)=0),"Debt below 60% of GDP over the adjustment period",
IF(MIN(_xlpm.EDP)=1,"Not applicable, reference year is the last year of adjustment",
IF(AND(MAX(_xlpm.debt90)=0,MAX(_xlpm.debt6090)=1),AVERAGEIFS(_xlpm.debtChange,_xlpm.debt60,1,_xlpm.EDP,0),
IF(AND(MAX(_xlpm.debt90)=1,MAX(_xlpm.debt6090)=0),AVERAGEIFS(_xlpm.debtChange,_xlpm.EDP,0),
IF(AND(MAX(_xlpm.debt90)=1,MAX(_xlpm.debt6090)=1),AVERAGEIFS(_xlpm.debtChange,_xlpm.debt60,1,_xlpm.EDP,0)))))))</f>
        <v>Debt below 60% of GDP over the adjustment period</v>
      </c>
      <c r="N12" s="457" t="str">
        <f>IF(AND(O12=0,F6&lt;0.5),"not relevant","ok")</f>
        <v>ok</v>
      </c>
      <c r="O12" s="413">
        <f>IF(F6&lt;0.5,COUNTIFS('Adjustment scenario'!F77:H77,"&lt;"&amp;-3.049),0)+IF(AND(F5=4,J19&gt;0.5,J19&gt;F6),1,COUNTIFS(J19:M19,"&gt;" &amp; F6,J19:M19,"&gt;"&amp;0.5))</f>
        <v>4</v>
      </c>
      <c r="P12" s="416" t="str">
        <f>IF(OR(AND(F5=4,Q12=0,F6&lt;0.4),AND(F5=7,Q12=0,F6&lt;0.25)),"not relevant, 
(over the adjustment horizon)","ok")</f>
        <v>ok</v>
      </c>
      <c r="Q12" s="448">
        <f>IF(AND('Criteria results'!$F$5=4,'Criteria results'!$F$6&lt;=0.4),COUNTIFS('Adjustment scenario'!G13:J13,0.4,'Adjustment scenario'!F88:I88,0),IF(AND('Criteria results'!$F$5=7,'Criteria results'!$F$6&lt;=0.25),COUNTIFS('Adjustment scenario'!G13:M13,0.25,'Adjustment scenario'!F88:L88,0),0))</f>
        <v>0</v>
      </c>
      <c r="V12" s="387">
        <v>0.2</v>
      </c>
    </row>
    <row r="13" spans="1:22" x14ac:dyDescent="0.2">
      <c r="D13" s="14" t="s">
        <v>26</v>
      </c>
      <c r="G13" s="10" t="str">
        <f ca="1">IF(OR('Adjustment scenario'!F57&gt;60,'Adjustment scenario'!F77&lt;-3),IF(SUM(OFFSET('Financial stress'!$F$75,0,$F$5+1,1,10))=0,"ok","Not met"),"")</f>
        <v>Not met</v>
      </c>
      <c r="H13" s="220"/>
      <c r="I13" s="8"/>
      <c r="J13" s="12" t="str">
        <f ca="1">IF(OR('Adjustment scenario'!F57&gt;60,'Adjustment scenario'!F77&lt;-3),IF(OFFSET('Financial stress'!$F$56,0,$F$5+10,1,1)&lt;60,"ok","Not met"),"")</f>
        <v>ok</v>
      </c>
      <c r="L13" s="417"/>
      <c r="M13" s="420"/>
      <c r="N13" s="458"/>
      <c r="O13" s="414"/>
      <c r="P13" s="417"/>
      <c r="Q13" s="449"/>
      <c r="V13" s="387">
        <v>0.22</v>
      </c>
    </row>
    <row r="14" spans="1:22" x14ac:dyDescent="0.2">
      <c r="D14" s="14" t="s">
        <v>27</v>
      </c>
      <c r="G14" s="10" t="str">
        <f ca="1">IF(OR('Adjustment scenario'!F57&gt;60,'Adjustment scenario'!F77&lt;-3),IF(SUM(OFFSET('Lower SPB'!$F$75,0,$F$5+1,1,10))=0,"ok","Not met"),"")</f>
        <v>Not met</v>
      </c>
      <c r="H14" s="220"/>
      <c r="I14" s="8"/>
      <c r="J14" s="12" t="str">
        <f ca="1">IF(OR('Adjustment scenario'!F57&gt;60,'Adjustment scenario'!F77&lt;-3),IF(OFFSET('Lower SPB'!$F$56,0,$F$5+10,1,1)&lt;60,"ok","Not met"),"")</f>
        <v>ok</v>
      </c>
      <c r="L14" s="417"/>
      <c r="M14" s="420"/>
      <c r="N14" s="458"/>
      <c r="O14" s="414"/>
      <c r="P14" s="417"/>
      <c r="Q14" s="449"/>
      <c r="V14" s="387">
        <v>0.24</v>
      </c>
    </row>
    <row r="15" spans="1:22" x14ac:dyDescent="0.2">
      <c r="D15" s="15" t="s">
        <v>28</v>
      </c>
      <c r="E15" s="6"/>
      <c r="F15" s="6"/>
      <c r="G15" s="11" t="str">
        <f ca="1">IF(OR('Adjustment scenario'!F57&gt;60,'Adjustment scenario'!F77&lt;-3),IF(SUM(OFFSET('Adverse (r-g)'!$F$76,0,$F$5+1,1,10))=0,"ok","Not met"),"")</f>
        <v>Not met</v>
      </c>
      <c r="H15" s="221"/>
      <c r="I15" s="9"/>
      <c r="J15" s="13" t="str">
        <f ca="1">IF(OR('Adjustment scenario'!F57&gt;60,'Adjustment scenario'!F77&lt;-3),IF(OFFSET('Adverse (r-g)'!$F$57,0,$F$5+10,1,1)&lt;60,"ok","Not met"),"")</f>
        <v>ok</v>
      </c>
      <c r="L15" s="418"/>
      <c r="M15" s="421"/>
      <c r="N15" s="459"/>
      <c r="O15" s="415"/>
      <c r="P15" s="418"/>
      <c r="Q15" s="450"/>
      <c r="V15" s="387">
        <v>0.26</v>
      </c>
    </row>
    <row r="16" spans="1:22" ht="102" customHeight="1" x14ac:dyDescent="0.2">
      <c r="D16" s="422" t="s">
        <v>291</v>
      </c>
      <c r="E16" s="422"/>
      <c r="F16" s="422"/>
      <c r="G16" s="422"/>
      <c r="H16" s="422"/>
      <c r="I16" s="422"/>
      <c r="J16" s="422"/>
      <c r="L16" s="453" t="s">
        <v>205</v>
      </c>
      <c r="M16" s="453"/>
      <c r="N16" s="453"/>
      <c r="O16" s="453"/>
      <c r="P16" s="453"/>
      <c r="Q16" s="453"/>
      <c r="V16" s="387">
        <v>0.28000000000000003</v>
      </c>
    </row>
    <row r="17" spans="4:22" ht="15.75" customHeight="1" x14ac:dyDescent="0.2">
      <c r="D17" s="227"/>
      <c r="E17" s="227"/>
      <c r="F17" s="227"/>
      <c r="G17" s="423" t="s">
        <v>172</v>
      </c>
      <c r="H17" s="424"/>
      <c r="I17" s="424"/>
      <c r="J17" s="425"/>
      <c r="K17" s="246"/>
      <c r="L17" s="246"/>
      <c r="M17" s="246"/>
      <c r="N17" s="246"/>
      <c r="O17" s="246"/>
      <c r="P17" s="233"/>
      <c r="V17" s="387">
        <v>0.3</v>
      </c>
    </row>
    <row r="18" spans="4:22" ht="13.5" customHeight="1" x14ac:dyDescent="0.2">
      <c r="D18" s="227"/>
      <c r="E18" s="228"/>
      <c r="F18" s="234"/>
      <c r="G18" s="229">
        <v>2025</v>
      </c>
      <c r="H18" s="230">
        <v>2026</v>
      </c>
      <c r="I18" s="230">
        <v>2027</v>
      </c>
      <c r="J18" s="230">
        <v>2028</v>
      </c>
      <c r="K18" s="230">
        <v>2029</v>
      </c>
      <c r="L18" s="230">
        <v>2030</v>
      </c>
      <c r="M18" s="247">
        <v>2031</v>
      </c>
      <c r="N18" s="235"/>
      <c r="P18" s="235"/>
      <c r="V18" s="387">
        <v>0.32</v>
      </c>
    </row>
    <row r="19" spans="4:22" ht="15" customHeight="1" x14ac:dyDescent="0.2">
      <c r="D19" s="426" t="s">
        <v>29</v>
      </c>
      <c r="E19" s="427"/>
      <c r="F19" s="428"/>
      <c r="G19" s="232">
        <f>'Adjustment scenario'!G12-'Adjustment scenario'!F12</f>
        <v>0.5</v>
      </c>
      <c r="H19" s="239">
        <f>'Adjustment scenario'!H12-'Adjustment scenario'!G12</f>
        <v>0.5</v>
      </c>
      <c r="I19" s="239">
        <f>'Adjustment scenario'!I12-'Adjustment scenario'!H12</f>
        <v>0.5</v>
      </c>
      <c r="J19" s="239">
        <f>'Adjustment scenario'!J12-'Adjustment scenario'!I12</f>
        <v>0.53092026348020349</v>
      </c>
      <c r="K19" s="239">
        <f>'Adjustment scenario'!K12-'Adjustment scenario'!J12</f>
        <v>0</v>
      </c>
      <c r="L19" s="239">
        <f>'Adjustment scenario'!L12-'Adjustment scenario'!K12</f>
        <v>0</v>
      </c>
      <c r="M19" s="240">
        <f>'Adjustment scenario'!M12-'Adjustment scenario'!L12</f>
        <v>0</v>
      </c>
      <c r="N19" s="232"/>
      <c r="P19" s="232"/>
      <c r="V19" s="387">
        <v>0.34</v>
      </c>
    </row>
    <row r="20" spans="4:22" ht="15" customHeight="1" x14ac:dyDescent="0.2">
      <c r="D20" s="405" t="s">
        <v>30</v>
      </c>
      <c r="E20" s="406"/>
      <c r="F20" s="407"/>
      <c r="G20" s="237">
        <f>'Adjustment scenario'!G79</f>
        <v>6.0362926526983181</v>
      </c>
      <c r="H20" s="238">
        <f>'Adjustment scenario'!H79</f>
        <v>5.8465577776983189</v>
      </c>
      <c r="I20" s="238">
        <f>'Adjustment scenario'!I79</f>
        <v>5.8786849026983194</v>
      </c>
      <c r="J20" s="238">
        <f>'Adjustment scenario'!J79</f>
        <v>5.7334206711536977</v>
      </c>
      <c r="K20" s="238">
        <f>'Adjustment scenario'!K79</f>
        <v>7.1401374999999998</v>
      </c>
      <c r="L20" s="238">
        <f>'Adjustment scenario'!L79</f>
        <v>7.0482306250000004</v>
      </c>
      <c r="M20" s="241">
        <f>'Adjustment scenario'!M79</f>
        <v>6.8942157499999999</v>
      </c>
      <c r="N20" s="256"/>
      <c r="P20" s="232"/>
      <c r="V20" s="387">
        <v>0.36</v>
      </c>
    </row>
    <row r="21" spans="4:22" ht="15" customHeight="1" x14ac:dyDescent="0.2">
      <c r="D21" s="283" t="s">
        <v>41</v>
      </c>
      <c r="E21" s="274"/>
      <c r="F21" s="275"/>
      <c r="G21" s="279">
        <f>'Adjustment scenario'!G77</f>
        <v>-4.0758412672041322</v>
      </c>
      <c r="H21" s="280">
        <f>'Adjustment scenario'!H77</f>
        <v>-3.6908326637685271</v>
      </c>
      <c r="I21" s="280">
        <f>'Adjustment scenario'!I77</f>
        <v>-3.2702742486582439</v>
      </c>
      <c r="J21" s="280">
        <f>'Adjustment scenario'!J77</f>
        <v>-2.8034928099652019</v>
      </c>
      <c r="K21" s="280">
        <f>'Adjustment scenario'!K77</f>
        <v>-2.5954042605745951</v>
      </c>
      <c r="L21" s="280">
        <f>'Adjustment scenario'!L77</f>
        <v>-2.3851763681380982</v>
      </c>
      <c r="M21" s="281">
        <f>'Adjustment scenario'!M77</f>
        <v>-2.1778648823753164</v>
      </c>
      <c r="N21" s="256"/>
      <c r="P21" s="232"/>
      <c r="V21" s="387">
        <v>0.38</v>
      </c>
    </row>
    <row r="22" spans="4:22" ht="15" customHeight="1" x14ac:dyDescent="0.2">
      <c r="D22" s="283" t="s">
        <v>42</v>
      </c>
      <c r="E22" s="274"/>
      <c r="F22" s="275"/>
      <c r="G22" s="276">
        <f>'Adjustment scenario'!G78</f>
        <v>-3.7272733519945191</v>
      </c>
      <c r="H22" s="277">
        <f>'Adjustment scenario'!H78</f>
        <v>-3.2881039971648196</v>
      </c>
      <c r="I22" s="277">
        <f>'Adjustment scenario'!I78</f>
        <v>-2.8316813823462459</v>
      </c>
      <c r="J22" s="277">
        <f>'Adjustment scenario'!J78</f>
        <v>-2.330499106395362</v>
      </c>
      <c r="K22" s="277">
        <f>'Adjustment scenario'!K78</f>
        <v>-2.2800751248613773</v>
      </c>
      <c r="L22" s="277">
        <f>'Adjustment scenario'!L78</f>
        <v>-2.2275118002814818</v>
      </c>
      <c r="M22" s="282">
        <f>'Adjustment scenario'!M78</f>
        <v>-2.1778648823753159</v>
      </c>
      <c r="N22" s="256"/>
      <c r="P22" s="232"/>
      <c r="V22" s="387">
        <v>0.4</v>
      </c>
    </row>
    <row r="23" spans="4:22" ht="15" customHeight="1" x14ac:dyDescent="0.2">
      <c r="D23" s="283" t="s">
        <v>43</v>
      </c>
      <c r="E23" s="274"/>
      <c r="F23" s="275"/>
      <c r="G23" s="237">
        <f>'Adjustment scenario'!G57</f>
        <v>52.712875471107772</v>
      </c>
      <c r="H23" s="238">
        <f>'Adjustment scenario'!H57</f>
        <v>52.858886626374179</v>
      </c>
      <c r="I23" s="238">
        <f>'Adjustment scenario'!I57</f>
        <v>52.540435718456841</v>
      </c>
      <c r="J23" s="238">
        <f>'Adjustment scenario'!J57</f>
        <v>51.80374973951259</v>
      </c>
      <c r="K23" s="238">
        <f>'Adjustment scenario'!K57</f>
        <v>50.734076487913782</v>
      </c>
      <c r="L23" s="238">
        <f>'Adjustment scenario'!L57</f>
        <v>49.571815456563641</v>
      </c>
      <c r="M23" s="241">
        <f>'Adjustment scenario'!M57</f>
        <v>48.352047922230085</v>
      </c>
      <c r="N23" s="256"/>
      <c r="P23" s="232"/>
      <c r="V23" s="387">
        <v>0.42</v>
      </c>
    </row>
    <row r="24" spans="4:22" ht="15" customHeight="1" x14ac:dyDescent="0.2">
      <c r="D24" s="439" t="s">
        <v>31</v>
      </c>
      <c r="E24" s="439"/>
      <c r="F24" s="439"/>
      <c r="G24" s="278">
        <f>AVERAGE(G19:J19)</f>
        <v>0.50773006587005087</v>
      </c>
      <c r="I24" s="232"/>
      <c r="J24" s="232"/>
      <c r="K24" s="232"/>
      <c r="L24" s="232"/>
      <c r="M24" s="232"/>
      <c r="N24" s="232"/>
      <c r="P24" s="236"/>
      <c r="V24" s="387">
        <v>0.44</v>
      </c>
    </row>
    <row r="25" spans="4:22" x14ac:dyDescent="0.2">
      <c r="D25" s="242" t="s">
        <v>32</v>
      </c>
      <c r="E25" s="377"/>
      <c r="F25" s="376"/>
      <c r="G25" s="272">
        <f>IF(F5=4,AVERAGE(G19:J19),AVERAGE(G19:M19))</f>
        <v>0.50773006587005087</v>
      </c>
      <c r="H25" s="232"/>
      <c r="Q25" s="231"/>
      <c r="V25" s="387">
        <v>0.46</v>
      </c>
    </row>
    <row r="26" spans="4:22" x14ac:dyDescent="0.2">
      <c r="D26" s="408" t="s">
        <v>33</v>
      </c>
      <c r="E26" s="409"/>
      <c r="F26" s="409"/>
      <c r="G26" s="374">
        <f>AVERAGE(G20:J20)</f>
        <v>5.8737390010621633</v>
      </c>
      <c r="Q26" s="231"/>
      <c r="V26" s="387">
        <v>0.48</v>
      </c>
    </row>
    <row r="27" spans="4:22" ht="15" customHeight="1" x14ac:dyDescent="0.2">
      <c r="D27" s="410" t="s">
        <v>34</v>
      </c>
      <c r="E27" s="411"/>
      <c r="F27" s="411"/>
      <c r="G27" s="375">
        <f>IF(F5=4,AVERAGE(G20:J20),AVERAGE(G20:M20))</f>
        <v>5.8737390010621633</v>
      </c>
      <c r="H27" s="232"/>
      <c r="I27" s="232"/>
      <c r="J27" s="232"/>
      <c r="K27" s="232"/>
      <c r="L27" s="232"/>
      <c r="M27" s="232"/>
      <c r="N27" s="232"/>
      <c r="O27" s="232"/>
      <c r="P27" s="232"/>
      <c r="V27" s="387">
        <v>0.5</v>
      </c>
    </row>
    <row r="28" spans="4:22" ht="53.25" customHeight="1" x14ac:dyDescent="0.2">
      <c r="D28" s="412" t="s">
        <v>292</v>
      </c>
      <c r="E28" s="412"/>
      <c r="F28" s="412"/>
      <c r="G28" s="412"/>
      <c r="H28" s="412"/>
      <c r="I28" s="412"/>
      <c r="J28" s="412"/>
      <c r="K28" s="233"/>
      <c r="L28" s="233"/>
      <c r="M28" s="233"/>
      <c r="N28" s="233"/>
      <c r="O28" s="233"/>
      <c r="V28" s="387">
        <v>0.52</v>
      </c>
    </row>
    <row r="29" spans="4:22" x14ac:dyDescent="0.2">
      <c r="V29" s="387">
        <v>0.54</v>
      </c>
    </row>
    <row r="30" spans="4:22" ht="15.75" customHeight="1" x14ac:dyDescent="0.2">
      <c r="G30" s="440" t="s">
        <v>170</v>
      </c>
      <c r="H30" s="441"/>
      <c r="V30" s="387">
        <v>0.56000000000000005</v>
      </c>
    </row>
    <row r="31" spans="4:22" x14ac:dyDescent="0.2">
      <c r="G31" s="199" t="s">
        <v>35</v>
      </c>
      <c r="H31" s="200" t="s">
        <v>36</v>
      </c>
      <c r="V31" s="387">
        <v>0.57999999999999996</v>
      </c>
    </row>
    <row r="32" spans="4:22" x14ac:dyDescent="0.2">
      <c r="D32" s="369" t="s">
        <v>282</v>
      </c>
      <c r="E32" s="204"/>
      <c r="F32" s="205"/>
      <c r="G32" s="210">
        <v>4</v>
      </c>
      <c r="H32" s="201">
        <v>7</v>
      </c>
      <c r="M32" s="271"/>
      <c r="V32" s="387">
        <v>0.6</v>
      </c>
    </row>
    <row r="33" spans="4:22" x14ac:dyDescent="0.2">
      <c r="D33" s="370" t="s">
        <v>37</v>
      </c>
      <c r="E33" s="206"/>
      <c r="F33" s="207"/>
      <c r="G33" s="211">
        <v>0.44</v>
      </c>
      <c r="H33" s="202">
        <v>0.28000000000000003</v>
      </c>
      <c r="V33" s="387">
        <v>0.62</v>
      </c>
    </row>
    <row r="34" spans="4:22" x14ac:dyDescent="0.2">
      <c r="D34" s="371" t="s">
        <v>283</v>
      </c>
      <c r="E34" s="208"/>
      <c r="F34" s="209"/>
      <c r="G34" s="212">
        <v>60.049999237060547</v>
      </c>
      <c r="H34" s="203">
        <v>55.830001831054688</v>
      </c>
      <c r="V34" s="387">
        <v>0.64</v>
      </c>
    </row>
    <row r="35" spans="4:22" ht="40.15" customHeight="1" x14ac:dyDescent="0.2">
      <c r="D35" s="435" t="s">
        <v>190</v>
      </c>
      <c r="E35" s="435"/>
      <c r="F35" s="435"/>
      <c r="G35" s="435"/>
      <c r="H35" s="435"/>
      <c r="V35" s="387">
        <v>0.66</v>
      </c>
    </row>
    <row r="36" spans="4:22" x14ac:dyDescent="0.2">
      <c r="V36" s="387">
        <v>0.68</v>
      </c>
    </row>
    <row r="37" spans="4:22" ht="19.899999999999999" customHeight="1" x14ac:dyDescent="0.2">
      <c r="D37" s="227"/>
      <c r="E37" s="227"/>
      <c r="F37" s="227"/>
      <c r="H37" s="436" t="s">
        <v>265</v>
      </c>
      <c r="I37" s="437"/>
      <c r="J37" s="437"/>
      <c r="K37" s="437"/>
      <c r="L37" s="437"/>
      <c r="M37" s="437"/>
      <c r="N37" s="438"/>
      <c r="O37" s="257"/>
      <c r="V37" s="387">
        <v>0.7</v>
      </c>
    </row>
    <row r="38" spans="4:22" x14ac:dyDescent="0.2">
      <c r="D38" s="227"/>
      <c r="E38" s="227"/>
      <c r="F38" s="250"/>
      <c r="G38" s="309" t="s">
        <v>244</v>
      </c>
      <c r="H38" s="307">
        <v>2025</v>
      </c>
      <c r="I38" s="307">
        <v>2026</v>
      </c>
      <c r="J38" s="307">
        <v>2027</v>
      </c>
      <c r="K38" s="307">
        <v>2028</v>
      </c>
      <c r="L38" s="307">
        <v>2029</v>
      </c>
      <c r="M38" s="307">
        <v>2030</v>
      </c>
      <c r="N38" s="308">
        <v>2031</v>
      </c>
      <c r="V38" s="387">
        <v>0.72</v>
      </c>
    </row>
    <row r="39" spans="4:22" s="314" customFormat="1" ht="15" customHeight="1" x14ac:dyDescent="0.2">
      <c r="D39" s="442" t="s">
        <v>202</v>
      </c>
      <c r="E39" s="443"/>
      <c r="F39" s="444"/>
      <c r="G39" s="310"/>
      <c r="H39" s="315"/>
      <c r="I39" s="315"/>
      <c r="J39" s="315"/>
      <c r="K39" s="315"/>
      <c r="L39" s="315"/>
      <c r="M39" s="315"/>
      <c r="N39" s="316"/>
      <c r="U39" s="388"/>
      <c r="V39" s="389">
        <v>0.74</v>
      </c>
    </row>
    <row r="40" spans="4:22" s="314" customFormat="1" ht="15" customHeight="1" x14ac:dyDescent="0.2">
      <c r="D40" s="327" t="s">
        <v>30</v>
      </c>
      <c r="E40" s="328"/>
      <c r="F40" s="329"/>
      <c r="G40" s="313">
        <v>5.8737390010621633</v>
      </c>
      <c r="H40" s="323">
        <v>6.0362926526983181</v>
      </c>
      <c r="I40" s="323">
        <v>5.8465577776983189</v>
      </c>
      <c r="J40" s="323">
        <v>5.8786849026983194</v>
      </c>
      <c r="K40" s="323">
        <v>5.7334206711536977</v>
      </c>
      <c r="L40" s="317"/>
      <c r="M40" s="317"/>
      <c r="N40" s="318"/>
      <c r="U40" s="388"/>
      <c r="V40" s="389">
        <v>0.76</v>
      </c>
    </row>
    <row r="41" spans="4:22" s="314" customFormat="1" ht="15" customHeight="1" x14ac:dyDescent="0.2">
      <c r="D41" s="429" t="s">
        <v>192</v>
      </c>
      <c r="E41" s="430"/>
      <c r="F41" s="431"/>
      <c r="G41" s="202">
        <v>0.50773006587005087</v>
      </c>
      <c r="H41" s="319">
        <v>0.5</v>
      </c>
      <c r="I41" s="319">
        <v>0.5</v>
      </c>
      <c r="J41" s="319">
        <v>0.5</v>
      </c>
      <c r="K41" s="319">
        <v>0.53092026348020349</v>
      </c>
      <c r="L41" s="319"/>
      <c r="M41" s="319"/>
      <c r="N41" s="320"/>
      <c r="U41" s="388"/>
      <c r="V41" s="389">
        <v>0.78</v>
      </c>
    </row>
    <row r="42" spans="4:22" s="314" customFormat="1" ht="15" customHeight="1" x14ac:dyDescent="0.2">
      <c r="D42" s="442" t="s">
        <v>203</v>
      </c>
      <c r="E42" s="443"/>
      <c r="F42" s="444"/>
      <c r="G42" s="312"/>
      <c r="H42" s="321"/>
      <c r="I42" s="321"/>
      <c r="J42" s="321"/>
      <c r="K42" s="321"/>
      <c r="L42" s="321"/>
      <c r="M42" s="321"/>
      <c r="N42" s="322"/>
      <c r="U42" s="388"/>
      <c r="V42" s="389">
        <v>0.8</v>
      </c>
    </row>
    <row r="43" spans="4:22" s="314" customFormat="1" ht="15" customHeight="1" x14ac:dyDescent="0.2">
      <c r="D43" s="327" t="s">
        <v>30</v>
      </c>
      <c r="E43" s="328"/>
      <c r="F43" s="329"/>
      <c r="G43" s="313">
        <v>5.8737390010621633</v>
      </c>
      <c r="H43" s="323">
        <v>6.0362926526983181</v>
      </c>
      <c r="I43" s="323">
        <v>5.8465577776983189</v>
      </c>
      <c r="J43" s="323">
        <v>5.8786849026983194</v>
      </c>
      <c r="K43" s="323">
        <v>5.7334206711536977</v>
      </c>
      <c r="L43" s="323">
        <v>6.3747953855110584</v>
      </c>
      <c r="M43" s="323">
        <v>6.282888510511059</v>
      </c>
      <c r="N43" s="324">
        <v>6.1288736355110585</v>
      </c>
      <c r="U43" s="388"/>
      <c r="V43" s="389">
        <v>0.82</v>
      </c>
    </row>
    <row r="44" spans="4:22" s="314" customFormat="1" ht="15" customHeight="1" x14ac:dyDescent="0.2">
      <c r="D44" s="432" t="s">
        <v>192</v>
      </c>
      <c r="E44" s="433"/>
      <c r="F44" s="434"/>
      <c r="G44" s="311">
        <v>0.50773006587005087</v>
      </c>
      <c r="H44" s="325">
        <v>0.5</v>
      </c>
      <c r="I44" s="325">
        <v>0.5</v>
      </c>
      <c r="J44" s="325">
        <v>0.5</v>
      </c>
      <c r="K44" s="325">
        <v>0.53092026348020349</v>
      </c>
      <c r="L44" s="325">
        <v>0.28000000000000003</v>
      </c>
      <c r="M44" s="325">
        <v>0.28000000000000003</v>
      </c>
      <c r="N44" s="326">
        <v>0.28000000000000003</v>
      </c>
      <c r="U44" s="388"/>
      <c r="V44" s="389">
        <v>0.84</v>
      </c>
    </row>
    <row r="45" spans="4:22" x14ac:dyDescent="0.2">
      <c r="V45" s="387">
        <v>0.86</v>
      </c>
    </row>
    <row r="46" spans="4:22" x14ac:dyDescent="0.2">
      <c r="V46" s="387">
        <v>0.88</v>
      </c>
    </row>
    <row r="47" spans="4:22" x14ac:dyDescent="0.2">
      <c r="V47" s="387">
        <v>0.9</v>
      </c>
    </row>
    <row r="48" spans="4:22" x14ac:dyDescent="0.2">
      <c r="V48" s="387">
        <v>0.92</v>
      </c>
    </row>
    <row r="49" spans="22:22" x14ac:dyDescent="0.2">
      <c r="V49" s="387">
        <v>0.94</v>
      </c>
    </row>
    <row r="50" spans="22:22" x14ac:dyDescent="0.2">
      <c r="V50" s="387">
        <v>0.96</v>
      </c>
    </row>
    <row r="51" spans="22:22" x14ac:dyDescent="0.2">
      <c r="V51" s="387">
        <v>0.98</v>
      </c>
    </row>
    <row r="52" spans="22:22" x14ac:dyDescent="0.2">
      <c r="V52" s="387">
        <v>1</v>
      </c>
    </row>
    <row r="53" spans="22:22" x14ac:dyDescent="0.2">
      <c r="V53" s="387">
        <v>1.02</v>
      </c>
    </row>
    <row r="54" spans="22:22" x14ac:dyDescent="0.2">
      <c r="V54" s="387">
        <v>1.04</v>
      </c>
    </row>
    <row r="55" spans="22:22" x14ac:dyDescent="0.2">
      <c r="V55" s="387">
        <v>1.06</v>
      </c>
    </row>
    <row r="56" spans="22:22" x14ac:dyDescent="0.2">
      <c r="V56" s="387">
        <v>1.08</v>
      </c>
    </row>
    <row r="57" spans="22:22" x14ac:dyDescent="0.2">
      <c r="V57" s="387">
        <v>1.1000000000000001</v>
      </c>
    </row>
    <row r="58" spans="22:22" x14ac:dyDescent="0.2">
      <c r="V58" s="387">
        <v>1.1200000000000001</v>
      </c>
    </row>
    <row r="59" spans="22:22" x14ac:dyDescent="0.2">
      <c r="V59" s="387">
        <v>1.1399999999999999</v>
      </c>
    </row>
    <row r="60" spans="22:22" x14ac:dyDescent="0.2">
      <c r="V60" s="387">
        <v>1.1599999999999999</v>
      </c>
    </row>
    <row r="61" spans="22:22" x14ac:dyDescent="0.2">
      <c r="V61" s="387">
        <v>1.18</v>
      </c>
    </row>
    <row r="62" spans="22:22" x14ac:dyDescent="0.2">
      <c r="V62" s="387">
        <v>1.2</v>
      </c>
    </row>
    <row r="63" spans="22:22" x14ac:dyDescent="0.2">
      <c r="V63" s="387">
        <v>1.22</v>
      </c>
    </row>
    <row r="64" spans="22:22" x14ac:dyDescent="0.2">
      <c r="V64" s="387">
        <v>1.24</v>
      </c>
    </row>
    <row r="65" spans="22:22" x14ac:dyDescent="0.2">
      <c r="V65" s="387">
        <v>1.26</v>
      </c>
    </row>
    <row r="66" spans="22:22" x14ac:dyDescent="0.2">
      <c r="V66" s="387">
        <v>1.28</v>
      </c>
    </row>
    <row r="67" spans="22:22" x14ac:dyDescent="0.2">
      <c r="V67" s="387">
        <v>1.3</v>
      </c>
    </row>
    <row r="68" spans="22:22" x14ac:dyDescent="0.2">
      <c r="V68" s="387">
        <v>1.32</v>
      </c>
    </row>
    <row r="69" spans="22:22" x14ac:dyDescent="0.2">
      <c r="V69" s="387">
        <v>1.34</v>
      </c>
    </row>
    <row r="70" spans="22:22" x14ac:dyDescent="0.2">
      <c r="V70" s="387">
        <v>1.36</v>
      </c>
    </row>
    <row r="71" spans="22:22" x14ac:dyDescent="0.2">
      <c r="V71" s="387">
        <v>1.38</v>
      </c>
    </row>
    <row r="72" spans="22:22" x14ac:dyDescent="0.2">
      <c r="V72" s="387">
        <v>1.4</v>
      </c>
    </row>
    <row r="73" spans="22:22" x14ac:dyDescent="0.2">
      <c r="V73" s="387">
        <v>1.42</v>
      </c>
    </row>
    <row r="74" spans="22:22" x14ac:dyDescent="0.2">
      <c r="V74" s="387">
        <v>1.44</v>
      </c>
    </row>
    <row r="75" spans="22:22" x14ac:dyDescent="0.2">
      <c r="V75" s="387">
        <v>1.46</v>
      </c>
    </row>
    <row r="76" spans="22:22" x14ac:dyDescent="0.2">
      <c r="V76" s="387">
        <v>1.48</v>
      </c>
    </row>
    <row r="77" spans="22:22" x14ac:dyDescent="0.2">
      <c r="V77" s="387">
        <v>1.5</v>
      </c>
    </row>
    <row r="78" spans="22:22" x14ac:dyDescent="0.2">
      <c r="V78" s="387">
        <v>1.52</v>
      </c>
    </row>
    <row r="79" spans="22:22" x14ac:dyDescent="0.2">
      <c r="V79" s="387">
        <v>1.54</v>
      </c>
    </row>
    <row r="80" spans="22:22" x14ac:dyDescent="0.2">
      <c r="V80" s="387">
        <v>1.56</v>
      </c>
    </row>
    <row r="81" spans="22:22" x14ac:dyDescent="0.2">
      <c r="V81" s="387">
        <v>1.58</v>
      </c>
    </row>
    <row r="82" spans="22:22" x14ac:dyDescent="0.2">
      <c r="V82" s="387">
        <v>1.6</v>
      </c>
    </row>
  </sheetData>
  <mergeCells count="29">
    <mergeCell ref="D3:F3"/>
    <mergeCell ref="Q12:Q15"/>
    <mergeCell ref="P10:Q10"/>
    <mergeCell ref="L16:Q16"/>
    <mergeCell ref="L10:M10"/>
    <mergeCell ref="N10:O10"/>
    <mergeCell ref="N12:N15"/>
    <mergeCell ref="P12:P15"/>
    <mergeCell ref="G9:J10"/>
    <mergeCell ref="L9:Q9"/>
    <mergeCell ref="H3:I6"/>
    <mergeCell ref="D41:F41"/>
    <mergeCell ref="D44:F44"/>
    <mergeCell ref="D35:H35"/>
    <mergeCell ref="H37:N37"/>
    <mergeCell ref="D24:F24"/>
    <mergeCell ref="G30:H30"/>
    <mergeCell ref="D39:F39"/>
    <mergeCell ref="D42:F42"/>
    <mergeCell ref="D20:F20"/>
    <mergeCell ref="D26:F26"/>
    <mergeCell ref="D27:F27"/>
    <mergeCell ref="D28:J28"/>
    <mergeCell ref="O12:O15"/>
    <mergeCell ref="L12:L15"/>
    <mergeCell ref="M12:M15"/>
    <mergeCell ref="D16:J16"/>
    <mergeCell ref="G17:J17"/>
    <mergeCell ref="D19:F19"/>
  </mergeCells>
  <conditionalFormatting sqref="L18:N20 N21:N23">
    <cfRule type="expression" dxfId="43" priority="13">
      <formula>$F$5=4</formula>
    </cfRule>
  </conditionalFormatting>
  <conditionalFormatting sqref="K18:N23">
    <cfRule type="expression" dxfId="42" priority="12">
      <formula>$F$5=4</formula>
    </cfRule>
  </conditionalFormatting>
  <conditionalFormatting sqref="K18:K23">
    <cfRule type="expression" dxfId="41" priority="14">
      <formula>$F$5=4</formula>
    </cfRule>
  </conditionalFormatting>
  <conditionalFormatting sqref="L23:N23">
    <cfRule type="expression" dxfId="40" priority="4">
      <formula>$F$5=4</formula>
    </cfRule>
  </conditionalFormatting>
  <conditionalFormatting sqref="H3:I6">
    <cfRule type="expression" dxfId="39" priority="1">
      <formula>OR(AND($G$12="ok",$G$13="ok",$G$14="ok",$G$15="ok",$H$12="ok",$I$12="ok",$L$12&lt;&gt;"Not met"), AND($I$12="ok",$J$12="ok",$J$13="ok",$J$14="ok",$J$15="ok",$L$12&lt;&gt;"Not met"))</formula>
    </cfRule>
  </conditionalFormatting>
  <dataValidations count="2">
    <dataValidation type="list" allowBlank="1" showInputMessage="1" showErrorMessage="1" sqref="F6" xr:uid="{F61BD574-77F9-4796-8E1C-77E13D9FBD50}">
      <formula1>$V$2:$V$82</formula1>
    </dataValidation>
    <dataValidation type="list" allowBlank="1" showInputMessage="1" showErrorMessage="1" sqref="F5" xr:uid="{EB5082BF-CC5A-47F3-9CA6-6AB0895CD546}">
      <formula1>$U$2:$U$3</formula1>
    </dataValidation>
  </dataValidation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tabColor theme="8" tint="0.39997558519241921"/>
  </sheetPr>
  <dimension ref="A1:BB77"/>
  <sheetViews>
    <sheetView zoomScaleNormal="100" workbookViewId="0"/>
  </sheetViews>
  <sheetFormatPr defaultColWidth="8.85546875" defaultRowHeight="12.75" x14ac:dyDescent="0.2"/>
  <cols>
    <col min="1" max="1" width="8.7109375" style="137" customWidth="1"/>
    <col min="2" max="2" width="58.42578125" style="137" customWidth="1"/>
    <col min="3" max="6" width="8.7109375" style="137" customWidth="1"/>
    <col min="7" max="16384" width="8.85546875" style="137"/>
  </cols>
  <sheetData>
    <row r="1" spans="1:54" s="60" customFormat="1" ht="24.75" customHeight="1" x14ac:dyDescent="0.2">
      <c r="B1" s="130"/>
    </row>
    <row r="2" spans="1:54" s="60" customFormat="1" ht="11.25" customHeight="1" x14ac:dyDescent="0.2">
      <c r="B2" s="131"/>
    </row>
    <row r="3" spans="1:54" s="60" customFormat="1" ht="11.25" customHeight="1" x14ac:dyDescent="0.2">
      <c r="B3" s="132" t="s">
        <v>15</v>
      </c>
      <c r="C3" s="133" t="s">
        <v>163</v>
      </c>
    </row>
    <row r="4" spans="1:54" s="60" customFormat="1" ht="11.25" customHeight="1" x14ac:dyDescent="0.2">
      <c r="B4" s="134"/>
      <c r="C4" s="23"/>
    </row>
    <row r="5" spans="1:54" s="60" customFormat="1" ht="11.25" customHeight="1" x14ac:dyDescent="0.2">
      <c r="B5" s="135" t="s">
        <v>171</v>
      </c>
      <c r="C5" s="23">
        <v>2024</v>
      </c>
    </row>
    <row r="6" spans="1:54" x14ac:dyDescent="0.2">
      <c r="A6" s="60"/>
      <c r="B6" s="136" t="s">
        <v>44</v>
      </c>
      <c r="C6" s="286">
        <f>C5+'Criteria results'!$F$5</f>
        <v>2028</v>
      </c>
    </row>
    <row r="8" spans="1:54" s="138" customFormat="1" ht="12" customHeight="1" x14ac:dyDescent="0.2">
      <c r="B8" s="139" t="s">
        <v>45</v>
      </c>
      <c r="C8" s="140"/>
      <c r="D8" s="140"/>
      <c r="E8" s="140"/>
      <c r="F8" s="140"/>
      <c r="G8" s="140"/>
      <c r="H8" s="140"/>
      <c r="I8" s="140"/>
      <c r="J8" s="140"/>
      <c r="K8" s="140"/>
      <c r="L8" s="140"/>
      <c r="M8" s="140"/>
      <c r="N8" s="140"/>
      <c r="O8" s="140"/>
    </row>
    <row r="9" spans="1:54" x14ac:dyDescent="0.2">
      <c r="B9" s="60"/>
      <c r="C9" s="141">
        <v>2021</v>
      </c>
      <c r="D9" s="141">
        <v>2022</v>
      </c>
      <c r="E9" s="141">
        <v>2023</v>
      </c>
      <c r="F9" s="141">
        <v>2024</v>
      </c>
      <c r="G9" s="141">
        <v>2025</v>
      </c>
      <c r="H9" s="141">
        <v>2026</v>
      </c>
      <c r="I9" s="141">
        <v>2027</v>
      </c>
      <c r="J9" s="141">
        <v>2028</v>
      </c>
      <c r="K9" s="141">
        <v>2029</v>
      </c>
      <c r="L9" s="141">
        <v>2030</v>
      </c>
      <c r="M9" s="141">
        <v>2031</v>
      </c>
      <c r="N9" s="141">
        <v>2032</v>
      </c>
      <c r="O9" s="141">
        <v>2033</v>
      </c>
      <c r="P9" s="141">
        <v>2034</v>
      </c>
      <c r="Q9" s="141">
        <v>2035</v>
      </c>
      <c r="R9" s="141">
        <v>2036</v>
      </c>
      <c r="S9" s="141">
        <v>2037</v>
      </c>
      <c r="T9" s="141">
        <v>2038</v>
      </c>
      <c r="U9" s="141">
        <v>2039</v>
      </c>
      <c r="V9" s="141">
        <v>2040</v>
      </c>
      <c r="W9" s="141">
        <v>2041</v>
      </c>
      <c r="X9" s="141"/>
      <c r="Y9" s="141"/>
      <c r="Z9" s="141"/>
      <c r="AA9" s="141"/>
      <c r="AB9" s="141"/>
      <c r="AC9" s="141"/>
      <c r="AD9" s="141"/>
      <c r="AE9" s="141"/>
      <c r="AF9" s="141"/>
      <c r="AG9" s="141"/>
      <c r="AH9" s="141"/>
      <c r="AI9" s="141"/>
      <c r="AJ9" s="141"/>
      <c r="AK9" s="141"/>
      <c r="AL9" s="141"/>
      <c r="AM9" s="141"/>
      <c r="AN9" s="141"/>
      <c r="AO9" s="141"/>
      <c r="AP9" s="141"/>
      <c r="AQ9" s="141"/>
      <c r="AR9" s="141"/>
      <c r="AS9" s="141"/>
      <c r="AT9" s="141"/>
      <c r="AU9" s="141"/>
      <c r="AV9" s="141"/>
      <c r="AW9" s="141"/>
      <c r="AX9" s="141"/>
      <c r="AY9" s="141"/>
      <c r="AZ9" s="141"/>
      <c r="BA9" s="141"/>
      <c r="BB9" s="141"/>
    </row>
    <row r="10" spans="1:54" s="142" customFormat="1" x14ac:dyDescent="0.2">
      <c r="B10" s="143" t="s">
        <v>46</v>
      </c>
      <c r="C10" s="144"/>
      <c r="D10" s="144"/>
      <c r="E10" s="144"/>
      <c r="F10" s="144"/>
      <c r="G10" s="144"/>
      <c r="H10" s="144"/>
      <c r="I10" s="144"/>
      <c r="J10" s="144"/>
      <c r="K10" s="144"/>
      <c r="L10" s="144"/>
      <c r="M10" s="144"/>
      <c r="N10" s="144"/>
      <c r="O10" s="144"/>
    </row>
    <row r="11" spans="1:54" x14ac:dyDescent="0.2">
      <c r="B11" s="145" t="s">
        <v>288</v>
      </c>
      <c r="C11" s="146"/>
      <c r="D11" s="146"/>
      <c r="E11" s="146"/>
      <c r="F11" s="146"/>
      <c r="G11" s="146"/>
      <c r="H11" s="146"/>
      <c r="I11" s="146"/>
      <c r="J11" s="146"/>
      <c r="K11" s="146"/>
      <c r="L11" s="146"/>
      <c r="M11" s="146"/>
      <c r="N11" s="146"/>
      <c r="O11" s="146"/>
    </row>
    <row r="12" spans="1:54" x14ac:dyDescent="0.2">
      <c r="A12" s="60"/>
      <c r="B12" s="60" t="s">
        <v>43</v>
      </c>
      <c r="C12" s="59">
        <v>53.925649999999997</v>
      </c>
      <c r="D12" s="147">
        <v>51.626440000000002</v>
      </c>
      <c r="E12" s="147">
        <v>50.396610000000003</v>
      </c>
      <c r="F12" s="147">
        <v>52.027169999999998</v>
      </c>
      <c r="G12" s="59" t="s">
        <v>47</v>
      </c>
      <c r="H12" s="59" t="s">
        <v>47</v>
      </c>
      <c r="I12" s="59" t="s">
        <v>47</v>
      </c>
      <c r="J12" s="59" t="s">
        <v>47</v>
      </c>
      <c r="K12" s="59" t="s">
        <v>47</v>
      </c>
      <c r="L12" s="59" t="s">
        <v>47</v>
      </c>
      <c r="M12" s="59" t="s">
        <v>47</v>
      </c>
      <c r="N12" s="59" t="s">
        <v>47</v>
      </c>
      <c r="O12" s="59" t="s">
        <v>47</v>
      </c>
    </row>
    <row r="13" spans="1:54" x14ac:dyDescent="0.2">
      <c r="A13" s="60"/>
      <c r="B13" s="60" t="s">
        <v>48</v>
      </c>
      <c r="C13" s="59">
        <v>-5.6509479999999996</v>
      </c>
      <c r="D13" s="147">
        <v>-4.3552039999999996</v>
      </c>
      <c r="E13" s="147">
        <v>-3.790994</v>
      </c>
      <c r="F13" s="147">
        <v>-2.897243</v>
      </c>
      <c r="G13" s="59"/>
      <c r="H13" s="59"/>
      <c r="I13" s="59"/>
      <c r="J13" s="59"/>
      <c r="K13" s="59"/>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59"/>
    </row>
    <row r="14" spans="1:54" x14ac:dyDescent="0.2">
      <c r="A14" s="60"/>
      <c r="B14" s="60" t="s">
        <v>49</v>
      </c>
      <c r="C14" s="59">
        <v>0</v>
      </c>
      <c r="D14" s="147">
        <v>0</v>
      </c>
      <c r="E14" s="147">
        <v>0</v>
      </c>
      <c r="F14" s="147">
        <v>0</v>
      </c>
      <c r="G14" s="147">
        <v>0</v>
      </c>
      <c r="H14" s="147">
        <v>0</v>
      </c>
      <c r="I14" s="147">
        <v>0</v>
      </c>
      <c r="J14" s="147">
        <v>0</v>
      </c>
      <c r="K14" s="147">
        <v>0</v>
      </c>
      <c r="L14" s="147">
        <v>0</v>
      </c>
      <c r="M14" s="147">
        <v>0</v>
      </c>
      <c r="N14" s="147">
        <v>0</v>
      </c>
      <c r="O14" s="147">
        <v>0</v>
      </c>
      <c r="P14" s="147">
        <v>0</v>
      </c>
      <c r="Q14" s="147">
        <v>0</v>
      </c>
      <c r="R14" s="147">
        <v>0</v>
      </c>
      <c r="S14" s="147">
        <v>0</v>
      </c>
      <c r="T14" s="147">
        <v>0</v>
      </c>
      <c r="U14" s="147">
        <v>0</v>
      </c>
      <c r="V14" s="147">
        <v>0</v>
      </c>
      <c r="W14" s="147">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row>
    <row r="15" spans="1:54" x14ac:dyDescent="0.2">
      <c r="A15" s="60"/>
      <c r="B15" s="60" t="s">
        <v>50</v>
      </c>
      <c r="C15" s="59">
        <v>0.80446119999999999</v>
      </c>
      <c r="D15" s="147">
        <v>-1.3102750000000001</v>
      </c>
      <c r="E15" s="147">
        <v>-0.94044729999999999</v>
      </c>
      <c r="F15" s="147">
        <v>1.1851970000000001</v>
      </c>
      <c r="G15" s="147">
        <v>6.6727599999999998E-2</v>
      </c>
      <c r="H15" s="147">
        <v>0</v>
      </c>
      <c r="I15" s="147">
        <v>0</v>
      </c>
      <c r="J15" s="147">
        <v>0</v>
      </c>
      <c r="K15" s="147">
        <v>0</v>
      </c>
      <c r="L15" s="147">
        <v>0</v>
      </c>
      <c r="M15" s="147">
        <v>0</v>
      </c>
      <c r="N15" s="147">
        <v>0</v>
      </c>
      <c r="O15" s="147">
        <v>0</v>
      </c>
      <c r="P15" s="147">
        <v>0</v>
      </c>
      <c r="Q15" s="147">
        <v>0</v>
      </c>
      <c r="R15" s="147">
        <v>0</v>
      </c>
      <c r="S15" s="147">
        <v>0</v>
      </c>
      <c r="T15" s="147">
        <v>0</v>
      </c>
      <c r="U15" s="147">
        <v>0</v>
      </c>
      <c r="V15" s="147">
        <v>0</v>
      </c>
      <c r="W15" s="147">
        <v>0</v>
      </c>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59"/>
    </row>
    <row r="16" spans="1:54" x14ac:dyDescent="0.2">
      <c r="A16" s="60"/>
      <c r="B16" s="60" t="s">
        <v>51</v>
      </c>
      <c r="C16" s="59">
        <v>0.80446169999999995</v>
      </c>
      <c r="D16" s="147">
        <v>-1.3102750000000001</v>
      </c>
      <c r="E16" s="147">
        <v>-0.94044799999999995</v>
      </c>
      <c r="F16" s="147">
        <v>1.1851989999999999</v>
      </c>
      <c r="G16" s="147">
        <v>6.6724400000000003E-2</v>
      </c>
      <c r="H16" s="147">
        <v>0</v>
      </c>
      <c r="I16" s="147">
        <v>0</v>
      </c>
      <c r="J16" s="147">
        <v>0</v>
      </c>
      <c r="K16" s="147">
        <v>0</v>
      </c>
      <c r="L16" s="147">
        <v>0</v>
      </c>
      <c r="M16" s="147">
        <v>0</v>
      </c>
      <c r="N16" s="147">
        <v>0</v>
      </c>
      <c r="O16" s="147">
        <v>0</v>
      </c>
      <c r="P16" s="147">
        <v>0</v>
      </c>
      <c r="Q16" s="147">
        <v>0</v>
      </c>
      <c r="R16" s="147">
        <v>0</v>
      </c>
      <c r="S16" s="147">
        <v>0</v>
      </c>
      <c r="T16" s="147">
        <v>0</v>
      </c>
      <c r="U16" s="147">
        <v>0</v>
      </c>
      <c r="V16" s="147">
        <v>0</v>
      </c>
      <c r="W16" s="147">
        <v>0</v>
      </c>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row>
    <row r="17" spans="1:54" x14ac:dyDescent="0.2">
      <c r="A17" s="60"/>
      <c r="B17" s="365" t="s">
        <v>287</v>
      </c>
      <c r="C17" s="59"/>
      <c r="D17" s="367">
        <v>0</v>
      </c>
      <c r="E17" s="367">
        <v>0</v>
      </c>
      <c r="F17" s="367">
        <v>1</v>
      </c>
      <c r="G17" s="59"/>
      <c r="H17" s="59"/>
      <c r="I17" s="59"/>
      <c r="J17" s="59"/>
      <c r="K17" s="59"/>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59"/>
      <c r="BB17" s="59"/>
    </row>
    <row r="18" spans="1:54" x14ac:dyDescent="0.2">
      <c r="A18" s="60"/>
      <c r="B18" s="60"/>
      <c r="C18" s="59"/>
      <c r="D18" s="59"/>
      <c r="E18" s="59"/>
      <c r="F18" s="59"/>
      <c r="G18" s="59"/>
      <c r="H18" s="59"/>
      <c r="I18" s="59"/>
      <c r="J18" s="59"/>
      <c r="K18" s="59"/>
      <c r="L18" s="59"/>
      <c r="M18" s="59"/>
      <c r="N18" s="59"/>
      <c r="O18" s="59"/>
    </row>
    <row r="19" spans="1:54" x14ac:dyDescent="0.2">
      <c r="A19" s="60"/>
      <c r="B19" s="145" t="s">
        <v>271</v>
      </c>
      <c r="C19" s="59"/>
      <c r="D19" s="59"/>
      <c r="E19" s="59"/>
      <c r="F19" s="59"/>
      <c r="G19" s="59"/>
      <c r="H19" s="59"/>
      <c r="I19" s="59"/>
      <c r="J19" s="59"/>
      <c r="K19" s="59"/>
      <c r="L19" s="59"/>
      <c r="M19" s="59"/>
      <c r="N19" s="59"/>
      <c r="O19" s="59"/>
    </row>
    <row r="20" spans="1:54" x14ac:dyDescent="0.2">
      <c r="A20" s="60"/>
      <c r="B20" s="60" t="s">
        <v>52</v>
      </c>
      <c r="C20" s="59">
        <f t="shared" ref="C20:T20" si="0">(C21+C22+C23+C24-C25)</f>
        <v>0</v>
      </c>
      <c r="D20" s="148">
        <f t="shared" si="0"/>
        <v>16.93779</v>
      </c>
      <c r="E20" s="148">
        <f t="shared" si="0"/>
        <v>16.704159999999998</v>
      </c>
      <c r="F20" s="148">
        <f t="shared" si="0"/>
        <v>16.665520000000001</v>
      </c>
      <c r="G20" s="148">
        <f t="shared" si="0"/>
        <v>16.600960000000001</v>
      </c>
      <c r="H20" s="148">
        <f t="shared" si="0"/>
        <v>16.335190000000001</v>
      </c>
      <c r="I20" s="148">
        <f t="shared" si="0"/>
        <v>16.23882</v>
      </c>
      <c r="J20" s="148">
        <f t="shared" si="0"/>
        <v>16.156209999999998</v>
      </c>
      <c r="K20" s="148">
        <f t="shared" si="0"/>
        <v>16.094360000000002</v>
      </c>
      <c r="L20" s="148">
        <f t="shared" si="0"/>
        <v>16.035070000000001</v>
      </c>
      <c r="M20" s="148">
        <f t="shared" si="0"/>
        <v>15.982539999999998</v>
      </c>
      <c r="N20" s="148">
        <f t="shared" si="0"/>
        <v>15.940760000000001</v>
      </c>
      <c r="O20" s="148">
        <f t="shared" si="0"/>
        <v>15.91657</v>
      </c>
      <c r="P20" s="148">
        <f t="shared" si="0"/>
        <v>15.907859999999999</v>
      </c>
      <c r="Q20" s="148">
        <f t="shared" si="0"/>
        <v>15.914770000000001</v>
      </c>
      <c r="R20" s="148">
        <f t="shared" si="0"/>
        <v>15.935979999999999</v>
      </c>
      <c r="S20" s="148">
        <f t="shared" si="0"/>
        <v>15.96696</v>
      </c>
      <c r="T20" s="148">
        <f t="shared" si="0"/>
        <v>16.00554</v>
      </c>
      <c r="U20" s="148">
        <f t="shared" ref="U20:W20" si="1">(U21+U22+U23+U24-U25)</f>
        <v>16.059809999999999</v>
      </c>
      <c r="V20" s="148">
        <f t="shared" si="1"/>
        <v>16.1328</v>
      </c>
      <c r="W20" s="148">
        <f t="shared" si="1"/>
        <v>16.22383</v>
      </c>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row>
    <row r="21" spans="1:54" x14ac:dyDescent="0.2">
      <c r="A21" s="60"/>
      <c r="B21" s="149" t="s">
        <v>53</v>
      </c>
      <c r="C21" s="59">
        <v>0</v>
      </c>
      <c r="D21" s="148">
        <v>6.1537099999999993</v>
      </c>
      <c r="E21" s="148">
        <v>6.09795</v>
      </c>
      <c r="F21" s="148">
        <v>6.0868699999999993</v>
      </c>
      <c r="G21" s="148">
        <v>6.0042499999999999</v>
      </c>
      <c r="H21" s="148">
        <v>5.8053900000000001</v>
      </c>
      <c r="I21" s="148">
        <v>5.7028299999999996</v>
      </c>
      <c r="J21" s="148">
        <v>5.6048099999999996</v>
      </c>
      <c r="K21" s="148">
        <v>5.51349</v>
      </c>
      <c r="L21" s="148">
        <v>5.4225200000000005</v>
      </c>
      <c r="M21" s="148">
        <v>5.3392599999999995</v>
      </c>
      <c r="N21" s="148">
        <v>5.2665600000000001</v>
      </c>
      <c r="O21" s="148">
        <v>5.2158999999999995</v>
      </c>
      <c r="P21" s="148">
        <v>5.1727600000000002</v>
      </c>
      <c r="Q21" s="148">
        <v>5.1426699999999999</v>
      </c>
      <c r="R21" s="148">
        <v>5.1286800000000001</v>
      </c>
      <c r="S21" s="148">
        <v>5.1284000000000001</v>
      </c>
      <c r="T21" s="148">
        <v>5.1377899999999999</v>
      </c>
      <c r="U21" s="148">
        <v>5.1627999999999998</v>
      </c>
      <c r="V21" s="148">
        <v>5.2052199999999997</v>
      </c>
      <c r="W21" s="148">
        <v>5.2622599999999995</v>
      </c>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59"/>
      <c r="BB21" s="59"/>
    </row>
    <row r="22" spans="1:54" x14ac:dyDescent="0.2">
      <c r="A22" s="60"/>
      <c r="B22" s="150" t="s">
        <v>54</v>
      </c>
      <c r="C22" s="59">
        <v>0</v>
      </c>
      <c r="D22" s="148">
        <v>5.1216900000000001</v>
      </c>
      <c r="E22" s="148">
        <v>5.0423</v>
      </c>
      <c r="F22" s="148">
        <v>5.0744899999999999</v>
      </c>
      <c r="G22" s="148">
        <v>5.1145899999999997</v>
      </c>
      <c r="H22" s="148">
        <v>5.0679600000000002</v>
      </c>
      <c r="I22" s="148">
        <v>5.0936000000000003</v>
      </c>
      <c r="J22" s="148">
        <v>5.1189499999999999</v>
      </c>
      <c r="K22" s="148">
        <v>5.14656</v>
      </c>
      <c r="L22" s="148">
        <v>5.1716499999999996</v>
      </c>
      <c r="M22" s="148">
        <v>5.1988199999999996</v>
      </c>
      <c r="N22" s="148">
        <v>5.2256999999999998</v>
      </c>
      <c r="O22" s="148">
        <v>5.2541400000000005</v>
      </c>
      <c r="P22" s="148">
        <v>5.2837399999999999</v>
      </c>
      <c r="Q22" s="148">
        <v>5.3115800000000002</v>
      </c>
      <c r="R22" s="148">
        <v>5.34077</v>
      </c>
      <c r="S22" s="148">
        <v>5.3687800000000001</v>
      </c>
      <c r="T22" s="148">
        <v>5.3948700000000001</v>
      </c>
      <c r="U22" s="148">
        <v>5.4202500000000002</v>
      </c>
      <c r="V22" s="148">
        <v>5.4445800000000002</v>
      </c>
      <c r="W22" s="148">
        <v>5.4688100000000004</v>
      </c>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c r="BA22" s="59"/>
      <c r="BB22" s="59"/>
    </row>
    <row r="23" spans="1:54" x14ac:dyDescent="0.2">
      <c r="A23" s="60"/>
      <c r="B23" s="150" t="s">
        <v>55</v>
      </c>
      <c r="C23" s="59">
        <v>0</v>
      </c>
      <c r="D23" s="148">
        <v>1.16699</v>
      </c>
      <c r="E23" s="148">
        <v>1.1789700000000001</v>
      </c>
      <c r="F23" s="148">
        <v>1.1993200000000002</v>
      </c>
      <c r="G23" s="148">
        <v>1.2373399999999999</v>
      </c>
      <c r="H23" s="148">
        <v>1.2684199999999999</v>
      </c>
      <c r="I23" s="148">
        <v>1.2973699999999999</v>
      </c>
      <c r="J23" s="148">
        <v>1.32267</v>
      </c>
      <c r="K23" s="148">
        <v>1.3567100000000001</v>
      </c>
      <c r="L23" s="148">
        <v>1.3933900000000001</v>
      </c>
      <c r="M23" s="148">
        <v>1.42621</v>
      </c>
      <c r="N23" s="148">
        <v>1.45625</v>
      </c>
      <c r="O23" s="148">
        <v>1.4841899999999999</v>
      </c>
      <c r="P23" s="148">
        <v>1.5136099999999999</v>
      </c>
      <c r="Q23" s="148">
        <v>1.54132</v>
      </c>
      <c r="R23" s="148">
        <v>1.56501</v>
      </c>
      <c r="S23" s="148">
        <v>1.5870700000000002</v>
      </c>
      <c r="T23" s="148">
        <v>1.6058699999999999</v>
      </c>
      <c r="U23" s="148">
        <v>1.62209</v>
      </c>
      <c r="V23" s="148">
        <v>1.6384300000000001</v>
      </c>
      <c r="W23" s="148">
        <v>1.6545700000000001</v>
      </c>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c r="BA23" s="59"/>
      <c r="BB23" s="59"/>
    </row>
    <row r="24" spans="1:54" x14ac:dyDescent="0.2">
      <c r="A24" s="60"/>
      <c r="B24" s="150" t="s">
        <v>56</v>
      </c>
      <c r="C24" s="59">
        <v>0</v>
      </c>
      <c r="D24" s="148">
        <v>4.4954000000000001</v>
      </c>
      <c r="E24" s="148">
        <v>4.3849399999999994</v>
      </c>
      <c r="F24" s="148">
        <v>4.3048400000000004</v>
      </c>
      <c r="G24" s="148">
        <v>4.2447800000000004</v>
      </c>
      <c r="H24" s="148">
        <v>4.1934199999999997</v>
      </c>
      <c r="I24" s="148">
        <v>4.1450199999999997</v>
      </c>
      <c r="J24" s="148">
        <v>4.1097799999999998</v>
      </c>
      <c r="K24" s="148">
        <v>4.0776000000000003</v>
      </c>
      <c r="L24" s="148">
        <v>4.0475099999999999</v>
      </c>
      <c r="M24" s="148">
        <v>4.0182500000000001</v>
      </c>
      <c r="N24" s="148">
        <v>3.9922499999999999</v>
      </c>
      <c r="O24" s="148">
        <v>3.9623400000000002</v>
      </c>
      <c r="P24" s="148">
        <v>3.9377500000000003</v>
      </c>
      <c r="Q24" s="148">
        <v>3.9191999999999996</v>
      </c>
      <c r="R24" s="148">
        <v>3.9015200000000001</v>
      </c>
      <c r="S24" s="148">
        <v>3.8827100000000003</v>
      </c>
      <c r="T24" s="148">
        <v>3.8670100000000001</v>
      </c>
      <c r="U24" s="148">
        <v>3.8546700000000005</v>
      </c>
      <c r="V24" s="148">
        <v>3.84457</v>
      </c>
      <c r="W24" s="148">
        <v>3.8381899999999995</v>
      </c>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row>
    <row r="25" spans="1:54" x14ac:dyDescent="0.2">
      <c r="A25" s="60"/>
      <c r="B25" s="150" t="s">
        <v>57</v>
      </c>
      <c r="C25" s="59">
        <v>0</v>
      </c>
      <c r="D25" s="148">
        <v>0</v>
      </c>
      <c r="E25" s="148">
        <v>0</v>
      </c>
      <c r="F25" s="148">
        <v>0</v>
      </c>
      <c r="G25" s="148">
        <v>0</v>
      </c>
      <c r="H25" s="148">
        <v>0</v>
      </c>
      <c r="I25" s="148">
        <v>0</v>
      </c>
      <c r="J25" s="148">
        <v>0</v>
      </c>
      <c r="K25" s="148">
        <v>0</v>
      </c>
      <c r="L25" s="148">
        <v>0</v>
      </c>
      <c r="M25" s="148">
        <v>0</v>
      </c>
      <c r="N25" s="148">
        <v>0</v>
      </c>
      <c r="O25" s="148">
        <v>0</v>
      </c>
      <c r="P25" s="148">
        <v>0</v>
      </c>
      <c r="Q25" s="148">
        <v>0</v>
      </c>
      <c r="R25" s="148">
        <v>0</v>
      </c>
      <c r="S25" s="148">
        <v>0</v>
      </c>
      <c r="T25" s="148">
        <v>0</v>
      </c>
      <c r="U25" s="148">
        <v>0</v>
      </c>
      <c r="V25" s="148">
        <v>0</v>
      </c>
      <c r="W25" s="148">
        <v>0</v>
      </c>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row>
    <row r="26" spans="1:54" x14ac:dyDescent="0.2">
      <c r="A26" s="60"/>
      <c r="B26" s="149" t="s">
        <v>58</v>
      </c>
      <c r="C26" s="59">
        <v>0.52142140000000003</v>
      </c>
      <c r="D26" s="148">
        <v>0.43654569999999998</v>
      </c>
      <c r="E26" s="148">
        <v>0.43370209999999998</v>
      </c>
      <c r="F26" s="148">
        <v>0.43085859999999998</v>
      </c>
      <c r="G26" s="148">
        <v>0.42801499999999998</v>
      </c>
      <c r="H26" s="148">
        <v>0.42517149999999998</v>
      </c>
      <c r="I26" s="148">
        <v>0.42232789999999998</v>
      </c>
      <c r="J26" s="148">
        <v>0.41948429999999998</v>
      </c>
      <c r="K26" s="148">
        <v>0.41664079999999998</v>
      </c>
      <c r="L26" s="148">
        <v>0.41379729999999998</v>
      </c>
      <c r="M26" s="148">
        <v>0.41095369999999998</v>
      </c>
      <c r="N26" s="148">
        <v>0.40811009999999998</v>
      </c>
      <c r="O26" s="148">
        <v>0.40526659999999998</v>
      </c>
      <c r="P26" s="148">
        <v>0.40242309999999998</v>
      </c>
      <c r="Q26" s="148">
        <v>0.39957949999999998</v>
      </c>
      <c r="R26" s="148">
        <v>0.39673599999999998</v>
      </c>
      <c r="S26" s="148">
        <v>0.39389239999999998</v>
      </c>
      <c r="T26" s="148">
        <v>0.39104889999999998</v>
      </c>
      <c r="U26" s="148">
        <v>0.38820529999999998</v>
      </c>
      <c r="V26" s="148">
        <v>0.38536179999999998</v>
      </c>
      <c r="W26" s="148">
        <v>0.38251829999999998</v>
      </c>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row>
    <row r="27" spans="1:54" x14ac:dyDescent="0.2">
      <c r="A27" s="60"/>
      <c r="B27" s="60"/>
      <c r="C27" s="60"/>
      <c r="D27" s="60"/>
      <c r="E27" s="60"/>
      <c r="F27" s="60"/>
      <c r="G27" s="60"/>
      <c r="H27" s="60"/>
      <c r="I27" s="60"/>
      <c r="J27" s="60"/>
      <c r="K27" s="60"/>
      <c r="L27" s="60"/>
      <c r="M27" s="60"/>
      <c r="N27" s="60"/>
      <c r="O27" s="60"/>
    </row>
    <row r="28" spans="1:54" s="142" customFormat="1" x14ac:dyDescent="0.2">
      <c r="A28" s="151"/>
      <c r="B28" s="143" t="s">
        <v>243</v>
      </c>
      <c r="C28" s="151"/>
      <c r="D28" s="151"/>
      <c r="E28" s="151"/>
      <c r="F28" s="151"/>
      <c r="G28" s="151"/>
      <c r="H28" s="151"/>
      <c r="I28" s="151"/>
      <c r="J28" s="151"/>
      <c r="K28" s="151"/>
      <c r="L28" s="151"/>
      <c r="M28" s="151"/>
      <c r="N28" s="151"/>
      <c r="O28" s="151"/>
    </row>
    <row r="29" spans="1:54" x14ac:dyDescent="0.2">
      <c r="A29" s="60"/>
      <c r="B29" s="145" t="s">
        <v>59</v>
      </c>
      <c r="C29" s="60"/>
      <c r="D29" s="60"/>
      <c r="E29" s="60"/>
      <c r="F29" s="60"/>
      <c r="G29" s="60"/>
      <c r="H29" s="60"/>
      <c r="I29" s="60"/>
      <c r="J29" s="60"/>
      <c r="K29" s="60"/>
      <c r="L29" s="60"/>
      <c r="M29" s="60"/>
      <c r="N29" s="60"/>
      <c r="O29" s="60"/>
    </row>
    <row r="30" spans="1:54" x14ac:dyDescent="0.2">
      <c r="A30" s="60"/>
      <c r="B30" s="60" t="s">
        <v>60</v>
      </c>
      <c r="C30" s="152">
        <v>12.513949999999999</v>
      </c>
      <c r="D30" s="153">
        <v>8.0755689999999998</v>
      </c>
      <c r="E30" s="153">
        <v>5.6139260000000002</v>
      </c>
      <c r="F30" s="153">
        <v>4.5722800000000001</v>
      </c>
      <c r="G30" s="153">
        <v>4.8451979999999999</v>
      </c>
      <c r="H30" s="153">
        <v>4.8073629999999996</v>
      </c>
      <c r="I30" s="153">
        <v>4.8806839999999996</v>
      </c>
      <c r="J30" s="153">
        <v>4.7310949999999998</v>
      </c>
      <c r="K30" s="153">
        <v>4.5981800000000002</v>
      </c>
      <c r="L30" s="153">
        <v>4.5042590000000002</v>
      </c>
      <c r="M30" s="153">
        <v>4.3482380000000003</v>
      </c>
      <c r="N30" s="153">
        <v>4.1701290000000002</v>
      </c>
      <c r="O30" s="153">
        <v>4.1159239999999997</v>
      </c>
      <c r="P30" s="154">
        <v>3.776726</v>
      </c>
      <c r="Q30" s="154">
        <v>3.4375260000000001</v>
      </c>
      <c r="R30" s="154">
        <v>3.0983320000000001</v>
      </c>
      <c r="S30" s="154">
        <v>2.9864269999999999</v>
      </c>
      <c r="T30" s="154">
        <v>2.845796</v>
      </c>
      <c r="U30" s="154">
        <v>2.6784659999999998</v>
      </c>
      <c r="V30" s="154">
        <v>2.5182220000000002</v>
      </c>
      <c r="W30" s="154">
        <v>2.3694350000000002</v>
      </c>
      <c r="X30" s="152"/>
      <c r="Y30" s="152"/>
      <c r="Z30" s="152"/>
      <c r="AA30" s="152"/>
      <c r="AB30" s="152"/>
      <c r="AC30" s="152"/>
      <c r="AD30" s="152"/>
      <c r="AE30" s="152"/>
      <c r="AF30" s="152"/>
      <c r="AG30" s="152"/>
      <c r="AH30" s="152"/>
      <c r="AI30" s="152"/>
      <c r="AJ30" s="152"/>
      <c r="AK30" s="152"/>
      <c r="AL30" s="152"/>
      <c r="AM30" s="152"/>
      <c r="AN30" s="152"/>
      <c r="AO30" s="152"/>
      <c r="AP30" s="152"/>
      <c r="AQ30" s="152"/>
      <c r="AR30" s="152"/>
      <c r="AS30" s="152"/>
      <c r="AT30" s="152"/>
      <c r="AU30" s="152"/>
      <c r="AV30" s="152"/>
      <c r="AW30" s="152"/>
      <c r="AX30" s="152"/>
      <c r="AY30" s="152"/>
      <c r="AZ30" s="152"/>
      <c r="BA30" s="152"/>
      <c r="BB30" s="152"/>
    </row>
    <row r="31" spans="1:54" x14ac:dyDescent="0.2">
      <c r="A31" s="60"/>
      <c r="B31" s="300" t="s">
        <v>201</v>
      </c>
      <c r="C31" s="152">
        <v>13.624549999999999</v>
      </c>
    </row>
    <row r="32" spans="1:54" x14ac:dyDescent="0.2">
      <c r="A32" s="60"/>
      <c r="B32" s="145" t="s">
        <v>62</v>
      </c>
      <c r="C32" s="60"/>
      <c r="D32" s="60"/>
      <c r="E32" s="60"/>
      <c r="F32" s="60"/>
      <c r="G32" s="60"/>
      <c r="H32" s="60"/>
      <c r="I32" s="60"/>
      <c r="J32" s="60"/>
      <c r="K32" s="60"/>
      <c r="L32" s="60"/>
      <c r="M32" s="60"/>
      <c r="N32" s="60"/>
      <c r="O32" s="60"/>
      <c r="P32" s="60"/>
      <c r="Q32" s="60"/>
      <c r="R32" s="60"/>
      <c r="S32" s="60"/>
      <c r="T32" s="60"/>
      <c r="U32" s="60"/>
      <c r="V32" s="60"/>
      <c r="W32" s="60"/>
      <c r="X32" s="60"/>
      <c r="Y32" s="60"/>
      <c r="Z32" s="60"/>
      <c r="AA32" s="60"/>
      <c r="AB32" s="60"/>
      <c r="AC32" s="60"/>
      <c r="AD32" s="60"/>
      <c r="AE32" s="60"/>
      <c r="AF32" s="60"/>
      <c r="AG32" s="60"/>
      <c r="AH32" s="60"/>
      <c r="AI32" s="60"/>
      <c r="AJ32" s="60"/>
      <c r="AK32" s="60"/>
      <c r="AL32" s="60"/>
      <c r="AM32" s="60"/>
      <c r="AN32" s="60"/>
      <c r="AO32" s="60"/>
      <c r="AP32" s="60"/>
      <c r="AQ32" s="60"/>
      <c r="AR32" s="60"/>
      <c r="AS32" s="60"/>
      <c r="AT32" s="60"/>
      <c r="AU32" s="60"/>
      <c r="AV32" s="60"/>
      <c r="AW32" s="60"/>
      <c r="AX32" s="60"/>
      <c r="AY32" s="60"/>
      <c r="AZ32" s="60"/>
      <c r="BA32" s="60"/>
      <c r="BB32" s="60"/>
    </row>
    <row r="33" spans="1:54" x14ac:dyDescent="0.2">
      <c r="A33" s="60"/>
      <c r="B33" s="60" t="s">
        <v>60</v>
      </c>
      <c r="C33" s="152">
        <v>3.8581979999999998</v>
      </c>
      <c r="D33" s="153">
        <v>6.6633380000000004</v>
      </c>
      <c r="E33" s="153">
        <v>5.1062909999999997</v>
      </c>
      <c r="F33" s="153">
        <v>4.9185439999999998</v>
      </c>
      <c r="G33" s="153">
        <v>4.8690639999999998</v>
      </c>
      <c r="H33" s="153">
        <v>4.6773179999999996</v>
      </c>
      <c r="I33" s="153">
        <v>4.7074340000000001</v>
      </c>
      <c r="J33" s="153">
        <v>4.6446750000000003</v>
      </c>
      <c r="K33" s="153">
        <v>4.5981820000000004</v>
      </c>
      <c r="L33" s="153">
        <v>4.504264</v>
      </c>
      <c r="M33" s="153">
        <v>4.3482380000000003</v>
      </c>
      <c r="N33" s="153">
        <v>4.1701249999999996</v>
      </c>
      <c r="O33" s="153">
        <v>4.1159220000000003</v>
      </c>
      <c r="P33" s="154">
        <v>3.7767240000000002</v>
      </c>
      <c r="Q33" s="154">
        <v>3.4375260000000001</v>
      </c>
      <c r="R33" s="154">
        <v>3.0983290000000001</v>
      </c>
      <c r="S33" s="154">
        <v>2.986424</v>
      </c>
      <c r="T33" s="154">
        <v>2.8457970000000001</v>
      </c>
      <c r="U33" s="154">
        <v>2.6784680000000001</v>
      </c>
      <c r="V33" s="154">
        <v>2.5182250000000002</v>
      </c>
      <c r="W33" s="154">
        <v>2.369437</v>
      </c>
      <c r="X33" s="152"/>
      <c r="Y33" s="152"/>
      <c r="Z33" s="152"/>
      <c r="AA33" s="152"/>
      <c r="AB33" s="152"/>
      <c r="AC33" s="152"/>
      <c r="AD33" s="152"/>
      <c r="AE33" s="152"/>
      <c r="AF33" s="152"/>
      <c r="AG33" s="152"/>
      <c r="AH33" s="152"/>
      <c r="AI33" s="152"/>
      <c r="AJ33" s="152"/>
      <c r="AK33" s="152"/>
      <c r="AL33" s="152"/>
      <c r="AM33" s="152"/>
      <c r="AN33" s="152"/>
      <c r="AO33" s="152"/>
      <c r="AP33" s="152"/>
      <c r="AQ33" s="152"/>
      <c r="AR33" s="152"/>
      <c r="AS33" s="152"/>
      <c r="AT33" s="152"/>
      <c r="AU33" s="152"/>
      <c r="AV33" s="152"/>
      <c r="AW33" s="152"/>
      <c r="AX33" s="152"/>
      <c r="AY33" s="152"/>
      <c r="AZ33" s="152"/>
      <c r="BA33" s="152"/>
      <c r="BB33" s="152"/>
    </row>
    <row r="34" spans="1:54" x14ac:dyDescent="0.2">
      <c r="A34" s="60"/>
      <c r="B34" s="300" t="s">
        <v>201</v>
      </c>
      <c r="C34" s="152">
        <v>13.87421</v>
      </c>
      <c r="D34" s="60"/>
      <c r="E34" s="60"/>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row>
    <row r="35" spans="1:54" x14ac:dyDescent="0.2">
      <c r="A35" s="60"/>
      <c r="B35" s="300"/>
      <c r="C35" s="152"/>
      <c r="D35" s="60"/>
      <c r="E35" s="60"/>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0"/>
      <c r="AQ35" s="60"/>
      <c r="AR35" s="60"/>
      <c r="AS35" s="60"/>
      <c r="AT35" s="60"/>
      <c r="AU35" s="60"/>
      <c r="AV35" s="60"/>
      <c r="AW35" s="60"/>
      <c r="AX35" s="60"/>
      <c r="AY35" s="60"/>
      <c r="AZ35" s="60"/>
      <c r="BA35" s="60"/>
      <c r="BB35" s="60"/>
    </row>
    <row r="36" spans="1:54" s="142" customFormat="1" x14ac:dyDescent="0.2">
      <c r="A36" s="151"/>
      <c r="B36" s="143" t="s">
        <v>255</v>
      </c>
      <c r="C36" s="151"/>
      <c r="D36" s="151"/>
      <c r="E36" s="151"/>
      <c r="F36" s="151"/>
      <c r="G36" s="151"/>
      <c r="H36" s="151"/>
      <c r="I36" s="151"/>
      <c r="J36" s="151"/>
      <c r="K36" s="151"/>
      <c r="L36" s="151"/>
      <c r="M36" s="151"/>
      <c r="N36" s="151"/>
      <c r="O36" s="151"/>
      <c r="P36" s="151"/>
      <c r="Q36" s="151"/>
      <c r="R36" s="151"/>
      <c r="S36" s="151"/>
      <c r="T36" s="151"/>
      <c r="U36" s="151"/>
      <c r="V36" s="151"/>
      <c r="W36" s="151"/>
      <c r="X36" s="151"/>
      <c r="Y36" s="151"/>
      <c r="Z36" s="151"/>
      <c r="AA36" s="151"/>
      <c r="AB36" s="151"/>
      <c r="AC36" s="151"/>
      <c r="AD36" s="151"/>
      <c r="AE36" s="151"/>
      <c r="AF36" s="151"/>
      <c r="AG36" s="151"/>
      <c r="AH36" s="151"/>
      <c r="AI36" s="151"/>
      <c r="AJ36" s="151"/>
      <c r="AK36" s="151"/>
      <c r="AL36" s="151"/>
      <c r="AM36" s="151"/>
      <c r="AN36" s="151"/>
      <c r="AO36" s="151"/>
      <c r="AP36" s="151"/>
      <c r="AQ36" s="151"/>
      <c r="AR36" s="151"/>
      <c r="AS36" s="151"/>
      <c r="AT36" s="151"/>
      <c r="AU36" s="151"/>
      <c r="AV36" s="151"/>
      <c r="AW36" s="151"/>
      <c r="AX36" s="151"/>
      <c r="AY36" s="151"/>
      <c r="AZ36" s="151"/>
      <c r="BA36" s="151"/>
      <c r="BB36" s="151"/>
    </row>
    <row r="37" spans="1:54" x14ac:dyDescent="0.2">
      <c r="A37" s="60"/>
      <c r="B37" s="60" t="s">
        <v>63</v>
      </c>
      <c r="C37" s="59">
        <v>2.4089399999999999</v>
      </c>
      <c r="D37" s="147">
        <v>1.9834700000000001</v>
      </c>
      <c r="E37" s="147">
        <v>2.3767499999999999</v>
      </c>
      <c r="F37" s="147">
        <v>2.7490950000000001</v>
      </c>
      <c r="G37" s="147">
        <v>2.7383609999999998</v>
      </c>
      <c r="H37" s="59"/>
      <c r="I37" s="59"/>
      <c r="J37" s="59"/>
      <c r="K37" s="59"/>
      <c r="L37" s="59"/>
      <c r="M37" s="59"/>
      <c r="N37" s="59"/>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row>
    <row r="38" spans="1:54" x14ac:dyDescent="0.2">
      <c r="A38" s="60"/>
      <c r="B38" s="149" t="s">
        <v>64</v>
      </c>
      <c r="D38" s="147">
        <v>0.35</v>
      </c>
      <c r="E38" s="147">
        <v>3.43</v>
      </c>
      <c r="F38" s="288">
        <v>3.5642079999999998</v>
      </c>
      <c r="G38" s="289">
        <v>2.8163749999999999</v>
      </c>
      <c r="H38" s="59"/>
    </row>
    <row r="39" spans="1:54" x14ac:dyDescent="0.2">
      <c r="A39" s="60"/>
      <c r="B39" s="149" t="s">
        <v>65</v>
      </c>
      <c r="D39" s="147">
        <v>2.41</v>
      </c>
      <c r="E39" s="147">
        <v>3.71</v>
      </c>
      <c r="F39" s="290">
        <v>3.4970020000000002</v>
      </c>
      <c r="G39" s="291">
        <v>3.5053580000000002</v>
      </c>
      <c r="H39" s="59"/>
    </row>
    <row r="40" spans="1:54" x14ac:dyDescent="0.2">
      <c r="A40" s="60"/>
      <c r="B40" s="150"/>
      <c r="C40" s="59"/>
      <c r="D40" s="59"/>
      <c r="E40" s="155"/>
      <c r="F40" s="287" t="s">
        <v>71</v>
      </c>
      <c r="G40" s="155"/>
      <c r="H40" s="155"/>
      <c r="I40" s="155"/>
      <c r="J40" s="155"/>
      <c r="K40" s="155"/>
      <c r="L40" s="155"/>
      <c r="M40" s="155"/>
      <c r="N40" s="155"/>
      <c r="O40" s="155"/>
      <c r="P40" s="155"/>
      <c r="Q40" s="155"/>
      <c r="R40" s="155"/>
      <c r="S40" s="155"/>
      <c r="T40" s="155"/>
      <c r="U40" s="155"/>
      <c r="V40" s="155"/>
      <c r="W40" s="155"/>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59"/>
      <c r="AZ40" s="59"/>
      <c r="BA40" s="59"/>
      <c r="BB40" s="59"/>
    </row>
    <row r="41" spans="1:54" s="142" customFormat="1" x14ac:dyDescent="0.2">
      <c r="A41" s="151"/>
      <c r="B41" s="156" t="s">
        <v>256</v>
      </c>
      <c r="C41" s="157"/>
      <c r="D41" s="157"/>
      <c r="E41" s="157"/>
      <c r="F41" s="157"/>
      <c r="G41" s="158"/>
      <c r="H41" s="158"/>
      <c r="I41" s="158"/>
      <c r="J41" s="158"/>
      <c r="K41" s="158"/>
      <c r="L41" s="158"/>
      <c r="M41" s="158"/>
      <c r="N41" s="158"/>
      <c r="O41" s="158"/>
      <c r="P41" s="158"/>
      <c r="Q41" s="158"/>
      <c r="R41" s="158"/>
      <c r="S41" s="158"/>
      <c r="T41" s="158"/>
      <c r="U41" s="158"/>
      <c r="V41" s="158"/>
      <c r="W41" s="158"/>
      <c r="X41" s="157"/>
      <c r="Y41" s="157"/>
      <c r="Z41" s="157"/>
      <c r="AA41" s="157"/>
      <c r="AB41" s="157"/>
      <c r="AC41" s="157"/>
      <c r="AD41" s="157"/>
      <c r="AE41" s="157"/>
      <c r="AF41" s="157"/>
      <c r="AG41" s="157"/>
      <c r="AH41" s="157"/>
      <c r="AI41" s="157"/>
      <c r="AJ41" s="157"/>
      <c r="AK41" s="157"/>
      <c r="AL41" s="157"/>
      <c r="AM41" s="157"/>
      <c r="AN41" s="157"/>
      <c r="AO41" s="157"/>
      <c r="AP41" s="157"/>
      <c r="AQ41" s="157"/>
      <c r="AR41" s="157"/>
      <c r="AS41" s="157"/>
      <c r="AT41" s="157"/>
      <c r="AU41" s="157"/>
      <c r="AV41" s="157"/>
      <c r="AW41" s="157"/>
      <c r="AX41" s="157"/>
      <c r="AY41" s="157"/>
      <c r="AZ41" s="157"/>
      <c r="BA41" s="157"/>
      <c r="BB41" s="157"/>
    </row>
    <row r="42" spans="1:54" x14ac:dyDescent="0.2">
      <c r="A42" s="60"/>
      <c r="B42" s="60" t="s">
        <v>66</v>
      </c>
      <c r="C42" s="59">
        <v>2.0052530000000002</v>
      </c>
      <c r="D42" s="147">
        <v>5.2614710000000002</v>
      </c>
      <c r="E42" s="147">
        <v>5.2736159999999996</v>
      </c>
      <c r="F42" s="147">
        <v>3.6423429999999999</v>
      </c>
      <c r="G42" s="147">
        <v>2.5339109999999998</v>
      </c>
      <c r="H42" s="59"/>
      <c r="I42" s="59"/>
      <c r="J42" s="59"/>
      <c r="K42" s="59"/>
      <c r="L42" s="59"/>
      <c r="M42" s="59"/>
      <c r="N42" s="59"/>
      <c r="O42" s="59"/>
      <c r="P42" s="59"/>
      <c r="Q42" s="59"/>
      <c r="R42" s="59"/>
      <c r="S42" s="59"/>
      <c r="T42" s="59"/>
      <c r="U42" s="59"/>
      <c r="V42" s="59"/>
      <c r="W42" s="59"/>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59"/>
      <c r="AZ42" s="59"/>
      <c r="BA42" s="59"/>
      <c r="BB42" s="59"/>
    </row>
    <row r="43" spans="1:54" x14ac:dyDescent="0.2">
      <c r="A43" s="60"/>
    </row>
    <row r="44" spans="1:54" s="142" customFormat="1" x14ac:dyDescent="0.2">
      <c r="A44" s="151"/>
      <c r="B44" s="156" t="s">
        <v>257</v>
      </c>
      <c r="C44" s="157"/>
      <c r="D44" s="157"/>
      <c r="E44" s="157"/>
      <c r="F44" s="157"/>
      <c r="G44" s="158"/>
      <c r="H44" s="158"/>
      <c r="I44" s="158"/>
      <c r="J44" s="158"/>
      <c r="K44" s="158"/>
      <c r="L44" s="158"/>
      <c r="M44" s="158"/>
      <c r="N44" s="158"/>
      <c r="O44" s="158"/>
      <c r="P44" s="158"/>
      <c r="Q44" s="158"/>
      <c r="R44" s="158"/>
      <c r="S44" s="158"/>
      <c r="T44" s="158"/>
      <c r="U44" s="158"/>
      <c r="V44" s="158"/>
      <c r="W44" s="158"/>
      <c r="X44" s="157"/>
      <c r="Y44" s="157"/>
      <c r="Z44" s="157"/>
      <c r="AA44" s="157"/>
      <c r="AB44" s="157"/>
      <c r="AC44" s="157"/>
      <c r="AD44" s="157"/>
      <c r="AE44" s="157"/>
      <c r="AF44" s="157"/>
      <c r="AG44" s="157"/>
      <c r="AH44" s="157"/>
      <c r="AI44" s="157"/>
      <c r="AJ44" s="157"/>
      <c r="AK44" s="157"/>
      <c r="AL44" s="157"/>
      <c r="AM44" s="157"/>
      <c r="AN44" s="157"/>
      <c r="AO44" s="157"/>
      <c r="AP44" s="157"/>
      <c r="AQ44" s="157"/>
      <c r="AR44" s="157"/>
      <c r="AS44" s="157"/>
      <c r="AT44" s="157"/>
      <c r="AU44" s="157"/>
      <c r="AV44" s="157"/>
      <c r="AW44" s="157"/>
      <c r="AX44" s="157"/>
      <c r="AY44" s="157"/>
      <c r="AZ44" s="157"/>
      <c r="BA44" s="157"/>
      <c r="BB44" s="157"/>
    </row>
    <row r="45" spans="1:54" x14ac:dyDescent="0.2">
      <c r="A45" s="60"/>
      <c r="B45" s="60" t="s">
        <v>30</v>
      </c>
      <c r="C45" s="59">
        <v>19.796113779813659</v>
      </c>
      <c r="D45" s="147">
        <v>13.084528102274954</v>
      </c>
      <c r="E45" s="147">
        <v>9.2925167870017127</v>
      </c>
      <c r="F45" s="147">
        <v>5.4768546648577532</v>
      </c>
      <c r="G45" s="59"/>
      <c r="H45" s="59"/>
      <c r="I45" s="59"/>
      <c r="J45" s="59"/>
      <c r="K45" s="59"/>
      <c r="L45" s="59"/>
      <c r="M45" s="59"/>
      <c r="N45" s="59"/>
      <c r="O45" s="59"/>
      <c r="P45" s="59"/>
      <c r="Q45" s="59"/>
      <c r="R45" s="59"/>
      <c r="S45" s="59"/>
      <c r="T45" s="59"/>
      <c r="U45" s="59"/>
      <c r="V45" s="59"/>
      <c r="W45" s="59"/>
      <c r="X45" s="59"/>
      <c r="Y45" s="59"/>
      <c r="Z45" s="59"/>
      <c r="AA45" s="59"/>
      <c r="AB45" s="59"/>
      <c r="AC45" s="59"/>
      <c r="AD45" s="59"/>
      <c r="AE45" s="59"/>
      <c r="AF45" s="59"/>
      <c r="AG45" s="59"/>
      <c r="AH45" s="59"/>
      <c r="AI45" s="59"/>
      <c r="AJ45" s="59"/>
      <c r="AK45" s="59"/>
      <c r="AL45" s="59"/>
      <c r="AM45" s="59"/>
      <c r="AN45" s="59"/>
      <c r="AO45" s="59"/>
      <c r="AP45" s="59"/>
      <c r="AQ45" s="59"/>
      <c r="AR45" s="59"/>
      <c r="AS45" s="59"/>
      <c r="AT45" s="59"/>
      <c r="AU45" s="59"/>
      <c r="AV45" s="59"/>
      <c r="AW45" s="59"/>
      <c r="AX45" s="59"/>
      <c r="AY45" s="59"/>
      <c r="AZ45" s="59"/>
      <c r="BA45" s="59"/>
      <c r="BB45" s="59"/>
    </row>
    <row r="46" spans="1:54" x14ac:dyDescent="0.2">
      <c r="A46" s="60"/>
    </row>
    <row r="47" spans="1:54" s="138" customFormat="1" x14ac:dyDescent="0.2">
      <c r="A47" s="140"/>
      <c r="B47" s="139" t="s">
        <v>67</v>
      </c>
      <c r="C47" s="159"/>
      <c r="D47" s="159"/>
    </row>
    <row r="48" spans="1:54" x14ac:dyDescent="0.2">
      <c r="A48" s="60"/>
      <c r="B48" s="160"/>
      <c r="C48" s="59"/>
      <c r="D48" s="59"/>
      <c r="E48" s="301" t="s">
        <v>174</v>
      </c>
    </row>
    <row r="49" spans="1:5" x14ac:dyDescent="0.2">
      <c r="A49" s="60"/>
      <c r="B49" s="60" t="s">
        <v>68</v>
      </c>
      <c r="C49" s="63">
        <v>0.75</v>
      </c>
      <c r="D49" s="59"/>
      <c r="E49" s="60" t="s">
        <v>69</v>
      </c>
    </row>
    <row r="50" spans="1:5" x14ac:dyDescent="0.2">
      <c r="A50" s="60"/>
      <c r="B50" s="60" t="s">
        <v>258</v>
      </c>
      <c r="C50" s="59">
        <v>0.47899999999999998</v>
      </c>
      <c r="D50" s="59"/>
      <c r="E50" s="60" t="s">
        <v>70</v>
      </c>
    </row>
    <row r="51" spans="1:5" x14ac:dyDescent="0.2">
      <c r="A51" s="60"/>
      <c r="B51" s="60"/>
      <c r="C51" s="59"/>
      <c r="D51" s="59"/>
    </row>
    <row r="52" spans="1:5" x14ac:dyDescent="0.2">
      <c r="A52" s="60"/>
      <c r="B52" s="149" t="s">
        <v>247</v>
      </c>
      <c r="C52" s="161">
        <v>4.1419499999999996</v>
      </c>
      <c r="D52" s="59"/>
      <c r="E52" s="60" t="s">
        <v>71</v>
      </c>
    </row>
    <row r="53" spans="1:5" x14ac:dyDescent="0.2">
      <c r="A53" s="60"/>
      <c r="B53" s="149" t="s">
        <v>248</v>
      </c>
      <c r="C53" s="161">
        <v>2.7260900000000001</v>
      </c>
      <c r="D53" s="59"/>
      <c r="E53" s="60" t="s">
        <v>71</v>
      </c>
    </row>
    <row r="54" spans="1:5" x14ac:dyDescent="0.2">
      <c r="A54" s="60"/>
      <c r="B54" s="149" t="s">
        <v>249</v>
      </c>
      <c r="C54" s="147">
        <v>4</v>
      </c>
      <c r="D54" s="59"/>
      <c r="E54" s="60" t="s">
        <v>72</v>
      </c>
    </row>
    <row r="55" spans="1:5" x14ac:dyDescent="0.2">
      <c r="A55" s="60"/>
      <c r="B55" s="149" t="s">
        <v>250</v>
      </c>
      <c r="C55" s="147">
        <v>2</v>
      </c>
      <c r="D55" s="59"/>
      <c r="E55" s="60" t="s">
        <v>72</v>
      </c>
    </row>
    <row r="56" spans="1:5" x14ac:dyDescent="0.2">
      <c r="A56" s="60"/>
      <c r="B56" s="149"/>
      <c r="C56" s="59"/>
      <c r="D56" s="59"/>
    </row>
    <row r="57" spans="1:5" x14ac:dyDescent="0.2">
      <c r="A57" s="60"/>
      <c r="B57" s="60" t="s">
        <v>73</v>
      </c>
      <c r="C57" s="152">
        <v>0.1301843</v>
      </c>
      <c r="D57" s="197"/>
      <c r="E57" s="300" t="s">
        <v>175</v>
      </c>
    </row>
    <row r="58" spans="1:5" x14ac:dyDescent="0.2">
      <c r="A58" s="60"/>
      <c r="B58" s="60" t="s">
        <v>74</v>
      </c>
      <c r="C58" s="34">
        <f>1-C57</f>
        <v>0.86981569999999997</v>
      </c>
      <c r="E58" s="300" t="s">
        <v>175</v>
      </c>
    </row>
    <row r="59" spans="1:5" x14ac:dyDescent="0.2">
      <c r="A59" s="60"/>
      <c r="B59" s="60" t="s">
        <v>251</v>
      </c>
      <c r="C59" s="152">
        <v>6.0998259999999999E-2</v>
      </c>
      <c r="E59" s="300" t="s">
        <v>176</v>
      </c>
    </row>
    <row r="60" spans="1:5" x14ac:dyDescent="0.2">
      <c r="A60" s="60"/>
      <c r="B60" s="60"/>
      <c r="C60" s="152"/>
    </row>
    <row r="61" spans="1:5" x14ac:dyDescent="0.2">
      <c r="A61" s="60"/>
      <c r="B61" s="60" t="s">
        <v>252</v>
      </c>
      <c r="C61" s="162">
        <v>2.5499999999999998</v>
      </c>
      <c r="E61" s="60" t="s">
        <v>75</v>
      </c>
    </row>
    <row r="62" spans="1:5" x14ac:dyDescent="0.2">
      <c r="A62" s="60"/>
      <c r="B62" s="60" t="s">
        <v>253</v>
      </c>
      <c r="C62" s="152">
        <v>2</v>
      </c>
      <c r="E62" s="60" t="s">
        <v>76</v>
      </c>
    </row>
    <row r="63" spans="1:5" x14ac:dyDescent="0.2">
      <c r="A63" s="60"/>
      <c r="B63" s="60"/>
      <c r="C63" s="152"/>
      <c r="E63" s="60"/>
    </row>
    <row r="64" spans="1:5" x14ac:dyDescent="0.2">
      <c r="A64" s="60"/>
      <c r="B64" s="60" t="s">
        <v>246</v>
      </c>
      <c r="C64" s="147">
        <v>36.58494609132682</v>
      </c>
      <c r="E64" s="60" t="s">
        <v>242</v>
      </c>
    </row>
    <row r="65" spans="1:7" x14ac:dyDescent="0.2">
      <c r="A65" s="60"/>
      <c r="B65" s="60"/>
      <c r="C65" s="152"/>
      <c r="E65" s="60"/>
    </row>
    <row r="66" spans="1:7" x14ac:dyDescent="0.2">
      <c r="A66" s="60"/>
      <c r="B66" s="60" t="s">
        <v>77</v>
      </c>
      <c r="C66" s="166">
        <v>0.78646406763666055</v>
      </c>
      <c r="D66" s="1"/>
      <c r="E66" s="60" t="s">
        <v>78</v>
      </c>
    </row>
    <row r="67" spans="1:7" x14ac:dyDescent="0.2">
      <c r="A67" s="60"/>
      <c r="B67" s="299" t="s">
        <v>177</v>
      </c>
      <c r="C67" s="166">
        <v>7.8725164857387027E-4</v>
      </c>
      <c r="D67" s="1"/>
      <c r="E67" s="60" t="s">
        <v>78</v>
      </c>
    </row>
    <row r="68" spans="1:7" x14ac:dyDescent="0.2">
      <c r="A68" s="60"/>
      <c r="B68" s="299" t="s">
        <v>178</v>
      </c>
      <c r="C68" s="166">
        <v>0.13092518097316025</v>
      </c>
      <c r="D68" s="1"/>
      <c r="E68" s="60" t="s">
        <v>78</v>
      </c>
    </row>
    <row r="69" spans="1:7" x14ac:dyDescent="0.2">
      <c r="A69" s="60"/>
      <c r="B69" s="149" t="s">
        <v>79</v>
      </c>
      <c r="C69" s="166">
        <v>7.0156009207685055E-2</v>
      </c>
      <c r="D69" s="1"/>
      <c r="E69" s="60" t="s">
        <v>78</v>
      </c>
    </row>
    <row r="70" spans="1:7" x14ac:dyDescent="0.2">
      <c r="A70" s="60"/>
      <c r="B70" s="149" t="s">
        <v>80</v>
      </c>
      <c r="C70" s="166">
        <v>1.1667414991233175E-2</v>
      </c>
      <c r="D70" s="1"/>
      <c r="E70" s="60" t="s">
        <v>78</v>
      </c>
    </row>
    <row r="71" spans="1:7" x14ac:dyDescent="0.2">
      <c r="A71" s="60"/>
      <c r="B71" s="149"/>
      <c r="C71" s="59"/>
      <c r="E71" s="60"/>
    </row>
    <row r="72" spans="1:7" s="138" customFormat="1" x14ac:dyDescent="0.2">
      <c r="B72" s="139" t="s">
        <v>81</v>
      </c>
      <c r="C72" s="159"/>
      <c r="D72" s="159"/>
    </row>
    <row r="73" spans="1:7" x14ac:dyDescent="0.2">
      <c r="B73" s="163"/>
      <c r="C73" s="164" t="s">
        <v>82</v>
      </c>
      <c r="D73" s="164" t="s">
        <v>83</v>
      </c>
      <c r="E73" s="165" t="s">
        <v>84</v>
      </c>
      <c r="F73" s="165" t="s">
        <v>85</v>
      </c>
      <c r="G73" s="165" t="s">
        <v>86</v>
      </c>
    </row>
    <row r="74" spans="1:7" x14ac:dyDescent="0.2">
      <c r="A74" s="60"/>
      <c r="B74" s="300" t="s">
        <v>179</v>
      </c>
      <c r="C74" s="34">
        <v>-8.9614486694335938</v>
      </c>
      <c r="D74" s="34">
        <v>-12.30303955078125</v>
      </c>
      <c r="E74" s="34">
        <v>-14.644210815429688</v>
      </c>
      <c r="F74" s="34">
        <v>-16.357547760009766</v>
      </c>
      <c r="G74" s="34">
        <v>-17.975322723388672</v>
      </c>
    </row>
    <row r="75" spans="1:7" x14ac:dyDescent="0.2">
      <c r="A75" s="60"/>
      <c r="B75" s="300" t="s">
        <v>180</v>
      </c>
      <c r="C75" s="34">
        <v>-3.5068588256835938</v>
      </c>
      <c r="D75" s="34">
        <v>-5.1395797729492188</v>
      </c>
      <c r="E75" s="34">
        <v>-6.1448287963867188</v>
      </c>
      <c r="F75" s="34">
        <v>-6.9132499694824219</v>
      </c>
      <c r="G75" s="34">
        <v>-7.4928703308105469</v>
      </c>
    </row>
    <row r="76" spans="1:7" x14ac:dyDescent="0.2">
      <c r="A76" s="60"/>
      <c r="B76" s="300" t="s">
        <v>181</v>
      </c>
      <c r="C76" s="34">
        <v>3.7307815551757813</v>
      </c>
      <c r="D76" s="34">
        <v>5.0288772583007813</v>
      </c>
      <c r="E76" s="34">
        <v>6.0887031555175781</v>
      </c>
      <c r="F76" s="34">
        <v>7.1095352172851563</v>
      </c>
      <c r="G76" s="34">
        <v>8.1417655944824219</v>
      </c>
    </row>
    <row r="77" spans="1:7" x14ac:dyDescent="0.2">
      <c r="A77" s="60"/>
      <c r="B77" s="300" t="s">
        <v>182</v>
      </c>
      <c r="C77" s="34">
        <v>9.0808448791503906</v>
      </c>
      <c r="D77" s="34">
        <v>12.686050415039063</v>
      </c>
      <c r="E77" s="34">
        <v>15.469322204589844</v>
      </c>
      <c r="F77" s="34">
        <v>17.759151458740234</v>
      </c>
      <c r="G77" s="34">
        <v>19.545589447021484</v>
      </c>
    </row>
  </sheetData>
  <phoneticPr fontId="15" type="noConversion"/>
  <pageMargins left="0.7" right="0.7" top="0.75" bottom="0.75" header="0.3" footer="0.3"/>
  <pageSetup paperSize="9" orientation="portrait" r:id="rId1"/>
  <ignoredErrors>
    <ignoredError sqref="X58:Y58 C4:C6 D58 F58:W58 C18:Y20 C58"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0070C0"/>
  </sheetPr>
  <dimension ref="A1:AY123"/>
  <sheetViews>
    <sheetView zoomScaleNormal="100" workbookViewId="0"/>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MT</v>
      </c>
    </row>
    <row r="4" spans="1:51" x14ac:dyDescent="0.2">
      <c r="B4" s="64" t="s">
        <v>38</v>
      </c>
      <c r="C4" s="21"/>
    </row>
    <row r="5" spans="1:51" x14ac:dyDescent="0.2">
      <c r="A5" s="29"/>
      <c r="B5" s="22" t="str">
        <f>'Input data'!B5</f>
        <v>Last year before the adjustment</v>
      </c>
      <c r="C5" s="23">
        <f>+'Input data'!C5</f>
        <v>2024</v>
      </c>
    </row>
    <row r="6" spans="1:51" x14ac:dyDescent="0.2">
      <c r="A6" s="29"/>
      <c r="B6" s="65" t="s">
        <v>44</v>
      </c>
      <c r="C6" s="23">
        <f>+C5+'Criteria results'!$F$5</f>
        <v>2028</v>
      </c>
      <c r="E6" s="43"/>
      <c r="F6" s="29"/>
    </row>
    <row r="7" spans="1:51" x14ac:dyDescent="0.2">
      <c r="A7" s="29"/>
      <c r="B7" s="24"/>
      <c r="C7" s="66"/>
      <c r="E7" s="43"/>
      <c r="F7" s="29"/>
    </row>
    <row r="8" spans="1:51" x14ac:dyDescent="0.2">
      <c r="A8" s="29"/>
      <c r="C8" s="29"/>
      <c r="E8" s="43"/>
      <c r="F8" s="29"/>
    </row>
    <row r="9" spans="1:51" s="71"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-5.6509479999999996</v>
      </c>
      <c r="D12" s="1">
        <f>'Input data'!D13</f>
        <v>-4.3552039999999996</v>
      </c>
      <c r="E12" s="2">
        <f>'Input data'!E13</f>
        <v>-3.790994</v>
      </c>
      <c r="F12" s="2">
        <f>'Input data'!F13</f>
        <v>-2.897243</v>
      </c>
      <c r="G12" s="1">
        <f>F12</f>
        <v>-2.897243</v>
      </c>
      <c r="H12" s="1">
        <f t="shared" ref="H12:W12" si="0">G12</f>
        <v>-2.897243</v>
      </c>
      <c r="I12" s="1">
        <f t="shared" si="0"/>
        <v>-2.897243</v>
      </c>
      <c r="J12" s="1">
        <f t="shared" si="0"/>
        <v>-2.897243</v>
      </c>
      <c r="K12" s="1">
        <f t="shared" si="0"/>
        <v>-2.897243</v>
      </c>
      <c r="L12" s="1">
        <f t="shared" si="0"/>
        <v>-2.897243</v>
      </c>
      <c r="M12" s="1">
        <f t="shared" si="0"/>
        <v>-2.897243</v>
      </c>
      <c r="N12" s="1">
        <f t="shared" si="0"/>
        <v>-2.897243</v>
      </c>
      <c r="O12" s="1">
        <f t="shared" si="0"/>
        <v>-2.897243</v>
      </c>
      <c r="P12" s="1">
        <f t="shared" si="0"/>
        <v>-2.897243</v>
      </c>
      <c r="Q12" s="1">
        <f t="shared" si="0"/>
        <v>-2.897243</v>
      </c>
      <c r="R12" s="1">
        <f t="shared" si="0"/>
        <v>-2.897243</v>
      </c>
      <c r="S12" s="1">
        <f t="shared" si="0"/>
        <v>-2.897243</v>
      </c>
      <c r="T12" s="1">
        <f t="shared" si="0"/>
        <v>-2.897243</v>
      </c>
      <c r="U12" s="1">
        <f t="shared" si="0"/>
        <v>-2.897243</v>
      </c>
      <c r="V12" s="1">
        <f t="shared" si="0"/>
        <v>-2.897243</v>
      </c>
      <c r="W12" s="1">
        <f t="shared" si="0"/>
        <v>-2.897243</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26" t="s">
        <v>49</v>
      </c>
      <c r="C13" s="1">
        <f>'Input data'!C14</f>
        <v>0</v>
      </c>
      <c r="D13" s="1">
        <f>'Input data'!D14</f>
        <v>0</v>
      </c>
      <c r="E13" s="2">
        <f>'Input data'!E14</f>
        <v>0</v>
      </c>
      <c r="F13" s="2">
        <f>'Input data'!F14</f>
        <v>0</v>
      </c>
      <c r="G13" s="2">
        <f>'Input data'!G14</f>
        <v>0</v>
      </c>
      <c r="H13" s="2">
        <v>0</v>
      </c>
      <c r="I13" s="2">
        <v>0</v>
      </c>
      <c r="J13" s="2">
        <v>0</v>
      </c>
      <c r="K13" s="2">
        <v>0</v>
      </c>
      <c r="L13" s="2">
        <v>0</v>
      </c>
      <c r="M13" s="2">
        <v>0</v>
      </c>
      <c r="N13" s="2">
        <v>0</v>
      </c>
      <c r="O13" s="2">
        <v>0</v>
      </c>
      <c r="P13" s="2">
        <v>0</v>
      </c>
      <c r="Q13" s="2">
        <v>0</v>
      </c>
      <c r="R13" s="2">
        <v>0</v>
      </c>
      <c r="S13" s="2">
        <v>0</v>
      </c>
      <c r="T13" s="2">
        <v>0</v>
      </c>
      <c r="U13" s="2">
        <v>0</v>
      </c>
      <c r="V13" s="2">
        <v>0</v>
      </c>
      <c r="W13" s="2">
        <v>0</v>
      </c>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60"/>
    </row>
    <row r="14" spans="1:51" x14ac:dyDescent="0.2">
      <c r="B14" s="26" t="s">
        <v>87</v>
      </c>
      <c r="C14" s="1">
        <f>'Input data'!C15</f>
        <v>0.80446119999999999</v>
      </c>
      <c r="D14" s="1">
        <f>'Input data'!D15</f>
        <v>-1.3102750000000001</v>
      </c>
      <c r="E14" s="2">
        <f>'Input data'!E15</f>
        <v>-0.94044729999999999</v>
      </c>
      <c r="F14" s="2">
        <f>'Input data'!F15</f>
        <v>1.1851970000000001</v>
      </c>
      <c r="G14" s="2">
        <f>'Input data'!G15</f>
        <v>6.6727599999999998E-2</v>
      </c>
      <c r="H14" s="2">
        <f>'Input data'!H15</f>
        <v>0</v>
      </c>
      <c r="I14" s="2">
        <f>'Input data'!I15</f>
        <v>0</v>
      </c>
      <c r="J14" s="2">
        <f>'Input data'!J15</f>
        <v>0</v>
      </c>
      <c r="K14" s="2">
        <f>'Input data'!K15</f>
        <v>0</v>
      </c>
      <c r="L14" s="2">
        <f>'Input data'!L15</f>
        <v>0</v>
      </c>
      <c r="M14" s="2">
        <f>'Input data'!M15</f>
        <v>0</v>
      </c>
      <c r="N14" s="2">
        <f>'Input data'!N15</f>
        <v>0</v>
      </c>
      <c r="O14" s="2">
        <f>'Input data'!O15</f>
        <v>0</v>
      </c>
      <c r="P14" s="2">
        <f>'Input data'!P15</f>
        <v>0</v>
      </c>
      <c r="Q14" s="2">
        <f>'Input data'!Q15</f>
        <v>0</v>
      </c>
      <c r="R14" s="2">
        <f>'Input data'!R15</f>
        <v>0</v>
      </c>
      <c r="S14" s="2">
        <f>'Input data'!S15</f>
        <v>0</v>
      </c>
      <c r="T14" s="2">
        <f>'Input data'!T15</f>
        <v>0</v>
      </c>
      <c r="U14" s="2">
        <f>'Input data'!U15</f>
        <v>0</v>
      </c>
      <c r="V14" s="2">
        <f>'Input data'!V15</f>
        <v>0</v>
      </c>
      <c r="W14" s="2">
        <f>'Input data'!W15</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1" ht="11.25" customHeight="1" x14ac:dyDescent="0.2">
      <c r="B16" s="30"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x14ac:dyDescent="0.2">
      <c r="A17" s="61"/>
      <c r="B17" s="26" t="s">
        <v>52</v>
      </c>
      <c r="C17" s="1">
        <f>'Input data'!C20</f>
        <v>0</v>
      </c>
      <c r="D17" s="1">
        <f>'Input data'!D20</f>
        <v>16.93779</v>
      </c>
      <c r="E17" s="101">
        <f>'Input data'!E20</f>
        <v>16.704159999999998</v>
      </c>
      <c r="F17" s="101">
        <f>'Input data'!F20</f>
        <v>16.665520000000001</v>
      </c>
      <c r="G17" s="101">
        <f>'Input data'!G20</f>
        <v>16.600960000000001</v>
      </c>
      <c r="H17" s="101">
        <f>'Input data'!H20</f>
        <v>16.335190000000001</v>
      </c>
      <c r="I17" s="101">
        <f>'Input data'!I20</f>
        <v>16.23882</v>
      </c>
      <c r="J17" s="101">
        <f>'Input data'!J20</f>
        <v>16.156209999999998</v>
      </c>
      <c r="K17" s="101">
        <f>'Input data'!K20</f>
        <v>16.094360000000002</v>
      </c>
      <c r="L17" s="101">
        <f>'Input data'!L20</f>
        <v>16.035070000000001</v>
      </c>
      <c r="M17" s="101">
        <f>'Input data'!M20</f>
        <v>15.982539999999998</v>
      </c>
      <c r="N17" s="101">
        <f>'Input data'!N20</f>
        <v>15.940760000000001</v>
      </c>
      <c r="O17" s="101">
        <f>'Input data'!O20</f>
        <v>15.91657</v>
      </c>
      <c r="P17" s="101">
        <f>'Input data'!P20</f>
        <v>15.907859999999999</v>
      </c>
      <c r="Q17" s="101">
        <f>'Input data'!Q20</f>
        <v>15.914770000000001</v>
      </c>
      <c r="R17" s="101">
        <f>'Input data'!R20</f>
        <v>15.935979999999999</v>
      </c>
      <c r="S17" s="101">
        <f>'Input data'!S20</f>
        <v>15.96696</v>
      </c>
      <c r="T17" s="101">
        <f>'Input data'!T20</f>
        <v>16.00554</v>
      </c>
      <c r="U17" s="101">
        <f>'Input data'!U20</f>
        <v>16.059809999999999</v>
      </c>
      <c r="V17" s="101">
        <f>'Input data'!V20</f>
        <v>16.1328</v>
      </c>
      <c r="W17" s="101">
        <f>'Input data'!W20</f>
        <v>16.22383</v>
      </c>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tr">
        <f>'Input data'!B26</f>
        <v>Property income</v>
      </c>
      <c r="C18" s="1">
        <f>'Input data'!C26</f>
        <v>0.52142140000000003</v>
      </c>
      <c r="D18" s="1">
        <f>'Input data'!D26</f>
        <v>0.43654569999999998</v>
      </c>
      <c r="E18" s="101">
        <f>'Input data'!E26</f>
        <v>0.43370209999999998</v>
      </c>
      <c r="F18" s="101">
        <f>'Input data'!F26</f>
        <v>0.43085859999999998</v>
      </c>
      <c r="G18" s="101">
        <f>'Input data'!G26</f>
        <v>0.42801499999999998</v>
      </c>
      <c r="H18" s="101">
        <f>'Input data'!H26</f>
        <v>0.42517149999999998</v>
      </c>
      <c r="I18" s="101">
        <f>'Input data'!I26</f>
        <v>0.42232789999999998</v>
      </c>
      <c r="J18" s="101">
        <f>'Input data'!J26</f>
        <v>0.41948429999999998</v>
      </c>
      <c r="K18" s="101">
        <f>'Input data'!K26</f>
        <v>0.41664079999999998</v>
      </c>
      <c r="L18" s="101">
        <f>'Input data'!L26</f>
        <v>0.41379729999999998</v>
      </c>
      <c r="M18" s="101">
        <f>'Input data'!M26</f>
        <v>0.41095369999999998</v>
      </c>
      <c r="N18" s="101">
        <f>'Input data'!N26</f>
        <v>0.40811009999999998</v>
      </c>
      <c r="O18" s="101">
        <f>'Input data'!O26</f>
        <v>0.40526659999999998</v>
      </c>
      <c r="P18" s="101">
        <f>'Input data'!P26</f>
        <v>0.40242309999999998</v>
      </c>
      <c r="Q18" s="101">
        <f>'Input data'!Q26</f>
        <v>0.39957949999999998</v>
      </c>
      <c r="R18" s="101">
        <f>'Input data'!R26</f>
        <v>0.39673599999999998</v>
      </c>
      <c r="S18" s="101">
        <f>'Input data'!S26</f>
        <v>0.39389239999999998</v>
      </c>
      <c r="T18" s="101">
        <f>'Input data'!T26</f>
        <v>0.39104889999999998</v>
      </c>
      <c r="U18" s="101">
        <f>'Input data'!U26</f>
        <v>0.38820529999999998</v>
      </c>
      <c r="V18" s="101">
        <f>'Input data'!V26</f>
        <v>0.38536179999999998</v>
      </c>
      <c r="W18" s="101">
        <f>'Input data'!W26</f>
        <v>0.38251829999999998</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20" spans="1:50" x14ac:dyDescent="0.2">
      <c r="B20" s="28" t="s">
        <v>88</v>
      </c>
    </row>
    <row r="21" spans="1:50" ht="10.5" customHeight="1" x14ac:dyDescent="0.2">
      <c r="B21" s="30" t="s">
        <v>89</v>
      </c>
    </row>
    <row r="22" spans="1:50" x14ac:dyDescent="0.2">
      <c r="B22" s="26" t="s">
        <v>61</v>
      </c>
      <c r="C22" s="34">
        <f>'Input data'!C31</f>
        <v>13.624549999999999</v>
      </c>
      <c r="D22" s="34">
        <f>C22*(D23/100+1)</f>
        <v>14.724809936189498</v>
      </c>
      <c r="E22" s="100">
        <f t="shared" ref="E22:F22" si="1">D22*(E23/100+1)</f>
        <v>15.551449869647822</v>
      </c>
      <c r="F22" s="100">
        <f t="shared" si="1"/>
        <v>16.262505701747756</v>
      </c>
      <c r="G22" s="100">
        <f>F22*(G23/100+1)</f>
        <v>17.050456302758725</v>
      </c>
      <c r="H22" s="34">
        <f>IF(AND(H49&gt;1,G49&gt;1),IF(AND(H49&gt;0,G49&gt;0),H26*(H50/100+1),0)+IF(H49&gt;0,G22*(1+H51/100),0)-G22*(1+'Input data'!H30/100),IF(H49=1,H26,G22*(1+H51/100)))</f>
        <v>17.870133630388715</v>
      </c>
      <c r="I22" s="34">
        <f>IF(AND(I49&gt;1,H49&gt;1),IF(AND(I49&gt;0,H49&gt;0),I26*(I50/100+1),0)+IF(I49&gt;0,H22*(1+I51/100),0)-H22*(1+'Input data'!I30/100),IF(I49=1,I26,H22*(1+I51/100)))</f>
        <v>18.742318383265715</v>
      </c>
      <c r="J22" s="34">
        <f>IF(AND(J49&gt;1,I49&gt;1),IF(AND(J49&gt;0,I49&gt;0),J26*(J50/100+1),0)+IF(J49&gt;0,I22*(1+J51/100),0)-I22*(1+'Input data'!J30/100),IF(J49=1,J26,I22*(1+J51/100)))</f>
        <v>19.629035271180481</v>
      </c>
      <c r="K22" s="34">
        <f>IF(AND(K49&gt;1,J49&gt;1),IF(AND(K49&gt;0,J49&gt;0),K26*(K50/100+1),0)+IF(K49&gt;0,J22*(1+K51/100),0)-J22*(1+'Input data'!K30/100),IF(K49=1,K26,J22*(1+K51/100)))</f>
        <v>20.53161364521285</v>
      </c>
      <c r="L22" s="34">
        <f>IF(AND(L49&gt;1,K49&gt;1),IF(AND(L49&gt;0,K49&gt;0),L26*(L50/100+1),0)+IF(L49&gt;0,K22*(1+L51/100),0)-K22*(1+'Input data'!L30/100),IF(L49=1,L26,K22*(1+L51/100)))</f>
        <v>21.456410700672578</v>
      </c>
      <c r="M22" s="34">
        <f>IF(AND(M49&gt;1,L49&gt;1),IF(AND(M49&gt;0,L49&gt;0),M26*(M50/100+1),0)+IF(M49&gt;0,L22*(1+M51/100),0)-L22*(1+'Input data'!M30/100),IF(M49=1,M26,L22*(1+M51/100)))</f>
        <v>22.389386504195286</v>
      </c>
      <c r="N22" s="34">
        <f>IF(AND(N49&gt;1,M49&gt;1),IF(AND(N49&gt;0,M49&gt;0),N26*(N50/100+1),0)+IF(N49&gt;0,M22*(1+N51/100),0)-M22*(1+'Input data'!N30/100),IF(N49=1,N26,M22*(1+N51/100)))</f>
        <v>23.323052803728821</v>
      </c>
      <c r="O22" s="34">
        <f>IF(AND(O49&gt;1,N49&gt;1),IF(AND(O49&gt;0,N49&gt;0),O26*(O50/100+1),0)+IF(O49&gt;0,N22*(1+O51/100),0)-N22*(1+'Input data'!O30/100),IF(O49=1,O26,N22*(1+O51/100)))</f>
        <v>24.283011931610169</v>
      </c>
      <c r="P22" s="34">
        <f>IF(AND(P49&gt;1,O49&gt;1),IF(AND(P49&gt;0,O49&gt;0),P26*(P50/100+1),0)+IF(P49&gt;0,O22*(1+P51/100),0)-O22*(1+'Input data'!P30/100),IF(P49=1,P26,O22*(1+P51/100)))</f>
        <v>25.200114756814394</v>
      </c>
      <c r="Q22" s="34">
        <f>IF(AND(Q49&gt;1,P49&gt;1),IF(AND(Q49&gt;0,P49&gt;0),Q26*(Q50/100+1),0)+IF(Q49&gt;0,P22*(1+Q51/100),0)-P22*(1+'Input data'!Q30/100),IF(Q49=1,Q26,P22*(1+Q51/100)))</f>
        <v>26.066375253609724</v>
      </c>
      <c r="R22" s="34">
        <f>IF(AND(R49&gt;1,Q49&gt;1),IF(AND(R49&gt;0,Q49&gt;0),R26*(R50/100+1),0)+IF(R49&gt;0,Q22*(1+R51/100),0)-Q22*(1+'Input data'!R30/100),IF(R49=1,R26,Q22*(1+R51/100)))</f>
        <v>26.873998099332397</v>
      </c>
      <c r="S22" s="34">
        <f>IF(AND(S49&gt;1,R49&gt;1),IF(AND(S49&gt;0,R49&gt;0),S26*(S50/100+1),0)+IF(S49&gt;0,R22*(1+S51/100),0)-R22*(1+'Input data'!S30/100),IF(S49=1,S26,R22*(1+S51/100)))</f>
        <v>27.676570434550346</v>
      </c>
      <c r="T22" s="34">
        <f>IF(AND(T49&gt;1,S49&gt;1),IF(AND(T49&gt;0,S49&gt;0),T26*(T50/100+1),0)+IF(T49&gt;0,S22*(1+T51/100),0)-S22*(1+'Input data'!T30/100),IF(T49=1,T26,S22*(1+T51/100)))</f>
        <v>28.464189168913958</v>
      </c>
      <c r="U22" s="34">
        <f>IF(AND(U49&gt;1,T49&gt;1),IF(AND(U49&gt;0,T49&gt;0),U26*(U50/100+1),0)+IF(U49&gt;0,T22*(1+U51/100),0)-T22*(1+'Input data'!U30/100),IF(U49=1,U26,T22*(1+U51/100)))</f>
        <v>29.226592797978999</v>
      </c>
      <c r="V22" s="34">
        <f>IF(AND(V49&gt;1,U49&gt;1),IF(AND(V49&gt;0,U49&gt;0),V26*(V50/100+1),0)+IF(V49&gt;0,U22*(1+V51/100),0)-U22*(1+'Input data'!V30/100),IF(V49=1,V26,U22*(1+V51/100)))</f>
        <v>29.962583287668121</v>
      </c>
      <c r="W22" s="34">
        <f>IF(AND(W49&gt;1,V49&gt;1),IF(AND(W49&gt;0,V49&gt;0),W26*(W50/100+1),0)+IF(W49&gt;0,V22*(1+W51/100),0)-V22*(1+'Input data'!W30/100),IF(W49=1,W26,V22*(1+W51/100)))</f>
        <v>30.672527222990279</v>
      </c>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row>
    <row r="23" spans="1:50" x14ac:dyDescent="0.2">
      <c r="A23" s="61"/>
      <c r="B23" s="62" t="s">
        <v>60</v>
      </c>
      <c r="C23" s="34">
        <f>+'Input data'!C30</f>
        <v>12.513949999999999</v>
      </c>
      <c r="D23" s="34">
        <f>+'Input data'!D30</f>
        <v>8.0755689999999998</v>
      </c>
      <c r="E23" s="100">
        <f>+'Input data'!E30</f>
        <v>5.6139260000000002</v>
      </c>
      <c r="F23" s="100">
        <f>+'Input data'!F30</f>
        <v>4.5722800000000001</v>
      </c>
      <c r="G23" s="100">
        <f>+'Input data'!G30</f>
        <v>4.8451979999999999</v>
      </c>
      <c r="H23" s="34">
        <f>100*(H22/G22-1)</f>
        <v>4.8073629999999978</v>
      </c>
      <c r="I23" s="34">
        <f>100*(I22/H22-1)</f>
        <v>4.8806839999999907</v>
      </c>
      <c r="J23" s="34">
        <f t="shared" ref="J23:T23" si="2">100*(J22/I22-1)</f>
        <v>4.7310949999999963</v>
      </c>
      <c r="K23" s="34">
        <f t="shared" si="2"/>
        <v>4.5981800000000073</v>
      </c>
      <c r="L23" s="34">
        <f t="shared" si="2"/>
        <v>4.5042589999999993</v>
      </c>
      <c r="M23" s="34">
        <f t="shared" si="2"/>
        <v>4.3482379999999932</v>
      </c>
      <c r="N23" s="34">
        <f t="shared" si="2"/>
        <v>4.1701290000000002</v>
      </c>
      <c r="O23" s="34">
        <f t="shared" si="2"/>
        <v>4.1159240000000041</v>
      </c>
      <c r="P23" s="34">
        <f t="shared" si="2"/>
        <v>3.776726000000008</v>
      </c>
      <c r="Q23" s="34">
        <f t="shared" si="2"/>
        <v>3.4375260000000019</v>
      </c>
      <c r="R23" s="34">
        <f t="shared" si="2"/>
        <v>3.0983320000000036</v>
      </c>
      <c r="S23" s="34">
        <f t="shared" si="2"/>
        <v>2.9864270000000026</v>
      </c>
      <c r="T23" s="34">
        <f t="shared" si="2"/>
        <v>2.8457959999999893</v>
      </c>
      <c r="U23" s="34">
        <f t="shared" ref="U23" si="3">100*(U22/T22-1)</f>
        <v>2.6784659999999905</v>
      </c>
      <c r="V23" s="34">
        <f t="shared" ref="V23" si="4">100*(V22/U22-1)</f>
        <v>2.5182220000000033</v>
      </c>
      <c r="W23" s="34">
        <f t="shared" ref="W23" si="5">100*(W22/V22-1)</f>
        <v>2.3694349999999975</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5.25" customHeight="1" x14ac:dyDescent="0.2">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row>
    <row r="25" spans="1:50" ht="15" x14ac:dyDescent="0.2">
      <c r="A25" s="224"/>
      <c r="B25" s="30" t="s">
        <v>90</v>
      </c>
      <c r="C25" s="223"/>
      <c r="D25" s="223"/>
      <c r="E25" s="223"/>
      <c r="F25" s="223"/>
      <c r="H25" s="259"/>
      <c r="I25" s="259"/>
      <c r="J25" s="259"/>
      <c r="K25" s="259"/>
      <c r="L25" s="259"/>
      <c r="M25" s="259"/>
      <c r="N25" s="259"/>
      <c r="O25" s="259"/>
      <c r="P25" s="259"/>
      <c r="Q25" s="259"/>
      <c r="R25" s="259"/>
      <c r="S25" s="259"/>
      <c r="T25" s="259"/>
    </row>
    <row r="26" spans="1:50" x14ac:dyDescent="0.2">
      <c r="B26" s="26" t="s">
        <v>61</v>
      </c>
      <c r="C26" s="34">
        <f>'Input data'!C34</f>
        <v>13.87421</v>
      </c>
      <c r="D26" s="34">
        <f>+C26*(1+'Input data'!D33/100)</f>
        <v>14.7986955071298</v>
      </c>
      <c r="E26" s="100">
        <f>+D26*(1+'Input data'!E33/100)</f>
        <v>15.554359963927773</v>
      </c>
      <c r="F26" s="100">
        <f>+E26*(1+'Input data'!F33/100)</f>
        <v>16.319408002671945</v>
      </c>
      <c r="G26" s="100">
        <f>+F26*(1+'Input data'!G33/100)</f>
        <v>17.114010422743164</v>
      </c>
      <c r="H26" s="34">
        <f>+G26*(1+'Input data'!H33/100)</f>
        <v>17.914487112768004</v>
      </c>
      <c r="I26" s="34">
        <f>+H26*(1+'Input data'!I33/100)</f>
        <v>18.757799770040062</v>
      </c>
      <c r="J26" s="34">
        <f>+I26*(1+'Input data'!J33/100)</f>
        <v>19.629038606509173</v>
      </c>
      <c r="K26" s="34">
        <f>+J26*(1+'Input data'!K33/100)</f>
        <v>20.531617526486727</v>
      </c>
      <c r="L26" s="34">
        <f>+K26*(1+'Input data'!L33/100)</f>
        <v>21.456415783349957</v>
      </c>
      <c r="M26" s="34">
        <f>+L26*(1+'Input data'!M33/100)</f>
        <v>22.389391807879576</v>
      </c>
      <c r="N26" s="34">
        <f>+M26*(1+'Input data'!N33/100)</f>
        <v>23.323057433007914</v>
      </c>
      <c r="O26" s="34">
        <f>+N26*(1+'Input data'!O33/100)</f>
        <v>24.283016284965722</v>
      </c>
      <c r="P26" s="34">
        <f>+O26*(1+'Input data'!P33/100)</f>
        <v>25.20011878892393</v>
      </c>
      <c r="Q26" s="34">
        <f>+P26*(1+'Input data'!Q33/100)</f>
        <v>26.066379424324076</v>
      </c>
      <c r="R26" s="34">
        <f>+Q26*(1+'Input data'!R33/100)</f>
        <v>26.874001617277941</v>
      </c>
      <c r="S26" s="34">
        <f>+R26*(1+'Input data'!S33/100)</f>
        <v>27.676573251336716</v>
      </c>
      <c r="T26" s="34">
        <f>+S26*(1+'Input data'!T33/100)</f>
        <v>28.46419234262606</v>
      </c>
      <c r="U26" s="34">
        <f>+T26*(1+'Input data'!U33/100)</f>
        <v>29.226596625981749</v>
      </c>
      <c r="V26" s="34">
        <f>+U26*(1+'Input data'!V33/100)</f>
        <v>29.962588088866379</v>
      </c>
      <c r="W26" s="34">
        <f>+V26*(1+'Input data'!W33/100)</f>
        <v>30.672532737201575</v>
      </c>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row>
    <row r="27" spans="1:50" ht="5.25" customHeight="1" x14ac:dyDescent="0.2">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x14ac:dyDescent="0.2">
      <c r="B28" s="30" t="s">
        <v>91</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26" t="s">
        <v>91</v>
      </c>
      <c r="C29" s="34">
        <f t="shared" ref="C29:T29" si="6">100*(C22/C26-1)</f>
        <v>-1.7994538067392707</v>
      </c>
      <c r="D29" s="34">
        <f t="shared" si="6"/>
        <v>-0.49927083711334141</v>
      </c>
      <c r="E29" s="100">
        <f t="shared" si="6"/>
        <v>-1.8709186920573551E-2</v>
      </c>
      <c r="F29" s="100">
        <f t="shared" si="6"/>
        <v>-0.34867870767660847</v>
      </c>
      <c r="G29" s="100">
        <f t="shared" si="6"/>
        <v>-0.37135725884553938</v>
      </c>
      <c r="H29" s="34">
        <f>100*(H22/H26-1)</f>
        <v>-0.24758443878462044</v>
      </c>
      <c r="I29" s="34">
        <f t="shared" si="6"/>
        <v>-8.2533063387713046E-2</v>
      </c>
      <c r="J29" s="34">
        <f t="shared" si="6"/>
        <v>-1.699180871561623E-5</v>
      </c>
      <c r="K29" s="34">
        <f t="shared" si="6"/>
        <v>-1.8903887488708193E-5</v>
      </c>
      <c r="L29" s="34">
        <f t="shared" si="6"/>
        <v>-2.3688380346165161E-5</v>
      </c>
      <c r="M29" s="34">
        <f t="shared" si="6"/>
        <v>-2.3688380357267391E-5</v>
      </c>
      <c r="N29" s="34">
        <f t="shared" si="6"/>
        <v>-1.9848508736597381E-5</v>
      </c>
      <c r="O29" s="34">
        <f t="shared" si="6"/>
        <v>-1.7927573336962155E-5</v>
      </c>
      <c r="P29" s="34">
        <f t="shared" si="6"/>
        <v>-1.6000359248646845E-5</v>
      </c>
      <c r="Q29" s="34">
        <f t="shared" si="6"/>
        <v>-1.6000359248646845E-5</v>
      </c>
      <c r="R29" s="34">
        <f t="shared" si="6"/>
        <v>-1.3090516226554882E-5</v>
      </c>
      <c r="S29" s="34">
        <f t="shared" si="6"/>
        <v>-1.0177511300391018E-5</v>
      </c>
      <c r="T29" s="34">
        <f t="shared" si="6"/>
        <v>-1.1149840695168223E-5</v>
      </c>
      <c r="U29" s="34">
        <f t="shared" ref="U29:W29" si="7">100*(U22/U26-1)</f>
        <v>-1.3097668538630813E-5</v>
      </c>
      <c r="V29" s="34">
        <f t="shared" si="7"/>
        <v>-1.6023977111867538E-5</v>
      </c>
      <c r="W29" s="34">
        <f t="shared" si="7"/>
        <v>-1.7977684929615378E-5</v>
      </c>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ht="5.25" customHeight="1" x14ac:dyDescent="0.2">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x14ac:dyDescent="0.2">
      <c r="B31" s="30" t="s">
        <v>92</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26" t="s">
        <v>60</v>
      </c>
      <c r="C32" s="1">
        <f t="shared" ref="C32:W32" si="8">100*((1+C23/100)*(1+C41/100)-1)</f>
        <v>14.7701393577935</v>
      </c>
      <c r="D32" s="1">
        <f t="shared" si="8"/>
        <v>13.761933721019993</v>
      </c>
      <c r="E32" s="2">
        <f t="shared" si="8"/>
        <v>11.183598899764146</v>
      </c>
      <c r="F32" s="2">
        <f t="shared" si="8"/>
        <v>8.3811611205204084</v>
      </c>
      <c r="G32" s="2">
        <f>100*((1+G23/100)*(1+G41/100)-1)</f>
        <v>7.5018820050937851</v>
      </c>
      <c r="H32" s="1">
        <f>100*((1+H23/100)*(1+H41/100)-1)</f>
        <v>7.4651961069460704</v>
      </c>
      <c r="I32" s="1">
        <f t="shared" si="8"/>
        <v>7.5424857520634214</v>
      </c>
      <c r="J32" s="1">
        <f t="shared" si="8"/>
        <v>7.3912065563284113</v>
      </c>
      <c r="K32" s="1">
        <f t="shared" si="8"/>
        <v>7.2570191894099079</v>
      </c>
      <c r="L32" s="1">
        <f t="shared" si="8"/>
        <v>7.162812470663571</v>
      </c>
      <c r="M32" s="1">
        <f t="shared" si="8"/>
        <v>7.0049209219970487</v>
      </c>
      <c r="N32" s="1">
        <f t="shared" si="8"/>
        <v>6.8243722979931531</v>
      </c>
      <c r="O32" s="1">
        <f t="shared" si="8"/>
        <v>6.7708800620000176</v>
      </c>
      <c r="P32" s="1">
        <f t="shared" si="8"/>
        <v>6.3944939133500078</v>
      </c>
      <c r="Q32" s="1">
        <f t="shared" si="8"/>
        <v>6.01829227370001</v>
      </c>
      <c r="R32" s="1">
        <f t="shared" si="8"/>
        <v>5.6422833420999963</v>
      </c>
      <c r="S32" s="1">
        <f t="shared" si="8"/>
        <v>5.4992958187999985</v>
      </c>
      <c r="T32" s="1">
        <f t="shared" si="8"/>
        <v>5.3269508284999878</v>
      </c>
      <c r="U32" s="1">
        <f t="shared" si="8"/>
        <v>5.127347414099992</v>
      </c>
      <c r="V32" s="1">
        <f t="shared" si="8"/>
        <v>4.9350890836499905</v>
      </c>
      <c r="W32" s="1">
        <f t="shared" si="8"/>
        <v>4.7546428355000003</v>
      </c>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4" spans="2:51" x14ac:dyDescent="0.2">
      <c r="B34" s="28" t="s">
        <v>93</v>
      </c>
    </row>
    <row r="35" spans="2:51" x14ac:dyDescent="0.2">
      <c r="B35" s="26" t="s">
        <v>63</v>
      </c>
      <c r="C35" s="1">
        <f>'Input data'!C37</f>
        <v>2.4089399999999999</v>
      </c>
      <c r="D35" s="1">
        <f>'Input data'!D37</f>
        <v>1.9834700000000001</v>
      </c>
      <c r="E35" s="2">
        <f>'Input data'!E37</f>
        <v>2.3767499999999999</v>
      </c>
      <c r="F35" s="2">
        <f>'Input data'!F37</f>
        <v>2.7490950000000001</v>
      </c>
      <c r="G35" s="2">
        <f>'Input data'!G37</f>
        <v>2.7383609999999998</v>
      </c>
      <c r="H35" s="1">
        <f>H96</f>
        <v>2.8541319202174122</v>
      </c>
      <c r="I35" s="1">
        <f t="shared" ref="I35:W35" si="9">I96</f>
        <v>2.9384590683230836</v>
      </c>
      <c r="J35" s="1">
        <f t="shared" si="9"/>
        <v>3.0199900380246318</v>
      </c>
      <c r="K35" s="1">
        <f t="shared" si="9"/>
        <v>3.099730228924332</v>
      </c>
      <c r="L35" s="1">
        <f t="shared" si="9"/>
        <v>3.1785659432501996</v>
      </c>
      <c r="M35" s="1">
        <f t="shared" si="9"/>
        <v>3.2566136473306999</v>
      </c>
      <c r="N35" s="1">
        <f t="shared" si="9"/>
        <v>3.3340053618932908</v>
      </c>
      <c r="O35" s="1">
        <f t="shared" si="9"/>
        <v>3.4108901296366563</v>
      </c>
      <c r="P35" s="1">
        <f t="shared" si="9"/>
        <v>3.4745074328303929</v>
      </c>
      <c r="Q35" s="1">
        <f t="shared" si="9"/>
        <v>3.5286673729289912</v>
      </c>
      <c r="R35" s="1">
        <f t="shared" si="9"/>
        <v>3.5745910330048454</v>
      </c>
      <c r="S35" s="1">
        <f t="shared" si="9"/>
        <v>3.6133292522211033</v>
      </c>
      <c r="T35" s="1">
        <f>T96</f>
        <v>3.6457971050463915</v>
      </c>
      <c r="U35" s="1">
        <f t="shared" si="9"/>
        <v>3.6727798476187692</v>
      </c>
      <c r="V35" s="1">
        <f t="shared" si="9"/>
        <v>3.6949882376536483</v>
      </c>
      <c r="W35" s="1">
        <f t="shared" si="9"/>
        <v>3.7130398677657137</v>
      </c>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60"/>
    </row>
    <row r="36" spans="2:51" x14ac:dyDescent="0.2">
      <c r="B36" s="32" t="s">
        <v>94</v>
      </c>
      <c r="C36" s="1"/>
      <c r="D36" s="1"/>
      <c r="E36" s="2">
        <f>'Input data'!E39</f>
        <v>3.71</v>
      </c>
      <c r="F36" s="166">
        <f>'Input data'!F39</f>
        <v>3.4970020000000002</v>
      </c>
      <c r="G36" s="166">
        <f>'Input data'!G39</f>
        <v>3.5053580000000002</v>
      </c>
      <c r="H36" s="1">
        <f>G36+($O$36-$G$36)/($O$10-$G$10)</f>
        <v>3.5849320000000002</v>
      </c>
      <c r="I36" s="1">
        <f t="shared" ref="I36:M36" si="10">H36+($O$36-$G$36)/($O$10-$G$10)</f>
        <v>3.6645060000000003</v>
      </c>
      <c r="J36" s="1">
        <f t="shared" si="10"/>
        <v>3.7440800000000003</v>
      </c>
      <c r="K36" s="1">
        <f t="shared" si="10"/>
        <v>3.8236540000000003</v>
      </c>
      <c r="L36" s="1">
        <f t="shared" si="10"/>
        <v>3.9032280000000004</v>
      </c>
      <c r="M36" s="1">
        <f t="shared" si="10"/>
        <v>3.9828020000000004</v>
      </c>
      <c r="N36" s="1">
        <f>M36+($O$36-$G$36)/($O$10-$G$10)</f>
        <v>4.0623760000000004</v>
      </c>
      <c r="O36" s="252">
        <f>'Input data'!$C$52</f>
        <v>4.1419499999999996</v>
      </c>
      <c r="P36" s="1">
        <f>$O$36+('Input data'!$C$54-'Input data'!$C$52)/20*('Baseline NFPC'!P$10-2033)</f>
        <v>4.1348524999999992</v>
      </c>
      <c r="Q36" s="1">
        <f>$O$36+('Input data'!$C$54-'Input data'!$C$52)/20*('Baseline NFPC'!Q$10-2033)</f>
        <v>4.1277549999999996</v>
      </c>
      <c r="R36" s="1">
        <f>$O$36+('Input data'!$C$54-'Input data'!$C$52)/20*('Baseline NFPC'!R$10-2033)</f>
        <v>4.1206575000000001</v>
      </c>
      <c r="S36" s="1">
        <f>$O$36+('Input data'!$C$54-'Input data'!$C$52)/20*('Baseline NFPC'!S$10-2033)</f>
        <v>4.1135599999999997</v>
      </c>
      <c r="T36" s="1">
        <f>$O$36+('Input data'!$C$54-'Input data'!$C$52)/20*('Baseline NFPC'!T$10-2033)</f>
        <v>4.1064624999999992</v>
      </c>
      <c r="U36" s="1">
        <f>$O$36+('Input data'!$C$54-'Input data'!$C$52)/20*('Baseline NFPC'!U$10-2033)</f>
        <v>4.0993649999999997</v>
      </c>
      <c r="V36" s="1">
        <f>$O$36+('Input data'!$C$54-'Input data'!$C$52)/20*('Baseline NFPC'!V$10-2033)</f>
        <v>4.0922675000000002</v>
      </c>
      <c r="W36" s="1">
        <f>$O$36+('Input data'!$C$54-'Input data'!$C$52)/20*('Baseline NFPC'!W$10-2033)</f>
        <v>4.0851699999999997</v>
      </c>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60"/>
    </row>
    <row r="37" spans="2:51" x14ac:dyDescent="0.2">
      <c r="B37" s="32" t="s">
        <v>95</v>
      </c>
      <c r="C37" s="1"/>
      <c r="D37" s="1"/>
      <c r="E37" s="2">
        <f>'Input data'!E$38</f>
        <v>3.43</v>
      </c>
      <c r="F37" s="166">
        <f>'Input data'!F$38</f>
        <v>3.5642079999999998</v>
      </c>
      <c r="G37" s="166">
        <f>'Input data'!G$38</f>
        <v>2.8163749999999999</v>
      </c>
      <c r="H37" s="1">
        <f>G37+($O$37-$G$37)/($O$10-$G$10)</f>
        <v>2.8050893749999997</v>
      </c>
      <c r="I37" s="1">
        <f t="shared" ref="I37:N37" si="11">H37+($O$37-$G$37)/($O$10-$G$10)</f>
        <v>2.7938037499999995</v>
      </c>
      <c r="J37" s="1">
        <f t="shared" si="11"/>
        <v>2.7825181249999993</v>
      </c>
      <c r="K37" s="1">
        <f t="shared" si="11"/>
        <v>2.7712324999999991</v>
      </c>
      <c r="L37" s="1">
        <f t="shared" si="11"/>
        <v>2.7599468749999989</v>
      </c>
      <c r="M37" s="1">
        <f t="shared" si="11"/>
        <v>2.7486612499999987</v>
      </c>
      <c r="N37" s="1">
        <f t="shared" si="11"/>
        <v>2.7373756249999985</v>
      </c>
      <c r="O37" s="252">
        <f>'Input data'!$C$53</f>
        <v>2.7260900000000001</v>
      </c>
      <c r="P37" s="1">
        <f>$O$37+('Input data'!$C$55-'Input data'!$C$53)/20*('Baseline NFPC'!P$10-2033)</f>
        <v>2.6897855000000002</v>
      </c>
      <c r="Q37" s="1">
        <f>$O$37+('Input data'!$C$55-'Input data'!$C$53)/20*('Baseline NFPC'!Q$10-2033)</f>
        <v>2.6534810000000002</v>
      </c>
      <c r="R37" s="1">
        <f>$O$37+('Input data'!$C$55-'Input data'!$C$53)/20*('Baseline NFPC'!R$10-2033)</f>
        <v>2.6171765000000002</v>
      </c>
      <c r="S37" s="1">
        <f>$O$37+('Input data'!$C$55-'Input data'!$C$53)/20*('Baseline NFPC'!S$10-2033)</f>
        <v>2.5808720000000003</v>
      </c>
      <c r="T37" s="1">
        <f>$O$37+('Input data'!$C$55-'Input data'!$C$53)/20*('Baseline NFPC'!T$10-2033)</f>
        <v>2.5445675000000003</v>
      </c>
      <c r="U37" s="1">
        <f>$O$37+('Input data'!$C$55-'Input data'!$C$53)/20*('Baseline NFPC'!U$10-2033)</f>
        <v>2.5082629999999999</v>
      </c>
      <c r="V37" s="1">
        <f>$O$37+('Input data'!$C$55-'Input data'!$C$53)/20*('Baseline NFPC'!V$10-2033)</f>
        <v>2.4719584999999999</v>
      </c>
      <c r="W37" s="1">
        <f>$O$37+('Input data'!$C$55-'Input data'!$C$53)/20*('Baseline NFPC'!W$10-2033)</f>
        <v>2.435654</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x14ac:dyDescent="0.2">
      <c r="B38" s="26" t="s">
        <v>96</v>
      </c>
      <c r="C38" s="1">
        <v>8.1903229999999994E-2</v>
      </c>
      <c r="D38" s="1">
        <v>1E-3</v>
      </c>
      <c r="E38" s="1">
        <v>4.9018890000000002E-2</v>
      </c>
      <c r="F38" s="1">
        <v>4.7479519999999997E-2</v>
      </c>
      <c r="G38" s="1">
        <f>IF(OR($C$3="EL",$C$3="CY",$C$3="IE",$C$3="PT"),VLOOKUP($C$3,$B$110:$T$114,MATCH(G$10,$B$110:$T$110,0),0),$F$38+('Input data'!$C$59-$F$38)/($O$10-$F$10)*(G10-$F$10))</f>
        <v>4.8981602222222219E-2</v>
      </c>
      <c r="H38" s="1">
        <f>IF(OR($C$3="EL",$C$3="CY",$C$3="IE",$C$3="PT"),VLOOKUP($C$3,$B$110:$T$114,MATCH(H$10,$B$110:$T$110,0),0),$F$38+('Input data'!$C$59-$F$38)/($O$10-$F$10)*(H10-$F$10))</f>
        <v>5.048368444444444E-2</v>
      </c>
      <c r="I38" s="1">
        <f>IF(OR($C$3="EL",$C$3="CY",$C$3="IE",$C$3="PT"),VLOOKUP($C$3,$B$110:$T$114,MATCH(I$10,$B$110:$T$110,0),0),$F$38+('Input data'!$C$59-$F$38)/($O$10-$F$10)*(I10-$F$10))</f>
        <v>5.1985766666666662E-2</v>
      </c>
      <c r="J38" s="1">
        <f>IF(OR($C$3="EL",$C$3="CY",$C$3="IE",$C$3="PT"),VLOOKUP($C$3,$B$110:$T$114,MATCH(J$10,$B$110:$T$110,0),0),$F$38+('Input data'!$C$59-$F$38)/($O$10-$F$10)*(J10-$F$10))</f>
        <v>5.3487848888888884E-2</v>
      </c>
      <c r="K38" s="1">
        <f>IF(OR($C$3="EL",$C$3="CY",$C$3="IE",$C$3="PT"),VLOOKUP($C$3,$B$110:$T$114,MATCH(K$10,$B$110:$T$110,0),0),$F$38+('Input data'!$C$59-$F$38)/($O$10-$F$10)*(K10-$F$10))</f>
        <v>5.4989931111111112E-2</v>
      </c>
      <c r="L38" s="1">
        <f>IF(OR($C$3="EL",$C$3="CY",$C$3="IE",$C$3="PT"),VLOOKUP($C$3,$B$110:$T$114,MATCH(L$10,$B$110:$T$110,0),0),$F$38+('Input data'!$C$59-$F$38)/($O$10-$F$10)*(L10-$F$10))</f>
        <v>5.6492013333333334E-2</v>
      </c>
      <c r="M38" s="1">
        <f>IF(OR($C$3="EL",$C$3="CY",$C$3="IE",$C$3="PT"),VLOOKUP($C$3,$B$110:$T$114,MATCH(M$10,$B$110:$T$110,0),0),$F$38+('Input data'!$C$59-$F$38)/($O$10-$F$10)*(M10-$F$10))</f>
        <v>5.7994095555555555E-2</v>
      </c>
      <c r="N38" s="1">
        <f>IF(OR($C$3="EL",$C$3="CY",$C$3="IE",$C$3="PT"),VLOOKUP($C$3,$B$110:$T$114,MATCH(N$10,$B$110:$T$110,0),0),$F$38+('Input data'!$C$59-$F$38)/($O$10-$F$10)*(N10-$F$10))</f>
        <v>5.9496177777777777E-2</v>
      </c>
      <c r="O38" s="252">
        <f>IF(OR($C$3="EL",$C$3="CY",$C$3="IE",$C$3="PT"),VLOOKUP($C$3,$B$110:$T$114,MATCH(O$10,$B$110:$T$110,0),0),'Input data'!$C$59)</f>
        <v>6.0998259999999999E-2</v>
      </c>
      <c r="P38" s="1">
        <f>IF(OR($C$3="EL",$C$3="CY",$C$3="IE",$C$3="PT"),VLOOKUP($C$3,$B$110:$T$114,MATCH(P$10,$B$110:$T$110,0),0),'Input data'!$C$59)</f>
        <v>6.0998259999999999E-2</v>
      </c>
      <c r="Q38" s="1">
        <f>IF(OR($C$3="EL",$C$3="CY",$C$3="IE",$C$3="PT"),VLOOKUP($C$3,$B$110:$T$114,MATCH(Q$10,$B$110:$T$110,0),0),'Input data'!$C$59)</f>
        <v>6.0998259999999999E-2</v>
      </c>
      <c r="R38" s="1">
        <f>IF(OR($C$3="EL",$C$3="CY",$C$3="IE",$C$3="PT"),VLOOKUP($C$3,$B$110:$T$114,MATCH(R$10,$B$110:$T$110,0),0),'Input data'!$C$59)</f>
        <v>6.0998259999999999E-2</v>
      </c>
      <c r="S38" s="1">
        <f>IF(OR($C$3="EL",$C$3="CY",$C$3="IE",$C$3="PT"),VLOOKUP($C$3,$B$110:$T$114,MATCH(S$10,$B$110:$T$110,0),0),'Input data'!$C$59)</f>
        <v>6.0998259999999999E-2</v>
      </c>
      <c r="T38" s="1">
        <f>IF(OR($C$3="EL",$C$3="CY",$C$3="IE",$C$3="PT"),VLOOKUP($C$3,$B$110:$T$114,MATCH(T$10,$B$110:$T$110,0),0),'Input data'!$C$59)</f>
        <v>6.0998259999999999E-2</v>
      </c>
      <c r="U38" s="1">
        <f>IF(OR($C$3="EL",$C$3="CY",$C$3="IE",$C$3="PT"),VLOOKUP($C$3,$B$110:$W$114,MATCH(U$10,$B$110:$W$110,0),0),'Input data'!$C$59)</f>
        <v>6.0998259999999999E-2</v>
      </c>
      <c r="V38" s="1">
        <f>IF(OR($C$3="EL",$C$3="CY",$C$3="IE",$C$3="PT"),VLOOKUP($C$3,$B$110:$W$114,MATCH(V$10,$B$110:$W$110,0),0),'Input data'!$C$59)</f>
        <v>6.0998259999999999E-2</v>
      </c>
      <c r="W38" s="1">
        <f>IF(OR($C$3="EL",$C$3="CY",$C$3="IE",$C$3="PT"),VLOOKUP($C$3,$B$110:$W$114,MATCH(W$10,$B$110:$W$110,0),0),'Input data'!$C$59)</f>
        <v>6.0998259999999999E-2</v>
      </c>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60"/>
    </row>
    <row r="39" spans="2:51" x14ac:dyDescent="0.2">
      <c r="C39" s="1"/>
      <c r="D39" s="1"/>
      <c r="E39" s="1"/>
      <c r="F39" s="1"/>
      <c r="G39" s="1"/>
      <c r="H39" s="1"/>
      <c r="I39" s="1"/>
      <c r="J39" s="1"/>
      <c r="K39" s="1"/>
      <c r="L39" s="1"/>
      <c r="M39" s="1"/>
      <c r="N39" s="1"/>
      <c r="O39" s="1"/>
      <c r="P39" s="1"/>
      <c r="Q39" s="1"/>
      <c r="R39" s="1"/>
      <c r="S39" s="1"/>
      <c r="T39" s="1"/>
      <c r="U39" s="1"/>
      <c r="V39" s="1"/>
      <c r="W39" s="1"/>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60"/>
    </row>
    <row r="40" spans="2:51" x14ac:dyDescent="0.2">
      <c r="B40" s="28" t="s">
        <v>97</v>
      </c>
      <c r="C40" s="1"/>
      <c r="D40" s="1"/>
      <c r="E40" s="1"/>
      <c r="F40" s="1"/>
      <c r="G40" s="103"/>
      <c r="H40" s="103"/>
      <c r="I40" s="103"/>
      <c r="J40" s="103"/>
      <c r="K40" s="103"/>
      <c r="L40" s="103"/>
      <c r="M40" s="103"/>
      <c r="N40" s="1"/>
      <c r="O40" s="103"/>
      <c r="P40" s="103"/>
      <c r="Q40" s="103"/>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6" t="s">
        <v>66</v>
      </c>
      <c r="C41" s="1">
        <f>'Input data'!C42</f>
        <v>2.0052530000000002</v>
      </c>
      <c r="D41" s="1">
        <f>'Input data'!D42</f>
        <v>5.2614710000000002</v>
      </c>
      <c r="E41" s="2">
        <f>'Input data'!E42</f>
        <v>5.2736159999999996</v>
      </c>
      <c r="F41" s="2">
        <f>'Input data'!F42</f>
        <v>3.6423429999999999</v>
      </c>
      <c r="G41" s="2">
        <f>'Input data'!G42</f>
        <v>2.5339109999999998</v>
      </c>
      <c r="H41" s="1">
        <f>$G$41+($O$41-$G$41)/($O$10-$G$10)*(H10-$G$10)</f>
        <v>2.5359221249999999</v>
      </c>
      <c r="I41" s="1">
        <f>$G$41+($O$41-$G$41)/($O$10-$G$10)*(I10-$G$10)</f>
        <v>2.53793325</v>
      </c>
      <c r="J41" s="1">
        <f t="shared" ref="J41:M41" si="12">$G$41+($O$41-$G$41)/($O$10-$G$10)*(J10-$G$10)</f>
        <v>2.5399443749999997</v>
      </c>
      <c r="K41" s="1">
        <f t="shared" si="12"/>
        <v>2.5419554999999998</v>
      </c>
      <c r="L41" s="1">
        <f t="shared" si="12"/>
        <v>2.5439666249999999</v>
      </c>
      <c r="M41" s="1">
        <f t="shared" si="12"/>
        <v>2.5459777499999996</v>
      </c>
      <c r="N41" s="1">
        <f>$G$41+($O$41-$G$41)/($O$10-$G$10)*(N10-$G$10)</f>
        <v>2.5479888749999997</v>
      </c>
      <c r="O41" s="252">
        <f>'Input data'!$C$61</f>
        <v>2.5499999999999998</v>
      </c>
      <c r="P41" s="1">
        <f>$O$41+('Input data'!$C$62-'Input data'!$C$61)/20*(P$10-2033)</f>
        <v>2.5225</v>
      </c>
      <c r="Q41" s="1">
        <f>$O$41+('Input data'!$C$62-'Input data'!$C$61)/20*(Q$10-2033)</f>
        <v>2.4949999999999997</v>
      </c>
      <c r="R41" s="1">
        <f>$O$41+('Input data'!$C$62-'Input data'!$C$61)/20*(R$10-2033)</f>
        <v>2.4674999999999998</v>
      </c>
      <c r="S41" s="1">
        <f>$O$41+('Input data'!$C$62-'Input data'!$C$61)/20*(S$10-2033)</f>
        <v>2.44</v>
      </c>
      <c r="T41" s="1">
        <f>$O$41+('Input data'!$C$62-'Input data'!$C$61)/20*(T$10-2033)</f>
        <v>2.4124999999999996</v>
      </c>
      <c r="U41" s="1">
        <f>$O$41+('Input data'!$C$62-'Input data'!$C$61)/20*(U$10-2033)</f>
        <v>2.3849999999999998</v>
      </c>
      <c r="V41" s="1">
        <f>$O$41+('Input data'!$C$62-'Input data'!$C$61)/20*(V$10-2033)</f>
        <v>2.3574999999999999</v>
      </c>
      <c r="W41" s="1">
        <f>$O$41+('Input data'!$C$62-'Input data'!$C$61)/20*(W$10-2033)</f>
        <v>2.33</v>
      </c>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98</v>
      </c>
      <c r="C42" s="1">
        <v>1</v>
      </c>
      <c r="D42" s="1">
        <v>1</v>
      </c>
      <c r="E42" s="1">
        <v>1</v>
      </c>
      <c r="F42" s="1">
        <v>1</v>
      </c>
      <c r="G42" s="1">
        <v>0.99999990000000005</v>
      </c>
      <c r="H42" s="1">
        <v>1</v>
      </c>
      <c r="I42" s="1">
        <v>1</v>
      </c>
      <c r="J42" s="1">
        <v>1</v>
      </c>
      <c r="K42" s="1">
        <v>1</v>
      </c>
      <c r="L42" s="1">
        <v>1</v>
      </c>
      <c r="M42" s="1">
        <v>1</v>
      </c>
      <c r="N42" s="1">
        <v>1</v>
      </c>
      <c r="O42" s="1">
        <v>1</v>
      </c>
      <c r="P42" s="1">
        <v>1</v>
      </c>
      <c r="Q42" s="1">
        <v>1</v>
      </c>
      <c r="R42" s="1">
        <v>1</v>
      </c>
      <c r="S42" s="1">
        <v>1</v>
      </c>
      <c r="T42" s="1">
        <v>1</v>
      </c>
      <c r="U42" s="1">
        <v>1</v>
      </c>
      <c r="V42" s="1">
        <v>1</v>
      </c>
      <c r="W42" s="1">
        <v>1</v>
      </c>
      <c r="X42" s="1"/>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0"/>
    </row>
    <row r="43" spans="2:51" x14ac:dyDescent="0.2">
      <c r="C43" s="36"/>
    </row>
    <row r="44" spans="2:51" s="71" customFormat="1" ht="12.75" x14ac:dyDescent="0.2">
      <c r="B44" s="75" t="s">
        <v>99</v>
      </c>
      <c r="C44" s="76"/>
    </row>
    <row r="45" spans="2:51" x14ac:dyDescent="0.2">
      <c r="C45" s="36"/>
    </row>
    <row r="46" spans="2:51" x14ac:dyDescent="0.2">
      <c r="B46" s="54" t="s">
        <v>68</v>
      </c>
      <c r="C46" s="55">
        <f>'Input data'!C49</f>
        <v>0.75</v>
      </c>
    </row>
    <row r="47" spans="2:51" x14ac:dyDescent="0.2">
      <c r="B47" s="56" t="s">
        <v>258</v>
      </c>
      <c r="C47" s="57">
        <f>'Input data'!C50</f>
        <v>0.47899999999999998</v>
      </c>
    </row>
    <row r="48" spans="2:51" x14ac:dyDescent="0.2">
      <c r="C48" s="58"/>
    </row>
    <row r="49" spans="2:48" outlineLevel="1" x14ac:dyDescent="0.2">
      <c r="B49" s="26" t="s">
        <v>100</v>
      </c>
      <c r="C49" s="34"/>
      <c r="D49" s="34">
        <f>IF(AND(ABS((D12-C12)-('Input data'!D13-'Input data'!C13))&gt;0.0001,ABS(D12-C12)&gt;0.0001,D$10&gt;$C$5),4,IF(C49=4,3,IF(C49=3,2,IF(C49=2,1,0))))</f>
        <v>0</v>
      </c>
      <c r="E49" s="34">
        <f>IF(AND(ABS((E12-D12)-('Input data'!E13-'Input data'!D13))&gt;0.0001,ABS(E12-D12)&gt;0.0001,E$10&gt;$C$5),4,IF(D49=4,3,IF(D49=3,2,IF(D49=2,1,0))))</f>
        <v>0</v>
      </c>
      <c r="F49" s="34">
        <f>IF(AND(ABS((F12-E12)-('Input data'!F13-'Input data'!E13))&gt;0.0001,ABS(F12-E12)&gt;0.0001,F$10&gt;$C$5),4,IF(E49=4,3,IF(E49=3,2,IF(E49=2,1,0))))</f>
        <v>0</v>
      </c>
      <c r="G49" s="34">
        <f>IF(AND(ABS((G12-F12)-('Input data'!G13-'Input data'!F13))&gt;0.0001,ABS(G12-F12)&gt;0.0001,G$10&gt;$C$5),4,IF(F49=4,3,IF(F49=3,2,IF(F49=2,1,0))))</f>
        <v>0</v>
      </c>
      <c r="H49" s="34">
        <f>IF(AND(ABS((H12-G12)-('Input data'!H13-'Input data'!G13))&gt;0.0001,ABS(H12-G12)&gt;0.0001,H$10&gt;$C$5),4,IF(G49=4,3,IF(G49=3,2,IF(G49=2,1,0))))</f>
        <v>0</v>
      </c>
      <c r="I49" s="34">
        <f>IF(AND(ABS((I12-H12)-('Input data'!I13-'Input data'!H13))&gt;0.0001,ABS(I12-H12)&gt;0.0001,I$10&gt;$C$5),4,IF(H49=4,3,IF(H49=3,2,IF(H49=2,1,0))))</f>
        <v>0</v>
      </c>
      <c r="J49" s="34">
        <f>IF(AND(ABS((J12-I12)-('Input data'!J13-'Input data'!I13))&gt;0.0001,ABS(J12-I12)&gt;0.0001,J$10&gt;$C$5),4,IF(I49=4,3,IF(I49=3,2,IF(I49=2,1,0))))</f>
        <v>0</v>
      </c>
      <c r="K49" s="34">
        <f>IF(AND(ABS((K12-J12)-('Input data'!K13-'Input data'!J13))&gt;0.0001,ABS(K12-J12)&gt;0.0001,K$10&gt;$C$5),4,IF(J49=4,3,IF(J49=3,2,IF(J49=2,1,0))))</f>
        <v>0</v>
      </c>
      <c r="L49" s="34">
        <f>IF(AND(ABS((L12-K12)-('Input data'!L13-'Input data'!K13))&gt;0.0001,ABS(L12-K12)&gt;0.0001,L$10&gt;$C$5),4,IF(K49=4,3,IF(K49=3,2,IF(K49=2,1,0))))</f>
        <v>0</v>
      </c>
      <c r="M49" s="34">
        <f>IF(AND(ABS((M12-L12)-('Input data'!M13-'Input data'!L13))&gt;0.0001,ABS(M12-L12)&gt;0.0001,M$10&gt;$C$5),4,IF(L49=4,3,IF(L49=3,2,IF(L49=2,1,0))))</f>
        <v>0</v>
      </c>
      <c r="N49" s="34">
        <f>IF(AND(ABS((N12-M12)-('Input data'!N13-'Input data'!M13))&gt;0.0001,ABS(N12-M12)&gt;0.0001,N$10&gt;$C$5),4,IF(M49=4,3,IF(M49=3,2,IF(M49=2,1,0))))</f>
        <v>0</v>
      </c>
      <c r="O49" s="34">
        <f>IF(AND(ABS((O12-N12)-('Input data'!O13-'Input data'!N13))&gt;0.0001,ABS(O12-N12)&gt;0.0001,O$10&gt;$C$5),4,IF(N49=4,3,IF(N49=3,2,IF(N49=2,1,0))))</f>
        <v>0</v>
      </c>
      <c r="P49" s="34">
        <f>IF(AND(ABS((P12-O12)-('Input data'!P13-'Input data'!O13))&gt;0.0001,ABS(P12-O12)&gt;0.0001,P$10&gt;$C$5),4,IF(O49=4,3,IF(O49=3,2,IF(O49=2,1,0))))</f>
        <v>0</v>
      </c>
      <c r="Q49" s="34">
        <f>IF(AND(ABS((Q12-P12)-('Input data'!Q13-'Input data'!P13))&gt;0.0001,ABS(Q12-P12)&gt;0.0001,Q$10&gt;$C$5),4,IF(P49=4,3,IF(P49=3,2,IF(P49=2,1,0))))</f>
        <v>0</v>
      </c>
      <c r="R49" s="34">
        <f>IF(AND(ABS((R12-Q12)-('Input data'!R13-'Input data'!Q13))&gt;0.0001,ABS(R12-Q12)&gt;0.0001,R$10&gt;$C$5),4,IF(Q49=4,3,IF(Q49=3,2,IF(Q49=2,1,0))))</f>
        <v>0</v>
      </c>
      <c r="S49" s="34">
        <f>IF(AND(ABS((S12-R12)-('Input data'!S13-'Input data'!R13))&gt;0.0001,ABS(S12-R12)&gt;0.0001,S$10&gt;$C$5),4,IF(R49=4,3,IF(R49=3,2,IF(R49=2,1,0))))</f>
        <v>0</v>
      </c>
      <c r="T49" s="34">
        <f>IF(AND(ABS((T12-S12)-('Input data'!T13-'Input data'!S13))&gt;0.0001,ABS(T12-S12)&gt;0.0001,T$10&gt;$C$5),4,IF(S49=4,3,IF(S49=3,2,IF(S49=2,1,0))))</f>
        <v>0</v>
      </c>
      <c r="U49" s="34">
        <f>IF(AND(ABS((U12-T12)-('Input data'!U13-'Input data'!T13))&gt;0.0001,ABS(U12-T12)&gt;0.0001,U$10&gt;$C$5),4,IF(T49=4,3,IF(T49=3,2,IF(T49=2,1,0))))</f>
        <v>0</v>
      </c>
      <c r="V49" s="34">
        <f>IF(AND(ABS((V12-U12)-('Input data'!V13-'Input data'!U13))&gt;0.0001,ABS(V12-U12)&gt;0.0001,V$10&gt;$C$5),4,IF(U49=4,3,IF(U49=3,2,IF(U49=2,1,0))))</f>
        <v>0</v>
      </c>
      <c r="W49" s="34">
        <f>IF(AND(ABS((W12-V12)-('Input data'!W13-'Input data'!V13))&gt;0.0001,ABS(W12-V12)&gt;0.0001,W$10&gt;$C$5),4,IF(V49=4,3,IF(V49=3,2,IF(V49=2,1,0))))</f>
        <v>0</v>
      </c>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row>
    <row r="50" spans="2:48" outlineLevel="1" x14ac:dyDescent="0.2">
      <c r="B50" s="26" t="s">
        <v>101</v>
      </c>
      <c r="C50" s="34"/>
      <c r="D50" s="34">
        <f t="shared" ref="D50:W50" si="13">IF(C49=4,2/3*C29,IF(C49=3,1/3*B29,0))</f>
        <v>0</v>
      </c>
      <c r="E50" s="34">
        <f t="shared" si="13"/>
        <v>0</v>
      </c>
      <c r="F50" s="34">
        <f t="shared" si="13"/>
        <v>0</v>
      </c>
      <c r="G50" s="34">
        <f t="shared" si="13"/>
        <v>0</v>
      </c>
      <c r="H50" s="34">
        <f t="shared" si="13"/>
        <v>0</v>
      </c>
      <c r="I50" s="34">
        <f t="shared" si="13"/>
        <v>0</v>
      </c>
      <c r="J50" s="34">
        <f t="shared" si="13"/>
        <v>0</v>
      </c>
      <c r="K50" s="34">
        <f t="shared" si="13"/>
        <v>0</v>
      </c>
      <c r="L50" s="34">
        <f t="shared" si="13"/>
        <v>0</v>
      </c>
      <c r="M50" s="34">
        <f t="shared" si="13"/>
        <v>0</v>
      </c>
      <c r="N50" s="34">
        <f t="shared" si="13"/>
        <v>0</v>
      </c>
      <c r="O50" s="34">
        <f t="shared" si="13"/>
        <v>0</v>
      </c>
      <c r="P50" s="34">
        <f t="shared" si="13"/>
        <v>0</v>
      </c>
      <c r="Q50" s="34">
        <f t="shared" si="13"/>
        <v>0</v>
      </c>
      <c r="R50" s="34">
        <f t="shared" si="13"/>
        <v>0</v>
      </c>
      <c r="S50" s="34">
        <f t="shared" si="13"/>
        <v>0</v>
      </c>
      <c r="T50" s="34">
        <f t="shared" si="13"/>
        <v>0</v>
      </c>
      <c r="U50" s="34">
        <f t="shared" si="13"/>
        <v>0</v>
      </c>
      <c r="V50" s="34">
        <f t="shared" si="13"/>
        <v>0</v>
      </c>
      <c r="W50" s="34">
        <f t="shared" si="13"/>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102</v>
      </c>
      <c r="C51" s="34"/>
      <c r="D51" s="34">
        <f>'Input data'!D30-$C$46*((D12-C12)-('Input data'!D13-'Input data'!C13))</f>
        <v>8.0755689999999998</v>
      </c>
      <c r="E51" s="34">
        <f>'Input data'!E30-$C$46*((E12-D12)-('Input data'!E13-'Input data'!D13))</f>
        <v>5.6139260000000002</v>
      </c>
      <c r="F51" s="34">
        <f>'Input data'!F30-$C$46*((F12-E12)-('Input data'!F13-'Input data'!E13))</f>
        <v>4.5722800000000001</v>
      </c>
      <c r="G51" s="34">
        <f>'Input data'!G30-$C$46*((G12-F12)-('Input data'!G13-'Input data'!F13))</f>
        <v>7.0181302500000005</v>
      </c>
      <c r="H51" s="34">
        <f>'Input data'!H30-$C$46*((H12-G12))</f>
        <v>4.8073629999999996</v>
      </c>
      <c r="I51" s="34">
        <f>'Input data'!I30-$C$46*((I12-H12))</f>
        <v>4.8806839999999996</v>
      </c>
      <c r="J51" s="34">
        <f>'Input data'!J30-$C$46*((J12-I12))</f>
        <v>4.7310949999999998</v>
      </c>
      <c r="K51" s="34">
        <f>'Input data'!K30-$C$46*((K12-J12))</f>
        <v>4.5981800000000002</v>
      </c>
      <c r="L51" s="34">
        <f>'Input data'!L30-$C$46*((L12-K12))</f>
        <v>4.5042590000000002</v>
      </c>
      <c r="M51" s="34">
        <f>'Input data'!M30-$C$46*((M12-L12))</f>
        <v>4.3482380000000003</v>
      </c>
      <c r="N51" s="34">
        <f>'Input data'!N30-$C$46*((N12-M12))</f>
        <v>4.1701290000000002</v>
      </c>
      <c r="O51" s="34">
        <f>'Input data'!O30-$C$46*((O12-N12))</f>
        <v>4.1159239999999997</v>
      </c>
      <c r="P51" s="34">
        <f>'Input data'!P30-$C$46*((P12-O12))</f>
        <v>3.776726</v>
      </c>
      <c r="Q51" s="34">
        <f>'Input data'!Q30-$C$46*((Q12-P12))</f>
        <v>3.4375260000000001</v>
      </c>
      <c r="R51" s="34">
        <f>'Input data'!R30-$C$46*((R12-Q12))</f>
        <v>3.0983320000000001</v>
      </c>
      <c r="S51" s="34">
        <f>'Input data'!S30-$C$46*((S12-R12))</f>
        <v>2.9864269999999999</v>
      </c>
      <c r="T51" s="34">
        <f>'Input data'!T30-$C$46*((T12-S12))</f>
        <v>2.845796</v>
      </c>
      <c r="U51" s="34">
        <f>'Input data'!U30-$C$46*((U12-T12))</f>
        <v>2.6784659999999998</v>
      </c>
      <c r="V51" s="34">
        <f>'Input data'!V30-$C$46*((V12-U12))</f>
        <v>2.5182220000000002</v>
      </c>
      <c r="W51" s="34">
        <f>'Input data'!W30-$C$46*((W12-V12))</f>
        <v>2.3694350000000002</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x14ac:dyDescent="0.2">
      <c r="C52" s="36"/>
    </row>
    <row r="53" spans="2:48" s="71" customFormat="1" ht="12.75" outlineLevel="1" x14ac:dyDescent="0.2">
      <c r="B53" s="72" t="s">
        <v>103</v>
      </c>
      <c r="C53" s="73"/>
      <c r="E53" s="74"/>
      <c r="F53" s="73"/>
    </row>
    <row r="54" spans="2:48" outlineLevel="1" x14ac:dyDescent="0.2">
      <c r="B54" s="43"/>
      <c r="C54" s="29"/>
      <c r="E54" s="44"/>
      <c r="F54" s="29"/>
    </row>
    <row r="55" spans="2:48" outlineLevel="1" x14ac:dyDescent="0.2">
      <c r="B55" s="85"/>
      <c r="C55" s="86">
        <v>2021</v>
      </c>
      <c r="D55" s="86">
        <v>2022</v>
      </c>
      <c r="E55" s="86">
        <v>2023</v>
      </c>
      <c r="F55" s="86">
        <v>2024</v>
      </c>
      <c r="G55" s="86">
        <v>2025</v>
      </c>
      <c r="H55" s="86">
        <v>2026</v>
      </c>
      <c r="I55" s="86">
        <v>2027</v>
      </c>
      <c r="J55" s="86">
        <v>2028</v>
      </c>
      <c r="K55" s="86">
        <v>2029</v>
      </c>
      <c r="L55" s="86">
        <v>2030</v>
      </c>
      <c r="M55" s="86">
        <v>2031</v>
      </c>
      <c r="N55" s="86">
        <v>2032</v>
      </c>
      <c r="O55" s="86">
        <v>2033</v>
      </c>
      <c r="P55" s="86">
        <v>2034</v>
      </c>
      <c r="Q55" s="86">
        <v>2035</v>
      </c>
      <c r="R55" s="86">
        <v>2036</v>
      </c>
      <c r="S55" s="86">
        <v>2037</v>
      </c>
      <c r="T55" s="86">
        <v>2038</v>
      </c>
      <c r="U55" s="86">
        <v>2039</v>
      </c>
      <c r="V55" s="86">
        <v>2040</v>
      </c>
      <c r="W55" s="86">
        <v>2041</v>
      </c>
    </row>
    <row r="56" spans="2:48" ht="10.5" customHeight="1" outlineLevel="1" x14ac:dyDescent="0.2">
      <c r="B56" s="87" t="s">
        <v>104</v>
      </c>
      <c r="C56" s="45">
        <f>+'Input data'!C12</f>
        <v>53.925649999999997</v>
      </c>
      <c r="D56" s="45">
        <f>+C56+D57</f>
        <v>51.626479730977287</v>
      </c>
      <c r="E56" s="45">
        <f t="shared" ref="E56:T56" si="14">+D56+E57</f>
        <v>50.396658431512243</v>
      </c>
      <c r="F56" s="45">
        <f>+E56+F57</f>
        <v>52.027240532489337</v>
      </c>
      <c r="G56" s="45">
        <f>+F56+G57</f>
        <v>52.801992659476348</v>
      </c>
      <c r="H56" s="45">
        <f t="shared" si="14"/>
        <v>53.227583574358363</v>
      </c>
      <c r="I56" s="45">
        <f t="shared" si="14"/>
        <v>53.467451996246375</v>
      </c>
      <c r="J56" s="45">
        <f t="shared" si="14"/>
        <v>53.690445771267157</v>
      </c>
      <c r="K56" s="45">
        <f t="shared" si="14"/>
        <v>53.949710495800389</v>
      </c>
      <c r="L56" s="45">
        <f t="shared" si="14"/>
        <v>54.227759556144662</v>
      </c>
      <c r="M56" s="45">
        <f t="shared" si="14"/>
        <v>54.562378447319823</v>
      </c>
      <c r="N56" s="45">
        <f t="shared" si="14"/>
        <v>54.974854739263044</v>
      </c>
      <c r="O56" s="45">
        <f t="shared" si="14"/>
        <v>55.418735814265816</v>
      </c>
      <c r="P56" s="45">
        <f t="shared" si="14"/>
        <v>56.065800193733736</v>
      </c>
      <c r="Q56" s="45">
        <f t="shared" si="14"/>
        <v>56.926988176898625</v>
      </c>
      <c r="R56" s="45">
        <f>+Q56+R57</f>
        <v>58.014611873127798</v>
      </c>
      <c r="S56" s="45">
        <f t="shared" si="14"/>
        <v>59.213163117121717</v>
      </c>
      <c r="T56" s="45">
        <f t="shared" si="14"/>
        <v>60.545122848965129</v>
      </c>
      <c r="U56" s="45">
        <f t="shared" ref="U56" si="15">+T56+U57</f>
        <v>62.041598366521043</v>
      </c>
      <c r="V56" s="45">
        <f t="shared" ref="V56" si="16">+U56+V57</f>
        <v>63.71843126149777</v>
      </c>
      <c r="W56" s="45">
        <f t="shared" ref="W56" si="17">+V56+W57</f>
        <v>65.588764050669113</v>
      </c>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row>
    <row r="57" spans="2:48" outlineLevel="1" x14ac:dyDescent="0.2">
      <c r="B57" s="88" t="s">
        <v>105</v>
      </c>
      <c r="C57" s="47"/>
      <c r="D57" s="47">
        <f>-D58+D66+D71</f>
        <v>-2.2991702690227092</v>
      </c>
      <c r="E57" s="47">
        <f t="shared" ref="E57:T57" si="18">-E58+E66+E71</f>
        <v>-1.2298212994650455</v>
      </c>
      <c r="F57" s="47">
        <f>-F58+F66+F71</f>
        <v>1.6305821009770955</v>
      </c>
      <c r="G57" s="47">
        <f>-G58+G66+G71</f>
        <v>0.77475212698701323</v>
      </c>
      <c r="H57" s="47">
        <f t="shared" si="18"/>
        <v>0.42559091488201162</v>
      </c>
      <c r="I57" s="47">
        <f t="shared" si="18"/>
        <v>0.23986842188801383</v>
      </c>
      <c r="J57" s="47">
        <f t="shared" si="18"/>
        <v>0.22299377502078332</v>
      </c>
      <c r="K57" s="47">
        <f t="shared" si="18"/>
        <v>0.25926472453322846</v>
      </c>
      <c r="L57" s="47">
        <f t="shared" si="18"/>
        <v>0.27804906034427423</v>
      </c>
      <c r="M57" s="47">
        <f t="shared" si="18"/>
        <v>0.33461889117516397</v>
      </c>
      <c r="N57" s="47">
        <f t="shared" si="18"/>
        <v>0.41247629194322322</v>
      </c>
      <c r="O57" s="47">
        <f t="shared" si="18"/>
        <v>0.44388107500277041</v>
      </c>
      <c r="P57" s="47">
        <f t="shared" si="18"/>
        <v>0.64706437946792228</v>
      </c>
      <c r="Q57" s="47">
        <f t="shared" si="18"/>
        <v>0.86118798316488832</v>
      </c>
      <c r="R57" s="47">
        <f>-R58+R66+R71</f>
        <v>1.0876236962291741</v>
      </c>
      <c r="S57" s="47">
        <f t="shared" si="18"/>
        <v>1.1985512439939185</v>
      </c>
      <c r="T57" s="47">
        <f t="shared" si="18"/>
        <v>1.3319597318434153</v>
      </c>
      <c r="U57" s="47">
        <f t="shared" ref="U57:W57" si="19">-U58+U66+U71</f>
        <v>1.4964755175559155</v>
      </c>
      <c r="V57" s="47">
        <f t="shared" si="19"/>
        <v>1.6768328949767264</v>
      </c>
      <c r="W57" s="47">
        <f t="shared" si="19"/>
        <v>1.8703327891713466</v>
      </c>
    </row>
    <row r="58" spans="2:48" outlineLevel="1" x14ac:dyDescent="0.2">
      <c r="B58" s="84" t="s">
        <v>106</v>
      </c>
      <c r="C58" s="48"/>
      <c r="D58" s="48">
        <f>D59+D60-D61-D62-D63-D64-D65</f>
        <v>-4.5943547309772903</v>
      </c>
      <c r="E58" s="48">
        <f>E59+E60-E61-E62-E63-E64-E65</f>
        <v>-3.7999557005349547</v>
      </c>
      <c r="F58" s="48">
        <f>F59+F60-F61-F62-F63-F64-F65</f>
        <v>-3.0642601009770956</v>
      </c>
      <c r="G58" s="48">
        <f t="shared" ref="G58:T58" si="20">G59+G60-G61-G62-G63-G64-G65</f>
        <v>-3.0134067269870131</v>
      </c>
      <c r="H58" s="48">
        <f t="shared" si="20"/>
        <v>-2.6911930461778328</v>
      </c>
      <c r="I58" s="48">
        <f t="shared" si="20"/>
        <v>-2.5186070373627145</v>
      </c>
      <c r="J58" s="48">
        <f t="shared" si="20"/>
        <v>-2.3993154390763718</v>
      </c>
      <c r="K58" s="48">
        <f t="shared" si="20"/>
        <v>-2.3403098549621082</v>
      </c>
      <c r="L58" s="48">
        <f t="shared" si="20"/>
        <v>-2.2838656467341862</v>
      </c>
      <c r="M58" s="48">
        <f t="shared" si="20"/>
        <v>-2.2341792467341888</v>
      </c>
      <c r="N58" s="48">
        <f t="shared" si="20"/>
        <v>-2.1952410074356852</v>
      </c>
      <c r="O58" s="48">
        <f t="shared" si="20"/>
        <v>-2.1738935873076279</v>
      </c>
      <c r="P58" s="48">
        <f t="shared" si="20"/>
        <v>-2.1680261641720788</v>
      </c>
      <c r="Q58" s="48">
        <f t="shared" si="20"/>
        <v>-2.17777976417208</v>
      </c>
      <c r="R58" s="48">
        <f t="shared" si="20"/>
        <v>-2.2018318703572706</v>
      </c>
      <c r="S58" s="48">
        <f t="shared" si="20"/>
        <v>-2.2356540750279126</v>
      </c>
      <c r="T58" s="48">
        <f t="shared" si="20"/>
        <v>-2.2770780407736924</v>
      </c>
      <c r="U58" s="48">
        <f t="shared" ref="U58:W58" si="21">U59+U60-U61-U62-U63-U64-U65</f>
        <v>-2.3341925737832279</v>
      </c>
      <c r="V58" s="48">
        <f t="shared" si="21"/>
        <v>-2.4100274754850353</v>
      </c>
      <c r="W58" s="48">
        <f t="shared" si="21"/>
        <v>-2.5039019113110799</v>
      </c>
    </row>
    <row r="59" spans="2:48" outlineLevel="1" x14ac:dyDescent="0.2">
      <c r="B59" s="79" t="s">
        <v>107</v>
      </c>
      <c r="C59" s="1"/>
      <c r="D59" s="1">
        <f>D12</f>
        <v>-4.3552039999999996</v>
      </c>
      <c r="E59" s="1">
        <f>E12</f>
        <v>-3.790994</v>
      </c>
      <c r="F59" s="1">
        <f>F12</f>
        <v>-2.897243</v>
      </c>
      <c r="G59" s="1">
        <f t="shared" ref="G59:W59" si="22">IF(G12="",F59,G12)</f>
        <v>-2.897243</v>
      </c>
      <c r="H59" s="1">
        <f>IF(H12="",G59,H12)</f>
        <v>-2.897243</v>
      </c>
      <c r="I59" s="1">
        <f t="shared" si="22"/>
        <v>-2.897243</v>
      </c>
      <c r="J59" s="1">
        <f t="shared" si="22"/>
        <v>-2.897243</v>
      </c>
      <c r="K59" s="1">
        <f t="shared" si="22"/>
        <v>-2.897243</v>
      </c>
      <c r="L59" s="1">
        <f t="shared" si="22"/>
        <v>-2.897243</v>
      </c>
      <c r="M59" s="1">
        <f t="shared" si="22"/>
        <v>-2.897243</v>
      </c>
      <c r="N59" s="1">
        <f t="shared" si="22"/>
        <v>-2.897243</v>
      </c>
      <c r="O59" s="1">
        <f t="shared" si="22"/>
        <v>-2.897243</v>
      </c>
      <c r="P59" s="1">
        <f t="shared" si="22"/>
        <v>-2.897243</v>
      </c>
      <c r="Q59" s="1">
        <f t="shared" si="22"/>
        <v>-2.897243</v>
      </c>
      <c r="R59" s="1">
        <f t="shared" si="22"/>
        <v>-2.897243</v>
      </c>
      <c r="S59" s="1">
        <f t="shared" si="22"/>
        <v>-2.897243</v>
      </c>
      <c r="T59" s="1">
        <f t="shared" si="22"/>
        <v>-2.897243</v>
      </c>
      <c r="U59" s="1">
        <f t="shared" si="22"/>
        <v>-2.897243</v>
      </c>
      <c r="V59" s="1">
        <f t="shared" si="22"/>
        <v>-2.897243</v>
      </c>
      <c r="W59" s="1">
        <f t="shared" si="22"/>
        <v>-2.897243</v>
      </c>
    </row>
    <row r="60" spans="2:48" outlineLevel="1" x14ac:dyDescent="0.2">
      <c r="B60" s="79" t="s">
        <v>108</v>
      </c>
      <c r="C60" s="1"/>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row>
    <row r="61" spans="2:48" outlineLevel="1" x14ac:dyDescent="0.2">
      <c r="B61" s="79" t="s">
        <v>109</v>
      </c>
      <c r="C61" s="1"/>
      <c r="D61" s="1">
        <f t="shared" ref="D61:W61" si="23">-$C$47*D29</f>
        <v>0.23915073097729053</v>
      </c>
      <c r="E61" s="1">
        <f t="shared" si="23"/>
        <v>8.9617005349547311E-3</v>
      </c>
      <c r="F61" s="1">
        <f t="shared" si="23"/>
        <v>0.16701710097709546</v>
      </c>
      <c r="G61" s="1">
        <f t="shared" si="23"/>
        <v>0.17788012698701336</v>
      </c>
      <c r="H61" s="1">
        <f>-$C$47*H29</f>
        <v>0.11859294617783318</v>
      </c>
      <c r="I61" s="1">
        <f t="shared" si="23"/>
        <v>3.9533337362714548E-2</v>
      </c>
      <c r="J61" s="1">
        <f>-$C$47*J29</f>
        <v>8.1390763747801739E-6</v>
      </c>
      <c r="K61" s="1">
        <f t="shared" si="23"/>
        <v>9.0549621070912242E-6</v>
      </c>
      <c r="L61" s="1">
        <f t="shared" si="23"/>
        <v>1.1346734185813112E-5</v>
      </c>
      <c r="M61" s="1">
        <f t="shared" si="23"/>
        <v>1.1346734191131079E-5</v>
      </c>
      <c r="N61" s="1">
        <f t="shared" si="23"/>
        <v>9.5074356848301449E-6</v>
      </c>
      <c r="O61" s="1">
        <f t="shared" si="23"/>
        <v>8.5873076284048725E-6</v>
      </c>
      <c r="P61" s="1">
        <f t="shared" si="23"/>
        <v>7.6641720801018377E-6</v>
      </c>
      <c r="Q61" s="1">
        <f t="shared" si="23"/>
        <v>7.6641720801018377E-6</v>
      </c>
      <c r="R61" s="1">
        <f t="shared" si="23"/>
        <v>6.2703572725197887E-6</v>
      </c>
      <c r="S61" s="1">
        <f t="shared" si="23"/>
        <v>4.875027912887297E-6</v>
      </c>
      <c r="T61" s="1">
        <f t="shared" si="23"/>
        <v>5.3407736929855784E-6</v>
      </c>
      <c r="U61" s="1">
        <f t="shared" si="23"/>
        <v>6.2737832300041593E-6</v>
      </c>
      <c r="V61" s="1">
        <f t="shared" si="23"/>
        <v>7.675485036584551E-6</v>
      </c>
      <c r="W61" s="1">
        <f t="shared" si="23"/>
        <v>8.6113110812857659E-6</v>
      </c>
    </row>
    <row r="62" spans="2:48" outlineLevel="1" x14ac:dyDescent="0.2">
      <c r="B62" s="79" t="s">
        <v>110</v>
      </c>
      <c r="C62" s="1"/>
      <c r="D62" s="1">
        <f t="shared" ref="D62:W62" si="24">-D13</f>
        <v>0</v>
      </c>
      <c r="E62" s="1">
        <f t="shared" si="24"/>
        <v>0</v>
      </c>
      <c r="F62" s="1">
        <f t="shared" si="24"/>
        <v>0</v>
      </c>
      <c r="G62" s="1">
        <f t="shared" si="24"/>
        <v>0</v>
      </c>
      <c r="H62" s="1">
        <f>-H13</f>
        <v>0</v>
      </c>
      <c r="I62" s="1">
        <f t="shared" si="24"/>
        <v>0</v>
      </c>
      <c r="J62" s="1">
        <f t="shared" si="24"/>
        <v>0</v>
      </c>
      <c r="K62" s="1">
        <f t="shared" si="24"/>
        <v>0</v>
      </c>
      <c r="L62" s="1">
        <f t="shared" si="24"/>
        <v>0</v>
      </c>
      <c r="M62" s="1">
        <f t="shared" si="24"/>
        <v>0</v>
      </c>
      <c r="N62" s="1">
        <f t="shared" si="24"/>
        <v>0</v>
      </c>
      <c r="O62" s="1">
        <f t="shared" si="24"/>
        <v>0</v>
      </c>
      <c r="P62" s="1">
        <f t="shared" si="24"/>
        <v>0</v>
      </c>
      <c r="Q62" s="1">
        <f t="shared" si="24"/>
        <v>0</v>
      </c>
      <c r="R62" s="1">
        <f t="shared" si="24"/>
        <v>0</v>
      </c>
      <c r="S62" s="1">
        <f t="shared" si="24"/>
        <v>0</v>
      </c>
      <c r="T62" s="1">
        <f t="shared" si="24"/>
        <v>0</v>
      </c>
      <c r="U62" s="1">
        <f t="shared" si="24"/>
        <v>0</v>
      </c>
      <c r="V62" s="1">
        <f t="shared" si="24"/>
        <v>0</v>
      </c>
      <c r="W62" s="1">
        <f t="shared" si="24"/>
        <v>0</v>
      </c>
    </row>
    <row r="63" spans="2:48" outlineLevel="1" x14ac:dyDescent="0.2">
      <c r="B63" s="79" t="s">
        <v>111</v>
      </c>
      <c r="C63" s="1"/>
      <c r="D63" s="1">
        <f>IF(D$55&lt;=$C$5,0,HLOOKUP(D$55,'Input data'!$C$9:$BB$26,12,FALSE)-HLOOKUP($C$5,'Input data'!$C$9:$BB$26,12,FALSE))</f>
        <v>0</v>
      </c>
      <c r="E63" s="1">
        <f>IF(E$55&lt;=$C$5,0,HLOOKUP(E$55,'Input data'!$C$9:$BB$26,12,FALSE)-HLOOKUP($C$5,'Input data'!$C$9:$BB$26,12,FALSE))</f>
        <v>0</v>
      </c>
      <c r="F63" s="1">
        <f>IF(F$55&lt;=$C$5,0,HLOOKUP(F$55,'Input data'!$C$9:$BB$26,12,FALSE)-HLOOKUP($C$5,'Input data'!$C$9:$BB$26,12,FALSE))</f>
        <v>0</v>
      </c>
      <c r="G63" s="1">
        <f>IF(G$55&lt;=$C$5,0,HLOOKUP(G$55,'Input data'!$C$9:$BB$26,12,FALSE)-HLOOKUP($C$5,'Input data'!$C$9:$BB$26,12,FALSE))</f>
        <v>-6.4560000000000173E-2</v>
      </c>
      <c r="H63" s="1">
        <f>IF(H$55&lt;=$C$5,0,HLOOKUP(H$55,'Input data'!$C$9:$BB$26,12,FALSE)-HLOOKUP($C$5,'Input data'!$C$9:$BB$26,12,FALSE))</f>
        <v>-0.33033000000000001</v>
      </c>
      <c r="I63" s="1">
        <f>IF(I$55&lt;=$C$5,0,HLOOKUP(I$55,'Input data'!$C$9:$BB$26,12,FALSE)-HLOOKUP($C$5,'Input data'!$C$9:$BB$26,12,FALSE))</f>
        <v>-0.4267000000000003</v>
      </c>
      <c r="J63" s="1">
        <f>IF(J$55&lt;=$C$5,0,HLOOKUP(J$55,'Input data'!$C$9:$BB$26,12,FALSE)-HLOOKUP($C$5,'Input data'!$C$9:$BB$26,12,FALSE))</f>
        <v>-0.50931000000000282</v>
      </c>
      <c r="K63" s="1">
        <f>IF(K$55&lt;=$C$5,0,HLOOKUP(K$55,'Input data'!$C$9:$BB$26,12,FALSE)-HLOOKUP($C$5,'Input data'!$C$9:$BB$26,12,FALSE))</f>
        <v>-0.571159999999999</v>
      </c>
      <c r="L63" s="1">
        <f>IF(L$55&lt;=$C$5,0,HLOOKUP(L$55,'Input data'!$C$9:$BB$26,12,FALSE)-HLOOKUP($C$5,'Input data'!$C$9:$BB$26,12,FALSE))</f>
        <v>-0.63044999999999973</v>
      </c>
      <c r="M63" s="1">
        <f>IF(M$55&lt;=$C$5,0,HLOOKUP(M$55,'Input data'!$C$9:$BB$26,12,FALSE)-HLOOKUP($C$5,'Input data'!$C$9:$BB$26,12,FALSE))</f>
        <v>-0.68298000000000236</v>
      </c>
      <c r="N63" s="1">
        <f>IF(N$55&lt;=$C$5,0,HLOOKUP(N$55,'Input data'!$C$9:$BB$26,12,FALSE)-HLOOKUP($C$5,'Input data'!$C$9:$BB$26,12,FALSE))</f>
        <v>-0.72475999999999985</v>
      </c>
      <c r="O63" s="1">
        <f>IF(O$55&lt;=$C$5,0,HLOOKUP(O$55,'Input data'!$C$9:$BB$26,12,FALSE)-HLOOKUP($C$5,'Input data'!$C$9:$BB$26,12,FALSE))</f>
        <v>-0.74895000000000067</v>
      </c>
      <c r="P63" s="1">
        <f>IF(P$55&lt;=$C$5,0,HLOOKUP(P$55,'Input data'!$C$9:$BB$26,12,FALSE)-HLOOKUP($C$5,'Input data'!$C$9:$BB$26,12,FALSE))</f>
        <v>-0.75766000000000133</v>
      </c>
      <c r="Q63" s="1">
        <f>IF(Q$55&lt;=$C$5,0,HLOOKUP(Q$55,'Input data'!$C$9:$BB$26,12,FALSE)-HLOOKUP($C$5,'Input data'!$C$9:$BB$26,12,FALSE))</f>
        <v>-0.75075000000000003</v>
      </c>
      <c r="R63" s="1">
        <f>IF(R$55&lt;=$C$5,0,HLOOKUP(R$55,'Input data'!$C$9:$BB$26,12,FALSE)-HLOOKUP($C$5,'Input data'!$C$9:$BB$26,12,FALSE))</f>
        <v>-0.72954000000000185</v>
      </c>
      <c r="S63" s="1">
        <f>IF(S$55&lt;=$C$5,0,HLOOKUP(S$55,'Input data'!$C$9:$BB$26,12,FALSE)-HLOOKUP($C$5,'Input data'!$C$9:$BB$26,12,FALSE))</f>
        <v>-0.69856000000000051</v>
      </c>
      <c r="T63" s="1">
        <f>IF(T$55&lt;=$C$5,0,HLOOKUP(T$55,'Input data'!$C$9:$BB$26,12,FALSE)-HLOOKUP($C$5,'Input data'!$C$9:$BB$26,12,FALSE))</f>
        <v>-0.6599800000000009</v>
      </c>
      <c r="U63" s="1">
        <f>IF(U$55&lt;=$C$5,0,HLOOKUP(U$55,'Input data'!$C$9:$BB$26,12,FALSE)-HLOOKUP($C$5,'Input data'!$C$9:$BB$26,12,FALSE))</f>
        <v>-0.60571000000000197</v>
      </c>
      <c r="V63" s="1">
        <f>IF(V$55&lt;=$C$5,0,HLOOKUP(V$55,'Input data'!$C$9:$BB$26,12,FALSE)-HLOOKUP($C$5,'Input data'!$C$9:$BB$26,12,FALSE))</f>
        <v>-0.53272000000000119</v>
      </c>
      <c r="W63" s="1">
        <f>IF(W$55&lt;=$C$5,0,HLOOKUP(W$55,'Input data'!$C$9:$BB$26,12,FALSE)-HLOOKUP($C$5,'Input data'!$C$9:$BB$26,12,FALSE))</f>
        <v>-0.44169000000000125</v>
      </c>
    </row>
    <row r="64" spans="2:48" outlineLevel="1" x14ac:dyDescent="0.2">
      <c r="B64" s="79" t="s">
        <v>112</v>
      </c>
      <c r="C64" s="1"/>
      <c r="D64" s="1">
        <f>IF(D$55&lt;=$C$5,0,-HLOOKUP(D$55,'Input data'!$C$9:$BB$26,18,FALSE)+HLOOKUP($C$5,'Input data'!$C$9:$BB$26,18,FALSE))</f>
        <v>0</v>
      </c>
      <c r="E64" s="1">
        <f>IF(E$55&lt;=$C$5,0,-HLOOKUP(E$55,'Input data'!$C$9:$BB$26,18,FALSE)+HLOOKUP($C$5,'Input data'!$C$9:$BB$26,18,FALSE))</f>
        <v>0</v>
      </c>
      <c r="F64" s="1">
        <f>IF(F$55&lt;=$C$5,0,-HLOOKUP(F$55,'Input data'!$C$9:$BB$26,18,FALSE)+HLOOKUP($C$5,'Input data'!$C$9:$BB$26,18,FALSE))</f>
        <v>0</v>
      </c>
      <c r="G64" s="1">
        <f>IF(G$55&lt;=$C$5,0,-HLOOKUP(G$55,'Input data'!$C$9:$BB$26,18,FALSE)+HLOOKUP($C$5,'Input data'!$C$9:$BB$26,18,FALSE))</f>
        <v>2.8436000000000017E-3</v>
      </c>
      <c r="H64" s="1">
        <f>IF(H$55&lt;=$C$5,0,-HLOOKUP(H$55,'Input data'!$C$9:$BB$26,18,FALSE)+HLOOKUP($C$5,'Input data'!$C$9:$BB$26,18,FALSE))</f>
        <v>5.6871000000000005E-3</v>
      </c>
      <c r="I64" s="1">
        <f>IF(I$55&lt;=$C$5,0,-HLOOKUP(I$55,'Input data'!$C$9:$BB$26,18,FALSE)+HLOOKUP($C$5,'Input data'!$C$9:$BB$26,18,FALSE))</f>
        <v>8.5307000000000022E-3</v>
      </c>
      <c r="J64" s="1">
        <f>IF(J$55&lt;=$C$5,0,-HLOOKUP(J$55,'Input data'!$C$9:$BB$26,18,FALSE)+HLOOKUP($C$5,'Input data'!$C$9:$BB$26,18,FALSE))</f>
        <v>1.1374300000000004E-2</v>
      </c>
      <c r="K64" s="1">
        <f>IF(K$55&lt;=$C$5,0,-HLOOKUP(K$55,'Input data'!$C$9:$BB$26,18,FALSE)+HLOOKUP($C$5,'Input data'!$C$9:$BB$26,18,FALSE))</f>
        <v>1.4217800000000003E-2</v>
      </c>
      <c r="L64" s="1">
        <f>IF(L$55&lt;=$C$5,0,-HLOOKUP(L$55,'Input data'!$C$9:$BB$26,18,FALSE)+HLOOKUP($C$5,'Input data'!$C$9:$BB$26,18,FALSE))</f>
        <v>1.7061300000000001E-2</v>
      </c>
      <c r="M64" s="1">
        <f>IF(M$55&lt;=$C$5,0,-HLOOKUP(M$55,'Input data'!$C$9:$BB$26,18,FALSE)+HLOOKUP($C$5,'Input data'!$C$9:$BB$26,18,FALSE))</f>
        <v>1.9904900000000003E-2</v>
      </c>
      <c r="N64" s="1">
        <f>IF(N$55&lt;=$C$5,0,-HLOOKUP(N$55,'Input data'!$C$9:$BB$26,18,FALSE)+HLOOKUP($C$5,'Input data'!$C$9:$BB$26,18,FALSE))</f>
        <v>2.2748500000000005E-2</v>
      </c>
      <c r="O64" s="1">
        <f>IF(O$55&lt;=$C$5,0,-HLOOKUP(O$55,'Input data'!$C$9:$BB$26,18,FALSE)+HLOOKUP($C$5,'Input data'!$C$9:$BB$26,18,FALSE))</f>
        <v>2.5592000000000004E-2</v>
      </c>
      <c r="P64" s="1">
        <f>IF(P$55&lt;=$C$5,0,-HLOOKUP(P$55,'Input data'!$C$9:$BB$26,18,FALSE)+HLOOKUP($C$5,'Input data'!$C$9:$BB$26,18,FALSE))</f>
        <v>2.8435500000000002E-2</v>
      </c>
      <c r="Q64" s="1">
        <f>IF(Q$55&lt;=$C$5,0,-HLOOKUP(Q$55,'Input data'!$C$9:$BB$26,18,FALSE)+HLOOKUP($C$5,'Input data'!$C$9:$BB$26,18,FALSE))</f>
        <v>3.1279100000000004E-2</v>
      </c>
      <c r="R64" s="1">
        <f>IF(R$55&lt;=$C$5,0,-HLOOKUP(R$55,'Input data'!$C$9:$BB$26,18,FALSE)+HLOOKUP($C$5,'Input data'!$C$9:$BB$26,18,FALSE))</f>
        <v>3.4122600000000003E-2</v>
      </c>
      <c r="S64" s="1">
        <f>IF(S$55&lt;=$C$5,0,-HLOOKUP(S$55,'Input data'!$C$9:$BB$26,18,FALSE)+HLOOKUP($C$5,'Input data'!$C$9:$BB$26,18,FALSE))</f>
        <v>3.6966200000000005E-2</v>
      </c>
      <c r="T64" s="1">
        <f>IF(T$55&lt;=$C$5,0,-HLOOKUP(T$55,'Input data'!$C$9:$BB$26,18,FALSE)+HLOOKUP($C$5,'Input data'!$C$9:$BB$26,18,FALSE))</f>
        <v>3.9809700000000003E-2</v>
      </c>
      <c r="U64" s="1">
        <f>IF(U$55&lt;=$C$5,0,-HLOOKUP(U$55,'Input data'!$C$9:$BB$26,18,FALSE)+HLOOKUP($C$5,'Input data'!$C$9:$BB$26,18,FALSE))</f>
        <v>4.2653300000000005E-2</v>
      </c>
      <c r="V64" s="1">
        <f>IF(V$55&lt;=$C$5,0,-HLOOKUP(V$55,'Input data'!$C$9:$BB$26,18,FALSE)+HLOOKUP($C$5,'Input data'!$C$9:$BB$26,18,FALSE))</f>
        <v>4.5496800000000004E-2</v>
      </c>
      <c r="W64" s="1">
        <f>IF(W$55&lt;=$C$5,0,-HLOOKUP(W$55,'Input data'!$C$9:$BB$26,18,FALSE)+HLOOKUP($C$5,'Input data'!$C$9:$BB$26,18,FALSE))</f>
        <v>4.8340300000000003E-2</v>
      </c>
    </row>
    <row r="65" spans="2:23" outlineLevel="1" x14ac:dyDescent="0.2">
      <c r="B65" s="79" t="s">
        <v>113</v>
      </c>
      <c r="C65" s="37"/>
      <c r="D65" s="37">
        <v>0</v>
      </c>
      <c r="E65" s="37">
        <v>0</v>
      </c>
      <c r="F65" s="37">
        <v>0</v>
      </c>
      <c r="G65" s="37">
        <v>0</v>
      </c>
      <c r="H65" s="37">
        <v>0</v>
      </c>
      <c r="I65" s="37">
        <v>0</v>
      </c>
      <c r="J65" s="37">
        <v>0</v>
      </c>
      <c r="K65" s="37">
        <v>0</v>
      </c>
      <c r="L65" s="37">
        <v>0</v>
      </c>
      <c r="M65" s="37">
        <v>0</v>
      </c>
      <c r="N65" s="37">
        <v>0</v>
      </c>
      <c r="O65" s="37">
        <v>0</v>
      </c>
      <c r="P65" s="37">
        <v>0</v>
      </c>
      <c r="Q65" s="37">
        <v>0</v>
      </c>
      <c r="R65" s="37">
        <v>0</v>
      </c>
      <c r="S65" s="37">
        <v>0</v>
      </c>
      <c r="T65" s="37">
        <v>0</v>
      </c>
      <c r="U65" s="37">
        <v>0</v>
      </c>
      <c r="V65" s="37">
        <v>0</v>
      </c>
      <c r="W65" s="37">
        <v>0</v>
      </c>
    </row>
    <row r="66" spans="2:23" outlineLevel="1" x14ac:dyDescent="0.2">
      <c r="B66" s="84" t="s">
        <v>114</v>
      </c>
      <c r="C66" s="48"/>
      <c r="D66" s="48">
        <f>SUM(D67:D70)</f>
        <v>-5.5832499999999996</v>
      </c>
      <c r="E66" s="48">
        <f t="shared" ref="E66:T66" si="25">SUM(E67:E70)</f>
        <v>-4.0893290000000002</v>
      </c>
      <c r="F66" s="48">
        <f t="shared" si="25"/>
        <v>-2.6188769999999999</v>
      </c>
      <c r="G66" s="48">
        <f>SUM(G67:G70)</f>
        <v>-2.3053789999999998</v>
      </c>
      <c r="H66" s="48">
        <f t="shared" si="25"/>
        <v>-2.2656021312958212</v>
      </c>
      <c r="I66" s="48">
        <f t="shared" si="25"/>
        <v>-2.2787386154747007</v>
      </c>
      <c r="J66" s="48">
        <f t="shared" si="25"/>
        <v>-2.1763216640555885</v>
      </c>
      <c r="K66" s="48">
        <f t="shared" si="25"/>
        <v>-2.0810451304288797</v>
      </c>
      <c r="L66" s="48">
        <f t="shared" si="25"/>
        <v>-2.005816586389912</v>
      </c>
      <c r="M66" s="48">
        <f t="shared" si="25"/>
        <v>-1.8995603555590248</v>
      </c>
      <c r="N66" s="48">
        <f t="shared" si="25"/>
        <v>-1.782764715492462</v>
      </c>
      <c r="O66" s="48">
        <f t="shared" si="25"/>
        <v>-1.7300125123048575</v>
      </c>
      <c r="P66" s="48">
        <f t="shared" si="25"/>
        <v>-1.5209617847041565</v>
      </c>
      <c r="Q66" s="48">
        <f t="shared" si="25"/>
        <v>-1.3165917810071917</v>
      </c>
      <c r="R66" s="48">
        <f t="shared" si="25"/>
        <v>-1.1142081741280965</v>
      </c>
      <c r="S66" s="48">
        <f t="shared" si="25"/>
        <v>-1.037102831033994</v>
      </c>
      <c r="T66" s="48">
        <f t="shared" si="25"/>
        <v>-0.94511830893027704</v>
      </c>
      <c r="U66" s="48">
        <f t="shared" ref="U66:W66" si="26">SUM(U67:U70)</f>
        <v>-0.83771705622731241</v>
      </c>
      <c r="V66" s="48">
        <f t="shared" si="26"/>
        <v>-0.73319458050830888</v>
      </c>
      <c r="W66" s="48">
        <f t="shared" si="26"/>
        <v>-0.63356912213973327</v>
      </c>
    </row>
    <row r="67" spans="2:23" outlineLevel="1" x14ac:dyDescent="0.2">
      <c r="B67" s="79" t="s">
        <v>115</v>
      </c>
      <c r="C67" s="34"/>
      <c r="D67" s="34">
        <f t="shared" ref="D67:W67" si="27">C56*D35/100*(1/(1+D32/100))</f>
        <v>0.94020825338464531</v>
      </c>
      <c r="E67" s="34">
        <f t="shared" si="27"/>
        <v>1.1036091376320842</v>
      </c>
      <c r="F67" s="34">
        <f t="shared" si="27"/>
        <v>1.2783144254813359</v>
      </c>
      <c r="G67" s="34">
        <f>F56*G35/100*(1/(1+G32/100))</f>
        <v>1.3252732301471464</v>
      </c>
      <c r="H67" s="34">
        <f>G56*H35/100*(1/(1+H32/100))</f>
        <v>1.4023503251277842</v>
      </c>
      <c r="I67" s="34">
        <f t="shared" si="27"/>
        <v>1.4543747482236078</v>
      </c>
      <c r="J67" s="34">
        <f t="shared" si="27"/>
        <v>1.5035790877582706</v>
      </c>
      <c r="K67" s="34">
        <f t="shared" si="27"/>
        <v>1.5516550713358959</v>
      </c>
      <c r="L67" s="34">
        <f t="shared" si="27"/>
        <v>1.6002072778474652</v>
      </c>
      <c r="M67" s="34">
        <f t="shared" si="27"/>
        <v>1.6503807517734912</v>
      </c>
      <c r="N67" s="34">
        <f t="shared" si="27"/>
        <v>1.7029003624150729</v>
      </c>
      <c r="O67" s="34">
        <f t="shared" si="27"/>
        <v>1.7562203224275719</v>
      </c>
      <c r="P67" s="34">
        <f t="shared" si="27"/>
        <v>1.809800511495921</v>
      </c>
      <c r="Q67" s="34">
        <f t="shared" si="27"/>
        <v>1.8660700492141558</v>
      </c>
      <c r="R67" s="34">
        <f t="shared" si="27"/>
        <v>1.926223998909163</v>
      </c>
      <c r="S67" s="34">
        <f t="shared" si="27"/>
        <v>1.9869885624399686</v>
      </c>
      <c r="T67" s="34">
        <f t="shared" si="27"/>
        <v>2.0496100663214896</v>
      </c>
      <c r="U67" s="34">
        <f t="shared" si="27"/>
        <v>2.1152336907670994</v>
      </c>
      <c r="V67" s="34">
        <f t="shared" si="27"/>
        <v>2.1846169685602868</v>
      </c>
      <c r="W67" s="34">
        <f t="shared" si="27"/>
        <v>2.2585068230050172</v>
      </c>
    </row>
    <row r="68" spans="2:23" outlineLevel="1" x14ac:dyDescent="0.2">
      <c r="B68" s="79" t="s">
        <v>116</v>
      </c>
      <c r="C68" s="34"/>
      <c r="D68" s="34">
        <f t="shared" ref="D68:W68" si="28">-C56*(D23/100)*(1/(1+D32/100))</f>
        <v>-3.8279967050558801</v>
      </c>
      <c r="E68" s="34">
        <f t="shared" si="28"/>
        <v>-2.6067445173410486</v>
      </c>
      <c r="F68" s="34">
        <f t="shared" si="28"/>
        <v>-2.1260856686799849</v>
      </c>
      <c r="G68" s="34">
        <f t="shared" si="28"/>
        <v>-2.3449104059554209</v>
      </c>
      <c r="H68" s="34">
        <f t="shared" si="28"/>
        <v>-2.3620516691266809</v>
      </c>
      <c r="I68" s="34">
        <f t="shared" si="28"/>
        <v>-2.4156686884564467</v>
      </c>
      <c r="J68" s="34">
        <f t="shared" si="28"/>
        <v>-2.3554963475477826</v>
      </c>
      <c r="K68" s="34">
        <f t="shared" si="28"/>
        <v>-2.3017452452277483</v>
      </c>
      <c r="L68" s="34">
        <f t="shared" si="28"/>
        <v>-2.267610036033973</v>
      </c>
      <c r="M68" s="34">
        <f t="shared" si="28"/>
        <v>-2.2035921593622563</v>
      </c>
      <c r="N68" s="34">
        <f t="shared" si="28"/>
        <v>-2.129964836464739</v>
      </c>
      <c r="O68" s="34">
        <f t="shared" si="28"/>
        <v>-2.1192325462378343</v>
      </c>
      <c r="P68" s="34">
        <f t="shared" si="28"/>
        <v>-1.9672200387299075</v>
      </c>
      <c r="Q68" s="34">
        <f t="shared" si="28"/>
        <v>-1.8178716308617135</v>
      </c>
      <c r="R68" s="34">
        <f t="shared" si="28"/>
        <v>-1.66958440836556</v>
      </c>
      <c r="S68" s="34">
        <f t="shared" si="28"/>
        <v>-1.6422517510449131</v>
      </c>
      <c r="T68" s="34">
        <f t="shared" si="28"/>
        <v>-1.5998619671467393</v>
      </c>
      <c r="U68" s="34">
        <f t="shared" si="28"/>
        <v>-1.5425867484127656</v>
      </c>
      <c r="V68" s="34">
        <f t="shared" si="28"/>
        <v>-1.4888682068701895</v>
      </c>
      <c r="W68" s="34">
        <f t="shared" si="28"/>
        <v>-1.4412409520900276</v>
      </c>
    </row>
    <row r="69" spans="2:23" outlineLevel="1" x14ac:dyDescent="0.2">
      <c r="B69" s="79" t="s">
        <v>117</v>
      </c>
      <c r="C69" s="34"/>
      <c r="D69" s="34">
        <f>-C56*D41/100*(1/(1+D41/100))</f>
        <v>-2.6954615106143631</v>
      </c>
      <c r="E69" s="34">
        <f t="shared" ref="E69:T69" si="29">-D56*E41/100*(1/(1+E41/100))</f>
        <v>-2.5861962367945783</v>
      </c>
      <c r="F69" s="34">
        <f>-E56*F41/100*(1/(1+F41/100))</f>
        <v>-1.7711092855302355</v>
      </c>
      <c r="G69" s="34">
        <f>-F56*G41/100*(1/(1+G41/100))</f>
        <v>-1.2857443532503172</v>
      </c>
      <c r="H69" s="34">
        <f t="shared" si="29"/>
        <v>-1.3059007872969246</v>
      </c>
      <c r="I69" s="34">
        <f t="shared" si="29"/>
        <v>-1.3174446752418618</v>
      </c>
      <c r="J69" s="34">
        <f t="shared" si="29"/>
        <v>-1.3244044042660765</v>
      </c>
      <c r="K69" s="34">
        <f t="shared" si="29"/>
        <v>-1.3309549565370273</v>
      </c>
      <c r="L69" s="34">
        <f t="shared" si="29"/>
        <v>-1.3384138282034042</v>
      </c>
      <c r="M69" s="34">
        <f t="shared" si="29"/>
        <v>-1.3463489479702597</v>
      </c>
      <c r="N69" s="34">
        <f t="shared" si="29"/>
        <v>-1.3557002414427959</v>
      </c>
      <c r="O69" s="34">
        <f t="shared" si="29"/>
        <v>-1.3670002884945951</v>
      </c>
      <c r="P69" s="34">
        <f t="shared" si="29"/>
        <v>-1.3635422574701701</v>
      </c>
      <c r="Q69" s="34">
        <f t="shared" si="29"/>
        <v>-1.3647901993596339</v>
      </c>
      <c r="R69" s="34">
        <f t="shared" si="29"/>
        <v>-1.3708477646716994</v>
      </c>
      <c r="S69" s="34">
        <f t="shared" si="29"/>
        <v>-1.3818396424290496</v>
      </c>
      <c r="T69" s="34">
        <f t="shared" si="29"/>
        <v>-1.3948664081050273</v>
      </c>
      <c r="U69" s="34">
        <f t="shared" ref="U69" si="30">-T56*U41/100*(1/(1+U41/100))</f>
        <v>-1.4103639985816463</v>
      </c>
      <c r="V69" s="34">
        <f t="shared" ref="V69" si="31">-U56*V41/100*(1/(1+V41/100))</f>
        <v>-1.4289433421984061</v>
      </c>
      <c r="W69" s="34">
        <f t="shared" ref="W69" si="32">-V56*W41/100*(1/(1+W41/100))</f>
        <v>-1.4508349930547229</v>
      </c>
    </row>
    <row r="70" spans="2:23" outlineLevel="1" x14ac:dyDescent="0.2">
      <c r="B70" s="79" t="s">
        <v>118</v>
      </c>
      <c r="C70" s="49"/>
      <c r="D70" s="49">
        <v>-3.7714402267852165E-8</v>
      </c>
      <c r="E70" s="49">
        <v>2.6165035427183625E-6</v>
      </c>
      <c r="F70" s="49">
        <v>3.5287288846497233E-6</v>
      </c>
      <c r="G70" s="49">
        <v>2.5290585918824604E-6</v>
      </c>
      <c r="H70" s="49">
        <v>0</v>
      </c>
      <c r="I70" s="49">
        <v>0</v>
      </c>
      <c r="J70" s="49">
        <v>0</v>
      </c>
      <c r="K70" s="49">
        <v>0</v>
      </c>
      <c r="L70" s="49">
        <v>0</v>
      </c>
      <c r="M70" s="49">
        <v>0</v>
      </c>
      <c r="N70" s="49">
        <v>0</v>
      </c>
      <c r="O70" s="49">
        <v>0</v>
      </c>
      <c r="P70" s="49">
        <v>0</v>
      </c>
      <c r="Q70" s="49">
        <v>0</v>
      </c>
      <c r="R70" s="49">
        <v>0</v>
      </c>
      <c r="S70" s="49">
        <v>0</v>
      </c>
      <c r="T70" s="49">
        <v>0</v>
      </c>
      <c r="U70" s="49">
        <v>0</v>
      </c>
      <c r="V70" s="49">
        <v>0</v>
      </c>
      <c r="W70" s="49">
        <v>0</v>
      </c>
    </row>
    <row r="71" spans="2:23" outlineLevel="1" x14ac:dyDescent="0.2">
      <c r="B71" s="84" t="s">
        <v>119</v>
      </c>
      <c r="C71" s="50"/>
      <c r="D71" s="50">
        <f>'Input data'!D16</f>
        <v>-1.3102750000000001</v>
      </c>
      <c r="E71" s="50">
        <f>'Input data'!E16</f>
        <v>-0.94044799999999995</v>
      </c>
      <c r="F71" s="50">
        <f>'Input data'!F16</f>
        <v>1.1851989999999999</v>
      </c>
      <c r="G71" s="50">
        <f>'Input data'!G16</f>
        <v>6.6724400000000003E-2</v>
      </c>
      <c r="H71" s="50">
        <f>'Input data'!H16</f>
        <v>0</v>
      </c>
      <c r="I71" s="50">
        <f>'Input data'!I16</f>
        <v>0</v>
      </c>
      <c r="J71" s="50">
        <f>'Input data'!J16</f>
        <v>0</v>
      </c>
      <c r="K71" s="50">
        <f>'Input data'!K16</f>
        <v>0</v>
      </c>
      <c r="L71" s="50">
        <f>'Input data'!L16</f>
        <v>0</v>
      </c>
      <c r="M71" s="50">
        <f>'Input data'!M16</f>
        <v>0</v>
      </c>
      <c r="N71" s="50">
        <f>'Input data'!N16</f>
        <v>0</v>
      </c>
      <c r="O71" s="50">
        <f>'Input data'!O16</f>
        <v>0</v>
      </c>
      <c r="P71" s="50">
        <f>'Input data'!P16</f>
        <v>0</v>
      </c>
      <c r="Q71" s="50">
        <f>'Input data'!Q16</f>
        <v>0</v>
      </c>
      <c r="R71" s="50">
        <f>'Input data'!R16</f>
        <v>0</v>
      </c>
      <c r="S71" s="50">
        <f>'Input data'!S16</f>
        <v>0</v>
      </c>
      <c r="T71" s="50">
        <f>'Input data'!T16</f>
        <v>0</v>
      </c>
      <c r="U71" s="50">
        <f>'Input data'!U16</f>
        <v>0</v>
      </c>
      <c r="V71" s="50">
        <f>'Input data'!V16</f>
        <v>0</v>
      </c>
      <c r="W71" s="50">
        <f>'Input data'!W16</f>
        <v>0</v>
      </c>
    </row>
    <row r="72" spans="2:23" outlineLevel="1" x14ac:dyDescent="0.2">
      <c r="B72" s="79" t="s">
        <v>120</v>
      </c>
      <c r="C72" s="34"/>
      <c r="D72" s="34">
        <f t="shared" ref="D72:W72" si="33">D14</f>
        <v>-1.3102750000000001</v>
      </c>
      <c r="E72" s="34">
        <f t="shared" si="33"/>
        <v>-0.94044729999999999</v>
      </c>
      <c r="F72" s="34">
        <f t="shared" si="33"/>
        <v>1.1851970000000001</v>
      </c>
      <c r="G72" s="34">
        <f t="shared" si="33"/>
        <v>6.6727599999999998E-2</v>
      </c>
      <c r="H72" s="34">
        <f>H14</f>
        <v>0</v>
      </c>
      <c r="I72" s="34">
        <f t="shared" si="33"/>
        <v>0</v>
      </c>
      <c r="J72" s="34">
        <f t="shared" si="33"/>
        <v>0</v>
      </c>
      <c r="K72" s="34">
        <f t="shared" si="33"/>
        <v>0</v>
      </c>
      <c r="L72" s="34">
        <f t="shared" si="33"/>
        <v>0</v>
      </c>
      <c r="M72" s="34">
        <f t="shared" si="33"/>
        <v>0</v>
      </c>
      <c r="N72" s="34">
        <f t="shared" si="33"/>
        <v>0</v>
      </c>
      <c r="O72" s="34">
        <f t="shared" si="33"/>
        <v>0</v>
      </c>
      <c r="P72" s="34">
        <f t="shared" si="33"/>
        <v>0</v>
      </c>
      <c r="Q72" s="34">
        <f t="shared" si="33"/>
        <v>0</v>
      </c>
      <c r="R72" s="34">
        <f t="shared" si="33"/>
        <v>0</v>
      </c>
      <c r="S72" s="34">
        <f t="shared" si="33"/>
        <v>0</v>
      </c>
      <c r="T72" s="34">
        <f t="shared" si="33"/>
        <v>0</v>
      </c>
      <c r="U72" s="34">
        <f t="shared" si="33"/>
        <v>0</v>
      </c>
      <c r="V72" s="34">
        <f t="shared" si="33"/>
        <v>0</v>
      </c>
      <c r="W72" s="34">
        <f t="shared" si="33"/>
        <v>0</v>
      </c>
    </row>
    <row r="73" spans="2:23" outlineLevel="1" x14ac:dyDescent="0.2">
      <c r="B73" s="89" t="s">
        <v>121</v>
      </c>
      <c r="C73" s="49"/>
      <c r="D73" s="49">
        <f>+D71-D72</f>
        <v>0</v>
      </c>
      <c r="E73" s="49">
        <f t="shared" ref="E73:T73" si="34">+E71-E72</f>
        <v>-6.9999999996461781E-7</v>
      </c>
      <c r="F73" s="49">
        <f>+F71-F72</f>
        <v>1.9999999998354667E-6</v>
      </c>
      <c r="G73" s="49">
        <f t="shared" si="34"/>
        <v>-3.1999999999948736E-6</v>
      </c>
      <c r="H73" s="49">
        <f t="shared" si="34"/>
        <v>0</v>
      </c>
      <c r="I73" s="49">
        <f t="shared" si="34"/>
        <v>0</v>
      </c>
      <c r="J73" s="49">
        <f t="shared" si="34"/>
        <v>0</v>
      </c>
      <c r="K73" s="49">
        <f t="shared" si="34"/>
        <v>0</v>
      </c>
      <c r="L73" s="49">
        <f t="shared" si="34"/>
        <v>0</v>
      </c>
      <c r="M73" s="49">
        <f t="shared" si="34"/>
        <v>0</v>
      </c>
      <c r="N73" s="49">
        <f t="shared" si="34"/>
        <v>0</v>
      </c>
      <c r="O73" s="49">
        <f t="shared" si="34"/>
        <v>0</v>
      </c>
      <c r="P73" s="49">
        <f t="shared" si="34"/>
        <v>0</v>
      </c>
      <c r="Q73" s="49">
        <f t="shared" si="34"/>
        <v>0</v>
      </c>
      <c r="R73" s="49">
        <f t="shared" si="34"/>
        <v>0</v>
      </c>
      <c r="S73" s="49">
        <f t="shared" si="34"/>
        <v>0</v>
      </c>
      <c r="T73" s="49">
        <f t="shared" si="34"/>
        <v>0</v>
      </c>
      <c r="U73" s="49">
        <f t="shared" ref="U73:W73" si="35">+U71-U72</f>
        <v>0</v>
      </c>
      <c r="V73" s="49">
        <f t="shared" si="35"/>
        <v>0</v>
      </c>
      <c r="W73" s="49">
        <f t="shared" si="35"/>
        <v>0</v>
      </c>
    </row>
    <row r="74" spans="2:23" outlineLevel="1" x14ac:dyDescent="0.2">
      <c r="B74" s="79"/>
      <c r="C74" s="34"/>
      <c r="D74" s="34"/>
      <c r="E74" s="34"/>
      <c r="F74" s="34"/>
      <c r="G74" s="34"/>
      <c r="H74" s="34"/>
      <c r="I74" s="34"/>
      <c r="J74" s="34"/>
      <c r="K74" s="34"/>
      <c r="L74" s="34"/>
      <c r="M74" s="34"/>
      <c r="N74" s="34"/>
      <c r="O74" s="34"/>
      <c r="P74" s="34"/>
      <c r="Q74" s="34"/>
      <c r="R74" s="34"/>
      <c r="S74" s="34"/>
      <c r="T74" s="34"/>
      <c r="U74" s="34"/>
      <c r="V74" s="34"/>
      <c r="W74" s="34"/>
    </row>
    <row r="75" spans="2:23" ht="10.5" customHeight="1" outlineLevel="1" x14ac:dyDescent="0.2">
      <c r="B75" s="91" t="s">
        <v>122</v>
      </c>
    </row>
    <row r="76" spans="2:23" x14ac:dyDescent="0.2">
      <c r="B76" s="77" t="s">
        <v>41</v>
      </c>
      <c r="C76" s="77"/>
      <c r="D76" s="78">
        <f>D58-D67</f>
        <v>-5.5345629843619353</v>
      </c>
      <c r="E76" s="78">
        <f t="shared" ref="E76:T76" si="36">E58-E67</f>
        <v>-4.9035648381670391</v>
      </c>
      <c r="F76" s="78">
        <f t="shared" si="36"/>
        <v>-4.3425745264584314</v>
      </c>
      <c r="G76" s="78">
        <f t="shared" si="36"/>
        <v>-4.3386799571341594</v>
      </c>
      <c r="H76" s="78">
        <f t="shared" si="36"/>
        <v>-4.0935433713056169</v>
      </c>
      <c r="I76" s="78">
        <f t="shared" si="36"/>
        <v>-3.9729817855863221</v>
      </c>
      <c r="J76" s="78">
        <f t="shared" si="36"/>
        <v>-3.9028945268346424</v>
      </c>
      <c r="K76" s="78">
        <f t="shared" si="36"/>
        <v>-3.8919649262980043</v>
      </c>
      <c r="L76" s="78">
        <f t="shared" si="36"/>
        <v>-3.8840729245816514</v>
      </c>
      <c r="M76" s="78">
        <f t="shared" si="36"/>
        <v>-3.88455999850768</v>
      </c>
      <c r="N76" s="78">
        <f t="shared" si="36"/>
        <v>-3.8981413698507579</v>
      </c>
      <c r="O76" s="78">
        <f t="shared" si="36"/>
        <v>-3.9301139097351996</v>
      </c>
      <c r="P76" s="78">
        <f t="shared" si="36"/>
        <v>-3.9778266756680001</v>
      </c>
      <c r="Q76" s="78">
        <f t="shared" si="36"/>
        <v>-4.0438498133862355</v>
      </c>
      <c r="R76" s="78">
        <f t="shared" si="36"/>
        <v>-4.1280558692664338</v>
      </c>
      <c r="S76" s="78">
        <f t="shared" si="36"/>
        <v>-4.2226426374678816</v>
      </c>
      <c r="T76" s="78">
        <f t="shared" si="36"/>
        <v>-4.3266881070951815</v>
      </c>
      <c r="U76" s="78">
        <f t="shared" ref="U76:W76" si="37">U58-U67</f>
        <v>-4.4494262645503273</v>
      </c>
      <c r="V76" s="78">
        <f t="shared" si="37"/>
        <v>-4.594644444045322</v>
      </c>
      <c r="W76" s="78">
        <f t="shared" si="37"/>
        <v>-4.7624087343160966</v>
      </c>
    </row>
    <row r="77" spans="2:23" x14ac:dyDescent="0.2">
      <c r="B77" s="26" t="s">
        <v>42</v>
      </c>
      <c r="D77" s="34">
        <f>D59-D67-D63-D64-D65</f>
        <v>-5.2954122533846446</v>
      </c>
      <c r="E77" s="34">
        <f>E59-E67-E63-E64-E65</f>
        <v>-4.8946031376320844</v>
      </c>
      <c r="F77" s="34">
        <f t="shared" ref="F77:W77" si="38">F59-F67-F63-F64-F65</f>
        <v>-4.1755574254813359</v>
      </c>
      <c r="G77" s="34">
        <f t="shared" si="38"/>
        <v>-4.1607998301471465</v>
      </c>
      <c r="H77" s="34">
        <f t="shared" si="38"/>
        <v>-3.9749504251277838</v>
      </c>
      <c r="I77" s="34">
        <f t="shared" si="38"/>
        <v>-3.9334484482236074</v>
      </c>
      <c r="J77" s="34">
        <f t="shared" si="38"/>
        <v>-3.9028863877582678</v>
      </c>
      <c r="K77" s="34">
        <f t="shared" si="38"/>
        <v>-3.891955871335897</v>
      </c>
      <c r="L77" s="34">
        <f t="shared" si="38"/>
        <v>-3.884061577847465</v>
      </c>
      <c r="M77" s="34">
        <f t="shared" si="38"/>
        <v>-3.8845486517734891</v>
      </c>
      <c r="N77" s="34">
        <f t="shared" si="38"/>
        <v>-3.8981318624150734</v>
      </c>
      <c r="O77" s="34">
        <f t="shared" si="38"/>
        <v>-3.9301053224275715</v>
      </c>
      <c r="P77" s="34">
        <f t="shared" si="38"/>
        <v>-3.9778190114959195</v>
      </c>
      <c r="Q77" s="34">
        <f t="shared" si="38"/>
        <v>-4.0438421492141554</v>
      </c>
      <c r="R77" s="34">
        <f t="shared" si="38"/>
        <v>-4.1280495989091612</v>
      </c>
      <c r="S77" s="34">
        <f t="shared" si="38"/>
        <v>-4.2226377624399678</v>
      </c>
      <c r="T77" s="34">
        <f t="shared" si="38"/>
        <v>-4.3266827663214888</v>
      </c>
      <c r="U77" s="34">
        <f t="shared" si="38"/>
        <v>-4.4494199907670975</v>
      </c>
      <c r="V77" s="34">
        <f t="shared" si="38"/>
        <v>-4.5946367685602851</v>
      </c>
      <c r="W77" s="34">
        <f t="shared" si="38"/>
        <v>-4.7624001230050155</v>
      </c>
    </row>
    <row r="78" spans="2:23" x14ac:dyDescent="0.2">
      <c r="B78" s="35" t="s">
        <v>123</v>
      </c>
      <c r="C78" s="35"/>
      <c r="D78" s="285">
        <f>'Input data'!D45</f>
        <v>13.084528102274954</v>
      </c>
      <c r="E78" s="285">
        <f>'Input data'!E45</f>
        <v>9.2925167870017127</v>
      </c>
      <c r="F78" s="285">
        <f>'Input data'!F45</f>
        <v>5.4768546648577532</v>
      </c>
      <c r="G78" s="49">
        <f>'Input data'!G33+G41-(G$12-F$12)/'Input data'!$C$64*100</f>
        <v>7.4029749999999996</v>
      </c>
      <c r="H78" s="49">
        <f>'Input data'!H33+H41-(H$12-G$12)/'Input data'!$C$64*100</f>
        <v>7.2132401249999996</v>
      </c>
      <c r="I78" s="49">
        <f>'Input data'!I33+I41-(I$12-H$12)/'Input data'!$C$64*100</f>
        <v>7.2453672500000001</v>
      </c>
      <c r="J78" s="49">
        <f>'Input data'!J33+J41-(J$12-I$12)/'Input data'!$C$64*100</f>
        <v>7.1846193750000005</v>
      </c>
      <c r="K78" s="49">
        <f>'Input data'!K33+K41-(K$12-J$12)/'Input data'!$C$64*100</f>
        <v>7.1401374999999998</v>
      </c>
      <c r="L78" s="49">
        <f>'Input data'!L33+L41-(L$12-K$12)/'Input data'!$C$64*100</f>
        <v>7.0482306250000004</v>
      </c>
      <c r="M78" s="49">
        <f>'Input data'!M33+M41-(M$12-L$12)/'Input data'!$C$64*100</f>
        <v>6.8942157499999999</v>
      </c>
      <c r="N78" s="49">
        <f>'Input data'!N33+N41-(N$12-M$12)/'Input data'!$C$64*100</f>
        <v>6.7181138749999993</v>
      </c>
      <c r="O78" s="49">
        <f>'Input data'!O33+O41-(O$12-N$12)/'Input data'!$C$64*100</f>
        <v>6.6659220000000001</v>
      </c>
      <c r="P78" s="49">
        <f>'Input data'!P33+P41-(P$12-O$12)/'Input data'!$C$64*100</f>
        <v>6.2992240000000006</v>
      </c>
      <c r="Q78" s="49">
        <f>'Input data'!Q33+Q41-(Q$12-P$12)/'Input data'!$C$64*100</f>
        <v>5.9325259999999993</v>
      </c>
      <c r="R78" s="49">
        <f>'Input data'!R33+R41-(R$12-Q$12)/'Input data'!$C$64*100</f>
        <v>5.5658289999999999</v>
      </c>
      <c r="S78" s="49">
        <f>'Input data'!S33+S41-(S$12-R$12)/'Input data'!$C$64*100</f>
        <v>5.4264239999999999</v>
      </c>
      <c r="T78" s="49">
        <f>'Input data'!T33+T41-(T$12-S$12)/'Input data'!$C$64*100</f>
        <v>5.2582969999999998</v>
      </c>
      <c r="U78" s="49">
        <f>'Input data'!U33+U41-(U$12-T$12)/'Input data'!$C$64*100</f>
        <v>5.0634680000000003</v>
      </c>
      <c r="V78" s="49">
        <f>'Input data'!V33+V41-(V$12-U$12)/'Input data'!$C$64*100</f>
        <v>4.8757250000000001</v>
      </c>
      <c r="W78" s="49">
        <f>'Input data'!W33+W41-(W$12-V$12)/'Input data'!$C$64*100</f>
        <v>4.6994369999999996</v>
      </c>
    </row>
    <row r="79" spans="2:23" x14ac:dyDescent="0.2">
      <c r="D79" s="34"/>
      <c r="E79" s="34"/>
      <c r="F79" s="34"/>
      <c r="G79" s="34"/>
      <c r="H79" s="34"/>
      <c r="I79" s="34"/>
      <c r="J79" s="34"/>
      <c r="K79" s="34"/>
      <c r="L79" s="34"/>
      <c r="M79" s="34"/>
      <c r="N79" s="34"/>
      <c r="O79" s="34"/>
      <c r="P79" s="34"/>
      <c r="Q79" s="34"/>
      <c r="R79" s="34"/>
      <c r="S79" s="34"/>
      <c r="T79" s="34"/>
      <c r="U79" s="34"/>
      <c r="V79" s="34"/>
      <c r="W79" s="34"/>
    </row>
    <row r="80" spans="2:23" x14ac:dyDescent="0.2">
      <c r="D80" s="53"/>
    </row>
    <row r="81" spans="2:23" s="93" customFormat="1" ht="12.75" outlineLevel="1" x14ac:dyDescent="0.2">
      <c r="B81" s="94" t="s">
        <v>124</v>
      </c>
      <c r="C81" s="95"/>
      <c r="E81" s="96"/>
      <c r="F81" s="95"/>
    </row>
    <row r="82" spans="2:23" x14ac:dyDescent="0.2">
      <c r="C82" s="34"/>
      <c r="D82" s="34"/>
      <c r="E82" s="34"/>
      <c r="F82" s="34"/>
      <c r="G82" s="34"/>
      <c r="H82" s="34"/>
      <c r="I82" s="34"/>
      <c r="J82" s="34"/>
      <c r="K82" s="34"/>
      <c r="L82" s="34"/>
      <c r="M82" s="34"/>
      <c r="N82" s="34"/>
      <c r="O82" s="34"/>
      <c r="P82" s="34"/>
      <c r="Q82" s="34"/>
      <c r="R82" s="34"/>
      <c r="S82" s="34"/>
      <c r="T82" s="34"/>
      <c r="U82" s="34"/>
      <c r="V82" s="34"/>
      <c r="W82" s="34"/>
    </row>
    <row r="83" spans="2:23" x14ac:dyDescent="0.2">
      <c r="B83" s="26" t="s">
        <v>125</v>
      </c>
      <c r="D83" s="29">
        <f t="shared" ref="D83:W83" si="39">IF((D87-C87*D42/((1+D23/100)*(1+D41/100)))&gt;0,1,0)</f>
        <v>1</v>
      </c>
      <c r="E83" s="29">
        <f t="shared" si="39"/>
        <v>1</v>
      </c>
      <c r="F83" s="29">
        <f t="shared" si="39"/>
        <v>1</v>
      </c>
      <c r="G83" s="29">
        <f t="shared" si="39"/>
        <v>1</v>
      </c>
      <c r="H83" s="29">
        <f t="shared" si="39"/>
        <v>1</v>
      </c>
      <c r="I83" s="29">
        <f t="shared" si="39"/>
        <v>1</v>
      </c>
      <c r="J83" s="29">
        <f t="shared" si="39"/>
        <v>1</v>
      </c>
      <c r="K83" s="29">
        <f t="shared" si="39"/>
        <v>1</v>
      </c>
      <c r="L83" s="29">
        <f t="shared" si="39"/>
        <v>1</v>
      </c>
      <c r="M83" s="29">
        <f t="shared" si="39"/>
        <v>1</v>
      </c>
      <c r="N83" s="29">
        <f t="shared" si="39"/>
        <v>1</v>
      </c>
      <c r="O83" s="29">
        <f t="shared" si="39"/>
        <v>1</v>
      </c>
      <c r="P83" s="29">
        <f t="shared" si="39"/>
        <v>1</v>
      </c>
      <c r="Q83" s="29">
        <f t="shared" si="39"/>
        <v>1</v>
      </c>
      <c r="R83" s="29">
        <f t="shared" si="39"/>
        <v>1</v>
      </c>
      <c r="S83" s="29">
        <f t="shared" si="39"/>
        <v>1</v>
      </c>
      <c r="T83" s="29">
        <f t="shared" si="39"/>
        <v>1</v>
      </c>
      <c r="U83" s="29">
        <f t="shared" si="39"/>
        <v>1</v>
      </c>
      <c r="V83" s="29">
        <f t="shared" si="39"/>
        <v>1</v>
      </c>
      <c r="W83" s="29">
        <f t="shared" si="39"/>
        <v>1</v>
      </c>
    </row>
    <row r="84" spans="2:23" x14ac:dyDescent="0.2">
      <c r="B84" s="26" t="s">
        <v>126</v>
      </c>
      <c r="D84" s="29">
        <f t="shared" ref="D84:W84" si="40">IF(AND(D83=0,ABS(D87-C87*D42/((1+D23/100)*(1+D41/100)))&lt;((C93*C87*D42/((1+D23/100)*(1+D41/100))+(D38*C87*C94*D42/((1+D23/100)*(1+D41/100)))))),1,0)</f>
        <v>0</v>
      </c>
      <c r="E84" s="29">
        <f t="shared" si="40"/>
        <v>0</v>
      </c>
      <c r="F84" s="29">
        <f t="shared" si="40"/>
        <v>0</v>
      </c>
      <c r="G84" s="29">
        <f t="shared" si="40"/>
        <v>0</v>
      </c>
      <c r="H84" s="29">
        <f t="shared" si="40"/>
        <v>0</v>
      </c>
      <c r="I84" s="29">
        <f t="shared" si="40"/>
        <v>0</v>
      </c>
      <c r="J84" s="29">
        <f t="shared" si="40"/>
        <v>0</v>
      </c>
      <c r="K84" s="29">
        <f t="shared" si="40"/>
        <v>0</v>
      </c>
      <c r="L84" s="29">
        <f t="shared" si="40"/>
        <v>0</v>
      </c>
      <c r="M84" s="29">
        <f t="shared" si="40"/>
        <v>0</v>
      </c>
      <c r="N84" s="29">
        <f t="shared" si="40"/>
        <v>0</v>
      </c>
      <c r="O84" s="29">
        <f t="shared" si="40"/>
        <v>0</v>
      </c>
      <c r="P84" s="29">
        <f t="shared" si="40"/>
        <v>0</v>
      </c>
      <c r="Q84" s="29">
        <f t="shared" si="40"/>
        <v>0</v>
      </c>
      <c r="R84" s="29">
        <f t="shared" si="40"/>
        <v>0</v>
      </c>
      <c r="S84" s="29">
        <f t="shared" si="40"/>
        <v>0</v>
      </c>
      <c r="T84" s="29">
        <f t="shared" si="40"/>
        <v>0</v>
      </c>
      <c r="U84" s="29">
        <f t="shared" si="40"/>
        <v>0</v>
      </c>
      <c r="V84" s="29">
        <f t="shared" si="40"/>
        <v>0</v>
      </c>
      <c r="W84" s="29">
        <f t="shared" si="40"/>
        <v>0</v>
      </c>
    </row>
    <row r="86" spans="2:23" x14ac:dyDescent="0.2">
      <c r="B86" s="51"/>
      <c r="C86" s="86">
        <v>2021</v>
      </c>
      <c r="D86" s="86">
        <v>2022</v>
      </c>
      <c r="E86" s="86">
        <v>2023</v>
      </c>
      <c r="F86" s="86">
        <v>2024</v>
      </c>
      <c r="G86" s="86">
        <v>2025</v>
      </c>
      <c r="H86" s="86">
        <v>2026</v>
      </c>
      <c r="I86" s="86">
        <v>2027</v>
      </c>
      <c r="J86" s="86">
        <v>2028</v>
      </c>
      <c r="K86" s="86">
        <v>2029</v>
      </c>
      <c r="L86" s="86">
        <v>2030</v>
      </c>
      <c r="M86" s="86">
        <v>2031</v>
      </c>
      <c r="N86" s="86">
        <v>2032</v>
      </c>
      <c r="O86" s="86">
        <v>2033</v>
      </c>
      <c r="P86" s="86">
        <v>2034</v>
      </c>
      <c r="Q86" s="86">
        <v>2035</v>
      </c>
      <c r="R86" s="86">
        <v>2036</v>
      </c>
      <c r="S86" s="86">
        <v>2037</v>
      </c>
      <c r="T86" s="86">
        <v>2038</v>
      </c>
      <c r="U86" s="86">
        <v>2039</v>
      </c>
      <c r="V86" s="86">
        <v>2040</v>
      </c>
      <c r="W86" s="86">
        <v>2041</v>
      </c>
    </row>
    <row r="87" spans="2:23" x14ac:dyDescent="0.2">
      <c r="B87" s="106" t="s">
        <v>104</v>
      </c>
      <c r="C87" s="110">
        <f>C56</f>
        <v>53.925649999999997</v>
      </c>
      <c r="D87" s="110">
        <f>D56</f>
        <v>51.626479730977287</v>
      </c>
      <c r="E87" s="110">
        <f>E56</f>
        <v>50.396658431512243</v>
      </c>
      <c r="F87" s="110">
        <f>F56</f>
        <v>52.027240532489337</v>
      </c>
      <c r="G87" s="110">
        <f>G56</f>
        <v>52.801992659476348</v>
      </c>
      <c r="H87" s="110">
        <f t="shared" ref="H87:W87" si="41">G87*(1+H101/100)*H42-H59-H60+H61+H62+H63+H64+H65+H71</f>
        <v>53.227583574358363</v>
      </c>
      <c r="I87" s="110">
        <f t="shared" si="41"/>
        <v>53.467451996246375</v>
      </c>
      <c r="J87" s="110">
        <f t="shared" si="41"/>
        <v>53.690445771267164</v>
      </c>
      <c r="K87" s="110">
        <f t="shared" si="41"/>
        <v>53.949710495800396</v>
      </c>
      <c r="L87" s="110">
        <f t="shared" si="41"/>
        <v>54.227759556144669</v>
      </c>
      <c r="M87" s="110">
        <f t="shared" si="41"/>
        <v>54.56237844731983</v>
      </c>
      <c r="N87" s="110">
        <f t="shared" si="41"/>
        <v>54.974854739263058</v>
      </c>
      <c r="O87" s="110">
        <f t="shared" si="41"/>
        <v>55.418735814265816</v>
      </c>
      <c r="P87" s="110">
        <f t="shared" si="41"/>
        <v>56.065800193733743</v>
      </c>
      <c r="Q87" s="110">
        <f t="shared" si="41"/>
        <v>56.926988176898625</v>
      </c>
      <c r="R87" s="110">
        <f t="shared" si="41"/>
        <v>58.014611873127805</v>
      </c>
      <c r="S87" s="110">
        <f t="shared" si="41"/>
        <v>59.213163117121731</v>
      </c>
      <c r="T87" s="110">
        <f t="shared" si="41"/>
        <v>60.545122848965157</v>
      </c>
      <c r="U87" s="110">
        <f t="shared" si="41"/>
        <v>62.041598366521079</v>
      </c>
      <c r="V87" s="110">
        <f t="shared" si="41"/>
        <v>63.718431261497805</v>
      </c>
      <c r="W87" s="110">
        <f t="shared" si="41"/>
        <v>65.58876405066917</v>
      </c>
    </row>
    <row r="88" spans="2:23" x14ac:dyDescent="0.2">
      <c r="B88" s="26" t="s">
        <v>127</v>
      </c>
      <c r="C88" s="34"/>
      <c r="D88" s="254">
        <f>'Input data'!C66*$D$87</f>
        <v>40.602371246986003</v>
      </c>
      <c r="E88" s="34">
        <f t="shared" ref="E88:W88" si="42">IF(E87=0,0,IF(E83=1,D87*E42/((1+E23/100)*(1+E41/100))-E89-E90,IF(AND(E83=0,E84=1),(1-D93-E38*D94)*D87*E42/((1+E23/100)*(1+E41/100)),E87)))</f>
        <v>37.860894175576689</v>
      </c>
      <c r="F88" s="34">
        <f t="shared" si="42"/>
        <v>38.019239464248713</v>
      </c>
      <c r="G88" s="34">
        <f t="shared" si="42"/>
        <v>39.563881383499499</v>
      </c>
      <c r="H88" s="34">
        <f t="shared" si="42"/>
        <v>40.143080711363908</v>
      </c>
      <c r="I88" s="34">
        <f t="shared" si="42"/>
        <v>40.407381862601852</v>
      </c>
      <c r="J88" s="34">
        <f t="shared" si="42"/>
        <v>40.612523501885029</v>
      </c>
      <c r="K88" s="34">
        <f t="shared" si="42"/>
        <v>40.795644266669676</v>
      </c>
      <c r="L88" s="34">
        <f t="shared" si="42"/>
        <v>40.988892778463423</v>
      </c>
      <c r="M88" s="34">
        <f t="shared" si="42"/>
        <v>41.218792628101085</v>
      </c>
      <c r="N88" s="34">
        <f t="shared" si="42"/>
        <v>41.498853204921417</v>
      </c>
      <c r="O88" s="34">
        <f t="shared" si="42"/>
        <v>41.787063222467538</v>
      </c>
      <c r="P88" s="34">
        <f t="shared" si="42"/>
        <v>42.292618100205658</v>
      </c>
      <c r="Q88" s="34">
        <f t="shared" si="42"/>
        <v>42.956305649227609</v>
      </c>
      <c r="R88" s="34">
        <f t="shared" si="42"/>
        <v>43.788483848282638</v>
      </c>
      <c r="S88" s="34">
        <f t="shared" si="42"/>
        <v>44.701822907363422</v>
      </c>
      <c r="T88" s="34">
        <f t="shared" si="42"/>
        <v>45.715461815325519</v>
      </c>
      <c r="U88" s="34">
        <f t="shared" si="42"/>
        <v>46.847297229255368</v>
      </c>
      <c r="V88" s="34">
        <f t="shared" si="42"/>
        <v>48.107267259240345</v>
      </c>
      <c r="W88" s="34">
        <f t="shared" si="42"/>
        <v>49.506141738893071</v>
      </c>
    </row>
    <row r="89" spans="2:23" x14ac:dyDescent="0.2">
      <c r="B89" s="105" t="s">
        <v>128</v>
      </c>
      <c r="C89" s="34"/>
      <c r="D89" s="254">
        <f>'Input data'!C67*$D$87</f>
        <v>4.064303127827737E-2</v>
      </c>
      <c r="E89" s="34">
        <f t="shared" ref="E89:W89" si="43">IF(E87=0,0,IF(E83=1,E38*D87*D94*E42/((1+E23/100)*(1+E41/100)),IF(AND(E83=0,E84=1),(E38*D87*D94*E42/((1+E23/100)*(1+E41/100)))*(1-ABS(E87-D87*E42/((1+E23/100)*(1+E41/100)))/((E38*D87*D94*E42/((1+E23/100)*(1+E41/100)))+(D93*D87*E42/((1+E23/100)*(1+E41/100))))),0)))</f>
        <v>1.9515624310289765</v>
      </c>
      <c r="F89" s="34">
        <f t="shared" si="43"/>
        <v>1.8951143607196621</v>
      </c>
      <c r="G89" s="34">
        <f t="shared" si="43"/>
        <v>2.0377127349186992</v>
      </c>
      <c r="H89" s="34">
        <f t="shared" si="43"/>
        <v>2.1343189011708845</v>
      </c>
      <c r="I89" s="34">
        <f t="shared" si="43"/>
        <v>2.2157987203779874</v>
      </c>
      <c r="J89" s="34">
        <f t="shared" si="43"/>
        <v>2.2950328926208061</v>
      </c>
      <c r="K89" s="34">
        <f t="shared" si="43"/>
        <v>2.373889698863437</v>
      </c>
      <c r="L89" s="34">
        <f t="shared" si="43"/>
        <v>2.4541870446058969</v>
      </c>
      <c r="M89" s="34">
        <f t="shared" si="43"/>
        <v>2.5376131795782193</v>
      </c>
      <c r="N89" s="34">
        <f t="shared" si="43"/>
        <v>2.6252133053750919</v>
      </c>
      <c r="O89" s="34">
        <f t="shared" si="43"/>
        <v>2.7145190881973371</v>
      </c>
      <c r="P89" s="34">
        <f t="shared" si="43"/>
        <v>2.7473603136848825</v>
      </c>
      <c r="Q89" s="34">
        <f t="shared" si="43"/>
        <v>2.7904739565563044</v>
      </c>
      <c r="R89" s="34">
        <f t="shared" si="43"/>
        <v>2.8445328789096216</v>
      </c>
      <c r="S89" s="34">
        <f t="shared" si="43"/>
        <v>2.9038640718358089</v>
      </c>
      <c r="T89" s="34">
        <f t="shared" si="43"/>
        <v>2.9697108184605683</v>
      </c>
      <c r="U89" s="34">
        <f t="shared" si="43"/>
        <v>3.0432356991025369</v>
      </c>
      <c r="V89" s="34">
        <f t="shared" si="43"/>
        <v>3.1250843008753422</v>
      </c>
      <c r="W89" s="34">
        <f t="shared" si="43"/>
        <v>3.2159562402790129</v>
      </c>
    </row>
    <row r="90" spans="2:23" x14ac:dyDescent="0.2">
      <c r="B90" s="105" t="s">
        <v>129</v>
      </c>
      <c r="C90" s="34"/>
      <c r="D90" s="254">
        <f>'Input data'!C68*$D$87</f>
        <v>6.7592062017853909</v>
      </c>
      <c r="E90" s="34">
        <f t="shared" ref="E90:W90" si="44">IF(E87=0,0,IF(E83=1,(1-D94)*D87*E42/((1+E23/100)*(1+E41/100)),IF(AND(E83=0,E84=1),(D93*D87*E42/((1+E23/100)*(1+E41/100)))*(1-ABS(E87-D87*E42/((1+E23/100)*(1+E41/100)))/((E38*D87*D94*E42/((1+E23/100)*(1+E41/100)))+(D93*D87*E42/((1+E23/100)*(1+E41/100))))),0)))</f>
        <v>6.6210823702360049</v>
      </c>
      <c r="F90" s="34">
        <f t="shared" si="44"/>
        <v>6.5851096523336512</v>
      </c>
      <c r="G90" s="34">
        <f t="shared" si="44"/>
        <v>6.794986815206828</v>
      </c>
      <c r="H90" s="34">
        <f t="shared" si="44"/>
        <v>6.8566405905179426</v>
      </c>
      <c r="I90" s="34">
        <f t="shared" si="44"/>
        <v>6.8712896276802091</v>
      </c>
      <c r="J90" s="34">
        <f t="shared" si="44"/>
        <v>6.8799948499266819</v>
      </c>
      <c r="K90" s="34">
        <f t="shared" si="44"/>
        <v>6.8882116039692756</v>
      </c>
      <c r="L90" s="34">
        <f t="shared" si="44"/>
        <v>6.9006068084936887</v>
      </c>
      <c r="M90" s="34">
        <f t="shared" si="44"/>
        <v>6.9214126411328492</v>
      </c>
      <c r="N90" s="34">
        <f t="shared" si="44"/>
        <v>6.9526468591157844</v>
      </c>
      <c r="O90" s="34">
        <f t="shared" si="44"/>
        <v>6.9870395938657417</v>
      </c>
      <c r="P90" s="34">
        <f t="shared" si="44"/>
        <v>7.0479951041751994</v>
      </c>
      <c r="Q90" s="34">
        <f t="shared" si="44"/>
        <v>7.1363587577284777</v>
      </c>
      <c r="R90" s="34">
        <f t="shared" si="44"/>
        <v>7.2535392766691178</v>
      </c>
      <c r="S90" s="34">
        <f t="shared" si="44"/>
        <v>7.3848335004546177</v>
      </c>
      <c r="T90" s="34">
        <f t="shared" si="44"/>
        <v>7.5332621080838749</v>
      </c>
      <c r="U90" s="34">
        <f t="shared" si="44"/>
        <v>7.7016391736128389</v>
      </c>
      <c r="V90" s="34">
        <f t="shared" si="44"/>
        <v>7.8914352573368012</v>
      </c>
      <c r="W90" s="34">
        <f t="shared" si="44"/>
        <v>8.1042573371809699</v>
      </c>
    </row>
    <row r="91" spans="2:23" x14ac:dyDescent="0.2">
      <c r="B91" s="105" t="s">
        <v>130</v>
      </c>
      <c r="C91" s="34"/>
      <c r="D91" s="254">
        <f>'Input data'!C69*$D$87</f>
        <v>3.6219077873668084</v>
      </c>
      <c r="E91" s="34">
        <f>IF(E87=0,0,IF(E83=1,'Input data'!$C$58*(E87-D87*E42/((1+E23/100)*(1+E41/100))),0))</f>
        <v>3.4471835226479048</v>
      </c>
      <c r="F91" s="34">
        <f>IF(F87=0,0,IF(F83=1,'Input data'!$C$58*(F87-E87*F42/((1+F23/100)*(1+F41/100))),0))</f>
        <v>4.8081472687016928</v>
      </c>
      <c r="G91" s="34">
        <f>IF(G87=0,0,IF(G83=1,'Input data'!$C$58*(G87-F87*G42/((1+G23/100)*(1+G41/100))),0))</f>
        <v>3.8318962841095763</v>
      </c>
      <c r="H91" s="34">
        <f>IF(H87=0,0,IF(H83=1,'Input data'!$C$58*(H87-G87*H42/((1+H23/100)*(1+H41/100))),0))</f>
        <v>3.5606282929925648</v>
      </c>
      <c r="I91" s="34">
        <f>IF(I87=0,0,IF(I83=1,'Input data'!$C$58*(I87-H87*I42/((1+I23/100)*(1+I41/100))),0))</f>
        <v>3.4557619329170151</v>
      </c>
      <c r="J91" s="34">
        <f>IF(J87=0,0,IF(J83=1,'Input data'!$C$58*(J87-I87*J42/((1+J23/100)*(1+J41/100))),0))</f>
        <v>3.3947989348848502</v>
      </c>
      <c r="K91" s="34">
        <f>IF(K87=0,0,IF(K83=1,'Input data'!$C$58*(K87-J87*K42/((1+K23/100)*(1+K41/100))),0))</f>
        <v>3.3852921967433507</v>
      </c>
      <c r="L91" s="34">
        <f>IF(L87=0,0,IF(L83=1,'Input data'!$C$58*(L87-K87*L42/((1+L23/100)*(1+L41/100))),0))</f>
        <v>3.3784276097460428</v>
      </c>
      <c r="M91" s="34">
        <f>IF(M87=0,0,IF(M83=1,'Input data'!$C$58*(M87-L87*M42/((1+M23/100)*(1+M41/100))),0))</f>
        <v>3.3788512742939592</v>
      </c>
      <c r="N91" s="34">
        <f>IF(N87=0,0,IF(N83=1,'Input data'!$C$58*(N87-M87*N42/((1+N23/100)*(1+N41/100))),0))</f>
        <v>3.3906645643157058</v>
      </c>
      <c r="O91" s="34">
        <f>IF(O87=0,0,IF(O83=1,'Input data'!$C$58*(O87-N87*O42/((1+O23/100)*(1+O41/100))),0))</f>
        <v>3.4184747814760579</v>
      </c>
      <c r="P91" s="34">
        <f>IF(P87=0,0,IF(P83=1,'Input data'!$C$58*(P87-O87*P42/((1+P23/100)*(1+P41/100))),0))</f>
        <v>3.4599760943748388</v>
      </c>
      <c r="Q91" s="34">
        <f>IF(Q87=0,0,IF(Q83=1,'Input data'!$C$58*(Q87-P87*Q42/((1+Q23/100)*(1+Q41/100))),0))</f>
        <v>3.5174040561254136</v>
      </c>
      <c r="R91" s="34">
        <f>IF(R87=0,0,IF(R83=1,'Input data'!$C$58*(R87-Q87*R42/((1+R23/100)*(1+R41/100))),0))</f>
        <v>3.5906478055650908</v>
      </c>
      <c r="S91" s="34">
        <f>IF(S87=0,0,IF(S83=1,'Input data'!$C$58*(S87-R87*S42/((1+S23/100)*(1+S41/100))),0))</f>
        <v>3.6729208615589748</v>
      </c>
      <c r="T91" s="34">
        <f>IF(T87=0,0,IF(T83=1,'Input data'!$C$58*(T87-S87*T42/((1+T23/100)*(1+T41/100))),0))</f>
        <v>3.7634212445546811</v>
      </c>
      <c r="U91" s="34">
        <f>IF(U87=0,0,IF(U83=1,'Input data'!$C$58*(U87-T87*U42/((1+U23/100)*(1+U41/100))),0))</f>
        <v>3.8701808208982325</v>
      </c>
      <c r="V91" s="34">
        <f>IF(V87=0,0,IF(V83=1,'Input data'!$C$58*(V87-U87*V42/((1+V23/100)*(1+V41/100))),0))</f>
        <v>3.9964938733483861</v>
      </c>
      <c r="W91" s="34">
        <f>IF(W87=0,0,IF(W83=1,'Input data'!$C$58*(W87-V87*W42/((1+W23/100)*(1+W41/100))),0))</f>
        <v>4.1424178869252879</v>
      </c>
    </row>
    <row r="92" spans="2:23" x14ac:dyDescent="0.2">
      <c r="B92" s="107" t="s">
        <v>131</v>
      </c>
      <c r="C92" s="49"/>
      <c r="D92" s="255">
        <f>'Input data'!C70*$D$87</f>
        <v>0.60234756355780006</v>
      </c>
      <c r="E92" s="49">
        <f>IF(E87=0,0,IF(E83=1,'Input data'!$C$57*(E87-D87*E42/((1+E23/100)*(1+E41/100))),0))</f>
        <v>0.51593593202267063</v>
      </c>
      <c r="F92" s="49">
        <f>IF(F87=0,0,IF(F83=1,'Input data'!$C$57*(F87-E87*F42/((1+F23/100)*(1+F41/100))),0))</f>
        <v>0.71962978648562193</v>
      </c>
      <c r="G92" s="49">
        <f>IF(G87=0,0,IF(G83=1,'Input data'!$C$57*(G87-F87*G42/((1+G23/100)*(1+G41/100))),0))</f>
        <v>0.5735154417417464</v>
      </c>
      <c r="H92" s="49">
        <f>IF(H87=0,0,IF(H83=1,'Input data'!$C$57*(H87-G87*H42/((1+H23/100)*(1+H41/100))),0))</f>
        <v>0.53291507831306328</v>
      </c>
      <c r="I92" s="49">
        <f>IF(I87=0,0,IF(I83=1,'Input data'!$C$57*(I87-H87*I42/((1+I23/100)*(1+I41/100))),0))</f>
        <v>0.51721985266930526</v>
      </c>
      <c r="J92" s="49">
        <f>IF(J87=0,0,IF(J83=1,'Input data'!$C$57*(J87-I87*J42/((1+J23/100)*(1+J41/100))),0))</f>
        <v>0.50809559194980014</v>
      </c>
      <c r="K92" s="49">
        <f>IF(K87=0,0,IF(K83=1,'Input data'!$C$57*(K87-J87*K42/((1+K23/100)*(1+K41/100))),0))</f>
        <v>0.50667272955465792</v>
      </c>
      <c r="L92" s="49">
        <f>IF(L87=0,0,IF(L83=1,'Input data'!$C$57*(L87-K87*L42/((1+L23/100)*(1+L41/100))),0))</f>
        <v>0.50564531483561603</v>
      </c>
      <c r="M92" s="49">
        <f>IF(M87=0,0,IF(M83=1,'Input data'!$C$57*(M87-L87*M42/((1+M23/100)*(1+M41/100))),0))</f>
        <v>0.50570872421372381</v>
      </c>
      <c r="N92" s="49">
        <f>IF(N87=0,0,IF(N83=1,'Input data'!$C$57*(N87-M87*N42/((1+N23/100)*(1+N41/100))),0))</f>
        <v>0.50747680553506358</v>
      </c>
      <c r="O92" s="49">
        <f>IF(O87=0,0,IF(O83=1,'Input data'!$C$57*(O87-N87*O42/((1+O23/100)*(1+O41/100))),0))</f>
        <v>0.51163912825913993</v>
      </c>
      <c r="P92" s="49">
        <f>IF(P87=0,0,IF(P83=1,'Input data'!$C$57*(P87-O87*P42/((1+P23/100)*(1+P41/100))),0))</f>
        <v>0.5178505812931663</v>
      </c>
      <c r="Q92" s="49">
        <f>IF(Q87=0,0,IF(Q83=1,'Input data'!$C$57*(Q87-P87*Q42/((1+Q23/100)*(1+Q41/100))),0))</f>
        <v>0.5264457572608171</v>
      </c>
      <c r="R92" s="49">
        <f>IF(R87=0,0,IF(R83=1,'Input data'!$C$57*(R87-Q87*R42/((1+R23/100)*(1+R41/100))),0))</f>
        <v>0.53740806370134209</v>
      </c>
      <c r="S92" s="49">
        <f>IF(S87=0,0,IF(S83=1,'Input data'!$C$57*(S87-R87*S42/((1+S23/100)*(1+S41/100))),0))</f>
        <v>0.54972177590891036</v>
      </c>
      <c r="T92" s="49">
        <f>IF(T87=0,0,IF(T83=1,'Input data'!$C$57*(T87-S87*T42/((1+T23/100)*(1+T41/100))),0))</f>
        <v>0.56326686254051284</v>
      </c>
      <c r="U92" s="49">
        <f>IF(U87=0,0,IF(U83=1,'Input data'!$C$57*(U87-T87*U42/((1+U23/100)*(1+U41/100))),0))</f>
        <v>0.57924544365209985</v>
      </c>
      <c r="V92" s="49">
        <f>IF(V87=0,0,IF(V83=1,'Input data'!$C$57*(V87-U87*V42/((1+V23/100)*(1+V41/100))),0))</f>
        <v>0.59815057069692845</v>
      </c>
      <c r="W92" s="49">
        <f>IF(W87=0,0,IF(W83=1,'Input data'!$C$57*(W87-V87*W42/((1+W23/100)*(1+W41/100))),0))</f>
        <v>0.61999084739082977</v>
      </c>
    </row>
    <row r="93" spans="2:23" x14ac:dyDescent="0.2">
      <c r="B93" s="26" t="s">
        <v>73</v>
      </c>
      <c r="C93" s="36"/>
      <c r="D93" s="36">
        <f>1-D94</f>
        <v>0.14259267150708055</v>
      </c>
      <c r="E93" s="36">
        <f>IF(E87&lt;&gt;0,(E90+E92)/(E88+E89+E90+E91+E92),0)</f>
        <v>0.14161689533360031</v>
      </c>
      <c r="F93" s="36">
        <f t="shared" ref="F93" si="45">IF(F87&lt;&gt;0,(F90+F92)/(F88+F89+F90+F91+F92),0)</f>
        <v>0.14040220784451748</v>
      </c>
      <c r="G93" s="36">
        <f>IF(G87&lt;&gt;0,(G90+G92)/(G88+G89+G90+G91+G92),0)</f>
        <v>0.13954970041506859</v>
      </c>
      <c r="H93" s="36">
        <f>IF(H87&lt;&gt;0,(H90+H92)/(H88+H89+H90+H91+H92),0)</f>
        <v>0.13882944091399296</v>
      </c>
      <c r="I93" s="36">
        <f t="shared" ref="I93:W93" si="46">IF(I87&lt;&gt;0,(I90+I92)/(I88+I89+I90+I91+I92),0)</f>
        <v>0.13818705033612255</v>
      </c>
      <c r="J93" s="36">
        <f t="shared" si="46"/>
        <v>0.13760531013937441</v>
      </c>
      <c r="K93" s="36">
        <f t="shared" si="46"/>
        <v>0.13706995395461061</v>
      </c>
      <c r="L93" s="36">
        <f t="shared" si="46"/>
        <v>0.13657676776524849</v>
      </c>
      <c r="M93" s="36">
        <f>IF(M87&lt;&gt;0,(M90+M92)/(M88+M89+M90+M91+M92),0)</f>
        <v>0.13612165702265866</v>
      </c>
      <c r="N93" s="36">
        <f t="shared" si="46"/>
        <v>0.13570065259895675</v>
      </c>
      <c r="O93" s="36">
        <f t="shared" si="46"/>
        <v>0.13530945107186262</v>
      </c>
      <c r="P93" s="36">
        <f t="shared" si="46"/>
        <v>0.13494582542877845</v>
      </c>
      <c r="Q93" s="36">
        <f t="shared" si="46"/>
        <v>0.13460758702317779</v>
      </c>
      <c r="R93" s="36">
        <f t="shared" si="46"/>
        <v>0.13429284604038183</v>
      </c>
      <c r="S93" s="36">
        <f t="shared" si="46"/>
        <v>0.13399985507731166</v>
      </c>
      <c r="T93" s="36">
        <f t="shared" si="46"/>
        <v>0.13372718709022777</v>
      </c>
      <c r="U93" s="36">
        <f t="shared" si="46"/>
        <v>0.13347310248753155</v>
      </c>
      <c r="V93" s="36">
        <f t="shared" si="46"/>
        <v>0.13323595166982097</v>
      </c>
      <c r="W93" s="36">
        <f t="shared" si="46"/>
        <v>0.13301437084303144</v>
      </c>
    </row>
    <row r="94" spans="2:23" x14ac:dyDescent="0.2">
      <c r="B94" s="35" t="s">
        <v>74</v>
      </c>
      <c r="C94" s="108"/>
      <c r="D94" s="108">
        <f>(D88+D89+D91)/D87</f>
        <v>0.85740732849291945</v>
      </c>
      <c r="E94" s="108">
        <f t="shared" ref="E94:F94" si="47">IF(E87&lt;&gt;0,(E88+E89+E91)/(E88+E89+E90+E91+E92),1)</f>
        <v>0.85838310466639967</v>
      </c>
      <c r="F94" s="108">
        <f t="shared" si="47"/>
        <v>0.8595977921554826</v>
      </c>
      <c r="G94" s="108">
        <f>IF(G87&lt;&gt;0,(G88+G89+G91)/(G88+G89+G90+G91+G92),1)</f>
        <v>0.86045029958493147</v>
      </c>
      <c r="H94" s="108">
        <f>IF(H87&lt;&gt;0,(H88+H89+H91)/(H88+H89+H90+H91+H92),1)</f>
        <v>0.86117055908600715</v>
      </c>
      <c r="I94" s="108">
        <f t="shared" ref="I94:W94" si="48">IF(I87&lt;&gt;0,(I88+I89+I91)/(I88+I89+I90+I91+I92),1)</f>
        <v>0.86181294966387734</v>
      </c>
      <c r="J94" s="108">
        <f t="shared" si="48"/>
        <v>0.86239468986062551</v>
      </c>
      <c r="K94" s="108">
        <f t="shared" si="48"/>
        <v>0.86293004604538937</v>
      </c>
      <c r="L94" s="108">
        <f t="shared" si="48"/>
        <v>0.86342323223475137</v>
      </c>
      <c r="M94" s="108">
        <f t="shared" si="48"/>
        <v>0.86387834297734134</v>
      </c>
      <c r="N94" s="108">
        <f t="shared" si="48"/>
        <v>0.86429934740104331</v>
      </c>
      <c r="O94" s="108">
        <f t="shared" si="48"/>
        <v>0.86469054892813724</v>
      </c>
      <c r="P94" s="108">
        <f t="shared" si="48"/>
        <v>0.86505417457122158</v>
      </c>
      <c r="Q94" s="108">
        <f t="shared" si="48"/>
        <v>0.86539241297682212</v>
      </c>
      <c r="R94" s="108">
        <f t="shared" si="48"/>
        <v>0.86570715395961817</v>
      </c>
      <c r="S94" s="108">
        <f t="shared" si="48"/>
        <v>0.8660001449226884</v>
      </c>
      <c r="T94" s="108">
        <f t="shared" si="48"/>
        <v>0.86627281290977221</v>
      </c>
      <c r="U94" s="108">
        <f t="shared" si="48"/>
        <v>0.86652689751246847</v>
      </c>
      <c r="V94" s="108">
        <f t="shared" si="48"/>
        <v>0.86676404833017906</v>
      </c>
      <c r="W94" s="108">
        <f t="shared" si="48"/>
        <v>0.86698562915696853</v>
      </c>
    </row>
    <row r="95" spans="2:23" x14ac:dyDescent="0.2">
      <c r="C95" s="36"/>
      <c r="D95" s="36"/>
      <c r="E95" s="253"/>
      <c r="F95" s="253"/>
      <c r="G95" s="253"/>
      <c r="H95" s="36"/>
      <c r="I95" s="36"/>
      <c r="J95" s="36"/>
      <c r="K95" s="36"/>
      <c r="L95" s="36"/>
      <c r="M95" s="36"/>
      <c r="N95" s="36"/>
      <c r="O95" s="36"/>
      <c r="P95" s="36"/>
      <c r="Q95" s="36"/>
      <c r="R95" s="36"/>
      <c r="S95" s="36"/>
      <c r="T95" s="36"/>
      <c r="U95" s="36"/>
      <c r="V95" s="36"/>
      <c r="W95" s="36"/>
    </row>
    <row r="96" spans="2:23" x14ac:dyDescent="0.2">
      <c r="B96" s="113" t="s">
        <v>132</v>
      </c>
      <c r="C96" s="115">
        <f>C35</f>
        <v>2.4089399999999999</v>
      </c>
      <c r="D96" s="115">
        <f>D35</f>
        <v>1.9834700000000001</v>
      </c>
      <c r="E96" s="115">
        <f>E98+E99</f>
        <v>2.3767499999999999</v>
      </c>
      <c r="F96" s="115">
        <f>F98+F99</f>
        <v>2.7490950000000001</v>
      </c>
      <c r="G96" s="115">
        <f>G98+G99</f>
        <v>2.7383609999999998</v>
      </c>
      <c r="H96" s="115">
        <f>H98+H99</f>
        <v>2.8541319202174122</v>
      </c>
      <c r="I96" s="115">
        <f t="shared" ref="I96:W96" si="49">I98+I99</f>
        <v>2.9384590683230836</v>
      </c>
      <c r="J96" s="115">
        <f t="shared" si="49"/>
        <v>3.0199900380246318</v>
      </c>
      <c r="K96" s="115">
        <f t="shared" si="49"/>
        <v>3.099730228924332</v>
      </c>
      <c r="L96" s="115">
        <f t="shared" si="49"/>
        <v>3.1785659432501996</v>
      </c>
      <c r="M96" s="115">
        <f t="shared" si="49"/>
        <v>3.2566136473306999</v>
      </c>
      <c r="N96" s="115">
        <f t="shared" si="49"/>
        <v>3.3340053618932908</v>
      </c>
      <c r="O96" s="115">
        <f t="shared" si="49"/>
        <v>3.4108901296366563</v>
      </c>
      <c r="P96" s="115">
        <f t="shared" si="49"/>
        <v>3.4745074328303929</v>
      </c>
      <c r="Q96" s="115">
        <f t="shared" si="49"/>
        <v>3.5286673729289912</v>
      </c>
      <c r="R96" s="115">
        <f t="shared" si="49"/>
        <v>3.5745910330048454</v>
      </c>
      <c r="S96" s="115">
        <f t="shared" si="49"/>
        <v>3.6133292522211033</v>
      </c>
      <c r="T96" s="115">
        <f t="shared" si="49"/>
        <v>3.6457971050463915</v>
      </c>
      <c r="U96" s="115">
        <f t="shared" si="49"/>
        <v>3.6727798476187692</v>
      </c>
      <c r="V96" s="115">
        <f t="shared" si="49"/>
        <v>3.6949882376536483</v>
      </c>
      <c r="W96" s="115">
        <f t="shared" si="49"/>
        <v>3.7130398677657137</v>
      </c>
    </row>
    <row r="97" spans="2:25" x14ac:dyDescent="0.2">
      <c r="B97" s="33" t="s">
        <v>133</v>
      </c>
      <c r="C97" s="1"/>
      <c r="D97" s="34"/>
      <c r="E97" s="266">
        <f>((E35*D87)-(E37*D90+D92))/(D88+D89+D91)</f>
        <v>2.2346545808497247</v>
      </c>
      <c r="F97" s="266">
        <f>((F35*E87)-(F37*E90+E92))/(E88+E89+E91)</f>
        <v>2.6451988662919979</v>
      </c>
      <c r="G97" s="266">
        <f>((G35*F87)-(G37*F90+F92))/(F88+F89+F91)</f>
        <v>2.7548458922313985</v>
      </c>
      <c r="H97" s="34">
        <f t="shared" ref="H97:W97" si="50">IF(G87&gt;0,(G97*G88+H36*(G91+G89))/(G88+G89+G91),H36)</f>
        <v>2.8620857468312022</v>
      </c>
      <c r="I97" s="34">
        <f t="shared" si="50"/>
        <v>2.9617789748806693</v>
      </c>
      <c r="J97" s="34">
        <f t="shared" si="50"/>
        <v>3.0580673762815578</v>
      </c>
      <c r="K97" s="34">
        <f t="shared" si="50"/>
        <v>3.1521459411268493</v>
      </c>
      <c r="L97" s="34">
        <f t="shared" si="50"/>
        <v>3.2450604368334708</v>
      </c>
      <c r="M97" s="34">
        <f t="shared" si="50"/>
        <v>3.3369618404485508</v>
      </c>
      <c r="N97" s="34">
        <f t="shared" si="50"/>
        <v>3.4280165488562653</v>
      </c>
      <c r="O97" s="34">
        <f t="shared" si="50"/>
        <v>3.5184082305943614</v>
      </c>
      <c r="P97" s="34">
        <f t="shared" si="50"/>
        <v>3.5973031475597277</v>
      </c>
      <c r="Q97" s="34">
        <f t="shared" si="50"/>
        <v>3.6651937905460854</v>
      </c>
      <c r="R97" s="34">
        <f t="shared" si="50"/>
        <v>3.72351221388901</v>
      </c>
      <c r="S97" s="34">
        <f t="shared" si="50"/>
        <v>3.7734892118351966</v>
      </c>
      <c r="T97" s="34">
        <f t="shared" si="50"/>
        <v>3.8161950066497852</v>
      </c>
      <c r="U97" s="34">
        <f t="shared" si="50"/>
        <v>3.8525471911512943</v>
      </c>
      <c r="V97" s="34">
        <f t="shared" si="50"/>
        <v>3.8833742808194867</v>
      </c>
      <c r="W97" s="34">
        <f t="shared" si="50"/>
        <v>3.9093951758443346</v>
      </c>
    </row>
    <row r="98" spans="2:25" x14ac:dyDescent="0.2">
      <c r="B98" s="26" t="s">
        <v>134</v>
      </c>
      <c r="C98" s="34"/>
      <c r="D98" s="34"/>
      <c r="E98" s="266">
        <f>E35</f>
        <v>2.3767499999999999</v>
      </c>
      <c r="F98" s="266">
        <f>F35</f>
        <v>2.7490950000000001</v>
      </c>
      <c r="G98" s="266">
        <f>G35</f>
        <v>2.7383609999999998</v>
      </c>
      <c r="H98" s="34">
        <f t="shared" ref="H98:W98" si="51">(H97*(G88+G89+G91)+H37*(G90+G92))/G87</f>
        <v>2.8541319202174122</v>
      </c>
      <c r="I98" s="34">
        <f t="shared" si="51"/>
        <v>2.9384590683230836</v>
      </c>
      <c r="J98" s="34">
        <f t="shared" si="51"/>
        <v>3.0199900380246318</v>
      </c>
      <c r="K98" s="34">
        <f t="shared" si="51"/>
        <v>3.099730228924332</v>
      </c>
      <c r="L98" s="34">
        <f t="shared" si="51"/>
        <v>3.1785659432501996</v>
      </c>
      <c r="M98" s="34">
        <f t="shared" si="51"/>
        <v>3.2566136473306999</v>
      </c>
      <c r="N98" s="34">
        <f t="shared" si="51"/>
        <v>3.3340053618932908</v>
      </c>
      <c r="O98" s="34">
        <f t="shared" si="51"/>
        <v>3.4108901296366563</v>
      </c>
      <c r="P98" s="34">
        <f t="shared" si="51"/>
        <v>3.4745074328303929</v>
      </c>
      <c r="Q98" s="34">
        <f t="shared" si="51"/>
        <v>3.5286673729289912</v>
      </c>
      <c r="R98" s="34">
        <f t="shared" si="51"/>
        <v>3.5745910330048454</v>
      </c>
      <c r="S98" s="34">
        <f t="shared" si="51"/>
        <v>3.6133292522211033</v>
      </c>
      <c r="T98" s="34">
        <f t="shared" si="51"/>
        <v>3.6457971050463915</v>
      </c>
      <c r="U98" s="34">
        <f t="shared" si="51"/>
        <v>3.6727798476187692</v>
      </c>
      <c r="V98" s="34">
        <f t="shared" si="51"/>
        <v>3.6949882376536483</v>
      </c>
      <c r="W98" s="34">
        <f t="shared" si="51"/>
        <v>3.7130398677657137</v>
      </c>
    </row>
    <row r="99" spans="2:25" x14ac:dyDescent="0.2">
      <c r="B99" s="35" t="s">
        <v>135</v>
      </c>
      <c r="C99" s="114"/>
      <c r="D99" s="49"/>
      <c r="E99" s="49">
        <f t="shared" ref="E99:G99" si="52">E108</f>
        <v>0</v>
      </c>
      <c r="F99" s="49">
        <f t="shared" si="52"/>
        <v>0</v>
      </c>
      <c r="G99" s="49">
        <f t="shared" si="52"/>
        <v>0</v>
      </c>
      <c r="H99" s="49">
        <f>H108</f>
        <v>0</v>
      </c>
      <c r="I99" s="49">
        <f t="shared" ref="I99:W99" si="53">I108</f>
        <v>0</v>
      </c>
      <c r="J99" s="49">
        <f t="shared" si="53"/>
        <v>0</v>
      </c>
      <c r="K99" s="49">
        <f t="shared" si="53"/>
        <v>0</v>
      </c>
      <c r="L99" s="49">
        <f t="shared" si="53"/>
        <v>0</v>
      </c>
      <c r="M99" s="49">
        <f t="shared" si="53"/>
        <v>0</v>
      </c>
      <c r="N99" s="49">
        <f t="shared" si="53"/>
        <v>0</v>
      </c>
      <c r="O99" s="49">
        <f t="shared" si="53"/>
        <v>0</v>
      </c>
      <c r="P99" s="49">
        <f t="shared" si="53"/>
        <v>0</v>
      </c>
      <c r="Q99" s="49">
        <f t="shared" si="53"/>
        <v>0</v>
      </c>
      <c r="R99" s="49">
        <f t="shared" si="53"/>
        <v>0</v>
      </c>
      <c r="S99" s="49">
        <f t="shared" si="53"/>
        <v>0</v>
      </c>
      <c r="T99" s="49">
        <f t="shared" si="53"/>
        <v>0</v>
      </c>
      <c r="U99" s="49">
        <f t="shared" si="53"/>
        <v>0</v>
      </c>
      <c r="V99" s="49">
        <f t="shared" si="53"/>
        <v>0</v>
      </c>
      <c r="W99" s="49">
        <f t="shared" si="53"/>
        <v>0</v>
      </c>
    </row>
    <row r="100" spans="2:25" x14ac:dyDescent="0.2">
      <c r="G100" s="98"/>
      <c r="H100" s="98"/>
      <c r="I100" s="98"/>
      <c r="J100" s="98"/>
      <c r="K100" s="98"/>
      <c r="L100" s="98"/>
      <c r="M100" s="98"/>
      <c r="N100" s="98"/>
      <c r="O100" s="98"/>
      <c r="P100" s="98"/>
      <c r="Q100" s="98"/>
      <c r="R100" s="98"/>
      <c r="S100" s="98"/>
      <c r="T100" s="98"/>
      <c r="U100" s="98"/>
      <c r="V100" s="98"/>
      <c r="W100" s="98"/>
    </row>
    <row r="101" spans="2:25" x14ac:dyDescent="0.2">
      <c r="B101" s="113" t="s">
        <v>186</v>
      </c>
      <c r="C101" s="115">
        <f t="shared" ref="C101:W101" si="54">((1+C96/100)/((1+C23/100)*(1+C41/100))-1)*100</f>
        <v>-10.770396748633127</v>
      </c>
      <c r="D101" s="115">
        <f t="shared" si="54"/>
        <v>-10.353607165209123</v>
      </c>
      <c r="E101" s="115">
        <f t="shared" si="54"/>
        <v>-7.9209964301513835</v>
      </c>
      <c r="F101" s="115">
        <f t="shared" si="54"/>
        <v>-5.1965360605959248</v>
      </c>
      <c r="G101" s="115">
        <f t="shared" si="54"/>
        <v>-4.431104754861936</v>
      </c>
      <c r="H101" s="115">
        <f t="shared" si="54"/>
        <v>-4.2907511955218141</v>
      </c>
      <c r="I101" s="115">
        <f t="shared" si="54"/>
        <v>-4.2811235499566225</v>
      </c>
      <c r="J101" s="115">
        <f t="shared" si="54"/>
        <v>-4.0703672660675538</v>
      </c>
      <c r="K101" s="115">
        <f t="shared" si="54"/>
        <v>-3.8760064300724539</v>
      </c>
      <c r="L101" s="115">
        <f t="shared" si="54"/>
        <v>-3.7179376273873799</v>
      </c>
      <c r="M101" s="115">
        <f t="shared" si="54"/>
        <v>-3.5029298114231056</v>
      </c>
      <c r="N101" s="115">
        <f t="shared" si="54"/>
        <v>-3.2673882008529498</v>
      </c>
      <c r="O101" s="115">
        <f t="shared" si="54"/>
        <v>-3.1469160228072335</v>
      </c>
      <c r="P101" s="115">
        <f t="shared" si="54"/>
        <v>-2.7444902204222243</v>
      </c>
      <c r="Q101" s="115">
        <f t="shared" si="54"/>
        <v>-2.3482974941189783</v>
      </c>
      <c r="R101" s="115">
        <f t="shared" si="54"/>
        <v>-1.9572582527389915</v>
      </c>
      <c r="S101" s="115">
        <f t="shared" si="54"/>
        <v>-1.7876579667584935</v>
      </c>
      <c r="T101" s="115">
        <f t="shared" si="54"/>
        <v>-1.5961287308040917</v>
      </c>
      <c r="U101" s="115">
        <f t="shared" si="54"/>
        <v>-1.3836243396797787</v>
      </c>
      <c r="V101" s="115">
        <f t="shared" si="54"/>
        <v>-1.1817789995944961</v>
      </c>
      <c r="W101" s="115">
        <f t="shared" si="54"/>
        <v>-0.99432630338871508</v>
      </c>
    </row>
    <row r="102" spans="2:25" x14ac:dyDescent="0.2">
      <c r="F102" s="34"/>
      <c r="G102" s="34"/>
      <c r="H102" s="34"/>
      <c r="I102" s="34"/>
      <c r="J102" s="34"/>
      <c r="K102" s="34"/>
      <c r="L102" s="34"/>
      <c r="M102" s="34"/>
      <c r="N102" s="34"/>
      <c r="O102" s="34"/>
      <c r="P102" s="34"/>
      <c r="Q102" s="34"/>
      <c r="R102" s="34"/>
      <c r="S102" s="34"/>
      <c r="T102" s="34"/>
      <c r="U102" s="34"/>
      <c r="V102" s="34"/>
      <c r="W102" s="34"/>
    </row>
    <row r="104" spans="2:25" s="93" customFormat="1" ht="12.75" x14ac:dyDescent="0.2">
      <c r="B104" s="25" t="s">
        <v>136</v>
      </c>
    </row>
    <row r="105" spans="2:25" s="109" customFormat="1" ht="12.75" x14ac:dyDescent="0.2">
      <c r="C105" s="103"/>
      <c r="D105" s="103"/>
      <c r="E105" s="103"/>
      <c r="F105" s="103"/>
      <c r="G105" s="103"/>
      <c r="H105" s="103"/>
      <c r="I105" s="103"/>
      <c r="J105" s="103"/>
      <c r="K105" s="103"/>
      <c r="L105" s="103"/>
      <c r="M105" s="103"/>
      <c r="N105" s="103"/>
      <c r="O105" s="103"/>
      <c r="P105" s="103"/>
      <c r="Q105" s="103"/>
      <c r="R105" s="103"/>
      <c r="S105" s="103"/>
      <c r="T105" s="103"/>
      <c r="U105" s="103"/>
      <c r="V105" s="103"/>
      <c r="W105" s="103"/>
    </row>
    <row r="106" spans="2:25" x14ac:dyDescent="0.2">
      <c r="B106" s="120" t="s">
        <v>43</v>
      </c>
      <c r="C106" s="34">
        <v>53.925649999999997</v>
      </c>
      <c r="D106" s="34">
        <v>51.626440000000002</v>
      </c>
      <c r="E106" s="34">
        <v>50.396610000000003</v>
      </c>
      <c r="F106" s="34">
        <v>52.027169999999998</v>
      </c>
      <c r="G106" s="34">
        <v>52.801920000000003</v>
      </c>
      <c r="H106" s="34">
        <v>53.216740000000001</v>
      </c>
      <c r="I106" s="34">
        <v>53.447499999999998</v>
      </c>
      <c r="J106" s="34">
        <v>53.662799999999997</v>
      </c>
      <c r="K106" s="34">
        <v>53.915590000000002</v>
      </c>
      <c r="L106" s="34">
        <v>54.188209999999998</v>
      </c>
      <c r="M106" s="34">
        <v>54.518300000000004</v>
      </c>
      <c r="N106" s="34">
        <v>54.926969999999997</v>
      </c>
      <c r="O106" s="34">
        <v>55.367719999999998</v>
      </c>
      <c r="P106" s="34">
        <v>56.012079999999997</v>
      </c>
      <c r="Q106" s="34">
        <v>56.870869999999996</v>
      </c>
      <c r="R106" s="34">
        <v>57.95635</v>
      </c>
      <c r="S106" s="34">
        <v>59.15305</v>
      </c>
      <c r="T106" s="34">
        <v>60.483379999999997</v>
      </c>
      <c r="U106" s="34">
        <v>61.978400000000001</v>
      </c>
      <c r="V106" s="34">
        <v>63.653919999999999</v>
      </c>
      <c r="W106" s="34">
        <v>65.523039999999995</v>
      </c>
    </row>
    <row r="107" spans="2:25" x14ac:dyDescent="0.2">
      <c r="B107" s="26" t="s">
        <v>132</v>
      </c>
      <c r="C107" s="34">
        <v>2.4089399999999999</v>
      </c>
      <c r="D107" s="34">
        <v>1.9834700000000001</v>
      </c>
      <c r="E107" s="34">
        <v>2.3767499999999999</v>
      </c>
      <c r="F107" s="34">
        <v>2.7490950000000001</v>
      </c>
      <c r="G107" s="34">
        <v>2.7383609999999998</v>
      </c>
      <c r="H107" s="34">
        <v>2.8322319999999999</v>
      </c>
      <c r="I107" s="34">
        <v>2.9191370000000001</v>
      </c>
      <c r="J107" s="34">
        <v>3.0029279999999998</v>
      </c>
      <c r="K107" s="34">
        <v>3.08467</v>
      </c>
      <c r="L107" s="34">
        <v>3.1652909999999999</v>
      </c>
      <c r="M107" s="34">
        <v>3.244929</v>
      </c>
      <c r="N107" s="34">
        <v>3.3237369999999999</v>
      </c>
      <c r="O107" s="34">
        <v>3.4018820000000001</v>
      </c>
      <c r="P107" s="34">
        <v>3.4666239999999999</v>
      </c>
      <c r="Q107" s="34">
        <v>3.5217740000000002</v>
      </c>
      <c r="R107" s="34">
        <v>3.568568</v>
      </c>
      <c r="S107" s="34">
        <v>3.608069</v>
      </c>
      <c r="T107" s="34">
        <v>3.6412070000000001</v>
      </c>
      <c r="U107" s="34">
        <v>3.6687759999999998</v>
      </c>
      <c r="V107" s="34">
        <v>3.6914980000000002</v>
      </c>
      <c r="W107" s="34">
        <v>3.71</v>
      </c>
    </row>
    <row r="108" spans="2:25" x14ac:dyDescent="0.2">
      <c r="B108" s="26" t="s">
        <v>185</v>
      </c>
      <c r="C108" s="34"/>
      <c r="D108" s="34">
        <v>0</v>
      </c>
      <c r="E108" s="34">
        <v>0</v>
      </c>
      <c r="F108" s="34">
        <v>0</v>
      </c>
      <c r="G108" s="34">
        <v>0</v>
      </c>
      <c r="H108" s="34">
        <v>0</v>
      </c>
      <c r="I108" s="34">
        <v>0</v>
      </c>
      <c r="J108" s="34">
        <v>0</v>
      </c>
      <c r="K108" s="34">
        <v>0</v>
      </c>
      <c r="L108" s="34">
        <v>0</v>
      </c>
      <c r="M108" s="34">
        <v>0</v>
      </c>
      <c r="N108" s="34">
        <v>0</v>
      </c>
      <c r="O108" s="34">
        <v>0</v>
      </c>
      <c r="P108" s="34">
        <v>0</v>
      </c>
      <c r="Q108" s="34">
        <v>0</v>
      </c>
      <c r="R108" s="34">
        <v>0</v>
      </c>
      <c r="S108" s="34">
        <v>0</v>
      </c>
      <c r="T108" s="34">
        <v>0</v>
      </c>
      <c r="U108" s="34">
        <v>0</v>
      </c>
      <c r="V108" s="34">
        <v>0</v>
      </c>
      <c r="W108" s="34">
        <v>0</v>
      </c>
    </row>
    <row r="109" spans="2:25" x14ac:dyDescent="0.2">
      <c r="C109" s="118"/>
      <c r="D109" s="118"/>
      <c r="E109" s="118"/>
      <c r="F109" s="118"/>
      <c r="G109" s="118"/>
      <c r="H109" s="118"/>
      <c r="I109" s="118"/>
      <c r="J109" s="118"/>
      <c r="K109" s="118"/>
      <c r="L109" s="118"/>
      <c r="M109" s="118"/>
      <c r="N109" s="118"/>
      <c r="O109" s="118"/>
      <c r="P109" s="118"/>
      <c r="Q109" s="118"/>
      <c r="R109" s="118"/>
      <c r="S109" s="118"/>
      <c r="T109" s="118"/>
      <c r="U109" s="118"/>
      <c r="V109" s="118"/>
      <c r="W109" s="118"/>
    </row>
    <row r="110" spans="2:25" x14ac:dyDescent="0.2">
      <c r="B110" s="26" t="s">
        <v>96</v>
      </c>
      <c r="C110" s="31">
        <v>2021</v>
      </c>
      <c r="D110" s="31">
        <v>2022</v>
      </c>
      <c r="E110" s="31">
        <v>2023</v>
      </c>
      <c r="F110" s="31">
        <v>2024</v>
      </c>
      <c r="G110" s="31">
        <v>2025</v>
      </c>
      <c r="H110" s="31">
        <v>2026</v>
      </c>
      <c r="I110" s="31">
        <v>2027</v>
      </c>
      <c r="J110" s="31">
        <v>2028</v>
      </c>
      <c r="K110" s="31">
        <v>2029</v>
      </c>
      <c r="L110" s="31">
        <v>2030</v>
      </c>
      <c r="M110" s="31">
        <v>2031</v>
      </c>
      <c r="N110" s="31">
        <v>2032</v>
      </c>
      <c r="O110" s="31">
        <v>2033</v>
      </c>
      <c r="P110" s="31">
        <v>2034</v>
      </c>
      <c r="Q110" s="31">
        <v>2035</v>
      </c>
      <c r="R110" s="31">
        <v>2036</v>
      </c>
      <c r="S110" s="31">
        <v>2037</v>
      </c>
      <c r="T110" s="31">
        <v>2038</v>
      </c>
      <c r="U110" s="31">
        <v>2039</v>
      </c>
      <c r="V110" s="31">
        <v>2040</v>
      </c>
      <c r="W110" s="31">
        <v>2041</v>
      </c>
    </row>
    <row r="111" spans="2:25" x14ac:dyDescent="0.2">
      <c r="B111" s="26" t="s">
        <v>137</v>
      </c>
      <c r="C111" s="34">
        <v>3.8019160000000003E-2</v>
      </c>
      <c r="D111" s="34">
        <v>7.8597440000000005E-2</v>
      </c>
      <c r="E111" s="34">
        <v>5.9475470000000003E-2</v>
      </c>
      <c r="F111" s="34">
        <v>9.6876959999999998E-2</v>
      </c>
      <c r="G111" s="34">
        <v>0.11684023</v>
      </c>
      <c r="H111" s="34">
        <v>0.13811532000000001</v>
      </c>
      <c r="I111" s="34">
        <v>0.13659083</v>
      </c>
      <c r="J111" s="34">
        <v>0.14219135999999999</v>
      </c>
      <c r="K111" s="34">
        <v>0.1389396</v>
      </c>
      <c r="L111" s="34">
        <v>0.12512538000000001</v>
      </c>
      <c r="M111" s="34">
        <v>0.12849179999999999</v>
      </c>
      <c r="N111" s="34">
        <v>7.2085140000000006E-2</v>
      </c>
      <c r="O111" s="34">
        <v>6.8681389999999995E-2</v>
      </c>
      <c r="P111" s="34">
        <v>6.8049499999999999E-2</v>
      </c>
      <c r="Q111" s="34">
        <v>6.8080779999999994E-2</v>
      </c>
      <c r="R111" s="34">
        <v>6.7666320000000002E-2</v>
      </c>
      <c r="S111" s="34">
        <v>6.9220519999999994E-2</v>
      </c>
      <c r="T111" s="34">
        <v>6.6629789999999994E-2</v>
      </c>
      <c r="U111" s="34">
        <v>6.6434309999999996E-2</v>
      </c>
      <c r="V111" s="34">
        <v>6.6393380000000002E-2</v>
      </c>
      <c r="W111" s="34">
        <v>6.621254E-2</v>
      </c>
      <c r="X111" s="38"/>
    </row>
    <row r="112" spans="2:25" x14ac:dyDescent="0.2">
      <c r="B112" s="26" t="s">
        <v>138</v>
      </c>
      <c r="C112" s="34">
        <v>3.0337050000000001E-2</v>
      </c>
      <c r="D112" s="34">
        <v>3.594311E-2</v>
      </c>
      <c r="E112" s="34">
        <v>4.1166179999999997E-2</v>
      </c>
      <c r="F112" s="34">
        <v>1.594102E-2</v>
      </c>
      <c r="G112" s="34">
        <v>1.5850139999999999E-2</v>
      </c>
      <c r="H112" s="34">
        <v>3.7528779999999998E-2</v>
      </c>
      <c r="I112" s="34">
        <v>3.4050280000000002E-2</v>
      </c>
      <c r="J112" s="34">
        <v>4.734439E-2</v>
      </c>
      <c r="K112" s="34">
        <v>4.4075929999999999E-2</v>
      </c>
      <c r="L112" s="34">
        <v>5.08599E-2</v>
      </c>
      <c r="M112" s="34">
        <v>6.6237939999999995E-2</v>
      </c>
      <c r="N112" s="34">
        <v>6.0253769999999998E-2</v>
      </c>
      <c r="O112" s="34">
        <v>9.0030589999999994E-2</v>
      </c>
      <c r="P112" s="34">
        <v>7.2952390000000006E-2</v>
      </c>
      <c r="Q112" s="34">
        <v>7.7366660000000004E-2</v>
      </c>
      <c r="R112" s="34">
        <v>9.0839359999999994E-2</v>
      </c>
      <c r="S112" s="34">
        <v>9.9621100000000004E-2</v>
      </c>
      <c r="T112" s="34">
        <v>0.10965455</v>
      </c>
      <c r="U112" s="34">
        <v>9.8654409999999998E-2</v>
      </c>
      <c r="V112" s="34">
        <v>0.10313576000000001</v>
      </c>
      <c r="W112" s="34">
        <v>0.11073872999999999</v>
      </c>
      <c r="X112" s="34"/>
      <c r="Y112" s="98"/>
    </row>
    <row r="113" spans="2:24" x14ac:dyDescent="0.2">
      <c r="B113" s="26" t="s">
        <v>139</v>
      </c>
      <c r="C113" s="34">
        <v>1E-3</v>
      </c>
      <c r="D113" s="34">
        <v>7.5373060000000006E-2</v>
      </c>
      <c r="E113" s="34">
        <v>4.6882050000000001E-2</v>
      </c>
      <c r="F113" s="34">
        <v>5.4216720000000003E-2</v>
      </c>
      <c r="G113" s="34">
        <v>6.7343109999999998E-2</v>
      </c>
      <c r="H113" s="34">
        <v>7.3281109999999997E-2</v>
      </c>
      <c r="I113" s="34">
        <v>6.3735609999999998E-2</v>
      </c>
      <c r="J113" s="34">
        <v>7.1999019999999997E-2</v>
      </c>
      <c r="K113" s="34">
        <v>7.7920139999999999E-2</v>
      </c>
      <c r="L113" s="34">
        <v>7.3665930000000004E-2</v>
      </c>
      <c r="M113" s="34">
        <v>9.2833230000000003E-2</v>
      </c>
      <c r="N113" s="34">
        <v>9.7499160000000001E-2</v>
      </c>
      <c r="O113" s="34">
        <v>0.10431984</v>
      </c>
      <c r="P113" s="34">
        <v>7.7692949999999997E-2</v>
      </c>
      <c r="Q113" s="34">
        <v>8.1896739999999996E-2</v>
      </c>
      <c r="R113" s="34">
        <v>7.226059E-2</v>
      </c>
      <c r="S113" s="34">
        <v>7.2475159999999997E-2</v>
      </c>
      <c r="T113" s="34">
        <v>7.2704249999999998E-2</v>
      </c>
      <c r="U113" s="34">
        <v>7.292216E-2</v>
      </c>
      <c r="V113" s="34">
        <v>7.3112590000000005E-2</v>
      </c>
      <c r="W113" s="34">
        <v>7.3435849999999997E-2</v>
      </c>
      <c r="X113" s="38"/>
    </row>
    <row r="114" spans="2:24" x14ac:dyDescent="0.2">
      <c r="B114" s="26" t="s">
        <v>140</v>
      </c>
      <c r="C114" s="34">
        <v>8.3818409999999996E-2</v>
      </c>
      <c r="D114" s="34">
        <v>6.9391629999999996E-2</v>
      </c>
      <c r="E114" s="34">
        <v>4.6492409999999998E-2</v>
      </c>
      <c r="F114" s="34">
        <v>4.9193250000000001E-2</v>
      </c>
      <c r="G114" s="34">
        <v>5.6712739999999998E-2</v>
      </c>
      <c r="H114" s="34">
        <v>6.4011879999999993E-2</v>
      </c>
      <c r="I114" s="34">
        <v>6.4931299999999997E-2</v>
      </c>
      <c r="J114" s="34">
        <v>6.3912460000000004E-2</v>
      </c>
      <c r="K114" s="34">
        <v>6.1693610000000003E-2</v>
      </c>
      <c r="L114" s="34">
        <v>5.4426040000000002E-2</v>
      </c>
      <c r="M114" s="34">
        <v>8.556656E-2</v>
      </c>
      <c r="N114" s="34">
        <v>8.1653809999999993E-2</v>
      </c>
      <c r="O114" s="34">
        <v>7.5878589999999996E-2</v>
      </c>
      <c r="P114" s="34">
        <v>6.1356269999999997E-2</v>
      </c>
      <c r="Q114" s="34">
        <v>8.1797350000000005E-2</v>
      </c>
      <c r="R114" s="34">
        <v>8.4442320000000001E-2</v>
      </c>
      <c r="S114" s="34">
        <v>6.0270190000000001E-2</v>
      </c>
      <c r="T114" s="34">
        <v>7.2970759999999996E-2</v>
      </c>
      <c r="U114" s="34">
        <v>5.7315959999999999E-2</v>
      </c>
      <c r="V114" s="34">
        <v>6.0796679999999999E-2</v>
      </c>
      <c r="W114" s="34">
        <v>5.7293660000000003E-2</v>
      </c>
      <c r="X114" s="38"/>
    </row>
    <row r="115" spans="2:24" x14ac:dyDescent="0.2">
      <c r="C115" s="38"/>
      <c r="D115" s="38"/>
      <c r="E115" s="34"/>
      <c r="F115" s="34"/>
      <c r="G115" s="38"/>
      <c r="H115" s="118"/>
      <c r="I115" s="118"/>
      <c r="J115" s="118"/>
      <c r="K115" s="118"/>
      <c r="L115" s="118"/>
      <c r="M115" s="118"/>
      <c r="N115" s="118"/>
      <c r="O115" s="118"/>
      <c r="P115" s="118"/>
      <c r="Q115" s="118"/>
      <c r="R115" s="118"/>
      <c r="S115" s="118"/>
      <c r="T115" s="118"/>
      <c r="U115" s="118"/>
      <c r="V115" s="118"/>
      <c r="W115" s="118"/>
      <c r="X115" s="38"/>
    </row>
    <row r="116" spans="2:24" x14ac:dyDescent="0.2">
      <c r="E116" s="34"/>
      <c r="F116" s="34"/>
      <c r="G116" s="121"/>
      <c r="H116" s="121"/>
      <c r="I116" s="121"/>
      <c r="J116" s="121"/>
      <c r="K116" s="121"/>
      <c r="L116" s="121"/>
      <c r="M116" s="121"/>
      <c r="N116" s="121"/>
      <c r="O116" s="121"/>
      <c r="P116" s="121"/>
      <c r="Q116" s="121"/>
      <c r="R116" s="121"/>
      <c r="S116" s="121"/>
      <c r="T116" s="121"/>
      <c r="U116" s="121"/>
      <c r="V116" s="121"/>
      <c r="W116" s="121"/>
    </row>
    <row r="117" spans="2:24" x14ac:dyDescent="0.2">
      <c r="D117" s="259"/>
      <c r="E117" s="259"/>
      <c r="F117" s="259"/>
      <c r="G117" s="259"/>
    </row>
    <row r="118" spans="2:24" x14ac:dyDescent="0.2">
      <c r="D118" s="259"/>
      <c r="E118" s="259"/>
      <c r="F118" s="259"/>
      <c r="G118" s="259"/>
      <c r="H118" s="259"/>
      <c r="I118" s="259"/>
      <c r="J118" s="259"/>
      <c r="K118" s="259"/>
      <c r="L118" s="259"/>
      <c r="M118" s="259"/>
      <c r="N118" s="259"/>
      <c r="O118" s="259"/>
      <c r="P118" s="259"/>
      <c r="Q118" s="259"/>
      <c r="R118" s="259"/>
      <c r="S118" s="259"/>
      <c r="T118" s="259"/>
      <c r="U118" s="121"/>
      <c r="V118" s="121"/>
      <c r="W118" s="121"/>
    </row>
    <row r="119" spans="2:24" x14ac:dyDescent="0.2">
      <c r="E119" s="34"/>
      <c r="F119" s="34"/>
      <c r="G119" s="121"/>
      <c r="H119" s="121"/>
      <c r="I119" s="121"/>
      <c r="J119" s="121"/>
      <c r="K119" s="121"/>
      <c r="L119" s="121"/>
      <c r="M119" s="121"/>
      <c r="N119" s="121"/>
      <c r="O119" s="121"/>
      <c r="P119" s="121"/>
      <c r="Q119" s="121"/>
      <c r="R119" s="121"/>
      <c r="S119" s="121"/>
      <c r="T119" s="121"/>
      <c r="U119" s="121"/>
      <c r="V119" s="121"/>
      <c r="W119" s="121"/>
      <c r="X119" s="121"/>
    </row>
    <row r="120" spans="2:24" x14ac:dyDescent="0.2">
      <c r="G120" s="121"/>
      <c r="H120" s="121"/>
      <c r="I120" s="121"/>
      <c r="J120" s="121"/>
      <c r="K120" s="121"/>
      <c r="L120" s="121"/>
      <c r="M120" s="121"/>
      <c r="N120" s="121"/>
      <c r="O120" s="121"/>
      <c r="P120" s="121"/>
      <c r="Q120" s="121"/>
      <c r="R120" s="121"/>
      <c r="S120" s="121"/>
      <c r="T120" s="121"/>
      <c r="U120" s="121"/>
      <c r="V120" s="121"/>
      <c r="W120" s="121"/>
      <c r="X120" s="121"/>
    </row>
    <row r="121" spans="2:24" x14ac:dyDescent="0.2">
      <c r="E121" s="34"/>
      <c r="F121" s="98"/>
      <c r="G121" s="98"/>
      <c r="H121" s="98"/>
      <c r="I121" s="98"/>
      <c r="J121" s="98"/>
      <c r="K121" s="98"/>
      <c r="L121" s="98"/>
      <c r="M121" s="98"/>
      <c r="N121" s="98"/>
      <c r="O121" s="98"/>
      <c r="P121" s="98"/>
      <c r="Q121" s="98"/>
      <c r="R121" s="98"/>
      <c r="S121" s="98"/>
      <c r="T121" s="98"/>
      <c r="U121" s="98"/>
      <c r="V121" s="98"/>
      <c r="W121" s="98"/>
      <c r="X121" s="121"/>
    </row>
    <row r="122" spans="2:24" x14ac:dyDescent="0.2">
      <c r="E122" s="34"/>
      <c r="F122" s="34"/>
      <c r="G122" s="121"/>
      <c r="H122" s="121"/>
      <c r="I122" s="121"/>
      <c r="J122" s="121"/>
      <c r="K122" s="121"/>
      <c r="L122" s="121"/>
      <c r="M122" s="121"/>
      <c r="N122" s="121"/>
      <c r="O122" s="121"/>
      <c r="P122" s="121"/>
      <c r="Q122" s="121"/>
      <c r="R122" s="121"/>
      <c r="S122" s="121"/>
      <c r="T122" s="121"/>
      <c r="U122" s="121"/>
      <c r="V122" s="121"/>
      <c r="W122" s="121"/>
      <c r="X122" s="121"/>
    </row>
    <row r="123" spans="2:24" x14ac:dyDescent="0.2">
      <c r="G123" s="121"/>
      <c r="H123" s="121"/>
      <c r="I123" s="121"/>
      <c r="J123" s="121"/>
      <c r="K123" s="121"/>
      <c r="L123" s="121"/>
      <c r="M123" s="121"/>
      <c r="N123" s="121"/>
      <c r="O123" s="121"/>
      <c r="P123" s="121"/>
      <c r="Q123" s="121"/>
      <c r="R123" s="121"/>
      <c r="S123" s="121"/>
      <c r="T123" s="121"/>
      <c r="U123" s="121"/>
      <c r="V123" s="121"/>
      <c r="W123" s="121"/>
      <c r="X123" s="121"/>
    </row>
  </sheetData>
  <conditionalFormatting sqref="U10:W43 U45:W52 U82:W103 U105:W129 U54:W80">
    <cfRule type="expression" dxfId="38" priority="1">
      <formula>U$10&gt;($C$6+10)</formula>
    </cfRule>
  </conditionalFormatting>
  <pageMargins left="0.7" right="0.7" top="0.75" bottom="0.75" header="0.3" footer="0.3"/>
  <pageSetup paperSize="9" orientation="portrait" r:id="rId1"/>
  <ignoredErrors>
    <ignoredError sqref="C5:C6 C46:C47" unlockedFormula="1"/>
    <ignoredError sqref="V35:W35 V56:W57 V66:W69 V76:W77 V97:W98 U84:U86 V83:W86 V100:W100 U88:U94 V88:W96" evalErro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FFC000"/>
  </sheetPr>
  <dimension ref="A1:AY135"/>
  <sheetViews>
    <sheetView zoomScaleNormal="100" workbookViewId="0"/>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MT</v>
      </c>
    </row>
    <row r="4" spans="1:51" x14ac:dyDescent="0.2">
      <c r="B4" s="64" t="s">
        <v>38</v>
      </c>
      <c r="C4" s="21"/>
    </row>
    <row r="5" spans="1:51" x14ac:dyDescent="0.2">
      <c r="A5" s="29"/>
      <c r="B5" s="22" t="str">
        <f>'Input data'!B5</f>
        <v>Last year before the adjustment</v>
      </c>
      <c r="C5" s="23">
        <f>+'Input data'!C5</f>
        <v>2024</v>
      </c>
      <c r="J5" s="53"/>
      <c r="M5" s="38"/>
    </row>
    <row r="6" spans="1:51" x14ac:dyDescent="0.2">
      <c r="A6" s="29"/>
      <c r="B6" s="65" t="s">
        <v>44</v>
      </c>
      <c r="C6" s="23">
        <f>+C5+'Criteria results'!$F$5</f>
        <v>2028</v>
      </c>
      <c r="E6" s="43"/>
      <c r="F6" s="29"/>
    </row>
    <row r="7" spans="1:51" x14ac:dyDescent="0.2">
      <c r="A7" s="29"/>
      <c r="B7" s="24" t="s">
        <v>39</v>
      </c>
      <c r="C7" s="66">
        <f>C5+'Criteria results'!$F$5+10</f>
        <v>2038</v>
      </c>
      <c r="E7" s="43"/>
      <c r="F7" s="29"/>
      <c r="G7" s="53"/>
      <c r="H7" s="53"/>
      <c r="I7" s="53"/>
      <c r="J7" s="53"/>
      <c r="K7" s="53"/>
      <c r="L7" s="53"/>
      <c r="M7" s="53"/>
    </row>
    <row r="8" spans="1:51" x14ac:dyDescent="0.2">
      <c r="A8" s="29"/>
      <c r="C8" s="29"/>
      <c r="E8" s="43"/>
      <c r="F8" s="29"/>
      <c r="G8" s="29"/>
      <c r="H8" s="29"/>
      <c r="I8" s="29"/>
      <c r="J8" s="29"/>
      <c r="K8" s="29"/>
      <c r="L8" s="29"/>
      <c r="M8" s="29"/>
      <c r="N8" s="29"/>
      <c r="O8" s="29"/>
      <c r="P8" s="29"/>
      <c r="Q8" s="29"/>
      <c r="R8" s="29"/>
      <c r="S8" s="29"/>
      <c r="T8" s="29"/>
      <c r="U8" s="29"/>
      <c r="V8" s="29"/>
      <c r="W8" s="29"/>
    </row>
    <row r="9" spans="1:51" s="67"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63"/>
      <c r="G11" s="263"/>
      <c r="H11" s="263"/>
      <c r="I11" s="263"/>
      <c r="J11" s="263"/>
      <c r="K11" s="263"/>
      <c r="L11" s="263"/>
      <c r="M11" s="263"/>
      <c r="N11" s="263"/>
      <c r="O11" s="263"/>
      <c r="P11" s="263"/>
      <c r="Q11" s="263"/>
      <c r="R11" s="263"/>
      <c r="S11" s="263"/>
      <c r="T11" s="263"/>
      <c r="U11" s="263"/>
      <c r="V11" s="263"/>
      <c r="W11" s="263"/>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-5.6509479999999996</v>
      </c>
      <c r="D12" s="2">
        <f>'Input data'!D13</f>
        <v>-4.3552039999999996</v>
      </c>
      <c r="E12" s="2">
        <f>'Input data'!E13</f>
        <v>-3.790994</v>
      </c>
      <c r="F12" s="2">
        <f>'Input data'!F13</f>
        <v>-2.897243</v>
      </c>
      <c r="G12" s="3">
        <f>IF(G10&lt;=$C$6,
IF(AND(F87=1,F77&lt;=-3.05,'Criteria results'!$F$6&lt;0.5),F12+0.5,
IF(AND(F78&lt;=-1.55,'Criteria results'!$F$5=4,'Criteria results'!$F$6&lt;0.4),F12+0.4,
IF(AND(F78&lt;=-1.55,'Criteria results'!$F$5=7,'Criteria results'!$F$6&lt;0.25),F12+0.25,
F12+'Criteria results'!$F$6))),F12)</f>
        <v>-2.397243</v>
      </c>
      <c r="H12" s="3">
        <f>IF(H10&lt;=$C$6,
IF(AND(G87=1,G77&lt;=-3.05,'Criteria results'!$F$6&lt;0.5),G12+0.5,
IF(AND(G78&lt;=-1.55,'Criteria results'!$F$5=4,'Criteria results'!$F$6&lt;0.4),G12+0.4,
IF(AND(G78&lt;=-1.55,'Criteria results'!$F$5=7,'Criteria results'!$F$6&lt;0.25),G12+0.25,
G12+'Criteria results'!$F$6))),G12)</f>
        <v>-1.897243</v>
      </c>
      <c r="I12" s="3">
        <f>IF(I10&lt;=$C$6,
IF(AND(H87=1,H77&lt;=-3.05,'Criteria results'!$F$6&lt;0.5),H12+0.5,
IF(AND(H78&lt;=-1.55,'Criteria results'!$F$5=4,'Criteria results'!$F$6&lt;0.4),H12+0.4,
IF(AND(H78&lt;=-1.55,'Criteria results'!$F$5=7,'Criteria results'!$F$6&lt;0.25),H12+0.25,
H12+'Criteria results'!$F$6))),H12)</f>
        <v>-1.397243</v>
      </c>
      <c r="J12" s="3">
        <f>IF(J10&lt;=$C$6,
IF(AND(I87=1,I77&lt;=-3.05,'Criteria results'!$F$6&lt;0.5+J91),I12+0.5+J91,
IF(AND(I78&lt;=-1.55,'Criteria results'!$F$5=4,'Criteria results'!$F$6&lt;0.4),I12+0.4,
IF(AND(I78&lt;=-1.55,'Criteria results'!$F$5=7,'Criteria results'!$F$6&lt;0.25),I12+0.25,
I12+'Criteria results'!$F$6))),I12)</f>
        <v>-0.86632273651979652</v>
      </c>
      <c r="K12" s="119">
        <f>IF(K10&lt;=$C$6,
IF(AND(J87=1,J77&lt;=-3.05,'Criteria results'!$F$6&lt;0.5+K91),J12+0.5+K91,
IF(AND(J78&lt;=-1.55,'Criteria results'!$F$5=4,'Criteria results'!$F$6&lt;0.4),J12+0.4,
IF(AND(J78&lt;=-1.55,'Criteria results'!$F$5=7,'Criteria results'!$F$6&lt;0.25),J12+0.25,
J12+'Criteria results'!$F$6))),J12)</f>
        <v>-0.86632273651979652</v>
      </c>
      <c r="L12" s="119">
        <f>IF(L10&lt;=$C$6,
IF(AND(K87=1,K77&lt;=-3.05,'Criteria results'!$F$6&lt;0.5+L91),K12+0.5+L91,
IF(AND(K78&lt;=-1.55,'Criteria results'!$F$5=4,'Criteria results'!$F$6&lt;0.4),K12+0.4,
IF(AND(K78&lt;=-1.55,'Criteria results'!$F$5=7,'Criteria results'!$F$6&lt;0.25),K12+0.25,
K12+'Criteria results'!$F$6))),K12)</f>
        <v>-0.86632273651979652</v>
      </c>
      <c r="M12" s="119">
        <f>IF(M10&lt;=$C$6,
IF(AND(L87=1,L77&lt;=-3.05,'Criteria results'!$F$6&lt;0.5+M91),L12+0.5+M91,
IF(AND(L78&lt;=-1.55,'Criteria results'!$F$5=4,'Criteria results'!$F$6&lt;0.4),L12+0.4,
IF(AND(L78&lt;=-1.55,'Criteria results'!$F$5=7,'Criteria results'!$F$6&lt;0.25),L12+0.25,
L12+'Criteria results'!$F$6))),L12)</f>
        <v>-0.86632273651979652</v>
      </c>
      <c r="N12" s="119">
        <f>M12</f>
        <v>-0.86632273651979652</v>
      </c>
      <c r="O12" s="119">
        <f t="shared" ref="O12:W12" si="0">N12</f>
        <v>-0.86632273651979652</v>
      </c>
      <c r="P12" s="119">
        <f t="shared" si="0"/>
        <v>-0.86632273651979652</v>
      </c>
      <c r="Q12" s="119">
        <f t="shared" si="0"/>
        <v>-0.86632273651979652</v>
      </c>
      <c r="R12" s="119">
        <f t="shared" si="0"/>
        <v>-0.86632273651979652</v>
      </c>
      <c r="S12" s="119">
        <f t="shared" si="0"/>
        <v>-0.86632273651979652</v>
      </c>
      <c r="T12" s="119">
        <f t="shared" si="0"/>
        <v>-0.86632273651979652</v>
      </c>
      <c r="U12" s="119">
        <f t="shared" si="0"/>
        <v>-0.86632273651979652</v>
      </c>
      <c r="V12" s="119">
        <f t="shared" si="0"/>
        <v>-0.86632273651979652</v>
      </c>
      <c r="W12" s="119">
        <f t="shared" si="0"/>
        <v>-0.86632273651979652</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305" t="s">
        <v>192</v>
      </c>
      <c r="C13" s="29"/>
      <c r="D13" s="29"/>
      <c r="E13" s="29"/>
      <c r="F13" s="263"/>
      <c r="G13" s="263">
        <f>G12-F12</f>
        <v>0.5</v>
      </c>
      <c r="H13" s="263">
        <f t="shared" ref="H13:W13" si="1">H12-G12</f>
        <v>0.5</v>
      </c>
      <c r="I13" s="263">
        <f t="shared" si="1"/>
        <v>0.5</v>
      </c>
      <c r="J13" s="263">
        <f t="shared" si="1"/>
        <v>0.53092026348020349</v>
      </c>
      <c r="K13" s="263">
        <f t="shared" si="1"/>
        <v>0</v>
      </c>
      <c r="L13" s="263">
        <f t="shared" si="1"/>
        <v>0</v>
      </c>
      <c r="M13" s="263">
        <f t="shared" si="1"/>
        <v>0</v>
      </c>
      <c r="N13" s="263">
        <f t="shared" si="1"/>
        <v>0</v>
      </c>
      <c r="O13" s="263">
        <f t="shared" si="1"/>
        <v>0</v>
      </c>
      <c r="P13" s="263">
        <f t="shared" si="1"/>
        <v>0</v>
      </c>
      <c r="Q13" s="263">
        <f t="shared" si="1"/>
        <v>0</v>
      </c>
      <c r="R13" s="263">
        <f t="shared" si="1"/>
        <v>0</v>
      </c>
      <c r="S13" s="263">
        <f t="shared" si="1"/>
        <v>0</v>
      </c>
      <c r="T13" s="263">
        <f t="shared" si="1"/>
        <v>0</v>
      </c>
      <c r="U13" s="263">
        <f t="shared" si="1"/>
        <v>0</v>
      </c>
      <c r="V13" s="263">
        <f t="shared" si="1"/>
        <v>0</v>
      </c>
      <c r="W13" s="263">
        <f t="shared" si="1"/>
        <v>0</v>
      </c>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row>
    <row r="14" spans="1:51" x14ac:dyDescent="0.2">
      <c r="B14" s="26" t="s">
        <v>49</v>
      </c>
      <c r="C14" s="1">
        <f>'Input data'!C14</f>
        <v>0</v>
      </c>
      <c r="D14" s="2">
        <f>'Input data'!D14</f>
        <v>0</v>
      </c>
      <c r="E14" s="2">
        <f>'Input data'!E14</f>
        <v>0</v>
      </c>
      <c r="F14" s="2">
        <f>'Input data'!F14</f>
        <v>0</v>
      </c>
      <c r="G14" s="2">
        <f>'Input data'!G14</f>
        <v>0</v>
      </c>
      <c r="H14" s="2">
        <f>0</f>
        <v>0</v>
      </c>
      <c r="I14" s="2">
        <f>0</f>
        <v>0</v>
      </c>
      <c r="J14" s="2">
        <f>0</f>
        <v>0</v>
      </c>
      <c r="K14" s="2">
        <f>0</f>
        <v>0</v>
      </c>
      <c r="L14" s="2">
        <f>0</f>
        <v>0</v>
      </c>
      <c r="M14" s="2">
        <f>0</f>
        <v>0</v>
      </c>
      <c r="N14" s="2">
        <f>0</f>
        <v>0</v>
      </c>
      <c r="O14" s="2">
        <f>0</f>
        <v>0</v>
      </c>
      <c r="P14" s="2">
        <f>0</f>
        <v>0</v>
      </c>
      <c r="Q14" s="2">
        <f>0</f>
        <v>0</v>
      </c>
      <c r="R14" s="2">
        <f>0</f>
        <v>0</v>
      </c>
      <c r="S14" s="2">
        <f>0</f>
        <v>0</v>
      </c>
      <c r="T14" s="2">
        <f>0</f>
        <v>0</v>
      </c>
      <c r="U14" s="2">
        <f>0</f>
        <v>0</v>
      </c>
      <c r="V14" s="2">
        <f>0</f>
        <v>0</v>
      </c>
      <c r="W14" s="2">
        <f>0</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x14ac:dyDescent="0.2">
      <c r="B15" s="26" t="s">
        <v>87</v>
      </c>
      <c r="C15" s="1">
        <f>'Input data'!C15</f>
        <v>0.80446119999999999</v>
      </c>
      <c r="D15" s="2">
        <f>'Input data'!D15</f>
        <v>-1.3102750000000001</v>
      </c>
      <c r="E15" s="2">
        <f>'Input data'!E15</f>
        <v>-0.94044729999999999</v>
      </c>
      <c r="F15" s="2">
        <f>'Input data'!F15</f>
        <v>1.1851970000000001</v>
      </c>
      <c r="G15" s="2">
        <f>'Input data'!G15</f>
        <v>6.6727599999999998E-2</v>
      </c>
      <c r="H15" s="2">
        <f>'Input data'!H15</f>
        <v>0</v>
      </c>
      <c r="I15" s="2">
        <f>'Input data'!I15</f>
        <v>0</v>
      </c>
      <c r="J15" s="2">
        <f>'Input data'!J15</f>
        <v>0</v>
      </c>
      <c r="K15" s="2">
        <f>'Input data'!K15</f>
        <v>0</v>
      </c>
      <c r="L15" s="2">
        <f>'Input data'!L15</f>
        <v>0</v>
      </c>
      <c r="M15" s="2">
        <f>'Input data'!M15</f>
        <v>0</v>
      </c>
      <c r="N15" s="2">
        <f>'Input data'!N15</f>
        <v>0</v>
      </c>
      <c r="O15" s="2">
        <f>'Input data'!O15</f>
        <v>0</v>
      </c>
      <c r="P15" s="2">
        <f>'Input data'!P15</f>
        <v>0</v>
      </c>
      <c r="Q15" s="2">
        <f>'Input data'!Q15</f>
        <v>0</v>
      </c>
      <c r="R15" s="2">
        <f>'Input data'!R15</f>
        <v>0</v>
      </c>
      <c r="S15" s="2">
        <f>'Input data'!S15</f>
        <v>0</v>
      </c>
      <c r="T15" s="2">
        <f>'Input data'!T15</f>
        <v>0</v>
      </c>
      <c r="U15" s="2">
        <f>'Input data'!U15</f>
        <v>0</v>
      </c>
      <c r="V15" s="2">
        <f>'Input data'!V15</f>
        <v>0</v>
      </c>
      <c r="W15" s="2">
        <f>'Input data'!W15</f>
        <v>0</v>
      </c>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60"/>
    </row>
    <row r="16" spans="1:51" ht="5.65" customHeight="1" x14ac:dyDescent="0.2">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ht="11.25" customHeight="1" x14ac:dyDescent="0.2">
      <c r="B17" s="30" t="str">
        <f>'Input data'!B19</f>
        <v>Cost of ageing and selected public revenue (based on the Commission-Council 2024 Ageing Report ("AR 2024"))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
        <v>52</v>
      </c>
      <c r="C18" s="1">
        <f>'Input data'!C20</f>
        <v>0</v>
      </c>
      <c r="D18" s="101">
        <f>'Input data'!D20</f>
        <v>16.93779</v>
      </c>
      <c r="E18" s="101">
        <f>'Input data'!E20</f>
        <v>16.704159999999998</v>
      </c>
      <c r="F18" s="101">
        <f>'Input data'!F20</f>
        <v>16.665520000000001</v>
      </c>
      <c r="G18" s="101">
        <f>'Input data'!G20</f>
        <v>16.600960000000001</v>
      </c>
      <c r="H18" s="101">
        <f>'Input data'!H20</f>
        <v>16.335190000000001</v>
      </c>
      <c r="I18" s="101">
        <f>'Input data'!I20</f>
        <v>16.23882</v>
      </c>
      <c r="J18" s="101">
        <f>'Input data'!J20</f>
        <v>16.156209999999998</v>
      </c>
      <c r="K18" s="101">
        <f>'Input data'!K20</f>
        <v>16.094360000000002</v>
      </c>
      <c r="L18" s="101">
        <f>'Input data'!L20</f>
        <v>16.035070000000001</v>
      </c>
      <c r="M18" s="101">
        <f>'Input data'!M20</f>
        <v>15.982539999999998</v>
      </c>
      <c r="N18" s="101">
        <f>'Input data'!N20</f>
        <v>15.940760000000001</v>
      </c>
      <c r="O18" s="101">
        <f>'Input data'!O20</f>
        <v>15.91657</v>
      </c>
      <c r="P18" s="101">
        <f>'Input data'!P20</f>
        <v>15.907859999999999</v>
      </c>
      <c r="Q18" s="101">
        <f>'Input data'!Q20</f>
        <v>15.914770000000001</v>
      </c>
      <c r="R18" s="101">
        <f>'Input data'!R20</f>
        <v>15.935979999999999</v>
      </c>
      <c r="S18" s="101">
        <f>'Input data'!S20</f>
        <v>15.96696</v>
      </c>
      <c r="T18" s="101">
        <f>'Input data'!T20</f>
        <v>16.00554</v>
      </c>
      <c r="U18" s="101">
        <f>'Input data'!U20</f>
        <v>16.059809999999999</v>
      </c>
      <c r="V18" s="101">
        <f>'Input data'!V20</f>
        <v>16.1328</v>
      </c>
      <c r="W18" s="101">
        <f>'Input data'!W20</f>
        <v>16.22383</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0" x14ac:dyDescent="0.2">
      <c r="A19" s="61"/>
      <c r="B19" s="26" t="s">
        <v>58</v>
      </c>
      <c r="C19" s="1">
        <f>'Input data'!C26</f>
        <v>0.52142140000000003</v>
      </c>
      <c r="D19" s="101">
        <f>'Input data'!D26</f>
        <v>0.43654569999999998</v>
      </c>
      <c r="E19" s="101">
        <f>'Input data'!E26</f>
        <v>0.43370209999999998</v>
      </c>
      <c r="F19" s="101">
        <f>'Input data'!F26</f>
        <v>0.43085859999999998</v>
      </c>
      <c r="G19" s="101">
        <f>'Input data'!G26</f>
        <v>0.42801499999999998</v>
      </c>
      <c r="H19" s="101">
        <f>'Input data'!H26</f>
        <v>0.42517149999999998</v>
      </c>
      <c r="I19" s="101">
        <f>'Input data'!I26</f>
        <v>0.42232789999999998</v>
      </c>
      <c r="J19" s="101">
        <f>'Input data'!J26</f>
        <v>0.41948429999999998</v>
      </c>
      <c r="K19" s="101">
        <f>'Input data'!K26</f>
        <v>0.41664079999999998</v>
      </c>
      <c r="L19" s="101">
        <f>'Input data'!L26</f>
        <v>0.41379729999999998</v>
      </c>
      <c r="M19" s="101">
        <f>'Input data'!M26</f>
        <v>0.41095369999999998</v>
      </c>
      <c r="N19" s="101">
        <f>'Input data'!N26</f>
        <v>0.40811009999999998</v>
      </c>
      <c r="O19" s="101">
        <f>'Input data'!O26</f>
        <v>0.40526659999999998</v>
      </c>
      <c r="P19" s="101">
        <f>'Input data'!P26</f>
        <v>0.40242309999999998</v>
      </c>
      <c r="Q19" s="101">
        <f>'Input data'!Q26</f>
        <v>0.39957949999999998</v>
      </c>
      <c r="R19" s="101">
        <f>'Input data'!R26</f>
        <v>0.39673599999999998</v>
      </c>
      <c r="S19" s="101">
        <f>'Input data'!S26</f>
        <v>0.39389239999999998</v>
      </c>
      <c r="T19" s="101">
        <f>'Input data'!T26</f>
        <v>0.39104889999999998</v>
      </c>
      <c r="U19" s="101">
        <f>'Input data'!U26</f>
        <v>0.38820529999999998</v>
      </c>
      <c r="V19" s="101">
        <f>'Input data'!V26</f>
        <v>0.38536179999999998</v>
      </c>
      <c r="W19" s="101">
        <f>'Input data'!W26</f>
        <v>0.38251829999999998</v>
      </c>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1" spans="1:50" x14ac:dyDescent="0.2">
      <c r="B21" s="28" t="s">
        <v>88</v>
      </c>
    </row>
    <row r="22" spans="1:50" ht="10.5" customHeight="1" x14ac:dyDescent="0.2">
      <c r="B22" s="30" t="s">
        <v>89</v>
      </c>
    </row>
    <row r="23" spans="1:50" x14ac:dyDescent="0.2">
      <c r="B23" s="26" t="s">
        <v>61</v>
      </c>
      <c r="C23" s="34">
        <f>'Input data'!C31</f>
        <v>13.624549999999999</v>
      </c>
      <c r="D23" s="100">
        <f>'Baseline NFPC'!D22</f>
        <v>14.724809936189498</v>
      </c>
      <c r="E23" s="100">
        <f>'Baseline NFPC'!E22</f>
        <v>15.551449869647822</v>
      </c>
      <c r="F23" s="100">
        <f>'Baseline NFPC'!F22</f>
        <v>16.262505701747756</v>
      </c>
      <c r="G23" s="34">
        <f>IF(AND(G50&gt;1,F50&gt;1),IF(AND(G50&gt;0,F50&gt;0),G27*(G51/100+1),0)+IF(G50&gt;0,F23*(1+G52/100),0)-F23*(1+'Input data'!G30/100),IF(G50=1,G27,F23*(1+G52/100)))</f>
        <v>16.989471906377169</v>
      </c>
      <c r="H23" s="34">
        <f>IF(AND(H50&gt;1,G50&gt;1),IF(AND(H50&gt;0,G50&gt;0),H27*(H51/100+1),0)+IF(H50&gt;0,G23*(1+H52/100),0)-G23*(1+'Input data'!H30/100),IF(H50=1,H27,G23*(1+H52/100)))</f>
        <v>17.763867540579813</v>
      </c>
      <c r="I23" s="34">
        <f>IF(AND(I50&gt;1,H50&gt;1),IF(AND(I50&gt;0,H50&gt;0),I27*(I51/100+1),0)+IF(I50&gt;0,H23*(1+I52/100),0)-H23*(1+'Input data'!I30/100),IF(I50=1,I27,H23*(1+I52/100)))</f>
        <v>18.586045340669532</v>
      </c>
      <c r="J23" s="34">
        <f>IF(AND(J50&gt;1,I50&gt;1),IF(AND(J50&gt;0,I50&gt;0),J27*(J51/100+1),0)+IF(J50&gt;0,I23*(1+J52/100),0)-I23*(1+'Input data'!J30/100),IF(J50=1,J27,I23*(1+J52/100)))</f>
        <v>19.435209552897312</v>
      </c>
      <c r="K23" s="34">
        <f>IF(AND(K50&gt;1,J50&gt;1),IF(AND(K50&gt;0,J50&gt;0),K27*(K51/100+1),0)+IF(K50&gt;0,J23*(1+K52/100),0)-J23*(1+'Input data'!K30/100),IF(K50=1,K27,J23*(1+K52/100)))</f>
        <v>20.396456415642856</v>
      </c>
      <c r="L23" s="34">
        <f>IF(AND(L50&gt;1,K50&gt;1),IF(AND(L50&gt;0,K50&gt;0),L27*(L51/100+1),0)+IF(L50&gt;0,K23*(1+L52/100),0)-K23*(1+'Input data'!L30/100),IF(L50=1,L27,K23*(1+L52/100)))</f>
        <v>21.385791221299147</v>
      </c>
      <c r="M23" s="34">
        <f>IF(AND(M50&gt;1,L50&gt;1),IF(AND(M50&gt;0,L50&gt;0),M27*(M51/100+1),0)+IF(M50&gt;0,L23*(1+M52/100),0)-L23*(1+'Input data'!M30/100),IF(M50=1,M27,L23*(1+M52/100)))</f>
        <v>22.389391807879576</v>
      </c>
      <c r="N23" s="34">
        <f>IF(AND(N50&gt;1,M50&gt;1),IF(AND(N50&gt;0,M50&gt;0),N27*(N51/100+1),0)+IF(N50&gt;0,M23*(1+N52/100),0)-M23*(1+'Input data'!N30/100),IF(N50=1,N27,M23*(1+N52/100)))</f>
        <v>23.323058328583588</v>
      </c>
      <c r="O23" s="34">
        <f>IF(AND(O50&gt;1,N50&gt;1),IF(AND(O50&gt;0,N50&gt;0),O27*(O51/100+1),0)+IF(O50&gt;0,N23*(1+O52/100),0)-N23*(1+'Input data'!O30/100),IF(O50=1,O27,N23*(1+O52/100)))</f>
        <v>24.283017683863761</v>
      </c>
      <c r="P23" s="34">
        <f>IF(AND(P50&gt;1,O50&gt;1),IF(AND(P50&gt;0,O50&gt;0),P27*(P51/100+1),0)+IF(P50&gt;0,O23*(1+P52/100),0)-O23*(1+'Input data'!P30/100),IF(P50=1,P27,O23*(1+P52/100)))</f>
        <v>25.200120726314843</v>
      </c>
      <c r="Q23" s="34">
        <f>IF(AND(Q50&gt;1,P50&gt;1),IF(AND(Q50&gt;0,P50&gt;0),Q27*(Q51/100+1),0)+IF(Q50&gt;0,P23*(1+Q52/100),0)-P23*(1+'Input data'!Q30/100),IF(Q50=1,Q27,P23*(1+Q52/100)))</f>
        <v>26.066381428313306</v>
      </c>
      <c r="R23" s="34">
        <f>IF(AND(R50&gt;1,Q50&gt;1),IF(AND(R50&gt;0,Q50&gt;0),R27*(R51/100+1),0)+IF(R50&gt;0,Q23*(1+R52/100),0)-Q23*(1+'Input data'!R30/100),IF(R50=1,R27,Q23*(1+R52/100)))</f>
        <v>26.874004465348797</v>
      </c>
      <c r="S23" s="34">
        <f>IF(AND(S50&gt;1,R50&gt;1),IF(AND(S50&gt;0,R50&gt;0),S27*(S51/100+1),0)+IF(S50&gt;0,R23*(1+S52/100),0)-R23*(1+'Input data'!S30/100),IF(S50=1,S27,R23*(1+S52/100)))</f>
        <v>27.676576990683181</v>
      </c>
      <c r="T23" s="34">
        <f>IF(AND(T50&gt;1,S50&gt;1),IF(AND(T50&gt;0,S50&gt;0),T27*(T51/100+1),0)+IF(T50&gt;0,S23*(1+T52/100),0)-S23*(1+'Input data'!T30/100),IF(T50=1,T27,S23*(1+T52/100)))</f>
        <v>28.464195911620958</v>
      </c>
      <c r="U23" s="34">
        <f>IF(AND(U50&gt;1,T50&gt;1),IF(AND(U50&gt;0,T50&gt;0),U27*(U51/100+1),0)+IF(U50&gt;0,T23*(1+U52/100),0)-T23*(1+'Input data'!U30/100),IF(U50=1,U27,T23*(1+U52/100)))</f>
        <v>29.226599721287112</v>
      </c>
      <c r="V23" s="34">
        <f>IF(AND(V50&gt;1,U50&gt;1),IF(AND(V50&gt;0,U50&gt;0),V27*(V51/100+1),0)+IF(V50&gt;0,U23*(1+V52/100),0)-U23*(1+'Input data'!V30/100),IF(V50=1,V27,U23*(1+V52/100)))</f>
        <v>29.962590385320503</v>
      </c>
      <c r="W23" s="34">
        <f>IF(AND(W50&gt;1,V50&gt;1),IF(AND(W50&gt;0,V50&gt;0),W27*(W51/100+1),0)+IF(W50&gt;0,V23*(1+W52/100),0)-V23*(1+'Input data'!W30/100),IF(W50=1,W27,V23*(1+W52/100)))</f>
        <v>30.672534488816922</v>
      </c>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row>
    <row r="24" spans="1:50" x14ac:dyDescent="0.2">
      <c r="A24" s="61"/>
      <c r="B24" s="62" t="s">
        <v>60</v>
      </c>
      <c r="C24" s="34">
        <f>+'Input data'!C30</f>
        <v>12.513949999999999</v>
      </c>
      <c r="D24" s="100">
        <f>'Baseline NFPC'!D23</f>
        <v>8.0755689999999998</v>
      </c>
      <c r="E24" s="100">
        <f>'Baseline NFPC'!E23</f>
        <v>5.6139260000000002</v>
      </c>
      <c r="F24" s="100">
        <f>'Baseline NFPC'!F23</f>
        <v>4.5722800000000001</v>
      </c>
      <c r="G24" s="34">
        <f t="shared" ref="G24:S24" si="2">100*(G23/F23-1)</f>
        <v>4.4701979999999919</v>
      </c>
      <c r="H24" s="34">
        <f t="shared" si="2"/>
        <v>4.5580912606940194</v>
      </c>
      <c r="I24" s="34">
        <f t="shared" si="2"/>
        <v>4.6283715987609941</v>
      </c>
      <c r="J24" s="34">
        <f t="shared" si="2"/>
        <v>4.5688267550368034</v>
      </c>
      <c r="K24" s="34">
        <f t="shared" si="2"/>
        <v>4.9459042884477</v>
      </c>
      <c r="L24" s="34">
        <f t="shared" si="2"/>
        <v>4.8505229805385852</v>
      </c>
      <c r="M24" s="34">
        <f t="shared" si="2"/>
        <v>4.6928382316801853</v>
      </c>
      <c r="N24" s="34">
        <f t="shared" si="2"/>
        <v>4.1701290000000002</v>
      </c>
      <c r="O24" s="34">
        <f t="shared" si="2"/>
        <v>4.1159240000000041</v>
      </c>
      <c r="P24" s="34">
        <f t="shared" si="2"/>
        <v>3.776726000000008</v>
      </c>
      <c r="Q24" s="34">
        <f t="shared" si="2"/>
        <v>3.4375260000000019</v>
      </c>
      <c r="R24" s="34">
        <f t="shared" si="2"/>
        <v>3.0983320000000036</v>
      </c>
      <c r="S24" s="34">
        <f t="shared" si="2"/>
        <v>2.9864270000000026</v>
      </c>
      <c r="T24" s="34">
        <f>100*(T23/S23-1)</f>
        <v>2.8457959999999893</v>
      </c>
      <c r="U24" s="34">
        <f t="shared" ref="U24" si="3">100*(U23/T23-1)</f>
        <v>2.6784659999999905</v>
      </c>
      <c r="V24" s="34">
        <f t="shared" ref="V24" si="4">100*(V23/U23-1)</f>
        <v>2.5182220000000033</v>
      </c>
      <c r="W24" s="34">
        <f t="shared" ref="W24" si="5">100*(W23/V23-1)</f>
        <v>2.3694349999999975</v>
      </c>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spans="1:50" ht="5.25" customHeight="1" x14ac:dyDescent="0.2">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row>
    <row r="26" spans="1:50" ht="15" x14ac:dyDescent="0.2">
      <c r="A26" s="224"/>
      <c r="B26" s="30" t="s">
        <v>90</v>
      </c>
      <c r="C26" s="223"/>
      <c r="D26" s="223"/>
      <c r="E26" s="223"/>
      <c r="F26" s="223"/>
    </row>
    <row r="27" spans="1:50" x14ac:dyDescent="0.2">
      <c r="B27" s="26" t="s">
        <v>61</v>
      </c>
      <c r="C27" s="34">
        <f>'Input data'!C34</f>
        <v>13.87421</v>
      </c>
      <c r="D27" s="100">
        <f>+C27*(1+'Input data'!D33/100)</f>
        <v>14.7986955071298</v>
      </c>
      <c r="E27" s="100">
        <f>+D27*(1+'Input data'!E33/100)</f>
        <v>15.554359963927773</v>
      </c>
      <c r="F27" s="100">
        <f>+E27*(1+'Input data'!F33/100)</f>
        <v>16.319408002671945</v>
      </c>
      <c r="G27" s="34">
        <f>+F27*(1+'Input data'!G33/100)</f>
        <v>17.114010422743164</v>
      </c>
      <c r="H27" s="34">
        <f>+G27*(1+'Input data'!H33/100)</f>
        <v>17.914487112768004</v>
      </c>
      <c r="I27" s="34">
        <f>+H27*(1+'Input data'!I33/100)</f>
        <v>18.757799770040062</v>
      </c>
      <c r="J27" s="34">
        <f>+I27*(1+'Input data'!J33/100)</f>
        <v>19.629038606509173</v>
      </c>
      <c r="K27" s="34">
        <f>+J27*(1+'Input data'!K33/100)</f>
        <v>20.531617526486727</v>
      </c>
      <c r="L27" s="34">
        <f>+K27*(1+'Input data'!L33/100)</f>
        <v>21.456415783349957</v>
      </c>
      <c r="M27" s="34">
        <f>+L27*(1+'Input data'!M33/100)</f>
        <v>22.389391807879576</v>
      </c>
      <c r="N27" s="34">
        <f>+M27*(1+'Input data'!N33/100)</f>
        <v>23.323057433007914</v>
      </c>
      <c r="O27" s="34">
        <f>+N27*(1+'Input data'!O33/100)</f>
        <v>24.283016284965722</v>
      </c>
      <c r="P27" s="34">
        <f>+O27*(1+'Input data'!P33/100)</f>
        <v>25.20011878892393</v>
      </c>
      <c r="Q27" s="34">
        <f>+P27*(1+'Input data'!Q33/100)</f>
        <v>26.066379424324076</v>
      </c>
      <c r="R27" s="34">
        <f>+Q27*(1+'Input data'!R33/100)</f>
        <v>26.874001617277941</v>
      </c>
      <c r="S27" s="34">
        <f>+R27*(1+'Input data'!S33/100)</f>
        <v>27.676573251336716</v>
      </c>
      <c r="T27" s="34">
        <f>+S27*(1+'Input data'!T33/100)</f>
        <v>28.46419234262606</v>
      </c>
      <c r="U27" s="34">
        <f>+T27*(1+'Input data'!U33/100)</f>
        <v>29.226596625981749</v>
      </c>
      <c r="V27" s="34">
        <f>+U27*(1+'Input data'!V33/100)</f>
        <v>29.962588088866379</v>
      </c>
      <c r="W27" s="34">
        <f>+V27*(1+'Input data'!W33/100)</f>
        <v>30.672532737201575</v>
      </c>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ht="5.25" customHeight="1" x14ac:dyDescent="0.2">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30" t="s">
        <v>91</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x14ac:dyDescent="0.2">
      <c r="B30" s="26" t="s">
        <v>91</v>
      </c>
      <c r="C30" s="34">
        <f>100*(C23/C27-1)</f>
        <v>-1.7994538067392707</v>
      </c>
      <c r="D30" s="100">
        <f t="shared" ref="D30:T30" si="6">100*(D23/D27-1)</f>
        <v>-0.49927083711334141</v>
      </c>
      <c r="E30" s="100">
        <f t="shared" si="6"/>
        <v>-1.8709186920573551E-2</v>
      </c>
      <c r="F30" s="100">
        <f t="shared" si="6"/>
        <v>-0.34867870767660847</v>
      </c>
      <c r="G30" s="34">
        <f t="shared" si="6"/>
        <v>-0.72769919667977634</v>
      </c>
      <c r="H30" s="34">
        <f t="shared" si="6"/>
        <v>-0.84076965888039146</v>
      </c>
      <c r="I30" s="34">
        <f t="shared" si="6"/>
        <v>-0.91564272716492257</v>
      </c>
      <c r="J30" s="34">
        <f t="shared" si="6"/>
        <v>-0.98746075901845476</v>
      </c>
      <c r="K30" s="34">
        <f t="shared" si="6"/>
        <v>-0.65830717267895134</v>
      </c>
      <c r="L30" s="34">
        <f t="shared" si="6"/>
        <v>-0.32915358633949232</v>
      </c>
      <c r="M30" s="34">
        <f>100*(M23/M27-1)</f>
        <v>0</v>
      </c>
      <c r="N30" s="34">
        <f t="shared" si="6"/>
        <v>3.8398725310528903E-6</v>
      </c>
      <c r="O30" s="34">
        <f t="shared" si="6"/>
        <v>5.7608083858795567E-6</v>
      </c>
      <c r="P30" s="34">
        <f t="shared" si="6"/>
        <v>7.6880229293863067E-6</v>
      </c>
      <c r="Q30" s="34">
        <f t="shared" si="6"/>
        <v>7.6880229515907672E-6</v>
      </c>
      <c r="R30" s="34">
        <f t="shared" si="6"/>
        <v>1.0597866650918775E-5</v>
      </c>
      <c r="S30" s="34">
        <f t="shared" si="6"/>
        <v>1.3510872287625375E-5</v>
      </c>
      <c r="T30" s="34">
        <f t="shared" si="6"/>
        <v>1.2538542648599105E-5</v>
      </c>
      <c r="U30" s="34">
        <f t="shared" ref="U30:W30" si="7">100*(U23/U27-1)</f>
        <v>1.0590714349945074E-5</v>
      </c>
      <c r="V30" s="34">
        <f t="shared" si="7"/>
        <v>7.6644050883700743E-6</v>
      </c>
      <c r="W30" s="34">
        <f t="shared" si="7"/>
        <v>5.7106968043285633E-6</v>
      </c>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ht="4.9000000000000004" customHeight="1" x14ac:dyDescent="0.2">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30" t="s">
        <v>92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row>
    <row r="33" spans="2:51" x14ac:dyDescent="0.2">
      <c r="B33" s="26" t="s">
        <v>60</v>
      </c>
      <c r="C33" s="1">
        <f t="shared" ref="C33:W33" si="8">100*((1+C24/100)*(1+C42/100)-1)</f>
        <v>14.7701393577935</v>
      </c>
      <c r="D33" s="2">
        <f t="shared" si="8"/>
        <v>13.761933721019993</v>
      </c>
      <c r="E33" s="2">
        <f t="shared" si="8"/>
        <v>11.183598899764146</v>
      </c>
      <c r="F33" s="2">
        <f>100*((1+F24/100)*(1+F42/100)-1)</f>
        <v>8.3811611205204084</v>
      </c>
      <c r="G33" s="1">
        <f>100*((1+G24/100)*(1+G42/100)-1)</f>
        <v>7.1173798388437737</v>
      </c>
      <c r="H33" s="1">
        <f t="shared" si="8"/>
        <v>7.2096030304516612</v>
      </c>
      <c r="I33" s="1">
        <f t="shared" si="8"/>
        <v>7.283769830499498</v>
      </c>
      <c r="J33" s="1">
        <f t="shared" si="8"/>
        <v>7.2248167882048575</v>
      </c>
      <c r="K33" s="1">
        <f t="shared" si="8"/>
        <v>7.6135824745326319</v>
      </c>
      <c r="L33" s="1">
        <f t="shared" si="8"/>
        <v>7.5178852913014405</v>
      </c>
      <c r="M33" s="1">
        <f t="shared" si="8"/>
        <v>7.3582945989022708</v>
      </c>
      <c r="N33" s="1">
        <f t="shared" si="8"/>
        <v>6.8243722979931531</v>
      </c>
      <c r="O33" s="1">
        <f t="shared" si="8"/>
        <v>6.7708800620000176</v>
      </c>
      <c r="P33" s="1">
        <f t="shared" si="8"/>
        <v>6.3944939133500078</v>
      </c>
      <c r="Q33" s="1">
        <f t="shared" si="8"/>
        <v>6.01829227370001</v>
      </c>
      <c r="R33" s="1">
        <f t="shared" si="8"/>
        <v>5.6422833420999963</v>
      </c>
      <c r="S33" s="1">
        <f t="shared" si="8"/>
        <v>5.4992958187999985</v>
      </c>
      <c r="T33" s="1">
        <f t="shared" si="8"/>
        <v>5.3269508284999878</v>
      </c>
      <c r="U33" s="1">
        <f>100*((1+U24/100)*(1+U42/100)-1)</f>
        <v>5.127347414099992</v>
      </c>
      <c r="V33" s="1">
        <f t="shared" si="8"/>
        <v>4.9350890836499905</v>
      </c>
      <c r="W33" s="1">
        <f t="shared" si="8"/>
        <v>4.7546428355000003</v>
      </c>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5" spans="2:51" x14ac:dyDescent="0.2">
      <c r="B35" s="28" t="s">
        <v>141</v>
      </c>
    </row>
    <row r="36" spans="2:51" x14ac:dyDescent="0.2">
      <c r="B36" s="26" t="s">
        <v>63</v>
      </c>
      <c r="C36" s="34">
        <f>'Input data'!C37</f>
        <v>2.4089399999999999</v>
      </c>
      <c r="D36" s="100">
        <f>'Input data'!D37</f>
        <v>1.9834700000000001</v>
      </c>
      <c r="E36" s="100">
        <f>'Input data'!E37</f>
        <v>2.3767499999999999</v>
      </c>
      <c r="F36" s="100">
        <f>'Input data'!F37</f>
        <v>2.7490950000000001</v>
      </c>
      <c r="G36" s="100">
        <f>'Input data'!G37</f>
        <v>2.7383609999999998</v>
      </c>
      <c r="H36" s="34">
        <f t="shared" ref="H36:W36" si="9">H109</f>
        <v>2.8287900070696868</v>
      </c>
      <c r="I36" s="34">
        <f t="shared" si="9"/>
        <v>2.9113734145676009</v>
      </c>
      <c r="J36" s="34">
        <f t="shared" si="9"/>
        <v>2.9880993725823921</v>
      </c>
      <c r="K36" s="34">
        <f t="shared" si="9"/>
        <v>3.059409036847426</v>
      </c>
      <c r="L36" s="34">
        <f t="shared" si="9"/>
        <v>3.129364778437651</v>
      </c>
      <c r="M36" s="34">
        <f t="shared" si="9"/>
        <v>3.1980675101082716</v>
      </c>
      <c r="N36" s="34">
        <f t="shared" si="9"/>
        <v>3.2656343692776111</v>
      </c>
      <c r="O36" s="34">
        <f t="shared" si="9"/>
        <v>3.3342651392566927</v>
      </c>
      <c r="P36" s="34">
        <f t="shared" si="9"/>
        <v>3.3928667236430838</v>
      </c>
      <c r="Q36" s="34">
        <f t="shared" si="9"/>
        <v>3.4445928413889697</v>
      </c>
      <c r="R36" s="34">
        <f t="shared" si="9"/>
        <v>3.4901801459010149</v>
      </c>
      <c r="S36" s="34">
        <f t="shared" si="9"/>
        <v>3.5302586134771348</v>
      </c>
      <c r="T36" s="34">
        <f t="shared" si="9"/>
        <v>3.5653555840754714</v>
      </c>
      <c r="U36" s="34">
        <f t="shared" si="9"/>
        <v>3.5959247220876107</v>
      </c>
      <c r="V36" s="34">
        <f t="shared" si="9"/>
        <v>3.6224212170808068</v>
      </c>
      <c r="W36" s="34">
        <f t="shared" si="9"/>
        <v>3.645252214159159</v>
      </c>
    </row>
    <row r="37" spans="2:51" x14ac:dyDescent="0.2">
      <c r="B37" s="32" t="s">
        <v>94</v>
      </c>
      <c r="C37" s="1"/>
      <c r="D37" s="2">
        <f>'Input data'!D$39</f>
        <v>2.41</v>
      </c>
      <c r="E37" s="2">
        <f>'Input data'!E$39</f>
        <v>3.71</v>
      </c>
      <c r="F37" s="166">
        <f>'Input data'!F$39</f>
        <v>3.4970020000000002</v>
      </c>
      <c r="G37" s="166">
        <f>'Input data'!G$39</f>
        <v>3.5053580000000002</v>
      </c>
      <c r="H37" s="1">
        <f>G37+($O$37-$G$37)/($O$10-$G$10)</f>
        <v>3.5849320000000002</v>
      </c>
      <c r="I37" s="1">
        <f t="shared" ref="I37:N37" si="10">H37+($O$37-$G$37)/($O$10-$G$10)</f>
        <v>3.6645060000000003</v>
      </c>
      <c r="J37" s="1">
        <f t="shared" si="10"/>
        <v>3.7440800000000003</v>
      </c>
      <c r="K37" s="1">
        <f t="shared" si="10"/>
        <v>3.8236540000000003</v>
      </c>
      <c r="L37" s="1">
        <f t="shared" si="10"/>
        <v>3.9032280000000004</v>
      </c>
      <c r="M37" s="1">
        <f t="shared" si="10"/>
        <v>3.9828020000000004</v>
      </c>
      <c r="N37" s="1">
        <f t="shared" si="10"/>
        <v>4.0623760000000004</v>
      </c>
      <c r="O37" s="252">
        <f>'Input data'!$C$52</f>
        <v>4.1419499999999996</v>
      </c>
      <c r="P37" s="1">
        <f>'Baseline NFPC'!P36</f>
        <v>4.1348524999999992</v>
      </c>
      <c r="Q37" s="1">
        <f>'Baseline NFPC'!Q36</f>
        <v>4.1277549999999996</v>
      </c>
      <c r="R37" s="1">
        <f>'Baseline NFPC'!R36</f>
        <v>4.1206575000000001</v>
      </c>
      <c r="S37" s="1">
        <f>'Baseline NFPC'!S36</f>
        <v>4.1135599999999997</v>
      </c>
      <c r="T37" s="1">
        <f>'Baseline NFPC'!T36</f>
        <v>4.1064624999999992</v>
      </c>
      <c r="U37" s="1">
        <f>'Baseline NFPC'!U36</f>
        <v>4.0993649999999997</v>
      </c>
      <c r="V37" s="1">
        <f>'Baseline NFPC'!V36</f>
        <v>4.0922675000000002</v>
      </c>
      <c r="W37" s="1">
        <f>'Baseline NFPC'!W36</f>
        <v>4.0851699999999997</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x14ac:dyDescent="0.2">
      <c r="B38" s="32" t="s">
        <v>95</v>
      </c>
      <c r="C38" s="1"/>
      <c r="D38" s="2">
        <f>'Input data'!D$38</f>
        <v>0.35</v>
      </c>
      <c r="E38" s="2">
        <f>'Input data'!E$38</f>
        <v>3.43</v>
      </c>
      <c r="F38" s="166">
        <f>'Input data'!F$38</f>
        <v>3.5642079999999998</v>
      </c>
      <c r="G38" s="166">
        <f>'Input data'!G$38</f>
        <v>2.8163749999999999</v>
      </c>
      <c r="H38" s="1">
        <f>G38+($O$38-$G$38)/($O$10-$G$10)</f>
        <v>2.8050893749999997</v>
      </c>
      <c r="I38" s="1">
        <f t="shared" ref="I38:N38" si="11">H38+($O$38-$G$38)/($O$10-$G$10)</f>
        <v>2.7938037499999995</v>
      </c>
      <c r="J38" s="1">
        <f t="shared" si="11"/>
        <v>2.7825181249999993</v>
      </c>
      <c r="K38" s="1">
        <f t="shared" si="11"/>
        <v>2.7712324999999991</v>
      </c>
      <c r="L38" s="1">
        <f t="shared" si="11"/>
        <v>2.7599468749999989</v>
      </c>
      <c r="M38" s="1">
        <f t="shared" si="11"/>
        <v>2.7486612499999987</v>
      </c>
      <c r="N38" s="1">
        <f t="shared" si="11"/>
        <v>2.7373756249999985</v>
      </c>
      <c r="O38" s="252">
        <f>'Input data'!$C$53</f>
        <v>2.7260900000000001</v>
      </c>
      <c r="P38" s="1">
        <f>'Baseline NFPC'!P37</f>
        <v>2.6897855000000002</v>
      </c>
      <c r="Q38" s="1">
        <f>'Baseline NFPC'!Q37</f>
        <v>2.6534810000000002</v>
      </c>
      <c r="R38" s="1">
        <f>'Baseline NFPC'!R37</f>
        <v>2.6171765000000002</v>
      </c>
      <c r="S38" s="1">
        <f>'Baseline NFPC'!S37</f>
        <v>2.5808720000000003</v>
      </c>
      <c r="T38" s="1">
        <f>'Baseline NFPC'!T37</f>
        <v>2.5445675000000003</v>
      </c>
      <c r="U38" s="1">
        <f>'Baseline NFPC'!U37</f>
        <v>2.5082629999999999</v>
      </c>
      <c r="V38" s="1">
        <f>'Baseline NFPC'!V37</f>
        <v>2.4719584999999999</v>
      </c>
      <c r="W38" s="1">
        <f>'Baseline NFPC'!W37</f>
        <v>2.435654</v>
      </c>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60"/>
    </row>
    <row r="39" spans="2:51" s="5" customFormat="1" ht="12.75" x14ac:dyDescent="0.2">
      <c r="B39" s="26" t="s">
        <v>96</v>
      </c>
      <c r="C39" s="34">
        <f>'Baseline NFPC'!C38</f>
        <v>8.1903229999999994E-2</v>
      </c>
      <c r="D39" s="34">
        <f>'Baseline NFPC'!D38</f>
        <v>1E-3</v>
      </c>
      <c r="E39" s="34">
        <f>'Baseline NFPC'!E38</f>
        <v>4.9018890000000002E-2</v>
      </c>
      <c r="F39" s="34">
        <f>'Baseline NFPC'!F38</f>
        <v>4.7479519999999997E-2</v>
      </c>
      <c r="G39" s="34">
        <f>'Baseline NFPC'!G38</f>
        <v>4.8981602222222219E-2</v>
      </c>
      <c r="H39" s="34">
        <f>'Baseline NFPC'!H38</f>
        <v>5.048368444444444E-2</v>
      </c>
      <c r="I39" s="34">
        <f>'Baseline NFPC'!I38</f>
        <v>5.1985766666666662E-2</v>
      </c>
      <c r="J39" s="34">
        <f>'Baseline NFPC'!J38</f>
        <v>5.3487848888888884E-2</v>
      </c>
      <c r="K39" s="34">
        <f>'Baseline NFPC'!K38</f>
        <v>5.4989931111111112E-2</v>
      </c>
      <c r="L39" s="34">
        <f>'Baseline NFPC'!L38</f>
        <v>5.6492013333333334E-2</v>
      </c>
      <c r="M39" s="34">
        <f>'Baseline NFPC'!M38</f>
        <v>5.7994095555555555E-2</v>
      </c>
      <c r="N39" s="34">
        <f>'Baseline NFPC'!N38</f>
        <v>5.9496177777777777E-2</v>
      </c>
      <c r="O39" s="34">
        <f>'Baseline NFPC'!O38</f>
        <v>6.0998259999999999E-2</v>
      </c>
      <c r="P39" s="34">
        <f>'Baseline NFPC'!P38</f>
        <v>6.0998259999999999E-2</v>
      </c>
      <c r="Q39" s="34">
        <f>'Baseline NFPC'!Q38</f>
        <v>6.0998259999999999E-2</v>
      </c>
      <c r="R39" s="34">
        <f>'Baseline NFPC'!R38</f>
        <v>6.0998259999999999E-2</v>
      </c>
      <c r="S39" s="34">
        <f>'Baseline NFPC'!S38</f>
        <v>6.0998259999999999E-2</v>
      </c>
      <c r="T39" s="34">
        <f>'Baseline NFPC'!T38</f>
        <v>6.0998259999999999E-2</v>
      </c>
      <c r="U39" s="34">
        <f>'Baseline NFPC'!U38</f>
        <v>6.0998259999999999E-2</v>
      </c>
      <c r="V39" s="34">
        <f>'Baseline NFPC'!V38</f>
        <v>6.0998259999999999E-2</v>
      </c>
      <c r="W39" s="34">
        <f>'Baseline NFPC'!W38</f>
        <v>6.0998259999999999E-2</v>
      </c>
    </row>
    <row r="40" spans="2:51" x14ac:dyDescent="0.2">
      <c r="C40" s="1"/>
      <c r="D40" s="1"/>
      <c r="E40" s="104"/>
      <c r="F40" s="104"/>
      <c r="G40" s="104"/>
      <c r="H40" s="104"/>
      <c r="I40" s="104"/>
      <c r="J40" s="104"/>
      <c r="K40" s="104"/>
      <c r="L40" s="104"/>
      <c r="M40" s="104"/>
      <c r="N40" s="104"/>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8" t="s">
        <v>97</v>
      </c>
      <c r="C41" s="1"/>
      <c r="D41" s="1"/>
      <c r="E41" s="1"/>
      <c r="F41" s="1"/>
      <c r="G41" s="1"/>
      <c r="H41" s="1"/>
      <c r="I41" s="1"/>
      <c r="J41" s="1"/>
      <c r="K41" s="1"/>
      <c r="L41" s="1"/>
      <c r="M41" s="1"/>
      <c r="N41" s="1"/>
      <c r="O41" s="1"/>
      <c r="P41" s="1"/>
      <c r="Q41" s="1"/>
      <c r="R41" s="1"/>
      <c r="S41" s="1"/>
      <c r="T41" s="1"/>
      <c r="U41" s="1"/>
      <c r="V41" s="1"/>
      <c r="W41" s="1"/>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142</v>
      </c>
      <c r="C42" s="1">
        <f>'Input data'!C42</f>
        <v>2.0052530000000002</v>
      </c>
      <c r="D42" s="2">
        <f>'Input data'!D42</f>
        <v>5.2614710000000002</v>
      </c>
      <c r="E42" s="2">
        <f>'Input data'!E42</f>
        <v>5.2736159999999996</v>
      </c>
      <c r="F42" s="2">
        <f>'Input data'!F42</f>
        <v>3.6423429999999999</v>
      </c>
      <c r="G42" s="2">
        <f>'Input data'!G42</f>
        <v>2.5339109999999998</v>
      </c>
      <c r="H42" s="1">
        <f>'Baseline NFPC'!H41</f>
        <v>2.5359221249999999</v>
      </c>
      <c r="I42" s="1">
        <f>'Baseline NFPC'!I41</f>
        <v>2.53793325</v>
      </c>
      <c r="J42" s="1">
        <f>'Baseline NFPC'!J41</f>
        <v>2.5399443749999997</v>
      </c>
      <c r="K42" s="1">
        <f>'Baseline NFPC'!K41</f>
        <v>2.5419554999999998</v>
      </c>
      <c r="L42" s="1">
        <f>'Baseline NFPC'!L41</f>
        <v>2.5439666249999999</v>
      </c>
      <c r="M42" s="1">
        <f>'Baseline NFPC'!M41</f>
        <v>2.5459777499999996</v>
      </c>
      <c r="N42" s="1">
        <f>'Baseline NFPC'!N41</f>
        <v>2.5479888749999997</v>
      </c>
      <c r="O42" s="252">
        <f>'Baseline NFPC'!O41</f>
        <v>2.5499999999999998</v>
      </c>
      <c r="P42" s="1">
        <f>'Baseline NFPC'!P41</f>
        <v>2.5225</v>
      </c>
      <c r="Q42" s="1">
        <f>'Baseline NFPC'!Q41</f>
        <v>2.4949999999999997</v>
      </c>
      <c r="R42" s="1">
        <f>'Baseline NFPC'!R41</f>
        <v>2.4674999999999998</v>
      </c>
      <c r="S42" s="1">
        <f>'Baseline NFPC'!S41</f>
        <v>2.44</v>
      </c>
      <c r="T42" s="1">
        <f>'Baseline NFPC'!T41</f>
        <v>2.4124999999999996</v>
      </c>
      <c r="U42" s="1">
        <f>'Baseline NFPC'!U41</f>
        <v>2.3849999999999998</v>
      </c>
      <c r="V42" s="1">
        <f>'Baseline NFPC'!V41</f>
        <v>2.3574999999999999</v>
      </c>
      <c r="W42" s="1">
        <f>'Baseline NFPC'!W41</f>
        <v>2.33</v>
      </c>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60"/>
    </row>
    <row r="43" spans="2:51" x14ac:dyDescent="0.2">
      <c r="B43" s="26" t="s">
        <v>98</v>
      </c>
      <c r="C43" s="1">
        <f>'Baseline NFPC'!C42</f>
        <v>1</v>
      </c>
      <c r="D43" s="1">
        <f>'Baseline NFPC'!D42</f>
        <v>1</v>
      </c>
      <c r="E43" s="1">
        <f>'Baseline NFPC'!E42</f>
        <v>1</v>
      </c>
      <c r="F43" s="1">
        <f>'Baseline NFPC'!F42</f>
        <v>1</v>
      </c>
      <c r="G43" s="1">
        <f>'Baseline NFPC'!G42</f>
        <v>0.99999990000000005</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1">
        <f>'Baseline NFPC'!V42</f>
        <v>1</v>
      </c>
      <c r="W43" s="1">
        <f>'Baseline NFPC'!W42</f>
        <v>1</v>
      </c>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0"/>
    </row>
    <row r="44" spans="2:51" x14ac:dyDescent="0.2">
      <c r="C44" s="1"/>
      <c r="D44" s="1"/>
      <c r="E44" s="1"/>
      <c r="F44" s="1"/>
      <c r="G44" s="1"/>
      <c r="H44" s="1"/>
      <c r="I44" s="1"/>
      <c r="J44" s="1"/>
      <c r="K44" s="1"/>
      <c r="L44" s="1"/>
      <c r="M44" s="1"/>
      <c r="N44" s="1"/>
      <c r="O44" s="1"/>
      <c r="P44" s="1"/>
      <c r="Q44" s="1"/>
      <c r="R44" s="1"/>
      <c r="S44" s="1"/>
      <c r="T44" s="1"/>
      <c r="U44" s="1"/>
      <c r="V44" s="1"/>
      <c r="W44" s="1"/>
    </row>
    <row r="45" spans="2:51" s="67" customFormat="1" ht="12.75" x14ac:dyDescent="0.2">
      <c r="B45" s="75" t="s">
        <v>99</v>
      </c>
      <c r="C45" s="68"/>
    </row>
    <row r="46" spans="2:51" x14ac:dyDescent="0.2">
      <c r="C46" s="36"/>
    </row>
    <row r="47" spans="2:51" x14ac:dyDescent="0.2">
      <c r="B47" s="54" t="s">
        <v>68</v>
      </c>
      <c r="C47" s="55">
        <f>'Input data'!C49</f>
        <v>0.75</v>
      </c>
    </row>
    <row r="48" spans="2:51" x14ac:dyDescent="0.2">
      <c r="B48" s="56" t="s">
        <v>258</v>
      </c>
      <c r="C48" s="57">
        <f>'Input data'!C50</f>
        <v>0.47899999999999998</v>
      </c>
    </row>
    <row r="49" spans="2:48" x14ac:dyDescent="0.2">
      <c r="C49" s="58"/>
    </row>
    <row r="50" spans="2:48" outlineLevel="1" x14ac:dyDescent="0.2">
      <c r="B50" s="26" t="s">
        <v>100</v>
      </c>
      <c r="C50" s="34">
        <v>0</v>
      </c>
      <c r="D50" s="34">
        <f>IF(AND(ABS((D12-C12)-('Input data'!D13-'Input data'!C13))&gt;0.0001,ABS(D12-C12)&gt;0.0001,D$10&gt;$C$5),4,IF(C50=4,3,IF(C50=3,2,IF(C50=2,1,0))))</f>
        <v>0</v>
      </c>
      <c r="E50" s="34">
        <f>IF(AND(ABS((E12-D12)-('Input data'!E13-'Input data'!D13))&gt;0.0001,ABS(E12-D12)&gt;0.0001,E$10&gt;$C$5),4,IF(D50=4,3,IF(D50=3,2,IF(D50=2,1,0))))</f>
        <v>0</v>
      </c>
      <c r="F50" s="34">
        <f>IF(AND(ABS((F12-E12)-('Input data'!F13-'Input data'!E13))&gt;0.0001,ABS(F12-E12)&gt;0.0001,F$10&gt;$C$5),4,IF(E50=4,3,IF(E50=3,2,IF(E50=2,1,0))))</f>
        <v>0</v>
      </c>
      <c r="G50" s="34">
        <f>IF(AND(ABS((G12-F12)-('Input data'!G13-'Input data'!F13))&gt;0.0001,ABS(G12-F12)&gt;0.0001,G$10&gt;$C$5),4,IF(F50=4,3,IF(F50=3,2,IF(F50=2,1,0))))</f>
        <v>4</v>
      </c>
      <c r="H50" s="34">
        <f>IF(AND(ABS((H12-G12)-('Input data'!H13-'Input data'!G13))&gt;0.0001,ABS(H12-G12)&gt;0.0001,H$10&gt;$C$5),4,IF(G50=4,3,IF(G50=3,2,IF(G50=2,1,0))))</f>
        <v>4</v>
      </c>
      <c r="I50" s="34">
        <f>IF(AND(ABS((I12-H12)-('Input data'!I13-'Input data'!H13))&gt;0.0001,ABS(I12-H12)&gt;0.0001,I$10&gt;$C$5),4,IF(H50=4,3,IF(H50=3,2,IF(H50=2,1,0))))</f>
        <v>4</v>
      </c>
      <c r="J50" s="34">
        <f>IF(AND(ABS((J12-I12)-('Input data'!J13-'Input data'!I13))&gt;0.0001,ABS(J12-I12)&gt;0.0001,J$10&gt;$C$5),4,IF(I50=4,3,IF(I50=3,2,IF(I50=2,1,0))))</f>
        <v>4</v>
      </c>
      <c r="K50" s="34">
        <f>IF(AND(ABS((K12-J12)-('Input data'!K13-'Input data'!J13))&gt;0.0001,ABS(K12-J12)&gt;0.0001,K$10&gt;$C$5),4,IF(J50=4,3,IF(J50=3,2,IF(J50=2,1,0))))</f>
        <v>3</v>
      </c>
      <c r="L50" s="34">
        <f>IF(AND(ABS((L12-K12)-('Input data'!L13-'Input data'!K13))&gt;0.0001,ABS(L12-K12)&gt;0.0001,L$10&gt;$C$5),4,IF(K50=4,3,IF(K50=3,2,IF(K50=2,1,0))))</f>
        <v>2</v>
      </c>
      <c r="M50" s="34">
        <f>IF(AND(ABS((M12-L12)-('Input data'!M13-'Input data'!L13))&gt;0.0001,ABS(M12-L12)&gt;0.0001,M$10&gt;$C$5),4,IF(L50=4,3,IF(L50=3,2,IF(L50=2,1,0))))</f>
        <v>1</v>
      </c>
      <c r="N50" s="34">
        <f>IF(AND(ABS((N12-M12)-('Input data'!N13-'Input data'!M13))&gt;0.0001,ABS(N12-M12)&gt;0.0001,N$10&gt;$C$5),4,IF(M50=4,3,IF(M50=3,2,IF(M50=2,1,0))))</f>
        <v>0</v>
      </c>
      <c r="O50" s="34">
        <f>IF(AND(ABS((O12-N12)-('Input data'!O13-'Input data'!N13))&gt;0.0001,ABS(O12-N12)&gt;0.0001,O$10&gt;$C$5),4,IF(N50=4,3,IF(N50=3,2,IF(N50=2,1,0))))</f>
        <v>0</v>
      </c>
      <c r="P50" s="34">
        <f>IF(AND(ABS((P12-O12)-('Input data'!P13-'Input data'!O13))&gt;0.0001,ABS(P12-O12)&gt;0.0001,P$10&gt;$C$5),4,IF(O50=4,3,IF(O50=3,2,IF(O50=2,1,0))))</f>
        <v>0</v>
      </c>
      <c r="Q50" s="34">
        <f>IF(AND(ABS((Q12-P12)-('Input data'!Q13-'Input data'!P13))&gt;0.0001,ABS(Q12-P12)&gt;0.0001,Q$10&gt;$C$5),4,IF(P50=4,3,IF(P50=3,2,IF(P50=2,1,0))))</f>
        <v>0</v>
      </c>
      <c r="R50" s="34">
        <f>IF(AND(ABS((R12-Q12)-('Input data'!R13-'Input data'!Q13))&gt;0.0001,ABS(R12-Q12)&gt;0.0001,R$10&gt;$C$5),4,IF(Q50=4,3,IF(Q50=3,2,IF(Q50=2,1,0))))</f>
        <v>0</v>
      </c>
      <c r="S50" s="34">
        <f>IF(AND(ABS((S12-R12)-('Input data'!S13-'Input data'!R13))&gt;0.0001,ABS(S12-R12)&gt;0.0001,S$10&gt;$C$5),4,IF(R50=4,3,IF(R50=3,2,IF(R50=2,1,0))))</f>
        <v>0</v>
      </c>
      <c r="T50" s="34">
        <f>IF(AND(ABS((T12-S12)-('Input data'!T13-'Input data'!S13))&gt;0.0001,ABS(T12-S12)&gt;0.0001,T$10&gt;$C$5),4,IF(S50=4,3,IF(S50=3,2,IF(S50=2,1,0))))</f>
        <v>0</v>
      </c>
      <c r="U50" s="34">
        <f>IF(AND(ABS((U12-T12)-('Input data'!U13-'Input data'!T13))&gt;0.0001,ABS(U12-T12)&gt;0.0001,U$10&gt;$C$5),4,IF(T50=4,3,IF(T50=3,2,IF(T50=2,1,0))))</f>
        <v>0</v>
      </c>
      <c r="V50" s="34">
        <f>IF(AND(ABS((V12-U12)-('Input data'!V13-'Input data'!U13))&gt;0.0001,ABS(V12-U12)&gt;0.0001,V$10&gt;$C$5),4,IF(U50=4,3,IF(U50=3,2,IF(U50=2,1,0))))</f>
        <v>0</v>
      </c>
      <c r="W50" s="34">
        <f>IF(AND(ABS((W12-V12)-('Input data'!W13-'Input data'!V13))&gt;0.0001,ABS(W12-V12)&gt;0.0001,W$10&gt;$C$5),4,IF(V50=4,3,IF(V50=3,2,IF(V50=2,1,0))))</f>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101</v>
      </c>
      <c r="C51" s="34">
        <v>0</v>
      </c>
      <c r="D51" s="34">
        <f t="shared" ref="D51:W51" si="12">IF(C50=4,2/3*C30,IF(C50=3,1/3*B30,0))</f>
        <v>0</v>
      </c>
      <c r="E51" s="34">
        <f t="shared" si="12"/>
        <v>0</v>
      </c>
      <c r="F51" s="34">
        <f t="shared" si="12"/>
        <v>0</v>
      </c>
      <c r="G51" s="34">
        <f t="shared" si="12"/>
        <v>0</v>
      </c>
      <c r="H51" s="34">
        <f t="shared" si="12"/>
        <v>-0.48513279778651752</v>
      </c>
      <c r="I51" s="34">
        <f t="shared" si="12"/>
        <v>-0.56051310592026093</v>
      </c>
      <c r="J51" s="34">
        <f t="shared" si="12"/>
        <v>-0.61042848477661504</v>
      </c>
      <c r="K51" s="34">
        <f t="shared" si="12"/>
        <v>-0.65830717267896977</v>
      </c>
      <c r="L51" s="34">
        <f t="shared" si="12"/>
        <v>-0.32915358633948488</v>
      </c>
      <c r="M51" s="34">
        <f t="shared" si="12"/>
        <v>0</v>
      </c>
      <c r="N51" s="34">
        <f t="shared" si="12"/>
        <v>0</v>
      </c>
      <c r="O51" s="34">
        <f t="shared" si="12"/>
        <v>0</v>
      </c>
      <c r="P51" s="34">
        <f t="shared" si="12"/>
        <v>0</v>
      </c>
      <c r="Q51" s="34">
        <f t="shared" si="12"/>
        <v>0</v>
      </c>
      <c r="R51" s="34">
        <f t="shared" si="12"/>
        <v>0</v>
      </c>
      <c r="S51" s="34">
        <f t="shared" si="12"/>
        <v>0</v>
      </c>
      <c r="T51" s="34">
        <f t="shared" si="12"/>
        <v>0</v>
      </c>
      <c r="U51" s="34">
        <f t="shared" si="12"/>
        <v>0</v>
      </c>
      <c r="V51" s="34">
        <f t="shared" si="12"/>
        <v>0</v>
      </c>
      <c r="W51" s="34">
        <f t="shared" si="12"/>
        <v>0</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outlineLevel="1" x14ac:dyDescent="0.2">
      <c r="B52" s="26" t="s">
        <v>102</v>
      </c>
      <c r="C52" s="34"/>
      <c r="D52" s="34">
        <f>'Input data'!D30-$C$47*((D12-C12)-('Input data'!D13-'Input data'!C13))</f>
        <v>8.0755689999999998</v>
      </c>
      <c r="E52" s="34">
        <f>'Input data'!E30-$C$47*((E12-D12)-('Input data'!E13-'Input data'!D13))</f>
        <v>5.6139260000000002</v>
      </c>
      <c r="F52" s="34">
        <f>'Input data'!F30-$C$47*((F12-E12)-('Input data'!F13-'Input data'!E13))</f>
        <v>4.5722800000000001</v>
      </c>
      <c r="G52" s="34">
        <f>'Input data'!G30-$C$47*((G12-F12))</f>
        <v>4.4701979999999999</v>
      </c>
      <c r="H52" s="34">
        <f>'Input data'!H30-$C$47*((H12-G12))</f>
        <v>4.4323629999999996</v>
      </c>
      <c r="I52" s="34">
        <f>'Input data'!I30-$C$47*((I12-H12))</f>
        <v>4.5056839999999996</v>
      </c>
      <c r="J52" s="34">
        <f>'Input data'!J30-$C$47*((J12-I12))</f>
        <v>4.3329048023898471</v>
      </c>
      <c r="K52" s="34">
        <f>'Input data'!K30-$C$47*((K12-J12))</f>
        <v>4.5981800000000002</v>
      </c>
      <c r="L52" s="34">
        <f>'Input data'!L30-$C$47*((L12-K12))</f>
        <v>4.5042590000000002</v>
      </c>
      <c r="M52" s="34">
        <f>'Input data'!M30-$C$47*((M12-L12))</f>
        <v>4.3482380000000003</v>
      </c>
      <c r="N52" s="34">
        <f>'Input data'!N30-$C$47*((N12-M12))</f>
        <v>4.1701290000000002</v>
      </c>
      <c r="O52" s="34">
        <f>'Input data'!O30-$C$47*((O12-N12))</f>
        <v>4.1159239999999997</v>
      </c>
      <c r="P52" s="34">
        <f>'Input data'!P30-$C$47*((P12-O12))</f>
        <v>3.776726</v>
      </c>
      <c r="Q52" s="34">
        <f>'Input data'!Q30-$C$47*((Q12-P12))</f>
        <v>3.4375260000000001</v>
      </c>
      <c r="R52" s="34">
        <f>'Input data'!R30-$C$47*((R12-Q12))</f>
        <v>3.0983320000000001</v>
      </c>
      <c r="S52" s="34">
        <f>'Input data'!S30-$C$47*((S12-R12))</f>
        <v>2.9864269999999999</v>
      </c>
      <c r="T52" s="34">
        <f>'Input data'!T30-$C$47*((T12-S12))</f>
        <v>2.845796</v>
      </c>
      <c r="U52" s="34">
        <f>'Input data'!U30-$C$47*((U12-T12))</f>
        <v>2.6784659999999998</v>
      </c>
      <c r="V52" s="34">
        <f>'Input data'!V30-$C$47*((V12-U12))</f>
        <v>2.5182220000000002</v>
      </c>
      <c r="W52" s="34">
        <f>'Input data'!W30-$C$47*((W12-V12))</f>
        <v>2.3694350000000002</v>
      </c>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row>
    <row r="53" spans="2:48" x14ac:dyDescent="0.2">
      <c r="C53" s="36"/>
    </row>
    <row r="54" spans="2:48" s="67" customFormat="1" ht="12.75" outlineLevel="1" x14ac:dyDescent="0.2">
      <c r="B54" s="72" t="s">
        <v>103</v>
      </c>
      <c r="C54" s="69"/>
      <c r="E54" s="70"/>
      <c r="F54" s="69"/>
    </row>
    <row r="55" spans="2:48" outlineLevel="1" x14ac:dyDescent="0.2">
      <c r="B55" s="43"/>
      <c r="C55" s="29"/>
      <c r="E55" s="44"/>
      <c r="F55" s="29"/>
    </row>
    <row r="56" spans="2:48" outlineLevel="1" x14ac:dyDescent="0.2">
      <c r="B56" s="85"/>
      <c r="C56" s="86">
        <v>2021</v>
      </c>
      <c r="D56" s="86">
        <v>2022</v>
      </c>
      <c r="E56" s="86">
        <v>2023</v>
      </c>
      <c r="F56" s="86">
        <v>2024</v>
      </c>
      <c r="G56" s="86">
        <v>2025</v>
      </c>
      <c r="H56" s="86">
        <v>2026</v>
      </c>
      <c r="I56" s="86">
        <v>2027</v>
      </c>
      <c r="J56" s="86">
        <v>2028</v>
      </c>
      <c r="K56" s="86">
        <v>2029</v>
      </c>
      <c r="L56" s="86">
        <v>2030</v>
      </c>
      <c r="M56" s="86">
        <v>2031</v>
      </c>
      <c r="N56" s="86">
        <v>2032</v>
      </c>
      <c r="O56" s="86">
        <v>2033</v>
      </c>
      <c r="P56" s="86">
        <v>2034</v>
      </c>
      <c r="Q56" s="86">
        <v>2035</v>
      </c>
      <c r="R56" s="86">
        <v>2036</v>
      </c>
      <c r="S56" s="86">
        <v>2037</v>
      </c>
      <c r="T56" s="86">
        <v>2038</v>
      </c>
      <c r="U56" s="86">
        <v>2039</v>
      </c>
      <c r="V56" s="86">
        <v>2040</v>
      </c>
      <c r="W56" s="86">
        <v>2041</v>
      </c>
    </row>
    <row r="57" spans="2:48" ht="10.5" customHeight="1" outlineLevel="1" x14ac:dyDescent="0.2">
      <c r="B57" s="87" t="s">
        <v>104</v>
      </c>
      <c r="C57" s="45">
        <f>+'Input data'!C12</f>
        <v>53.925649999999997</v>
      </c>
      <c r="D57" s="45">
        <f>+C57+D58</f>
        <v>51.626479730977287</v>
      </c>
      <c r="E57" s="45">
        <f>+D57+E58</f>
        <v>50.396658431512243</v>
      </c>
      <c r="F57" s="45">
        <f>+E57+F58</f>
        <v>52.027240532489337</v>
      </c>
      <c r="G57" s="45">
        <f>+F57+G58</f>
        <v>52.712875471107772</v>
      </c>
      <c r="H57" s="45">
        <f t="shared" ref="H57:S57" si="13">+G57+H58</f>
        <v>52.858886626374179</v>
      </c>
      <c r="I57" s="45">
        <f t="shared" si="13"/>
        <v>52.540435718456841</v>
      </c>
      <c r="J57" s="45">
        <f t="shared" si="13"/>
        <v>51.80374973951259</v>
      </c>
      <c r="K57" s="45">
        <f t="shared" si="13"/>
        <v>50.734076487913782</v>
      </c>
      <c r="L57" s="45">
        <f t="shared" si="13"/>
        <v>49.571815456563641</v>
      </c>
      <c r="M57" s="45">
        <f t="shared" si="13"/>
        <v>48.352047922230085</v>
      </c>
      <c r="N57" s="45">
        <f t="shared" si="13"/>
        <v>47.403497063712436</v>
      </c>
      <c r="O57" s="45">
        <f t="shared" si="13"/>
        <v>46.518626991164147</v>
      </c>
      <c r="P57" s="45">
        <f t="shared" si="13"/>
        <v>45.841262491702317</v>
      </c>
      <c r="Q57" s="45">
        <f t="shared" si="13"/>
        <v>45.373204130216429</v>
      </c>
      <c r="R57" s="45">
        <f t="shared" si="13"/>
        <v>45.117714957075847</v>
      </c>
      <c r="S57" s="45">
        <f t="shared" si="13"/>
        <v>44.97829679635273</v>
      </c>
      <c r="T57" s="45">
        <f>+S57+T58</f>
        <v>44.97011606241562</v>
      </c>
      <c r="U57" s="45">
        <f>+T57+U58</f>
        <v>45.116219090555163</v>
      </c>
      <c r="V57" s="45">
        <f t="shared" ref="V57" si="14">+U57+V58</f>
        <v>45.428876893164301</v>
      </c>
      <c r="W57" s="45">
        <f t="shared" ref="W57" si="15">+V57+W58</f>
        <v>45.91867419493073</v>
      </c>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row>
    <row r="58" spans="2:48" outlineLevel="1" x14ac:dyDescent="0.2">
      <c r="B58" s="88" t="s">
        <v>105</v>
      </c>
      <c r="C58" s="47"/>
      <c r="D58" s="47">
        <f>-D59+D67+D72</f>
        <v>-2.2991702690227092</v>
      </c>
      <c r="E58" s="47">
        <f>-E59+E67+E72</f>
        <v>-1.2298212994650455</v>
      </c>
      <c r="F58" s="47">
        <f>-F59+F67+F72</f>
        <v>1.6305821009770955</v>
      </c>
      <c r="G58" s="47">
        <f>-G59+G67+G72</f>
        <v>0.68563493861843305</v>
      </c>
      <c r="H58" s="47">
        <f t="shared" ref="H58:S58" si="16">-H59+H67+H72</f>
        <v>0.1460111552664074</v>
      </c>
      <c r="I58" s="47">
        <f t="shared" si="16"/>
        <v>-0.3184509079173381</v>
      </c>
      <c r="J58" s="47">
        <f t="shared" si="16"/>
        <v>-0.73668597894425014</v>
      </c>
      <c r="K58" s="47">
        <f t="shared" si="16"/>
        <v>-1.0696732515988088</v>
      </c>
      <c r="L58" s="47">
        <f t="shared" si="16"/>
        <v>-1.1622610313501425</v>
      </c>
      <c r="M58" s="47">
        <f t="shared" si="16"/>
        <v>-1.2197675343335581</v>
      </c>
      <c r="N58" s="47">
        <f t="shared" si="16"/>
        <v>-0.94855085851764542</v>
      </c>
      <c r="O58" s="47">
        <f t="shared" si="16"/>
        <v>-0.88487007254828742</v>
      </c>
      <c r="P58" s="47">
        <f t="shared" si="16"/>
        <v>-0.67736449946183208</v>
      </c>
      <c r="Q58" s="47">
        <f t="shared" si="16"/>
        <v>-0.46805836148588753</v>
      </c>
      <c r="R58" s="47">
        <f t="shared" si="16"/>
        <v>-0.25548917314057928</v>
      </c>
      <c r="S58" s="47">
        <f t="shared" si="16"/>
        <v>-0.13941816072311519</v>
      </c>
      <c r="T58" s="47">
        <f>-T59+T67+T72</f>
        <v>-8.1807339371120502E-3</v>
      </c>
      <c r="U58" s="47">
        <f t="shared" ref="U58:W58" si="17">-U59+U67+U72</f>
        <v>0.14610302813954212</v>
      </c>
      <c r="V58" s="47">
        <f t="shared" si="17"/>
        <v>0.31265780260913534</v>
      </c>
      <c r="W58" s="47">
        <f t="shared" si="17"/>
        <v>0.48979730176643077</v>
      </c>
    </row>
    <row r="59" spans="2:48" outlineLevel="1" x14ac:dyDescent="0.2">
      <c r="B59" s="84" t="s">
        <v>106</v>
      </c>
      <c r="C59" s="48"/>
      <c r="D59" s="48">
        <f>D60+D61-D62-D63-D64-D65-D66</f>
        <v>-4.5943547309772903</v>
      </c>
      <c r="E59" s="48">
        <f t="shared" ref="E59:R59" si="18">E60+E61-E62-E63-E64-E65-E66</f>
        <v>-3.7999557005349547</v>
      </c>
      <c r="F59" s="48">
        <f t="shared" si="18"/>
        <v>-3.0642601009770956</v>
      </c>
      <c r="G59" s="48">
        <f t="shared" si="18"/>
        <v>-2.7458109152096126</v>
      </c>
      <c r="H59" s="48">
        <f t="shared" si="18"/>
        <v>-2.2999716666037076</v>
      </c>
      <c r="I59" s="48">
        <f t="shared" si="18"/>
        <v>-1.835835866311998</v>
      </c>
      <c r="J59" s="48">
        <f t="shared" si="18"/>
        <v>-1.3393164400896365</v>
      </c>
      <c r="K59" s="48">
        <f t="shared" si="18"/>
        <v>-1.1226453722330181</v>
      </c>
      <c r="L59" s="48">
        <f t="shared" si="18"/>
        <v>-0.90853430437641647</v>
      </c>
      <c r="M59" s="48">
        <f t="shared" si="18"/>
        <v>-0.70118333651979703</v>
      </c>
      <c r="N59" s="48">
        <f t="shared" si="18"/>
        <v>-0.66224509722085712</v>
      </c>
      <c r="O59" s="48">
        <f t="shared" si="18"/>
        <v>-0.64089767709258183</v>
      </c>
      <c r="P59" s="48">
        <f t="shared" si="18"/>
        <v>-0.63503025395681478</v>
      </c>
      <c r="Q59" s="48">
        <f t="shared" si="18"/>
        <v>-0.6447838539568056</v>
      </c>
      <c r="R59" s="48">
        <f t="shared" si="18"/>
        <v>-0.66883596014167179</v>
      </c>
      <c r="S59" s="48">
        <f>S60+S61-S62-S63-S64-S65-S66</f>
        <v>-0.70265816481197307</v>
      </c>
      <c r="T59" s="48">
        <f>T60+T61-T62-T63-T64-T65-T66</f>
        <v>-0.74408213055786976</v>
      </c>
      <c r="U59" s="48">
        <f>U60+U61-U62-U63-U64-U65-U66</f>
        <v>-0.80119666356762376</v>
      </c>
      <c r="V59" s="48">
        <f t="shared" ref="V59:W59" si="19">V60+V61-V62-V63-V64-V65-V66</f>
        <v>-0.87703156526976089</v>
      </c>
      <c r="W59" s="48">
        <f t="shared" si="19"/>
        <v>-0.97090600109602887</v>
      </c>
    </row>
    <row r="60" spans="2:48" outlineLevel="1" x14ac:dyDescent="0.2">
      <c r="B60" s="79" t="s">
        <v>107</v>
      </c>
      <c r="C60" s="1"/>
      <c r="D60" s="1">
        <f>D12</f>
        <v>-4.3552039999999996</v>
      </c>
      <c r="E60" s="1">
        <f>E12</f>
        <v>-3.790994</v>
      </c>
      <c r="F60" s="1">
        <f>F12</f>
        <v>-2.897243</v>
      </c>
      <c r="G60" s="1">
        <f t="shared" ref="G60:W60" si="20">IF(G12="",F60,G12)</f>
        <v>-2.397243</v>
      </c>
      <c r="H60" s="1">
        <f t="shared" si="20"/>
        <v>-1.897243</v>
      </c>
      <c r="I60" s="1">
        <f t="shared" si="20"/>
        <v>-1.397243</v>
      </c>
      <c r="J60" s="1">
        <f t="shared" si="20"/>
        <v>-0.86632273651979652</v>
      </c>
      <c r="K60" s="1">
        <f t="shared" si="20"/>
        <v>-0.86632273651979652</v>
      </c>
      <c r="L60" s="1">
        <f t="shared" si="20"/>
        <v>-0.86632273651979652</v>
      </c>
      <c r="M60" s="1">
        <f t="shared" si="20"/>
        <v>-0.86632273651979652</v>
      </c>
      <c r="N60" s="1">
        <f t="shared" si="20"/>
        <v>-0.86632273651979652</v>
      </c>
      <c r="O60" s="1">
        <f t="shared" si="20"/>
        <v>-0.86632273651979652</v>
      </c>
      <c r="P60" s="1">
        <f t="shared" si="20"/>
        <v>-0.86632273651979652</v>
      </c>
      <c r="Q60" s="1">
        <f t="shared" si="20"/>
        <v>-0.86632273651979652</v>
      </c>
      <c r="R60" s="1">
        <f t="shared" si="20"/>
        <v>-0.86632273651979652</v>
      </c>
      <c r="S60" s="1">
        <f t="shared" si="20"/>
        <v>-0.86632273651979652</v>
      </c>
      <c r="T60" s="1">
        <f t="shared" si="20"/>
        <v>-0.86632273651979652</v>
      </c>
      <c r="U60" s="1">
        <f t="shared" si="20"/>
        <v>-0.86632273651979652</v>
      </c>
      <c r="V60" s="1">
        <f t="shared" si="20"/>
        <v>-0.86632273651979652</v>
      </c>
      <c r="W60" s="1">
        <f t="shared" si="20"/>
        <v>-0.86632273651979652</v>
      </c>
    </row>
    <row r="61" spans="2:48" outlineLevel="1" x14ac:dyDescent="0.2">
      <c r="B61" s="79" t="s">
        <v>108</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row>
    <row r="62" spans="2:48" outlineLevel="1" x14ac:dyDescent="0.2">
      <c r="B62" s="79" t="s">
        <v>109</v>
      </c>
      <c r="C62" s="1"/>
      <c r="D62" s="1">
        <f t="shared" ref="D62:W62" si="21">-$C$48*D30</f>
        <v>0.23915073097729053</v>
      </c>
      <c r="E62" s="1">
        <f t="shared" si="21"/>
        <v>8.9617005349547311E-3</v>
      </c>
      <c r="F62" s="1">
        <f t="shared" si="21"/>
        <v>0.16701710097709546</v>
      </c>
      <c r="G62" s="1">
        <f t="shared" si="21"/>
        <v>0.34856791520961283</v>
      </c>
      <c r="H62" s="1">
        <f t="shared" si="21"/>
        <v>0.40272866660370749</v>
      </c>
      <c r="I62" s="1">
        <f t="shared" si="21"/>
        <v>0.4385928663119979</v>
      </c>
      <c r="J62" s="1">
        <f t="shared" si="21"/>
        <v>0.47299370356983983</v>
      </c>
      <c r="K62" s="1">
        <f t="shared" si="21"/>
        <v>0.31532913571321769</v>
      </c>
      <c r="L62" s="1">
        <f t="shared" si="21"/>
        <v>0.15766456785661681</v>
      </c>
      <c r="M62" s="1">
        <f>-$C$48*M30</f>
        <v>0</v>
      </c>
      <c r="N62" s="1">
        <f t="shared" si="21"/>
        <v>-1.8392989423743344E-6</v>
      </c>
      <c r="O62" s="1">
        <f t="shared" si="21"/>
        <v>-2.7594272168363077E-6</v>
      </c>
      <c r="P62" s="1">
        <f t="shared" si="21"/>
        <v>-3.6825629831760407E-6</v>
      </c>
      <c r="Q62" s="1">
        <f t="shared" si="21"/>
        <v>-3.6825629938119772E-6</v>
      </c>
      <c r="R62" s="1">
        <f t="shared" si="21"/>
        <v>-5.0763781257900932E-6</v>
      </c>
      <c r="S62" s="1">
        <f t="shared" si="21"/>
        <v>-6.4717078257725543E-6</v>
      </c>
      <c r="T62" s="1">
        <f t="shared" si="21"/>
        <v>-6.0059619286789712E-6</v>
      </c>
      <c r="U62" s="1">
        <f>-$C$48*U30</f>
        <v>-5.0729521736236903E-6</v>
      </c>
      <c r="V62" s="1">
        <f t="shared" si="21"/>
        <v>-3.6712500373292652E-6</v>
      </c>
      <c r="W62" s="1">
        <f t="shared" si="21"/>
        <v>-2.7354237692733818E-6</v>
      </c>
    </row>
    <row r="63" spans="2:48" outlineLevel="1" x14ac:dyDescent="0.2">
      <c r="B63" s="79" t="s">
        <v>110</v>
      </c>
      <c r="C63" s="1"/>
      <c r="D63" s="1">
        <f t="shared" ref="D63:W63" si="22">-D14</f>
        <v>0</v>
      </c>
      <c r="E63" s="1">
        <f t="shared" si="22"/>
        <v>0</v>
      </c>
      <c r="F63" s="1">
        <f t="shared" si="22"/>
        <v>0</v>
      </c>
      <c r="G63" s="1">
        <f t="shared" si="22"/>
        <v>0</v>
      </c>
      <c r="H63" s="1">
        <f t="shared" si="22"/>
        <v>0</v>
      </c>
      <c r="I63" s="1">
        <f t="shared" si="22"/>
        <v>0</v>
      </c>
      <c r="J63" s="1">
        <f t="shared" si="22"/>
        <v>0</v>
      </c>
      <c r="K63" s="1">
        <f t="shared" si="22"/>
        <v>0</v>
      </c>
      <c r="L63" s="1">
        <f t="shared" si="22"/>
        <v>0</v>
      </c>
      <c r="M63" s="1">
        <f t="shared" si="22"/>
        <v>0</v>
      </c>
      <c r="N63" s="1">
        <f t="shared" si="22"/>
        <v>0</v>
      </c>
      <c r="O63" s="1">
        <f t="shared" si="22"/>
        <v>0</v>
      </c>
      <c r="P63" s="1">
        <f t="shared" si="22"/>
        <v>0</v>
      </c>
      <c r="Q63" s="1">
        <f t="shared" si="22"/>
        <v>0</v>
      </c>
      <c r="R63" s="1">
        <f t="shared" si="22"/>
        <v>0</v>
      </c>
      <c r="S63" s="1">
        <f t="shared" si="22"/>
        <v>0</v>
      </c>
      <c r="T63" s="1">
        <f t="shared" si="22"/>
        <v>0</v>
      </c>
      <c r="U63" s="1">
        <f t="shared" si="22"/>
        <v>0</v>
      </c>
      <c r="V63" s="1">
        <f t="shared" si="22"/>
        <v>0</v>
      </c>
      <c r="W63" s="1">
        <f t="shared" si="22"/>
        <v>0</v>
      </c>
    </row>
    <row r="64" spans="2:48" outlineLevel="1" x14ac:dyDescent="0.2">
      <c r="B64" s="79" t="s">
        <v>111</v>
      </c>
      <c r="C64" s="1"/>
      <c r="D64" s="1">
        <f>IF(D$56&lt;=$C$6,0,HLOOKUP(D$56,'Input data'!$C$9:$BB$26,12,FALSE)-HLOOKUP($C$6,'Input data'!$C$9:$BB$26,12,FALSE))</f>
        <v>0</v>
      </c>
      <c r="E64" s="1">
        <f>IF(E$56&lt;=$C$6,0,HLOOKUP(E$56,'Input data'!$C$9:$BB$26,12,FALSE)-HLOOKUP($C$6,'Input data'!$C$9:$BB$26,12,FALSE))</f>
        <v>0</v>
      </c>
      <c r="F64" s="1">
        <f>IF(F$56&lt;=$C$6,0,HLOOKUP(F$56,'Input data'!$C$9:$BB$26,12,FALSE)-HLOOKUP($C$6,'Input data'!$C$9:$BB$26,12,FALSE))</f>
        <v>0</v>
      </c>
      <c r="G64" s="1">
        <f>IF(G$56&lt;=$C$6,0,HLOOKUP(G$56,'Input data'!$C$9:$BB$26,12,FALSE)-HLOOKUP($C$6,'Input data'!$C$9:$BB$26,12,FALSE))</f>
        <v>0</v>
      </c>
      <c r="H64" s="1">
        <f>IF(H$56&lt;=$C$6,0,HLOOKUP(H$56,'Input data'!$C$9:$BB$26,12,FALSE)-HLOOKUP($C$6,'Input data'!$C$9:$BB$26,12,FALSE))</f>
        <v>0</v>
      </c>
      <c r="I64" s="1">
        <f>IF(I$56&lt;=$C$6,0,HLOOKUP(I$56,'Input data'!$C$9:$BB$26,12,FALSE)-HLOOKUP($C$6,'Input data'!$C$9:$BB$26,12,FALSE))</f>
        <v>0</v>
      </c>
      <c r="J64" s="1">
        <f>IF(J$56&lt;=$C$6,0,HLOOKUP(J$56,'Input data'!$C$9:$BB$26,12,FALSE)-HLOOKUP($C$6,'Input data'!$C$9:$BB$26,12,FALSE))</f>
        <v>0</v>
      </c>
      <c r="K64" s="1">
        <f>IF(K$56&lt;=$C$6,0,HLOOKUP(K$56,'Input data'!$C$9:$BB$26,12,FALSE)-HLOOKUP($C$6,'Input data'!$C$9:$BB$26,12,FALSE))</f>
        <v>-6.1849999999996186E-2</v>
      </c>
      <c r="L64" s="1">
        <f>IF(L$56&lt;=$C$6,0,HLOOKUP(L$56,'Input data'!$C$9:$BB$26,12,FALSE)-HLOOKUP($C$6,'Input data'!$C$9:$BB$26,12,FALSE))</f>
        <v>-0.12113999999999692</v>
      </c>
      <c r="M64" s="1">
        <f>IF(M$56&lt;=$C$6,0,HLOOKUP(M$56,'Input data'!$C$9:$BB$26,12,FALSE)-HLOOKUP($C$6,'Input data'!$C$9:$BB$26,12,FALSE))</f>
        <v>-0.17366999999999955</v>
      </c>
      <c r="N64" s="1">
        <f>IF(N$56&lt;=$C$6,0,HLOOKUP(N$56,'Input data'!$C$9:$BB$26,12,FALSE)-HLOOKUP($C$6,'Input data'!$C$9:$BB$26,12,FALSE))</f>
        <v>-0.21544999999999703</v>
      </c>
      <c r="O64" s="1">
        <f>IF(O$56&lt;=$C$6,0,HLOOKUP(O$56,'Input data'!$C$9:$BB$26,12,FALSE)-HLOOKUP($C$6,'Input data'!$C$9:$BB$26,12,FALSE))</f>
        <v>-0.23963999999999785</v>
      </c>
      <c r="P64" s="1">
        <f>IF(P$56&lt;=$C$6,0,HLOOKUP(P$56,'Input data'!$C$9:$BB$26,12,FALSE)-HLOOKUP($C$6,'Input data'!$C$9:$BB$26,12,FALSE))</f>
        <v>-0.24834999999999852</v>
      </c>
      <c r="Q64" s="1">
        <f>IF(Q$56&lt;=$C$6,0,HLOOKUP(Q$56,'Input data'!$C$9:$BB$26,12,FALSE)-HLOOKUP($C$6,'Input data'!$C$9:$BB$26,12,FALSE))</f>
        <v>-0.24143999999999721</v>
      </c>
      <c r="R64" s="1">
        <f>IF(R$56&lt;=$C$6,0,HLOOKUP(R$56,'Input data'!$C$9:$BB$26,12,FALSE)-HLOOKUP($C$6,'Input data'!$C$9:$BB$26,12,FALSE))</f>
        <v>-0.22022999999999904</v>
      </c>
      <c r="S64" s="1">
        <f>IF(S$56&lt;=$C$6,0,HLOOKUP(S$56,'Input data'!$C$9:$BB$26,12,FALSE)-HLOOKUP($C$6,'Input data'!$C$9:$BB$26,12,FALSE))</f>
        <v>-0.1892499999999977</v>
      </c>
      <c r="T64" s="1">
        <f>IF(T$56&lt;=$C$6,0,HLOOKUP(T$56,'Input data'!$C$9:$BB$26,12,FALSE)-HLOOKUP($C$6,'Input data'!$C$9:$BB$26,12,FALSE))</f>
        <v>-0.15066999999999808</v>
      </c>
      <c r="U64" s="1">
        <f>IF(U$56&lt;=$C$6,0,HLOOKUP(U$56,'Input data'!$C$9:$BB$26,12,FALSE)-HLOOKUP($C$6,'Input data'!$C$9:$BB$26,12,FALSE))</f>
        <v>-9.6399999999999153E-2</v>
      </c>
      <c r="V64" s="1">
        <f>IF(V$56&lt;=$C$6,0,HLOOKUP(V$56,'Input data'!$C$9:$BB$26,12,FALSE)-HLOOKUP($C$6,'Input data'!$C$9:$BB$26,12,FALSE))</f>
        <v>-2.3409999999998377E-2</v>
      </c>
      <c r="W64" s="1">
        <f>IF(W$56&lt;=$C$6,0,HLOOKUP(W$56,'Input data'!$C$9:$BB$26,12,FALSE)-HLOOKUP($C$6,'Input data'!$C$9:$BB$26,12,FALSE))</f>
        <v>6.7620000000001568E-2</v>
      </c>
    </row>
    <row r="65" spans="2:23" outlineLevel="1" x14ac:dyDescent="0.2">
      <c r="B65" s="79" t="s">
        <v>112</v>
      </c>
      <c r="C65" s="1"/>
      <c r="D65" s="1">
        <f>IF(D$56&lt;=$C$5,0,-HLOOKUP(D$56,'Input data'!$C$9:$BB$26,18,FALSE)+HLOOKUP($C$6,'Input data'!$C$9:$BB$26,18,FALSE))</f>
        <v>0</v>
      </c>
      <c r="E65" s="1">
        <f>IF(E$56&lt;=$C$5,0,-HLOOKUP(E$56,'Input data'!$C$9:$BB$26,18,FALSE)+HLOOKUP($C$6,'Input data'!$C$9:$BB$26,18,FALSE))</f>
        <v>0</v>
      </c>
      <c r="F65" s="1">
        <f>IF(F$56&lt;=$C$5,0,-HLOOKUP(F$56,'Input data'!$C$9:$BB$26,18,FALSE)+HLOOKUP($C$6,'Input data'!$C$9:$BB$26,18,FALSE))</f>
        <v>0</v>
      </c>
      <c r="G65" s="1">
        <f>IF(G$56&lt;=$C$6,0,-HLOOKUP(G$56,'Input data'!$C$9:$BB$26,18,FALSE)+HLOOKUP($C$6,'Input data'!$C$9:$BB$26,18,FALSE))</f>
        <v>0</v>
      </c>
      <c r="H65" s="1">
        <f>IF(H$56&lt;=$C$6,0,-HLOOKUP(H$56,'Input data'!$C$9:$BB$26,18,FALSE)+HLOOKUP($C$6,'Input data'!$C$9:$BB$26,18,FALSE))</f>
        <v>0</v>
      </c>
      <c r="I65" s="1">
        <f>IF(I$56&lt;=$C$6,0,-HLOOKUP(I$56,'Input data'!$C$9:$BB$26,18,FALSE)+HLOOKUP($C$6,'Input data'!$C$9:$BB$26,18,FALSE))</f>
        <v>0</v>
      </c>
      <c r="J65" s="1">
        <f>IF(J$56&lt;=$C$6,0,-HLOOKUP(J$56,'Input data'!$C$9:$BB$26,18,FALSE)+HLOOKUP($C$6,'Input data'!$C$9:$BB$26,18,FALSE))</f>
        <v>0</v>
      </c>
      <c r="K65" s="1">
        <f>IF(K$56&lt;=$C$6,0,-HLOOKUP(K$56,'Input data'!$C$9:$BB$26,18,FALSE)+HLOOKUP($C$6,'Input data'!$C$9:$BB$26,18,FALSE))</f>
        <v>2.8434999999999988E-3</v>
      </c>
      <c r="L65" s="1">
        <f>IF(L$56&lt;=$C$6,0,-HLOOKUP(L$56,'Input data'!$C$9:$BB$26,18,FALSE)+HLOOKUP($C$6,'Input data'!$C$9:$BB$26,18,FALSE))</f>
        <v>5.6869999999999976E-3</v>
      </c>
      <c r="M65" s="1">
        <f>IF(M$56&lt;=$C$6,0,-HLOOKUP(M$56,'Input data'!$C$9:$BB$26,18,FALSE)+HLOOKUP($C$6,'Input data'!$C$9:$BB$26,18,FALSE))</f>
        <v>8.5305999999999993E-3</v>
      </c>
      <c r="N65" s="1">
        <f>IF(N$56&lt;=$C$6,0,-HLOOKUP(N$56,'Input data'!$C$9:$BB$26,18,FALSE)+HLOOKUP($C$6,'Input data'!$C$9:$BB$26,18,FALSE))</f>
        <v>1.1374200000000001E-2</v>
      </c>
      <c r="O65" s="1">
        <f>IF(O$56&lt;=$C$6,0,-HLOOKUP(O$56,'Input data'!$C$9:$BB$26,18,FALSE)+HLOOKUP($C$6,'Input data'!$C$9:$BB$26,18,FALSE))</f>
        <v>1.42177E-2</v>
      </c>
      <c r="P65" s="1">
        <f>IF(P$56&lt;=$C$6,0,-HLOOKUP(P$56,'Input data'!$C$9:$BB$26,18,FALSE)+HLOOKUP($C$6,'Input data'!$C$9:$BB$26,18,FALSE))</f>
        <v>1.7061199999999999E-2</v>
      </c>
      <c r="Q65" s="1">
        <f>IF(Q$56&lt;=$C$6,0,-HLOOKUP(Q$56,'Input data'!$C$9:$BB$26,18,FALSE)+HLOOKUP($C$6,'Input data'!$C$9:$BB$26,18,FALSE))</f>
        <v>1.99048E-2</v>
      </c>
      <c r="R65" s="1">
        <f>IF(R$56&lt;=$C$6,0,-HLOOKUP(R$56,'Input data'!$C$9:$BB$26,18,FALSE)+HLOOKUP($C$6,'Input data'!$C$9:$BB$26,18,FALSE))</f>
        <v>2.2748299999999999E-2</v>
      </c>
      <c r="S65" s="1">
        <f>IF(S$56&lt;=$C$6,0,-HLOOKUP(S$56,'Input data'!$C$9:$BB$26,18,FALSE)+HLOOKUP($C$6,'Input data'!$C$9:$BB$26,18,FALSE))</f>
        <v>2.5591900000000001E-2</v>
      </c>
      <c r="T65" s="1">
        <f>IF(T$56&lt;=$C$6,0,-HLOOKUP(T$56,'Input data'!$C$9:$BB$26,18,FALSE)+HLOOKUP($C$6,'Input data'!$C$9:$BB$26,18,FALSE))</f>
        <v>2.84354E-2</v>
      </c>
      <c r="U65" s="264">
        <f>IF(U$56&lt;=$C$6,0,-HLOOKUP(U$56,'Input data'!$C$9:$BB$26,18,FALSE)+HLOOKUP($C$6,'Input data'!$C$9:$BB$26,18,FALSE))</f>
        <v>3.1279000000000001E-2</v>
      </c>
      <c r="V65" s="264">
        <f>IF(V$56&lt;=$C$6,0,-HLOOKUP(V$56,'Input data'!$C$9:$BB$26,18,FALSE)+HLOOKUP($C$6,'Input data'!$C$9:$BB$26,18,FALSE))</f>
        <v>3.41225E-2</v>
      </c>
      <c r="W65" s="264">
        <f>IF(W$56&lt;=$C$6,0,-HLOOKUP(W$56,'Input data'!$C$9:$BB$26,18,FALSE)+HLOOKUP($C$6,'Input data'!$C$9:$BB$26,18,FALSE))</f>
        <v>3.6965999999999999E-2</v>
      </c>
    </row>
    <row r="66" spans="2:23" outlineLevel="1" x14ac:dyDescent="0.2">
      <c r="B66" s="79" t="s">
        <v>113</v>
      </c>
      <c r="C66" s="37"/>
      <c r="D66" s="37">
        <v>0</v>
      </c>
      <c r="E66" s="37">
        <v>0</v>
      </c>
      <c r="F66" s="37">
        <v>0</v>
      </c>
      <c r="G66" s="37">
        <v>0</v>
      </c>
      <c r="H66" s="37">
        <v>0</v>
      </c>
      <c r="I66" s="37">
        <v>0</v>
      </c>
      <c r="J66" s="37">
        <v>0</v>
      </c>
      <c r="K66" s="37">
        <v>0</v>
      </c>
      <c r="L66" s="37">
        <v>0</v>
      </c>
      <c r="M66" s="37">
        <v>0</v>
      </c>
      <c r="N66" s="37">
        <v>0</v>
      </c>
      <c r="O66" s="37">
        <v>0</v>
      </c>
      <c r="P66" s="37">
        <v>0</v>
      </c>
      <c r="Q66" s="37">
        <v>0</v>
      </c>
      <c r="R66" s="37">
        <v>0</v>
      </c>
      <c r="S66" s="37">
        <v>0</v>
      </c>
      <c r="T66" s="37">
        <v>0</v>
      </c>
      <c r="U66" s="265">
        <v>0</v>
      </c>
      <c r="V66" s="265">
        <v>0</v>
      </c>
      <c r="W66" s="265">
        <v>0</v>
      </c>
    </row>
    <row r="67" spans="2:23" outlineLevel="1" x14ac:dyDescent="0.2">
      <c r="B67" s="84" t="s">
        <v>114</v>
      </c>
      <c r="C67" s="48"/>
      <c r="D67" s="48">
        <f t="shared" ref="D67:O67" si="23">SUM(D68:D71)</f>
        <v>-5.5832499999999996</v>
      </c>
      <c r="E67" s="48">
        <f t="shared" si="23"/>
        <v>-4.0893290000000002</v>
      </c>
      <c r="F67" s="48">
        <f t="shared" si="23"/>
        <v>-2.6188769999999999</v>
      </c>
      <c r="G67" s="48">
        <f t="shared" si="23"/>
        <v>-2.1269003765911796</v>
      </c>
      <c r="H67" s="48">
        <f t="shared" si="23"/>
        <v>-2.1539605113373002</v>
      </c>
      <c r="I67" s="48">
        <f t="shared" si="23"/>
        <v>-2.1542867742293361</v>
      </c>
      <c r="J67" s="48">
        <f t="shared" si="23"/>
        <v>-2.0760024190338866</v>
      </c>
      <c r="K67" s="48">
        <f t="shared" si="23"/>
        <v>-2.1923186238318269</v>
      </c>
      <c r="L67" s="48">
        <f t="shared" si="23"/>
        <v>-2.0707953357265589</v>
      </c>
      <c r="M67" s="48">
        <f t="shared" si="23"/>
        <v>-1.9209508708533551</v>
      </c>
      <c r="N67" s="48">
        <f t="shared" si="23"/>
        <v>-1.6107959557385025</v>
      </c>
      <c r="O67" s="48">
        <f t="shared" si="23"/>
        <v>-1.5257677496408693</v>
      </c>
      <c r="P67" s="48">
        <f t="shared" ref="P67:T67" si="24">SUM(P68:P71)</f>
        <v>-1.3123947534186469</v>
      </c>
      <c r="Q67" s="48">
        <f t="shared" si="24"/>
        <v>-1.1128422154426931</v>
      </c>
      <c r="R67" s="48">
        <f t="shared" si="24"/>
        <v>-0.92432513328225108</v>
      </c>
      <c r="S67" s="48">
        <f t="shared" si="24"/>
        <v>-0.84207632553508827</v>
      </c>
      <c r="T67" s="48">
        <f t="shared" si="24"/>
        <v>-0.75226286449498181</v>
      </c>
      <c r="U67" s="48">
        <f t="shared" ref="U67:W67" si="25">SUM(U68:U71)</f>
        <v>-0.65509363542808163</v>
      </c>
      <c r="V67" s="48">
        <f t="shared" si="25"/>
        <v>-0.56437376266062556</v>
      </c>
      <c r="W67" s="48">
        <f t="shared" si="25"/>
        <v>-0.4811086993295981</v>
      </c>
    </row>
    <row r="68" spans="2:23" outlineLevel="1" x14ac:dyDescent="0.2">
      <c r="B68" s="79" t="s">
        <v>115</v>
      </c>
      <c r="C68" s="34"/>
      <c r="D68" s="34">
        <f t="shared" ref="D68:E68" si="26">C57*D36/100*(1/(1+D33/100))</f>
        <v>0.94020825338464531</v>
      </c>
      <c r="E68" s="34">
        <f t="shared" si="26"/>
        <v>1.1036091376320842</v>
      </c>
      <c r="F68" s="34">
        <f>E57*F36/100*(1/(1+F33/100))</f>
        <v>1.2783144254813359</v>
      </c>
      <c r="G68" s="34">
        <f>F57*G36/100*(1/(1+G33/100))</f>
        <v>1.3300303519945194</v>
      </c>
      <c r="H68" s="34">
        <f t="shared" ref="H68:W68" si="27">G57*H36/100*(1/(1+H33/100))</f>
        <v>1.3908609971648196</v>
      </c>
      <c r="I68" s="34">
        <f t="shared" si="27"/>
        <v>1.4344383823462461</v>
      </c>
      <c r="J68" s="34">
        <f>I57*J36/100*(1/(1+J33/100))</f>
        <v>1.4641763698755654</v>
      </c>
      <c r="K68" s="34">
        <f t="shared" si="27"/>
        <v>1.4727588883415772</v>
      </c>
      <c r="L68" s="34">
        <f>K57*L36/100*(1/(1+L33/100))</f>
        <v>1.4766420637616819</v>
      </c>
      <c r="M68" s="34">
        <f t="shared" si="27"/>
        <v>1.4766815458555191</v>
      </c>
      <c r="N68" s="34">
        <f t="shared" si="27"/>
        <v>1.4781281286570129</v>
      </c>
      <c r="O68" s="34">
        <f t="shared" si="27"/>
        <v>1.4803271046057973</v>
      </c>
      <c r="P68" s="34">
        <f t="shared" si="27"/>
        <v>1.4834555411901977</v>
      </c>
      <c r="Q68" s="34">
        <f t="shared" si="27"/>
        <v>1.4894079241674587</v>
      </c>
      <c r="R68" s="34">
        <f t="shared" si="27"/>
        <v>1.4990272001067804</v>
      </c>
      <c r="S68" s="34">
        <f t="shared" si="27"/>
        <v>1.5097465875145673</v>
      </c>
      <c r="T68" s="34">
        <f t="shared" si="27"/>
        <v>1.5225317013704716</v>
      </c>
      <c r="U68" s="34">
        <f t="shared" si="27"/>
        <v>1.5382215577742293</v>
      </c>
      <c r="V68" s="34">
        <f t="shared" si="27"/>
        <v>1.5574385145641174</v>
      </c>
      <c r="W68" s="34">
        <f t="shared" si="27"/>
        <v>1.5808341243797492</v>
      </c>
    </row>
    <row r="69" spans="2:23" outlineLevel="1" x14ac:dyDescent="0.2">
      <c r="B69" s="79" t="s">
        <v>116</v>
      </c>
      <c r="C69" s="34"/>
      <c r="D69" s="34">
        <f t="shared" ref="D69:W69" si="28">-C57*(D24/100)*(1/(1+D33/100))</f>
        <v>-3.8279967050558801</v>
      </c>
      <c r="E69" s="34">
        <f t="shared" si="28"/>
        <v>-2.6067445173410486</v>
      </c>
      <c r="F69" s="34">
        <f t="shared" si="28"/>
        <v>-2.1260856686799849</v>
      </c>
      <c r="G69" s="34">
        <f t="shared" si="28"/>
        <v>-2.1711889043939738</v>
      </c>
      <c r="H69" s="34">
        <f t="shared" si="28"/>
        <v>-2.2411247707228479</v>
      </c>
      <c r="I69" s="34">
        <f t="shared" si="28"/>
        <v>-2.2804061601318408</v>
      </c>
      <c r="J69" s="34">
        <f t="shared" si="28"/>
        <v>-2.2387368486339358</v>
      </c>
      <c r="K69" s="34">
        <f t="shared" si="28"/>
        <v>-2.3808926540937509</v>
      </c>
      <c r="L69" s="34">
        <f t="shared" si="28"/>
        <v>-2.2887987727278838</v>
      </c>
      <c r="M69" s="34">
        <f t="shared" si="28"/>
        <v>-2.1668797148602921</v>
      </c>
      <c r="N69" s="34">
        <f t="shared" si="28"/>
        <v>-1.8875306534674523</v>
      </c>
      <c r="O69" s="34">
        <f t="shared" si="28"/>
        <v>-1.8273633329159333</v>
      </c>
      <c r="P69" s="34">
        <f t="shared" si="28"/>
        <v>-1.6512894754207488</v>
      </c>
      <c r="Q69" s="34">
        <f t="shared" si="28"/>
        <v>-1.4863522917463803</v>
      </c>
      <c r="R69" s="34">
        <f t="shared" si="28"/>
        <v>-1.33072900217368</v>
      </c>
      <c r="S69" s="34">
        <f t="shared" si="28"/>
        <v>-1.2771721467936512</v>
      </c>
      <c r="T69" s="34">
        <f t="shared" si="28"/>
        <v>-1.2152545583351133</v>
      </c>
      <c r="U69" s="34">
        <f t="shared" si="28"/>
        <v>-1.145762067169579</v>
      </c>
      <c r="V69" s="34">
        <f t="shared" si="28"/>
        <v>-1.0826946111427871</v>
      </c>
      <c r="W69" s="34">
        <f t="shared" si="28"/>
        <v>-1.0275513142685888</v>
      </c>
    </row>
    <row r="70" spans="2:23" outlineLevel="1" x14ac:dyDescent="0.2">
      <c r="B70" s="79" t="s">
        <v>117</v>
      </c>
      <c r="C70" s="34"/>
      <c r="D70" s="34">
        <f t="shared" ref="D70:W70" si="29">-C57*D42/100*(1/(1+D42/100))</f>
        <v>-2.6954615106143631</v>
      </c>
      <c r="E70" s="34">
        <f t="shared" si="29"/>
        <v>-2.5861962367945783</v>
      </c>
      <c r="F70" s="34">
        <f t="shared" si="29"/>
        <v>-1.7711092855302355</v>
      </c>
      <c r="G70" s="34">
        <f t="shared" si="29"/>
        <v>-1.2857443532503172</v>
      </c>
      <c r="H70" s="34">
        <f t="shared" si="29"/>
        <v>-1.3036967377792721</v>
      </c>
      <c r="I70" s="34">
        <f t="shared" si="29"/>
        <v>-1.3083189964437414</v>
      </c>
      <c r="J70" s="34">
        <f t="shared" si="29"/>
        <v>-1.3014419402755164</v>
      </c>
      <c r="K70" s="34">
        <f t="shared" si="29"/>
        <v>-1.2841848580796531</v>
      </c>
      <c r="L70" s="34">
        <f t="shared" si="29"/>
        <v>-1.2586386267603569</v>
      </c>
      <c r="M70" s="34">
        <f t="shared" si="29"/>
        <v>-1.2307527018485822</v>
      </c>
      <c r="N70" s="34">
        <f t="shared" si="29"/>
        <v>-1.2013934309280632</v>
      </c>
      <c r="O70" s="34">
        <f t="shared" si="29"/>
        <v>-1.1787315213307332</v>
      </c>
      <c r="P70" s="34">
        <f t="shared" si="29"/>
        <v>-1.1445608191880958</v>
      </c>
      <c r="Q70" s="34">
        <f t="shared" si="29"/>
        <v>-1.1158978478637716</v>
      </c>
      <c r="R70" s="34">
        <f t="shared" si="29"/>
        <v>-1.0926233312153515</v>
      </c>
      <c r="S70" s="34">
        <f t="shared" si="29"/>
        <v>-1.0746507662560043</v>
      </c>
      <c r="T70" s="34">
        <f t="shared" si="29"/>
        <v>-1.0595400075303401</v>
      </c>
      <c r="U70" s="34">
        <f t="shared" si="29"/>
        <v>-1.047553126032732</v>
      </c>
      <c r="V70" s="34">
        <f t="shared" si="29"/>
        <v>-1.0391176660819559</v>
      </c>
      <c r="W70" s="34">
        <f t="shared" si="29"/>
        <v>-1.0343915094407585</v>
      </c>
    </row>
    <row r="71" spans="2:23" outlineLevel="1" x14ac:dyDescent="0.2">
      <c r="B71" s="79" t="s">
        <v>118</v>
      </c>
      <c r="C71" s="49"/>
      <c r="D71" s="49">
        <f>'Baseline NFPC'!D70</f>
        <v>-3.7714402267852165E-8</v>
      </c>
      <c r="E71" s="49">
        <f>'Baseline NFPC'!E70</f>
        <v>2.6165035427183625E-6</v>
      </c>
      <c r="F71" s="49">
        <f>'Baseline NFPC'!F70</f>
        <v>3.5287288846497233E-6</v>
      </c>
      <c r="G71" s="49">
        <f>'Baseline NFPC'!G70</f>
        <v>2.5290585918824604E-6</v>
      </c>
      <c r="H71" s="49">
        <v>0</v>
      </c>
      <c r="I71" s="49">
        <v>0</v>
      </c>
      <c r="J71" s="49">
        <v>0</v>
      </c>
      <c r="K71" s="49">
        <v>0</v>
      </c>
      <c r="L71" s="49">
        <v>0</v>
      </c>
      <c r="M71" s="49">
        <v>0</v>
      </c>
      <c r="N71" s="49">
        <v>0</v>
      </c>
      <c r="O71" s="49">
        <v>0</v>
      </c>
      <c r="P71" s="49">
        <v>0</v>
      </c>
      <c r="Q71" s="49">
        <v>0</v>
      </c>
      <c r="R71" s="49">
        <v>0</v>
      </c>
      <c r="S71" s="49">
        <v>0</v>
      </c>
      <c r="T71" s="49">
        <v>0</v>
      </c>
      <c r="U71" s="49">
        <v>0</v>
      </c>
      <c r="V71" s="49">
        <v>0</v>
      </c>
      <c r="W71" s="49">
        <v>0</v>
      </c>
    </row>
    <row r="72" spans="2:23" outlineLevel="1" x14ac:dyDescent="0.2">
      <c r="B72" s="84" t="s">
        <v>119</v>
      </c>
      <c r="C72" s="50"/>
      <c r="D72" s="50">
        <f>'Input data'!D16</f>
        <v>-1.3102750000000001</v>
      </c>
      <c r="E72" s="50">
        <f>'Input data'!E16</f>
        <v>-0.94044799999999995</v>
      </c>
      <c r="F72" s="50">
        <f>'Input data'!F16</f>
        <v>1.1851989999999999</v>
      </c>
      <c r="G72" s="50">
        <f>'Input data'!G16</f>
        <v>6.6724400000000003E-2</v>
      </c>
      <c r="H72" s="50">
        <f>'Input data'!H16</f>
        <v>0</v>
      </c>
      <c r="I72" s="50">
        <f>'Input data'!I16</f>
        <v>0</v>
      </c>
      <c r="J72" s="50">
        <f>'Input data'!J16</f>
        <v>0</v>
      </c>
      <c r="K72" s="50">
        <f>'Input data'!K16</f>
        <v>0</v>
      </c>
      <c r="L72" s="50">
        <f>'Input data'!L16</f>
        <v>0</v>
      </c>
      <c r="M72" s="50">
        <f>'Input data'!M16</f>
        <v>0</v>
      </c>
      <c r="N72" s="50">
        <f>'Input data'!N16</f>
        <v>0</v>
      </c>
      <c r="O72" s="50">
        <f>'Input data'!O16</f>
        <v>0</v>
      </c>
      <c r="P72" s="50">
        <f>'Input data'!P16</f>
        <v>0</v>
      </c>
      <c r="Q72" s="50">
        <f>'Input data'!Q16</f>
        <v>0</v>
      </c>
      <c r="R72" s="50">
        <f>'Input data'!R16</f>
        <v>0</v>
      </c>
      <c r="S72" s="50">
        <f>'Input data'!S16</f>
        <v>0</v>
      </c>
      <c r="T72" s="50">
        <f>'Input data'!T16</f>
        <v>0</v>
      </c>
      <c r="U72" s="50">
        <f>'Input data'!U16</f>
        <v>0</v>
      </c>
      <c r="V72" s="50">
        <f>'Input data'!V16</f>
        <v>0</v>
      </c>
      <c r="W72" s="50">
        <f>'Input data'!W16</f>
        <v>0</v>
      </c>
    </row>
    <row r="73" spans="2:23" outlineLevel="1" x14ac:dyDescent="0.2">
      <c r="B73" s="79" t="s">
        <v>120</v>
      </c>
      <c r="C73" s="34"/>
      <c r="D73" s="34">
        <f t="shared" ref="D73:W73" si="30">D15</f>
        <v>-1.3102750000000001</v>
      </c>
      <c r="E73" s="34">
        <f t="shared" si="30"/>
        <v>-0.94044729999999999</v>
      </c>
      <c r="F73" s="34">
        <f t="shared" si="30"/>
        <v>1.1851970000000001</v>
      </c>
      <c r="G73" s="34">
        <f t="shared" si="30"/>
        <v>6.6727599999999998E-2</v>
      </c>
      <c r="H73" s="34">
        <f t="shared" si="30"/>
        <v>0</v>
      </c>
      <c r="I73" s="34">
        <f t="shared" si="30"/>
        <v>0</v>
      </c>
      <c r="J73" s="34">
        <f t="shared" si="30"/>
        <v>0</v>
      </c>
      <c r="K73" s="34">
        <f t="shared" si="30"/>
        <v>0</v>
      </c>
      <c r="L73" s="34">
        <f t="shared" si="30"/>
        <v>0</v>
      </c>
      <c r="M73" s="34">
        <f t="shared" si="30"/>
        <v>0</v>
      </c>
      <c r="N73" s="34">
        <f t="shared" si="30"/>
        <v>0</v>
      </c>
      <c r="O73" s="34">
        <f t="shared" si="30"/>
        <v>0</v>
      </c>
      <c r="P73" s="34">
        <f t="shared" si="30"/>
        <v>0</v>
      </c>
      <c r="Q73" s="34">
        <f t="shared" si="30"/>
        <v>0</v>
      </c>
      <c r="R73" s="34">
        <f t="shared" si="30"/>
        <v>0</v>
      </c>
      <c r="S73" s="34">
        <f t="shared" si="30"/>
        <v>0</v>
      </c>
      <c r="T73" s="34">
        <f t="shared" si="30"/>
        <v>0</v>
      </c>
      <c r="U73" s="34">
        <f t="shared" si="30"/>
        <v>0</v>
      </c>
      <c r="V73" s="34">
        <f t="shared" si="30"/>
        <v>0</v>
      </c>
      <c r="W73" s="34">
        <f t="shared" si="30"/>
        <v>0</v>
      </c>
    </row>
    <row r="74" spans="2:23" outlineLevel="1" x14ac:dyDescent="0.2">
      <c r="B74" s="89" t="s">
        <v>121</v>
      </c>
      <c r="C74" s="49"/>
      <c r="D74" s="49">
        <f>+D72-D73</f>
        <v>0</v>
      </c>
      <c r="E74" s="49">
        <f t="shared" ref="E74:T74" si="31">+E72-E73</f>
        <v>-6.9999999996461781E-7</v>
      </c>
      <c r="F74" s="49">
        <f t="shared" si="31"/>
        <v>1.9999999998354667E-6</v>
      </c>
      <c r="G74" s="49">
        <f t="shared" si="31"/>
        <v>-3.1999999999948736E-6</v>
      </c>
      <c r="H74" s="49">
        <f t="shared" si="31"/>
        <v>0</v>
      </c>
      <c r="I74" s="49">
        <f t="shared" si="31"/>
        <v>0</v>
      </c>
      <c r="J74" s="49">
        <f t="shared" si="31"/>
        <v>0</v>
      </c>
      <c r="K74" s="49">
        <f t="shared" si="31"/>
        <v>0</v>
      </c>
      <c r="L74" s="49">
        <f t="shared" si="31"/>
        <v>0</v>
      </c>
      <c r="M74" s="49">
        <f t="shared" si="31"/>
        <v>0</v>
      </c>
      <c r="N74" s="49">
        <f t="shared" si="31"/>
        <v>0</v>
      </c>
      <c r="O74" s="49">
        <f t="shared" si="31"/>
        <v>0</v>
      </c>
      <c r="P74" s="49">
        <f t="shared" si="31"/>
        <v>0</v>
      </c>
      <c r="Q74" s="49">
        <f t="shared" si="31"/>
        <v>0</v>
      </c>
      <c r="R74" s="49">
        <f t="shared" si="31"/>
        <v>0</v>
      </c>
      <c r="S74" s="49">
        <f t="shared" si="31"/>
        <v>0</v>
      </c>
      <c r="T74" s="49">
        <f t="shared" si="31"/>
        <v>0</v>
      </c>
      <c r="U74" s="49">
        <f t="shared" ref="U74:W74" si="32">+U72-U73</f>
        <v>0</v>
      </c>
      <c r="V74" s="49">
        <f t="shared" si="32"/>
        <v>0</v>
      </c>
      <c r="W74" s="49">
        <f t="shared" si="32"/>
        <v>0</v>
      </c>
    </row>
    <row r="75" spans="2:23" ht="10.5" customHeight="1" outlineLevel="1" x14ac:dyDescent="0.2"/>
    <row r="76" spans="2:23" ht="10.5" customHeight="1" outlineLevel="1" x14ac:dyDescent="0.2">
      <c r="B76" s="91" t="s">
        <v>122</v>
      </c>
    </row>
    <row r="77" spans="2:23" x14ac:dyDescent="0.2">
      <c r="B77" s="77" t="s">
        <v>41</v>
      </c>
      <c r="C77" s="77"/>
      <c r="D77" s="78">
        <f>D59-D68</f>
        <v>-5.5345629843619353</v>
      </c>
      <c r="E77" s="78">
        <f t="shared" ref="E77:T77" si="33">E59-E68</f>
        <v>-4.9035648381670391</v>
      </c>
      <c r="F77" s="78">
        <f t="shared" si="33"/>
        <v>-4.3425745264584314</v>
      </c>
      <c r="G77" s="78">
        <f>G59-G68</f>
        <v>-4.0758412672041322</v>
      </c>
      <c r="H77" s="78">
        <f t="shared" si="33"/>
        <v>-3.6908326637685271</v>
      </c>
      <c r="I77" s="78">
        <f t="shared" si="33"/>
        <v>-3.2702742486582439</v>
      </c>
      <c r="J77" s="78">
        <f t="shared" si="33"/>
        <v>-2.8034928099652019</v>
      </c>
      <c r="K77" s="78">
        <f t="shared" si="33"/>
        <v>-2.5954042605745951</v>
      </c>
      <c r="L77" s="78">
        <f t="shared" si="33"/>
        <v>-2.3851763681380982</v>
      </c>
      <c r="M77" s="78">
        <f t="shared" si="33"/>
        <v>-2.1778648823753164</v>
      </c>
      <c r="N77" s="78">
        <f t="shared" si="33"/>
        <v>-2.14037322587787</v>
      </c>
      <c r="O77" s="78">
        <f t="shared" si="33"/>
        <v>-2.1212247816983791</v>
      </c>
      <c r="P77" s="78">
        <f t="shared" si="33"/>
        <v>-2.1184857951470124</v>
      </c>
      <c r="Q77" s="78">
        <f t="shared" si="33"/>
        <v>-2.1341917781242641</v>
      </c>
      <c r="R77" s="78">
        <f t="shared" si="33"/>
        <v>-2.1678631602484524</v>
      </c>
      <c r="S77" s="78">
        <f t="shared" si="33"/>
        <v>-2.2124047523265404</v>
      </c>
      <c r="T77" s="78">
        <f t="shared" si="33"/>
        <v>-2.2666138319283413</v>
      </c>
      <c r="U77" s="78">
        <f t="shared" ref="U77:W77" si="34">U59-U68</f>
        <v>-2.3394182213418531</v>
      </c>
      <c r="V77" s="78">
        <f t="shared" si="34"/>
        <v>-2.4344700798338783</v>
      </c>
      <c r="W77" s="78">
        <f t="shared" si="34"/>
        <v>-2.5517401254757779</v>
      </c>
    </row>
    <row r="78" spans="2:23" x14ac:dyDescent="0.2">
      <c r="B78" s="26" t="s">
        <v>42</v>
      </c>
      <c r="D78" s="34">
        <f>D60-D68-D64-D65-D66</f>
        <v>-5.2954122533846446</v>
      </c>
      <c r="E78" s="34">
        <f t="shared" ref="E78:W78" si="35">E60-E68-E64-E65-E66</f>
        <v>-4.8946031376320844</v>
      </c>
      <c r="F78" s="34">
        <f t="shared" si="35"/>
        <v>-4.1755574254813359</v>
      </c>
      <c r="G78" s="34">
        <f t="shared" si="35"/>
        <v>-3.7272733519945191</v>
      </c>
      <c r="H78" s="34">
        <f t="shared" si="35"/>
        <v>-3.2881039971648196</v>
      </c>
      <c r="I78" s="34">
        <f t="shared" si="35"/>
        <v>-2.8316813823462459</v>
      </c>
      <c r="J78" s="34">
        <f t="shared" si="35"/>
        <v>-2.330499106395362</v>
      </c>
      <c r="K78" s="34">
        <f t="shared" si="35"/>
        <v>-2.2800751248613773</v>
      </c>
      <c r="L78" s="34">
        <f t="shared" si="35"/>
        <v>-2.2275118002814818</v>
      </c>
      <c r="M78" s="34">
        <f t="shared" si="35"/>
        <v>-2.1778648823753159</v>
      </c>
      <c r="N78" s="34">
        <f t="shared" si="35"/>
        <v>-2.1403750651768125</v>
      </c>
      <c r="O78" s="34">
        <f t="shared" si="35"/>
        <v>-2.1212275411255961</v>
      </c>
      <c r="P78" s="34">
        <f t="shared" si="35"/>
        <v>-2.1184894777099958</v>
      </c>
      <c r="Q78" s="34">
        <f t="shared" si="35"/>
        <v>-2.1341954606872582</v>
      </c>
      <c r="R78" s="34">
        <f t="shared" si="35"/>
        <v>-2.1678682366265778</v>
      </c>
      <c r="S78" s="34">
        <f t="shared" si="35"/>
        <v>-2.2124112240343665</v>
      </c>
      <c r="T78" s="34">
        <f t="shared" si="35"/>
        <v>-2.2666198378902704</v>
      </c>
      <c r="U78" s="34">
        <f t="shared" si="35"/>
        <v>-2.339423294294027</v>
      </c>
      <c r="V78" s="34">
        <f t="shared" si="35"/>
        <v>-2.4344737510839156</v>
      </c>
      <c r="W78" s="34">
        <f t="shared" si="35"/>
        <v>-2.5517428608995476</v>
      </c>
    </row>
    <row r="79" spans="2:23" x14ac:dyDescent="0.2">
      <c r="B79" s="35" t="s">
        <v>123</v>
      </c>
      <c r="C79" s="35"/>
      <c r="D79" s="285">
        <f>'Input data'!D45</f>
        <v>13.084528102274954</v>
      </c>
      <c r="E79" s="285">
        <f>'Input data'!E45</f>
        <v>9.2925167870017127</v>
      </c>
      <c r="F79" s="285">
        <f>'Input data'!F45</f>
        <v>5.4768546648577532</v>
      </c>
      <c r="G79" s="49">
        <f>'Input data'!G33+G42-(G$12-F$12)/'Input data'!$C$64*100</f>
        <v>6.0362926526983181</v>
      </c>
      <c r="H79" s="49">
        <f>'Input data'!H33+H42-(H$12-G$12)/'Input data'!$C$64*100</f>
        <v>5.8465577776983189</v>
      </c>
      <c r="I79" s="49">
        <f>'Input data'!I33+I42-(I$12-H$12)/'Input data'!$C$64*100</f>
        <v>5.8786849026983194</v>
      </c>
      <c r="J79" s="49">
        <f>'Input data'!J33+J42-(J$12-I$12)/'Input data'!$C$64*100</f>
        <v>5.7334206711536977</v>
      </c>
      <c r="K79" s="49">
        <f>'Input data'!K33+K42-(K$12-J$12)/'Input data'!$C$64*100</f>
        <v>7.1401374999999998</v>
      </c>
      <c r="L79" s="49">
        <f>'Input data'!L33+L42-(L$12-K$12)/'Input data'!$C$64*100</f>
        <v>7.0482306250000004</v>
      </c>
      <c r="M79" s="49">
        <f>'Input data'!M33+M42-(M$12-L$12)/'Input data'!$C$64*100</f>
        <v>6.8942157499999999</v>
      </c>
      <c r="N79" s="49">
        <f>'Input data'!N33+N42-(N$12-M$12)/'Input data'!$C$64*100</f>
        <v>6.7181138749999993</v>
      </c>
      <c r="O79" s="49">
        <f>'Input data'!O33+O42-(O$12-N$12)/'Input data'!$C$64*100</f>
        <v>6.6659220000000001</v>
      </c>
      <c r="P79" s="49">
        <f>'Input data'!P33+P42-(P$12-O$12)/'Input data'!$C$64*100</f>
        <v>6.2992240000000006</v>
      </c>
      <c r="Q79" s="49">
        <f>'Input data'!Q33+Q42-(Q$12-P$12)/'Input data'!$C$64*100</f>
        <v>5.9325259999999993</v>
      </c>
      <c r="R79" s="49">
        <f>'Input data'!R33+R42-(R$12-Q$12)/'Input data'!$C$64*100</f>
        <v>5.5658289999999999</v>
      </c>
      <c r="S79" s="49">
        <f>'Input data'!S33+S42-(S$12-R$12)/'Input data'!$C$64*100</f>
        <v>5.4264239999999999</v>
      </c>
      <c r="T79" s="49">
        <f>'Input data'!T33+T42-(T$12-S$12)/'Input data'!$C$64*100</f>
        <v>5.2582969999999998</v>
      </c>
      <c r="U79" s="49">
        <f>'Input data'!U33+U42-(U$12-T$12)/'Input data'!$C$64*100</f>
        <v>5.0634680000000003</v>
      </c>
      <c r="V79" s="49">
        <f>'Input data'!V33+V42-(V$12-U$12)/'Input data'!$C$64*100</f>
        <v>4.8757250000000001</v>
      </c>
      <c r="W79" s="49">
        <f>'Input data'!W33+W42-(W$12-V$12)/'Input data'!$C$64*100</f>
        <v>4.6994369999999996</v>
      </c>
    </row>
    <row r="80" spans="2:23" x14ac:dyDescent="0.2">
      <c r="D80" s="34"/>
      <c r="E80" s="34"/>
      <c r="F80" s="34"/>
      <c r="G80" s="34"/>
      <c r="H80" s="34"/>
      <c r="I80" s="34"/>
      <c r="J80" s="34"/>
      <c r="K80" s="34"/>
      <c r="L80" s="34"/>
      <c r="M80" s="34"/>
      <c r="N80" s="34"/>
      <c r="O80" s="34"/>
      <c r="P80" s="34"/>
      <c r="Q80" s="34"/>
      <c r="R80" s="34"/>
      <c r="S80" s="34"/>
      <c r="T80" s="34"/>
      <c r="U80" s="34"/>
      <c r="V80" s="34"/>
      <c r="W80" s="34"/>
    </row>
    <row r="81" spans="2:23" x14ac:dyDescent="0.2">
      <c r="B81" s="113" t="s">
        <v>143</v>
      </c>
      <c r="C81" s="51"/>
      <c r="D81" s="215">
        <f ca="1">AVERAGE(OFFSET($G$79,0,0,1,'Criteria results'!F5))</f>
        <v>5.8737390010621633</v>
      </c>
      <c r="E81" s="34"/>
      <c r="F81" s="34"/>
      <c r="G81" s="358"/>
      <c r="H81" s="358"/>
      <c r="I81" s="358"/>
      <c r="J81" s="358"/>
      <c r="K81" s="358"/>
      <c r="L81" s="358"/>
      <c r="M81" s="358"/>
      <c r="N81" s="358"/>
      <c r="O81" s="358"/>
      <c r="P81" s="358"/>
      <c r="Q81" s="358"/>
      <c r="R81" s="358"/>
      <c r="S81" s="358"/>
      <c r="T81" s="358"/>
      <c r="U81" s="34"/>
      <c r="V81" s="34"/>
      <c r="W81" s="34"/>
    </row>
    <row r="82" spans="2:23" x14ac:dyDescent="0.2">
      <c r="B82" s="77"/>
      <c r="C82" s="77"/>
      <c r="D82" s="78"/>
      <c r="E82" s="34"/>
      <c r="F82" s="34"/>
      <c r="G82" s="34"/>
      <c r="H82" s="34"/>
      <c r="I82" s="34"/>
      <c r="J82" s="34"/>
      <c r="K82" s="34"/>
      <c r="L82" s="34"/>
      <c r="M82" s="34"/>
      <c r="N82" s="34"/>
      <c r="O82" s="34"/>
      <c r="P82" s="34"/>
      <c r="Q82" s="34"/>
      <c r="R82" s="34"/>
      <c r="S82" s="34"/>
      <c r="T82" s="34"/>
      <c r="U82" s="34"/>
      <c r="V82" s="34"/>
      <c r="W82" s="34"/>
    </row>
    <row r="83" spans="2:23" x14ac:dyDescent="0.2">
      <c r="B83" s="51" t="s">
        <v>187</v>
      </c>
      <c r="C83" s="51"/>
      <c r="D83" s="51"/>
      <c r="E83" s="51"/>
      <c r="F83" s="51"/>
      <c r="G83" s="258"/>
      <c r="H83" s="258"/>
      <c r="I83" s="258"/>
      <c r="J83" s="258"/>
      <c r="K83" s="258">
        <f t="shared" ref="K83:W83" si="36">IF(K57&lt;J57,0,1)</f>
        <v>0</v>
      </c>
      <c r="L83" s="258">
        <f t="shared" si="36"/>
        <v>0</v>
      </c>
      <c r="M83" s="258">
        <f t="shared" si="36"/>
        <v>0</v>
      </c>
      <c r="N83" s="258">
        <f t="shared" si="36"/>
        <v>0</v>
      </c>
      <c r="O83" s="258">
        <f t="shared" si="36"/>
        <v>0</v>
      </c>
      <c r="P83" s="258">
        <f t="shared" si="36"/>
        <v>0</v>
      </c>
      <c r="Q83" s="258">
        <f t="shared" si="36"/>
        <v>0</v>
      </c>
      <c r="R83" s="258">
        <f t="shared" si="36"/>
        <v>0</v>
      </c>
      <c r="S83" s="258">
        <f t="shared" si="36"/>
        <v>0</v>
      </c>
      <c r="T83" s="258">
        <f t="shared" si="36"/>
        <v>0</v>
      </c>
      <c r="U83" s="258">
        <f t="shared" si="36"/>
        <v>1</v>
      </c>
      <c r="V83" s="258">
        <f t="shared" si="36"/>
        <v>1</v>
      </c>
      <c r="W83" s="258">
        <f t="shared" si="36"/>
        <v>1</v>
      </c>
    </row>
    <row r="84" spans="2:23" x14ac:dyDescent="0.2">
      <c r="B84" s="26" t="s">
        <v>261</v>
      </c>
      <c r="F84" s="29">
        <f t="shared" ref="F84:W84" si="37">IF(F57&gt;90,1,0)</f>
        <v>0</v>
      </c>
      <c r="G84" s="29">
        <f t="shared" si="37"/>
        <v>0</v>
      </c>
      <c r="H84" s="29">
        <f t="shared" si="37"/>
        <v>0</v>
      </c>
      <c r="I84" s="29">
        <f t="shared" si="37"/>
        <v>0</v>
      </c>
      <c r="J84" s="29">
        <f t="shared" si="37"/>
        <v>0</v>
      </c>
      <c r="K84" s="29">
        <f t="shared" si="37"/>
        <v>0</v>
      </c>
      <c r="L84" s="29">
        <f t="shared" si="37"/>
        <v>0</v>
      </c>
      <c r="M84" s="29">
        <f t="shared" si="37"/>
        <v>0</v>
      </c>
      <c r="N84" s="29">
        <f t="shared" si="37"/>
        <v>0</v>
      </c>
      <c r="O84" s="29">
        <f t="shared" si="37"/>
        <v>0</v>
      </c>
      <c r="P84" s="29">
        <f t="shared" si="37"/>
        <v>0</v>
      </c>
      <c r="Q84" s="29">
        <f t="shared" si="37"/>
        <v>0</v>
      </c>
      <c r="R84" s="29">
        <f t="shared" si="37"/>
        <v>0</v>
      </c>
      <c r="S84" s="29">
        <f t="shared" si="37"/>
        <v>0</v>
      </c>
      <c r="T84" s="29">
        <f t="shared" si="37"/>
        <v>0</v>
      </c>
      <c r="U84" s="29">
        <f t="shared" si="37"/>
        <v>0</v>
      </c>
      <c r="V84" s="29">
        <f t="shared" si="37"/>
        <v>0</v>
      </c>
      <c r="W84" s="29">
        <f t="shared" si="37"/>
        <v>0</v>
      </c>
    </row>
    <row r="85" spans="2:23" x14ac:dyDescent="0.2">
      <c r="B85" s="26" t="s">
        <v>262</v>
      </c>
      <c r="F85" s="29">
        <f t="shared" ref="F85:W85" si="38">IF(AND(F57&gt;60,F57&lt;=90),1,0)</f>
        <v>0</v>
      </c>
      <c r="G85" s="29">
        <f t="shared" si="38"/>
        <v>0</v>
      </c>
      <c r="H85" s="29">
        <f t="shared" si="38"/>
        <v>0</v>
      </c>
      <c r="I85" s="29">
        <f t="shared" si="38"/>
        <v>0</v>
      </c>
      <c r="J85" s="29">
        <f t="shared" si="38"/>
        <v>0</v>
      </c>
      <c r="K85" s="29">
        <f t="shared" si="38"/>
        <v>0</v>
      </c>
      <c r="L85" s="29">
        <f t="shared" si="38"/>
        <v>0</v>
      </c>
      <c r="M85" s="29">
        <f t="shared" si="38"/>
        <v>0</v>
      </c>
      <c r="N85" s="29">
        <f t="shared" si="38"/>
        <v>0</v>
      </c>
      <c r="O85" s="29">
        <f t="shared" si="38"/>
        <v>0</v>
      </c>
      <c r="P85" s="29">
        <f t="shared" si="38"/>
        <v>0</v>
      </c>
      <c r="Q85" s="29">
        <f t="shared" si="38"/>
        <v>0</v>
      </c>
      <c r="R85" s="29">
        <f t="shared" si="38"/>
        <v>0</v>
      </c>
      <c r="S85" s="29">
        <f t="shared" si="38"/>
        <v>0</v>
      </c>
      <c r="T85" s="29">
        <f t="shared" si="38"/>
        <v>0</v>
      </c>
      <c r="U85" s="29">
        <f t="shared" si="38"/>
        <v>0</v>
      </c>
      <c r="V85" s="29">
        <f t="shared" si="38"/>
        <v>0</v>
      </c>
      <c r="W85" s="29">
        <f t="shared" si="38"/>
        <v>0</v>
      </c>
    </row>
    <row r="86" spans="2:23" x14ac:dyDescent="0.2">
      <c r="B86" s="26" t="s">
        <v>263</v>
      </c>
      <c r="F86" s="29">
        <f t="shared" ref="F86:W86" si="39">IF(F57&gt;60,1,0)</f>
        <v>0</v>
      </c>
      <c r="G86" s="29">
        <f t="shared" si="39"/>
        <v>0</v>
      </c>
      <c r="H86" s="29">
        <f t="shared" si="39"/>
        <v>0</v>
      </c>
      <c r="I86" s="29">
        <f t="shared" si="39"/>
        <v>0</v>
      </c>
      <c r="J86" s="29">
        <f t="shared" si="39"/>
        <v>0</v>
      </c>
      <c r="K86" s="29">
        <f t="shared" si="39"/>
        <v>0</v>
      </c>
      <c r="L86" s="29">
        <f t="shared" si="39"/>
        <v>0</v>
      </c>
      <c r="M86" s="29">
        <f t="shared" si="39"/>
        <v>0</v>
      </c>
      <c r="N86" s="29">
        <f t="shared" si="39"/>
        <v>0</v>
      </c>
      <c r="O86" s="29">
        <f t="shared" si="39"/>
        <v>0</v>
      </c>
      <c r="P86" s="29">
        <f t="shared" si="39"/>
        <v>0</v>
      </c>
      <c r="Q86" s="29">
        <f t="shared" si="39"/>
        <v>0</v>
      </c>
      <c r="R86" s="29">
        <f t="shared" si="39"/>
        <v>0</v>
      </c>
      <c r="S86" s="29">
        <f t="shared" si="39"/>
        <v>0</v>
      </c>
      <c r="T86" s="29">
        <f t="shared" si="39"/>
        <v>0</v>
      </c>
      <c r="U86" s="29">
        <f t="shared" si="39"/>
        <v>0</v>
      </c>
      <c r="V86" s="29">
        <f t="shared" si="39"/>
        <v>0</v>
      </c>
      <c r="W86" s="29">
        <f t="shared" si="39"/>
        <v>0</v>
      </c>
    </row>
    <row r="87" spans="2:23" x14ac:dyDescent="0.2">
      <c r="B87" s="26" t="s">
        <v>264</v>
      </c>
      <c r="F87" s="366">
        <f>'Input data'!F17</f>
        <v>1</v>
      </c>
      <c r="G87" s="29">
        <f>IF(F87=0,0,IF(AND(E77&gt;-3.05,F77&gt;-3.05),0,1))</f>
        <v>1</v>
      </c>
      <c r="H87" s="29">
        <f t="shared" ref="H87:W87" si="40">IF(G87=0,0,IF(AND(F77&gt;-3.05,G77&gt;-3.05),0,1))</f>
        <v>1</v>
      </c>
      <c r="I87" s="29">
        <f t="shared" si="40"/>
        <v>1</v>
      </c>
      <c r="J87" s="29">
        <f t="shared" si="40"/>
        <v>1</v>
      </c>
      <c r="K87" s="29">
        <f t="shared" si="40"/>
        <v>1</v>
      </c>
      <c r="L87" s="29">
        <f t="shared" si="40"/>
        <v>0</v>
      </c>
      <c r="M87" s="29">
        <f t="shared" si="40"/>
        <v>0</v>
      </c>
      <c r="N87" s="29">
        <f t="shared" si="40"/>
        <v>0</v>
      </c>
      <c r="O87" s="29">
        <f t="shared" si="40"/>
        <v>0</v>
      </c>
      <c r="P87" s="29">
        <f t="shared" si="40"/>
        <v>0</v>
      </c>
      <c r="Q87" s="29">
        <f t="shared" si="40"/>
        <v>0</v>
      </c>
      <c r="R87" s="29">
        <f t="shared" si="40"/>
        <v>0</v>
      </c>
      <c r="S87" s="29">
        <f t="shared" si="40"/>
        <v>0</v>
      </c>
      <c r="T87" s="29">
        <f t="shared" si="40"/>
        <v>0</v>
      </c>
      <c r="U87" s="29">
        <f t="shared" si="40"/>
        <v>0</v>
      </c>
      <c r="V87" s="29">
        <f t="shared" si="40"/>
        <v>0</v>
      </c>
      <c r="W87" s="29">
        <f t="shared" si="40"/>
        <v>0</v>
      </c>
    </row>
    <row r="88" spans="2:23" x14ac:dyDescent="0.2">
      <c r="B88" s="26" t="s">
        <v>259</v>
      </c>
      <c r="F88" s="29">
        <f t="shared" ref="F88:W88" si="41">IF(F78&gt;=-1.55,1,0)</f>
        <v>0</v>
      </c>
      <c r="G88" s="29">
        <f t="shared" si="41"/>
        <v>0</v>
      </c>
      <c r="H88" s="29">
        <f t="shared" si="41"/>
        <v>0</v>
      </c>
      <c r="I88" s="29">
        <f t="shared" si="41"/>
        <v>0</v>
      </c>
      <c r="J88" s="29">
        <f t="shared" si="41"/>
        <v>0</v>
      </c>
      <c r="K88" s="29">
        <f t="shared" si="41"/>
        <v>0</v>
      </c>
      <c r="L88" s="29">
        <f t="shared" si="41"/>
        <v>0</v>
      </c>
      <c r="M88" s="29">
        <f t="shared" si="41"/>
        <v>0</v>
      </c>
      <c r="N88" s="29">
        <f t="shared" si="41"/>
        <v>0</v>
      </c>
      <c r="O88" s="29">
        <f t="shared" si="41"/>
        <v>0</v>
      </c>
      <c r="P88" s="29">
        <f t="shared" si="41"/>
        <v>0</v>
      </c>
      <c r="Q88" s="29">
        <f t="shared" si="41"/>
        <v>0</v>
      </c>
      <c r="R88" s="29">
        <f t="shared" si="41"/>
        <v>0</v>
      </c>
      <c r="S88" s="29">
        <f t="shared" si="41"/>
        <v>0</v>
      </c>
      <c r="T88" s="29">
        <f t="shared" si="41"/>
        <v>0</v>
      </c>
      <c r="U88" s="29">
        <f t="shared" si="41"/>
        <v>0</v>
      </c>
      <c r="V88" s="29">
        <f t="shared" si="41"/>
        <v>0</v>
      </c>
      <c r="W88" s="29">
        <f t="shared" si="41"/>
        <v>0</v>
      </c>
    </row>
    <row r="89" spans="2:23" x14ac:dyDescent="0.2">
      <c r="F89" s="29"/>
      <c r="G89" s="29"/>
      <c r="H89" s="29"/>
      <c r="I89" s="29"/>
      <c r="J89" s="29"/>
      <c r="K89" s="29"/>
      <c r="L89" s="29"/>
      <c r="M89" s="29"/>
      <c r="N89" s="29"/>
      <c r="O89" s="29"/>
      <c r="P89" s="29"/>
      <c r="Q89" s="29"/>
      <c r="R89" s="29"/>
      <c r="S89" s="29"/>
      <c r="T89" s="29"/>
      <c r="U89" s="29"/>
      <c r="V89" s="29"/>
      <c r="W89" s="29"/>
    </row>
    <row r="90" spans="2:23" x14ac:dyDescent="0.2">
      <c r="B90" s="26" t="s">
        <v>144</v>
      </c>
      <c r="F90" s="34">
        <f>E57*F36/100*(1/((1+'Input data'!F30/100)*(1+F42/100)))</f>
        <v>1.2783144254813359</v>
      </c>
      <c r="G90" s="34">
        <f>F57*G36/100*(1/((1+'Input data'!G30/100)*(1+G42/100)))</f>
        <v>1.3252732301471464</v>
      </c>
      <c r="H90" s="34">
        <f>G57*H36/100*(1/((1+'Input data'!H30/100)*(1+H42/100)))</f>
        <v>1.3875530011426687</v>
      </c>
      <c r="I90" s="34">
        <f>H57*I36/100*(1/((1+'Input data'!I30/100)*(1+I42/100)))</f>
        <v>1.4309875410771411</v>
      </c>
      <c r="J90" s="34">
        <f>I57*J36/100*(1/((1+'Input data'!J30/100)*(1+J42/100)))</f>
        <v>1.4619078045573446</v>
      </c>
      <c r="K90" s="34">
        <f>J57*K36/100*(1/((1+'Input data'!K30/100)*(1+K42/100)))</f>
        <v>1.4776549012215678</v>
      </c>
      <c r="L90" s="34">
        <f>K57*L36/100*(1/((1+'Input data'!L30/100)*(1+L42/100)))</f>
        <v>1.4815347634824541</v>
      </c>
      <c r="M90" s="34">
        <f>L57*M36/100*(1/((1+'Input data'!M30/100)*(1+M42/100)))</f>
        <v>1.4815581476321555</v>
      </c>
      <c r="N90" s="34">
        <f>M57*N36/100*(1/((1+'Input data'!N30/100)*(1+N42/100)))</f>
        <v>1.4781281286570129</v>
      </c>
      <c r="O90" s="34">
        <f>N57*O36/100*(1/((1+'Input data'!O30/100)*(1+O42/100)))</f>
        <v>1.4803271046057973</v>
      </c>
      <c r="P90" s="34">
        <f>O57*P36/100*(1/((1+'Input data'!P30/100)*(1+P42/100)))</f>
        <v>1.4834555411901977</v>
      </c>
      <c r="Q90" s="34">
        <f>P57*Q36/100*(1/((1+'Input data'!Q30/100)*(1+Q42/100)))</f>
        <v>1.4894079241674587</v>
      </c>
      <c r="R90" s="34">
        <f>Q57*R36/100*(1/((1+'Input data'!R30/100)*(1+R42/100)))</f>
        <v>1.4990272001067804</v>
      </c>
      <c r="S90" s="34">
        <f>R57*S36/100*(1/((1+'Input data'!S30/100)*(1+S42/100)))</f>
        <v>1.5097465875145673</v>
      </c>
      <c r="T90" s="34">
        <f>S57*T36/100*(1/((1+'Input data'!T30/100)*(1+T42/100)))</f>
        <v>1.5225317013704716</v>
      </c>
      <c r="U90" s="34">
        <f>T57*U36/100*(1/((1+'Input data'!U30/100)*(1+U42/100)))</f>
        <v>1.5382215577742293</v>
      </c>
      <c r="V90" s="34">
        <f>U57*V36/100*(1/((1+'Input data'!V30/100)*(1+V42/100)))</f>
        <v>1.5574385145641174</v>
      </c>
      <c r="W90" s="34">
        <f>V57*W36/100*(1/((1+'Input data'!W30/100)*(1+W42/100)))</f>
        <v>1.5808341243797492</v>
      </c>
    </row>
    <row r="91" spans="2:23" x14ac:dyDescent="0.2">
      <c r="B91" s="32" t="s">
        <v>260</v>
      </c>
      <c r="F91" s="34"/>
      <c r="G91" s="34">
        <f>G90-F90</f>
        <v>4.6958804665810483E-2</v>
      </c>
      <c r="H91" s="34">
        <f t="shared" ref="H91:W91" si="42">H90-G90</f>
        <v>6.2279770995522288E-2</v>
      </c>
      <c r="I91" s="34">
        <f t="shared" si="42"/>
        <v>4.3434539934472438E-2</v>
      </c>
      <c r="J91" s="34">
        <f t="shared" si="42"/>
        <v>3.0920263480203491E-2</v>
      </c>
      <c r="K91" s="34">
        <f t="shared" si="42"/>
        <v>1.5747096664223248E-2</v>
      </c>
      <c r="L91" s="34">
        <f t="shared" si="42"/>
        <v>3.8798622608862132E-3</v>
      </c>
      <c r="M91" s="34">
        <f t="shared" si="42"/>
        <v>2.338414970148861E-5</v>
      </c>
      <c r="N91" s="34">
        <f t="shared" si="42"/>
        <v>-3.4300189751426124E-3</v>
      </c>
      <c r="O91" s="34">
        <f t="shared" si="42"/>
        <v>2.1989759487843763E-3</v>
      </c>
      <c r="P91" s="34">
        <f t="shared" si="42"/>
        <v>3.1284365844004292E-3</v>
      </c>
      <c r="Q91" s="34">
        <f t="shared" si="42"/>
        <v>5.9523829772609727E-3</v>
      </c>
      <c r="R91" s="34">
        <f t="shared" si="42"/>
        <v>9.6192759393216587E-3</v>
      </c>
      <c r="S91" s="34">
        <f t="shared" si="42"/>
        <v>1.0719387407786884E-2</v>
      </c>
      <c r="T91" s="34">
        <f t="shared" si="42"/>
        <v>1.2785113855904306E-2</v>
      </c>
      <c r="U91" s="34">
        <f t="shared" si="42"/>
        <v>1.5689856403757751E-2</v>
      </c>
      <c r="V91" s="34">
        <f t="shared" si="42"/>
        <v>1.9216956789888107E-2</v>
      </c>
      <c r="W91" s="34">
        <f t="shared" si="42"/>
        <v>2.3395609815631824E-2</v>
      </c>
    </row>
    <row r="92" spans="2:23" x14ac:dyDescent="0.2">
      <c r="D92" s="53"/>
    </row>
    <row r="93" spans="2:23" s="93" customFormat="1" ht="12.75" outlineLevel="1" x14ac:dyDescent="0.2">
      <c r="B93" s="94" t="s">
        <v>124</v>
      </c>
      <c r="C93" s="95"/>
      <c r="E93" s="96"/>
      <c r="F93" s="95"/>
    </row>
    <row r="94" spans="2:23" x14ac:dyDescent="0.2">
      <c r="C94" s="34"/>
      <c r="D94" s="34"/>
      <c r="E94" s="34"/>
      <c r="F94" s="34"/>
      <c r="G94" s="34"/>
      <c r="H94" s="34"/>
      <c r="I94" s="34"/>
      <c r="J94" s="34"/>
      <c r="K94" s="34"/>
      <c r="L94" s="34"/>
      <c r="M94" s="34"/>
      <c r="N94" s="34"/>
      <c r="O94" s="34"/>
      <c r="P94" s="34"/>
      <c r="Q94" s="34"/>
      <c r="R94" s="34"/>
      <c r="S94" s="34"/>
      <c r="T94" s="34"/>
      <c r="U94" s="34"/>
      <c r="V94" s="34"/>
      <c r="W94" s="34"/>
    </row>
    <row r="95" spans="2:23" x14ac:dyDescent="0.2">
      <c r="B95" s="26" t="s">
        <v>125</v>
      </c>
      <c r="D95" s="29">
        <f t="shared" ref="D95:W95" si="43">IF((D100-C100*D43/((1+D24/100)*(1+D42/100)))&gt;0,1,0)</f>
        <v>1</v>
      </c>
      <c r="E95" s="29">
        <f t="shared" si="43"/>
        <v>1</v>
      </c>
      <c r="F95" s="29">
        <f t="shared" si="43"/>
        <v>1</v>
      </c>
      <c r="G95" s="29">
        <f t="shared" si="43"/>
        <v>1</v>
      </c>
      <c r="H95" s="29">
        <f t="shared" si="43"/>
        <v>1</v>
      </c>
      <c r="I95" s="29">
        <f t="shared" si="43"/>
        <v>1</v>
      </c>
      <c r="J95" s="29">
        <f t="shared" si="43"/>
        <v>1</v>
      </c>
      <c r="K95" s="29">
        <f t="shared" si="43"/>
        <v>1</v>
      </c>
      <c r="L95" s="29">
        <f t="shared" si="43"/>
        <v>1</v>
      </c>
      <c r="M95" s="29">
        <f t="shared" si="43"/>
        <v>1</v>
      </c>
      <c r="N95" s="29">
        <f t="shared" si="43"/>
        <v>1</v>
      </c>
      <c r="O95" s="29">
        <f t="shared" si="43"/>
        <v>1</v>
      </c>
      <c r="P95" s="29">
        <f t="shared" si="43"/>
        <v>1</v>
      </c>
      <c r="Q95" s="29">
        <f t="shared" si="43"/>
        <v>1</v>
      </c>
      <c r="R95" s="29">
        <f t="shared" si="43"/>
        <v>1</v>
      </c>
      <c r="S95" s="29">
        <f t="shared" si="43"/>
        <v>1</v>
      </c>
      <c r="T95" s="29">
        <f t="shared" si="43"/>
        <v>1</v>
      </c>
      <c r="U95" s="29">
        <f t="shared" si="43"/>
        <v>1</v>
      </c>
      <c r="V95" s="29">
        <f t="shared" si="43"/>
        <v>1</v>
      </c>
      <c r="W95" s="29">
        <f t="shared" si="43"/>
        <v>1</v>
      </c>
    </row>
    <row r="96" spans="2:23" x14ac:dyDescent="0.2">
      <c r="B96" s="26" t="s">
        <v>126</v>
      </c>
      <c r="D96" s="29">
        <f t="shared" ref="D96:W96" si="44">IF(AND(D95=0,ABS(D100-C100*D43/((1+D24/100)*(1+D42/100)))&lt;((C106*C100*D43/((1+D24/100)*(1+D42/100))+(D39*C100*C107*D43/((1+D24/100)*(1+D42/100)))))),1,0)</f>
        <v>0</v>
      </c>
      <c r="E96" s="29">
        <f t="shared" si="44"/>
        <v>0</v>
      </c>
      <c r="F96" s="29">
        <f t="shared" si="44"/>
        <v>0</v>
      </c>
      <c r="G96" s="29">
        <f t="shared" si="44"/>
        <v>0</v>
      </c>
      <c r="H96" s="29">
        <f t="shared" si="44"/>
        <v>0</v>
      </c>
      <c r="I96" s="29">
        <f t="shared" si="44"/>
        <v>0</v>
      </c>
      <c r="J96" s="29">
        <f t="shared" si="44"/>
        <v>0</v>
      </c>
      <c r="K96" s="29">
        <f t="shared" si="44"/>
        <v>0</v>
      </c>
      <c r="L96" s="29">
        <f t="shared" si="44"/>
        <v>0</v>
      </c>
      <c r="M96" s="29">
        <f t="shared" si="44"/>
        <v>0</v>
      </c>
      <c r="N96" s="29">
        <f t="shared" si="44"/>
        <v>0</v>
      </c>
      <c r="O96" s="29">
        <f t="shared" si="44"/>
        <v>0</v>
      </c>
      <c r="P96" s="29">
        <f t="shared" si="44"/>
        <v>0</v>
      </c>
      <c r="Q96" s="29">
        <f t="shared" si="44"/>
        <v>0</v>
      </c>
      <c r="R96" s="29">
        <f t="shared" si="44"/>
        <v>0</v>
      </c>
      <c r="S96" s="29">
        <f t="shared" si="44"/>
        <v>0</v>
      </c>
      <c r="T96" s="29">
        <f t="shared" si="44"/>
        <v>0</v>
      </c>
      <c r="U96" s="29">
        <f t="shared" si="44"/>
        <v>0</v>
      </c>
      <c r="V96" s="29">
        <f t="shared" si="44"/>
        <v>0</v>
      </c>
      <c r="W96" s="29">
        <f t="shared" si="44"/>
        <v>0</v>
      </c>
    </row>
    <row r="98" spans="2:23" x14ac:dyDescent="0.2">
      <c r="H98" s="38"/>
      <c r="I98" s="38"/>
      <c r="J98" s="38"/>
      <c r="K98" s="38"/>
      <c r="L98" s="38"/>
      <c r="M98" s="38"/>
      <c r="N98" s="38"/>
      <c r="O98" s="38"/>
      <c r="P98" s="38"/>
      <c r="Q98" s="38"/>
      <c r="R98" s="38"/>
      <c r="S98" s="38"/>
      <c r="T98" s="38"/>
    </row>
    <row r="99" spans="2:23" x14ac:dyDescent="0.2">
      <c r="B99" s="51"/>
      <c r="C99" s="86">
        <v>2021</v>
      </c>
      <c r="D99" s="86">
        <v>2022</v>
      </c>
      <c r="E99" s="86">
        <v>2023</v>
      </c>
      <c r="F99" s="86">
        <v>2024</v>
      </c>
      <c r="G99" s="86">
        <v>2025</v>
      </c>
      <c r="H99" s="86">
        <v>2026</v>
      </c>
      <c r="I99" s="86">
        <v>2027</v>
      </c>
      <c r="J99" s="86">
        <v>2028</v>
      </c>
      <c r="K99" s="86">
        <v>2029</v>
      </c>
      <c r="L99" s="86">
        <v>2030</v>
      </c>
      <c r="M99" s="86">
        <v>2031</v>
      </c>
      <c r="N99" s="86">
        <v>2032</v>
      </c>
      <c r="O99" s="86">
        <v>2033</v>
      </c>
      <c r="P99" s="86">
        <v>2034</v>
      </c>
      <c r="Q99" s="86">
        <v>2035</v>
      </c>
      <c r="R99" s="86">
        <v>2036</v>
      </c>
      <c r="S99" s="86">
        <v>2037</v>
      </c>
      <c r="T99" s="86">
        <v>2038</v>
      </c>
      <c r="U99" s="86">
        <v>2039</v>
      </c>
      <c r="V99" s="86">
        <v>2040</v>
      </c>
      <c r="W99" s="86">
        <v>2041</v>
      </c>
    </row>
    <row r="100" spans="2:23" x14ac:dyDescent="0.2">
      <c r="B100" s="106" t="s">
        <v>104</v>
      </c>
      <c r="C100" s="110">
        <f>C57</f>
        <v>53.925649999999997</v>
      </c>
      <c r="D100" s="110">
        <f>D57</f>
        <v>51.626479730977287</v>
      </c>
      <c r="E100" s="110">
        <f>E57</f>
        <v>50.396658431512243</v>
      </c>
      <c r="F100" s="110">
        <f>F57</f>
        <v>52.027240532489337</v>
      </c>
      <c r="G100" s="110">
        <f>G57</f>
        <v>52.712875471107772</v>
      </c>
      <c r="H100" s="110">
        <f t="shared" ref="H100:W100" si="45">G100*(1+H113/100)*H43-H60-H61+H62+H63+H64+H65+H66+H72</f>
        <v>52.858886626374172</v>
      </c>
      <c r="I100" s="110">
        <f t="shared" si="45"/>
        <v>52.540435718456841</v>
      </c>
      <c r="J100" s="110">
        <f t="shared" si="45"/>
        <v>51.80374973951259</v>
      </c>
      <c r="K100" s="110">
        <f t="shared" si="45"/>
        <v>50.734076487913782</v>
      </c>
      <c r="L100" s="110">
        <f t="shared" si="45"/>
        <v>49.571815456563641</v>
      </c>
      <c r="M100" s="110">
        <f t="shared" si="45"/>
        <v>48.352047922230078</v>
      </c>
      <c r="N100" s="110">
        <f t="shared" si="45"/>
        <v>47.403497063712429</v>
      </c>
      <c r="O100" s="110">
        <f t="shared" si="45"/>
        <v>46.51862699116414</v>
      </c>
      <c r="P100" s="110">
        <f t="shared" si="45"/>
        <v>45.841262491702309</v>
      </c>
      <c r="Q100" s="110">
        <f t="shared" si="45"/>
        <v>45.373204130216422</v>
      </c>
      <c r="R100" s="110">
        <f t="shared" si="45"/>
        <v>45.117714957075847</v>
      </c>
      <c r="S100" s="110">
        <f t="shared" si="45"/>
        <v>44.97829679635273</v>
      </c>
      <c r="T100" s="110">
        <f t="shared" si="45"/>
        <v>44.97011606241562</v>
      </c>
      <c r="U100" s="110">
        <f t="shared" si="45"/>
        <v>45.116219090555163</v>
      </c>
      <c r="V100" s="110">
        <f t="shared" si="45"/>
        <v>45.428876893164308</v>
      </c>
      <c r="W100" s="110">
        <f t="shared" si="45"/>
        <v>45.918674194930738</v>
      </c>
    </row>
    <row r="101" spans="2:23" x14ac:dyDescent="0.2">
      <c r="B101" s="26" t="s">
        <v>127</v>
      </c>
      <c r="C101" s="34"/>
      <c r="D101" s="254">
        <f>'Input data'!C66*$D$100</f>
        <v>40.602371246986003</v>
      </c>
      <c r="E101" s="34">
        <f t="shared" ref="E101:W101" si="46">IF(E100=0,0,IF(E95=1,D100*E43/((1+E24/100)*(1+E42/100))-E102-E103,IF(AND(E95=0,E96=1),(1-D106-E39*D107)*D100*E43/((1+E24/100)*(1+E42/100)),E100)))</f>
        <v>37.860894175576689</v>
      </c>
      <c r="F101" s="34">
        <f t="shared" si="46"/>
        <v>38.019239464248713</v>
      </c>
      <c r="G101" s="34">
        <f t="shared" si="46"/>
        <v>39.705897535501165</v>
      </c>
      <c r="H101" s="34">
        <f t="shared" si="46"/>
        <v>40.168559041787127</v>
      </c>
      <c r="I101" s="34">
        <f t="shared" si="46"/>
        <v>40.219006721113495</v>
      </c>
      <c r="J101" s="34">
        <f t="shared" si="46"/>
        <v>39.960590032407765</v>
      </c>
      <c r="K101" s="34">
        <f t="shared" si="46"/>
        <v>39.215869299328325</v>
      </c>
      <c r="L101" s="34">
        <f t="shared" si="46"/>
        <v>38.396893097910144</v>
      </c>
      <c r="M101" s="34">
        <f t="shared" si="46"/>
        <v>37.528642086505421</v>
      </c>
      <c r="N101" s="34">
        <f t="shared" si="46"/>
        <v>36.74295920768656</v>
      </c>
      <c r="O101" s="34">
        <f t="shared" si="46"/>
        <v>35.995249637912366</v>
      </c>
      <c r="P101" s="34">
        <f t="shared" si="46"/>
        <v>35.460272921359518</v>
      </c>
      <c r="Q101" s="34">
        <f t="shared" si="46"/>
        <v>35.079384236808814</v>
      </c>
      <c r="R101" s="34">
        <f t="shared" si="46"/>
        <v>34.855838261848902</v>
      </c>
      <c r="S101" s="34">
        <f t="shared" si="46"/>
        <v>34.71725431405909</v>
      </c>
      <c r="T101" s="34">
        <f t="shared" si="46"/>
        <v>34.677026455080082</v>
      </c>
      <c r="U101" s="34">
        <f t="shared" si="46"/>
        <v>34.746717544777162</v>
      </c>
      <c r="V101" s="34">
        <f t="shared" si="46"/>
        <v>34.933459797647373</v>
      </c>
      <c r="W101" s="34">
        <f t="shared" si="46"/>
        <v>35.246011843764414</v>
      </c>
    </row>
    <row r="102" spans="2:23" x14ac:dyDescent="0.2">
      <c r="B102" s="105" t="s">
        <v>128</v>
      </c>
      <c r="C102" s="34"/>
      <c r="D102" s="254">
        <f>'Input data'!C67*$D$100</f>
        <v>4.064303127827737E-2</v>
      </c>
      <c r="E102" s="34">
        <f t="shared" ref="E102:W102" si="47">IF(E100=0,0,IF(E95=1,E39*D100*D107*E43/((1+E24/100)*(1+E42/100)),IF(AND(E95=0,E96=1),(E39*D100*D107*E43/((1+E24/100)*(1+E42/100)))*(1-ABS(E100-D100*E43/((1+E24/100)*(1+E42/100)))/((E39*D100*D107*E43/((1+E24/100)*(1+E42/100)))+(D106*D100*E43/((1+E24/100)*(1+E42/100))))),0)))</f>
        <v>1.9515624310289765</v>
      </c>
      <c r="F102" s="34">
        <f t="shared" si="47"/>
        <v>1.8951143607196621</v>
      </c>
      <c r="G102" s="34">
        <f t="shared" si="47"/>
        <v>2.0450271871761223</v>
      </c>
      <c r="H102" s="34">
        <f t="shared" si="47"/>
        <v>2.1356735277025036</v>
      </c>
      <c r="I102" s="34">
        <f t="shared" si="47"/>
        <v>2.2054688900791515</v>
      </c>
      <c r="J102" s="34">
        <f t="shared" si="47"/>
        <v>2.258191824220285</v>
      </c>
      <c r="K102" s="34">
        <f t="shared" si="47"/>
        <v>2.281962935874235</v>
      </c>
      <c r="L102" s="34">
        <f t="shared" si="47"/>
        <v>2.2989925125160018</v>
      </c>
      <c r="M102" s="34">
        <f t="shared" si="47"/>
        <v>2.3104310121268421</v>
      </c>
      <c r="N102" s="34">
        <f t="shared" si="47"/>
        <v>2.324355926525552</v>
      </c>
      <c r="O102" s="34">
        <f t="shared" si="47"/>
        <v>2.3382785171178537</v>
      </c>
      <c r="P102" s="34">
        <f t="shared" si="47"/>
        <v>2.3035260268293514</v>
      </c>
      <c r="Q102" s="34">
        <f t="shared" si="47"/>
        <v>2.278783211111798</v>
      </c>
      <c r="R102" s="34">
        <f t="shared" si="47"/>
        <v>2.2642614962717822</v>
      </c>
      <c r="S102" s="34">
        <f t="shared" si="47"/>
        <v>2.2552589786842119</v>
      </c>
      <c r="T102" s="34">
        <f t="shared" si="47"/>
        <v>2.2526457466775871</v>
      </c>
      <c r="U102" s="34">
        <f t="shared" si="47"/>
        <v>2.2571729323343734</v>
      </c>
      <c r="V102" s="34">
        <f t="shared" si="47"/>
        <v>2.2693038496781077</v>
      </c>
      <c r="W102" s="34">
        <f t="shared" si="47"/>
        <v>2.2896074659127059</v>
      </c>
    </row>
    <row r="103" spans="2:23" x14ac:dyDescent="0.2">
      <c r="B103" s="105" t="s">
        <v>129</v>
      </c>
      <c r="C103" s="34"/>
      <c r="D103" s="254">
        <f>'Input data'!C68*$D$100</f>
        <v>6.7592062017853909</v>
      </c>
      <c r="E103" s="34">
        <f t="shared" ref="E103:W103" si="48">IF(E100=0,0,IF(E95=1,(1-D107)*D100*E43/((1+E24/100)*(1+E42/100)),IF(AND(E95=0,E96=1),(D106*D100*E43/((1+E24/100)*(1+E42/100)))*(1-ABS(E100-D100*E43/((1+E24/100)*(1+E42/100)))/((E39*D100*D107*E43/((1+E24/100)*(1+E42/100)))+(D106*D100*E43/((1+E24/100)*(1+E42/100))))),0)))</f>
        <v>6.6210823702360049</v>
      </c>
      <c r="F103" s="34">
        <f t="shared" si="48"/>
        <v>6.5851096523336512</v>
      </c>
      <c r="G103" s="34">
        <f t="shared" si="48"/>
        <v>6.8193776951370317</v>
      </c>
      <c r="H103" s="34">
        <f t="shared" si="48"/>
        <v>6.8638213931160177</v>
      </c>
      <c r="I103" s="34">
        <f t="shared" si="48"/>
        <v>6.8456858586059468</v>
      </c>
      <c r="J103" s="34">
        <f t="shared" si="48"/>
        <v>6.7814750729193385</v>
      </c>
      <c r="K103" s="34">
        <f t="shared" si="48"/>
        <v>6.640839992136625</v>
      </c>
      <c r="L103" s="34">
        <f t="shared" si="48"/>
        <v>6.4907534779993963</v>
      </c>
      <c r="M103" s="34">
        <f t="shared" si="48"/>
        <v>6.3351099412225009</v>
      </c>
      <c r="N103" s="34">
        <f t="shared" si="48"/>
        <v>6.1958087036224523</v>
      </c>
      <c r="O103" s="34">
        <f t="shared" si="48"/>
        <v>6.0638740544355345</v>
      </c>
      <c r="P103" s="34">
        <f t="shared" si="48"/>
        <v>5.9589777483664212</v>
      </c>
      <c r="Q103" s="34">
        <f t="shared" si="48"/>
        <v>5.8808449041715418</v>
      </c>
      <c r="R103" s="34">
        <f t="shared" si="48"/>
        <v>5.829752038706717</v>
      </c>
      <c r="S103" s="34">
        <f t="shared" si="48"/>
        <v>5.793378751282896</v>
      </c>
      <c r="T103" s="34">
        <f t="shared" si="48"/>
        <v>5.7738300287296074</v>
      </c>
      <c r="U103" s="34">
        <f t="shared" si="48"/>
        <v>5.7729103921017764</v>
      </c>
      <c r="V103" s="34">
        <f t="shared" si="48"/>
        <v>5.7916431660049454</v>
      </c>
      <c r="W103" s="34">
        <f t="shared" si="48"/>
        <v>5.8313147597778343</v>
      </c>
    </row>
    <row r="104" spans="2:23" x14ac:dyDescent="0.2">
      <c r="B104" s="105" t="s">
        <v>130</v>
      </c>
      <c r="C104" s="34"/>
      <c r="D104" s="254">
        <f>'Input data'!C69*$D$100</f>
        <v>3.6219077873668084</v>
      </c>
      <c r="E104" s="34">
        <f>IF(E100=0,0,IF(E95=1,'Input data'!$C$58*(E100-D100*E43/((1+E24/100)*(1+E42/100))),0))</f>
        <v>3.4471835226479048</v>
      </c>
      <c r="F104" s="34">
        <f>IF(F100=0,0,IF(F95=1,'Input data'!$C$58*(F100-E100*F43/((1+F24/100)*(1+F42/100))),0))</f>
        <v>4.8081472687016928</v>
      </c>
      <c r="G104" s="34">
        <f>IF(G100=0,0,IF(G95=1,'Input data'!$C$58*(G100-F100*G43/((1+G24/100)*(1+G42/100))),0))</f>
        <v>3.6032750801515765</v>
      </c>
      <c r="H104" s="34">
        <f>IF(H100=0,0,IF(H95=1,'Input data'!$C$58*(H100-G100*H43/((1+H24/100)*(1+H42/100))),0))</f>
        <v>3.2103441970186841</v>
      </c>
      <c r="I104" s="34">
        <f>IF(I100=0,0,IF(I95=1,'Input data'!$C$58*(I100-H100*I43/((1+I24/100)*(1+I42/100))),0))</f>
        <v>2.8445358847886468</v>
      </c>
      <c r="J104" s="34">
        <f>IF(J100=0,0,IF(J95=1,'Input data'!$C$58*(J100-I100*J43/((1+J24/100)*(1+J42/100))),0))</f>
        <v>2.4385220609448468</v>
      </c>
      <c r="K104" s="34">
        <f>IF(K100=0,0,IF(K95=1,'Input data'!$C$58*(K100-J100*K43/((1+K24/100)*(1+K42/100))),0))</f>
        <v>2.2575233736946752</v>
      </c>
      <c r="L104" s="34">
        <f>IF(L100=0,0,IF(L95=1,'Input data'!$C$58*(L100-K100*L43/((1+L24/100)*(1+L42/100))),0))</f>
        <v>2.0746638522754965</v>
      </c>
      <c r="M104" s="34">
        <f>IF(M100=0,0,IF(M95=1,'Input data'!$C$58*(M100-L100*M43/((1+M24/100)*(1+M42/100))),0))</f>
        <v>1.8943410671687042</v>
      </c>
      <c r="N104" s="34">
        <f>IF(N100=0,0,IF(N95=1,'Input data'!$C$58*(N100-M100*N43/((1+N24/100)*(1+N42/100))),0))</f>
        <v>1.8617302357282142</v>
      </c>
      <c r="O104" s="34">
        <f>IF(O100=0,0,IF(O95=1,'Input data'!$C$58*(O100-N100*O43/((1+O24/100)*(1+O42/100))),0))</f>
        <v>1.8450746183503239</v>
      </c>
      <c r="P104" s="34">
        <f>IF(P100=0,0,IF(P95=1,'Input data'!$C$58*(P100-O100*P43/((1+P24/100)*(1+P42/100))),0))</f>
        <v>1.8426922048458587</v>
      </c>
      <c r="Q104" s="34">
        <f>IF(Q100=0,0,IF(Q95=1,'Input data'!$C$58*(Q100-P100*Q43/((1+Q24/100)*(1+Q42/100))),0))</f>
        <v>1.8563535154234052</v>
      </c>
      <c r="R104" s="34">
        <f>IF(R100=0,0,IF(R95=1,'Input data'!$C$58*(R100-Q100*R43/((1+R24/100)*(1+R42/100))),0))</f>
        <v>1.885641412235719</v>
      </c>
      <c r="S104" s="34">
        <f>IF(S100=0,0,IF(S95=1,'Input data'!$C$58*(S100-R100*S43/((1+S24/100)*(1+S42/100))),0))</f>
        <v>1.9243843883282312</v>
      </c>
      <c r="T104" s="34">
        <f>IF(T100=0,0,IF(T95=1,'Input data'!$C$58*(T100-S100*T43/((1+T24/100)*(1+T42/100))),0))</f>
        <v>1.9715362968484367</v>
      </c>
      <c r="U104" s="34">
        <f>IF(U100=0,0,IF(U95=1,'Input data'!$C$58*(U100-T100*U43/((1+U24/100)*(1+U42/100))),0))</f>
        <v>2.0348626977892175</v>
      </c>
      <c r="V104" s="34">
        <f>IF(V100=0,0,IF(V95=1,'Input data'!$C$58*(V100-U100*V43/((1+V24/100)*(1+V42/100))),0))</f>
        <v>2.1175402966197616</v>
      </c>
      <c r="W104" s="34">
        <f>IF(W100=0,0,IF(W95=1,'Input data'!$C$58*(W100-V100*W43/((1+W24/100)*(1+W42/100))),0))</f>
        <v>2.2195436234588044</v>
      </c>
    </row>
    <row r="105" spans="2:23" x14ac:dyDescent="0.2">
      <c r="B105" s="107" t="s">
        <v>131</v>
      </c>
      <c r="C105" s="49"/>
      <c r="D105" s="255">
        <f>'Input data'!C70*$D$100</f>
        <v>0.60234756355780006</v>
      </c>
      <c r="E105" s="49">
        <f>IF(E100=0,0,IF(E95=1,'Input data'!$C$57*(E100-D100*E43/((1+E24/100)*(1+E42/100))),0))</f>
        <v>0.51593593202267063</v>
      </c>
      <c r="F105" s="49">
        <f>IF(F100=0,0,IF(F95=1,'Input data'!$C$57*(F100-E100*F43/((1+F24/100)*(1+F42/100))),0))</f>
        <v>0.71962978648562193</v>
      </c>
      <c r="G105" s="49">
        <f>IF(G100=0,0,IF(G95=1,'Input data'!$C$57*(G100-F100*G43/((1+G24/100)*(1+G42/100))),0))</f>
        <v>0.53929797314187</v>
      </c>
      <c r="H105" s="49">
        <f>IF(H100=0,0,IF(H95=1,'Input data'!$C$57*(H100-G100*H43/((1+H24/100)*(1+H42/100))),0))</f>
        <v>0.4804884667498408</v>
      </c>
      <c r="I105" s="49">
        <f>IF(I100=0,0,IF(I95=1,'Input data'!$C$57*(I100-H100*I43/((1+I24/100)*(1+I42/100))),0))</f>
        <v>0.42573836386959979</v>
      </c>
      <c r="J105" s="49">
        <f>IF(J100=0,0,IF(J95=1,'Input data'!$C$57*(J100-I100*J43/((1+J24/100)*(1+J42/100))),0))</f>
        <v>0.36497074902035248</v>
      </c>
      <c r="K105" s="49">
        <f>IF(K100=0,0,IF(K95=1,'Input data'!$C$57*(K100-J100*K43/((1+K24/100)*(1+K42/100))),0))</f>
        <v>0.33788088687992152</v>
      </c>
      <c r="L105" s="49">
        <f>IF(L100=0,0,IF(L95=1,'Input data'!$C$57*(L100-K100*L43/((1+L24/100)*(1+L42/100))),0))</f>
        <v>0.31051251586260048</v>
      </c>
      <c r="M105" s="49">
        <f>IF(M100=0,0,IF(M95=1,'Input data'!$C$57*(M100-L100*M43/((1+M24/100)*(1+M42/100))),0))</f>
        <v>0.28352381520661302</v>
      </c>
      <c r="N105" s="49">
        <f>IF(N100=0,0,IF(N95=1,'Input data'!$C$57*(N100-M100*N43/((1+N24/100)*(1+N42/100))),0))</f>
        <v>0.27864299014965188</v>
      </c>
      <c r="O105" s="49">
        <f>IF(O100=0,0,IF(O95=1,'Input data'!$C$57*(O100-N100*O43/((1+O24/100)*(1+O42/100))),0))</f>
        <v>0.27615016334805648</v>
      </c>
      <c r="P105" s="49">
        <f>IF(P100=0,0,IF(P95=1,'Input data'!$C$57*(P100-O100*P43/((1+P24/100)*(1+P42/100))),0))</f>
        <v>0.27579359030115774</v>
      </c>
      <c r="Q105" s="49">
        <f>IF(Q100=0,0,IF(Q95=1,'Input data'!$C$57*(Q100-P100*Q43/((1+Q24/100)*(1+Q42/100))),0))</f>
        <v>0.2778382627008632</v>
      </c>
      <c r="R105" s="49">
        <f>IF(R100=0,0,IF(R95=1,'Input data'!$C$57*(R100-Q100*R43/((1+R24/100)*(1+R42/100))),0))</f>
        <v>0.28222174801273248</v>
      </c>
      <c r="S105" s="49">
        <f>IF(S100=0,0,IF(S95=1,'Input data'!$C$57*(S100-R100*S43/((1+S24/100)*(1+S42/100))),0))</f>
        <v>0.28802036399830327</v>
      </c>
      <c r="T105" s="49">
        <f>IF(T100=0,0,IF(T95=1,'Input data'!$C$57*(T100-S100*T43/((1+T24/100)*(1+T42/100))),0))</f>
        <v>0.29507753507990941</v>
      </c>
      <c r="U105" s="49">
        <f>IF(U100=0,0,IF(U95=1,'Input data'!$C$57*(U100-T100*U43/((1+U24/100)*(1+U42/100))),0))</f>
        <v>0.30455552355263404</v>
      </c>
      <c r="V105" s="49">
        <f>IF(V100=0,0,IF(V95=1,'Input data'!$C$57*(V100-U100*V43/((1+V24/100)*(1+V42/100))),0))</f>
        <v>0.31692978321411769</v>
      </c>
      <c r="W105" s="49">
        <f>IF(W100=0,0,IF(W95=1,'Input data'!$C$57*(W100-V100*W43/((1+W24/100)*(1+W42/100))),0))</f>
        <v>0.33219650201697676</v>
      </c>
    </row>
    <row r="106" spans="2:23" x14ac:dyDescent="0.2">
      <c r="B106" s="26" t="s">
        <v>73</v>
      </c>
      <c r="C106" s="36"/>
      <c r="D106" s="260">
        <f>'Baseline NFPC'!$D$93</f>
        <v>0.14259267150708055</v>
      </c>
      <c r="E106" s="36">
        <f t="shared" ref="E106:G106" si="49">IF(E100&lt;&gt;0,(E103+E105)/(E101+E102+E103+E104+E105),0)</f>
        <v>0.14161689533360031</v>
      </c>
      <c r="F106" s="36">
        <f t="shared" si="49"/>
        <v>0.14040220784451748</v>
      </c>
      <c r="G106" s="36">
        <f t="shared" si="49"/>
        <v>0.13959920802105047</v>
      </c>
      <c r="H106" s="36">
        <f t="shared" ref="H106:W106" si="50">IF(H100&lt;&gt;0,(H103+H105)/(H101+H102+H103+H104+H105),0)</f>
        <v>0.138941819031833</v>
      </c>
      <c r="I106" s="36">
        <f t="shared" si="50"/>
        <v>0.13839672479003026</v>
      </c>
      <c r="J106" s="36">
        <f t="shared" si="50"/>
        <v>0.13795228835508097</v>
      </c>
      <c r="K106" s="36">
        <f t="shared" si="50"/>
        <v>0.13755490120489461</v>
      </c>
      <c r="L106" s="36">
        <f t="shared" si="50"/>
        <v>0.13720026049522993</v>
      </c>
      <c r="M106" s="36">
        <f t="shared" si="50"/>
        <v>0.13688424877214284</v>
      </c>
      <c r="N106" s="36">
        <f t="shared" si="50"/>
        <v>0.1365817311973872</v>
      </c>
      <c r="O106" s="36">
        <f t="shared" si="50"/>
        <v>0.13629001171912986</v>
      </c>
      <c r="P106" s="36">
        <f t="shared" si="50"/>
        <v>0.13600784532921906</v>
      </c>
      <c r="Q106" s="36">
        <f t="shared" si="50"/>
        <v>0.13573392677311522</v>
      </c>
      <c r="R106" s="36">
        <f t="shared" si="50"/>
        <v>0.13546727250115095</v>
      </c>
      <c r="S106" s="36">
        <f t="shared" si="50"/>
        <v>0.13520741220628738</v>
      </c>
      <c r="T106" s="36">
        <f t="shared" si="50"/>
        <v>0.13495423394919115</v>
      </c>
      <c r="U106" s="36">
        <f>IF(U100&lt;&gt;0,(U103+U105)/(U101+U102+U103+U104+U105),0)</f>
        <v>0.13470689783326048</v>
      </c>
      <c r="V106" s="36">
        <f t="shared" si="50"/>
        <v>0.13446453813033227</v>
      </c>
      <c r="W106" s="34">
        <f t="shared" si="50"/>
        <v>0.13422668162477658</v>
      </c>
    </row>
    <row r="107" spans="2:23" x14ac:dyDescent="0.2">
      <c r="B107" s="35" t="s">
        <v>74</v>
      </c>
      <c r="C107" s="108"/>
      <c r="D107" s="261">
        <f>'Baseline NFPC'!$D$94</f>
        <v>0.85740732849291945</v>
      </c>
      <c r="E107" s="108">
        <f t="shared" ref="E107:G107" si="51">IF(E100&lt;&gt;0,(E101+E102+E104)/(E101+E102+E103+E104+E105),1)</f>
        <v>0.85838310466639967</v>
      </c>
      <c r="F107" s="108">
        <f t="shared" si="51"/>
        <v>0.8595977921554826</v>
      </c>
      <c r="G107" s="108">
        <f t="shared" si="51"/>
        <v>0.86040079197894959</v>
      </c>
      <c r="H107" s="108">
        <f t="shared" ref="H107:W107" si="52">IF(H100&lt;&gt;0,(H101+H102+H104)/(H101+H102+H103+H104+H105),1)</f>
        <v>0.861058180968167</v>
      </c>
      <c r="I107" s="108">
        <f t="shared" si="52"/>
        <v>0.86160327520996982</v>
      </c>
      <c r="J107" s="108">
        <f t="shared" si="52"/>
        <v>0.862047711644919</v>
      </c>
      <c r="K107" s="108">
        <f t="shared" si="52"/>
        <v>0.86244509879510534</v>
      </c>
      <c r="L107" s="108">
        <f t="shared" si="52"/>
        <v>0.86279973950477007</v>
      </c>
      <c r="M107" s="108">
        <f t="shared" si="52"/>
        <v>0.86311575122785722</v>
      </c>
      <c r="N107" s="108">
        <f t="shared" si="52"/>
        <v>0.86341826880261285</v>
      </c>
      <c r="O107" s="108">
        <f t="shared" si="52"/>
        <v>0.86370998828087009</v>
      </c>
      <c r="P107" s="108">
        <f t="shared" si="52"/>
        <v>0.86399215467078094</v>
      </c>
      <c r="Q107" s="108">
        <f t="shared" si="52"/>
        <v>0.86426607322688487</v>
      </c>
      <c r="R107" s="108">
        <f t="shared" si="52"/>
        <v>0.86453272749884913</v>
      </c>
      <c r="S107" s="108">
        <f t="shared" si="52"/>
        <v>0.8647925877937126</v>
      </c>
      <c r="T107" s="108">
        <f t="shared" si="52"/>
        <v>0.86504576605080885</v>
      </c>
      <c r="U107" s="108">
        <f t="shared" si="52"/>
        <v>0.86529310216673938</v>
      </c>
      <c r="V107" s="108">
        <f t="shared" si="52"/>
        <v>0.86553546186966768</v>
      </c>
      <c r="W107" s="49">
        <f t="shared" si="52"/>
        <v>0.86577331837522342</v>
      </c>
    </row>
    <row r="108" spans="2:23" x14ac:dyDescent="0.2">
      <c r="C108" s="38"/>
      <c r="D108" s="38"/>
      <c r="E108" s="38"/>
      <c r="F108" s="38"/>
      <c r="G108" s="38"/>
      <c r="H108" s="38"/>
      <c r="I108" s="38"/>
      <c r="J108" s="38"/>
      <c r="K108" s="38"/>
      <c r="L108" s="38"/>
      <c r="M108" s="38"/>
      <c r="N108" s="38"/>
      <c r="O108" s="38"/>
      <c r="P108" s="38"/>
      <c r="Q108" s="38"/>
      <c r="R108" s="38"/>
      <c r="S108" s="38"/>
      <c r="T108" s="38"/>
      <c r="U108" s="38"/>
      <c r="V108" s="38"/>
      <c r="W108" s="38"/>
    </row>
    <row r="109" spans="2:23" x14ac:dyDescent="0.2">
      <c r="B109" s="113" t="s">
        <v>132</v>
      </c>
      <c r="C109" s="115">
        <f>'Baseline NFPC'!C96</f>
        <v>2.4089399999999999</v>
      </c>
      <c r="D109" s="115">
        <f>'Baseline NFPC'!D96</f>
        <v>1.9834700000000001</v>
      </c>
      <c r="E109" s="115">
        <f>'Baseline NFPC'!E96</f>
        <v>2.3767499999999999</v>
      </c>
      <c r="F109" s="115">
        <f>'Baseline NFPC'!F96</f>
        <v>2.7490950000000001</v>
      </c>
      <c r="G109" s="115">
        <f>'Baseline NFPC'!G96</f>
        <v>2.7383609999999998</v>
      </c>
      <c r="H109" s="115">
        <f>H111</f>
        <v>2.8287900070696868</v>
      </c>
      <c r="I109" s="115">
        <f t="shared" ref="I109:V109" si="53">I111</f>
        <v>2.9113734145676009</v>
      </c>
      <c r="J109" s="115">
        <f t="shared" si="53"/>
        <v>2.9880993725823921</v>
      </c>
      <c r="K109" s="115">
        <f t="shared" si="53"/>
        <v>3.059409036847426</v>
      </c>
      <c r="L109" s="115">
        <f t="shared" si="53"/>
        <v>3.129364778437651</v>
      </c>
      <c r="M109" s="115">
        <f t="shared" si="53"/>
        <v>3.1980675101082716</v>
      </c>
      <c r="N109" s="115">
        <f t="shared" si="53"/>
        <v>3.2656343692776111</v>
      </c>
      <c r="O109" s="115">
        <f t="shared" si="53"/>
        <v>3.3342651392566927</v>
      </c>
      <c r="P109" s="115">
        <f t="shared" si="53"/>
        <v>3.3928667236430838</v>
      </c>
      <c r="Q109" s="115">
        <f t="shared" si="53"/>
        <v>3.4445928413889697</v>
      </c>
      <c r="R109" s="115">
        <f t="shared" si="53"/>
        <v>3.4901801459010149</v>
      </c>
      <c r="S109" s="115">
        <f t="shared" si="53"/>
        <v>3.5302586134771348</v>
      </c>
      <c r="T109" s="115">
        <f t="shared" si="53"/>
        <v>3.5653555840754714</v>
      </c>
      <c r="U109" s="115">
        <f t="shared" si="53"/>
        <v>3.5959247220876107</v>
      </c>
      <c r="V109" s="115">
        <f t="shared" si="53"/>
        <v>3.6224212170808068</v>
      </c>
      <c r="W109" s="115">
        <f>W111</f>
        <v>3.645252214159159</v>
      </c>
    </row>
    <row r="110" spans="2:23" x14ac:dyDescent="0.2">
      <c r="B110" s="33" t="s">
        <v>133</v>
      </c>
      <c r="C110" s="34"/>
      <c r="D110" s="34"/>
      <c r="E110" s="266">
        <f>((E36*D100)-(E38*(D103+D105)))/(D101+D102+D104)</f>
        <v>2.2015876621443162</v>
      </c>
      <c r="F110" s="266">
        <f>((F36*E100)-(F38*(E103+E105)))/(E101+E102+E104)</f>
        <v>2.6146168494183679</v>
      </c>
      <c r="G110" s="266">
        <f>((G36*F100)-(G38*(F103+F105)))/(F101+F102+F104)</f>
        <v>2.7256186012377643</v>
      </c>
      <c r="H110" s="34">
        <f t="shared" ref="H110:W110" si="54">IF(G100&gt;0,(G110*G101+H37*(G104+G102))/(G101+G102+G104),H37)</f>
        <v>2.8326354120220891</v>
      </c>
      <c r="I110" s="34">
        <f t="shared" si="54"/>
        <v>2.9303446564871858</v>
      </c>
      <c r="J110" s="34">
        <f t="shared" si="54"/>
        <v>3.0211212657927189</v>
      </c>
      <c r="K110" s="34">
        <f t="shared" si="54"/>
        <v>3.1055255245676792</v>
      </c>
      <c r="L110" s="34">
        <f t="shared" si="54"/>
        <v>3.1882847529168128</v>
      </c>
      <c r="M110" s="34">
        <f t="shared" si="54"/>
        <v>3.2695309715952128</v>
      </c>
      <c r="N110" s="34">
        <f t="shared" si="54"/>
        <v>3.3494125893655751</v>
      </c>
      <c r="O110" s="34">
        <f t="shared" si="54"/>
        <v>3.4304706706801662</v>
      </c>
      <c r="P110" s="34">
        <f t="shared" si="54"/>
        <v>3.5038101531622243</v>
      </c>
      <c r="Q110" s="34">
        <f t="shared" si="54"/>
        <v>3.5691280196079709</v>
      </c>
      <c r="R110" s="34">
        <f t="shared" si="54"/>
        <v>3.6272863179655559</v>
      </c>
      <c r="S110" s="34">
        <f t="shared" si="54"/>
        <v>3.6790219985822086</v>
      </c>
      <c r="T110" s="34">
        <f t="shared" si="54"/>
        <v>3.7249523674047262</v>
      </c>
      <c r="U110" s="34">
        <f t="shared" si="54"/>
        <v>3.7656088709047379</v>
      </c>
      <c r="V110" s="34">
        <f t="shared" si="54"/>
        <v>3.8015226837430443</v>
      </c>
      <c r="W110" s="34">
        <f t="shared" si="54"/>
        <v>3.8331683335505535</v>
      </c>
    </row>
    <row r="111" spans="2:23" x14ac:dyDescent="0.2">
      <c r="B111" s="35" t="s">
        <v>63</v>
      </c>
      <c r="C111" s="49"/>
      <c r="D111" s="49"/>
      <c r="E111" s="49">
        <f t="shared" ref="E111:W111" si="55">(E110*(D101+D102+D104)+E38*(D103+D105))/D100</f>
        <v>2.3767499999999999</v>
      </c>
      <c r="F111" s="49">
        <f t="shared" si="55"/>
        <v>2.7490950000000001</v>
      </c>
      <c r="G111" s="49">
        <f t="shared" si="55"/>
        <v>2.7383609999999998</v>
      </c>
      <c r="H111" s="49">
        <f t="shared" si="55"/>
        <v>2.8287900070696868</v>
      </c>
      <c r="I111" s="49">
        <f t="shared" si="55"/>
        <v>2.9113734145676009</v>
      </c>
      <c r="J111" s="49">
        <f t="shared" si="55"/>
        <v>2.9880993725823921</v>
      </c>
      <c r="K111" s="49">
        <f t="shared" si="55"/>
        <v>3.059409036847426</v>
      </c>
      <c r="L111" s="49">
        <f t="shared" si="55"/>
        <v>3.129364778437651</v>
      </c>
      <c r="M111" s="49">
        <f t="shared" si="55"/>
        <v>3.1980675101082716</v>
      </c>
      <c r="N111" s="49">
        <f t="shared" si="55"/>
        <v>3.2656343692776111</v>
      </c>
      <c r="O111" s="49">
        <f t="shared" si="55"/>
        <v>3.3342651392566927</v>
      </c>
      <c r="P111" s="49">
        <f t="shared" si="55"/>
        <v>3.3928667236430838</v>
      </c>
      <c r="Q111" s="49">
        <f t="shared" si="55"/>
        <v>3.4445928413889697</v>
      </c>
      <c r="R111" s="49">
        <f t="shared" si="55"/>
        <v>3.4901801459010149</v>
      </c>
      <c r="S111" s="49">
        <f t="shared" si="55"/>
        <v>3.5302586134771348</v>
      </c>
      <c r="T111" s="49">
        <f t="shared" si="55"/>
        <v>3.5653555840754714</v>
      </c>
      <c r="U111" s="49">
        <f t="shared" si="55"/>
        <v>3.5959247220876107</v>
      </c>
      <c r="V111" s="49">
        <f t="shared" si="55"/>
        <v>3.6224212170808068</v>
      </c>
      <c r="W111" s="49">
        <f t="shared" si="55"/>
        <v>3.645252214159159</v>
      </c>
    </row>
    <row r="112" spans="2:23" x14ac:dyDescent="0.2">
      <c r="C112" s="38"/>
      <c r="D112" s="38"/>
      <c r="E112" s="38"/>
      <c r="F112" s="38"/>
      <c r="G112" s="34"/>
      <c r="H112" s="34"/>
      <c r="I112" s="34"/>
      <c r="J112" s="34"/>
      <c r="K112" s="34"/>
      <c r="L112" s="34"/>
      <c r="M112" s="34"/>
      <c r="N112" s="34"/>
      <c r="O112" s="34"/>
      <c r="P112" s="34"/>
      <c r="Q112" s="34"/>
      <c r="R112" s="34"/>
      <c r="S112" s="34"/>
      <c r="T112" s="34"/>
      <c r="U112" s="34"/>
      <c r="V112" s="34"/>
      <c r="W112" s="34"/>
    </row>
    <row r="113" spans="2:25" x14ac:dyDescent="0.2">
      <c r="B113" s="113" t="s">
        <v>186</v>
      </c>
      <c r="C113" s="115">
        <f t="shared" ref="C113:W113" si="56">((1+C109/100)/((1+C24/100)*(1+C42/100))-1)*100</f>
        <v>-10.770396748633127</v>
      </c>
      <c r="D113" s="115">
        <f t="shared" si="56"/>
        <v>-10.353607165209123</v>
      </c>
      <c r="E113" s="115">
        <f t="shared" si="56"/>
        <v>-7.9209964301513835</v>
      </c>
      <c r="F113" s="115">
        <f t="shared" si="56"/>
        <v>-5.1965360605959248</v>
      </c>
      <c r="G113" s="115">
        <f t="shared" si="56"/>
        <v>-4.088056341026947</v>
      </c>
      <c r="H113" s="115">
        <f t="shared" si="56"/>
        <v>-4.0862132677962233</v>
      </c>
      <c r="I113" s="115">
        <f t="shared" si="56"/>
        <v>-4.0755432278712478</v>
      </c>
      <c r="J113" s="115">
        <f t="shared" si="56"/>
        <v>-3.9512470550460477</v>
      </c>
      <c r="K113" s="115">
        <f t="shared" si="56"/>
        <v>-4.2319689884527172</v>
      </c>
      <c r="L113" s="115">
        <f t="shared" si="56"/>
        <v>-4.0816655768236458</v>
      </c>
      <c r="M113" s="115">
        <f t="shared" si="56"/>
        <v>-3.8750867870404271</v>
      </c>
      <c r="N113" s="115">
        <f t="shared" si="56"/>
        <v>-3.3313913783534654</v>
      </c>
      <c r="O113" s="115">
        <f t="shared" si="56"/>
        <v>-3.218681836047188</v>
      </c>
      <c r="P113" s="115">
        <f t="shared" si="56"/>
        <v>-2.8212241811606531</v>
      </c>
      <c r="Q113" s="115">
        <f t="shared" si="56"/>
        <v>-2.4275994048901572</v>
      </c>
      <c r="R113" s="115">
        <f t="shared" si="56"/>
        <v>-2.0371608111023676</v>
      </c>
      <c r="S113" s="115">
        <f t="shared" si="56"/>
        <v>-1.8663984342651707</v>
      </c>
      <c r="T113" s="115">
        <f t="shared" si="56"/>
        <v>-1.672501891080902</v>
      </c>
      <c r="U113" s="115">
        <f t="shared" si="56"/>
        <v>-1.4567310311560111</v>
      </c>
      <c r="V113" s="115">
        <f t="shared" si="56"/>
        <v>-1.2509331988299732</v>
      </c>
      <c r="W113" s="115">
        <f t="shared" si="56"/>
        <v>-1.059037185667222</v>
      </c>
    </row>
    <row r="114" spans="2:25" x14ac:dyDescent="0.2">
      <c r="F114" s="34"/>
      <c r="G114" s="34"/>
      <c r="H114" s="34"/>
      <c r="I114" s="34"/>
      <c r="J114" s="34"/>
      <c r="K114" s="34"/>
      <c r="L114" s="34"/>
      <c r="M114" s="34"/>
      <c r="N114" s="34"/>
      <c r="O114" s="34"/>
      <c r="P114" s="34"/>
      <c r="Q114" s="34"/>
      <c r="R114" s="34"/>
      <c r="S114" s="34"/>
      <c r="T114" s="34"/>
      <c r="U114" s="34"/>
      <c r="V114" s="34"/>
      <c r="W114" s="34"/>
    </row>
    <row r="115" spans="2:25" x14ac:dyDescent="0.2">
      <c r="F115" s="34"/>
      <c r="G115" s="34"/>
      <c r="H115" s="253"/>
      <c r="I115" s="253"/>
      <c r="J115" s="253"/>
      <c r="K115" s="253"/>
      <c r="L115" s="253"/>
      <c r="M115" s="253"/>
      <c r="N115" s="253"/>
      <c r="O115" s="253"/>
      <c r="P115" s="253"/>
      <c r="Q115" s="253"/>
      <c r="R115" s="253"/>
      <c r="S115" s="253"/>
      <c r="T115" s="253"/>
      <c r="U115" s="34"/>
      <c r="V115" s="34"/>
      <c r="W115" s="34"/>
    </row>
    <row r="116" spans="2:25" x14ac:dyDescent="0.2">
      <c r="T116" s="62"/>
      <c r="U116" s="62"/>
      <c r="V116" s="62"/>
      <c r="W116" s="62"/>
      <c r="X116" s="62"/>
      <c r="Y116" s="62"/>
    </row>
    <row r="117" spans="2:25" x14ac:dyDescent="0.2">
      <c r="T117" s="62"/>
      <c r="U117" s="116"/>
      <c r="V117" s="116"/>
      <c r="W117" s="116"/>
      <c r="X117" s="116"/>
      <c r="Y117" s="62"/>
    </row>
    <row r="118" spans="2:25" x14ac:dyDescent="0.2">
      <c r="H118" s="121"/>
      <c r="I118" s="121"/>
      <c r="J118" s="121"/>
      <c r="K118" s="121"/>
      <c r="L118" s="121"/>
      <c r="M118" s="121"/>
      <c r="N118" s="121"/>
      <c r="O118" s="121"/>
      <c r="P118" s="121"/>
      <c r="Q118" s="121"/>
      <c r="R118" s="121"/>
      <c r="S118" s="121"/>
      <c r="T118" s="121"/>
      <c r="U118" s="121"/>
      <c r="V118" s="121"/>
      <c r="W118" s="121"/>
    </row>
    <row r="119" spans="2:25" x14ac:dyDescent="0.2">
      <c r="E119" s="34"/>
      <c r="F119" s="34"/>
      <c r="G119" s="121"/>
      <c r="H119" s="121"/>
      <c r="I119" s="121"/>
      <c r="J119" s="121"/>
      <c r="K119" s="121"/>
      <c r="L119" s="121"/>
      <c r="M119" s="121"/>
      <c r="N119" s="121"/>
      <c r="O119" s="121"/>
      <c r="P119" s="121"/>
      <c r="Q119" s="121"/>
      <c r="R119" s="121"/>
      <c r="S119" s="121"/>
      <c r="T119" s="121"/>
      <c r="U119" s="121"/>
      <c r="V119" s="121"/>
      <c r="W119" s="121"/>
    </row>
    <row r="120" spans="2:25" x14ac:dyDescent="0.2">
      <c r="E120" s="34"/>
      <c r="F120" s="34"/>
      <c r="G120" s="121"/>
      <c r="H120" s="121"/>
      <c r="I120" s="121"/>
      <c r="J120" s="121"/>
      <c r="K120" s="121"/>
      <c r="L120" s="121"/>
      <c r="M120" s="121"/>
      <c r="N120" s="121"/>
      <c r="O120" s="121"/>
      <c r="P120" s="121"/>
      <c r="Q120" s="121"/>
      <c r="R120" s="121"/>
      <c r="S120" s="121"/>
      <c r="T120" s="121"/>
      <c r="U120" s="121"/>
      <c r="V120" s="121"/>
      <c r="W120" s="121"/>
    </row>
    <row r="123" spans="2:25" x14ac:dyDescent="0.2">
      <c r="E123" s="34"/>
      <c r="F123" s="34"/>
      <c r="G123" s="121"/>
      <c r="H123" s="121"/>
      <c r="I123" s="121"/>
      <c r="J123" s="121"/>
      <c r="K123" s="121"/>
      <c r="L123" s="121"/>
      <c r="M123" s="121"/>
      <c r="N123" s="121"/>
      <c r="O123" s="121"/>
      <c r="P123" s="121"/>
      <c r="Q123" s="121"/>
      <c r="R123" s="121"/>
      <c r="S123" s="121"/>
      <c r="T123" s="121"/>
      <c r="U123" s="121"/>
      <c r="V123" s="121"/>
      <c r="W123" s="121"/>
    </row>
    <row r="124" spans="2:25" x14ac:dyDescent="0.2">
      <c r="E124" s="34"/>
      <c r="F124" s="34"/>
      <c r="G124" s="121"/>
      <c r="H124" s="121"/>
      <c r="I124" s="121"/>
      <c r="J124" s="121"/>
      <c r="K124" s="121"/>
      <c r="L124" s="121"/>
      <c r="M124" s="121"/>
      <c r="N124" s="121"/>
      <c r="O124" s="121"/>
      <c r="P124" s="121"/>
      <c r="Q124" s="121"/>
      <c r="R124" s="121"/>
      <c r="S124" s="121"/>
      <c r="T124" s="121"/>
      <c r="U124" s="121"/>
      <c r="V124" s="121"/>
      <c r="W124" s="121"/>
      <c r="X124" s="53"/>
    </row>
    <row r="125" spans="2:25" x14ac:dyDescent="0.2">
      <c r="G125" s="53"/>
      <c r="H125" s="53"/>
      <c r="I125" s="53"/>
      <c r="J125" s="53"/>
      <c r="K125" s="53"/>
      <c r="L125" s="53"/>
      <c r="M125" s="53"/>
      <c r="N125" s="53"/>
      <c r="O125" s="53"/>
      <c r="P125" s="53"/>
      <c r="Q125" s="53"/>
      <c r="R125" s="53"/>
      <c r="S125" s="53"/>
      <c r="T125" s="53"/>
      <c r="U125" s="53"/>
      <c r="V125" s="53"/>
      <c r="W125" s="53"/>
      <c r="X125" s="53"/>
    </row>
    <row r="126" spans="2:25" x14ac:dyDescent="0.2">
      <c r="E126" s="34"/>
      <c r="F126" s="34"/>
      <c r="G126" s="121"/>
      <c r="H126" s="121"/>
      <c r="I126" s="121"/>
      <c r="J126" s="121"/>
      <c r="K126" s="121"/>
      <c r="L126" s="121"/>
      <c r="M126" s="121"/>
      <c r="N126" s="121"/>
      <c r="O126" s="121"/>
      <c r="P126" s="121"/>
      <c r="Q126" s="121"/>
      <c r="R126" s="121"/>
      <c r="S126" s="121"/>
      <c r="T126" s="121"/>
      <c r="U126" s="121"/>
      <c r="V126" s="121"/>
      <c r="W126" s="121"/>
      <c r="X126" s="53"/>
    </row>
    <row r="127" spans="2:25" x14ac:dyDescent="0.2">
      <c r="E127" s="34"/>
      <c r="F127" s="34"/>
      <c r="G127" s="121"/>
      <c r="H127" s="121"/>
      <c r="I127" s="121"/>
      <c r="J127" s="121"/>
      <c r="K127" s="121"/>
      <c r="L127" s="121"/>
      <c r="M127" s="121"/>
      <c r="N127" s="121"/>
      <c r="O127" s="121"/>
      <c r="P127" s="121"/>
      <c r="Q127" s="121"/>
      <c r="R127" s="121"/>
      <c r="S127" s="121"/>
      <c r="T127" s="121"/>
      <c r="U127" s="121"/>
      <c r="V127" s="121"/>
      <c r="W127" s="121"/>
      <c r="X127" s="53"/>
    </row>
    <row r="128" spans="2:25" x14ac:dyDescent="0.2">
      <c r="G128" s="53"/>
      <c r="H128" s="53"/>
      <c r="I128" s="53"/>
      <c r="J128" s="53"/>
      <c r="K128" s="53"/>
      <c r="L128" s="53"/>
      <c r="M128" s="53"/>
      <c r="N128" s="53"/>
      <c r="O128" s="53"/>
      <c r="P128" s="53"/>
      <c r="Q128" s="53"/>
      <c r="R128" s="53"/>
      <c r="S128" s="53"/>
      <c r="T128" s="53"/>
      <c r="U128" s="53"/>
      <c r="V128" s="53"/>
      <c r="W128" s="53"/>
      <c r="X128" s="53"/>
    </row>
    <row r="129" spans="5:24" x14ac:dyDescent="0.2">
      <c r="E129" s="34"/>
      <c r="F129" s="34"/>
      <c r="G129" s="121"/>
      <c r="H129" s="121"/>
      <c r="I129" s="121"/>
      <c r="J129" s="121"/>
      <c r="K129" s="121"/>
      <c r="L129" s="121"/>
      <c r="M129" s="121"/>
      <c r="N129" s="121"/>
      <c r="O129" s="121"/>
      <c r="P129" s="121"/>
      <c r="Q129" s="121"/>
      <c r="R129" s="121"/>
      <c r="S129" s="121"/>
      <c r="T129" s="121"/>
      <c r="U129" s="121"/>
      <c r="V129" s="121"/>
      <c r="W129" s="121"/>
      <c r="X129" s="121"/>
    </row>
    <row r="130" spans="5:24" x14ac:dyDescent="0.2">
      <c r="E130" s="34"/>
      <c r="F130" s="34"/>
      <c r="G130" s="121"/>
      <c r="H130" s="121"/>
      <c r="I130" s="121"/>
      <c r="J130" s="121"/>
      <c r="K130" s="121"/>
      <c r="L130" s="121"/>
      <c r="M130" s="121"/>
      <c r="N130" s="121"/>
      <c r="O130" s="121"/>
      <c r="P130" s="121"/>
      <c r="Q130" s="121"/>
      <c r="R130" s="121"/>
      <c r="S130" s="121"/>
      <c r="T130" s="121"/>
      <c r="U130" s="121"/>
      <c r="V130" s="121"/>
      <c r="W130" s="121"/>
      <c r="X130" s="121"/>
    </row>
    <row r="131" spans="5:24" x14ac:dyDescent="0.2">
      <c r="G131" s="121"/>
      <c r="H131" s="121"/>
      <c r="I131" s="121"/>
      <c r="J131" s="121"/>
      <c r="K131" s="121"/>
      <c r="L131" s="121"/>
      <c r="M131" s="121"/>
      <c r="N131" s="121"/>
      <c r="O131" s="121"/>
      <c r="P131" s="121"/>
      <c r="Q131" s="121"/>
      <c r="R131" s="121"/>
      <c r="S131" s="121"/>
      <c r="T131" s="121"/>
      <c r="U131" s="121"/>
      <c r="V131" s="121"/>
      <c r="W131" s="121"/>
      <c r="X131" s="121"/>
    </row>
    <row r="132" spans="5:24" x14ac:dyDescent="0.2">
      <c r="E132" s="34"/>
      <c r="F132" s="34"/>
      <c r="G132" s="121"/>
      <c r="H132" s="121"/>
      <c r="I132" s="121"/>
      <c r="J132" s="121"/>
      <c r="K132" s="121"/>
      <c r="L132" s="121"/>
      <c r="M132" s="121"/>
      <c r="N132" s="121"/>
      <c r="O132" s="121"/>
      <c r="P132" s="121"/>
      <c r="Q132" s="121"/>
      <c r="R132" s="121"/>
      <c r="S132" s="121"/>
      <c r="T132" s="121"/>
      <c r="U132" s="121"/>
      <c r="V132" s="121"/>
      <c r="W132" s="121"/>
      <c r="X132" s="121"/>
    </row>
    <row r="133" spans="5:24" x14ac:dyDescent="0.2">
      <c r="E133" s="34"/>
      <c r="F133" s="34"/>
      <c r="G133" s="121"/>
      <c r="H133" s="121"/>
      <c r="I133" s="121"/>
      <c r="J133" s="121"/>
      <c r="K133" s="121"/>
      <c r="L133" s="121"/>
      <c r="M133" s="121"/>
      <c r="N133" s="121"/>
      <c r="O133" s="121"/>
      <c r="P133" s="121"/>
      <c r="Q133" s="121"/>
      <c r="R133" s="121"/>
      <c r="S133" s="121"/>
      <c r="T133" s="121"/>
      <c r="U133" s="121"/>
      <c r="V133" s="121"/>
      <c r="W133" s="121"/>
      <c r="X133" s="121"/>
    </row>
    <row r="134" spans="5:24" x14ac:dyDescent="0.2">
      <c r="G134" s="121"/>
      <c r="H134" s="121"/>
      <c r="I134" s="121"/>
      <c r="J134" s="121"/>
      <c r="K134" s="121"/>
      <c r="L134" s="121"/>
      <c r="M134" s="121"/>
      <c r="N134" s="121"/>
      <c r="O134" s="121"/>
      <c r="P134" s="121"/>
      <c r="Q134" s="121"/>
      <c r="R134" s="121"/>
      <c r="S134" s="121"/>
      <c r="T134" s="121"/>
      <c r="U134" s="121"/>
      <c r="V134" s="121"/>
      <c r="W134" s="121"/>
      <c r="X134" s="121"/>
    </row>
    <row r="135" spans="5:24" x14ac:dyDescent="0.2">
      <c r="G135" s="121"/>
      <c r="H135" s="121"/>
      <c r="I135" s="121"/>
      <c r="J135" s="121"/>
      <c r="K135" s="121"/>
      <c r="L135" s="121"/>
      <c r="M135" s="121"/>
      <c r="N135" s="121"/>
      <c r="O135" s="121"/>
      <c r="P135" s="121"/>
      <c r="Q135" s="121"/>
      <c r="R135" s="121"/>
      <c r="S135" s="121"/>
      <c r="T135" s="121"/>
      <c r="U135" s="121"/>
      <c r="V135" s="121"/>
      <c r="W135" s="121"/>
      <c r="X135" s="121"/>
    </row>
  </sheetData>
  <conditionalFormatting sqref="G12:M12">
    <cfRule type="expression" dxfId="37" priority="4">
      <formula>AND(G10&gt;$C$5,G10&lt;=$C$6)</formula>
    </cfRule>
  </conditionalFormatting>
  <conditionalFormatting sqref="U10:W44 U46:W53 U94:W150 U55:W92">
    <cfRule type="expression" dxfId="36" priority="1">
      <formula>U$10&gt;$C$7</formula>
    </cfRule>
  </conditionalFormatting>
  <pageMargins left="0.7" right="0.7" top="0.75" bottom="0.75" header="0.3" footer="0.3"/>
  <pageSetup paperSize="9" orientation="portrait" r:id="rId1"/>
  <ignoredErrors>
    <ignoredError sqref="C5:C6 C47:C48" unlockedFormula="1"/>
  </ignoredErrors>
  <extLst>
    <ext xmlns:x14="http://schemas.microsoft.com/office/spreadsheetml/2009/9/main" uri="{78C0D931-6437-407d-A8EE-F0AAD7539E65}">
      <x14:conditionalFormattings>
        <x14:conditionalFormatting xmlns:xm="http://schemas.microsoft.com/office/excel/2006/main">
          <x14:cfRule type="expression" priority="48" id="{3F484ED4-3931-4998-AB2F-E78A0CF23E03}">
            <xm:f>OR('Criteria results'!#REF!=7,'Criteria results'!#REF!=10)</xm:f>
            <x14:dxf>
              <font>
                <color theme="0"/>
              </font>
            </x14:dxf>
          </x14:cfRule>
          <xm:sqref>K83:M83</xm:sqref>
        </x14:conditionalFormatting>
        <x14:conditionalFormatting xmlns:xm="http://schemas.microsoft.com/office/excel/2006/main">
          <x14:cfRule type="expression" priority="49" id="{2AB03453-3383-4490-89FD-BF0D6B58ED6B}">
            <xm:f>'Criteria results'!#REF!=10</xm:f>
            <x14:dxf>
              <font>
                <color theme="0"/>
              </font>
            </x14:dxf>
          </x14:cfRule>
          <xm:sqref>N83:P83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BD62-F475-4E99-9E07-BEAA4AE832C8}">
  <sheetPr codeName="Sheet18">
    <tabColor rgb="FF92D050"/>
  </sheetPr>
  <dimension ref="A1:AY139"/>
  <sheetViews>
    <sheetView zoomScaleNormal="100" workbookViewId="0"/>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MT</v>
      </c>
    </row>
    <row r="4" spans="1:51" x14ac:dyDescent="0.2">
      <c r="B4" s="64" t="s">
        <v>38</v>
      </c>
      <c r="C4" s="21"/>
    </row>
    <row r="5" spans="1:51" x14ac:dyDescent="0.2">
      <c r="A5" s="29"/>
      <c r="B5" s="22" t="str">
        <f>'Input data'!B5</f>
        <v>Last year before the adjustment</v>
      </c>
      <c r="C5" s="23">
        <f>+'Input data'!C5</f>
        <v>2024</v>
      </c>
      <c r="J5" s="53"/>
      <c r="M5" s="38"/>
    </row>
    <row r="6" spans="1:51" x14ac:dyDescent="0.2">
      <c r="A6" s="29"/>
      <c r="B6" s="65" t="s">
        <v>44</v>
      </c>
      <c r="C6" s="23">
        <f>+C5+'Criteria results'!$F$5</f>
        <v>2028</v>
      </c>
      <c r="E6" s="43"/>
      <c r="F6" s="29"/>
    </row>
    <row r="7" spans="1:51" x14ac:dyDescent="0.2">
      <c r="A7" s="29"/>
      <c r="B7" s="24" t="s">
        <v>39</v>
      </c>
      <c r="C7" s="66">
        <f>C5+'Criteria results'!$F$5+10</f>
        <v>2038</v>
      </c>
      <c r="E7" s="43"/>
      <c r="F7" s="29"/>
      <c r="G7" s="53"/>
      <c r="H7" s="53"/>
      <c r="I7" s="53"/>
      <c r="J7" s="53"/>
      <c r="K7" s="53"/>
      <c r="L7" s="53"/>
      <c r="M7" s="53"/>
    </row>
    <row r="8" spans="1:51" x14ac:dyDescent="0.2">
      <c r="A8" s="29"/>
      <c r="C8" s="29"/>
      <c r="E8" s="43"/>
      <c r="F8" s="29"/>
      <c r="G8" s="29"/>
      <c r="H8" s="29"/>
      <c r="I8" s="29"/>
      <c r="J8" s="29"/>
      <c r="K8" s="29"/>
      <c r="L8" s="29"/>
      <c r="M8" s="29"/>
      <c r="N8" s="29"/>
      <c r="O8" s="29"/>
      <c r="P8" s="29"/>
      <c r="Q8" s="29"/>
      <c r="R8" s="29"/>
      <c r="S8" s="29"/>
      <c r="T8" s="29"/>
      <c r="U8" s="29"/>
      <c r="V8" s="29"/>
      <c r="W8" s="29"/>
    </row>
    <row r="9" spans="1:51" s="67"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63"/>
      <c r="G11" s="263"/>
      <c r="H11" s="263"/>
      <c r="I11" s="263"/>
      <c r="J11" s="263"/>
      <c r="K11" s="263"/>
      <c r="L11" s="263"/>
      <c r="M11" s="263"/>
      <c r="N11" s="263"/>
      <c r="O11" s="263"/>
      <c r="P11" s="263"/>
      <c r="Q11" s="263"/>
      <c r="R11" s="263"/>
      <c r="S11" s="263"/>
      <c r="T11" s="263"/>
      <c r="U11" s="263"/>
      <c r="V11" s="263"/>
      <c r="W11" s="263"/>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-5.6509479999999996</v>
      </c>
      <c r="D12" s="2">
        <f>'Input data'!D13</f>
        <v>-4.3552039999999996</v>
      </c>
      <c r="E12" s="2">
        <f>'Input data'!E13</f>
        <v>-3.790994</v>
      </c>
      <c r="F12" s="2">
        <f>'Input data'!F13</f>
        <v>-2.897243</v>
      </c>
      <c r="G12" s="3">
        <f>IF(G10&lt;=$C$6,F12+'Criteria results'!$F$6,F12)</f>
        <v>-2.4572430000000001</v>
      </c>
      <c r="H12" s="3">
        <f>IF(H10&lt;=$C$6,G12+'Criteria results'!$F$6,G12)</f>
        <v>-2.0172430000000001</v>
      </c>
      <c r="I12" s="3">
        <f>IF(I10&lt;=$C$6,H12+'Criteria results'!$F$6,H12)</f>
        <v>-1.5772430000000002</v>
      </c>
      <c r="J12" s="3">
        <f>IF(J10&lt;=$C$6,I12+'Criteria results'!$F$6,I12)</f>
        <v>-1.1372430000000002</v>
      </c>
      <c r="K12" s="119">
        <f>IF(K10&lt;=$C$6,J12+'Criteria results'!$F$6,J12)</f>
        <v>-1.1372430000000002</v>
      </c>
      <c r="L12" s="119">
        <f>IF(L10&lt;=$C$6,K12+'Criteria results'!$F$6,K12)</f>
        <v>-1.1372430000000002</v>
      </c>
      <c r="M12" s="119">
        <f>IF(M10&lt;=$C$6,L12+'Criteria results'!$F$6,L12)</f>
        <v>-1.1372430000000002</v>
      </c>
      <c r="N12" s="119">
        <f>M12</f>
        <v>-1.1372430000000002</v>
      </c>
      <c r="O12" s="119">
        <f t="shared" ref="O12:W12" si="0">N12</f>
        <v>-1.1372430000000002</v>
      </c>
      <c r="P12" s="119">
        <f t="shared" si="0"/>
        <v>-1.1372430000000002</v>
      </c>
      <c r="Q12" s="119">
        <f t="shared" si="0"/>
        <v>-1.1372430000000002</v>
      </c>
      <c r="R12" s="119">
        <f t="shared" si="0"/>
        <v>-1.1372430000000002</v>
      </c>
      <c r="S12" s="119">
        <f t="shared" si="0"/>
        <v>-1.1372430000000002</v>
      </c>
      <c r="T12" s="119">
        <f t="shared" si="0"/>
        <v>-1.1372430000000002</v>
      </c>
      <c r="U12" s="119">
        <f t="shared" si="0"/>
        <v>-1.1372430000000002</v>
      </c>
      <c r="V12" s="119">
        <f t="shared" si="0"/>
        <v>-1.1372430000000002</v>
      </c>
      <c r="W12" s="119">
        <f t="shared" si="0"/>
        <v>-1.1372430000000002</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305" t="s">
        <v>192</v>
      </c>
      <c r="C13" s="29"/>
      <c r="D13" s="29"/>
      <c r="E13" s="29"/>
      <c r="F13" s="263"/>
      <c r="G13" s="263">
        <f>G12-F12</f>
        <v>0.43999999999999995</v>
      </c>
      <c r="H13" s="263">
        <f t="shared" ref="H13:W13" si="1">H12-G12</f>
        <v>0.43999999999999995</v>
      </c>
      <c r="I13" s="263">
        <f t="shared" si="1"/>
        <v>0.43999999999999995</v>
      </c>
      <c r="J13" s="263">
        <f t="shared" si="1"/>
        <v>0.43999999999999995</v>
      </c>
      <c r="K13" s="263">
        <f t="shared" si="1"/>
        <v>0</v>
      </c>
      <c r="L13" s="263">
        <f t="shared" si="1"/>
        <v>0</v>
      </c>
      <c r="M13" s="263">
        <f t="shared" si="1"/>
        <v>0</v>
      </c>
      <c r="N13" s="263">
        <f t="shared" si="1"/>
        <v>0</v>
      </c>
      <c r="O13" s="263">
        <f t="shared" si="1"/>
        <v>0</v>
      </c>
      <c r="P13" s="263">
        <f t="shared" si="1"/>
        <v>0</v>
      </c>
      <c r="Q13" s="263">
        <f t="shared" si="1"/>
        <v>0</v>
      </c>
      <c r="R13" s="263">
        <f t="shared" si="1"/>
        <v>0</v>
      </c>
      <c r="S13" s="263">
        <f t="shared" si="1"/>
        <v>0</v>
      </c>
      <c r="T13" s="263">
        <f t="shared" si="1"/>
        <v>0</v>
      </c>
      <c r="U13" s="263">
        <f t="shared" si="1"/>
        <v>0</v>
      </c>
      <c r="V13" s="263">
        <f t="shared" si="1"/>
        <v>0</v>
      </c>
      <c r="W13" s="263">
        <f t="shared" si="1"/>
        <v>0</v>
      </c>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row>
    <row r="14" spans="1:51" x14ac:dyDescent="0.2">
      <c r="B14" s="26" t="s">
        <v>49</v>
      </c>
      <c r="C14" s="1">
        <f>'Input data'!C14</f>
        <v>0</v>
      </c>
      <c r="D14" s="2">
        <f>'Input data'!D14</f>
        <v>0</v>
      </c>
      <c r="E14" s="2">
        <f>'Input data'!E14</f>
        <v>0</v>
      </c>
      <c r="F14" s="2">
        <f>'Input data'!F14</f>
        <v>0</v>
      </c>
      <c r="G14" s="2">
        <f>'Input data'!G14</f>
        <v>0</v>
      </c>
      <c r="H14" s="2">
        <f>0</f>
        <v>0</v>
      </c>
      <c r="I14" s="2">
        <f>0</f>
        <v>0</v>
      </c>
      <c r="J14" s="2">
        <f>0</f>
        <v>0</v>
      </c>
      <c r="K14" s="2">
        <f>0</f>
        <v>0</v>
      </c>
      <c r="L14" s="2">
        <f>0</f>
        <v>0</v>
      </c>
      <c r="M14" s="2">
        <f>0</f>
        <v>0</v>
      </c>
      <c r="N14" s="2">
        <f>0</f>
        <v>0</v>
      </c>
      <c r="O14" s="2">
        <f>0</f>
        <v>0</v>
      </c>
      <c r="P14" s="2">
        <f>0</f>
        <v>0</v>
      </c>
      <c r="Q14" s="2">
        <f>0</f>
        <v>0</v>
      </c>
      <c r="R14" s="2">
        <f>0</f>
        <v>0</v>
      </c>
      <c r="S14" s="2">
        <f>0</f>
        <v>0</v>
      </c>
      <c r="T14" s="2">
        <f>0</f>
        <v>0</v>
      </c>
      <c r="U14" s="2">
        <f>0</f>
        <v>0</v>
      </c>
      <c r="V14" s="2">
        <f>0</f>
        <v>0</v>
      </c>
      <c r="W14" s="2">
        <f>0</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x14ac:dyDescent="0.2">
      <c r="B15" s="26" t="s">
        <v>87</v>
      </c>
      <c r="C15" s="1">
        <f>'Input data'!C15</f>
        <v>0.80446119999999999</v>
      </c>
      <c r="D15" s="2">
        <f>'Input data'!D15</f>
        <v>-1.3102750000000001</v>
      </c>
      <c r="E15" s="2">
        <f>'Input data'!E15</f>
        <v>-0.94044729999999999</v>
      </c>
      <c r="F15" s="2">
        <f>'Input data'!F15</f>
        <v>1.1851970000000001</v>
      </c>
      <c r="G15" s="2">
        <f>'Input data'!G15</f>
        <v>6.6727599999999998E-2</v>
      </c>
      <c r="H15" s="2">
        <f>'Input data'!H15</f>
        <v>0</v>
      </c>
      <c r="I15" s="2">
        <f>'Input data'!I15</f>
        <v>0</v>
      </c>
      <c r="J15" s="2">
        <f>'Input data'!J15</f>
        <v>0</v>
      </c>
      <c r="K15" s="2">
        <f>'Input data'!K15</f>
        <v>0</v>
      </c>
      <c r="L15" s="2">
        <f>'Input data'!L15</f>
        <v>0</v>
      </c>
      <c r="M15" s="2">
        <f>'Input data'!M15</f>
        <v>0</v>
      </c>
      <c r="N15" s="2">
        <f>'Input data'!N15</f>
        <v>0</v>
      </c>
      <c r="O15" s="2">
        <f>'Input data'!O15</f>
        <v>0</v>
      </c>
      <c r="P15" s="2">
        <f>'Input data'!P15</f>
        <v>0</v>
      </c>
      <c r="Q15" s="2">
        <f>'Input data'!Q15</f>
        <v>0</v>
      </c>
      <c r="R15" s="2">
        <f>'Input data'!R15</f>
        <v>0</v>
      </c>
      <c r="S15" s="2">
        <f>'Input data'!S15</f>
        <v>0</v>
      </c>
      <c r="T15" s="2">
        <f>'Input data'!T15</f>
        <v>0</v>
      </c>
      <c r="U15" s="2">
        <f>'Input data'!U15</f>
        <v>0</v>
      </c>
      <c r="V15" s="2">
        <f>'Input data'!V15</f>
        <v>0</v>
      </c>
      <c r="W15" s="2">
        <f>'Input data'!W15</f>
        <v>0</v>
      </c>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60"/>
    </row>
    <row r="16" spans="1:51" ht="5.65" customHeight="1" x14ac:dyDescent="0.2">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ht="11.25" customHeight="1" x14ac:dyDescent="0.2">
      <c r="B17" s="30" t="str">
        <f>'Input data'!B19</f>
        <v>Cost of ageing and selected public revenue (based on the Commission-Council 2024 Ageing Report ("AR 2024"))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
        <v>52</v>
      </c>
      <c r="C18" s="1">
        <f>'Input data'!C20</f>
        <v>0</v>
      </c>
      <c r="D18" s="101">
        <f>'Input data'!D20</f>
        <v>16.93779</v>
      </c>
      <c r="E18" s="101">
        <f>'Input data'!E20</f>
        <v>16.704159999999998</v>
      </c>
      <c r="F18" s="101">
        <f>'Input data'!F20</f>
        <v>16.665520000000001</v>
      </c>
      <c r="G18" s="101">
        <f>'Input data'!G20</f>
        <v>16.600960000000001</v>
      </c>
      <c r="H18" s="101">
        <f>'Input data'!H20</f>
        <v>16.335190000000001</v>
      </c>
      <c r="I18" s="101">
        <f>'Input data'!I20</f>
        <v>16.23882</v>
      </c>
      <c r="J18" s="101">
        <f>'Input data'!J20</f>
        <v>16.156209999999998</v>
      </c>
      <c r="K18" s="101">
        <f>'Input data'!K20</f>
        <v>16.094360000000002</v>
      </c>
      <c r="L18" s="101">
        <f>'Input data'!L20</f>
        <v>16.035070000000001</v>
      </c>
      <c r="M18" s="101">
        <f>'Input data'!M20</f>
        <v>15.982539999999998</v>
      </c>
      <c r="N18" s="101">
        <f>'Input data'!N20</f>
        <v>15.940760000000001</v>
      </c>
      <c r="O18" s="101">
        <f>'Input data'!O20</f>
        <v>15.91657</v>
      </c>
      <c r="P18" s="101">
        <f>'Input data'!P20</f>
        <v>15.907859999999999</v>
      </c>
      <c r="Q18" s="101">
        <f>'Input data'!Q20</f>
        <v>15.914770000000001</v>
      </c>
      <c r="R18" s="101">
        <f>'Input data'!R20</f>
        <v>15.935979999999999</v>
      </c>
      <c r="S18" s="101">
        <f>'Input data'!S20</f>
        <v>15.96696</v>
      </c>
      <c r="T18" s="101">
        <f>'Input data'!T20</f>
        <v>16.00554</v>
      </c>
      <c r="U18" s="101">
        <f>'Input data'!U20</f>
        <v>16.059809999999999</v>
      </c>
      <c r="V18" s="101">
        <f>'Input data'!V20</f>
        <v>16.1328</v>
      </c>
      <c r="W18" s="101">
        <f>'Input data'!W20</f>
        <v>16.22383</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0" x14ac:dyDescent="0.2">
      <c r="A19" s="61"/>
      <c r="B19" s="26" t="s">
        <v>58</v>
      </c>
      <c r="C19" s="1">
        <f>'Input data'!C26</f>
        <v>0.52142140000000003</v>
      </c>
      <c r="D19" s="101">
        <f>'Input data'!D26</f>
        <v>0.43654569999999998</v>
      </c>
      <c r="E19" s="101">
        <f>'Input data'!E26</f>
        <v>0.43370209999999998</v>
      </c>
      <c r="F19" s="101">
        <f>'Input data'!F26</f>
        <v>0.43085859999999998</v>
      </c>
      <c r="G19" s="101">
        <f>'Input data'!G26</f>
        <v>0.42801499999999998</v>
      </c>
      <c r="H19" s="101">
        <f>'Input data'!H26</f>
        <v>0.42517149999999998</v>
      </c>
      <c r="I19" s="101">
        <f>'Input data'!I26</f>
        <v>0.42232789999999998</v>
      </c>
      <c r="J19" s="101">
        <f>'Input data'!J26</f>
        <v>0.41948429999999998</v>
      </c>
      <c r="K19" s="101">
        <f>'Input data'!K26</f>
        <v>0.41664079999999998</v>
      </c>
      <c r="L19" s="101">
        <f>'Input data'!L26</f>
        <v>0.41379729999999998</v>
      </c>
      <c r="M19" s="101">
        <f>'Input data'!M26</f>
        <v>0.41095369999999998</v>
      </c>
      <c r="N19" s="101">
        <f>'Input data'!N26</f>
        <v>0.40811009999999998</v>
      </c>
      <c r="O19" s="101">
        <f>'Input data'!O26</f>
        <v>0.40526659999999998</v>
      </c>
      <c r="P19" s="101">
        <f>'Input data'!P26</f>
        <v>0.40242309999999998</v>
      </c>
      <c r="Q19" s="101">
        <f>'Input data'!Q26</f>
        <v>0.39957949999999998</v>
      </c>
      <c r="R19" s="101">
        <f>'Input data'!R26</f>
        <v>0.39673599999999998</v>
      </c>
      <c r="S19" s="101">
        <f>'Input data'!S26</f>
        <v>0.39389239999999998</v>
      </c>
      <c r="T19" s="101">
        <f>'Input data'!T26</f>
        <v>0.39104889999999998</v>
      </c>
      <c r="U19" s="101">
        <f>'Input data'!U26</f>
        <v>0.38820529999999998</v>
      </c>
      <c r="V19" s="101">
        <f>'Input data'!V26</f>
        <v>0.38536179999999998</v>
      </c>
      <c r="W19" s="101">
        <f>'Input data'!W26</f>
        <v>0.38251829999999998</v>
      </c>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1" spans="1:50" x14ac:dyDescent="0.2">
      <c r="B21" s="28" t="s">
        <v>88</v>
      </c>
    </row>
    <row r="22" spans="1:50" ht="10.5" customHeight="1" x14ac:dyDescent="0.2">
      <c r="B22" s="30" t="s">
        <v>89</v>
      </c>
    </row>
    <row r="23" spans="1:50" x14ac:dyDescent="0.2">
      <c r="B23" s="26" t="s">
        <v>61</v>
      </c>
      <c r="C23" s="34">
        <f>'Input data'!C31</f>
        <v>13.624549999999999</v>
      </c>
      <c r="D23" s="100">
        <f>'Baseline NFPC'!D22</f>
        <v>14.724809936189498</v>
      </c>
      <c r="E23" s="100">
        <f>'Baseline NFPC'!E22</f>
        <v>15.551449869647822</v>
      </c>
      <c r="F23" s="100">
        <f>'Baseline NFPC'!F22</f>
        <v>16.262505701747756</v>
      </c>
      <c r="G23" s="34">
        <f>IF(AND(G50&gt;1,F50&gt;1),IF(AND(G50&gt;0,F50&gt;0),G27*(G51/100+1),0)+IF(G50&gt;0,F23*(1+G52/100),0)-F23*(1+'Input data'!G30/100),IF(G50=1,G27,F23*(1+G52/100)))</f>
        <v>16.996790033942958</v>
      </c>
      <c r="H23" s="34">
        <f>IF(AND(H50&gt;1,G50&gt;1),IF(AND(H50&gt;0,G50&gt;0),H27*(H51/100+1),0)+IF(H50&gt;0,G23*(1+H52/100),0)-G23*(1+'Input data'!H30/100),IF(H50=1,H27,G23*(1+H52/100)))</f>
        <v>17.776595599559172</v>
      </c>
      <c r="I23" s="34">
        <f>IF(AND(I50&gt;1,H50&gt;1),IF(AND(I50&gt;0,H50&gt;0),I27*(I51/100+1),0)+IF(I50&gt;0,H23*(1+I52/100),0)-H23*(1+'Input data'!I30/100),IF(I50=1,I27,H23*(1+I52/100)))</f>
        <v>18.602881894438362</v>
      </c>
      <c r="J23" s="34">
        <f>IF(AND(J50&gt;1,I50&gt;1),IF(AND(J50&gt;0,I50&gt;0),J27*(J51/100+1),0)+IF(J50&gt;0,I23*(1+J52/100),0)-I23*(1+'Input data'!J30/100),IF(J50=1,J27,I23*(1+J52/100)))</f>
        <v>19.459573557963992</v>
      </c>
      <c r="K23" s="34">
        <f>IF(AND(K50&gt;1,J50&gt;1),IF(AND(K50&gt;0,J50&gt;0),K27*(K51/100+1),0)+IF(K50&gt;0,J23*(1+K52/100),0)-J23*(1+'Input data'!K30/100),IF(K50=1,K27,J23*(1+K52/100)))</f>
        <v>20.413445953217614</v>
      </c>
      <c r="L23" s="34">
        <f>IF(AND(L50&gt;1,K50&gt;1),IF(AND(L50&gt;0,K50&gt;0),L27*(L51/100+1),0)+IF(L50&gt;0,K23*(1+L52/100),0)-K23*(1+'Input data'!L30/100),IF(L50=1,L27,K23*(1+L52/100)))</f>
        <v>21.394668616898898</v>
      </c>
      <c r="M23" s="34">
        <f>IF(AND(M50&gt;1,L50&gt;1),IF(AND(M50&gt;0,L50&gt;0),M27*(M51/100+1),0)+IF(M50&gt;0,L23*(1+M52/100),0)-L23*(1+'Input data'!M30/100),IF(M50=1,M27,L23*(1+M52/100)))</f>
        <v>22.389391807879576</v>
      </c>
      <c r="N23" s="34">
        <f>IF(AND(N50&gt;1,M50&gt;1),IF(AND(N50&gt;0,M50&gt;0),N27*(N51/100+1),0)+IF(N50&gt;0,M23*(1+N52/100),0)-M23*(1+'Input data'!N30/100),IF(N50=1,N27,M23*(1+N52/100)))</f>
        <v>23.323058328583588</v>
      </c>
      <c r="O23" s="34">
        <f>IF(AND(O50&gt;1,N50&gt;1),IF(AND(O50&gt;0,N50&gt;0),O27*(O51/100+1),0)+IF(O50&gt;0,N23*(1+O52/100),0)-N23*(1+'Input data'!O30/100),IF(O50=1,O27,N23*(1+O52/100)))</f>
        <v>24.283017683863761</v>
      </c>
      <c r="P23" s="34">
        <f>IF(AND(P50&gt;1,O50&gt;1),IF(AND(P50&gt;0,O50&gt;0),P27*(P51/100+1),0)+IF(P50&gt;0,O23*(1+P52/100),0)-O23*(1+'Input data'!P30/100),IF(P50=1,P27,O23*(1+P52/100)))</f>
        <v>25.200120726314843</v>
      </c>
      <c r="Q23" s="34">
        <f>IF(AND(Q50&gt;1,P50&gt;1),IF(AND(Q50&gt;0,P50&gt;0),Q27*(Q51/100+1),0)+IF(Q50&gt;0,P23*(1+Q52/100),0)-P23*(1+'Input data'!Q30/100),IF(Q50=1,Q27,P23*(1+Q52/100)))</f>
        <v>26.066381428313306</v>
      </c>
      <c r="R23" s="34">
        <f>IF(AND(R50&gt;1,Q50&gt;1),IF(AND(R50&gt;0,Q50&gt;0),R27*(R51/100+1),0)+IF(R50&gt;0,Q23*(1+R52/100),0)-Q23*(1+'Input data'!R30/100),IF(R50=1,R27,Q23*(1+R52/100)))</f>
        <v>26.874004465348797</v>
      </c>
      <c r="S23" s="34">
        <f>IF(AND(S50&gt;1,R50&gt;1),IF(AND(S50&gt;0,R50&gt;0),S27*(S51/100+1),0)+IF(S50&gt;0,R23*(1+S52/100),0)-R23*(1+'Input data'!S30/100),IF(S50=1,S27,R23*(1+S52/100)))</f>
        <v>27.676576990683181</v>
      </c>
      <c r="T23" s="34">
        <f>IF(AND(T50&gt;1,S50&gt;1),IF(AND(T50&gt;0,S50&gt;0),T27*(T51/100+1),0)+IF(T50&gt;0,S23*(1+T52/100),0)-S23*(1+'Input data'!T30/100),IF(T50=1,T27,S23*(1+T52/100)))</f>
        <v>28.464195911620958</v>
      </c>
      <c r="U23" s="34">
        <f>IF(AND(U50&gt;1,T50&gt;1),IF(AND(U50&gt;0,T50&gt;0),U27*(U51/100+1),0)+IF(U50&gt;0,T23*(1+U52/100),0)-T23*(1+'Input data'!U30/100),IF(U50=1,U27,T23*(1+U52/100)))</f>
        <v>29.226599721287112</v>
      </c>
      <c r="V23" s="34">
        <f>IF(AND(V50&gt;1,U50&gt;1),IF(AND(V50&gt;0,U50&gt;0),V27*(V51/100+1),0)+IF(V50&gt;0,U23*(1+V52/100),0)-U23*(1+'Input data'!V30/100),IF(V50=1,V27,U23*(1+V52/100)))</f>
        <v>29.962590385320503</v>
      </c>
      <c r="W23" s="34">
        <f>IF(AND(W50&gt;1,V50&gt;1),IF(AND(W50&gt;0,V50&gt;0),W27*(W51/100+1),0)+IF(W50&gt;0,V23*(1+W52/100),0)-V23*(1+'Input data'!W30/100),IF(W50=1,W27,V23*(1+W52/100)))</f>
        <v>30.672534488816922</v>
      </c>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row>
    <row r="24" spans="1:50" x14ac:dyDescent="0.2">
      <c r="A24" s="61"/>
      <c r="B24" s="62" t="s">
        <v>60</v>
      </c>
      <c r="C24" s="34">
        <f>+'Input data'!C30</f>
        <v>12.513949999999999</v>
      </c>
      <c r="D24" s="100">
        <f>'Baseline NFPC'!D23</f>
        <v>8.0755689999999998</v>
      </c>
      <c r="E24" s="100">
        <f>'Baseline NFPC'!E23</f>
        <v>5.6139260000000002</v>
      </c>
      <c r="F24" s="100">
        <f>'Baseline NFPC'!F23</f>
        <v>4.5722800000000001</v>
      </c>
      <c r="G24" s="34">
        <f t="shared" ref="G24:S24" si="2">100*(G23/F23-1)</f>
        <v>4.515197999999998</v>
      </c>
      <c r="H24" s="34">
        <f t="shared" si="2"/>
        <v>4.5879578676851773</v>
      </c>
      <c r="I24" s="34">
        <f t="shared" si="2"/>
        <v>4.6481695004620516</v>
      </c>
      <c r="J24" s="34">
        <f t="shared" si="2"/>
        <v>4.6051556333416954</v>
      </c>
      <c r="K24" s="34">
        <f t="shared" si="2"/>
        <v>4.9018155121042906</v>
      </c>
      <c r="L24" s="34">
        <f t="shared" si="2"/>
        <v>4.8067468174162853</v>
      </c>
      <c r="M24" s="34">
        <f t="shared" si="2"/>
        <v>4.6493975148321764</v>
      </c>
      <c r="N24" s="34">
        <f t="shared" si="2"/>
        <v>4.1701290000000002</v>
      </c>
      <c r="O24" s="34">
        <f t="shared" si="2"/>
        <v>4.1159240000000041</v>
      </c>
      <c r="P24" s="34">
        <f t="shared" si="2"/>
        <v>3.776726000000008</v>
      </c>
      <c r="Q24" s="34">
        <f t="shared" si="2"/>
        <v>3.4375260000000019</v>
      </c>
      <c r="R24" s="34">
        <f t="shared" si="2"/>
        <v>3.0983320000000036</v>
      </c>
      <c r="S24" s="34">
        <f t="shared" si="2"/>
        <v>2.9864270000000026</v>
      </c>
      <c r="T24" s="34">
        <f>100*(T23/S23-1)</f>
        <v>2.8457959999999893</v>
      </c>
      <c r="U24" s="34">
        <f t="shared" ref="U24:W24" si="3">100*(U23/T23-1)</f>
        <v>2.6784659999999905</v>
      </c>
      <c r="V24" s="34">
        <f t="shared" si="3"/>
        <v>2.5182220000000033</v>
      </c>
      <c r="W24" s="34">
        <f t="shared" si="3"/>
        <v>2.3694349999999975</v>
      </c>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spans="1:50" ht="5.25" customHeight="1" x14ac:dyDescent="0.2">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row>
    <row r="26" spans="1:50" ht="15" x14ac:dyDescent="0.2">
      <c r="A26" s="224"/>
      <c r="B26" s="30" t="s">
        <v>90</v>
      </c>
      <c r="C26" s="223"/>
      <c r="D26" s="223"/>
      <c r="E26" s="223"/>
      <c r="F26" s="223"/>
    </row>
    <row r="27" spans="1:50" x14ac:dyDescent="0.2">
      <c r="B27" s="26" t="s">
        <v>61</v>
      </c>
      <c r="C27" s="34">
        <f>'Input data'!C34</f>
        <v>13.87421</v>
      </c>
      <c r="D27" s="100">
        <f>+C27*(1+'Input data'!D33/100)</f>
        <v>14.7986955071298</v>
      </c>
      <c r="E27" s="100">
        <f>+D27*(1+'Input data'!E33/100)</f>
        <v>15.554359963927773</v>
      </c>
      <c r="F27" s="100">
        <f>+E27*(1+'Input data'!F33/100)</f>
        <v>16.319408002671945</v>
      </c>
      <c r="G27" s="34">
        <f>+F27*(1+'Input data'!G33/100)</f>
        <v>17.114010422743164</v>
      </c>
      <c r="H27" s="34">
        <f>+G27*(1+'Input data'!H33/100)</f>
        <v>17.914487112768004</v>
      </c>
      <c r="I27" s="34">
        <f>+H27*(1+'Input data'!I33/100)</f>
        <v>18.757799770040062</v>
      </c>
      <c r="J27" s="34">
        <f>+I27*(1+'Input data'!J33/100)</f>
        <v>19.629038606509173</v>
      </c>
      <c r="K27" s="34">
        <f>+J27*(1+'Input data'!K33/100)</f>
        <v>20.531617526486727</v>
      </c>
      <c r="L27" s="34">
        <f>+K27*(1+'Input data'!L33/100)</f>
        <v>21.456415783349957</v>
      </c>
      <c r="M27" s="34">
        <f>+L27*(1+'Input data'!M33/100)</f>
        <v>22.389391807879576</v>
      </c>
      <c r="N27" s="34">
        <f>+M27*(1+'Input data'!N33/100)</f>
        <v>23.323057433007914</v>
      </c>
      <c r="O27" s="34">
        <f>+N27*(1+'Input data'!O33/100)</f>
        <v>24.283016284965722</v>
      </c>
      <c r="P27" s="34">
        <f>+O27*(1+'Input data'!P33/100)</f>
        <v>25.20011878892393</v>
      </c>
      <c r="Q27" s="34">
        <f>+P27*(1+'Input data'!Q33/100)</f>
        <v>26.066379424324076</v>
      </c>
      <c r="R27" s="34">
        <f>+Q27*(1+'Input data'!R33/100)</f>
        <v>26.874001617277941</v>
      </c>
      <c r="S27" s="34">
        <f>+R27*(1+'Input data'!S33/100)</f>
        <v>27.676573251336716</v>
      </c>
      <c r="T27" s="34">
        <f>+S27*(1+'Input data'!T33/100)</f>
        <v>28.46419234262606</v>
      </c>
      <c r="U27" s="34">
        <f>+T27*(1+'Input data'!U33/100)</f>
        <v>29.226596625981749</v>
      </c>
      <c r="V27" s="34">
        <f>+U27*(1+'Input data'!V33/100)</f>
        <v>29.962588088866379</v>
      </c>
      <c r="W27" s="34">
        <f>+V27*(1+'Input data'!W33/100)</f>
        <v>30.672532737201575</v>
      </c>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ht="5.25" customHeight="1" x14ac:dyDescent="0.2">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30" t="s">
        <v>91</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x14ac:dyDescent="0.2">
      <c r="B30" s="26" t="s">
        <v>91</v>
      </c>
      <c r="C30" s="34">
        <f>100*(C23/C27-1)</f>
        <v>-1.7994538067392707</v>
      </c>
      <c r="D30" s="100">
        <f t="shared" ref="D30:W30" si="4">100*(D23/D27-1)</f>
        <v>-0.49927083711334141</v>
      </c>
      <c r="E30" s="100">
        <f t="shared" si="4"/>
        <v>-1.8709186920573551E-2</v>
      </c>
      <c r="F30" s="100">
        <f t="shared" si="4"/>
        <v>-0.34867870767660847</v>
      </c>
      <c r="G30" s="34">
        <f t="shared" si="4"/>
        <v>-0.68493816413964792</v>
      </c>
      <c r="H30" s="34">
        <f t="shared" si="4"/>
        <v>-0.76972068661990134</v>
      </c>
      <c r="I30" s="34">
        <f t="shared" si="4"/>
        <v>-0.82588511179831903</v>
      </c>
      <c r="J30" s="34">
        <f t="shared" si="4"/>
        <v>-0.86333850547822832</v>
      </c>
      <c r="K30" s="34">
        <f t="shared" si="4"/>
        <v>-0.57555900365212631</v>
      </c>
      <c r="L30" s="34">
        <f t="shared" si="4"/>
        <v>-0.28777950182609091</v>
      </c>
      <c r="M30" s="34">
        <f>100*(M23/M27-1)</f>
        <v>0</v>
      </c>
      <c r="N30" s="34">
        <f t="shared" si="4"/>
        <v>3.8398725310528903E-6</v>
      </c>
      <c r="O30" s="34">
        <f t="shared" si="4"/>
        <v>5.7608083858795567E-6</v>
      </c>
      <c r="P30" s="34">
        <f t="shared" si="4"/>
        <v>7.6880229293863067E-6</v>
      </c>
      <c r="Q30" s="34">
        <f t="shared" si="4"/>
        <v>7.6880229515907672E-6</v>
      </c>
      <c r="R30" s="34">
        <f t="shared" si="4"/>
        <v>1.0597866650918775E-5</v>
      </c>
      <c r="S30" s="34">
        <f t="shared" si="4"/>
        <v>1.3510872287625375E-5</v>
      </c>
      <c r="T30" s="34">
        <f t="shared" si="4"/>
        <v>1.2538542648599105E-5</v>
      </c>
      <c r="U30" s="34">
        <f t="shared" si="4"/>
        <v>1.0590714349945074E-5</v>
      </c>
      <c r="V30" s="34">
        <f t="shared" si="4"/>
        <v>7.6644050883700743E-6</v>
      </c>
      <c r="W30" s="34">
        <f t="shared" si="4"/>
        <v>5.7106968043285633E-6</v>
      </c>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ht="4.9000000000000004" customHeight="1" x14ac:dyDescent="0.2">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30" t="s">
        <v>92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row>
    <row r="33" spans="2:51" x14ac:dyDescent="0.2">
      <c r="B33" s="26" t="s">
        <v>60</v>
      </c>
      <c r="C33" s="1">
        <f t="shared" ref="C33:W33" si="5">100*((1+C24/100)*(1+C42/100)-1)</f>
        <v>14.7701393577935</v>
      </c>
      <c r="D33" s="2">
        <f t="shared" si="5"/>
        <v>13.761933721019993</v>
      </c>
      <c r="E33" s="2">
        <f t="shared" si="5"/>
        <v>11.183598899764146</v>
      </c>
      <c r="F33" s="2">
        <f>100*((1+F24/100)*(1+F42/100)-1)</f>
        <v>8.3811611205204084</v>
      </c>
      <c r="G33" s="1">
        <f>100*((1+G24/100)*(1+G42/100)-1)</f>
        <v>7.1635200987937742</v>
      </c>
      <c r="H33" s="1">
        <f t="shared" si="5"/>
        <v>7.2402270313374872</v>
      </c>
      <c r="I33" s="1">
        <f t="shared" si="5"/>
        <v>7.3040701897306493</v>
      </c>
      <c r="J33" s="1">
        <f t="shared" si="5"/>
        <v>7.2620683998107616</v>
      </c>
      <c r="K33" s="1">
        <f t="shared" si="5"/>
        <v>7.5683729811140799</v>
      </c>
      <c r="L33" s="1">
        <f t="shared" si="5"/>
        <v>7.4729954771996177</v>
      </c>
      <c r="M33" s="1">
        <f t="shared" si="5"/>
        <v>7.3137478910688669</v>
      </c>
      <c r="N33" s="1">
        <f t="shared" si="5"/>
        <v>6.8243722979931531</v>
      </c>
      <c r="O33" s="1">
        <f t="shared" si="5"/>
        <v>6.7708800620000176</v>
      </c>
      <c r="P33" s="1">
        <f t="shared" si="5"/>
        <v>6.3944939133500078</v>
      </c>
      <c r="Q33" s="1">
        <f t="shared" si="5"/>
        <v>6.01829227370001</v>
      </c>
      <c r="R33" s="1">
        <f t="shared" si="5"/>
        <v>5.6422833420999963</v>
      </c>
      <c r="S33" s="1">
        <f t="shared" si="5"/>
        <v>5.4992958187999985</v>
      </c>
      <c r="T33" s="1">
        <f t="shared" si="5"/>
        <v>5.3269508284999878</v>
      </c>
      <c r="U33" s="1">
        <f>100*((1+U24/100)*(1+U42/100)-1)</f>
        <v>5.127347414099992</v>
      </c>
      <c r="V33" s="1">
        <f t="shared" si="5"/>
        <v>4.9350890836499905</v>
      </c>
      <c r="W33" s="1">
        <f t="shared" si="5"/>
        <v>4.7546428355000003</v>
      </c>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5" spans="2:51" x14ac:dyDescent="0.2">
      <c r="B35" s="28" t="s">
        <v>141</v>
      </c>
    </row>
    <row r="36" spans="2:51" x14ac:dyDescent="0.2">
      <c r="B36" s="26" t="s">
        <v>63</v>
      </c>
      <c r="C36" s="34">
        <f>'Input data'!C37</f>
        <v>2.4089399999999999</v>
      </c>
      <c r="D36" s="100">
        <f>'Input data'!D37</f>
        <v>1.9834700000000001</v>
      </c>
      <c r="E36" s="100">
        <f>'Input data'!E37</f>
        <v>2.3767499999999999</v>
      </c>
      <c r="F36" s="100">
        <f>'Input data'!F37</f>
        <v>2.7490950000000001</v>
      </c>
      <c r="G36" s="100">
        <f>'Input data'!G37</f>
        <v>2.7383609999999998</v>
      </c>
      <c r="H36" s="34">
        <f t="shared" ref="H36:W36" si="6">H101</f>
        <v>2.8292956231126509</v>
      </c>
      <c r="I36" s="34">
        <f t="shared" si="6"/>
        <v>2.9128598255268852</v>
      </c>
      <c r="J36" s="34">
        <f t="shared" si="6"/>
        <v>2.9910327888273525</v>
      </c>
      <c r="K36" s="34">
        <f t="shared" si="6"/>
        <v>3.0645257032705233</v>
      </c>
      <c r="L36" s="34">
        <f t="shared" si="6"/>
        <v>3.1366702495687528</v>
      </c>
      <c r="M36" s="34">
        <f t="shared" si="6"/>
        <v>3.2076071439453773</v>
      </c>
      <c r="N36" s="34">
        <f t="shared" si="6"/>
        <v>3.2774920564792938</v>
      </c>
      <c r="O36" s="34">
        <f t="shared" si="6"/>
        <v>3.3482014995954259</v>
      </c>
      <c r="P36" s="34">
        <f t="shared" si="6"/>
        <v>3.4082849679059493</v>
      </c>
      <c r="Q36" s="34">
        <f t="shared" si="6"/>
        <v>3.460986268827237</v>
      </c>
      <c r="R36" s="34">
        <f t="shared" si="6"/>
        <v>3.507109329181314</v>
      </c>
      <c r="S36" s="34">
        <f t="shared" si="6"/>
        <v>3.5473463331791315</v>
      </c>
      <c r="T36" s="34">
        <f t="shared" si="6"/>
        <v>3.5822884133465078</v>
      </c>
      <c r="U36" s="34">
        <f t="shared" si="6"/>
        <v>3.6124478397273756</v>
      </c>
      <c r="V36" s="34">
        <f t="shared" si="6"/>
        <v>3.6383267971563913</v>
      </c>
      <c r="W36" s="34">
        <f t="shared" si="6"/>
        <v>3.6603737814750277</v>
      </c>
    </row>
    <row r="37" spans="2:51" x14ac:dyDescent="0.2">
      <c r="B37" s="32" t="s">
        <v>94</v>
      </c>
      <c r="C37" s="1"/>
      <c r="D37" s="2">
        <f>'Input data'!D$39</f>
        <v>2.41</v>
      </c>
      <c r="E37" s="2">
        <f>'Input data'!E$39</f>
        <v>3.71</v>
      </c>
      <c r="F37" s="166">
        <f>'Input data'!F$39</f>
        <v>3.4970020000000002</v>
      </c>
      <c r="G37" s="166">
        <f>'Input data'!G$39</f>
        <v>3.5053580000000002</v>
      </c>
      <c r="H37" s="1">
        <f>G37+($O$37-$G$37)/($O$10-$G$10)</f>
        <v>3.5849320000000002</v>
      </c>
      <c r="I37" s="1">
        <f t="shared" ref="I37:N37" si="7">H37+($O$37-$G$37)/($O$10-$G$10)</f>
        <v>3.6645060000000003</v>
      </c>
      <c r="J37" s="1">
        <f t="shared" si="7"/>
        <v>3.7440800000000003</v>
      </c>
      <c r="K37" s="1">
        <f t="shared" si="7"/>
        <v>3.8236540000000003</v>
      </c>
      <c r="L37" s="1">
        <f t="shared" si="7"/>
        <v>3.9032280000000004</v>
      </c>
      <c r="M37" s="1">
        <f t="shared" si="7"/>
        <v>3.9828020000000004</v>
      </c>
      <c r="N37" s="1">
        <f t="shared" si="7"/>
        <v>4.0623760000000004</v>
      </c>
      <c r="O37" s="252">
        <f>'Input data'!$C$52</f>
        <v>4.1419499999999996</v>
      </c>
      <c r="P37" s="1">
        <f>'Baseline NFPC'!P36</f>
        <v>4.1348524999999992</v>
      </c>
      <c r="Q37" s="1">
        <f>'Baseline NFPC'!Q36</f>
        <v>4.1277549999999996</v>
      </c>
      <c r="R37" s="1">
        <f>'Baseline NFPC'!R36</f>
        <v>4.1206575000000001</v>
      </c>
      <c r="S37" s="1">
        <f>'Baseline NFPC'!S36</f>
        <v>4.1135599999999997</v>
      </c>
      <c r="T37" s="1">
        <f>'Baseline NFPC'!T36</f>
        <v>4.1064624999999992</v>
      </c>
      <c r="U37" s="1">
        <f>'Baseline NFPC'!U36</f>
        <v>4.0993649999999997</v>
      </c>
      <c r="V37" s="1">
        <f>'Baseline NFPC'!V36</f>
        <v>4.0922675000000002</v>
      </c>
      <c r="W37" s="1">
        <f>'Baseline NFPC'!W36</f>
        <v>4.0851699999999997</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x14ac:dyDescent="0.2">
      <c r="B38" s="32" t="s">
        <v>95</v>
      </c>
      <c r="C38" s="1"/>
      <c r="D38" s="2">
        <f>'Input data'!D$38</f>
        <v>0.35</v>
      </c>
      <c r="E38" s="2">
        <f>'Input data'!E$38</f>
        <v>3.43</v>
      </c>
      <c r="F38" s="166">
        <f>'Input data'!F$38</f>
        <v>3.5642079999999998</v>
      </c>
      <c r="G38" s="166">
        <f>'Input data'!G$38</f>
        <v>2.8163749999999999</v>
      </c>
      <c r="H38" s="1">
        <f>G38+($O$38-$G$38)/($O$10-$G$10)</f>
        <v>2.8050893749999997</v>
      </c>
      <c r="I38" s="1">
        <f t="shared" ref="I38:N38" si="8">H38+($O$38-$G$38)/($O$10-$G$10)</f>
        <v>2.7938037499999995</v>
      </c>
      <c r="J38" s="1">
        <f t="shared" si="8"/>
        <v>2.7825181249999993</v>
      </c>
      <c r="K38" s="1">
        <f t="shared" si="8"/>
        <v>2.7712324999999991</v>
      </c>
      <c r="L38" s="1">
        <f t="shared" si="8"/>
        <v>2.7599468749999989</v>
      </c>
      <c r="M38" s="1">
        <f t="shared" si="8"/>
        <v>2.7486612499999987</v>
      </c>
      <c r="N38" s="1">
        <f t="shared" si="8"/>
        <v>2.7373756249999985</v>
      </c>
      <c r="O38" s="252">
        <f>'Input data'!$C$53</f>
        <v>2.7260900000000001</v>
      </c>
      <c r="P38" s="1">
        <f>'Baseline NFPC'!P37</f>
        <v>2.6897855000000002</v>
      </c>
      <c r="Q38" s="1">
        <f>'Baseline NFPC'!Q37</f>
        <v>2.6534810000000002</v>
      </c>
      <c r="R38" s="1">
        <f>'Baseline NFPC'!R37</f>
        <v>2.6171765000000002</v>
      </c>
      <c r="S38" s="1">
        <f>'Baseline NFPC'!S37</f>
        <v>2.5808720000000003</v>
      </c>
      <c r="T38" s="1">
        <f>'Baseline NFPC'!T37</f>
        <v>2.5445675000000003</v>
      </c>
      <c r="U38" s="1">
        <f>'Baseline NFPC'!U37</f>
        <v>2.5082629999999999</v>
      </c>
      <c r="V38" s="1">
        <f>'Baseline NFPC'!V37</f>
        <v>2.4719584999999999</v>
      </c>
      <c r="W38" s="1">
        <f>'Baseline NFPC'!W37</f>
        <v>2.435654</v>
      </c>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60"/>
    </row>
    <row r="39" spans="2:51" s="5" customFormat="1" ht="12.75" x14ac:dyDescent="0.2">
      <c r="B39" s="26" t="s">
        <v>96</v>
      </c>
      <c r="C39" s="34">
        <f>'Baseline NFPC'!C38</f>
        <v>8.1903229999999994E-2</v>
      </c>
      <c r="D39" s="34">
        <f>'Baseline NFPC'!D38</f>
        <v>1E-3</v>
      </c>
      <c r="E39" s="34">
        <f>'Baseline NFPC'!E38</f>
        <v>4.9018890000000002E-2</v>
      </c>
      <c r="F39" s="34">
        <f>'Baseline NFPC'!F38</f>
        <v>4.7479519999999997E-2</v>
      </c>
      <c r="G39" s="34">
        <f>'Baseline NFPC'!G38</f>
        <v>4.8981602222222219E-2</v>
      </c>
      <c r="H39" s="34">
        <f>'Baseline NFPC'!H38</f>
        <v>5.048368444444444E-2</v>
      </c>
      <c r="I39" s="34">
        <f>'Baseline NFPC'!I38</f>
        <v>5.1985766666666662E-2</v>
      </c>
      <c r="J39" s="34">
        <f>'Baseline NFPC'!J38</f>
        <v>5.3487848888888884E-2</v>
      </c>
      <c r="K39" s="34">
        <f>'Baseline NFPC'!K38</f>
        <v>5.4989931111111112E-2</v>
      </c>
      <c r="L39" s="34">
        <f>'Baseline NFPC'!L38</f>
        <v>5.6492013333333334E-2</v>
      </c>
      <c r="M39" s="34">
        <f>'Baseline NFPC'!M38</f>
        <v>5.7994095555555555E-2</v>
      </c>
      <c r="N39" s="34">
        <f>'Baseline NFPC'!N38</f>
        <v>5.9496177777777777E-2</v>
      </c>
      <c r="O39" s="34">
        <f>'Baseline NFPC'!O38</f>
        <v>6.0998259999999999E-2</v>
      </c>
      <c r="P39" s="34">
        <f>'Baseline NFPC'!P38</f>
        <v>6.0998259999999999E-2</v>
      </c>
      <c r="Q39" s="34">
        <f>'Baseline NFPC'!Q38</f>
        <v>6.0998259999999999E-2</v>
      </c>
      <c r="R39" s="34">
        <f>'Baseline NFPC'!R38</f>
        <v>6.0998259999999999E-2</v>
      </c>
      <c r="S39" s="34">
        <f>'Baseline NFPC'!S38</f>
        <v>6.0998259999999999E-2</v>
      </c>
      <c r="T39" s="34">
        <f>'Baseline NFPC'!T38</f>
        <v>6.0998259999999999E-2</v>
      </c>
      <c r="U39" s="34">
        <f>'Baseline NFPC'!U38</f>
        <v>6.0998259999999999E-2</v>
      </c>
      <c r="V39" s="34">
        <f>'Baseline NFPC'!V38</f>
        <v>6.0998259999999999E-2</v>
      </c>
      <c r="W39" s="34">
        <f>'Baseline NFPC'!W38</f>
        <v>6.0998259999999999E-2</v>
      </c>
    </row>
    <row r="40" spans="2:51" x14ac:dyDescent="0.2">
      <c r="C40" s="1"/>
      <c r="D40" s="1"/>
      <c r="E40" s="104"/>
      <c r="F40" s="104"/>
      <c r="G40" s="104"/>
      <c r="H40" s="104"/>
      <c r="I40" s="104"/>
      <c r="J40" s="104"/>
      <c r="K40" s="104"/>
      <c r="L40" s="104"/>
      <c r="M40" s="104"/>
      <c r="N40" s="104"/>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8" t="s">
        <v>97</v>
      </c>
      <c r="C41" s="1"/>
      <c r="D41" s="1"/>
      <c r="E41" s="1"/>
      <c r="F41" s="1"/>
      <c r="G41" s="1"/>
      <c r="H41" s="1"/>
      <c r="I41" s="1"/>
      <c r="J41" s="1"/>
      <c r="K41" s="1"/>
      <c r="L41" s="1"/>
      <c r="M41" s="1"/>
      <c r="N41" s="1"/>
      <c r="O41" s="1"/>
      <c r="P41" s="1"/>
      <c r="Q41" s="1"/>
      <c r="R41" s="1"/>
      <c r="S41" s="1"/>
      <c r="T41" s="1"/>
      <c r="U41" s="1"/>
      <c r="V41" s="1"/>
      <c r="W41" s="1"/>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142</v>
      </c>
      <c r="C42" s="1">
        <f>'Input data'!C42</f>
        <v>2.0052530000000002</v>
      </c>
      <c r="D42" s="2">
        <f>'Input data'!D42</f>
        <v>5.2614710000000002</v>
      </c>
      <c r="E42" s="2">
        <f>'Input data'!E42</f>
        <v>5.2736159999999996</v>
      </c>
      <c r="F42" s="2">
        <f>'Input data'!F42</f>
        <v>3.6423429999999999</v>
      </c>
      <c r="G42" s="2">
        <f>'Input data'!G42</f>
        <v>2.5339109999999998</v>
      </c>
      <c r="H42" s="1">
        <f>'Baseline NFPC'!H41</f>
        <v>2.5359221249999999</v>
      </c>
      <c r="I42" s="1">
        <f>'Baseline NFPC'!I41</f>
        <v>2.53793325</v>
      </c>
      <c r="J42" s="1">
        <f>'Baseline NFPC'!J41</f>
        <v>2.5399443749999997</v>
      </c>
      <c r="K42" s="1">
        <f>'Baseline NFPC'!K41</f>
        <v>2.5419554999999998</v>
      </c>
      <c r="L42" s="1">
        <f>'Baseline NFPC'!L41</f>
        <v>2.5439666249999999</v>
      </c>
      <c r="M42" s="1">
        <f>'Baseline NFPC'!M41</f>
        <v>2.5459777499999996</v>
      </c>
      <c r="N42" s="1">
        <f>'Baseline NFPC'!N41</f>
        <v>2.5479888749999997</v>
      </c>
      <c r="O42" s="252">
        <f>'Baseline NFPC'!O41</f>
        <v>2.5499999999999998</v>
      </c>
      <c r="P42" s="1">
        <f>'Baseline NFPC'!P41</f>
        <v>2.5225</v>
      </c>
      <c r="Q42" s="1">
        <f>'Baseline NFPC'!Q41</f>
        <v>2.4949999999999997</v>
      </c>
      <c r="R42" s="1">
        <f>'Baseline NFPC'!R41</f>
        <v>2.4674999999999998</v>
      </c>
      <c r="S42" s="1">
        <f>'Baseline NFPC'!S41</f>
        <v>2.44</v>
      </c>
      <c r="T42" s="1">
        <f>'Baseline NFPC'!T41</f>
        <v>2.4124999999999996</v>
      </c>
      <c r="U42" s="1">
        <f>'Baseline NFPC'!U41</f>
        <v>2.3849999999999998</v>
      </c>
      <c r="V42" s="1">
        <f>'Baseline NFPC'!V41</f>
        <v>2.3574999999999999</v>
      </c>
      <c r="W42" s="1">
        <f>'Baseline NFPC'!W41</f>
        <v>2.33</v>
      </c>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60"/>
    </row>
    <row r="43" spans="2:51" x14ac:dyDescent="0.2">
      <c r="B43" s="26" t="s">
        <v>98</v>
      </c>
      <c r="C43" s="1">
        <f>'Baseline NFPC'!C42</f>
        <v>1</v>
      </c>
      <c r="D43" s="1">
        <f>'Baseline NFPC'!D42</f>
        <v>1</v>
      </c>
      <c r="E43" s="1">
        <f>'Baseline NFPC'!E42</f>
        <v>1</v>
      </c>
      <c r="F43" s="1">
        <f>'Baseline NFPC'!F42</f>
        <v>1</v>
      </c>
      <c r="G43" s="1">
        <f>'Baseline NFPC'!G42</f>
        <v>0.99999990000000005</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1">
        <f>'Baseline NFPC'!V42</f>
        <v>1</v>
      </c>
      <c r="W43" s="1">
        <f>'Baseline NFPC'!W42</f>
        <v>1</v>
      </c>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0"/>
    </row>
    <row r="44" spans="2:51" x14ac:dyDescent="0.2">
      <c r="C44" s="1"/>
      <c r="D44" s="1"/>
      <c r="E44" s="1"/>
      <c r="F44" s="1"/>
      <c r="G44" s="1"/>
      <c r="H44" s="1"/>
      <c r="I44" s="1"/>
      <c r="J44" s="1"/>
      <c r="K44" s="1"/>
      <c r="L44" s="1"/>
      <c r="M44" s="1"/>
      <c r="N44" s="1"/>
      <c r="O44" s="1"/>
      <c r="P44" s="1"/>
      <c r="Q44" s="1"/>
      <c r="R44" s="1"/>
      <c r="S44" s="1"/>
      <c r="T44" s="1"/>
      <c r="U44" s="1"/>
      <c r="V44" s="1"/>
      <c r="W44" s="1"/>
    </row>
    <row r="45" spans="2:51" s="67" customFormat="1" ht="12.75" x14ac:dyDescent="0.2">
      <c r="B45" s="75" t="s">
        <v>99</v>
      </c>
      <c r="C45" s="68"/>
    </row>
    <row r="46" spans="2:51" x14ac:dyDescent="0.2">
      <c r="C46" s="36"/>
    </row>
    <row r="47" spans="2:51" x14ac:dyDescent="0.2">
      <c r="B47" s="54" t="s">
        <v>68</v>
      </c>
      <c r="C47" s="55">
        <f>'Input data'!C49</f>
        <v>0.75</v>
      </c>
    </row>
    <row r="48" spans="2:51" x14ac:dyDescent="0.2">
      <c r="B48" s="56" t="s">
        <v>258</v>
      </c>
      <c r="C48" s="57">
        <f>'Input data'!C50</f>
        <v>0.47899999999999998</v>
      </c>
    </row>
    <row r="49" spans="2:48" x14ac:dyDescent="0.2">
      <c r="C49" s="58"/>
    </row>
    <row r="50" spans="2:48" outlineLevel="1" x14ac:dyDescent="0.2">
      <c r="B50" s="26" t="s">
        <v>100</v>
      </c>
      <c r="C50" s="34">
        <v>0</v>
      </c>
      <c r="D50" s="34">
        <f>IF(AND(ABS((D12-C12)-('Input data'!D13-'Input data'!C13))&gt;0.0001,ABS(D12-C12)&gt;0.0001,D$10&gt;$C$5),4,IF(C50=4,3,IF(C50=3,2,IF(C50=2,1,0))))</f>
        <v>0</v>
      </c>
      <c r="E50" s="34">
        <f>IF(AND(ABS((E12-D12)-('Input data'!E13-'Input data'!D13))&gt;0.0001,ABS(E12-D12)&gt;0.0001,E$10&gt;$C$5),4,IF(D50=4,3,IF(D50=3,2,IF(D50=2,1,0))))</f>
        <v>0</v>
      </c>
      <c r="F50" s="34">
        <f>IF(AND(ABS((F12-E12)-('Input data'!F13-'Input data'!E13))&gt;0.0001,ABS(F12-E12)&gt;0.0001,F$10&gt;$C$5),4,IF(E50=4,3,IF(E50=3,2,IF(E50=2,1,0))))</f>
        <v>0</v>
      </c>
      <c r="G50" s="34">
        <f>IF(AND(ABS((G12-F12)-('Input data'!G13-'Input data'!F13))&gt;0.0001,ABS(G12-F12)&gt;0.0001,G$10&gt;$C$5),4,IF(F50=4,3,IF(F50=3,2,IF(F50=2,1,0))))</f>
        <v>4</v>
      </c>
      <c r="H50" s="34">
        <f>IF(AND(ABS((H12-G12)-('Input data'!H13-'Input data'!G13))&gt;0.0001,ABS(H12-G12)&gt;0.0001,H$10&gt;$C$5),4,IF(G50=4,3,IF(G50=3,2,IF(G50=2,1,0))))</f>
        <v>4</v>
      </c>
      <c r="I50" s="34">
        <f>IF(AND(ABS((I12-H12)-('Input data'!I13-'Input data'!H13))&gt;0.0001,ABS(I12-H12)&gt;0.0001,I$10&gt;$C$5),4,IF(H50=4,3,IF(H50=3,2,IF(H50=2,1,0))))</f>
        <v>4</v>
      </c>
      <c r="J50" s="34">
        <f>IF(AND(ABS((J12-I12)-('Input data'!J13-'Input data'!I13))&gt;0.0001,ABS(J12-I12)&gt;0.0001,J$10&gt;$C$5),4,IF(I50=4,3,IF(I50=3,2,IF(I50=2,1,0))))</f>
        <v>4</v>
      </c>
      <c r="K50" s="34">
        <f>IF(AND(ABS((K12-J12)-('Input data'!K13-'Input data'!J13))&gt;0.0001,ABS(K12-J12)&gt;0.0001,K$10&gt;$C$5),4,IF(J50=4,3,IF(J50=3,2,IF(J50=2,1,0))))</f>
        <v>3</v>
      </c>
      <c r="L50" s="34">
        <f>IF(AND(ABS((L12-K12)-('Input data'!L13-'Input data'!K13))&gt;0.0001,ABS(L12-K12)&gt;0.0001,L$10&gt;$C$5),4,IF(K50=4,3,IF(K50=3,2,IF(K50=2,1,0))))</f>
        <v>2</v>
      </c>
      <c r="M50" s="34">
        <f>IF(AND(ABS((M12-L12)-('Input data'!M13-'Input data'!L13))&gt;0.0001,ABS(M12-L12)&gt;0.0001,M$10&gt;$C$5),4,IF(L50=4,3,IF(L50=3,2,IF(L50=2,1,0))))</f>
        <v>1</v>
      </c>
      <c r="N50" s="34">
        <f>IF(AND(ABS((N12-M12)-('Input data'!N13-'Input data'!M13))&gt;0.0001,ABS(N12-M12)&gt;0.0001,N$10&gt;$C$5),4,IF(M50=4,3,IF(M50=3,2,IF(M50=2,1,0))))</f>
        <v>0</v>
      </c>
      <c r="O50" s="34">
        <f>IF(AND(ABS((O12-N12)-('Input data'!O13-'Input data'!N13))&gt;0.0001,ABS(O12-N12)&gt;0.0001,O$10&gt;$C$5),4,IF(N50=4,3,IF(N50=3,2,IF(N50=2,1,0))))</f>
        <v>0</v>
      </c>
      <c r="P50" s="34">
        <f>IF(AND(ABS((P12-O12)-('Input data'!P13-'Input data'!O13))&gt;0.0001,ABS(P12-O12)&gt;0.0001,P$10&gt;$C$5),4,IF(O50=4,3,IF(O50=3,2,IF(O50=2,1,0))))</f>
        <v>0</v>
      </c>
      <c r="Q50" s="34">
        <f>IF(AND(ABS((Q12-P12)-('Input data'!Q13-'Input data'!P13))&gt;0.0001,ABS(Q12-P12)&gt;0.0001,Q$10&gt;$C$5),4,IF(P50=4,3,IF(P50=3,2,IF(P50=2,1,0))))</f>
        <v>0</v>
      </c>
      <c r="R50" s="34">
        <f>IF(AND(ABS((R12-Q12)-('Input data'!R13-'Input data'!Q13))&gt;0.0001,ABS(R12-Q12)&gt;0.0001,R$10&gt;$C$5),4,IF(Q50=4,3,IF(Q50=3,2,IF(Q50=2,1,0))))</f>
        <v>0</v>
      </c>
      <c r="S50" s="34">
        <f>IF(AND(ABS((S12-R12)-('Input data'!S13-'Input data'!R13))&gt;0.0001,ABS(S12-R12)&gt;0.0001,S$10&gt;$C$5),4,IF(R50=4,3,IF(R50=3,2,IF(R50=2,1,0))))</f>
        <v>0</v>
      </c>
      <c r="T50" s="34">
        <f>IF(AND(ABS((T12-S12)-('Input data'!T13-'Input data'!S13))&gt;0.0001,ABS(T12-S12)&gt;0.0001,T$10&gt;$C$5),4,IF(S50=4,3,IF(S50=3,2,IF(S50=2,1,0))))</f>
        <v>0</v>
      </c>
      <c r="U50" s="34">
        <f>IF(AND(ABS((U12-T12)-('Input data'!U13-'Input data'!T13))&gt;0.0001,ABS(U12-T12)&gt;0.0001,U$10&gt;$C$5),4,IF(T50=4,3,IF(T50=3,2,IF(T50=2,1,0))))</f>
        <v>0</v>
      </c>
      <c r="V50" s="34">
        <f>IF(AND(ABS((V12-U12)-('Input data'!V13-'Input data'!U13))&gt;0.0001,ABS(V12-U12)&gt;0.0001,V$10&gt;$C$5),4,IF(U50=4,3,IF(U50=3,2,IF(U50=2,1,0))))</f>
        <v>0</v>
      </c>
      <c r="W50" s="34">
        <f>IF(AND(ABS((W12-V12)-('Input data'!W13-'Input data'!V13))&gt;0.0001,ABS(W12-V12)&gt;0.0001,W$10&gt;$C$5),4,IF(V50=4,3,IF(V50=3,2,IF(V50=2,1,0))))</f>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101</v>
      </c>
      <c r="C51" s="34">
        <v>0</v>
      </c>
      <c r="D51" s="34">
        <f t="shared" ref="D51:W51" si="9">IF(C50=4,2/3*C30,IF(C50=3,1/3*B30,0))</f>
        <v>0</v>
      </c>
      <c r="E51" s="34">
        <f t="shared" si="9"/>
        <v>0</v>
      </c>
      <c r="F51" s="34">
        <f t="shared" si="9"/>
        <v>0</v>
      </c>
      <c r="G51" s="34">
        <f t="shared" si="9"/>
        <v>0</v>
      </c>
      <c r="H51" s="34">
        <f t="shared" si="9"/>
        <v>-0.45662544275976524</v>
      </c>
      <c r="I51" s="34">
        <f t="shared" si="9"/>
        <v>-0.51314712441326749</v>
      </c>
      <c r="J51" s="34">
        <f t="shared" si="9"/>
        <v>-0.55059007453221265</v>
      </c>
      <c r="K51" s="34">
        <f t="shared" si="9"/>
        <v>-0.57555900365215218</v>
      </c>
      <c r="L51" s="34">
        <f t="shared" si="9"/>
        <v>-0.28777950182607609</v>
      </c>
      <c r="M51" s="34">
        <f t="shared" si="9"/>
        <v>0</v>
      </c>
      <c r="N51" s="34">
        <f t="shared" si="9"/>
        <v>0</v>
      </c>
      <c r="O51" s="34">
        <f t="shared" si="9"/>
        <v>0</v>
      </c>
      <c r="P51" s="34">
        <f t="shared" si="9"/>
        <v>0</v>
      </c>
      <c r="Q51" s="34">
        <f t="shared" si="9"/>
        <v>0</v>
      </c>
      <c r="R51" s="34">
        <f t="shared" si="9"/>
        <v>0</v>
      </c>
      <c r="S51" s="34">
        <f t="shared" si="9"/>
        <v>0</v>
      </c>
      <c r="T51" s="34">
        <f t="shared" si="9"/>
        <v>0</v>
      </c>
      <c r="U51" s="34">
        <f t="shared" si="9"/>
        <v>0</v>
      </c>
      <c r="V51" s="34">
        <f t="shared" si="9"/>
        <v>0</v>
      </c>
      <c r="W51" s="34">
        <f t="shared" si="9"/>
        <v>0</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outlineLevel="1" x14ac:dyDescent="0.2">
      <c r="B52" s="26" t="s">
        <v>102</v>
      </c>
      <c r="C52" s="34"/>
      <c r="D52" s="34">
        <f>'Input data'!D30-$C$47*((D12-C12)-('Input data'!D13-'Input data'!C13))</f>
        <v>8.0755689999999998</v>
      </c>
      <c r="E52" s="34">
        <f>'Input data'!E30-$C$47*((E12-D12)-('Input data'!E13-'Input data'!D13))</f>
        <v>5.6139260000000002</v>
      </c>
      <c r="F52" s="34">
        <f>'Input data'!F30-$C$47*((F12-E12)-('Input data'!F13-'Input data'!E13))</f>
        <v>4.5722800000000001</v>
      </c>
      <c r="G52" s="34">
        <f>'Input data'!G30-$C$47*((G12-F12))</f>
        <v>4.5151979999999998</v>
      </c>
      <c r="H52" s="34">
        <f>'Input data'!H30-$C$47*((H12-G12))</f>
        <v>4.4773629999999995</v>
      </c>
      <c r="I52" s="34">
        <f>'Input data'!I30-$C$47*((I12-H12))</f>
        <v>4.5506839999999995</v>
      </c>
      <c r="J52" s="34">
        <f>'Input data'!J30-$C$47*((J12-I12))</f>
        <v>4.4010949999999998</v>
      </c>
      <c r="K52" s="34">
        <f>'Input data'!K30-$C$47*((K12-J12))</f>
        <v>4.5981800000000002</v>
      </c>
      <c r="L52" s="34">
        <f>'Input data'!L30-$C$47*((L12-K12))</f>
        <v>4.5042590000000002</v>
      </c>
      <c r="M52" s="34">
        <f>'Input data'!M30-$C$47*((M12-L12))</f>
        <v>4.3482380000000003</v>
      </c>
      <c r="N52" s="34">
        <f>'Input data'!N30-$C$47*((N12-M12))</f>
        <v>4.1701290000000002</v>
      </c>
      <c r="O52" s="34">
        <f>'Input data'!O30-$C$47*((O12-N12))</f>
        <v>4.1159239999999997</v>
      </c>
      <c r="P52" s="34">
        <f>'Input data'!P30-$C$47*((P12-O12))</f>
        <v>3.776726</v>
      </c>
      <c r="Q52" s="34">
        <f>'Input data'!Q30-$C$47*((Q12-P12))</f>
        <v>3.4375260000000001</v>
      </c>
      <c r="R52" s="34">
        <f>'Input data'!R30-$C$47*((R12-Q12))</f>
        <v>3.0983320000000001</v>
      </c>
      <c r="S52" s="34">
        <f>'Input data'!S30-$C$47*((S12-R12))</f>
        <v>2.9864269999999999</v>
      </c>
      <c r="T52" s="34">
        <f>'Input data'!T30-$C$47*((T12-S12))</f>
        <v>2.845796</v>
      </c>
      <c r="U52" s="34">
        <f>'Input data'!U30-$C$47*((U12-T12))</f>
        <v>2.6784659999999998</v>
      </c>
      <c r="V52" s="34">
        <f>'Input data'!V30-$C$47*((V12-U12))</f>
        <v>2.5182220000000002</v>
      </c>
      <c r="W52" s="34">
        <f>'Input data'!W30-$C$47*((W12-V12))</f>
        <v>2.3694350000000002</v>
      </c>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row>
    <row r="53" spans="2:48" x14ac:dyDescent="0.2">
      <c r="C53" s="36"/>
    </row>
    <row r="54" spans="2:48" s="67" customFormat="1" ht="12.75" outlineLevel="1" x14ac:dyDescent="0.2">
      <c r="B54" s="72" t="s">
        <v>103</v>
      </c>
      <c r="C54" s="69"/>
      <c r="E54" s="70"/>
      <c r="F54" s="69"/>
    </row>
    <row r="55" spans="2:48" outlineLevel="1" x14ac:dyDescent="0.2">
      <c r="B55" s="43"/>
      <c r="C55" s="29"/>
      <c r="E55" s="44"/>
      <c r="F55" s="29"/>
    </row>
    <row r="56" spans="2:48" outlineLevel="1" x14ac:dyDescent="0.2">
      <c r="B56" s="85"/>
      <c r="C56" s="86">
        <v>2021</v>
      </c>
      <c r="D56" s="86">
        <v>2022</v>
      </c>
      <c r="E56" s="86">
        <v>2023</v>
      </c>
      <c r="F56" s="86">
        <v>2024</v>
      </c>
      <c r="G56" s="86">
        <v>2025</v>
      </c>
      <c r="H56" s="86">
        <v>2026</v>
      </c>
      <c r="I56" s="86">
        <v>2027</v>
      </c>
      <c r="J56" s="86">
        <v>2028</v>
      </c>
      <c r="K56" s="86">
        <v>2029</v>
      </c>
      <c r="L56" s="86">
        <v>2030</v>
      </c>
      <c r="M56" s="86">
        <v>2031</v>
      </c>
      <c r="N56" s="86">
        <v>2032</v>
      </c>
      <c r="O56" s="86">
        <v>2033</v>
      </c>
      <c r="P56" s="86">
        <v>2034</v>
      </c>
      <c r="Q56" s="86">
        <v>2035</v>
      </c>
      <c r="R56" s="86">
        <v>2036</v>
      </c>
      <c r="S56" s="86">
        <v>2037</v>
      </c>
      <c r="T56" s="86">
        <v>2038</v>
      </c>
      <c r="U56" s="86">
        <v>2039</v>
      </c>
      <c r="V56" s="86">
        <v>2040</v>
      </c>
      <c r="W56" s="86">
        <v>2041</v>
      </c>
    </row>
    <row r="57" spans="2:48" ht="10.5" customHeight="1" outlineLevel="1" x14ac:dyDescent="0.2">
      <c r="B57" s="87" t="s">
        <v>104</v>
      </c>
      <c r="C57" s="45">
        <f>+'Input data'!C12</f>
        <v>53.925649999999997</v>
      </c>
      <c r="D57" s="45">
        <f>+C57+D58</f>
        <v>51.626479730977287</v>
      </c>
      <c r="E57" s="45">
        <f>+D57+E58</f>
        <v>50.396658431512243</v>
      </c>
      <c r="F57" s="45">
        <f>+E57+F58</f>
        <v>52.027240532489337</v>
      </c>
      <c r="G57" s="45">
        <f>+F57+G58</f>
        <v>52.730907877542279</v>
      </c>
      <c r="H57" s="45">
        <f t="shared" ref="H57:S57" si="10">+G57+H58</f>
        <v>52.947955578274673</v>
      </c>
      <c r="I57" s="45">
        <f t="shared" si="10"/>
        <v>52.754005449493576</v>
      </c>
      <c r="J57" s="45">
        <f t="shared" si="10"/>
        <v>52.204191928643532</v>
      </c>
      <c r="K57" s="45">
        <f t="shared" si="10"/>
        <v>51.372351329919553</v>
      </c>
      <c r="L57" s="45">
        <f t="shared" si="10"/>
        <v>50.459213782499226</v>
      </c>
      <c r="M57" s="45">
        <f t="shared" si="10"/>
        <v>49.500598925154414</v>
      </c>
      <c r="N57" s="45">
        <f t="shared" si="10"/>
        <v>48.790200251788782</v>
      </c>
      <c r="O57" s="45">
        <f t="shared" si="10"/>
        <v>48.137985261657484</v>
      </c>
      <c r="P57" s="45">
        <f t="shared" si="10"/>
        <v>47.692831253694074</v>
      </c>
      <c r="Q57" s="45">
        <f t="shared" si="10"/>
        <v>47.458119144471006</v>
      </c>
      <c r="R57" s="45">
        <f t="shared" si="10"/>
        <v>47.438682330101329</v>
      </c>
      <c r="S57" s="45">
        <f t="shared" si="10"/>
        <v>47.534549576967095</v>
      </c>
      <c r="T57" s="45">
        <f>+S57+T58</f>
        <v>47.762177596110192</v>
      </c>
      <c r="U57" s="45">
        <f>+T57+U58</f>
        <v>48.146034957105734</v>
      </c>
      <c r="V57" s="45">
        <f t="shared" ref="V57:W57" si="11">+U57+V58</f>
        <v>48.699009806069576</v>
      </c>
      <c r="W57" s="45">
        <f t="shared" si="11"/>
        <v>49.432125258886146</v>
      </c>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row>
    <row r="58" spans="2:48" outlineLevel="1" x14ac:dyDescent="0.2">
      <c r="B58" s="88" t="s">
        <v>105</v>
      </c>
      <c r="C58" s="47"/>
      <c r="D58" s="47">
        <f>-D59+D67+D72</f>
        <v>-2.2991702690227092</v>
      </c>
      <c r="E58" s="47">
        <f>-E59+E67+E72</f>
        <v>-1.2298212994650455</v>
      </c>
      <c r="F58" s="47">
        <f>-F59+F67+F72</f>
        <v>1.6305821009770955</v>
      </c>
      <c r="G58" s="47">
        <f>-G59+G67+G72</f>
        <v>0.70366734505293893</v>
      </c>
      <c r="H58" s="47">
        <f t="shared" ref="H58:S58" si="12">-H59+H67+H72</f>
        <v>0.2170477007323961</v>
      </c>
      <c r="I58" s="47">
        <f t="shared" si="12"/>
        <v>-0.19395012878109874</v>
      </c>
      <c r="J58" s="47">
        <f t="shared" si="12"/>
        <v>-0.54981352085004254</v>
      </c>
      <c r="K58" s="47">
        <f t="shared" si="12"/>
        <v>-0.83184059872398031</v>
      </c>
      <c r="L58" s="47">
        <f t="shared" si="12"/>
        <v>-0.91313754742032915</v>
      </c>
      <c r="M58" s="47">
        <f t="shared" si="12"/>
        <v>-0.958614857344813</v>
      </c>
      <c r="N58" s="47">
        <f t="shared" si="12"/>
        <v>-0.71039867336563434</v>
      </c>
      <c r="O58" s="47">
        <f t="shared" si="12"/>
        <v>-0.65221499013129669</v>
      </c>
      <c r="P58" s="47">
        <f t="shared" si="12"/>
        <v>-0.4451540079634132</v>
      </c>
      <c r="Q58" s="47">
        <f t="shared" si="12"/>
        <v>-0.23471210922306973</v>
      </c>
      <c r="R58" s="47">
        <f t="shared" si="12"/>
        <v>-1.943681436967859E-2</v>
      </c>
      <c r="S58" s="47">
        <f t="shared" si="12"/>
        <v>9.5867246865767308E-2</v>
      </c>
      <c r="T58" s="47">
        <f>-T59+T67+T72</f>
        <v>0.22762801914309527</v>
      </c>
      <c r="U58" s="47">
        <f t="shared" ref="U58:W58" si="13">-U59+U67+U72</f>
        <v>0.38385736099553935</v>
      </c>
      <c r="V58" s="47">
        <f t="shared" si="13"/>
        <v>0.55297484896384219</v>
      </c>
      <c r="W58" s="47">
        <f t="shared" si="13"/>
        <v>0.73311545281657242</v>
      </c>
    </row>
    <row r="59" spans="2:48" outlineLevel="1" x14ac:dyDescent="0.2">
      <c r="B59" s="84" t="s">
        <v>106</v>
      </c>
      <c r="C59" s="48"/>
      <c r="D59" s="48">
        <f>D60+D61-D62-D63-D64-D65-D66</f>
        <v>-4.5943547309772903</v>
      </c>
      <c r="E59" s="48">
        <f>E60+E61-E62-E63-E64-E65-E66</f>
        <v>-3.7999557005349547</v>
      </c>
      <c r="F59" s="48">
        <f t="shared" ref="F59:R59" si="14">F60+F61-F62-F63-F64-F65-F66</f>
        <v>-3.0642601009770956</v>
      </c>
      <c r="G59" s="48">
        <f t="shared" si="14"/>
        <v>-2.7853283806228912</v>
      </c>
      <c r="H59" s="48">
        <f t="shared" si="14"/>
        <v>-2.385939208890933</v>
      </c>
      <c r="I59" s="48">
        <f t="shared" si="14"/>
        <v>-1.9728419685513949</v>
      </c>
      <c r="J59" s="48">
        <f t="shared" si="14"/>
        <v>-1.5507821441240717</v>
      </c>
      <c r="K59" s="48">
        <f t="shared" si="14"/>
        <v>-1.3539292627493724</v>
      </c>
      <c r="L59" s="48">
        <f t="shared" si="14"/>
        <v>-1.1596363813747008</v>
      </c>
      <c r="M59" s="48">
        <f t="shared" si="14"/>
        <v>-0.97210360000000073</v>
      </c>
      <c r="N59" s="48">
        <f t="shared" si="14"/>
        <v>-0.93316536070106071</v>
      </c>
      <c r="O59" s="48">
        <f t="shared" si="14"/>
        <v>-0.91181794057278542</v>
      </c>
      <c r="P59" s="48">
        <f t="shared" si="14"/>
        <v>-0.90595051743701849</v>
      </c>
      <c r="Q59" s="48">
        <f t="shared" si="14"/>
        <v>-0.91570411743700908</v>
      </c>
      <c r="R59" s="48">
        <f t="shared" si="14"/>
        <v>-0.93975622362187528</v>
      </c>
      <c r="S59" s="48">
        <f>S60+S61-S62-S63-S64-S65-S66</f>
        <v>-0.97357842829217667</v>
      </c>
      <c r="T59" s="48">
        <f>T60+T61-T62-T63-T64-T65-T66</f>
        <v>-1.0150023940380735</v>
      </c>
      <c r="U59" s="48">
        <f>U60+U61-U62-U63-U64-U65-U66</f>
        <v>-1.0721169270478275</v>
      </c>
      <c r="V59" s="48">
        <f t="shared" ref="V59:W59" si="15">V60+V61-V62-V63-V64-V65-V66</f>
        <v>-1.1479518287499646</v>
      </c>
      <c r="W59" s="48">
        <f t="shared" si="15"/>
        <v>-1.2418262645762326</v>
      </c>
    </row>
    <row r="60" spans="2:48" outlineLevel="1" x14ac:dyDescent="0.2">
      <c r="B60" s="79" t="s">
        <v>107</v>
      </c>
      <c r="C60" s="1"/>
      <c r="D60" s="1">
        <f>D12</f>
        <v>-4.3552039999999996</v>
      </c>
      <c r="E60" s="1">
        <f>E12</f>
        <v>-3.790994</v>
      </c>
      <c r="F60" s="1">
        <f>F12</f>
        <v>-2.897243</v>
      </c>
      <c r="G60" s="1">
        <f t="shared" ref="G60:W60" si="16">IF(G12="",F60,G12)</f>
        <v>-2.4572430000000001</v>
      </c>
      <c r="H60" s="1">
        <f t="shared" si="16"/>
        <v>-2.0172430000000001</v>
      </c>
      <c r="I60" s="1">
        <f t="shared" si="16"/>
        <v>-1.5772430000000002</v>
      </c>
      <c r="J60" s="1">
        <f t="shared" si="16"/>
        <v>-1.1372430000000002</v>
      </c>
      <c r="K60" s="1">
        <f t="shared" si="16"/>
        <v>-1.1372430000000002</v>
      </c>
      <c r="L60" s="1">
        <f t="shared" si="16"/>
        <v>-1.1372430000000002</v>
      </c>
      <c r="M60" s="1">
        <f t="shared" si="16"/>
        <v>-1.1372430000000002</v>
      </c>
      <c r="N60" s="1">
        <f t="shared" si="16"/>
        <v>-1.1372430000000002</v>
      </c>
      <c r="O60" s="1">
        <f t="shared" si="16"/>
        <v>-1.1372430000000002</v>
      </c>
      <c r="P60" s="1">
        <f t="shared" si="16"/>
        <v>-1.1372430000000002</v>
      </c>
      <c r="Q60" s="1">
        <f t="shared" si="16"/>
        <v>-1.1372430000000002</v>
      </c>
      <c r="R60" s="1">
        <f t="shared" si="16"/>
        <v>-1.1372430000000002</v>
      </c>
      <c r="S60" s="1">
        <f t="shared" si="16"/>
        <v>-1.1372430000000002</v>
      </c>
      <c r="T60" s="1">
        <f t="shared" si="16"/>
        <v>-1.1372430000000002</v>
      </c>
      <c r="U60" s="1">
        <f t="shared" si="16"/>
        <v>-1.1372430000000002</v>
      </c>
      <c r="V60" s="1">
        <f t="shared" si="16"/>
        <v>-1.1372430000000002</v>
      </c>
      <c r="W60" s="1">
        <f t="shared" si="16"/>
        <v>-1.1372430000000002</v>
      </c>
    </row>
    <row r="61" spans="2:48" outlineLevel="1" x14ac:dyDescent="0.2">
      <c r="B61" s="79" t="s">
        <v>108</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row>
    <row r="62" spans="2:48" outlineLevel="1" x14ac:dyDescent="0.2">
      <c r="B62" s="79" t="s">
        <v>109</v>
      </c>
      <c r="C62" s="1"/>
      <c r="D62" s="1">
        <f t="shared" ref="D62:W62" si="17">-$C$48*D30</f>
        <v>0.23915073097729053</v>
      </c>
      <c r="E62" s="1">
        <f t="shared" si="17"/>
        <v>8.9617005349547311E-3</v>
      </c>
      <c r="F62" s="1">
        <f t="shared" si="17"/>
        <v>0.16701710097709546</v>
      </c>
      <c r="G62" s="1">
        <f t="shared" si="17"/>
        <v>0.32808538062289133</v>
      </c>
      <c r="H62" s="1">
        <f t="shared" si="17"/>
        <v>0.36869620889093274</v>
      </c>
      <c r="I62" s="1">
        <f t="shared" si="17"/>
        <v>0.39559896855139481</v>
      </c>
      <c r="J62" s="1">
        <f t="shared" si="17"/>
        <v>0.41353914412407133</v>
      </c>
      <c r="K62" s="1">
        <f t="shared" si="17"/>
        <v>0.27569276274936849</v>
      </c>
      <c r="L62" s="1">
        <f t="shared" si="17"/>
        <v>0.13784638137469754</v>
      </c>
      <c r="M62" s="1">
        <f>-$C$48*M30</f>
        <v>0</v>
      </c>
      <c r="N62" s="1">
        <f t="shared" si="17"/>
        <v>-1.8392989423743344E-6</v>
      </c>
      <c r="O62" s="1">
        <f t="shared" si="17"/>
        <v>-2.7594272168363077E-6</v>
      </c>
      <c r="P62" s="1">
        <f t="shared" si="17"/>
        <v>-3.6825629831760407E-6</v>
      </c>
      <c r="Q62" s="1">
        <f t="shared" si="17"/>
        <v>-3.6825629938119772E-6</v>
      </c>
      <c r="R62" s="1">
        <f t="shared" si="17"/>
        <v>-5.0763781257900932E-6</v>
      </c>
      <c r="S62" s="1">
        <f t="shared" si="17"/>
        <v>-6.4717078257725543E-6</v>
      </c>
      <c r="T62" s="1">
        <f t="shared" si="17"/>
        <v>-6.0059619286789712E-6</v>
      </c>
      <c r="U62" s="1">
        <f>-$C$48*U30</f>
        <v>-5.0729521736236903E-6</v>
      </c>
      <c r="V62" s="1">
        <f t="shared" si="17"/>
        <v>-3.6712500373292652E-6</v>
      </c>
      <c r="W62" s="1">
        <f t="shared" si="17"/>
        <v>-2.7354237692733818E-6</v>
      </c>
    </row>
    <row r="63" spans="2:48" outlineLevel="1" x14ac:dyDescent="0.2">
      <c r="B63" s="79" t="s">
        <v>110</v>
      </c>
      <c r="C63" s="1"/>
      <c r="D63" s="1">
        <f t="shared" ref="D63:W63" si="18">-D14</f>
        <v>0</v>
      </c>
      <c r="E63" s="1">
        <f t="shared" si="18"/>
        <v>0</v>
      </c>
      <c r="F63" s="1">
        <f t="shared" si="18"/>
        <v>0</v>
      </c>
      <c r="G63" s="1">
        <f t="shared" si="18"/>
        <v>0</v>
      </c>
      <c r="H63" s="1">
        <f t="shared" si="18"/>
        <v>0</v>
      </c>
      <c r="I63" s="1">
        <f t="shared" si="18"/>
        <v>0</v>
      </c>
      <c r="J63" s="1">
        <f t="shared" si="18"/>
        <v>0</v>
      </c>
      <c r="K63" s="1">
        <f t="shared" si="18"/>
        <v>0</v>
      </c>
      <c r="L63" s="1">
        <f t="shared" si="18"/>
        <v>0</v>
      </c>
      <c r="M63" s="1">
        <f t="shared" si="18"/>
        <v>0</v>
      </c>
      <c r="N63" s="1">
        <f t="shared" si="18"/>
        <v>0</v>
      </c>
      <c r="O63" s="1">
        <f t="shared" si="18"/>
        <v>0</v>
      </c>
      <c r="P63" s="1">
        <f t="shared" si="18"/>
        <v>0</v>
      </c>
      <c r="Q63" s="1">
        <f t="shared" si="18"/>
        <v>0</v>
      </c>
      <c r="R63" s="1">
        <f t="shared" si="18"/>
        <v>0</v>
      </c>
      <c r="S63" s="1">
        <f t="shared" si="18"/>
        <v>0</v>
      </c>
      <c r="T63" s="1">
        <f t="shared" si="18"/>
        <v>0</v>
      </c>
      <c r="U63" s="1">
        <f t="shared" si="18"/>
        <v>0</v>
      </c>
      <c r="V63" s="1">
        <f t="shared" si="18"/>
        <v>0</v>
      </c>
      <c r="W63" s="1">
        <f t="shared" si="18"/>
        <v>0</v>
      </c>
    </row>
    <row r="64" spans="2:48" outlineLevel="1" x14ac:dyDescent="0.2">
      <c r="B64" s="79" t="s">
        <v>111</v>
      </c>
      <c r="C64" s="1"/>
      <c r="D64" s="1">
        <f>IF(D$56&lt;=$C$6,0,HLOOKUP(D$56,'Input data'!$C$9:$BB$26,12,FALSE)-HLOOKUP($C$6,'Input data'!$C$9:$BB$26,12,FALSE))</f>
        <v>0</v>
      </c>
      <c r="E64" s="1">
        <f>IF(E$56&lt;=$C$6,0,HLOOKUP(E$56,'Input data'!$C$9:$BB$26,12,FALSE)-HLOOKUP($C$6,'Input data'!$C$9:$BB$26,12,FALSE))</f>
        <v>0</v>
      </c>
      <c r="F64" s="1">
        <f>IF(F$56&lt;=$C$6,0,HLOOKUP(F$56,'Input data'!$C$9:$BB$26,12,FALSE)-HLOOKUP($C$6,'Input data'!$C$9:$BB$26,12,FALSE))</f>
        <v>0</v>
      </c>
      <c r="G64" s="1">
        <f>IF(G$56&lt;=$C$6,0,HLOOKUP(G$56,'Input data'!$C$9:$BB$26,12,FALSE)-HLOOKUP($C$6,'Input data'!$C$9:$BB$26,12,FALSE))</f>
        <v>0</v>
      </c>
      <c r="H64" s="1">
        <f>IF(H$56&lt;=$C$6,0,HLOOKUP(H$56,'Input data'!$C$9:$BB$26,12,FALSE)-HLOOKUP($C$6,'Input data'!$C$9:$BB$26,12,FALSE))</f>
        <v>0</v>
      </c>
      <c r="I64" s="1">
        <f>IF(I$56&lt;=$C$6,0,HLOOKUP(I$56,'Input data'!$C$9:$BB$26,12,FALSE)-HLOOKUP($C$6,'Input data'!$C$9:$BB$26,12,FALSE))</f>
        <v>0</v>
      </c>
      <c r="J64" s="1">
        <f>IF(J$56&lt;=$C$6,0,HLOOKUP(J$56,'Input data'!$C$9:$BB$26,12,FALSE)-HLOOKUP($C$6,'Input data'!$C$9:$BB$26,12,FALSE))</f>
        <v>0</v>
      </c>
      <c r="K64" s="1">
        <f>IF(K$56&lt;=$C$6,0,HLOOKUP(K$56,'Input data'!$C$9:$BB$26,12,FALSE)-HLOOKUP($C$6,'Input data'!$C$9:$BB$26,12,FALSE))</f>
        <v>-6.1849999999996186E-2</v>
      </c>
      <c r="L64" s="1">
        <f>IF(L$56&lt;=$C$6,0,HLOOKUP(L$56,'Input data'!$C$9:$BB$26,12,FALSE)-HLOOKUP($C$6,'Input data'!$C$9:$BB$26,12,FALSE))</f>
        <v>-0.12113999999999692</v>
      </c>
      <c r="M64" s="1">
        <f>IF(M$56&lt;=$C$6,0,HLOOKUP(M$56,'Input data'!$C$9:$BB$26,12,FALSE)-HLOOKUP($C$6,'Input data'!$C$9:$BB$26,12,FALSE))</f>
        <v>-0.17366999999999955</v>
      </c>
      <c r="N64" s="1">
        <f>IF(N$56&lt;=$C$6,0,HLOOKUP(N$56,'Input data'!$C$9:$BB$26,12,FALSE)-HLOOKUP($C$6,'Input data'!$C$9:$BB$26,12,FALSE))</f>
        <v>-0.21544999999999703</v>
      </c>
      <c r="O64" s="1">
        <f>IF(O$56&lt;=$C$6,0,HLOOKUP(O$56,'Input data'!$C$9:$BB$26,12,FALSE)-HLOOKUP($C$6,'Input data'!$C$9:$BB$26,12,FALSE))</f>
        <v>-0.23963999999999785</v>
      </c>
      <c r="P64" s="1">
        <f>IF(P$56&lt;=$C$6,0,HLOOKUP(P$56,'Input data'!$C$9:$BB$26,12,FALSE)-HLOOKUP($C$6,'Input data'!$C$9:$BB$26,12,FALSE))</f>
        <v>-0.24834999999999852</v>
      </c>
      <c r="Q64" s="1">
        <f>IF(Q$56&lt;=$C$6,0,HLOOKUP(Q$56,'Input data'!$C$9:$BB$26,12,FALSE)-HLOOKUP($C$6,'Input data'!$C$9:$BB$26,12,FALSE))</f>
        <v>-0.24143999999999721</v>
      </c>
      <c r="R64" s="1">
        <f>IF(R$56&lt;=$C$6,0,HLOOKUP(R$56,'Input data'!$C$9:$BB$26,12,FALSE)-HLOOKUP($C$6,'Input data'!$C$9:$BB$26,12,FALSE))</f>
        <v>-0.22022999999999904</v>
      </c>
      <c r="S64" s="1">
        <f>IF(S$56&lt;=$C$6,0,HLOOKUP(S$56,'Input data'!$C$9:$BB$26,12,FALSE)-HLOOKUP($C$6,'Input data'!$C$9:$BB$26,12,FALSE))</f>
        <v>-0.1892499999999977</v>
      </c>
      <c r="T64" s="1">
        <f>IF(T$56&lt;=$C$6,0,HLOOKUP(T$56,'Input data'!$C$9:$BB$26,12,FALSE)-HLOOKUP($C$6,'Input data'!$C$9:$BB$26,12,FALSE))</f>
        <v>-0.15066999999999808</v>
      </c>
      <c r="U64" s="1">
        <f>IF(U$56&lt;=$C$6,0,HLOOKUP(U$56,'Input data'!$C$9:$BB$26,12,FALSE)-HLOOKUP($C$6,'Input data'!$C$9:$BB$26,12,FALSE))</f>
        <v>-9.6399999999999153E-2</v>
      </c>
      <c r="V64" s="1">
        <f>IF(V$56&lt;=$C$6,0,HLOOKUP(V$56,'Input data'!$C$9:$BB$26,12,FALSE)-HLOOKUP($C$6,'Input data'!$C$9:$BB$26,12,FALSE))</f>
        <v>-2.3409999999998377E-2</v>
      </c>
      <c r="W64" s="1">
        <f>IF(W$56&lt;=$C$6,0,HLOOKUP(W$56,'Input data'!$C$9:$BB$26,12,FALSE)-HLOOKUP($C$6,'Input data'!$C$9:$BB$26,12,FALSE))</f>
        <v>6.7620000000001568E-2</v>
      </c>
    </row>
    <row r="65" spans="2:23" outlineLevel="1" x14ac:dyDescent="0.2">
      <c r="B65" s="79" t="s">
        <v>112</v>
      </c>
      <c r="C65" s="1"/>
      <c r="D65" s="1">
        <f>IF(D$56&lt;=$C$5,0,-HLOOKUP(D$56,'Input data'!$C$9:$BB$26,18,FALSE)+HLOOKUP($C$6,'Input data'!$C$9:$BB$26,18,FALSE))</f>
        <v>0</v>
      </c>
      <c r="E65" s="1">
        <f>IF(E$56&lt;=$C$5,0,-HLOOKUP(E$56,'Input data'!$C$9:$BB$26,18,FALSE)+HLOOKUP($C$6,'Input data'!$C$9:$BB$26,18,FALSE))</f>
        <v>0</v>
      </c>
      <c r="F65" s="1">
        <f>IF(F$56&lt;=$C$5,0,-HLOOKUP(F$56,'Input data'!$C$9:$BB$26,18,FALSE)+HLOOKUP($C$6,'Input data'!$C$9:$BB$26,18,FALSE))</f>
        <v>0</v>
      </c>
      <c r="G65" s="1">
        <f>IF(G$56&lt;=$C$6,0,-HLOOKUP(G$56,'Input data'!$C$9:$BB$26,18,FALSE)+HLOOKUP($C$6,'Input data'!$C$9:$BB$26,18,FALSE))</f>
        <v>0</v>
      </c>
      <c r="H65" s="1">
        <f>IF(H$56&lt;=$C$6,0,-HLOOKUP(H$56,'Input data'!$C$9:$BB$26,18,FALSE)+HLOOKUP($C$6,'Input data'!$C$9:$BB$26,18,FALSE))</f>
        <v>0</v>
      </c>
      <c r="I65" s="1">
        <f>IF(I$56&lt;=$C$6,0,-HLOOKUP(I$56,'Input data'!$C$9:$BB$26,18,FALSE)+HLOOKUP($C$6,'Input data'!$C$9:$BB$26,18,FALSE))</f>
        <v>0</v>
      </c>
      <c r="J65" s="1">
        <f>IF(J$56&lt;=$C$6,0,-HLOOKUP(J$56,'Input data'!$C$9:$BB$26,18,FALSE)+HLOOKUP($C$6,'Input data'!$C$9:$BB$26,18,FALSE))</f>
        <v>0</v>
      </c>
      <c r="K65" s="1">
        <f>IF(K$56&lt;=$C$6,0,-HLOOKUP(K$56,'Input data'!$C$9:$BB$26,18,FALSE)+HLOOKUP($C$6,'Input data'!$C$9:$BB$26,18,FALSE))</f>
        <v>2.8434999999999988E-3</v>
      </c>
      <c r="L65" s="1">
        <f>IF(L$56&lt;=$C$6,0,-HLOOKUP(L$56,'Input data'!$C$9:$BB$26,18,FALSE)+HLOOKUP($C$6,'Input data'!$C$9:$BB$26,18,FALSE))</f>
        <v>5.6869999999999976E-3</v>
      </c>
      <c r="M65" s="1">
        <f>IF(M$56&lt;=$C$6,0,-HLOOKUP(M$56,'Input data'!$C$9:$BB$26,18,FALSE)+HLOOKUP($C$6,'Input data'!$C$9:$BB$26,18,FALSE))</f>
        <v>8.5305999999999993E-3</v>
      </c>
      <c r="N65" s="1">
        <f>IF(N$56&lt;=$C$6,0,-HLOOKUP(N$56,'Input data'!$C$9:$BB$26,18,FALSE)+HLOOKUP($C$6,'Input data'!$C$9:$BB$26,18,FALSE))</f>
        <v>1.1374200000000001E-2</v>
      </c>
      <c r="O65" s="1">
        <f>IF(O$56&lt;=$C$6,0,-HLOOKUP(O$56,'Input data'!$C$9:$BB$26,18,FALSE)+HLOOKUP($C$6,'Input data'!$C$9:$BB$26,18,FALSE))</f>
        <v>1.42177E-2</v>
      </c>
      <c r="P65" s="1">
        <f>IF(P$56&lt;=$C$6,0,-HLOOKUP(P$56,'Input data'!$C$9:$BB$26,18,FALSE)+HLOOKUP($C$6,'Input data'!$C$9:$BB$26,18,FALSE))</f>
        <v>1.7061199999999999E-2</v>
      </c>
      <c r="Q65" s="1">
        <f>IF(Q$56&lt;=$C$6,0,-HLOOKUP(Q$56,'Input data'!$C$9:$BB$26,18,FALSE)+HLOOKUP($C$6,'Input data'!$C$9:$BB$26,18,FALSE))</f>
        <v>1.99048E-2</v>
      </c>
      <c r="R65" s="1">
        <f>IF(R$56&lt;=$C$6,0,-HLOOKUP(R$56,'Input data'!$C$9:$BB$26,18,FALSE)+HLOOKUP($C$6,'Input data'!$C$9:$BB$26,18,FALSE))</f>
        <v>2.2748299999999999E-2</v>
      </c>
      <c r="S65" s="1">
        <f>IF(S$56&lt;=$C$6,0,-HLOOKUP(S$56,'Input data'!$C$9:$BB$26,18,FALSE)+HLOOKUP($C$6,'Input data'!$C$9:$BB$26,18,FALSE))</f>
        <v>2.5591900000000001E-2</v>
      </c>
      <c r="T65" s="1">
        <f>IF(T$56&lt;=$C$6,0,-HLOOKUP(T$56,'Input data'!$C$9:$BB$26,18,FALSE)+HLOOKUP($C$6,'Input data'!$C$9:$BB$26,18,FALSE))</f>
        <v>2.84354E-2</v>
      </c>
      <c r="U65" s="264">
        <f>IF(U$56&lt;=$C$6,0,-HLOOKUP(U$56,'Input data'!$C$9:$BB$26,18,FALSE)+HLOOKUP($C$6,'Input data'!$C$9:$BB$26,18,FALSE))</f>
        <v>3.1279000000000001E-2</v>
      </c>
      <c r="V65" s="264">
        <f>IF(V$56&lt;=$C$6,0,-HLOOKUP(V$56,'Input data'!$C$9:$BB$26,18,FALSE)+HLOOKUP($C$6,'Input data'!$C$9:$BB$26,18,FALSE))</f>
        <v>3.41225E-2</v>
      </c>
      <c r="W65" s="264">
        <f>IF(W$56&lt;=$C$6,0,-HLOOKUP(W$56,'Input data'!$C$9:$BB$26,18,FALSE)+HLOOKUP($C$6,'Input data'!$C$9:$BB$26,18,FALSE))</f>
        <v>3.6965999999999999E-2</v>
      </c>
    </row>
    <row r="66" spans="2:23" outlineLevel="1" x14ac:dyDescent="0.2">
      <c r="B66" s="79" t="s">
        <v>113</v>
      </c>
      <c r="C66" s="37"/>
      <c r="D66" s="37">
        <v>0</v>
      </c>
      <c r="E66" s="37">
        <v>0</v>
      </c>
      <c r="F66" s="37">
        <v>0</v>
      </c>
      <c r="G66" s="37">
        <v>0</v>
      </c>
      <c r="H66" s="37">
        <v>0</v>
      </c>
      <c r="I66" s="37">
        <v>0</v>
      </c>
      <c r="J66" s="37">
        <v>0</v>
      </c>
      <c r="K66" s="37">
        <v>0</v>
      </c>
      <c r="L66" s="37">
        <v>0</v>
      </c>
      <c r="M66" s="37">
        <v>0</v>
      </c>
      <c r="N66" s="37">
        <v>0</v>
      </c>
      <c r="O66" s="37">
        <v>0</v>
      </c>
      <c r="P66" s="37">
        <v>0</v>
      </c>
      <c r="Q66" s="37">
        <v>0</v>
      </c>
      <c r="R66" s="37">
        <v>0</v>
      </c>
      <c r="S66" s="37">
        <v>0</v>
      </c>
      <c r="T66" s="37">
        <v>0</v>
      </c>
      <c r="U66" s="265">
        <v>0</v>
      </c>
      <c r="V66" s="265">
        <v>0</v>
      </c>
      <c r="W66" s="265">
        <v>0</v>
      </c>
    </row>
    <row r="67" spans="2:23" outlineLevel="1" x14ac:dyDescent="0.2">
      <c r="B67" s="84" t="s">
        <v>114</v>
      </c>
      <c r="C67" s="48"/>
      <c r="D67" s="48">
        <f t="shared" ref="D67:O67" si="19">SUM(D68:D71)</f>
        <v>-5.5832499999999996</v>
      </c>
      <c r="E67" s="48">
        <f t="shared" si="19"/>
        <v>-4.0893290000000002</v>
      </c>
      <c r="F67" s="48">
        <f t="shared" si="19"/>
        <v>-2.6188769999999999</v>
      </c>
      <c r="G67" s="48">
        <f t="shared" si="19"/>
        <v>-2.1483854355699523</v>
      </c>
      <c r="H67" s="48">
        <f t="shared" si="19"/>
        <v>-2.1688915081585369</v>
      </c>
      <c r="I67" s="48">
        <f t="shared" si="19"/>
        <v>-2.1667920973324937</v>
      </c>
      <c r="J67" s="48">
        <f t="shared" si="19"/>
        <v>-2.1005956649741142</v>
      </c>
      <c r="K67" s="48">
        <f t="shared" si="19"/>
        <v>-2.1857698614733527</v>
      </c>
      <c r="L67" s="48">
        <f t="shared" si="19"/>
        <v>-2.07277392879503</v>
      </c>
      <c r="M67" s="48">
        <f t="shared" si="19"/>
        <v>-1.9307184573448137</v>
      </c>
      <c r="N67" s="48">
        <f t="shared" si="19"/>
        <v>-1.643564034066695</v>
      </c>
      <c r="O67" s="48">
        <f t="shared" si="19"/>
        <v>-1.5640329307040821</v>
      </c>
      <c r="P67" s="48">
        <f t="shared" ref="P67:W67" si="20">SUM(P68:P71)</f>
        <v>-1.3511045254004317</v>
      </c>
      <c r="Q67" s="48">
        <f t="shared" si="20"/>
        <v>-1.1504162266600788</v>
      </c>
      <c r="R67" s="48">
        <f t="shared" si="20"/>
        <v>-0.95919303799155387</v>
      </c>
      <c r="S67" s="48">
        <f t="shared" si="20"/>
        <v>-0.87771118142640936</v>
      </c>
      <c r="T67" s="48">
        <f t="shared" si="20"/>
        <v>-0.78737437489497819</v>
      </c>
      <c r="U67" s="48">
        <f t="shared" si="20"/>
        <v>-0.68825956605228811</v>
      </c>
      <c r="V67" s="48">
        <f t="shared" si="20"/>
        <v>-0.59497697978612241</v>
      </c>
      <c r="W67" s="48">
        <f t="shared" si="20"/>
        <v>-0.50871081175966015</v>
      </c>
    </row>
    <row r="68" spans="2:23" outlineLevel="1" x14ac:dyDescent="0.2">
      <c r="B68" s="79" t="s">
        <v>115</v>
      </c>
      <c r="C68" s="34"/>
      <c r="D68" s="34">
        <f t="shared" ref="D68:E68" si="21">C57*D36/100*(1/(1+D33/100))</f>
        <v>0.94020825338464531</v>
      </c>
      <c r="E68" s="34">
        <f t="shared" si="21"/>
        <v>1.1036091376320842</v>
      </c>
      <c r="F68" s="34">
        <f>E57*F36/100*(1/(1+F33/100))</f>
        <v>1.2783144254813359</v>
      </c>
      <c r="G68" s="34">
        <f>F57*G36/100*(1/(1+G33/100))</f>
        <v>1.3294576949361674</v>
      </c>
      <c r="H68" s="34">
        <f t="shared" ref="H68:W68" si="22">G57*H36/100*(1/(1+H33/100))</f>
        <v>1.3911880922919946</v>
      </c>
      <c r="I68" s="34">
        <f t="shared" si="22"/>
        <v>1.4373170782341744</v>
      </c>
      <c r="J68" s="34">
        <f>I57*J36/100*(1/(1+J33/100))</f>
        <v>1.4710602023192991</v>
      </c>
      <c r="K68" s="34">
        <f t="shared" si="22"/>
        <v>1.4872502348983545</v>
      </c>
      <c r="L68" s="34">
        <f t="shared" si="22"/>
        <v>1.4993359527337065</v>
      </c>
      <c r="M68" s="34">
        <f t="shared" si="22"/>
        <v>1.5082255329569167</v>
      </c>
      <c r="N68" s="34">
        <f t="shared" si="22"/>
        <v>1.5187341266615515</v>
      </c>
      <c r="O68" s="34">
        <f t="shared" si="22"/>
        <v>1.5299997672936694</v>
      </c>
      <c r="P68" s="34">
        <f t="shared" si="22"/>
        <v>1.5420720144240345</v>
      </c>
      <c r="Q68" s="34">
        <f t="shared" si="22"/>
        <v>1.5569410763983529</v>
      </c>
      <c r="R68" s="34">
        <f t="shared" si="22"/>
        <v>1.5755132048593603</v>
      </c>
      <c r="S68" s="34">
        <f t="shared" si="22"/>
        <v>1.5950953464520359</v>
      </c>
      <c r="T68" s="34">
        <f t="shared" si="22"/>
        <v>1.6167036531844454</v>
      </c>
      <c r="U68" s="34">
        <f t="shared" si="22"/>
        <v>1.6412320820586228</v>
      </c>
      <c r="V68" s="34">
        <f t="shared" si="22"/>
        <v>1.6693273021536863</v>
      </c>
      <c r="W68" s="34">
        <f t="shared" si="22"/>
        <v>1.7016580253903886</v>
      </c>
    </row>
    <row r="69" spans="2:23" outlineLevel="1" x14ac:dyDescent="0.2">
      <c r="B69" s="79" t="s">
        <v>116</v>
      </c>
      <c r="C69" s="34"/>
      <c r="D69" s="34">
        <f t="shared" ref="D69:W69" si="23">-C57*(D24/100)*(1/(1+D33/100))</f>
        <v>-3.8279967050558801</v>
      </c>
      <c r="E69" s="34">
        <f t="shared" si="23"/>
        <v>-2.6067445173410486</v>
      </c>
      <c r="F69" s="34">
        <f t="shared" si="23"/>
        <v>-2.1260856686799849</v>
      </c>
      <c r="G69" s="34">
        <f t="shared" si="23"/>
        <v>-2.1921013063143944</v>
      </c>
      <c r="H69" s="34">
        <f t="shared" si="23"/>
        <v>-2.2559368845447985</v>
      </c>
      <c r="I69" s="34">
        <f t="shared" si="23"/>
        <v>-2.2935856188455142</v>
      </c>
      <c r="J69" s="34">
        <f t="shared" si="23"/>
        <v>-2.2649237423944961</v>
      </c>
      <c r="K69" s="34">
        <f t="shared" si="23"/>
        <v>-2.3789085090802882</v>
      </c>
      <c r="L69" s="34">
        <f t="shared" si="23"/>
        <v>-2.2976365845378255</v>
      </c>
      <c r="M69" s="34">
        <f t="shared" si="23"/>
        <v>-2.1861592551858147</v>
      </c>
      <c r="N69" s="34">
        <f t="shared" si="23"/>
        <v>-1.9323669182845573</v>
      </c>
      <c r="O69" s="34">
        <f t="shared" si="23"/>
        <v>-1.8808195274266994</v>
      </c>
      <c r="P69" s="34">
        <f t="shared" si="23"/>
        <v>-1.708772454647739</v>
      </c>
      <c r="Q69" s="34">
        <f t="shared" si="23"/>
        <v>-1.5463873632763281</v>
      </c>
      <c r="R69" s="34">
        <f t="shared" si="23"/>
        <v>-1.3918764774230254</v>
      </c>
      <c r="S69" s="34">
        <f t="shared" si="23"/>
        <v>-1.342873055744052</v>
      </c>
      <c r="T69" s="34">
        <f t="shared" si="23"/>
        <v>-1.2843211541193786</v>
      </c>
      <c r="U69" s="34">
        <f t="shared" si="23"/>
        <v>-1.2168990460039342</v>
      </c>
      <c r="V69" s="34">
        <f t="shared" si="23"/>
        <v>-1.1554038358427785</v>
      </c>
      <c r="W69" s="34">
        <f t="shared" si="23"/>
        <v>-1.1015181301419172</v>
      </c>
    </row>
    <row r="70" spans="2:23" outlineLevel="1" x14ac:dyDescent="0.2">
      <c r="B70" s="79" t="s">
        <v>117</v>
      </c>
      <c r="C70" s="34"/>
      <c r="D70" s="34">
        <f t="shared" ref="D70:W70" si="24">-C57*D42/100*(1/(1+D42/100))</f>
        <v>-2.6954615106143631</v>
      </c>
      <c r="E70" s="34">
        <f t="shared" si="24"/>
        <v>-2.5861962367945783</v>
      </c>
      <c r="F70" s="34">
        <f t="shared" si="24"/>
        <v>-1.7711092855302355</v>
      </c>
      <c r="G70" s="34">
        <f t="shared" si="24"/>
        <v>-1.2857443532503172</v>
      </c>
      <c r="H70" s="34">
        <f t="shared" si="24"/>
        <v>-1.3041427159057333</v>
      </c>
      <c r="I70" s="34">
        <f t="shared" si="24"/>
        <v>-1.3105235567211539</v>
      </c>
      <c r="J70" s="34">
        <f t="shared" si="24"/>
        <v>-1.3067321248989174</v>
      </c>
      <c r="K70" s="34">
        <f t="shared" si="24"/>
        <v>-1.2941115872914188</v>
      </c>
      <c r="L70" s="34">
        <f t="shared" si="24"/>
        <v>-1.2744732969909112</v>
      </c>
      <c r="M70" s="34">
        <f t="shared" si="24"/>
        <v>-1.2527847351159158</v>
      </c>
      <c r="N70" s="34">
        <f t="shared" si="24"/>
        <v>-1.2299312424436892</v>
      </c>
      <c r="O70" s="34">
        <f t="shared" si="24"/>
        <v>-1.213213170571052</v>
      </c>
      <c r="P70" s="34">
        <f t="shared" si="24"/>
        <v>-1.1844040851767272</v>
      </c>
      <c r="Q70" s="34">
        <f t="shared" si="24"/>
        <v>-1.1609699397821036</v>
      </c>
      <c r="R70" s="34">
        <f t="shared" si="24"/>
        <v>-1.1428297654278887</v>
      </c>
      <c r="S70" s="34">
        <f t="shared" si="24"/>
        <v>-1.1299334721343932</v>
      </c>
      <c r="T70" s="34">
        <f t="shared" si="24"/>
        <v>-1.119756873960045</v>
      </c>
      <c r="U70" s="34">
        <f t="shared" si="24"/>
        <v>-1.1125926021069767</v>
      </c>
      <c r="V70" s="34">
        <f t="shared" si="24"/>
        <v>-1.1089004460970302</v>
      </c>
      <c r="W70" s="34">
        <f t="shared" si="24"/>
        <v>-1.1088507070081315</v>
      </c>
    </row>
    <row r="71" spans="2:23" outlineLevel="1" x14ac:dyDescent="0.2">
      <c r="B71" s="79" t="s">
        <v>118</v>
      </c>
      <c r="C71" s="49"/>
      <c r="D71" s="49">
        <f>'Baseline NFPC'!D70</f>
        <v>-3.7714402267852165E-8</v>
      </c>
      <c r="E71" s="49">
        <f>'Baseline NFPC'!E70</f>
        <v>2.6165035427183625E-6</v>
      </c>
      <c r="F71" s="49">
        <f>'Baseline NFPC'!F70</f>
        <v>3.5287288846497233E-6</v>
      </c>
      <c r="G71" s="49">
        <f>'Baseline NFPC'!G70</f>
        <v>2.5290585918824604E-6</v>
      </c>
      <c r="H71" s="49">
        <v>0</v>
      </c>
      <c r="I71" s="49">
        <v>0</v>
      </c>
      <c r="J71" s="49">
        <v>0</v>
      </c>
      <c r="K71" s="49">
        <v>0</v>
      </c>
      <c r="L71" s="49">
        <v>0</v>
      </c>
      <c r="M71" s="49">
        <v>0</v>
      </c>
      <c r="N71" s="49">
        <v>0</v>
      </c>
      <c r="O71" s="49">
        <v>0</v>
      </c>
      <c r="P71" s="49">
        <v>0</v>
      </c>
      <c r="Q71" s="49">
        <v>0</v>
      </c>
      <c r="R71" s="49">
        <v>0</v>
      </c>
      <c r="S71" s="49">
        <v>0</v>
      </c>
      <c r="T71" s="49">
        <v>0</v>
      </c>
      <c r="U71" s="49">
        <v>0</v>
      </c>
      <c r="V71" s="49">
        <v>0</v>
      </c>
      <c r="W71" s="49">
        <v>0</v>
      </c>
    </row>
    <row r="72" spans="2:23" outlineLevel="1" x14ac:dyDescent="0.2">
      <c r="B72" s="84" t="s">
        <v>119</v>
      </c>
      <c r="C72" s="50"/>
      <c r="D72" s="50">
        <f>'Input data'!D16</f>
        <v>-1.3102750000000001</v>
      </c>
      <c r="E72" s="50">
        <f>'Input data'!E16</f>
        <v>-0.94044799999999995</v>
      </c>
      <c r="F72" s="50">
        <f>'Input data'!F16</f>
        <v>1.1851989999999999</v>
      </c>
      <c r="G72" s="50">
        <f>'Input data'!G16</f>
        <v>6.6724400000000003E-2</v>
      </c>
      <c r="H72" s="50">
        <f>'Input data'!H16</f>
        <v>0</v>
      </c>
      <c r="I72" s="50">
        <f>'Input data'!I16</f>
        <v>0</v>
      </c>
      <c r="J72" s="50">
        <f>'Input data'!J16</f>
        <v>0</v>
      </c>
      <c r="K72" s="50">
        <f>'Input data'!K16</f>
        <v>0</v>
      </c>
      <c r="L72" s="50">
        <f>'Input data'!L16</f>
        <v>0</v>
      </c>
      <c r="M72" s="50">
        <f>'Input data'!M16</f>
        <v>0</v>
      </c>
      <c r="N72" s="50">
        <f>'Input data'!N16</f>
        <v>0</v>
      </c>
      <c r="O72" s="50">
        <f>'Input data'!O16</f>
        <v>0</v>
      </c>
      <c r="P72" s="50">
        <f>'Input data'!P16</f>
        <v>0</v>
      </c>
      <c r="Q72" s="50">
        <f>'Input data'!Q16</f>
        <v>0</v>
      </c>
      <c r="R72" s="50">
        <f>'Input data'!R16</f>
        <v>0</v>
      </c>
      <c r="S72" s="50">
        <f>'Input data'!S16</f>
        <v>0</v>
      </c>
      <c r="T72" s="50">
        <f>'Input data'!T16</f>
        <v>0</v>
      </c>
      <c r="U72" s="50">
        <f>'Input data'!U16</f>
        <v>0</v>
      </c>
      <c r="V72" s="50">
        <f>'Input data'!V16</f>
        <v>0</v>
      </c>
      <c r="W72" s="50">
        <f>'Input data'!W16</f>
        <v>0</v>
      </c>
    </row>
    <row r="73" spans="2:23" outlineLevel="1" x14ac:dyDescent="0.2">
      <c r="B73" s="79" t="s">
        <v>120</v>
      </c>
      <c r="C73" s="34"/>
      <c r="D73" s="34">
        <f t="shared" ref="D73:W73" si="25">D15</f>
        <v>-1.3102750000000001</v>
      </c>
      <c r="E73" s="34">
        <f t="shared" si="25"/>
        <v>-0.94044729999999999</v>
      </c>
      <c r="F73" s="34">
        <f t="shared" si="25"/>
        <v>1.1851970000000001</v>
      </c>
      <c r="G73" s="34">
        <f t="shared" si="25"/>
        <v>6.6727599999999998E-2</v>
      </c>
      <c r="H73" s="34">
        <f t="shared" si="25"/>
        <v>0</v>
      </c>
      <c r="I73" s="34">
        <f t="shared" si="25"/>
        <v>0</v>
      </c>
      <c r="J73" s="34">
        <f t="shared" si="25"/>
        <v>0</v>
      </c>
      <c r="K73" s="34">
        <f t="shared" si="25"/>
        <v>0</v>
      </c>
      <c r="L73" s="34">
        <f t="shared" si="25"/>
        <v>0</v>
      </c>
      <c r="M73" s="34">
        <f t="shared" si="25"/>
        <v>0</v>
      </c>
      <c r="N73" s="34">
        <f t="shared" si="25"/>
        <v>0</v>
      </c>
      <c r="O73" s="34">
        <f t="shared" si="25"/>
        <v>0</v>
      </c>
      <c r="P73" s="34">
        <f t="shared" si="25"/>
        <v>0</v>
      </c>
      <c r="Q73" s="34">
        <f t="shared" si="25"/>
        <v>0</v>
      </c>
      <c r="R73" s="34">
        <f t="shared" si="25"/>
        <v>0</v>
      </c>
      <c r="S73" s="34">
        <f t="shared" si="25"/>
        <v>0</v>
      </c>
      <c r="T73" s="34">
        <f t="shared" si="25"/>
        <v>0</v>
      </c>
      <c r="U73" s="34">
        <f t="shared" si="25"/>
        <v>0</v>
      </c>
      <c r="V73" s="34">
        <f t="shared" si="25"/>
        <v>0</v>
      </c>
      <c r="W73" s="34">
        <f t="shared" si="25"/>
        <v>0</v>
      </c>
    </row>
    <row r="74" spans="2:23" outlineLevel="1" x14ac:dyDescent="0.2">
      <c r="B74" s="89" t="s">
        <v>121</v>
      </c>
      <c r="C74" s="49"/>
      <c r="D74" s="49">
        <f>+D72-D73</f>
        <v>0</v>
      </c>
      <c r="E74" s="49">
        <f t="shared" ref="E74:W74" si="26">+E72-E73</f>
        <v>-6.9999999996461781E-7</v>
      </c>
      <c r="F74" s="49">
        <f t="shared" si="26"/>
        <v>1.9999999998354667E-6</v>
      </c>
      <c r="G74" s="49">
        <f t="shared" si="26"/>
        <v>-3.1999999999948736E-6</v>
      </c>
      <c r="H74" s="49">
        <f t="shared" si="26"/>
        <v>0</v>
      </c>
      <c r="I74" s="49">
        <f t="shared" si="26"/>
        <v>0</v>
      </c>
      <c r="J74" s="49">
        <f t="shared" si="26"/>
        <v>0</v>
      </c>
      <c r="K74" s="49">
        <f t="shared" si="26"/>
        <v>0</v>
      </c>
      <c r="L74" s="49">
        <f t="shared" si="26"/>
        <v>0</v>
      </c>
      <c r="M74" s="49">
        <f t="shared" si="26"/>
        <v>0</v>
      </c>
      <c r="N74" s="49">
        <f t="shared" si="26"/>
        <v>0</v>
      </c>
      <c r="O74" s="49">
        <f t="shared" si="26"/>
        <v>0</v>
      </c>
      <c r="P74" s="49">
        <f t="shared" si="26"/>
        <v>0</v>
      </c>
      <c r="Q74" s="49">
        <f t="shared" si="26"/>
        <v>0</v>
      </c>
      <c r="R74" s="49">
        <f t="shared" si="26"/>
        <v>0</v>
      </c>
      <c r="S74" s="49">
        <f t="shared" si="26"/>
        <v>0</v>
      </c>
      <c r="T74" s="49">
        <f t="shared" si="26"/>
        <v>0</v>
      </c>
      <c r="U74" s="49">
        <f t="shared" si="26"/>
        <v>0</v>
      </c>
      <c r="V74" s="49">
        <f t="shared" si="26"/>
        <v>0</v>
      </c>
      <c r="W74" s="49">
        <f t="shared" si="26"/>
        <v>0</v>
      </c>
    </row>
    <row r="75" spans="2:23" ht="10.5" customHeight="1" outlineLevel="1" x14ac:dyDescent="0.2"/>
    <row r="76" spans="2:23" ht="10.5" customHeight="1" outlineLevel="1" x14ac:dyDescent="0.2">
      <c r="B76" s="91" t="s">
        <v>122</v>
      </c>
    </row>
    <row r="77" spans="2:23" x14ac:dyDescent="0.2">
      <c r="B77" s="77" t="s">
        <v>41</v>
      </c>
      <c r="C77" s="77"/>
      <c r="D77" s="78">
        <f>D59-D68</f>
        <v>-5.5345629843619353</v>
      </c>
      <c r="E77" s="78">
        <f t="shared" ref="E77:W77" si="27">E59-E68</f>
        <v>-4.9035648381670391</v>
      </c>
      <c r="F77" s="78">
        <f t="shared" si="27"/>
        <v>-4.3425745264584314</v>
      </c>
      <c r="G77" s="78">
        <f>G59-G68</f>
        <v>-4.1147860755590582</v>
      </c>
      <c r="H77" s="78">
        <f t="shared" si="27"/>
        <v>-3.7771273011829276</v>
      </c>
      <c r="I77" s="78">
        <f t="shared" si="27"/>
        <v>-3.4101590467855694</v>
      </c>
      <c r="J77" s="78">
        <f t="shared" si="27"/>
        <v>-3.0218423464433708</v>
      </c>
      <c r="K77" s="78">
        <f t="shared" si="27"/>
        <v>-2.8411794976477269</v>
      </c>
      <c r="L77" s="78">
        <f t="shared" si="27"/>
        <v>-2.6589723341084071</v>
      </c>
      <c r="M77" s="78">
        <f t="shared" si="27"/>
        <v>-2.4803291329569177</v>
      </c>
      <c r="N77" s="78">
        <f t="shared" si="27"/>
        <v>-2.4518994873626121</v>
      </c>
      <c r="O77" s="78">
        <f t="shared" si="27"/>
        <v>-2.4418177078664547</v>
      </c>
      <c r="P77" s="78">
        <f t="shared" si="27"/>
        <v>-2.4480225318610529</v>
      </c>
      <c r="Q77" s="78">
        <f t="shared" si="27"/>
        <v>-2.472645193835362</v>
      </c>
      <c r="R77" s="78">
        <f t="shared" si="27"/>
        <v>-2.5152694284812354</v>
      </c>
      <c r="S77" s="78">
        <f t="shared" si="27"/>
        <v>-2.5686737747442123</v>
      </c>
      <c r="T77" s="78">
        <f t="shared" si="27"/>
        <v>-2.6317060472225187</v>
      </c>
      <c r="U77" s="78">
        <f t="shared" si="27"/>
        <v>-2.7133490091064503</v>
      </c>
      <c r="V77" s="78">
        <f t="shared" si="27"/>
        <v>-2.8172791309036507</v>
      </c>
      <c r="W77" s="78">
        <f t="shared" si="27"/>
        <v>-2.9434842899666211</v>
      </c>
    </row>
    <row r="78" spans="2:23" x14ac:dyDescent="0.2">
      <c r="B78" s="26" t="s">
        <v>42</v>
      </c>
      <c r="D78" s="34">
        <f>D60-D68-D64-D65-D66</f>
        <v>-5.2954122533846446</v>
      </c>
      <c r="E78" s="34">
        <f t="shared" ref="E78:W78" si="28">E60-E68-E64-E65-E66</f>
        <v>-4.8946031376320844</v>
      </c>
      <c r="F78" s="34">
        <f t="shared" si="28"/>
        <v>-4.1755574254813359</v>
      </c>
      <c r="G78" s="34">
        <f t="shared" si="28"/>
        <v>-3.7867006949361675</v>
      </c>
      <c r="H78" s="34">
        <f t="shared" si="28"/>
        <v>-3.4084310922919947</v>
      </c>
      <c r="I78" s="34">
        <f t="shared" si="28"/>
        <v>-3.0145600782341746</v>
      </c>
      <c r="J78" s="34">
        <f t="shared" si="28"/>
        <v>-2.6083032023192994</v>
      </c>
      <c r="K78" s="34">
        <f t="shared" si="28"/>
        <v>-2.5654867348983585</v>
      </c>
      <c r="L78" s="34">
        <f t="shared" si="28"/>
        <v>-2.5211259527337098</v>
      </c>
      <c r="M78" s="34">
        <f t="shared" si="28"/>
        <v>-2.4803291329569173</v>
      </c>
      <c r="N78" s="34">
        <f t="shared" si="28"/>
        <v>-2.4519013266615546</v>
      </c>
      <c r="O78" s="34">
        <f t="shared" si="28"/>
        <v>-2.4418204672936716</v>
      </c>
      <c r="P78" s="34">
        <f t="shared" si="28"/>
        <v>-2.4480262144240363</v>
      </c>
      <c r="Q78" s="34">
        <f t="shared" si="28"/>
        <v>-2.4726488763983561</v>
      </c>
      <c r="R78" s="34">
        <f t="shared" si="28"/>
        <v>-2.5152745048593612</v>
      </c>
      <c r="S78" s="34">
        <f t="shared" si="28"/>
        <v>-2.5686802464520389</v>
      </c>
      <c r="T78" s="34">
        <f t="shared" si="28"/>
        <v>-2.6317120531844473</v>
      </c>
      <c r="U78" s="34">
        <f t="shared" si="28"/>
        <v>-2.7133540820586242</v>
      </c>
      <c r="V78" s="34">
        <f t="shared" si="28"/>
        <v>-2.8172828021536884</v>
      </c>
      <c r="W78" s="34">
        <f t="shared" si="28"/>
        <v>-2.9434870253903904</v>
      </c>
    </row>
    <row r="79" spans="2:23" x14ac:dyDescent="0.2">
      <c r="B79" s="35" t="s">
        <v>123</v>
      </c>
      <c r="C79" s="35"/>
      <c r="D79" s="285">
        <f>'Input data'!D45</f>
        <v>13.084528102274954</v>
      </c>
      <c r="E79" s="285">
        <f>'Input data'!E45</f>
        <v>9.2925167870017127</v>
      </c>
      <c r="F79" s="285">
        <f>'Input data'!F45</f>
        <v>5.4768546648577532</v>
      </c>
      <c r="G79" s="49">
        <f>'Input data'!G33+G42-(G$12-F$12)/'Input data'!$C$64*100</f>
        <v>6.2002945343745202</v>
      </c>
      <c r="H79" s="49">
        <f>'Input data'!H33+H42-(H$12-G$12)/'Input data'!$C$64*100</f>
        <v>6.0105596593745201</v>
      </c>
      <c r="I79" s="49">
        <f>'Input data'!I33+I42-(I$12-H$12)/'Input data'!$C$64*100</f>
        <v>6.0426867843745207</v>
      </c>
      <c r="J79" s="49">
        <f>'Input data'!J33+J42-(J$12-I$12)/'Input data'!$C$64*100</f>
        <v>5.981938909374521</v>
      </c>
      <c r="K79" s="49">
        <f>'Input data'!K33+K42-(K$12-J$12)/'Input data'!$C$64*100</f>
        <v>7.1401374999999998</v>
      </c>
      <c r="L79" s="49">
        <f>'Input data'!L33+L42-(L$12-K$12)/'Input data'!$C$64*100</f>
        <v>7.0482306250000004</v>
      </c>
      <c r="M79" s="49">
        <f>'Input data'!M33+M42-(M$12-L$12)/'Input data'!$C$64*100</f>
        <v>6.8942157499999999</v>
      </c>
      <c r="N79" s="49">
        <f>'Input data'!N33+N42-(N$12-M$12)/'Input data'!$C$64*100</f>
        <v>6.7181138749999993</v>
      </c>
      <c r="O79" s="49">
        <f>'Input data'!O33+O42-(O$12-N$12)/'Input data'!$C$64*100</f>
        <v>6.6659220000000001</v>
      </c>
      <c r="P79" s="49">
        <f>'Input data'!P33+P42-(P$12-O$12)/'Input data'!$C$64*100</f>
        <v>6.2992240000000006</v>
      </c>
      <c r="Q79" s="49">
        <f>'Input data'!Q33+Q42-(Q$12-P$12)/'Input data'!$C$64*100</f>
        <v>5.9325259999999993</v>
      </c>
      <c r="R79" s="49">
        <f>'Input data'!R33+R42-(R$12-Q$12)/'Input data'!$C$64*100</f>
        <v>5.5658289999999999</v>
      </c>
      <c r="S79" s="49">
        <f>'Input data'!S33+S42-(S$12-R$12)/'Input data'!$C$64*100</f>
        <v>5.4264239999999999</v>
      </c>
      <c r="T79" s="49">
        <f>'Input data'!T33+T42-(T$12-S$12)/'Input data'!$C$64*100</f>
        <v>5.2582969999999998</v>
      </c>
      <c r="U79" s="49">
        <f>'Input data'!U33+U42-(U$12-T$12)/'Input data'!$C$64*100</f>
        <v>5.0634680000000003</v>
      </c>
      <c r="V79" s="49">
        <f>'Input data'!V33+V42-(V$12-U$12)/'Input data'!$C$64*100</f>
        <v>4.8757250000000001</v>
      </c>
      <c r="W79" s="49">
        <f>'Input data'!W33+W42-(W$12-V$12)/'Input data'!$C$64*100</f>
        <v>4.6994369999999996</v>
      </c>
    </row>
    <row r="80" spans="2:23" x14ac:dyDescent="0.2">
      <c r="D80" s="34"/>
      <c r="E80" s="34"/>
      <c r="F80" s="34"/>
      <c r="G80" s="34"/>
      <c r="H80" s="34"/>
      <c r="I80" s="34"/>
      <c r="J80" s="34"/>
      <c r="K80" s="34"/>
      <c r="L80" s="34"/>
      <c r="M80" s="34"/>
      <c r="N80" s="34"/>
      <c r="O80" s="34"/>
      <c r="P80" s="34"/>
      <c r="Q80" s="34"/>
      <c r="R80" s="34"/>
      <c r="S80" s="34"/>
      <c r="T80" s="34"/>
      <c r="U80" s="34"/>
      <c r="V80" s="34"/>
      <c r="W80" s="34"/>
    </row>
    <row r="81" spans="2:23" x14ac:dyDescent="0.2">
      <c r="B81" s="113" t="s">
        <v>143</v>
      </c>
      <c r="C81" s="51"/>
      <c r="D81" s="215">
        <f ca="1">AVERAGE(OFFSET($G$79,0,0,1,'Criteria results'!F5))</f>
        <v>6.05886997187452</v>
      </c>
      <c r="E81" s="34"/>
      <c r="F81" s="34"/>
      <c r="G81" s="34"/>
      <c r="H81" s="34"/>
      <c r="I81" s="36"/>
      <c r="J81" s="36"/>
      <c r="K81" s="36"/>
      <c r="L81" s="36"/>
      <c r="M81" s="34"/>
      <c r="N81" s="34"/>
      <c r="O81" s="34"/>
      <c r="P81" s="34"/>
      <c r="Q81" s="34"/>
      <c r="R81" s="34"/>
      <c r="S81" s="34"/>
      <c r="T81" s="34"/>
      <c r="U81" s="34"/>
      <c r="V81" s="34"/>
      <c r="W81" s="34"/>
    </row>
    <row r="82" spans="2:23" x14ac:dyDescent="0.2">
      <c r="B82" s="87"/>
      <c r="C82" s="77"/>
      <c r="D82" s="330"/>
      <c r="E82" s="34"/>
      <c r="F82" s="34"/>
      <c r="G82" s="34"/>
      <c r="H82" s="34"/>
      <c r="I82" s="36"/>
      <c r="J82" s="36"/>
      <c r="K82" s="36"/>
      <c r="L82" s="36"/>
      <c r="M82" s="34"/>
      <c r="N82" s="34"/>
      <c r="O82" s="34"/>
      <c r="P82" s="34"/>
      <c r="Q82" s="34"/>
      <c r="R82" s="34"/>
      <c r="S82" s="34"/>
      <c r="T82" s="34"/>
      <c r="U82" s="34"/>
      <c r="V82" s="34"/>
      <c r="W82" s="34"/>
    </row>
    <row r="83" spans="2:23" x14ac:dyDescent="0.2">
      <c r="B83" s="51" t="s">
        <v>218</v>
      </c>
      <c r="C83" s="51"/>
      <c r="D83" s="51"/>
      <c r="E83" s="51"/>
      <c r="F83" s="51"/>
      <c r="G83" s="258"/>
      <c r="H83" s="258"/>
      <c r="I83" s="258"/>
      <c r="J83" s="258"/>
      <c r="K83" s="258">
        <f t="shared" ref="K83:W83" si="29">IF(K57&lt;J57,0,1)</f>
        <v>0</v>
      </c>
      <c r="L83" s="258">
        <f t="shared" si="29"/>
        <v>0</v>
      </c>
      <c r="M83" s="258">
        <f t="shared" si="29"/>
        <v>0</v>
      </c>
      <c r="N83" s="258">
        <f t="shared" si="29"/>
        <v>0</v>
      </c>
      <c r="O83" s="258">
        <f t="shared" si="29"/>
        <v>0</v>
      </c>
      <c r="P83" s="258">
        <f t="shared" si="29"/>
        <v>0</v>
      </c>
      <c r="Q83" s="258">
        <f t="shared" si="29"/>
        <v>0</v>
      </c>
      <c r="R83" s="258">
        <f t="shared" si="29"/>
        <v>0</v>
      </c>
      <c r="S83" s="258">
        <f t="shared" si="29"/>
        <v>1</v>
      </c>
      <c r="T83" s="258">
        <f t="shared" si="29"/>
        <v>1</v>
      </c>
      <c r="U83" s="78">
        <f t="shared" si="29"/>
        <v>1</v>
      </c>
      <c r="V83" s="78">
        <f t="shared" si="29"/>
        <v>1</v>
      </c>
      <c r="W83" s="78">
        <f t="shared" si="29"/>
        <v>1</v>
      </c>
    </row>
    <row r="84" spans="2:23" x14ac:dyDescent="0.2">
      <c r="B84" s="77"/>
      <c r="C84" s="77"/>
      <c r="D84" s="78"/>
      <c r="E84" s="34"/>
      <c r="F84" s="34"/>
      <c r="G84" s="34"/>
      <c r="H84" s="34"/>
      <c r="I84" s="34"/>
      <c r="J84" s="34"/>
      <c r="K84" s="34"/>
      <c r="L84" s="34"/>
      <c r="M84" s="34"/>
      <c r="N84" s="34"/>
      <c r="O84" s="34"/>
      <c r="P84" s="34"/>
      <c r="Q84" s="34"/>
      <c r="R84" s="34"/>
      <c r="S84" s="34"/>
      <c r="T84" s="34"/>
      <c r="U84" s="34"/>
      <c r="V84" s="34"/>
      <c r="W84" s="34"/>
    </row>
    <row r="85" spans="2:23" s="93" customFormat="1" ht="12.75" outlineLevel="1" x14ac:dyDescent="0.2">
      <c r="B85" s="94" t="s">
        <v>124</v>
      </c>
      <c r="C85" s="95"/>
      <c r="E85" s="96"/>
      <c r="F85" s="95"/>
    </row>
    <row r="86" spans="2:23" x14ac:dyDescent="0.2">
      <c r="C86" s="34"/>
      <c r="D86" s="34"/>
      <c r="E86" s="34"/>
      <c r="F86" s="34"/>
      <c r="G86" s="34"/>
      <c r="H86" s="34"/>
      <c r="I86" s="34"/>
      <c r="J86" s="34"/>
      <c r="K86" s="34"/>
      <c r="L86" s="34"/>
      <c r="M86" s="34"/>
      <c r="N86" s="34"/>
      <c r="O86" s="34"/>
      <c r="P86" s="34"/>
      <c r="Q86" s="34"/>
      <c r="R86" s="34"/>
      <c r="S86" s="34"/>
      <c r="T86" s="34"/>
      <c r="U86" s="34"/>
      <c r="V86" s="34"/>
      <c r="W86" s="34"/>
    </row>
    <row r="87" spans="2:23" x14ac:dyDescent="0.2">
      <c r="B87" s="26" t="s">
        <v>125</v>
      </c>
      <c r="D87" s="29">
        <f t="shared" ref="D87:W87" si="30">IF((D92-C92*D43/((1+D24/100)*(1+D42/100)))&gt;0,1,0)</f>
        <v>1</v>
      </c>
      <c r="E87" s="29">
        <f t="shared" si="30"/>
        <v>1</v>
      </c>
      <c r="F87" s="29">
        <f t="shared" si="30"/>
        <v>1</v>
      </c>
      <c r="G87" s="29">
        <f t="shared" si="30"/>
        <v>1</v>
      </c>
      <c r="H87" s="29">
        <f t="shared" si="30"/>
        <v>1</v>
      </c>
      <c r="I87" s="29">
        <f t="shared" si="30"/>
        <v>1</v>
      </c>
      <c r="J87" s="29">
        <f t="shared" si="30"/>
        <v>1</v>
      </c>
      <c r="K87" s="29">
        <f t="shared" si="30"/>
        <v>1</v>
      </c>
      <c r="L87" s="29">
        <f t="shared" si="30"/>
        <v>1</v>
      </c>
      <c r="M87" s="29">
        <f t="shared" si="30"/>
        <v>1</v>
      </c>
      <c r="N87" s="29">
        <f t="shared" si="30"/>
        <v>1</v>
      </c>
      <c r="O87" s="29">
        <f t="shared" si="30"/>
        <v>1</v>
      </c>
      <c r="P87" s="29">
        <f t="shared" si="30"/>
        <v>1</v>
      </c>
      <c r="Q87" s="29">
        <f t="shared" si="30"/>
        <v>1</v>
      </c>
      <c r="R87" s="29">
        <f t="shared" si="30"/>
        <v>1</v>
      </c>
      <c r="S87" s="29">
        <f t="shared" si="30"/>
        <v>1</v>
      </c>
      <c r="T87" s="29">
        <f t="shared" si="30"/>
        <v>1</v>
      </c>
      <c r="U87" s="29">
        <f t="shared" si="30"/>
        <v>1</v>
      </c>
      <c r="V87" s="29">
        <f t="shared" si="30"/>
        <v>1</v>
      </c>
      <c r="W87" s="29">
        <f t="shared" si="30"/>
        <v>1</v>
      </c>
    </row>
    <row r="88" spans="2:23" x14ac:dyDescent="0.2">
      <c r="B88" s="26" t="s">
        <v>126</v>
      </c>
      <c r="D88" s="29">
        <f t="shared" ref="D88:W88" si="31">IF(AND(D87=0,ABS(D92-C92*D43/((1+D24/100)*(1+D42/100)))&lt;((C98*C92*D43/((1+D24/100)*(1+D42/100))+(D39*C92*C99*D43/((1+D24/100)*(1+D42/100)))))),1,0)</f>
        <v>0</v>
      </c>
      <c r="E88" s="29">
        <f t="shared" si="31"/>
        <v>0</v>
      </c>
      <c r="F88" s="29">
        <f t="shared" si="31"/>
        <v>0</v>
      </c>
      <c r="G88" s="29">
        <f t="shared" si="31"/>
        <v>0</v>
      </c>
      <c r="H88" s="29">
        <f t="shared" si="31"/>
        <v>0</v>
      </c>
      <c r="I88" s="29">
        <f t="shared" si="31"/>
        <v>0</v>
      </c>
      <c r="J88" s="29">
        <f t="shared" si="31"/>
        <v>0</v>
      </c>
      <c r="K88" s="29">
        <f t="shared" si="31"/>
        <v>0</v>
      </c>
      <c r="L88" s="29">
        <f t="shared" si="31"/>
        <v>0</v>
      </c>
      <c r="M88" s="29">
        <f t="shared" si="31"/>
        <v>0</v>
      </c>
      <c r="N88" s="29">
        <f t="shared" si="31"/>
        <v>0</v>
      </c>
      <c r="O88" s="29">
        <f t="shared" si="31"/>
        <v>0</v>
      </c>
      <c r="P88" s="29">
        <f t="shared" si="31"/>
        <v>0</v>
      </c>
      <c r="Q88" s="29">
        <f t="shared" si="31"/>
        <v>0</v>
      </c>
      <c r="R88" s="29">
        <f t="shared" si="31"/>
        <v>0</v>
      </c>
      <c r="S88" s="29">
        <f t="shared" si="31"/>
        <v>0</v>
      </c>
      <c r="T88" s="29">
        <f t="shared" si="31"/>
        <v>0</v>
      </c>
      <c r="U88" s="29">
        <f t="shared" si="31"/>
        <v>0</v>
      </c>
      <c r="V88" s="29">
        <f t="shared" si="31"/>
        <v>0</v>
      </c>
      <c r="W88" s="29">
        <f t="shared" si="31"/>
        <v>0</v>
      </c>
    </row>
    <row r="90" spans="2:23" x14ac:dyDescent="0.2">
      <c r="H90" s="38"/>
      <c r="I90" s="38"/>
      <c r="J90" s="38"/>
      <c r="K90" s="38"/>
      <c r="L90" s="38"/>
      <c r="M90" s="38"/>
      <c r="N90" s="38"/>
      <c r="O90" s="38"/>
      <c r="P90" s="38"/>
      <c r="Q90" s="38"/>
      <c r="R90" s="38"/>
      <c r="S90" s="38"/>
      <c r="T90" s="38"/>
    </row>
    <row r="91" spans="2:23" x14ac:dyDescent="0.2">
      <c r="B91" s="51"/>
      <c r="C91" s="86">
        <v>2021</v>
      </c>
      <c r="D91" s="86">
        <v>2022</v>
      </c>
      <c r="E91" s="86">
        <v>2023</v>
      </c>
      <c r="F91" s="86">
        <v>2024</v>
      </c>
      <c r="G91" s="86">
        <v>2025</v>
      </c>
      <c r="H91" s="86">
        <v>2026</v>
      </c>
      <c r="I91" s="86">
        <v>2027</v>
      </c>
      <c r="J91" s="86">
        <v>2028</v>
      </c>
      <c r="K91" s="86">
        <v>2029</v>
      </c>
      <c r="L91" s="86">
        <v>2030</v>
      </c>
      <c r="M91" s="86">
        <v>2031</v>
      </c>
      <c r="N91" s="86">
        <v>2032</v>
      </c>
      <c r="O91" s="86">
        <v>2033</v>
      </c>
      <c r="P91" s="86">
        <v>2034</v>
      </c>
      <c r="Q91" s="86">
        <v>2035</v>
      </c>
      <c r="R91" s="86">
        <v>2036</v>
      </c>
      <c r="S91" s="86">
        <v>2037</v>
      </c>
      <c r="T91" s="86">
        <v>2038</v>
      </c>
      <c r="U91" s="86">
        <v>2039</v>
      </c>
      <c r="V91" s="86">
        <v>2040</v>
      </c>
      <c r="W91" s="86">
        <v>2041</v>
      </c>
    </row>
    <row r="92" spans="2:23" x14ac:dyDescent="0.2">
      <c r="B92" s="106" t="s">
        <v>104</v>
      </c>
      <c r="C92" s="110">
        <f>C57</f>
        <v>53.925649999999997</v>
      </c>
      <c r="D92" s="110">
        <f>D57</f>
        <v>51.626479730977287</v>
      </c>
      <c r="E92" s="110">
        <f>E57</f>
        <v>50.396658431512243</v>
      </c>
      <c r="F92" s="110">
        <f>F57</f>
        <v>52.027240532489337</v>
      </c>
      <c r="G92" s="110">
        <f>G57</f>
        <v>52.730907877542279</v>
      </c>
      <c r="H92" s="110">
        <f t="shared" ref="H92:W92" si="32">G92*(1+H106/100)*H43-H60-H61+H62+H63+H64+H65+H66+H72</f>
        <v>52.947955578274673</v>
      </c>
      <c r="I92" s="110">
        <f t="shared" si="32"/>
        <v>52.754005449493576</v>
      </c>
      <c r="J92" s="110">
        <f t="shared" si="32"/>
        <v>52.204191928643525</v>
      </c>
      <c r="K92" s="110">
        <f t="shared" si="32"/>
        <v>51.372351329919525</v>
      </c>
      <c r="L92" s="110">
        <f t="shared" si="32"/>
        <v>50.459213782499198</v>
      </c>
      <c r="M92" s="110">
        <f t="shared" si="32"/>
        <v>49.500598925154378</v>
      </c>
      <c r="N92" s="110">
        <f t="shared" si="32"/>
        <v>48.790200251788747</v>
      </c>
      <c r="O92" s="110">
        <f t="shared" si="32"/>
        <v>48.137985261657448</v>
      </c>
      <c r="P92" s="110">
        <f t="shared" si="32"/>
        <v>47.692831253694038</v>
      </c>
      <c r="Q92" s="110">
        <f t="shared" si="32"/>
        <v>47.458119144470963</v>
      </c>
      <c r="R92" s="110">
        <f t="shared" si="32"/>
        <v>47.438682330101294</v>
      </c>
      <c r="S92" s="110">
        <f t="shared" si="32"/>
        <v>47.534549576967059</v>
      </c>
      <c r="T92" s="110">
        <f t="shared" si="32"/>
        <v>47.762177596110156</v>
      </c>
      <c r="U92" s="110">
        <f t="shared" si="32"/>
        <v>48.146034957105698</v>
      </c>
      <c r="V92" s="110">
        <f t="shared" si="32"/>
        <v>48.699009806069547</v>
      </c>
      <c r="W92" s="110">
        <f t="shared" si="32"/>
        <v>49.43212525888611</v>
      </c>
    </row>
    <row r="93" spans="2:23" x14ac:dyDescent="0.2">
      <c r="B93" s="26" t="s">
        <v>127</v>
      </c>
      <c r="C93" s="34"/>
      <c r="D93" s="254">
        <f>'Input data'!C66*$D$92</f>
        <v>40.602371246986003</v>
      </c>
      <c r="E93" s="34">
        <f t="shared" ref="E93:W93" si="33">IF(E92=0,0,IF(E87=1,D92*E43/((1+E24/100)*(1+E42/100))-E94-E95,IF(AND(E87=0,E88=1),(1-D98-E39*D99)*D92*E43/((1+E24/100)*(1+E42/100)),E92)))</f>
        <v>37.860894175576689</v>
      </c>
      <c r="F93" s="34">
        <f t="shared" si="33"/>
        <v>38.019239464248713</v>
      </c>
      <c r="G93" s="34">
        <f t="shared" si="33"/>
        <v>39.688801788439605</v>
      </c>
      <c r="H93" s="34">
        <f t="shared" si="33"/>
        <v>40.171165073085703</v>
      </c>
      <c r="I93" s="34">
        <f t="shared" si="33"/>
        <v>40.280137358718825</v>
      </c>
      <c r="J93" s="34">
        <f t="shared" si="33"/>
        <v>40.110982180469783</v>
      </c>
      <c r="K93" s="34">
        <f t="shared" si="33"/>
        <v>39.538792034271893</v>
      </c>
      <c r="L93" s="34">
        <f t="shared" si="33"/>
        <v>38.900599251598109</v>
      </c>
      <c r="M93" s="34">
        <f t="shared" si="33"/>
        <v>38.221901479205769</v>
      </c>
      <c r="N93" s="34">
        <f t="shared" si="33"/>
        <v>37.622523809901814</v>
      </c>
      <c r="O93" s="34">
        <f t="shared" si="33"/>
        <v>37.056027214963137</v>
      </c>
      <c r="P93" s="34">
        <f t="shared" si="33"/>
        <v>36.703405447971988</v>
      </c>
      <c r="Q93" s="34">
        <f t="shared" si="33"/>
        <v>36.505821515113041</v>
      </c>
      <c r="R93" s="34">
        <f t="shared" si="33"/>
        <v>36.467760982185467</v>
      </c>
      <c r="S93" s="34">
        <f t="shared" si="33"/>
        <v>36.514109651143364</v>
      </c>
      <c r="T93" s="34">
        <f t="shared" si="33"/>
        <v>36.659274167800554</v>
      </c>
      <c r="U93" s="34">
        <f t="shared" si="33"/>
        <v>36.9159341404537</v>
      </c>
      <c r="V93" s="34">
        <f t="shared" si="33"/>
        <v>37.291705976374892</v>
      </c>
      <c r="W93" s="34">
        <f t="shared" si="33"/>
        <v>37.795692350366728</v>
      </c>
    </row>
    <row r="94" spans="2:23" x14ac:dyDescent="0.2">
      <c r="B94" s="105" t="s">
        <v>128</v>
      </c>
      <c r="C94" s="34"/>
      <c r="D94" s="254">
        <f>'Input data'!C67*$D$92</f>
        <v>4.064303127827737E-2</v>
      </c>
      <c r="E94" s="34">
        <f t="shared" ref="E94:W94" si="34">IF(E92=0,0,IF(E87=1,E39*D92*D99*E43/((1+E24/100)*(1+E42/100)),IF(AND(E87=0,E88=1),(E39*D92*D99*E43/((1+E24/100)*(1+E42/100)))*(1-ABS(E92-D92*E43/((1+E24/100)*(1+E42/100)))/((E39*D92*D99*E43/((1+E24/100)*(1+E42/100)))+(D98*D92*E43/((1+E24/100)*(1+E42/100))))),0)))</f>
        <v>1.9515624310289765</v>
      </c>
      <c r="F94" s="34">
        <f t="shared" si="34"/>
        <v>1.8951143607196621</v>
      </c>
      <c r="G94" s="34">
        <f t="shared" si="34"/>
        <v>2.0441466815158553</v>
      </c>
      <c r="H94" s="34">
        <f t="shared" si="34"/>
        <v>2.1358120846283555</v>
      </c>
      <c r="I94" s="34">
        <f t="shared" si="34"/>
        <v>2.2088210792668197</v>
      </c>
      <c r="J94" s="34">
        <f t="shared" si="34"/>
        <v>2.2666905555679744</v>
      </c>
      <c r="K94" s="34">
        <f t="shared" si="34"/>
        <v>2.3007537398385112</v>
      </c>
      <c r="L94" s="34">
        <f t="shared" si="34"/>
        <v>2.3291516369244269</v>
      </c>
      <c r="M94" s="34">
        <f t="shared" si="34"/>
        <v>2.353111160176192</v>
      </c>
      <c r="N94" s="34">
        <f t="shared" si="34"/>
        <v>2.3799970953373841</v>
      </c>
      <c r="O94" s="34">
        <f t="shared" si="34"/>
        <v>2.4071874271770759</v>
      </c>
      <c r="P94" s="34">
        <f t="shared" si="34"/>
        <v>2.3842808517062086</v>
      </c>
      <c r="Q94" s="34">
        <f t="shared" si="34"/>
        <v>2.3714456506677597</v>
      </c>
      <c r="R94" s="34">
        <f t="shared" si="34"/>
        <v>2.3689732097932046</v>
      </c>
      <c r="S94" s="34">
        <f t="shared" si="34"/>
        <v>2.3719840542243853</v>
      </c>
      <c r="T94" s="34">
        <f t="shared" si="34"/>
        <v>2.3814140505200569</v>
      </c>
      <c r="U94" s="34">
        <f t="shared" si="34"/>
        <v>2.3980868755815843</v>
      </c>
      <c r="V94" s="34">
        <f t="shared" si="34"/>
        <v>2.4224972969597158</v>
      </c>
      <c r="W94" s="34">
        <f t="shared" si="34"/>
        <v>2.4552366312629847</v>
      </c>
    </row>
    <row r="95" spans="2:23" x14ac:dyDescent="0.2">
      <c r="B95" s="105" t="s">
        <v>129</v>
      </c>
      <c r="C95" s="34"/>
      <c r="D95" s="254">
        <f>'Input data'!C68*$D$92</f>
        <v>6.7592062017853909</v>
      </c>
      <c r="E95" s="34">
        <f t="shared" ref="E95:W95" si="35">IF(E92=0,0,IF(E87=1,(1-D99)*D92*E43/((1+E24/100)*(1+E42/100)),IF(AND(E87=0,E88=1),(D98*D92*E43/((1+E24/100)*(1+E42/100)))*(1-ABS(E92-D92*E43/((1+E24/100)*(1+E42/100)))/((E39*D92*D99*E43/((1+E24/100)*(1+E42/100)))+(D98*D92*E43/((1+E24/100)*(1+E42/100))))),0)))</f>
        <v>6.6210823702360049</v>
      </c>
      <c r="F95" s="34">
        <f t="shared" si="35"/>
        <v>6.5851096523336512</v>
      </c>
      <c r="G95" s="34">
        <f t="shared" si="35"/>
        <v>6.8164415480296876</v>
      </c>
      <c r="H95" s="34">
        <f t="shared" si="35"/>
        <v>6.8638511193776841</v>
      </c>
      <c r="I95" s="34">
        <f t="shared" si="35"/>
        <v>6.8548879647223533</v>
      </c>
      <c r="J95" s="34">
        <f t="shared" si="35"/>
        <v>6.8046768461623985</v>
      </c>
      <c r="K95" s="34">
        <f t="shared" si="35"/>
        <v>6.6916260581614102</v>
      </c>
      <c r="L95" s="34">
        <f t="shared" si="35"/>
        <v>6.5704905598682446</v>
      </c>
      <c r="M95" s="34">
        <f t="shared" si="35"/>
        <v>6.4452571528155049</v>
      </c>
      <c r="N95" s="34">
        <f t="shared" si="35"/>
        <v>6.3357798591869257</v>
      </c>
      <c r="O95" s="34">
        <f t="shared" si="35"/>
        <v>6.2329529116507745</v>
      </c>
      <c r="P95" s="34">
        <f t="shared" si="35"/>
        <v>6.1571224221547842</v>
      </c>
      <c r="Q95" s="34">
        <f t="shared" si="35"/>
        <v>6.1082067848548096</v>
      </c>
      <c r="R95" s="34">
        <f t="shared" si="35"/>
        <v>6.0866787096413812</v>
      </c>
      <c r="S95" s="34">
        <f t="shared" si="35"/>
        <v>6.079782096855106</v>
      </c>
      <c r="T95" s="34">
        <f t="shared" si="35"/>
        <v>6.0897833305670312</v>
      </c>
      <c r="U95" s="34">
        <f t="shared" si="35"/>
        <v>6.1186649319639619</v>
      </c>
      <c r="V95" s="34">
        <f t="shared" si="35"/>
        <v>6.1675274018312862</v>
      </c>
      <c r="W95" s="34">
        <f t="shared" si="35"/>
        <v>6.2377119872897824</v>
      </c>
    </row>
    <row r="96" spans="2:23" x14ac:dyDescent="0.2">
      <c r="B96" s="105" t="s">
        <v>130</v>
      </c>
      <c r="C96" s="34"/>
      <c r="D96" s="254">
        <f>'Input data'!C69*$D$92</f>
        <v>3.6219077873668084</v>
      </c>
      <c r="E96" s="34">
        <f>IF(E92=0,0,IF(E87=1,'Input data'!$C$58*(E92-D92*E43/((1+E24/100)*(1+E42/100))),0))</f>
        <v>3.4471835226479048</v>
      </c>
      <c r="F96" s="34">
        <f>IF(F92=0,0,IF(F87=1,'Input data'!$C$58*(F92-E92*F43/((1+F24/100)*(1+F42/100))),0))</f>
        <v>4.8081472687016928</v>
      </c>
      <c r="G96" s="34">
        <f>IF(G92=0,0,IF(G87=1,'Input data'!$C$58*(G92-F92*G43/((1+G24/100)*(1+G42/100))),0))</f>
        <v>3.6371498840731888</v>
      </c>
      <c r="H96" s="34">
        <f>IF(H92=0,0,IF(H87=1,'Input data'!$C$58*(H92-G92*H43/((1+H24/100)*(1+H42/100))),0))</f>
        <v>3.2854046274675404</v>
      </c>
      <c r="I96" s="34">
        <f>IF(I92=0,0,IF(I87=1,'Input data'!$C$58*(I92-H92*I43/((1+I24/100)*(1+I42/100))),0))</f>
        <v>2.9662098783911319</v>
      </c>
      <c r="J96" s="34">
        <f>IF(J92=0,0,IF(J87=1,'Input data'!$C$58*(J92-I92*J43/((1+J24/100)*(1+J42/100))),0))</f>
        <v>2.6284459158612772</v>
      </c>
      <c r="K96" s="34">
        <f>IF(K92=0,0,IF(K87=1,'Input data'!$C$58*(K92-J92*K43/((1+K24/100)*(1+K42/100))),0))</f>
        <v>2.4713025335720897</v>
      </c>
      <c r="L96" s="34">
        <f>IF(L92=0,0,IF(L87=1,'Input data'!$C$58*(L92-K92*L43/((1+L24/100)*(1+L42/100))),0))</f>
        <v>2.3128158820731426</v>
      </c>
      <c r="M96" s="34">
        <f>IF(M92=0,0,IF(M87=1,'Input data'!$C$58*(M92-L92*M43/((1+M24/100)*(1+M42/100))),0))</f>
        <v>2.1574292210133081</v>
      </c>
      <c r="N96" s="34">
        <f>IF(N92=0,0,IF(N87=1,'Input data'!$C$58*(N92-M92*N43/((1+N24/100)*(1+N42/100))),0))</f>
        <v>2.1327006689299557</v>
      </c>
      <c r="O96" s="34">
        <f>IF(O92=0,0,IF(O87=1,'Input data'!$C$58*(O92-N92*O43/((1+O24/100)*(1+O42/100))),0))</f>
        <v>2.1239313788402563</v>
      </c>
      <c r="P96" s="34">
        <f>IF(P92=0,0,IF(P87=1,'Input data'!$C$58*(P92-O92*P43/((1+P24/100)*(1+P42/100))),0))</f>
        <v>2.1293284321664969</v>
      </c>
      <c r="Q96" s="34">
        <f>IF(Q92=0,0,IF(Q87=1,'Input data'!$C$58*(Q92-P92*Q43/((1+Q24/100)*(1+Q42/100))),0))</f>
        <v>2.1507456101275348</v>
      </c>
      <c r="R96" s="34">
        <f>IF(R92=0,0,IF(R87=1,'Input data'!$C$58*(R92-Q92*R43/((1+R24/100)*(1+R42/100))),0))</f>
        <v>2.1878208386230096</v>
      </c>
      <c r="S96" s="34">
        <f>IF(S92=0,0,IF(S87=1,'Input data'!$C$58*(S92-R92*S43/((1+S24/100)*(1+S42/100))),0))</f>
        <v>2.2342727774507729</v>
      </c>
      <c r="T96" s="34">
        <f>IF(T92=0,0,IF(T87=1,'Input data'!$C$58*(T92-S92*T43/((1+T24/100)*(1+T42/100))),0))</f>
        <v>2.2890992376590851</v>
      </c>
      <c r="U96" s="34">
        <f>IF(U92=0,0,IF(U87=1,'Input data'!$C$58*(U92-T92*U43/((1+U24/100)*(1+U42/100))),0))</f>
        <v>2.3601135677002345</v>
      </c>
      <c r="V96" s="34">
        <f>IF(V92=0,0,IF(V87=1,'Input data'!$C$58*(V92-U92*V43/((1+V24/100)*(1+V42/100))),0))</f>
        <v>2.4505136193423498</v>
      </c>
      <c r="W96" s="34">
        <f>IF(W92=0,0,IF(W87=1,'Input data'!$C$58*(W92-V92*W43/((1+W24/100)*(1+W42/100))),0))</f>
        <v>2.5602888481163117</v>
      </c>
    </row>
    <row r="97" spans="2:25" x14ac:dyDescent="0.2">
      <c r="B97" s="107" t="s">
        <v>131</v>
      </c>
      <c r="C97" s="49"/>
      <c r="D97" s="255">
        <f>'Input data'!C70*$D$92</f>
        <v>0.60234756355780006</v>
      </c>
      <c r="E97" s="49">
        <f>IF(E92=0,0,IF(E87=1,'Input data'!$C$57*(E92-D92*E43/((1+E24/100)*(1+E42/100))),0))</f>
        <v>0.51593593202267063</v>
      </c>
      <c r="F97" s="49">
        <f>IF(F92=0,0,IF(F87=1,'Input data'!$C$57*(F92-E92*F43/((1+F24/100)*(1+F42/100))),0))</f>
        <v>0.71962978648562193</v>
      </c>
      <c r="G97" s="49">
        <f>IF(G92=0,0,IF(G87=1,'Input data'!$C$57*(G92-F92*G43/((1+G24/100)*(1+G42/100))),0))</f>
        <v>0.54436797548394367</v>
      </c>
      <c r="H97" s="49">
        <f>IF(H92=0,0,IF(H87=1,'Input data'!$C$57*(H92-G92*H43/((1+H24/100)*(1+H42/100))),0))</f>
        <v>0.49172267371538886</v>
      </c>
      <c r="I97" s="49">
        <f>IF(I92=0,0,IF(I87=1,'Input data'!$C$57*(I92-H92*I43/((1+I24/100)*(1+I42/100))),0))</f>
        <v>0.44394916839444798</v>
      </c>
      <c r="J97" s="49">
        <f>IF(J92=0,0,IF(J87=1,'Input data'!$C$57*(J92-I92*J43/((1+J24/100)*(1+J42/100))),0))</f>
        <v>0.39339643058208684</v>
      </c>
      <c r="K97" s="49">
        <f>IF(K92=0,0,IF(K87=1,'Input data'!$C$57*(K92-J92*K43/((1+K24/100)*(1+K42/100))),0))</f>
        <v>0.36987696407561854</v>
      </c>
      <c r="L97" s="49">
        <f>IF(L92=0,0,IF(L87=1,'Input data'!$C$57*(L92-K92*L43/((1+L24/100)*(1+L42/100))),0))</f>
        <v>0.34615645203526979</v>
      </c>
      <c r="M97" s="49">
        <f>IF(M92=0,0,IF(M87=1,'Input data'!$C$57*(M92-L92*M43/((1+M24/100)*(1+M42/100))),0))</f>
        <v>0.32289991194360235</v>
      </c>
      <c r="N97" s="49">
        <f>IF(N92=0,0,IF(N87=1,'Input data'!$C$57*(N92-M92*N43/((1+N24/100)*(1+N42/100))),0))</f>
        <v>0.31919881843266112</v>
      </c>
      <c r="O97" s="49">
        <f>IF(O92=0,0,IF(O87=1,'Input data'!$C$57*(O92-N92*O43/((1+O24/100)*(1+O42/100))),0))</f>
        <v>0.31788632902619901</v>
      </c>
      <c r="P97" s="49">
        <f>IF(P92=0,0,IF(P87=1,'Input data'!$C$57*(P92-O92*P43/((1+P24/100)*(1+P42/100))),0))</f>
        <v>0.31869409969455936</v>
      </c>
      <c r="Q97" s="49">
        <f>IF(Q92=0,0,IF(Q87=1,'Input data'!$C$57*(Q92-P92*Q43/((1+Q24/100)*(1+Q42/100))),0))</f>
        <v>0.32189958370782001</v>
      </c>
      <c r="R97" s="49">
        <f>IF(R92=0,0,IF(R87=1,'Input data'!$C$57*(R92-Q92*R43/((1+R24/100)*(1+R42/100))),0))</f>
        <v>0.32744858985823028</v>
      </c>
      <c r="S97" s="49">
        <f>IF(S92=0,0,IF(S87=1,'Input data'!$C$57*(S92-R92*S43/((1+S24/100)*(1+S42/100))),0))</f>
        <v>0.33440099729343203</v>
      </c>
      <c r="T97" s="49">
        <f>IF(T92=0,0,IF(T87=1,'Input data'!$C$57*(T92-S92*T43/((1+T24/100)*(1+T42/100))),0))</f>
        <v>0.34260680956343009</v>
      </c>
      <c r="U97" s="49">
        <f>IF(U92=0,0,IF(U87=1,'Input data'!$C$57*(U92-T92*U43/((1+U24/100)*(1+U42/100))),0))</f>
        <v>0.35323544140621704</v>
      </c>
      <c r="V97" s="49">
        <f>IF(V92=0,0,IF(V87=1,'Input data'!$C$57*(V92-U92*V43/((1+V24/100)*(1+V42/100))),0))</f>
        <v>0.36676551156130005</v>
      </c>
      <c r="W97" s="49">
        <f>IF(W92=0,0,IF(W87=1,'Input data'!$C$57*(W92-V92*W43/((1+W24/100)*(1+W42/100))),0))</f>
        <v>0.38319544185030047</v>
      </c>
    </row>
    <row r="98" spans="2:25" x14ac:dyDescent="0.2">
      <c r="B98" s="26" t="s">
        <v>73</v>
      </c>
      <c r="C98" s="36"/>
      <c r="D98" s="260">
        <f>'Baseline NFPC'!$D$93</f>
        <v>0.14259267150708055</v>
      </c>
      <c r="E98" s="36">
        <f t="shared" ref="E98:W98" si="36">IF(E92&lt;&gt;0,(E95+E97)/(E93+E94+E95+E96+E97),0)</f>
        <v>0.14161689533360031</v>
      </c>
      <c r="F98" s="36">
        <f t="shared" si="36"/>
        <v>0.14040220784451748</v>
      </c>
      <c r="G98" s="36">
        <f t="shared" si="36"/>
        <v>0.13959193611093784</v>
      </c>
      <c r="H98" s="36">
        <f t="shared" si="36"/>
        <v>0.13892082730595878</v>
      </c>
      <c r="I98" s="36">
        <f t="shared" si="36"/>
        <v>0.13835607497339081</v>
      </c>
      <c r="J98" s="36">
        <f t="shared" si="36"/>
        <v>0.13788305135693574</v>
      </c>
      <c r="K98" s="36">
        <f t="shared" si="36"/>
        <v>0.13745726717640763</v>
      </c>
      <c r="L98" s="36">
        <f t="shared" si="36"/>
        <v>0.13707401470259173</v>
      </c>
      <c r="M98" s="36">
        <f t="shared" si="36"/>
        <v>0.13672879140296179</v>
      </c>
      <c r="N98" s="36">
        <f t="shared" si="36"/>
        <v>0.13639990496607157</v>
      </c>
      <c r="O98" s="36">
        <f t="shared" si="36"/>
        <v>0.13608461602764263</v>
      </c>
      <c r="P98" s="36">
        <f t="shared" si="36"/>
        <v>0.13578175905310214</v>
      </c>
      <c r="Q98" s="36">
        <f t="shared" si="36"/>
        <v>0.13549012233266644</v>
      </c>
      <c r="R98" s="36">
        <f t="shared" si="36"/>
        <v>0.13520879974842073</v>
      </c>
      <c r="S98" s="36">
        <f t="shared" si="36"/>
        <v>0.13493728564236868</v>
      </c>
      <c r="T98" s="36">
        <f t="shared" si="36"/>
        <v>0.13467539513220034</v>
      </c>
      <c r="U98" s="36">
        <f>IF(U92&lt;&gt;0,(U95+U97)/(U93+U94+U95+U96+U97),0)</f>
        <v>0.13442229207734613</v>
      </c>
      <c r="V98" s="36">
        <f t="shared" si="36"/>
        <v>0.13417712063168463</v>
      </c>
      <c r="W98" s="34">
        <f t="shared" si="36"/>
        <v>0.13393936421841143</v>
      </c>
    </row>
    <row r="99" spans="2:25" x14ac:dyDescent="0.2">
      <c r="B99" s="35" t="s">
        <v>74</v>
      </c>
      <c r="C99" s="108"/>
      <c r="D99" s="261">
        <f>'Baseline NFPC'!$D$94</f>
        <v>0.85740732849291945</v>
      </c>
      <c r="E99" s="108">
        <f t="shared" ref="E99:W99" si="37">IF(E92&lt;&gt;0,(E93+E94+E96)/(E93+E94+E95+E96+E97),1)</f>
        <v>0.85838310466639967</v>
      </c>
      <c r="F99" s="108">
        <f t="shared" si="37"/>
        <v>0.8595977921554826</v>
      </c>
      <c r="G99" s="108">
        <f t="shared" si="37"/>
        <v>0.86040806388906221</v>
      </c>
      <c r="H99" s="108">
        <f t="shared" si="37"/>
        <v>0.86107917269404122</v>
      </c>
      <c r="I99" s="108">
        <f t="shared" si="37"/>
        <v>0.86164392502660925</v>
      </c>
      <c r="J99" s="108">
        <f t="shared" si="37"/>
        <v>0.86211694864306421</v>
      </c>
      <c r="K99" s="108">
        <f t="shared" si="37"/>
        <v>0.8625427328235924</v>
      </c>
      <c r="L99" s="108">
        <f t="shared" si="37"/>
        <v>0.86292598529740827</v>
      </c>
      <c r="M99" s="108">
        <f t="shared" si="37"/>
        <v>0.86327120859703821</v>
      </c>
      <c r="N99" s="108">
        <f t="shared" si="37"/>
        <v>0.86360009503392843</v>
      </c>
      <c r="O99" s="108">
        <f t="shared" si="37"/>
        <v>0.86391538397235723</v>
      </c>
      <c r="P99" s="108">
        <f t="shared" si="37"/>
        <v>0.86421824094689781</v>
      </c>
      <c r="Q99" s="108">
        <f t="shared" si="37"/>
        <v>0.86450987766733367</v>
      </c>
      <c r="R99" s="108">
        <f t="shared" si="37"/>
        <v>0.8647912002515793</v>
      </c>
      <c r="S99" s="108">
        <f t="shared" si="37"/>
        <v>0.8650627143576316</v>
      </c>
      <c r="T99" s="108">
        <f t="shared" si="37"/>
        <v>0.86532460486779972</v>
      </c>
      <c r="U99" s="108">
        <f t="shared" si="37"/>
        <v>0.86557770792265376</v>
      </c>
      <c r="V99" s="108">
        <f t="shared" si="37"/>
        <v>0.86582287936831548</v>
      </c>
      <c r="W99" s="49">
        <f t="shared" si="37"/>
        <v>0.86606063578158854</v>
      </c>
    </row>
    <row r="100" spans="2:25" x14ac:dyDescent="0.2">
      <c r="C100" s="38"/>
      <c r="D100" s="38"/>
      <c r="E100" s="38"/>
      <c r="F100" s="38"/>
      <c r="G100" s="38"/>
      <c r="H100" s="38"/>
      <c r="I100" s="38"/>
      <c r="J100" s="38"/>
      <c r="K100" s="38"/>
      <c r="L100" s="38"/>
      <c r="M100" s="38"/>
      <c r="N100" s="38"/>
      <c r="O100" s="38"/>
      <c r="P100" s="38"/>
      <c r="Q100" s="38"/>
      <c r="R100" s="38"/>
      <c r="S100" s="38"/>
      <c r="T100" s="38"/>
      <c r="U100" s="38"/>
      <c r="V100" s="38"/>
      <c r="W100" s="38"/>
    </row>
    <row r="101" spans="2:25" x14ac:dyDescent="0.2">
      <c r="B101" s="113" t="s">
        <v>132</v>
      </c>
      <c r="C101" s="115">
        <f>'Baseline NFPC'!C96</f>
        <v>2.4089399999999999</v>
      </c>
      <c r="D101" s="115">
        <f>'Baseline NFPC'!D96</f>
        <v>1.9834700000000001</v>
      </c>
      <c r="E101" s="115">
        <f>'Baseline NFPC'!E96</f>
        <v>2.3767499999999999</v>
      </c>
      <c r="F101" s="115">
        <f>'Baseline NFPC'!F96</f>
        <v>2.7490950000000001</v>
      </c>
      <c r="G101" s="115">
        <f>'Baseline NFPC'!G96</f>
        <v>2.7383609999999998</v>
      </c>
      <c r="H101" s="115">
        <f t="shared" ref="H101:W101" si="38">H103+H104</f>
        <v>2.8292956231126509</v>
      </c>
      <c r="I101" s="115">
        <f t="shared" si="38"/>
        <v>2.9128598255268852</v>
      </c>
      <c r="J101" s="115">
        <f>J103+J104</f>
        <v>2.9910327888273525</v>
      </c>
      <c r="K101" s="115">
        <f t="shared" si="38"/>
        <v>3.0645257032705233</v>
      </c>
      <c r="L101" s="115">
        <f t="shared" si="38"/>
        <v>3.1366702495687528</v>
      </c>
      <c r="M101" s="115">
        <f t="shared" si="38"/>
        <v>3.2076071439453773</v>
      </c>
      <c r="N101" s="115">
        <f t="shared" si="38"/>
        <v>3.2774920564792938</v>
      </c>
      <c r="O101" s="115">
        <f t="shared" si="38"/>
        <v>3.3482014995954259</v>
      </c>
      <c r="P101" s="115">
        <f t="shared" si="38"/>
        <v>3.4082849679059493</v>
      </c>
      <c r="Q101" s="115">
        <f t="shared" si="38"/>
        <v>3.460986268827237</v>
      </c>
      <c r="R101" s="115">
        <f t="shared" si="38"/>
        <v>3.507109329181314</v>
      </c>
      <c r="S101" s="115">
        <f t="shared" si="38"/>
        <v>3.5473463331791315</v>
      </c>
      <c r="T101" s="115">
        <f t="shared" si="38"/>
        <v>3.5822884133465078</v>
      </c>
      <c r="U101" s="115">
        <f t="shared" si="38"/>
        <v>3.6124478397273756</v>
      </c>
      <c r="V101" s="115">
        <f t="shared" si="38"/>
        <v>3.6383267971563913</v>
      </c>
      <c r="W101" s="115">
        <f t="shared" si="38"/>
        <v>3.6603737814750277</v>
      </c>
    </row>
    <row r="102" spans="2:25" x14ac:dyDescent="0.2">
      <c r="B102" s="33" t="s">
        <v>133</v>
      </c>
      <c r="C102" s="34"/>
      <c r="D102" s="34"/>
      <c r="E102" s="266">
        <f>((E36*D92)-(E38*(D95+D97)))/(D93+D94+D96)</f>
        <v>2.2015876621443162</v>
      </c>
      <c r="F102" s="266">
        <f>((F36*E92)-(F38*(E95+E97)))/(E93+E94+E96)</f>
        <v>2.6146168494183679</v>
      </c>
      <c r="G102" s="266">
        <f>((G36*F92)-(G38*(F95+F97)))/(F93+F94+F96)</f>
        <v>2.7256186012377643</v>
      </c>
      <c r="H102" s="34">
        <f t="shared" ref="H102:W102" si="39">IF(G92&gt;0,(G102*G93+H37*(G96+G94))/(G93+G94+G96),H37)</f>
        <v>2.8332228260083951</v>
      </c>
      <c r="I102" s="34">
        <f t="shared" si="39"/>
        <v>2.9320675465268593</v>
      </c>
      <c r="J102" s="34">
        <f t="shared" si="39"/>
        <v>3.0245144505946047</v>
      </c>
      <c r="K102" s="34">
        <f t="shared" si="39"/>
        <v>3.1114336800512157</v>
      </c>
      <c r="L102" s="34">
        <f t="shared" si="39"/>
        <v>3.1967059597766161</v>
      </c>
      <c r="M102" s="34">
        <f t="shared" si="39"/>
        <v>3.2805097535390391</v>
      </c>
      <c r="N102" s="34">
        <f t="shared" si="39"/>
        <v>3.3630381353448948</v>
      </c>
      <c r="O102" s="34">
        <f t="shared" si="39"/>
        <v>3.4464598832050095</v>
      </c>
      <c r="P102" s="34">
        <f t="shared" si="39"/>
        <v>3.5214635569437567</v>
      </c>
      <c r="Q102" s="34">
        <f t="shared" si="39"/>
        <v>3.5878575620388644</v>
      </c>
      <c r="R102" s="34">
        <f t="shared" si="39"/>
        <v>3.6465838580542278</v>
      </c>
      <c r="S102" s="34">
        <f t="shared" si="39"/>
        <v>3.6984531373866565</v>
      </c>
      <c r="T102" s="34">
        <f t="shared" si="39"/>
        <v>3.7441578835909595</v>
      </c>
      <c r="U102" s="34">
        <f t="shared" si="39"/>
        <v>3.7842984132031967</v>
      </c>
      <c r="V102" s="34">
        <f t="shared" si="39"/>
        <v>3.8194611984643831</v>
      </c>
      <c r="W102" s="34">
        <f t="shared" si="39"/>
        <v>3.8501693826017571</v>
      </c>
    </row>
    <row r="103" spans="2:25" x14ac:dyDescent="0.2">
      <c r="B103" s="26" t="s">
        <v>134</v>
      </c>
      <c r="C103" s="34"/>
      <c r="D103" s="34"/>
      <c r="E103" s="34">
        <f t="shared" ref="E103:W103" si="40">(E102*(D93+D94+D96)+E38*(D95+D97))/D92</f>
        <v>2.3767499999999999</v>
      </c>
      <c r="F103" s="34">
        <f t="shared" si="40"/>
        <v>2.7490950000000001</v>
      </c>
      <c r="G103" s="34">
        <f t="shared" si="40"/>
        <v>2.7383609999999998</v>
      </c>
      <c r="H103" s="34">
        <f t="shared" si="40"/>
        <v>2.8292956231126509</v>
      </c>
      <c r="I103" s="34">
        <f t="shared" si="40"/>
        <v>2.9128598255268852</v>
      </c>
      <c r="J103" s="34">
        <f t="shared" si="40"/>
        <v>2.9910327888273525</v>
      </c>
      <c r="K103" s="34">
        <f t="shared" si="40"/>
        <v>3.0645257032705233</v>
      </c>
      <c r="L103" s="34">
        <f t="shared" si="40"/>
        <v>3.1366702495687528</v>
      </c>
      <c r="M103" s="34">
        <f t="shared" si="40"/>
        <v>3.2076071439453773</v>
      </c>
      <c r="N103" s="34">
        <f t="shared" si="40"/>
        <v>3.2774920564792938</v>
      </c>
      <c r="O103" s="34">
        <f t="shared" si="40"/>
        <v>3.3482014995954259</v>
      </c>
      <c r="P103" s="34">
        <f t="shared" si="40"/>
        <v>3.4082849679059493</v>
      </c>
      <c r="Q103" s="34">
        <f t="shared" si="40"/>
        <v>3.460986268827237</v>
      </c>
      <c r="R103" s="34">
        <f t="shared" si="40"/>
        <v>3.507109329181314</v>
      </c>
      <c r="S103" s="34">
        <f t="shared" si="40"/>
        <v>3.5473463331791315</v>
      </c>
      <c r="T103" s="34">
        <f t="shared" si="40"/>
        <v>3.5822884133465078</v>
      </c>
      <c r="U103" s="34">
        <f t="shared" si="40"/>
        <v>3.6124478397273756</v>
      </c>
      <c r="V103" s="34">
        <f t="shared" si="40"/>
        <v>3.6383267971563913</v>
      </c>
      <c r="W103" s="34">
        <f t="shared" si="40"/>
        <v>3.6603737814750277</v>
      </c>
    </row>
    <row r="104" spans="2:25" x14ac:dyDescent="0.2">
      <c r="B104" s="35" t="s">
        <v>135</v>
      </c>
      <c r="C104" s="114"/>
      <c r="D104" s="114"/>
      <c r="E104" s="49">
        <f>IF('Criteria results'!$F$5=4,E115,E120)</f>
        <v>0</v>
      </c>
      <c r="F104" s="49">
        <f>IF('Criteria results'!$F$5=4,F115,F120)</f>
        <v>0</v>
      </c>
      <c r="G104" s="49">
        <f>IF('Criteria results'!$F$5=4,G115,G120)</f>
        <v>0</v>
      </c>
      <c r="H104" s="49">
        <f>IF('Criteria results'!$F$5=4,H115,H120)</f>
        <v>0</v>
      </c>
      <c r="I104" s="49">
        <f>IF('Criteria results'!$F$5=4,I115,I120)</f>
        <v>0</v>
      </c>
      <c r="J104" s="49">
        <f>IF('Criteria results'!$F$5=4,J115,J120)</f>
        <v>0</v>
      </c>
      <c r="K104" s="49">
        <f>IF('Criteria results'!$F$5=4,K115,K120)</f>
        <v>0</v>
      </c>
      <c r="L104" s="49">
        <f>IF('Criteria results'!$F$5=4,L115,L120)</f>
        <v>0</v>
      </c>
      <c r="M104" s="49">
        <f>IF('Criteria results'!$F$5=4,M115,M120)</f>
        <v>0</v>
      </c>
      <c r="N104" s="49">
        <f>IF('Criteria results'!$F$5=4,N115,N120)</f>
        <v>0</v>
      </c>
      <c r="O104" s="49">
        <f>IF('Criteria results'!$F$5=4,O115,O120)</f>
        <v>0</v>
      </c>
      <c r="P104" s="49">
        <f>IF('Criteria results'!$F$5=4,P115,P120)</f>
        <v>0</v>
      </c>
      <c r="Q104" s="49">
        <f>IF('Criteria results'!$F$5=4,Q115,Q120)</f>
        <v>0</v>
      </c>
      <c r="R104" s="49">
        <f>IF('Criteria results'!$F$5=4,R115,R120)</f>
        <v>0</v>
      </c>
      <c r="S104" s="49">
        <f>IF('Criteria results'!$F$5=4,S115,S120)</f>
        <v>0</v>
      </c>
      <c r="T104" s="49">
        <f>IF('Criteria results'!$F$5=4,T115,T120)</f>
        <v>0</v>
      </c>
      <c r="U104" s="49">
        <f>IF('Criteria results'!$F$5=4,U115,U120)</f>
        <v>0</v>
      </c>
      <c r="V104" s="49">
        <f>IF('Criteria results'!$F$5=4,V115,V120)</f>
        <v>0</v>
      </c>
      <c r="W104" s="49">
        <f>IF('Criteria results'!$F$5=4,W115,W120)</f>
        <v>0</v>
      </c>
    </row>
    <row r="105" spans="2:25" x14ac:dyDescent="0.2">
      <c r="C105" s="38"/>
      <c r="D105" s="38"/>
      <c r="E105" s="38"/>
      <c r="F105" s="38"/>
      <c r="G105" s="34"/>
      <c r="H105" s="34"/>
      <c r="I105" s="34"/>
      <c r="J105" s="34"/>
      <c r="K105" s="34"/>
      <c r="L105" s="34"/>
      <c r="M105" s="34"/>
      <c r="N105" s="34"/>
      <c r="O105" s="34"/>
      <c r="P105" s="34"/>
      <c r="Q105" s="34"/>
      <c r="R105" s="34"/>
      <c r="S105" s="34"/>
      <c r="T105" s="34"/>
      <c r="U105" s="34"/>
      <c r="V105" s="34"/>
      <c r="W105" s="34"/>
    </row>
    <row r="106" spans="2:25" x14ac:dyDescent="0.2">
      <c r="B106" s="113" t="s">
        <v>186</v>
      </c>
      <c r="C106" s="115">
        <f t="shared" ref="C106:W106" si="41">((1+C101/100)/((1+C24/100)*(1+C42/100))-1)*100</f>
        <v>-10.770396748633127</v>
      </c>
      <c r="D106" s="115">
        <f t="shared" si="41"/>
        <v>-10.353607165209123</v>
      </c>
      <c r="E106" s="115">
        <f t="shared" si="41"/>
        <v>-7.9209964301513835</v>
      </c>
      <c r="F106" s="115">
        <f t="shared" si="41"/>
        <v>-5.1965360605959248</v>
      </c>
      <c r="G106" s="115">
        <f t="shared" si="41"/>
        <v>-4.1293521290773461</v>
      </c>
      <c r="H106" s="115">
        <f t="shared" si="41"/>
        <v>-4.1131313596864061</v>
      </c>
      <c r="I106" s="115">
        <f t="shared" si="41"/>
        <v>-4.0923054982345057</v>
      </c>
      <c r="J106" s="115">
        <f t="shared" si="41"/>
        <v>-3.9818695226568557</v>
      </c>
      <c r="K106" s="115">
        <f t="shared" si="41"/>
        <v>-4.1869623505733529</v>
      </c>
      <c r="L106" s="115">
        <f t="shared" si="41"/>
        <v>-4.0348044719296983</v>
      </c>
      <c r="M106" s="115">
        <f t="shared" si="41"/>
        <v>-3.8262951651744759</v>
      </c>
      <c r="N106" s="115">
        <f t="shared" si="41"/>
        <v>-3.3202912080958602</v>
      </c>
      <c r="O106" s="115">
        <f t="shared" si="41"/>
        <v>-3.2056292506131845</v>
      </c>
      <c r="P106" s="115">
        <f t="shared" si="41"/>
        <v>-2.8067326001626425</v>
      </c>
      <c r="Q106" s="115">
        <f t="shared" si="41"/>
        <v>-2.4121365757059809</v>
      </c>
      <c r="R106" s="115">
        <f t="shared" si="41"/>
        <v>-2.0211358041215099</v>
      </c>
      <c r="S106" s="115">
        <f t="shared" si="41"/>
        <v>-1.8502014354422225</v>
      </c>
      <c r="T106" s="115">
        <f t="shared" si="41"/>
        <v>-1.6564254461274963</v>
      </c>
      <c r="U106" s="115">
        <f t="shared" si="41"/>
        <v>-1.4410137910218279</v>
      </c>
      <c r="V106" s="115">
        <f t="shared" si="41"/>
        <v>-1.2357756569491007</v>
      </c>
      <c r="W106" s="115">
        <f t="shared" si="41"/>
        <v>-1.0446019616938029</v>
      </c>
    </row>
    <row r="107" spans="2:25" x14ac:dyDescent="0.2">
      <c r="F107" s="34"/>
      <c r="G107" s="34"/>
      <c r="H107" s="34"/>
      <c r="I107" s="34"/>
      <c r="J107" s="34"/>
      <c r="K107" s="34"/>
      <c r="L107" s="34"/>
      <c r="M107" s="34"/>
      <c r="N107" s="34"/>
      <c r="O107" s="34"/>
      <c r="P107" s="34"/>
      <c r="Q107" s="34"/>
      <c r="R107" s="34"/>
      <c r="S107" s="34"/>
      <c r="T107" s="34"/>
      <c r="U107" s="34"/>
      <c r="V107" s="34"/>
      <c r="W107" s="34"/>
    </row>
    <row r="108" spans="2:25" x14ac:dyDescent="0.2">
      <c r="F108" s="34"/>
      <c r="G108" s="34"/>
      <c r="H108" s="253"/>
      <c r="I108" s="253"/>
      <c r="J108" s="253"/>
      <c r="K108" s="253"/>
      <c r="L108" s="253"/>
      <c r="M108" s="253"/>
      <c r="N108" s="253"/>
      <c r="O108" s="253"/>
      <c r="P108" s="253"/>
      <c r="Q108" s="253"/>
      <c r="R108" s="253"/>
      <c r="S108" s="253"/>
      <c r="T108" s="253"/>
      <c r="U108" s="34"/>
      <c r="V108" s="34"/>
      <c r="W108" s="34"/>
    </row>
    <row r="109" spans="2:25" x14ac:dyDescent="0.2">
      <c r="T109" s="62"/>
      <c r="U109" s="62"/>
      <c r="V109" s="62"/>
      <c r="W109" s="62"/>
      <c r="X109" s="62"/>
      <c r="Y109" s="62"/>
    </row>
    <row r="110" spans="2:25" s="25" customFormat="1" ht="12.75" outlineLevel="1" x14ac:dyDescent="0.2">
      <c r="B110" s="25" t="s">
        <v>136</v>
      </c>
      <c r="C110" s="112"/>
      <c r="D110" s="112"/>
      <c r="E110" s="112"/>
      <c r="F110" s="112"/>
      <c r="G110" s="112"/>
      <c r="H110" s="112"/>
      <c r="I110" s="112"/>
      <c r="J110" s="112"/>
      <c r="K110" s="112"/>
      <c r="L110" s="112"/>
      <c r="M110" s="112"/>
      <c r="N110" s="112"/>
      <c r="O110" s="112"/>
      <c r="P110" s="112"/>
      <c r="Q110" s="112"/>
      <c r="R110" s="112"/>
      <c r="S110" s="112"/>
      <c r="T110" s="112"/>
      <c r="U110" s="112"/>
      <c r="V110" s="112"/>
      <c r="W110" s="112"/>
    </row>
    <row r="111" spans="2:25" s="102" customFormat="1" ht="12.75" outlineLevel="1" x14ac:dyDescent="0.2">
      <c r="C111" s="124"/>
      <c r="D111" s="124"/>
      <c r="E111" s="124"/>
      <c r="F111" s="124"/>
      <c r="G111" s="124"/>
      <c r="H111" s="124"/>
      <c r="I111" s="124"/>
      <c r="J111" s="124"/>
      <c r="K111" s="124"/>
      <c r="L111" s="124"/>
      <c r="M111" s="124"/>
      <c r="N111" s="124"/>
      <c r="O111" s="124"/>
      <c r="P111" s="124"/>
      <c r="Q111" s="124"/>
      <c r="R111" s="124"/>
      <c r="S111" s="124"/>
      <c r="T111" s="124"/>
      <c r="U111" s="124"/>
      <c r="V111" s="124"/>
      <c r="W111" s="124"/>
    </row>
    <row r="112" spans="2:25" s="102" customFormat="1" ht="12.75" outlineLevel="1" x14ac:dyDescent="0.2">
      <c r="B112" s="106" t="s">
        <v>293</v>
      </c>
      <c r="C112" s="125"/>
      <c r="D112" s="125"/>
      <c r="E112" s="125"/>
      <c r="F112" s="125"/>
      <c r="G112" s="125"/>
      <c r="H112" s="37"/>
      <c r="I112" s="37"/>
      <c r="J112" s="37"/>
      <c r="K112" s="37"/>
      <c r="L112" s="37"/>
      <c r="M112" s="37"/>
      <c r="N112" s="37"/>
      <c r="O112" s="37"/>
      <c r="P112" s="37"/>
      <c r="Q112" s="37"/>
      <c r="R112" s="37"/>
      <c r="S112" s="37"/>
      <c r="T112" s="37"/>
      <c r="U112" s="125"/>
      <c r="V112" s="125"/>
      <c r="W112" s="125"/>
    </row>
    <row r="113" spans="1:51" outlineLevel="1" x14ac:dyDescent="0.2">
      <c r="B113" s="120" t="s">
        <v>43</v>
      </c>
      <c r="C113" s="34">
        <v>53.925647735595703</v>
      </c>
      <c r="D113" s="34">
        <v>51.626441955566406</v>
      </c>
      <c r="E113" s="34">
        <v>50.3966064453125</v>
      </c>
      <c r="F113" s="34">
        <v>52.027179718017578</v>
      </c>
      <c r="G113" s="34">
        <v>52.730838775634766</v>
      </c>
      <c r="H113" s="34">
        <v>52.947887420654297</v>
      </c>
      <c r="I113" s="34">
        <v>52.753932952880859</v>
      </c>
      <c r="J113" s="34">
        <v>52.204116821289063</v>
      </c>
      <c r="K113" s="34">
        <v>51.372283935546875</v>
      </c>
      <c r="L113" s="34">
        <v>50.459144592285156</v>
      </c>
      <c r="M113" s="34">
        <v>49.50054931640625</v>
      </c>
      <c r="N113" s="34">
        <v>48.790164947509766</v>
      </c>
      <c r="O113" s="34">
        <v>48.137958526611328</v>
      </c>
      <c r="P113" s="34">
        <v>47.692821502685547</v>
      </c>
      <c r="Q113" s="34">
        <v>47.458110809326172</v>
      </c>
      <c r="R113" s="34">
        <v>47.438690185546875</v>
      </c>
      <c r="S113" s="34">
        <v>47.534572601318359</v>
      </c>
      <c r="T113" s="34">
        <v>47.76220703125</v>
      </c>
      <c r="U113" s="34">
        <v>48.146076202392578</v>
      </c>
      <c r="V113" s="34">
        <v>48.699058532714844</v>
      </c>
      <c r="W113" s="34">
        <v>49.432182312011719</v>
      </c>
      <c r="X113" s="116"/>
      <c r="Y113" s="62"/>
    </row>
    <row r="114" spans="1:51" x14ac:dyDescent="0.2">
      <c r="B114" s="26" t="s">
        <v>132</v>
      </c>
      <c r="C114" s="1">
        <v>2.4089398384094238</v>
      </c>
      <c r="D114" s="1">
        <v>1.9834704399108887</v>
      </c>
      <c r="E114" s="1">
        <v>2.3767504692077637</v>
      </c>
      <c r="F114" s="1">
        <v>2.7490947246551514</v>
      </c>
      <c r="G114" s="1">
        <v>2.738361120223999</v>
      </c>
      <c r="H114" s="1">
        <v>2.8292953968048096</v>
      </c>
      <c r="I114" s="1">
        <v>2.9128596782684326</v>
      </c>
      <c r="J114" s="1">
        <v>2.991032600402832</v>
      </c>
      <c r="K114" s="1">
        <v>3.0645256042480469</v>
      </c>
      <c r="L114" s="1">
        <v>3.1366701126098633</v>
      </c>
      <c r="M114" s="1">
        <v>3.2076070308685303</v>
      </c>
      <c r="N114" s="1">
        <v>3.2774922847747803</v>
      </c>
      <c r="O114" s="1">
        <v>3.3482017517089844</v>
      </c>
      <c r="P114" s="1">
        <v>3.40828537940979</v>
      </c>
      <c r="Q114" s="1">
        <v>3.4609866142272949</v>
      </c>
      <c r="R114" s="1">
        <v>3.5071096420288086</v>
      </c>
      <c r="S114" s="1">
        <v>3.5473465919494629</v>
      </c>
      <c r="T114" s="1">
        <v>3.5822889804840088</v>
      </c>
      <c r="U114" s="1">
        <v>3.61244797706604</v>
      </c>
      <c r="V114" s="1">
        <v>3.63832688331604</v>
      </c>
      <c r="W114" s="1">
        <v>3.6603739261627197</v>
      </c>
      <c r="X114" s="117"/>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60"/>
    </row>
    <row r="115" spans="1:51" x14ac:dyDescent="0.2">
      <c r="B115" s="26" t="s">
        <v>185</v>
      </c>
      <c r="C115" s="1"/>
      <c r="D115" s="1"/>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17"/>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60"/>
    </row>
    <row r="116" spans="1:51" x14ac:dyDescent="0.2">
      <c r="C116" s="1"/>
      <c r="D116" s="1"/>
      <c r="E116" s="99"/>
      <c r="F116" s="99"/>
      <c r="G116" s="99"/>
      <c r="H116" s="99"/>
      <c r="I116" s="99"/>
      <c r="J116" s="99"/>
      <c r="K116" s="99"/>
      <c r="L116" s="99"/>
      <c r="M116" s="99"/>
      <c r="N116" s="99"/>
      <c r="O116" s="99"/>
      <c r="P116" s="99"/>
      <c r="Q116" s="99"/>
      <c r="R116" s="99"/>
      <c r="S116" s="99"/>
      <c r="T116" s="99"/>
      <c r="U116" s="103"/>
      <c r="V116" s="103"/>
      <c r="W116" s="103"/>
      <c r="X116" s="117"/>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60"/>
    </row>
    <row r="117" spans="1:51" x14ac:dyDescent="0.2">
      <c r="B117" s="106" t="s">
        <v>294</v>
      </c>
      <c r="C117" s="37"/>
      <c r="D117" s="37"/>
      <c r="E117" s="37"/>
      <c r="F117" s="37"/>
      <c r="G117" s="37"/>
      <c r="H117" s="37"/>
      <c r="I117" s="37"/>
      <c r="J117" s="37"/>
      <c r="K117" s="37"/>
      <c r="L117" s="37"/>
      <c r="M117" s="37"/>
      <c r="N117" s="37"/>
      <c r="O117" s="37"/>
      <c r="P117" s="37"/>
      <c r="Q117" s="37"/>
      <c r="R117" s="37"/>
      <c r="S117" s="37"/>
      <c r="T117" s="37"/>
      <c r="U117" s="37"/>
      <c r="V117" s="126"/>
      <c r="W117" s="126"/>
      <c r="X117" s="117"/>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60"/>
    </row>
    <row r="118" spans="1:51" outlineLevel="1" x14ac:dyDescent="0.2">
      <c r="B118" s="120" t="s">
        <v>43</v>
      </c>
      <c r="C118" s="34">
        <v>53.925647735595703</v>
      </c>
      <c r="D118" s="34">
        <v>51.626441955566406</v>
      </c>
      <c r="E118" s="34">
        <v>50.3966064453125</v>
      </c>
      <c r="F118" s="34">
        <v>52.027179718017578</v>
      </c>
      <c r="G118" s="34">
        <v>52.779010772705078</v>
      </c>
      <c r="H118" s="34">
        <v>53.185359954833984</v>
      </c>
      <c r="I118" s="34">
        <v>53.323013305664063</v>
      </c>
      <c r="J118" s="34">
        <v>53.246349334716797</v>
      </c>
      <c r="K118" s="34">
        <v>52.954090118408203</v>
      </c>
      <c r="L118" s="34">
        <v>52.475807189941406</v>
      </c>
      <c r="M118" s="34">
        <v>51.846275329589844</v>
      </c>
      <c r="N118" s="34">
        <v>51.122524261474609</v>
      </c>
      <c r="O118" s="34">
        <v>50.365894317626953</v>
      </c>
      <c r="P118" s="34">
        <v>49.733654022216797</v>
      </c>
      <c r="Q118" s="34">
        <v>49.421367645263672</v>
      </c>
      <c r="R118" s="34">
        <v>49.332935333251953</v>
      </c>
      <c r="S118" s="34">
        <v>49.363605499267578</v>
      </c>
      <c r="T118" s="34">
        <v>49.530067443847656</v>
      </c>
      <c r="U118" s="34">
        <v>49.856986999511719</v>
      </c>
      <c r="V118" s="34">
        <v>50.356838226318359</v>
      </c>
      <c r="W118" s="34">
        <v>51.040218353271484</v>
      </c>
      <c r="X118" s="116"/>
      <c r="Y118" s="62"/>
    </row>
    <row r="119" spans="1:51" x14ac:dyDescent="0.2">
      <c r="B119" s="26" t="s">
        <v>132</v>
      </c>
      <c r="C119" s="1">
        <v>2.4089398384094238</v>
      </c>
      <c r="D119" s="1">
        <v>1.9834704399108887</v>
      </c>
      <c r="E119" s="1">
        <v>2.3767504692077637</v>
      </c>
      <c r="F119" s="1">
        <v>2.7490947246551514</v>
      </c>
      <c r="G119" s="1">
        <v>2.738361120223999</v>
      </c>
      <c r="H119" s="1">
        <v>2.8306419849395752</v>
      </c>
      <c r="I119" s="1">
        <v>2.9167966842651367</v>
      </c>
      <c r="J119" s="1">
        <v>2.9987335205078125</v>
      </c>
      <c r="K119" s="1">
        <v>3.0771398544311523</v>
      </c>
      <c r="L119" s="1">
        <v>3.1525537967681885</v>
      </c>
      <c r="M119" s="1">
        <v>3.2253818511962891</v>
      </c>
      <c r="N119" s="1">
        <v>3.2959249019622803</v>
      </c>
      <c r="O119" s="1">
        <v>3.3661091327667236</v>
      </c>
      <c r="P119" s="1">
        <v>3.424560546875</v>
      </c>
      <c r="Q119" s="1">
        <v>3.4748919010162354</v>
      </c>
      <c r="R119" s="1">
        <v>3.5189597606658936</v>
      </c>
      <c r="S119" s="1">
        <v>3.5574171543121338</v>
      </c>
      <c r="T119" s="1">
        <v>3.5908212661743164</v>
      </c>
      <c r="U119" s="1">
        <v>3.6196563243865967</v>
      </c>
      <c r="V119" s="1">
        <v>3.6443967819213867</v>
      </c>
      <c r="W119" s="1">
        <v>3.66546630859375</v>
      </c>
      <c r="X119" s="117"/>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60"/>
    </row>
    <row r="120" spans="1:51" x14ac:dyDescent="0.2">
      <c r="B120" s="26" t="s">
        <v>185</v>
      </c>
      <c r="C120" s="1"/>
      <c r="D120" s="1"/>
      <c r="E120" s="1"/>
      <c r="F120" s="1"/>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17"/>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60"/>
    </row>
    <row r="121" spans="1:51" x14ac:dyDescent="0.2">
      <c r="T121" s="62"/>
      <c r="U121" s="116"/>
      <c r="V121" s="116"/>
      <c r="W121" s="116"/>
      <c r="X121" s="116"/>
      <c r="Y121" s="62"/>
    </row>
    <row r="122" spans="1:51" x14ac:dyDescent="0.2">
      <c r="H122" s="121"/>
      <c r="I122" s="121"/>
      <c r="J122" s="121"/>
      <c r="K122" s="121"/>
      <c r="L122" s="121"/>
      <c r="M122" s="121"/>
      <c r="N122" s="121"/>
      <c r="O122" s="121"/>
      <c r="P122" s="121"/>
      <c r="Q122" s="121"/>
      <c r="R122" s="121"/>
      <c r="S122" s="121"/>
      <c r="T122" s="121"/>
      <c r="U122" s="121"/>
      <c r="V122" s="121"/>
      <c r="W122" s="121"/>
    </row>
    <row r="123" spans="1:51" x14ac:dyDescent="0.2">
      <c r="E123" s="34"/>
      <c r="F123" s="34"/>
      <c r="G123" s="121"/>
      <c r="H123" s="121"/>
      <c r="I123" s="121"/>
      <c r="J123" s="121"/>
      <c r="K123" s="121"/>
      <c r="L123" s="121"/>
      <c r="M123" s="121"/>
      <c r="N123" s="121"/>
      <c r="O123" s="121"/>
      <c r="P123" s="121"/>
      <c r="Q123" s="121"/>
      <c r="R123" s="121"/>
      <c r="S123" s="121"/>
      <c r="T123" s="121"/>
      <c r="U123" s="121"/>
      <c r="V123" s="121"/>
      <c r="W123" s="121"/>
    </row>
    <row r="124" spans="1:51" x14ac:dyDescent="0.2">
      <c r="A124" s="60"/>
      <c r="C124" s="34"/>
      <c r="D124" s="34"/>
      <c r="E124" s="34"/>
      <c r="F124" s="34"/>
      <c r="G124" s="34"/>
      <c r="H124" s="34"/>
      <c r="I124" s="34"/>
      <c r="J124" s="34"/>
      <c r="K124" s="34"/>
      <c r="L124" s="34"/>
      <c r="M124" s="34"/>
      <c r="N124" s="34"/>
      <c r="O124" s="34"/>
      <c r="P124" s="34"/>
      <c r="Q124" s="34"/>
      <c r="R124" s="34"/>
      <c r="S124" s="34"/>
      <c r="T124" s="34"/>
      <c r="U124" s="34"/>
      <c r="V124" s="34"/>
      <c r="W124" s="34"/>
    </row>
    <row r="125" spans="1:51" x14ac:dyDescent="0.2">
      <c r="C125" s="61"/>
      <c r="D125" s="61"/>
      <c r="E125" s="61"/>
      <c r="F125" s="61"/>
      <c r="G125" s="61"/>
      <c r="H125" s="61"/>
      <c r="I125" s="61"/>
      <c r="J125" s="61"/>
      <c r="K125" s="61"/>
      <c r="L125" s="61"/>
      <c r="M125" s="61"/>
      <c r="N125" s="61"/>
      <c r="O125" s="61"/>
      <c r="P125" s="61"/>
      <c r="Q125" s="61"/>
      <c r="R125" s="61"/>
      <c r="S125" s="61"/>
      <c r="T125" s="61"/>
      <c r="U125" s="61"/>
      <c r="V125" s="61"/>
      <c r="W125" s="61"/>
      <c r="X125" s="61"/>
    </row>
    <row r="127" spans="1:51" x14ac:dyDescent="0.2">
      <c r="E127" s="34"/>
      <c r="F127" s="34"/>
      <c r="G127" s="121"/>
      <c r="H127" s="121"/>
      <c r="I127" s="121"/>
      <c r="J127" s="121"/>
      <c r="K127" s="121"/>
      <c r="L127" s="121"/>
      <c r="M127" s="121"/>
      <c r="N127" s="121"/>
      <c r="O127" s="121"/>
      <c r="P127" s="121"/>
      <c r="Q127" s="121"/>
      <c r="R127" s="121"/>
      <c r="S127" s="121"/>
      <c r="T127" s="121"/>
      <c r="U127" s="121"/>
      <c r="V127" s="121"/>
      <c r="W127" s="121"/>
    </row>
    <row r="128" spans="1:51" x14ac:dyDescent="0.2">
      <c r="E128" s="34"/>
      <c r="F128" s="34"/>
      <c r="G128" s="121"/>
      <c r="H128" s="121"/>
      <c r="I128" s="121"/>
      <c r="J128" s="121"/>
      <c r="K128" s="121"/>
      <c r="L128" s="121"/>
      <c r="M128" s="121"/>
      <c r="N128" s="121"/>
      <c r="O128" s="121"/>
      <c r="P128" s="121"/>
      <c r="Q128" s="121"/>
      <c r="R128" s="121"/>
      <c r="S128" s="121"/>
      <c r="T128" s="121"/>
      <c r="U128" s="121"/>
      <c r="V128" s="121"/>
      <c r="W128" s="121"/>
      <c r="X128" s="53"/>
    </row>
    <row r="129" spans="5:24" x14ac:dyDescent="0.2">
      <c r="G129" s="53"/>
      <c r="H129" s="53"/>
      <c r="I129" s="53"/>
      <c r="J129" s="53"/>
      <c r="K129" s="53"/>
      <c r="L129" s="53"/>
      <c r="M129" s="53"/>
      <c r="N129" s="53"/>
      <c r="O129" s="53"/>
      <c r="P129" s="53"/>
      <c r="Q129" s="53"/>
      <c r="R129" s="53"/>
      <c r="S129" s="53"/>
      <c r="T129" s="53"/>
      <c r="U129" s="53"/>
      <c r="V129" s="53"/>
      <c r="W129" s="53"/>
      <c r="X129" s="53"/>
    </row>
    <row r="130" spans="5:24" x14ac:dyDescent="0.2">
      <c r="E130" s="34"/>
      <c r="F130" s="34"/>
      <c r="G130" s="121"/>
      <c r="H130" s="121"/>
      <c r="I130" s="121"/>
      <c r="J130" s="121"/>
      <c r="K130" s="121"/>
      <c r="L130" s="121"/>
      <c r="M130" s="121"/>
      <c r="N130" s="121"/>
      <c r="O130" s="121"/>
      <c r="P130" s="121"/>
      <c r="Q130" s="121"/>
      <c r="R130" s="121"/>
      <c r="S130" s="121"/>
      <c r="T130" s="121"/>
      <c r="U130" s="121"/>
      <c r="V130" s="121"/>
      <c r="W130" s="121"/>
      <c r="X130" s="53"/>
    </row>
    <row r="131" spans="5:24" x14ac:dyDescent="0.2">
      <c r="E131" s="34"/>
      <c r="F131" s="34"/>
      <c r="G131" s="121"/>
      <c r="H131" s="121"/>
      <c r="I131" s="121"/>
      <c r="J131" s="121"/>
      <c r="K131" s="121"/>
      <c r="L131" s="121"/>
      <c r="M131" s="121"/>
      <c r="N131" s="121"/>
      <c r="O131" s="121"/>
      <c r="P131" s="121"/>
      <c r="Q131" s="121"/>
      <c r="R131" s="121"/>
      <c r="S131" s="121"/>
      <c r="T131" s="121"/>
      <c r="U131" s="121"/>
      <c r="V131" s="121"/>
      <c r="W131" s="121"/>
      <c r="X131" s="53"/>
    </row>
    <row r="132" spans="5:24" x14ac:dyDescent="0.2">
      <c r="G132" s="53"/>
      <c r="H132" s="53"/>
      <c r="I132" s="53"/>
      <c r="J132" s="53"/>
      <c r="K132" s="53"/>
      <c r="L132" s="53"/>
      <c r="M132" s="53"/>
      <c r="N132" s="53"/>
      <c r="O132" s="53"/>
      <c r="P132" s="53"/>
      <c r="Q132" s="53"/>
      <c r="R132" s="53"/>
      <c r="S132" s="53"/>
      <c r="T132" s="53"/>
      <c r="U132" s="53"/>
      <c r="V132" s="53"/>
      <c r="W132" s="53"/>
      <c r="X132" s="53"/>
    </row>
    <row r="133" spans="5:24" x14ac:dyDescent="0.2">
      <c r="E133" s="34"/>
      <c r="F133" s="34"/>
      <c r="G133" s="121"/>
      <c r="H133" s="121"/>
      <c r="I133" s="121"/>
      <c r="J133" s="121"/>
      <c r="K133" s="121"/>
      <c r="L133" s="121"/>
      <c r="M133" s="121"/>
      <c r="N133" s="121"/>
      <c r="O133" s="121"/>
      <c r="P133" s="121"/>
      <c r="Q133" s="121"/>
      <c r="R133" s="121"/>
      <c r="S133" s="121"/>
      <c r="T133" s="121"/>
      <c r="U133" s="121"/>
      <c r="V133" s="121"/>
      <c r="W133" s="121"/>
      <c r="X133" s="121"/>
    </row>
    <row r="134" spans="5:24" x14ac:dyDescent="0.2">
      <c r="E134" s="34"/>
      <c r="F134" s="34"/>
      <c r="G134" s="121"/>
      <c r="H134" s="121"/>
      <c r="I134" s="121"/>
      <c r="J134" s="121"/>
      <c r="K134" s="121"/>
      <c r="L134" s="121"/>
      <c r="M134" s="121"/>
      <c r="N134" s="121"/>
      <c r="O134" s="121"/>
      <c r="P134" s="121"/>
      <c r="Q134" s="121"/>
      <c r="R134" s="121"/>
      <c r="S134" s="121"/>
      <c r="T134" s="121"/>
      <c r="U134" s="121"/>
      <c r="V134" s="121"/>
      <c r="W134" s="121"/>
      <c r="X134" s="121"/>
    </row>
    <row r="135" spans="5:24" x14ac:dyDescent="0.2">
      <c r="G135" s="121"/>
      <c r="H135" s="121"/>
      <c r="I135" s="121"/>
      <c r="J135" s="121"/>
      <c r="K135" s="121"/>
      <c r="L135" s="121"/>
      <c r="M135" s="121"/>
      <c r="N135" s="121"/>
      <c r="O135" s="121"/>
      <c r="P135" s="121"/>
      <c r="Q135" s="121"/>
      <c r="R135" s="121"/>
      <c r="S135" s="121"/>
      <c r="T135" s="121"/>
      <c r="U135" s="121"/>
      <c r="V135" s="121"/>
      <c r="W135" s="121"/>
      <c r="X135" s="121"/>
    </row>
    <row r="136" spans="5:24" x14ac:dyDescent="0.2">
      <c r="E136" s="34"/>
      <c r="F136" s="34"/>
      <c r="G136" s="121"/>
      <c r="H136" s="121"/>
      <c r="I136" s="121"/>
      <c r="J136" s="121"/>
      <c r="K136" s="121"/>
      <c r="L136" s="121"/>
      <c r="M136" s="121"/>
      <c r="N136" s="121"/>
      <c r="O136" s="121"/>
      <c r="P136" s="121"/>
      <c r="Q136" s="121"/>
      <c r="R136" s="121"/>
      <c r="S136" s="121"/>
      <c r="T136" s="121"/>
      <c r="U136" s="121"/>
      <c r="V136" s="121"/>
      <c r="W136" s="121"/>
      <c r="X136" s="121"/>
    </row>
    <row r="137" spans="5:24" x14ac:dyDescent="0.2">
      <c r="E137" s="34"/>
      <c r="F137" s="34"/>
      <c r="G137" s="121"/>
      <c r="H137" s="121"/>
      <c r="I137" s="121"/>
      <c r="J137" s="121"/>
      <c r="K137" s="121"/>
      <c r="L137" s="121"/>
      <c r="M137" s="121"/>
      <c r="N137" s="121"/>
      <c r="O137" s="121"/>
      <c r="P137" s="121"/>
      <c r="Q137" s="121"/>
      <c r="R137" s="121"/>
      <c r="S137" s="121"/>
      <c r="T137" s="121"/>
      <c r="U137" s="121"/>
      <c r="V137" s="121"/>
      <c r="W137" s="121"/>
      <c r="X137" s="121"/>
    </row>
    <row r="138" spans="5:24" x14ac:dyDescent="0.2">
      <c r="G138" s="121"/>
      <c r="H138" s="121"/>
      <c r="I138" s="121"/>
      <c r="J138" s="121"/>
      <c r="K138" s="121"/>
      <c r="L138" s="121"/>
      <c r="M138" s="121"/>
      <c r="N138" s="121"/>
      <c r="O138" s="121"/>
      <c r="P138" s="121"/>
      <c r="Q138" s="121"/>
      <c r="R138" s="121"/>
      <c r="S138" s="121"/>
      <c r="T138" s="121"/>
      <c r="U138" s="121"/>
      <c r="V138" s="121"/>
      <c r="W138" s="121"/>
      <c r="X138" s="121"/>
    </row>
    <row r="139" spans="5:24" x14ac:dyDescent="0.2">
      <c r="G139" s="121"/>
      <c r="H139" s="121"/>
      <c r="I139" s="121"/>
      <c r="J139" s="121"/>
      <c r="K139" s="121"/>
      <c r="L139" s="121"/>
      <c r="M139" s="121"/>
      <c r="N139" s="121"/>
      <c r="O139" s="121"/>
      <c r="P139" s="121"/>
      <c r="Q139" s="121"/>
      <c r="R139" s="121"/>
      <c r="S139" s="121"/>
      <c r="T139" s="121"/>
      <c r="U139" s="121"/>
      <c r="V139" s="121"/>
      <c r="W139" s="121"/>
      <c r="X139" s="121"/>
    </row>
  </sheetData>
  <conditionalFormatting sqref="G12:M12">
    <cfRule type="expression" dxfId="33" priority="6">
      <formula>AND(G10&gt;$C$5,G10&lt;=$C$6)</formula>
    </cfRule>
  </conditionalFormatting>
  <conditionalFormatting sqref="U10:W44 U46:W53 U86:W109 U111:W123 U126:W150 U55:W78 U80:W84">
    <cfRule type="expression" dxfId="32" priority="2">
      <formula>U$10&gt;$C$7</formula>
    </cfRule>
  </conditionalFormatting>
  <conditionalFormatting sqref="U79:W79">
    <cfRule type="expression" dxfId="31" priority="1">
      <formula>U$10&gt;$C$7</formula>
    </cfRule>
  </conditionalFormatting>
  <pageMargins left="0.7" right="0.7" top="0.75" bottom="0.75" header="0.3" footer="0.3"/>
  <pageSetup paperSize="9" orientation="portrait" r:id="rId1"/>
  <ignoredErrors>
    <ignoredError sqref="C47:C48 C5:C6"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92D050"/>
  </sheetPr>
  <dimension ref="A1:BB129"/>
  <sheetViews>
    <sheetView zoomScaleNormal="100" workbookViewId="0"/>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MT</v>
      </c>
    </row>
    <row r="4" spans="1:51" x14ac:dyDescent="0.2">
      <c r="B4" s="64" t="s">
        <v>38</v>
      </c>
      <c r="C4" s="21"/>
    </row>
    <row r="5" spans="1:51" x14ac:dyDescent="0.2">
      <c r="A5" s="29"/>
      <c r="B5" s="22" t="str">
        <f>'Input data'!B5</f>
        <v>Last year before the adjustment</v>
      </c>
      <c r="C5" s="23">
        <f>+'Input data'!C5</f>
        <v>2024</v>
      </c>
    </row>
    <row r="6" spans="1:51" x14ac:dyDescent="0.2">
      <c r="A6" s="29"/>
      <c r="B6" s="65" t="s">
        <v>44</v>
      </c>
      <c r="C6" s="23">
        <f>+C5+'Criteria results'!F5</f>
        <v>2028</v>
      </c>
      <c r="E6" s="43"/>
      <c r="F6" s="29"/>
    </row>
    <row r="7" spans="1:51" x14ac:dyDescent="0.2">
      <c r="A7" s="29"/>
      <c r="B7" s="24" t="s">
        <v>39</v>
      </c>
      <c r="C7" s="66">
        <f>C5+'Criteria results'!F5+10</f>
        <v>2038</v>
      </c>
      <c r="E7" s="43"/>
      <c r="F7" s="29"/>
    </row>
    <row r="8" spans="1:51" x14ac:dyDescent="0.2">
      <c r="A8" s="29"/>
      <c r="C8" s="29"/>
      <c r="E8" s="43"/>
      <c r="F8" s="29"/>
    </row>
    <row r="9" spans="1:51" s="67"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-5.6509479999999996</v>
      </c>
      <c r="D12" s="2">
        <f>'Input data'!D13</f>
        <v>-4.3552039999999996</v>
      </c>
      <c r="E12" s="2">
        <f>'Input data'!E13</f>
        <v>-3.790994</v>
      </c>
      <c r="F12" s="2">
        <f>'Input data'!F13</f>
        <v>-2.897243</v>
      </c>
      <c r="G12" s="3">
        <f>'Adjust. no safeguard'!G12</f>
        <v>-2.4572430000000001</v>
      </c>
      <c r="H12" s="3">
        <f>'Adjust. no safeguard'!H12</f>
        <v>-2.0172430000000001</v>
      </c>
      <c r="I12" s="3">
        <f>'Adjust. no safeguard'!I12</f>
        <v>-1.5772430000000002</v>
      </c>
      <c r="J12" s="3">
        <f>'Adjust. no safeguard'!J12</f>
        <v>-1.1372430000000002</v>
      </c>
      <c r="K12" s="119">
        <f>'Adjust. no safeguard'!K12</f>
        <v>-1.1372430000000002</v>
      </c>
      <c r="L12" s="119">
        <f>'Adjust. no safeguard'!L12</f>
        <v>-1.1372430000000002</v>
      </c>
      <c r="M12" s="119">
        <f>'Adjust. no safeguard'!M12</f>
        <v>-1.1372430000000002</v>
      </c>
      <c r="N12" s="119">
        <f>IF(N10&lt;=$C$6,M12+'Criteria results'!$F$6,M12)</f>
        <v>-1.1372430000000002</v>
      </c>
      <c r="O12" s="119">
        <f>IF(O10&lt;=$C$6,N12+'Criteria results'!$F$6,N12)</f>
        <v>-1.1372430000000002</v>
      </c>
      <c r="P12" s="119">
        <f>IF(P10&lt;=$C$6,O12+'Criteria results'!$F$6,O12)</f>
        <v>-1.1372430000000002</v>
      </c>
      <c r="Q12" s="119">
        <f>IF(Q10&lt;=$C$6,P12+'Criteria results'!$F$6,P12)</f>
        <v>-1.1372430000000002</v>
      </c>
      <c r="R12" s="119">
        <f>IF(R10&lt;=$C$6,Q12+'Criteria results'!$F$6,Q12)</f>
        <v>-1.1372430000000002</v>
      </c>
      <c r="S12" s="119">
        <f>IF(S10&lt;=$C$6,R12+'Criteria results'!$F$6,R12)</f>
        <v>-1.1372430000000002</v>
      </c>
      <c r="T12" s="119">
        <f>IF(T10&lt;=$C$6,S12+'Criteria results'!$F$6,S12)</f>
        <v>-1.1372430000000002</v>
      </c>
      <c r="U12" s="119">
        <f>IF(U10&lt;=$C$6,T12+'Criteria results'!$F$6,T12)</f>
        <v>-1.1372430000000002</v>
      </c>
      <c r="V12" s="119">
        <f>IF(V10&lt;=$C$6,U12+'Criteria results'!$F$6,U12)</f>
        <v>-1.1372430000000002</v>
      </c>
      <c r="W12" s="119">
        <f>IF(W10&lt;=$C$6,V12+'Criteria results'!$F$6,V12)</f>
        <v>-1.1372430000000002</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26" t="s">
        <v>49</v>
      </c>
      <c r="C13" s="1">
        <f>'Input data'!C14</f>
        <v>0</v>
      </c>
      <c r="D13" s="2">
        <f>'Input data'!D14</f>
        <v>0</v>
      </c>
      <c r="E13" s="2">
        <f>'Input data'!E14</f>
        <v>0</v>
      </c>
      <c r="F13" s="2">
        <f>'Input data'!F14</f>
        <v>0</v>
      </c>
      <c r="G13" s="2">
        <f>'Input data'!G14</f>
        <v>0</v>
      </c>
      <c r="H13" s="2">
        <f>0</f>
        <v>0</v>
      </c>
      <c r="I13" s="2">
        <f>0</f>
        <v>0</v>
      </c>
      <c r="J13" s="2">
        <f>0</f>
        <v>0</v>
      </c>
      <c r="K13" s="2">
        <f>0</f>
        <v>0</v>
      </c>
      <c r="L13" s="2">
        <f>0</f>
        <v>0</v>
      </c>
      <c r="M13" s="2">
        <f>0</f>
        <v>0</v>
      </c>
      <c r="N13" s="2">
        <f>0</f>
        <v>0</v>
      </c>
      <c r="O13" s="2">
        <f>0</f>
        <v>0</v>
      </c>
      <c r="P13" s="2">
        <f>0</f>
        <v>0</v>
      </c>
      <c r="Q13" s="2">
        <f>0</f>
        <v>0</v>
      </c>
      <c r="R13" s="2">
        <f>0</f>
        <v>0</v>
      </c>
      <c r="S13" s="2">
        <f>0</f>
        <v>0</v>
      </c>
      <c r="T13" s="2">
        <f>0</f>
        <v>0</v>
      </c>
      <c r="U13" s="2">
        <f>0</f>
        <v>0</v>
      </c>
      <c r="V13" s="2">
        <f>0</f>
        <v>0</v>
      </c>
      <c r="W13" s="2">
        <f>0</f>
        <v>0</v>
      </c>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60"/>
    </row>
    <row r="14" spans="1:51" x14ac:dyDescent="0.2">
      <c r="B14" s="26" t="s">
        <v>87</v>
      </c>
      <c r="C14" s="1">
        <f>'Input data'!C15</f>
        <v>0.80446119999999999</v>
      </c>
      <c r="D14" s="2">
        <f>'Input data'!D15</f>
        <v>-1.3102750000000001</v>
      </c>
      <c r="E14" s="2">
        <f>'Input data'!E15</f>
        <v>-0.94044729999999999</v>
      </c>
      <c r="F14" s="2">
        <f>'Input data'!F15</f>
        <v>1.1851970000000001</v>
      </c>
      <c r="G14" s="2">
        <f>'Input data'!G15</f>
        <v>6.6727599999999998E-2</v>
      </c>
      <c r="H14" s="2">
        <f>'Input data'!H15</f>
        <v>0</v>
      </c>
      <c r="I14" s="2">
        <f>'Input data'!I15</f>
        <v>0</v>
      </c>
      <c r="J14" s="2">
        <f>'Input data'!J15</f>
        <v>0</v>
      </c>
      <c r="K14" s="2">
        <f>'Input data'!K15</f>
        <v>0</v>
      </c>
      <c r="L14" s="2">
        <f>'Input data'!L15</f>
        <v>0</v>
      </c>
      <c r="M14" s="2">
        <f>'Input data'!M15</f>
        <v>0</v>
      </c>
      <c r="N14" s="2">
        <f>'Input data'!N15</f>
        <v>0</v>
      </c>
      <c r="O14" s="2">
        <f>'Input data'!O15</f>
        <v>0</v>
      </c>
      <c r="P14" s="2">
        <f>'Input data'!P15</f>
        <v>0</v>
      </c>
      <c r="Q14" s="2">
        <f>'Input data'!Q15</f>
        <v>0</v>
      </c>
      <c r="R14" s="2">
        <f>'Input data'!R15</f>
        <v>0</v>
      </c>
      <c r="S14" s="2">
        <f>'Input data'!S15</f>
        <v>0</v>
      </c>
      <c r="T14" s="2">
        <f>'Input data'!T15</f>
        <v>0</v>
      </c>
      <c r="U14" s="2">
        <f>'Input data'!U15</f>
        <v>0</v>
      </c>
      <c r="V14" s="2">
        <f>'Input data'!V15</f>
        <v>0</v>
      </c>
      <c r="W14" s="2">
        <f>'Input data'!W15</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1" ht="11.25" customHeight="1" x14ac:dyDescent="0.2">
      <c r="B16" s="30"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x14ac:dyDescent="0.2">
      <c r="A17" s="61"/>
      <c r="B17" s="26" t="s">
        <v>52</v>
      </c>
      <c r="C17" s="1">
        <f>'Input data'!C20</f>
        <v>0</v>
      </c>
      <c r="D17" s="101">
        <f>'Input data'!D20</f>
        <v>16.93779</v>
      </c>
      <c r="E17" s="101">
        <f>'Input data'!E20</f>
        <v>16.704159999999998</v>
      </c>
      <c r="F17" s="101">
        <f>'Input data'!F20</f>
        <v>16.665520000000001</v>
      </c>
      <c r="G17" s="101">
        <f>'Input data'!G20</f>
        <v>16.600960000000001</v>
      </c>
      <c r="H17" s="101">
        <f>'Input data'!H20</f>
        <v>16.335190000000001</v>
      </c>
      <c r="I17" s="101">
        <f>'Input data'!I20</f>
        <v>16.23882</v>
      </c>
      <c r="J17" s="101">
        <f>'Input data'!J20</f>
        <v>16.156209999999998</v>
      </c>
      <c r="K17" s="101">
        <f>'Input data'!K20</f>
        <v>16.094360000000002</v>
      </c>
      <c r="L17" s="101">
        <f>'Input data'!L20</f>
        <v>16.035070000000001</v>
      </c>
      <c r="M17" s="101">
        <f>'Input data'!M20</f>
        <v>15.982539999999998</v>
      </c>
      <c r="N17" s="101">
        <f>'Input data'!N20</f>
        <v>15.940760000000001</v>
      </c>
      <c r="O17" s="101">
        <f>'Input data'!O20</f>
        <v>15.91657</v>
      </c>
      <c r="P17" s="101">
        <f>'Input data'!P20</f>
        <v>15.907859999999999</v>
      </c>
      <c r="Q17" s="101">
        <f>'Input data'!Q20</f>
        <v>15.914770000000001</v>
      </c>
      <c r="R17" s="101">
        <f>'Input data'!R20</f>
        <v>15.935979999999999</v>
      </c>
      <c r="S17" s="101">
        <f>'Input data'!S20</f>
        <v>15.96696</v>
      </c>
      <c r="T17" s="101">
        <f>'Input data'!T20</f>
        <v>16.00554</v>
      </c>
      <c r="U17" s="101">
        <f>'Input data'!U20</f>
        <v>16.059809999999999</v>
      </c>
      <c r="V17" s="101">
        <f>'Input data'!V20</f>
        <v>16.1328</v>
      </c>
      <c r="W17" s="101">
        <f>'Input data'!W20</f>
        <v>16.22383</v>
      </c>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
        <v>58</v>
      </c>
      <c r="C18" s="1">
        <f>'Input data'!C26</f>
        <v>0.52142140000000003</v>
      </c>
      <c r="D18" s="101">
        <f>'Input data'!D26</f>
        <v>0.43654569999999998</v>
      </c>
      <c r="E18" s="101">
        <f>'Input data'!E26</f>
        <v>0.43370209999999998</v>
      </c>
      <c r="F18" s="101">
        <f>'Input data'!F26</f>
        <v>0.43085859999999998</v>
      </c>
      <c r="G18" s="101">
        <f>'Input data'!G26</f>
        <v>0.42801499999999998</v>
      </c>
      <c r="H18" s="101">
        <f>'Input data'!H26</f>
        <v>0.42517149999999998</v>
      </c>
      <c r="I18" s="101">
        <f>'Input data'!I26</f>
        <v>0.42232789999999998</v>
      </c>
      <c r="J18" s="101">
        <f>'Input data'!J26</f>
        <v>0.41948429999999998</v>
      </c>
      <c r="K18" s="101">
        <f>'Input data'!K26</f>
        <v>0.41664079999999998</v>
      </c>
      <c r="L18" s="101">
        <f>'Input data'!L26</f>
        <v>0.41379729999999998</v>
      </c>
      <c r="M18" s="101">
        <f>'Input data'!M26</f>
        <v>0.41095369999999998</v>
      </c>
      <c r="N18" s="101">
        <f>'Input data'!N26</f>
        <v>0.40811009999999998</v>
      </c>
      <c r="O18" s="101">
        <f>'Input data'!O26</f>
        <v>0.40526659999999998</v>
      </c>
      <c r="P18" s="101">
        <f>'Input data'!P26</f>
        <v>0.40242309999999998</v>
      </c>
      <c r="Q18" s="101">
        <f>'Input data'!Q26</f>
        <v>0.39957949999999998</v>
      </c>
      <c r="R18" s="101">
        <f>'Input data'!R26</f>
        <v>0.39673599999999998</v>
      </c>
      <c r="S18" s="101">
        <f>'Input data'!S26</f>
        <v>0.39389239999999998</v>
      </c>
      <c r="T18" s="101">
        <f>'Input data'!T26</f>
        <v>0.39104889999999998</v>
      </c>
      <c r="U18" s="101">
        <f>'Input data'!U26</f>
        <v>0.38820529999999998</v>
      </c>
      <c r="V18" s="101">
        <f>'Input data'!V26</f>
        <v>0.38536179999999998</v>
      </c>
      <c r="W18" s="101">
        <f>'Input data'!W26</f>
        <v>0.38251829999999998</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20" spans="1:50" x14ac:dyDescent="0.2">
      <c r="B20" s="28" t="s">
        <v>88</v>
      </c>
    </row>
    <row r="21" spans="1:50" ht="10.5" customHeight="1" x14ac:dyDescent="0.2">
      <c r="B21" s="30" t="s">
        <v>89</v>
      </c>
    </row>
    <row r="22" spans="1:50" x14ac:dyDescent="0.2">
      <c r="B22" s="26" t="s">
        <v>61</v>
      </c>
      <c r="C22" s="34">
        <f>'Input data'!C31</f>
        <v>13.624549999999999</v>
      </c>
      <c r="D22" s="100">
        <f>'Baseline NFPC'!D22</f>
        <v>14.724809936189498</v>
      </c>
      <c r="E22" s="100">
        <f>'Baseline NFPC'!E22</f>
        <v>15.551449869647822</v>
      </c>
      <c r="F22" s="100">
        <f>'Baseline NFPC'!F22</f>
        <v>16.262505701747756</v>
      </c>
      <c r="G22" s="34">
        <f>IF(AND(G49&gt;1,F49&gt;1),IF(AND(G49&gt;0,F49&gt;0),G26*(G50/100+1),0)+IF(G49&gt;0,F22*(1+G51/100),0)-F22*(1+'Input data'!G30/100),IF(G49=1,G26,F22*(1+G51/100)))</f>
        <v>16.996790033942958</v>
      </c>
      <c r="H22" s="34">
        <f>IF(AND(H49&gt;1,G49&gt;1),IF(AND(H49&gt;0,G49&gt;0),H26*(H50/100+1),0)+IF(H49&gt;0,G22*(1+H51/100),0)-G22*(1+'Input data'!H30/100),IF(H49=1,H26,G22*(1+H51/100)))</f>
        <v>17.776595599559172</v>
      </c>
      <c r="I22" s="34">
        <f>IF(AND(I49&gt;1,H49&gt;1),IF(AND(I49&gt;0,H49&gt;0),I26*(I50/100+1),0)+IF(I49&gt;0,H22*(1+I51/100),0)-H22*(1+'Input data'!I30/100),IF(I49=1,I26,H22*(1+I51/100)))</f>
        <v>18.602881894438362</v>
      </c>
      <c r="J22" s="34">
        <f>IF(AND(J49&gt;1,I49&gt;1),IF(AND(J49&gt;0,I49&gt;0),J26*(J50/100+1),0)+IF(J49&gt;0,I22*(1+J51/100),0)-I22*(1+'Input data'!J30/100),IF(J49=1,J26,I22*(1+J51/100)))</f>
        <v>19.459573557963992</v>
      </c>
      <c r="K22" s="34">
        <f>IF(AND(K49&gt;1,J49&gt;1),IF(AND(K49&gt;0,J49&gt;0),K26*(K50/100+1),0)+IF(K49&gt;0,J22*(1+K51/100),0)-J22*(1+'Input data'!K30/100),IF(K49=1,K26,J22*(1+K51/100)))</f>
        <v>20.413445953217614</v>
      </c>
      <c r="L22" s="34">
        <f>IF(AND(L49&gt;1,K49&gt;1),IF(AND(L49&gt;0,K49&gt;0),L26*(L50/100+1),0)+IF(L49&gt;0,K22*(1+L51/100),0)-K22*(1+'Input data'!L30/100),IF(L49=1,L26,K22*(1+L51/100)))</f>
        <v>21.394668616898898</v>
      </c>
      <c r="M22" s="34">
        <f>IF(AND(M49&gt;1,L49&gt;1),IF(AND(M49&gt;0,L49&gt;0),M26*(M50/100+1),0)+IF(M49&gt;0,L22*(1+M51/100),0)-L22*(1+'Input data'!M30/100),IF(M49=1,M26,L22*(1+M51/100)))</f>
        <v>22.389391807879576</v>
      </c>
      <c r="N22" s="34">
        <f>IF(AND(N49&gt;1,M49&gt;1),IF(AND(N49&gt;0,M49&gt;0),N26*(N50/100+1),0)+IF(N49&gt;0,M22*(1+N51/100),0)-M22*(1+'Input data'!N30/100),IF(N49=1,N26,M22*(1+N51/100)))</f>
        <v>23.323058328583588</v>
      </c>
      <c r="O22" s="34">
        <f>IF(AND(O49&gt;1,N49&gt;1),IF(AND(O49&gt;0,N49&gt;0),O26*(O50/100+1),0)+IF(O49&gt;0,N22*(1+O51/100),0)-N22*(1+'Input data'!O30/100),IF(O49=1,O26,N22*(1+O51/100)))</f>
        <v>24.283017683863761</v>
      </c>
      <c r="P22" s="34">
        <f>IF(AND(P49&gt;1,O49&gt;1),IF(AND(P49&gt;0,O49&gt;0),P26*(P50/100+1),0)+IF(P49&gt;0,O22*(1+P51/100),0)-O22*(1+'Input data'!P30/100),IF(P49=1,P26,O22*(1+P51/100)))</f>
        <v>25.200120726314843</v>
      </c>
      <c r="Q22" s="34">
        <f>IF(AND(Q49&gt;1,P49&gt;1),IF(AND(Q49&gt;0,P49&gt;0),Q26*(Q50/100+1),0)+IF(Q49&gt;0,P22*(1+Q51/100),0)-P22*(1+'Input data'!Q30/100),IF(Q49=1,Q26,P22*(1+Q51/100)))</f>
        <v>26.066381428313306</v>
      </c>
      <c r="R22" s="34">
        <f>IF(AND(R49&gt;1,Q49&gt;1),IF(AND(R49&gt;0,Q49&gt;0),R26*(R50/100+1),0)+IF(R49&gt;0,Q22*(1+R51/100),0)-Q22*(1+'Input data'!R30/100),IF(R49=1,R26,Q22*(1+R51/100)))</f>
        <v>26.874004465348797</v>
      </c>
      <c r="S22" s="34">
        <f>IF(AND(S49&gt;1,R49&gt;1),IF(AND(S49&gt;0,R49&gt;0),S26*(S50/100+1),0)+IF(S49&gt;0,R22*(1+S51/100),0)-R22*(1+'Input data'!S30/100),IF(S49=1,S26,R22*(1+S51/100)))</f>
        <v>27.676576990683181</v>
      </c>
      <c r="T22" s="34">
        <f>IF(AND(T49&gt;1,S49&gt;1),IF(AND(T49&gt;0,S49&gt;0),T26*(T50/100+1),0)+IF(T49&gt;0,S22*(1+T51/100),0)-S22*(1+'Input data'!T30/100),IF(T49=1,T26,S22*(1+T51/100)))</f>
        <v>28.464195911620958</v>
      </c>
      <c r="U22" s="34">
        <f>IF(AND(U49&gt;1,T49&gt;1),IF(AND(U49&gt;0,T49&gt;0),U26*(U50/100+1),0)+IF(U49&gt;0,T22*(1+U51/100),0)-T22*(1+'Input data'!U30/100),IF(U49=1,U26,T22*(1+U51/100)))</f>
        <v>29.226599721287112</v>
      </c>
      <c r="V22" s="34">
        <f>IF(AND(V49&gt;1,U49&gt;1),IF(AND(V49&gt;0,U49&gt;0),V26*(V50/100+1),0)+IF(V49&gt;0,U22*(1+V51/100),0)-U22*(1+'Input data'!V30/100),IF(V49=1,V26,U22*(1+V51/100)))</f>
        <v>29.962590385320503</v>
      </c>
      <c r="W22" s="34">
        <f>IF(AND(W49&gt;1,V49&gt;1),IF(AND(W49&gt;0,V49&gt;0),W26*(W50/100+1),0)+IF(W49&gt;0,V22*(1+W51/100),0)-V22*(1+'Input data'!W30/100),IF(W49=1,W26,V22*(1+W51/100)))</f>
        <v>30.672534488816922</v>
      </c>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row>
    <row r="23" spans="1:50" x14ac:dyDescent="0.2">
      <c r="A23" s="61"/>
      <c r="B23" s="62" t="s">
        <v>60</v>
      </c>
      <c r="C23" s="34">
        <f>+'Input data'!C30</f>
        <v>12.513949999999999</v>
      </c>
      <c r="D23" s="100">
        <f>'Baseline NFPC'!D23</f>
        <v>8.0755689999999998</v>
      </c>
      <c r="E23" s="100">
        <f>'Baseline NFPC'!E23</f>
        <v>5.6139260000000002</v>
      </c>
      <c r="F23" s="100">
        <f>'Baseline NFPC'!F23</f>
        <v>4.5722800000000001</v>
      </c>
      <c r="G23" s="34">
        <f t="shared" ref="G23:T23" si="0">100*(G22/F22-1)</f>
        <v>4.515197999999998</v>
      </c>
      <c r="H23" s="34">
        <f t="shared" si="0"/>
        <v>4.5879578676851773</v>
      </c>
      <c r="I23" s="34">
        <f t="shared" si="0"/>
        <v>4.6481695004620516</v>
      </c>
      <c r="J23" s="34">
        <f t="shared" si="0"/>
        <v>4.6051556333416954</v>
      </c>
      <c r="K23" s="34">
        <f t="shared" si="0"/>
        <v>4.9018155121042906</v>
      </c>
      <c r="L23" s="34">
        <f t="shared" si="0"/>
        <v>4.8067468174162853</v>
      </c>
      <c r="M23" s="34">
        <f t="shared" si="0"/>
        <v>4.6493975148321764</v>
      </c>
      <c r="N23" s="34">
        <f t="shared" si="0"/>
        <v>4.1701290000000002</v>
      </c>
      <c r="O23" s="34">
        <f t="shared" si="0"/>
        <v>4.1159240000000041</v>
      </c>
      <c r="P23" s="34">
        <f t="shared" si="0"/>
        <v>3.776726000000008</v>
      </c>
      <c r="Q23" s="34">
        <f t="shared" si="0"/>
        <v>3.4375260000000019</v>
      </c>
      <c r="R23" s="34">
        <f t="shared" si="0"/>
        <v>3.0983320000000036</v>
      </c>
      <c r="S23" s="34">
        <f t="shared" si="0"/>
        <v>2.9864270000000026</v>
      </c>
      <c r="T23" s="34">
        <f t="shared" si="0"/>
        <v>2.8457959999999893</v>
      </c>
      <c r="U23" s="34">
        <f t="shared" ref="U23" si="1">100*(U22/T22-1)</f>
        <v>2.6784659999999905</v>
      </c>
      <c r="V23" s="34">
        <f t="shared" ref="V23" si="2">100*(V22/U22-1)</f>
        <v>2.5182220000000033</v>
      </c>
      <c r="W23" s="34">
        <f t="shared" ref="W23" si="3">100*(W22/V22-1)</f>
        <v>2.3694349999999975</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5.25" customHeight="1" x14ac:dyDescent="0.2">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row>
    <row r="25" spans="1:50" ht="15" x14ac:dyDescent="0.2">
      <c r="A25" s="224"/>
      <c r="B25" s="30" t="s">
        <v>90</v>
      </c>
      <c r="C25" s="223"/>
      <c r="D25" s="223"/>
      <c r="E25" s="223"/>
      <c r="F25" s="223"/>
    </row>
    <row r="26" spans="1:50" x14ac:dyDescent="0.2">
      <c r="B26" s="26" t="s">
        <v>61</v>
      </c>
      <c r="C26" s="34">
        <f>'Input data'!C34</f>
        <v>13.87421</v>
      </c>
      <c r="D26" s="100">
        <f>+C26*(1+'Input data'!D33/100)</f>
        <v>14.7986955071298</v>
      </c>
      <c r="E26" s="100">
        <f>+D26*(1+'Input data'!E33/100)</f>
        <v>15.554359963927773</v>
      </c>
      <c r="F26" s="100">
        <f>+E26*(1+'Input data'!F33/100)</f>
        <v>16.319408002671945</v>
      </c>
      <c r="G26" s="34">
        <f>+F26*(1+'Input data'!G33/100)</f>
        <v>17.114010422743164</v>
      </c>
      <c r="H26" s="34">
        <f>+G26*(1+'Input data'!H33/100)</f>
        <v>17.914487112768004</v>
      </c>
      <c r="I26" s="34">
        <f>+H26*(1+'Input data'!I33/100)</f>
        <v>18.757799770040062</v>
      </c>
      <c r="J26" s="34">
        <f>+I26*(1+'Input data'!J33/100)</f>
        <v>19.629038606509173</v>
      </c>
      <c r="K26" s="34">
        <f>+J26*(1+'Input data'!K33/100)</f>
        <v>20.531617526486727</v>
      </c>
      <c r="L26" s="34">
        <f>+K26*(1+'Input data'!L33/100)</f>
        <v>21.456415783349957</v>
      </c>
      <c r="M26" s="34">
        <f>+L26*(1+'Input data'!M33/100)</f>
        <v>22.389391807879576</v>
      </c>
      <c r="N26" s="34">
        <f>+M26*(1+'Input data'!N33/100)</f>
        <v>23.323057433007914</v>
      </c>
      <c r="O26" s="34">
        <f>+N26*(1+'Input data'!O33/100)</f>
        <v>24.283016284965722</v>
      </c>
      <c r="P26" s="34">
        <f>+O26*(1+'Input data'!P33/100)</f>
        <v>25.20011878892393</v>
      </c>
      <c r="Q26" s="34">
        <f>+P26*(1+'Input data'!Q33/100)</f>
        <v>26.066379424324076</v>
      </c>
      <c r="R26" s="34">
        <f>+Q26*(1+'Input data'!R33/100)</f>
        <v>26.874001617277941</v>
      </c>
      <c r="S26" s="34">
        <f>+R26*(1+'Input data'!S33/100)</f>
        <v>27.676573251336716</v>
      </c>
      <c r="T26" s="34">
        <f>+S26*(1+'Input data'!T33/100)</f>
        <v>28.46419234262606</v>
      </c>
      <c r="U26" s="34">
        <f>+T26*(1+'Input data'!U33/100)</f>
        <v>29.226596625981749</v>
      </c>
      <c r="V26" s="34">
        <f>+U26*(1+'Input data'!V33/100)</f>
        <v>29.962588088866379</v>
      </c>
      <c r="W26" s="34">
        <f>+V26*(1+'Input data'!W33/100)</f>
        <v>30.672532737201575</v>
      </c>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row>
    <row r="27" spans="1:50" ht="5.25" customHeight="1" x14ac:dyDescent="0.2">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x14ac:dyDescent="0.2">
      <c r="B28" s="30" t="s">
        <v>91</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26" t="s">
        <v>91</v>
      </c>
      <c r="C29" s="34">
        <f>100*(C22/C26-1)</f>
        <v>-1.7994538067392707</v>
      </c>
      <c r="D29" s="100">
        <f t="shared" ref="D29:T29" si="4">100*(D22/D26-1)</f>
        <v>-0.49927083711334141</v>
      </c>
      <c r="E29" s="100">
        <f t="shared" si="4"/>
        <v>-1.8709186920573551E-2</v>
      </c>
      <c r="F29" s="100">
        <f t="shared" si="4"/>
        <v>-0.34867870767660847</v>
      </c>
      <c r="G29" s="34">
        <f t="shared" si="4"/>
        <v>-0.68493816413964792</v>
      </c>
      <c r="H29" s="34">
        <f t="shared" si="4"/>
        <v>-0.76972068661990134</v>
      </c>
      <c r="I29" s="34">
        <f t="shared" si="4"/>
        <v>-0.82588511179831903</v>
      </c>
      <c r="J29" s="34">
        <f t="shared" si="4"/>
        <v>-0.86333850547822832</v>
      </c>
      <c r="K29" s="34">
        <f t="shared" si="4"/>
        <v>-0.57555900365212631</v>
      </c>
      <c r="L29" s="34">
        <f t="shared" si="4"/>
        <v>-0.28777950182609091</v>
      </c>
      <c r="M29" s="34">
        <f t="shared" si="4"/>
        <v>0</v>
      </c>
      <c r="N29" s="34">
        <f t="shared" si="4"/>
        <v>3.8398725310528903E-6</v>
      </c>
      <c r="O29" s="34">
        <f t="shared" si="4"/>
        <v>5.7608083858795567E-6</v>
      </c>
      <c r="P29" s="34">
        <f t="shared" si="4"/>
        <v>7.6880229293863067E-6</v>
      </c>
      <c r="Q29" s="34">
        <f t="shared" si="4"/>
        <v>7.6880229515907672E-6</v>
      </c>
      <c r="R29" s="34">
        <f t="shared" si="4"/>
        <v>1.0597866650918775E-5</v>
      </c>
      <c r="S29" s="34">
        <f t="shared" si="4"/>
        <v>1.3510872287625375E-5</v>
      </c>
      <c r="T29" s="34">
        <f t="shared" si="4"/>
        <v>1.2538542648599105E-5</v>
      </c>
      <c r="U29" s="34">
        <f t="shared" ref="U29:W29" si="5">100*(U22/U26-1)</f>
        <v>1.0590714349945074E-5</v>
      </c>
      <c r="V29" s="34">
        <f t="shared" si="5"/>
        <v>7.6644050883700743E-6</v>
      </c>
      <c r="W29" s="34">
        <f t="shared" si="5"/>
        <v>5.7106968043285633E-6</v>
      </c>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ht="5.25" customHeight="1" x14ac:dyDescent="0.2">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x14ac:dyDescent="0.2">
      <c r="B31" s="30" t="s">
        <v>92</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26" t="s">
        <v>60</v>
      </c>
      <c r="C32" s="1">
        <f t="shared" ref="C32:W32" si="6">100*((1+C23/100)*(1+C41/100)-1)</f>
        <v>14.7701393577935</v>
      </c>
      <c r="D32" s="2">
        <f t="shared" si="6"/>
        <v>13.761933721019993</v>
      </c>
      <c r="E32" s="2">
        <f t="shared" si="6"/>
        <v>11.183598899764146</v>
      </c>
      <c r="F32" s="2">
        <f t="shared" si="6"/>
        <v>8.3811611205204084</v>
      </c>
      <c r="G32" s="1">
        <f t="shared" si="6"/>
        <v>7.1635200987937742</v>
      </c>
      <c r="H32" s="1">
        <f t="shared" si="6"/>
        <v>7.2402270313374872</v>
      </c>
      <c r="I32" s="1">
        <f t="shared" si="6"/>
        <v>7.3040701897306493</v>
      </c>
      <c r="J32" s="1">
        <f t="shared" si="6"/>
        <v>7.2620683998107616</v>
      </c>
      <c r="K32" s="1">
        <f t="shared" si="6"/>
        <v>7.5683729811140799</v>
      </c>
      <c r="L32" s="1">
        <f t="shared" si="6"/>
        <v>7.4729954771996177</v>
      </c>
      <c r="M32" s="1">
        <f t="shared" si="6"/>
        <v>7.3137478910688669</v>
      </c>
      <c r="N32" s="1">
        <f t="shared" si="6"/>
        <v>6.8243722979931531</v>
      </c>
      <c r="O32" s="1">
        <f t="shared" si="6"/>
        <v>6.7708800620000176</v>
      </c>
      <c r="P32" s="1">
        <f t="shared" si="6"/>
        <v>6.3944939133500078</v>
      </c>
      <c r="Q32" s="1">
        <f t="shared" si="6"/>
        <v>6.01829227370001</v>
      </c>
      <c r="R32" s="1">
        <f t="shared" si="6"/>
        <v>5.6422833420999963</v>
      </c>
      <c r="S32" s="1">
        <f t="shared" si="6"/>
        <v>5.4992958187999985</v>
      </c>
      <c r="T32" s="1">
        <f t="shared" si="6"/>
        <v>5.3269508284999878</v>
      </c>
      <c r="U32" s="1">
        <f t="shared" si="6"/>
        <v>5.127347414099992</v>
      </c>
      <c r="V32" s="1">
        <f t="shared" si="6"/>
        <v>4.9350890836499905</v>
      </c>
      <c r="W32" s="1">
        <f t="shared" si="6"/>
        <v>4.7546428355000003</v>
      </c>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4" spans="2:51" x14ac:dyDescent="0.2">
      <c r="B34" s="28" t="s">
        <v>141</v>
      </c>
    </row>
    <row r="35" spans="2:51" x14ac:dyDescent="0.2">
      <c r="B35" s="26" t="s">
        <v>63</v>
      </c>
      <c r="C35" s="34">
        <f>'Input data'!C37</f>
        <v>2.4089399999999999</v>
      </c>
      <c r="D35" s="100">
        <f>'Input data'!D37</f>
        <v>1.9834700000000001</v>
      </c>
      <c r="E35" s="100">
        <f>'Input data'!E37</f>
        <v>2.3767499999999999</v>
      </c>
      <c r="F35" s="100">
        <f>'Input data'!F37</f>
        <v>2.7490950000000001</v>
      </c>
      <c r="G35" s="100">
        <f>'Input data'!G37</f>
        <v>2.7383609999999998</v>
      </c>
      <c r="H35" s="34">
        <f>H92</f>
        <v>2.8292956231126509</v>
      </c>
      <c r="I35" s="34">
        <f t="shared" ref="I35:W35" si="7">I92</f>
        <v>2.9128598255268852</v>
      </c>
      <c r="J35" s="34">
        <f t="shared" si="7"/>
        <v>2.9910327888273525</v>
      </c>
      <c r="K35" s="34">
        <f>K92</f>
        <v>3.2961777852470751</v>
      </c>
      <c r="L35" s="34">
        <f t="shared" si="7"/>
        <v>3.2215482237943336</v>
      </c>
      <c r="M35" s="34">
        <f t="shared" si="7"/>
        <v>3.2838771624157137</v>
      </c>
      <c r="N35" s="34">
        <f t="shared" si="7"/>
        <v>3.3461031260019909</v>
      </c>
      <c r="O35" s="34">
        <f t="shared" si="7"/>
        <v>3.4098090190703942</v>
      </c>
      <c r="P35" s="34">
        <f t="shared" si="7"/>
        <v>3.463447478183832</v>
      </c>
      <c r="Q35" s="34">
        <f t="shared" si="7"/>
        <v>3.5103133136957636</v>
      </c>
      <c r="R35" s="34">
        <f t="shared" si="7"/>
        <v>3.5511555443801086</v>
      </c>
      <c r="S35" s="34">
        <f t="shared" si="7"/>
        <v>3.586617387025739</v>
      </c>
      <c r="T35" s="34">
        <f t="shared" si="7"/>
        <v>3.6172471816619614</v>
      </c>
      <c r="U35" s="34">
        <f t="shared" si="7"/>
        <v>3.6435192323264562</v>
      </c>
      <c r="V35" s="34">
        <f t="shared" si="7"/>
        <v>3.6658953634248093</v>
      </c>
      <c r="W35" s="34">
        <f t="shared" si="7"/>
        <v>3.6847868076534667</v>
      </c>
    </row>
    <row r="36" spans="2:51" x14ac:dyDescent="0.2">
      <c r="B36" s="32" t="s">
        <v>94</v>
      </c>
      <c r="C36" s="1"/>
      <c r="D36" s="2">
        <f>'Input data'!D$39</f>
        <v>2.41</v>
      </c>
      <c r="E36" s="2">
        <f>'Input data'!E$39</f>
        <v>3.71</v>
      </c>
      <c r="F36" s="166">
        <f>'Input data'!F$39</f>
        <v>3.4970020000000002</v>
      </c>
      <c r="G36" s="166">
        <f>'Input data'!G$39</f>
        <v>3.5053580000000002</v>
      </c>
      <c r="H36" s="1">
        <f>G36+($O$36-$G$36)/($O$10-$G$10)</f>
        <v>3.5849320000000002</v>
      </c>
      <c r="I36" s="1">
        <f t="shared" ref="I36:J36" si="8">H36+($O$36-$G$36)/($O$10-$G$10)</f>
        <v>3.6645060000000003</v>
      </c>
      <c r="J36" s="1">
        <f t="shared" si="8"/>
        <v>3.7440800000000003</v>
      </c>
      <c r="K36" s="1">
        <f>IF('Criteria results'!$F$5=4,IF(J56&gt;90,G36+('Input data'!$C$52-$G$36)/($O$10-$G$10)*(K10-$G$10)+1+0.06*(J56-90),G36+('Input data'!$C$52-$G$36)/($O$10-$G$10)*(K10-$G$10)+1),G36+('Input data'!$C$52-$G$36)/($O$10-$G$10)*(K10-$G$10))</f>
        <v>4.8236539999999994</v>
      </c>
      <c r="L36" s="1">
        <f>$G$36+('Input data'!$C$52-$G$36)/($O$10-$G$10)*(L10-$G$10)</f>
        <v>3.9032279999999999</v>
      </c>
      <c r="M36" s="1">
        <f>$G$36+('Input data'!$C$52-$G$36)/($O$10-$G$10)*(M10-$G$10)</f>
        <v>3.9828019999999995</v>
      </c>
      <c r="N36" s="1">
        <f>IF('Criteria results'!$F$5=7,IF(M56&gt;90,G36+('Input data'!$C$52-$G$36)/($O$10-$G$10)*(N10-$G$10)+1+0.06*(M56-90),G36+('Input data'!$C$52-$G$36)/($O$10-$G$10)*(N10-$G$10)+1),G36+('Input data'!$C$52-$G$36)/($O$10-$G$10)*(N10-$G$10))</f>
        <v>4.0623759999999995</v>
      </c>
      <c r="O36" s="252">
        <f>'Baseline NFPC'!O36</f>
        <v>4.1419499999999996</v>
      </c>
      <c r="P36" s="1">
        <f>'Baseline NFPC'!P36</f>
        <v>4.1348524999999992</v>
      </c>
      <c r="Q36" s="1">
        <f>'Baseline NFPC'!Q36</f>
        <v>4.1277549999999996</v>
      </c>
      <c r="R36" s="1">
        <f>'Baseline NFPC'!R36</f>
        <v>4.1206575000000001</v>
      </c>
      <c r="S36" s="1">
        <f>'Baseline NFPC'!S36</f>
        <v>4.1135599999999997</v>
      </c>
      <c r="T36" s="1">
        <f>'Baseline NFPC'!T36</f>
        <v>4.1064624999999992</v>
      </c>
      <c r="U36" s="1">
        <f>'Baseline NFPC'!U36</f>
        <v>4.0993649999999997</v>
      </c>
      <c r="V36" s="1">
        <f>'Baseline NFPC'!V36</f>
        <v>4.0922675000000002</v>
      </c>
      <c r="W36" s="1">
        <f>'Baseline NFPC'!W36</f>
        <v>4.0851699999999997</v>
      </c>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60"/>
    </row>
    <row r="37" spans="2:51" x14ac:dyDescent="0.2">
      <c r="B37" s="32" t="s">
        <v>95</v>
      </c>
      <c r="C37" s="1"/>
      <c r="D37" s="2">
        <f>'Input data'!D$38</f>
        <v>0.35</v>
      </c>
      <c r="E37" s="2">
        <f>'Input data'!E$38</f>
        <v>3.43</v>
      </c>
      <c r="F37" s="166">
        <f>'Input data'!F$38</f>
        <v>3.5642079999999998</v>
      </c>
      <c r="G37" s="166">
        <f>'Input data'!G$38</f>
        <v>2.8163749999999999</v>
      </c>
      <c r="H37" s="1">
        <f>G37+($O$37-$G$37)/($O$10-$G$10)</f>
        <v>2.8050893749999997</v>
      </c>
      <c r="I37" s="1">
        <f t="shared" ref="I37:J37" si="9">H37+($O$37-$G$37)/($O$10-$G$10)</f>
        <v>2.7938037499999995</v>
      </c>
      <c r="J37" s="1">
        <f t="shared" si="9"/>
        <v>2.7825181249999993</v>
      </c>
      <c r="K37" s="1">
        <f>IF('Criteria results'!$F$5=4,IF(J56&gt;90,G37+('Input data'!$C$53-$G$37)/($O$10-$G$10)*(K10-$G$10)+1+0.06*(J56-90),G37+('Input data'!$C$53-$G$37)/($O$10-$G$10)*(K10-$G$10)+1),G37+('Input data'!$C$53-$G$37)/($O$10-$G$10)*(K10-$G$10))</f>
        <v>3.7712325</v>
      </c>
      <c r="L37" s="1">
        <f>$G$37+('Input data'!$C$53-$G$37)/($O$10-$G$10)*(L10-$G$10)</f>
        <v>2.7599468749999998</v>
      </c>
      <c r="M37" s="1">
        <f>$G$37+('Input data'!$C$53-$G$37)/($O$10-$G$10)*(M10-$G$10)</f>
        <v>2.7486612500000001</v>
      </c>
      <c r="N37" s="1">
        <f>IF('Criteria results'!$F$5=7,IF(M56&gt;90,G37+('Input data'!$C$53-$G$37)/($O$10-$G$10)*(N10-$G$10)+1+0.06*(M56-90),G37+('Input data'!$C$53-$G$37)/($O$10-$G$10)*(N10-$G$10)+1),G37+('Input data'!$C$53-$G$37)/($O$10-$G$10)*(N10-$G$10))</f>
        <v>2.7373756250000003</v>
      </c>
      <c r="O37" s="252">
        <f>'Baseline NFPC'!O37</f>
        <v>2.7260900000000001</v>
      </c>
      <c r="P37" s="1">
        <f>'Baseline NFPC'!P37</f>
        <v>2.6897855000000002</v>
      </c>
      <c r="Q37" s="1">
        <f>'Baseline NFPC'!Q37</f>
        <v>2.6534810000000002</v>
      </c>
      <c r="R37" s="1">
        <f>'Baseline NFPC'!R37</f>
        <v>2.6171765000000002</v>
      </c>
      <c r="S37" s="1">
        <f>'Baseline NFPC'!S37</f>
        <v>2.5808720000000003</v>
      </c>
      <c r="T37" s="1">
        <f>'Baseline NFPC'!T37</f>
        <v>2.5445675000000003</v>
      </c>
      <c r="U37" s="1">
        <f>'Baseline NFPC'!U37</f>
        <v>2.5082629999999999</v>
      </c>
      <c r="V37" s="1">
        <f>'Baseline NFPC'!V37</f>
        <v>2.4719584999999999</v>
      </c>
      <c r="W37" s="1">
        <f>'Baseline NFPC'!W37</f>
        <v>2.435654</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s="5" customFormat="1" ht="12.75" x14ac:dyDescent="0.2">
      <c r="B38" s="26" t="s">
        <v>96</v>
      </c>
      <c r="C38" s="34">
        <f>'Baseline NFPC'!C38</f>
        <v>8.1903229999999994E-2</v>
      </c>
      <c r="D38" s="34">
        <f>'Baseline NFPC'!D38</f>
        <v>1E-3</v>
      </c>
      <c r="E38" s="34">
        <f>'Baseline NFPC'!E38</f>
        <v>4.9018890000000002E-2</v>
      </c>
      <c r="F38" s="34">
        <f>'Baseline NFPC'!F38</f>
        <v>4.7479519999999997E-2</v>
      </c>
      <c r="G38" s="34">
        <f>'Baseline NFPC'!G38</f>
        <v>4.8981602222222219E-2</v>
      </c>
      <c r="H38" s="34">
        <f>'Baseline NFPC'!H38</f>
        <v>5.048368444444444E-2</v>
      </c>
      <c r="I38" s="34">
        <f>'Baseline NFPC'!I38</f>
        <v>5.1985766666666662E-2</v>
      </c>
      <c r="J38" s="34">
        <f>'Baseline NFPC'!J38</f>
        <v>5.3487848888888884E-2</v>
      </c>
      <c r="K38" s="34">
        <f>'Baseline NFPC'!K38</f>
        <v>5.4989931111111112E-2</v>
      </c>
      <c r="L38" s="34">
        <f>'Baseline NFPC'!L38</f>
        <v>5.6492013333333334E-2</v>
      </c>
      <c r="M38" s="34">
        <f>'Baseline NFPC'!M38</f>
        <v>5.7994095555555555E-2</v>
      </c>
      <c r="N38" s="34">
        <f>'Baseline NFPC'!N38</f>
        <v>5.9496177777777777E-2</v>
      </c>
      <c r="O38" s="34">
        <f>'Baseline NFPC'!O38</f>
        <v>6.0998259999999999E-2</v>
      </c>
      <c r="P38" s="34">
        <f>'Baseline NFPC'!P38</f>
        <v>6.0998259999999999E-2</v>
      </c>
      <c r="Q38" s="34">
        <f>'Baseline NFPC'!Q38</f>
        <v>6.0998259999999999E-2</v>
      </c>
      <c r="R38" s="34">
        <f>'Baseline NFPC'!R38</f>
        <v>6.0998259999999999E-2</v>
      </c>
      <c r="S38" s="34">
        <f>'Baseline NFPC'!S38</f>
        <v>6.0998259999999999E-2</v>
      </c>
      <c r="T38" s="34">
        <f>'Baseline NFPC'!T38</f>
        <v>6.0998259999999999E-2</v>
      </c>
      <c r="U38" s="34">
        <f>'Baseline NFPC'!U38</f>
        <v>6.0998259999999999E-2</v>
      </c>
      <c r="V38" s="34">
        <f>'Baseline NFPC'!V38</f>
        <v>6.0998259999999999E-2</v>
      </c>
      <c r="W38" s="34">
        <f>'Baseline NFPC'!W38</f>
        <v>6.0998259999999999E-2</v>
      </c>
    </row>
    <row r="39" spans="2:51" x14ac:dyDescent="0.2">
      <c r="C39" s="1"/>
      <c r="D39" s="1"/>
      <c r="E39" s="1"/>
      <c r="F39" s="1"/>
      <c r="G39" s="99"/>
      <c r="H39" s="99"/>
      <c r="I39" s="99"/>
      <c r="J39" s="99"/>
      <c r="K39" s="99"/>
      <c r="L39" s="99"/>
      <c r="M39" s="99"/>
      <c r="N39" s="99"/>
      <c r="O39" s="1"/>
      <c r="P39" s="1"/>
      <c r="Q39" s="1"/>
      <c r="R39" s="1"/>
      <c r="S39" s="1"/>
      <c r="T39" s="1"/>
      <c r="U39" s="1"/>
      <c r="V39" s="1"/>
      <c r="W39" s="1"/>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60"/>
    </row>
    <row r="40" spans="2:51" x14ac:dyDescent="0.2">
      <c r="B40" s="28" t="s">
        <v>97</v>
      </c>
      <c r="C40" s="1"/>
      <c r="D40" s="1"/>
      <c r="E40" s="1"/>
      <c r="F40" s="1"/>
      <c r="G40" s="99"/>
      <c r="H40" s="99"/>
      <c r="I40" s="99"/>
      <c r="J40" s="99"/>
      <c r="K40" s="99"/>
      <c r="L40" s="99"/>
      <c r="M40" s="99"/>
      <c r="N40" s="99"/>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6" t="s">
        <v>142</v>
      </c>
      <c r="C41" s="1">
        <f>'Input data'!C42</f>
        <v>2.0052530000000002</v>
      </c>
      <c r="D41" s="2">
        <f>'Input data'!D42</f>
        <v>5.2614710000000002</v>
      </c>
      <c r="E41" s="2">
        <f>'Input data'!E42</f>
        <v>5.2736159999999996</v>
      </c>
      <c r="F41" s="2">
        <f>'Input data'!F42</f>
        <v>3.6423429999999999</v>
      </c>
      <c r="G41" s="2">
        <f>'Input data'!G42</f>
        <v>2.5339109999999998</v>
      </c>
      <c r="H41" s="1">
        <f>'Baseline NFPC'!H41</f>
        <v>2.5359221249999999</v>
      </c>
      <c r="I41" s="1">
        <f>'Baseline NFPC'!I41</f>
        <v>2.53793325</v>
      </c>
      <c r="J41" s="1">
        <f>'Baseline NFPC'!J41</f>
        <v>2.5399443749999997</v>
      </c>
      <c r="K41" s="1">
        <f>'Baseline NFPC'!K41</f>
        <v>2.5419554999999998</v>
      </c>
      <c r="L41" s="1">
        <f>'Baseline NFPC'!L41</f>
        <v>2.5439666249999999</v>
      </c>
      <c r="M41" s="1">
        <f>'Baseline NFPC'!M41</f>
        <v>2.5459777499999996</v>
      </c>
      <c r="N41" s="1">
        <f>'Baseline NFPC'!N41</f>
        <v>2.5479888749999997</v>
      </c>
      <c r="O41" s="252">
        <f>'Baseline NFPC'!O41</f>
        <v>2.5499999999999998</v>
      </c>
      <c r="P41" s="1">
        <f>'Baseline NFPC'!P41</f>
        <v>2.5225</v>
      </c>
      <c r="Q41" s="1">
        <f>'Baseline NFPC'!Q41</f>
        <v>2.4949999999999997</v>
      </c>
      <c r="R41" s="1">
        <f>'Baseline NFPC'!R41</f>
        <v>2.4674999999999998</v>
      </c>
      <c r="S41" s="1">
        <f>'Baseline NFPC'!S41</f>
        <v>2.44</v>
      </c>
      <c r="T41" s="1">
        <f>'Baseline NFPC'!T41</f>
        <v>2.4124999999999996</v>
      </c>
      <c r="U41" s="1">
        <f>'Baseline NFPC'!U41</f>
        <v>2.3849999999999998</v>
      </c>
      <c r="V41" s="1">
        <f>'Baseline NFPC'!V41</f>
        <v>2.3574999999999999</v>
      </c>
      <c r="W41" s="1">
        <f>'Baseline NFPC'!W41</f>
        <v>2.33</v>
      </c>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98</v>
      </c>
      <c r="C42" s="1">
        <f>'Baseline NFPC'!C42</f>
        <v>1</v>
      </c>
      <c r="D42" s="1">
        <f>'Baseline NFPC'!D42</f>
        <v>1</v>
      </c>
      <c r="E42" s="1">
        <f>'Baseline NFPC'!E42</f>
        <v>1</v>
      </c>
      <c r="F42" s="1">
        <f>'Baseline NFPC'!F42</f>
        <v>1</v>
      </c>
      <c r="G42" s="1">
        <f>'Baseline NFPC'!G42</f>
        <v>0.99999990000000005</v>
      </c>
      <c r="H42" s="1">
        <f>'Baseline NFPC'!H42</f>
        <v>1</v>
      </c>
      <c r="I42" s="1">
        <f>'Baseline NFPC'!I42</f>
        <v>1</v>
      </c>
      <c r="J42" s="1">
        <f>'Baseline NFPC'!J42</f>
        <v>1</v>
      </c>
      <c r="K42" s="1">
        <f>'Baseline NFPC'!K42</f>
        <v>1</v>
      </c>
      <c r="L42" s="1">
        <f>'Baseline NFPC'!L42</f>
        <v>1</v>
      </c>
      <c r="M42" s="1">
        <f>'Baseline NFPC'!M42</f>
        <v>1</v>
      </c>
      <c r="N42" s="1">
        <f>'Baseline NFPC'!N42</f>
        <v>1</v>
      </c>
      <c r="O42" s="1">
        <f>'Baseline NFPC'!O42</f>
        <v>1</v>
      </c>
      <c r="P42" s="1">
        <f>'Baseline NFPC'!P42</f>
        <v>1</v>
      </c>
      <c r="Q42" s="1">
        <f>'Baseline NFPC'!Q42</f>
        <v>1</v>
      </c>
      <c r="R42" s="1">
        <f>'Baseline NFPC'!R42</f>
        <v>1</v>
      </c>
      <c r="S42" s="1">
        <f>'Baseline NFPC'!S42</f>
        <v>1</v>
      </c>
      <c r="T42" s="1">
        <f>'Baseline NFPC'!T42</f>
        <v>1</v>
      </c>
      <c r="U42" s="1">
        <f>'Baseline NFPC'!U42</f>
        <v>1</v>
      </c>
      <c r="V42" s="1">
        <f>'Baseline NFPC'!V42</f>
        <v>1</v>
      </c>
      <c r="W42" s="1">
        <f>'Baseline NFPC'!W42</f>
        <v>1</v>
      </c>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0"/>
    </row>
    <row r="43" spans="2:51" x14ac:dyDescent="0.2">
      <c r="C43" s="36"/>
    </row>
    <row r="44" spans="2:51" s="67" customFormat="1" ht="12.75" x14ac:dyDescent="0.2">
      <c r="B44" s="75" t="s">
        <v>99</v>
      </c>
      <c r="C44" s="68"/>
    </row>
    <row r="45" spans="2:51" x14ac:dyDescent="0.2">
      <c r="C45" s="36"/>
    </row>
    <row r="46" spans="2:51" x14ac:dyDescent="0.2">
      <c r="B46" s="54" t="s">
        <v>68</v>
      </c>
      <c r="C46" s="55">
        <f>'Input data'!C49</f>
        <v>0.75</v>
      </c>
    </row>
    <row r="47" spans="2:51" x14ac:dyDescent="0.2">
      <c r="B47" s="56" t="s">
        <v>258</v>
      </c>
      <c r="C47" s="57">
        <f>'Input data'!C50</f>
        <v>0.47899999999999998</v>
      </c>
    </row>
    <row r="48" spans="2:51" x14ac:dyDescent="0.2">
      <c r="C48" s="58"/>
    </row>
    <row r="49" spans="2:48" outlineLevel="1" x14ac:dyDescent="0.2">
      <c r="B49" s="26" t="s">
        <v>100</v>
      </c>
      <c r="C49" s="34">
        <v>0</v>
      </c>
      <c r="D49" s="34">
        <f>IF(AND(ABS((D12-C12)-('Input data'!D13-'Input data'!C13))&gt;0.0001,ABS(D12-C12)&gt;0.0001,D$10&gt;$C$5),4,IF(C49=4,3,IF(C49=3,2,IF(C49=2,1,0))))</f>
        <v>0</v>
      </c>
      <c r="E49" s="34">
        <f>IF(AND(ABS((E12-D12)-('Input data'!E13-'Input data'!D13))&gt;0.0001,ABS(E12-D12)&gt;0.0001,E$10&gt;$C$5),4,IF(D49=4,3,IF(D49=3,2,IF(D49=2,1,0))))</f>
        <v>0</v>
      </c>
      <c r="F49" s="34">
        <f>IF(AND(ABS((F12-E12)-('Input data'!F13-'Input data'!E13))&gt;0.0001,ABS(F12-E12)&gt;0.0001,F$10&gt;$C$5),4,IF(E49=4,3,IF(E49=3,2,IF(E49=2,1,0))))</f>
        <v>0</v>
      </c>
      <c r="G49" s="34">
        <f>IF(AND(ABS((G12-F12)-('Input data'!G13-'Input data'!F13))&gt;0.0001,ABS(G12-F12)&gt;0.0001,G$10&gt;$C$5),4,IF(F49=4,3,IF(F49=3,2,IF(F49=2,1,0))))</f>
        <v>4</v>
      </c>
      <c r="H49" s="34">
        <f>IF(AND(ABS((H12-G12)-('Input data'!H13-'Input data'!G13))&gt;0.0001,ABS(H12-G12)&gt;0.0001,H$10&gt;$C$5),4,IF(G49=4,3,IF(G49=3,2,IF(G49=2,1,0))))</f>
        <v>4</v>
      </c>
      <c r="I49" s="34">
        <f>IF(AND(ABS((I12-H12)-('Input data'!I13-'Input data'!H13))&gt;0.0001,ABS(I12-H12)&gt;0.0001,I$10&gt;$C$5),4,IF(H49=4,3,IF(H49=3,2,IF(H49=2,1,0))))</f>
        <v>4</v>
      </c>
      <c r="J49" s="34">
        <f>IF(AND(ABS((J12-I12)-('Input data'!J13-'Input data'!I13))&gt;0.0001,ABS(J12-I12)&gt;0.0001,J$10&gt;$C$5),4,IF(I49=4,3,IF(I49=3,2,IF(I49=2,1,0))))</f>
        <v>4</v>
      </c>
      <c r="K49" s="34">
        <f>IF(AND(ABS((K12-J12)-('Input data'!K13-'Input data'!J13))&gt;0.0001,ABS(K12-J12)&gt;0.0001,K$10&gt;$C$5),4,IF(J49=4,3,IF(J49=3,2,IF(J49=2,1,0))))</f>
        <v>3</v>
      </c>
      <c r="L49" s="34">
        <f>IF(AND(ABS((L12-K12)-('Input data'!L13-'Input data'!K13))&gt;0.0001,ABS(L12-K12)&gt;0.0001,L$10&gt;$C$5),4,IF(K49=4,3,IF(K49=3,2,IF(K49=2,1,0))))</f>
        <v>2</v>
      </c>
      <c r="M49" s="34">
        <f>IF(AND(ABS((M12-L12)-('Input data'!M13-'Input data'!L13))&gt;0.0001,ABS(M12-L12)&gt;0.0001,M$10&gt;$C$5),4,IF(L49=4,3,IF(L49=3,2,IF(L49=2,1,0))))</f>
        <v>1</v>
      </c>
      <c r="N49" s="34">
        <f>IF(AND(ABS((N12-M12)-('Input data'!N13-'Input data'!M13))&gt;0.0001,ABS(N12-M12)&gt;0.0001,N$10&gt;$C$5),4,IF(M49=4,3,IF(M49=3,2,IF(M49=2,1,0))))</f>
        <v>0</v>
      </c>
      <c r="O49" s="34">
        <f>IF(AND(ABS((O12-N12)-('Input data'!O13-'Input data'!N13))&gt;0.0001,ABS(O12-N12)&gt;0.0001,O$10&gt;$C$5),4,IF(N49=4,3,IF(N49=3,2,IF(N49=2,1,0))))</f>
        <v>0</v>
      </c>
      <c r="P49" s="34">
        <f>IF(AND(ABS((P12-O12)-('Input data'!P13-'Input data'!O13))&gt;0.0001,ABS(P12-O12)&gt;0.0001,P$10&gt;$C$5),4,IF(O49=4,3,IF(O49=3,2,IF(O49=2,1,0))))</f>
        <v>0</v>
      </c>
      <c r="Q49" s="34">
        <f>IF(AND(ABS((Q12-P12)-('Input data'!Q13-'Input data'!P13))&gt;0.0001,ABS(Q12-P12)&gt;0.0001,Q$10&gt;$C$5),4,IF(P49=4,3,IF(P49=3,2,IF(P49=2,1,0))))</f>
        <v>0</v>
      </c>
      <c r="R49" s="34">
        <f>IF(AND(ABS((R12-Q12)-('Input data'!R13-'Input data'!Q13))&gt;0.0001,ABS(R12-Q12)&gt;0.0001,R$10&gt;$C$5),4,IF(Q49=4,3,IF(Q49=3,2,IF(Q49=2,1,0))))</f>
        <v>0</v>
      </c>
      <c r="S49" s="34">
        <f>IF(AND(ABS((S12-R12)-('Input data'!S13-'Input data'!R13))&gt;0.0001,ABS(S12-R12)&gt;0.0001,S$10&gt;$C$5),4,IF(R49=4,3,IF(R49=3,2,IF(R49=2,1,0))))</f>
        <v>0</v>
      </c>
      <c r="T49" s="34">
        <f>IF(AND(ABS((T12-S12)-('Input data'!T13-'Input data'!S13))&gt;0.0001,ABS(T12-S12)&gt;0.0001,T$10&gt;$C$5),4,IF(S49=4,3,IF(S49=3,2,IF(S49=2,1,0))))</f>
        <v>0</v>
      </c>
      <c r="U49" s="34">
        <f>IF(AND(ABS((U12-T12)-('Input data'!U13-'Input data'!T13))&gt;0.0001,ABS(U12-T12)&gt;0.0001,U$10&gt;$C$5),4,IF(T49=4,3,IF(T49=3,2,IF(T49=2,1,0))))</f>
        <v>0</v>
      </c>
      <c r="V49" s="34">
        <f>IF(AND(ABS((V12-U12)-('Input data'!V13-'Input data'!U13))&gt;0.0001,ABS(V12-U12)&gt;0.0001,V$10&gt;$C$5),4,IF(U49=4,3,IF(U49=3,2,IF(U49=2,1,0))))</f>
        <v>0</v>
      </c>
      <c r="W49" s="34">
        <f>IF(AND(ABS((W12-V12)-('Input data'!W13-'Input data'!V13))&gt;0.0001,ABS(W12-V12)&gt;0.0001,W$10&gt;$C$5),4,IF(V49=4,3,IF(V49=3,2,IF(V49=2,1,0))))</f>
        <v>0</v>
      </c>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row>
    <row r="50" spans="2:48" outlineLevel="1" x14ac:dyDescent="0.2">
      <c r="B50" s="26" t="s">
        <v>101</v>
      </c>
      <c r="C50" s="34">
        <v>0</v>
      </c>
      <c r="D50" s="34">
        <f t="shared" ref="D50:W50" si="10">IF(C49=4,2/3*C29,IF(C49=3,1/3*B29,0))</f>
        <v>0</v>
      </c>
      <c r="E50" s="34">
        <f t="shared" si="10"/>
        <v>0</v>
      </c>
      <c r="F50" s="34">
        <f t="shared" si="10"/>
        <v>0</v>
      </c>
      <c r="G50" s="34">
        <f t="shared" si="10"/>
        <v>0</v>
      </c>
      <c r="H50" s="34">
        <f t="shared" si="10"/>
        <v>-0.45662544275976524</v>
      </c>
      <c r="I50" s="34">
        <f t="shared" si="10"/>
        <v>-0.51314712441326749</v>
      </c>
      <c r="J50" s="34">
        <f t="shared" si="10"/>
        <v>-0.55059007453221265</v>
      </c>
      <c r="K50" s="34">
        <f t="shared" si="10"/>
        <v>-0.57555900365215218</v>
      </c>
      <c r="L50" s="34">
        <f t="shared" si="10"/>
        <v>-0.28777950182607609</v>
      </c>
      <c r="M50" s="34">
        <f t="shared" si="10"/>
        <v>0</v>
      </c>
      <c r="N50" s="34">
        <f t="shared" si="10"/>
        <v>0</v>
      </c>
      <c r="O50" s="34">
        <f t="shared" si="10"/>
        <v>0</v>
      </c>
      <c r="P50" s="34">
        <f t="shared" si="10"/>
        <v>0</v>
      </c>
      <c r="Q50" s="34">
        <f t="shared" si="10"/>
        <v>0</v>
      </c>
      <c r="R50" s="34">
        <f t="shared" si="10"/>
        <v>0</v>
      </c>
      <c r="S50" s="34">
        <f t="shared" si="10"/>
        <v>0</v>
      </c>
      <c r="T50" s="34">
        <f t="shared" si="10"/>
        <v>0</v>
      </c>
      <c r="U50" s="34">
        <f t="shared" si="10"/>
        <v>0</v>
      </c>
      <c r="V50" s="34">
        <f t="shared" si="10"/>
        <v>0</v>
      </c>
      <c r="W50" s="34">
        <f t="shared" si="10"/>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102</v>
      </c>
      <c r="C51" s="34"/>
      <c r="D51" s="34">
        <f>'Input data'!D30-$C$46*((D12-C12)-('Input data'!D13-'Input data'!C13))</f>
        <v>8.0755689999999998</v>
      </c>
      <c r="E51" s="34">
        <f>'Input data'!E30-$C$46*((E12-D12)-('Input data'!E13-'Input data'!D13))</f>
        <v>5.6139260000000002</v>
      </c>
      <c r="F51" s="34">
        <f>'Input data'!F30-$C$46*((F12-E12)-('Input data'!F13-'Input data'!E13))</f>
        <v>4.5722800000000001</v>
      </c>
      <c r="G51" s="34">
        <f>'Input data'!G30-$C$46*((G12-F12))</f>
        <v>4.5151979999999998</v>
      </c>
      <c r="H51" s="34">
        <f>'Input data'!H30-$C$46*((H12-G12))</f>
        <v>4.4773629999999995</v>
      </c>
      <c r="I51" s="34">
        <f>'Input data'!I30-$C$46*((I12-H12))</f>
        <v>4.5506839999999995</v>
      </c>
      <c r="J51" s="34">
        <f>'Input data'!J30-$C$46*((J12-I12))</f>
        <v>4.4010949999999998</v>
      </c>
      <c r="K51" s="34">
        <f>'Input data'!K30-$C$46*((K12-J12))</f>
        <v>4.5981800000000002</v>
      </c>
      <c r="L51" s="34">
        <f>'Input data'!L30-$C$46*((L12-K12))</f>
        <v>4.5042590000000002</v>
      </c>
      <c r="M51" s="34">
        <f>'Input data'!M30-$C$46*((M12-L12))</f>
        <v>4.3482380000000003</v>
      </c>
      <c r="N51" s="34">
        <f>'Input data'!N30-$C$46*((N12-M12))</f>
        <v>4.1701290000000002</v>
      </c>
      <c r="O51" s="34">
        <f>'Input data'!O30-$C$46*((O12-N12))</f>
        <v>4.1159239999999997</v>
      </c>
      <c r="P51" s="34">
        <f>'Input data'!P30-$C$46*((P12-O12))</f>
        <v>3.776726</v>
      </c>
      <c r="Q51" s="34">
        <f>'Input data'!Q30-$C$46*((Q12-P12))</f>
        <v>3.4375260000000001</v>
      </c>
      <c r="R51" s="34">
        <f>'Input data'!R30-$C$46*((R12-Q12))</f>
        <v>3.0983320000000001</v>
      </c>
      <c r="S51" s="34">
        <f>'Input data'!S30-$C$46*((S12-R12))</f>
        <v>2.9864269999999999</v>
      </c>
      <c r="T51" s="34">
        <f>'Input data'!T30-$C$46*((T12-S12))</f>
        <v>2.845796</v>
      </c>
      <c r="U51" s="34">
        <f>'Input data'!U30-$C$46*((U12-T12))</f>
        <v>2.6784659999999998</v>
      </c>
      <c r="V51" s="34">
        <f>'Input data'!V30-$C$46*((V12-U12))</f>
        <v>2.5182220000000002</v>
      </c>
      <c r="W51" s="34">
        <f>'Input data'!W30-$C$46*((W12-V12))</f>
        <v>2.3694350000000002</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x14ac:dyDescent="0.2">
      <c r="C52" s="36"/>
    </row>
    <row r="53" spans="2:48" s="67" customFormat="1" ht="12.75" outlineLevel="1" x14ac:dyDescent="0.2">
      <c r="B53" s="72" t="s">
        <v>103</v>
      </c>
      <c r="C53" s="69"/>
      <c r="E53" s="70"/>
      <c r="F53" s="69"/>
    </row>
    <row r="54" spans="2:48" outlineLevel="1" x14ac:dyDescent="0.2">
      <c r="B54" s="43"/>
      <c r="C54" s="29"/>
      <c r="E54" s="44"/>
      <c r="F54" s="29"/>
    </row>
    <row r="55" spans="2:48" outlineLevel="1" x14ac:dyDescent="0.2">
      <c r="B55" s="85"/>
      <c r="C55" s="86">
        <v>2021</v>
      </c>
      <c r="D55" s="86">
        <v>2022</v>
      </c>
      <c r="E55" s="86">
        <v>2023</v>
      </c>
      <c r="F55" s="86">
        <v>2024</v>
      </c>
      <c r="G55" s="86">
        <v>2025</v>
      </c>
      <c r="H55" s="86">
        <v>2026</v>
      </c>
      <c r="I55" s="86">
        <v>2027</v>
      </c>
      <c r="J55" s="86">
        <v>2028</v>
      </c>
      <c r="K55" s="86">
        <v>2029</v>
      </c>
      <c r="L55" s="86">
        <v>2030</v>
      </c>
      <c r="M55" s="86">
        <v>2031</v>
      </c>
      <c r="N55" s="86">
        <v>2032</v>
      </c>
      <c r="O55" s="86">
        <v>2033</v>
      </c>
      <c r="P55" s="86">
        <v>2034</v>
      </c>
      <c r="Q55" s="86">
        <v>2035</v>
      </c>
      <c r="R55" s="86">
        <v>2036</v>
      </c>
      <c r="S55" s="86">
        <v>2037</v>
      </c>
      <c r="T55" s="86">
        <v>2038</v>
      </c>
      <c r="U55" s="86">
        <v>2039</v>
      </c>
      <c r="V55" s="86">
        <v>2040</v>
      </c>
      <c r="W55" s="86">
        <v>2041</v>
      </c>
    </row>
    <row r="56" spans="2:48" ht="10.5" customHeight="1" outlineLevel="1" x14ac:dyDescent="0.2">
      <c r="B56" s="87" t="s">
        <v>104</v>
      </c>
      <c r="C56" s="45">
        <f>+'Input data'!C12</f>
        <v>53.925649999999997</v>
      </c>
      <c r="D56" s="45">
        <f>+C56+D57</f>
        <v>51.626479730977287</v>
      </c>
      <c r="E56" s="45">
        <f t="shared" ref="E56:T56" si="11">+D56+E57</f>
        <v>50.396658431512243</v>
      </c>
      <c r="F56" s="45">
        <f>+E56+F57</f>
        <v>52.027240532489337</v>
      </c>
      <c r="G56" s="45">
        <f>+F56+G57</f>
        <v>52.730907877542279</v>
      </c>
      <c r="H56" s="45">
        <f>+G56+H57</f>
        <v>52.947955578274673</v>
      </c>
      <c r="I56" s="45">
        <f t="shared" si="11"/>
        <v>52.754005449493576</v>
      </c>
      <c r="J56" s="45">
        <f t="shared" si="11"/>
        <v>52.204191928643532</v>
      </c>
      <c r="K56" s="45">
        <f>+J56+K57</f>
        <v>51.484774799876625</v>
      </c>
      <c r="L56" s="45">
        <f t="shared" si="11"/>
        <v>50.607761849544914</v>
      </c>
      <c r="M56" s="45">
        <f t="shared" si="11"/>
        <v>49.679431049218621</v>
      </c>
      <c r="N56" s="45">
        <f t="shared" si="11"/>
        <v>48.995002692462343</v>
      </c>
      <c r="O56" s="46">
        <f t="shared" si="11"/>
        <v>48.364492943104416</v>
      </c>
      <c r="P56" s="46">
        <f>+O56+P57</f>
        <v>47.938057080237229</v>
      </c>
      <c r="Q56" s="46">
        <f t="shared" si="11"/>
        <v>47.719733890100429</v>
      </c>
      <c r="R56" s="46">
        <f t="shared" si="11"/>
        <v>47.714905626521826</v>
      </c>
      <c r="S56" s="46">
        <f t="shared" si="11"/>
        <v>47.823423580640394</v>
      </c>
      <c r="T56" s="46">
        <f t="shared" si="11"/>
        <v>48.062139553615793</v>
      </c>
      <c r="U56" s="46">
        <f t="shared" ref="U56" si="12">+T56+U57</f>
        <v>48.455879646279399</v>
      </c>
      <c r="V56" s="46">
        <f t="shared" ref="V56" si="13">+U56+V57</f>
        <v>49.017755847781167</v>
      </c>
      <c r="W56" s="46">
        <f t="shared" ref="W56" si="14">+V56+W57</f>
        <v>49.758965240916105</v>
      </c>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row>
    <row r="57" spans="2:48" outlineLevel="1" x14ac:dyDescent="0.2">
      <c r="B57" s="88" t="s">
        <v>105</v>
      </c>
      <c r="C57" s="47"/>
      <c r="D57" s="47">
        <f>-D58+D66+D71</f>
        <v>-2.2991702690227092</v>
      </c>
      <c r="E57" s="47">
        <f t="shared" ref="E57:S57" si="15">-E58+E66+E71</f>
        <v>-1.2298212994650455</v>
      </c>
      <c r="F57" s="47">
        <f>-F58+F66+F71</f>
        <v>1.6305821009770955</v>
      </c>
      <c r="G57" s="47">
        <f>-G58+G66+G71</f>
        <v>0.70366734505293893</v>
      </c>
      <c r="H57" s="47">
        <f>-H58+H66+H71</f>
        <v>0.2170477007323961</v>
      </c>
      <c r="I57" s="47">
        <f t="shared" si="15"/>
        <v>-0.19395012878109874</v>
      </c>
      <c r="J57" s="47">
        <f t="shared" si="15"/>
        <v>-0.54981352085004254</v>
      </c>
      <c r="K57" s="47">
        <f t="shared" si="15"/>
        <v>-0.71941712876690467</v>
      </c>
      <c r="L57" s="47">
        <f t="shared" si="15"/>
        <v>-0.87701295033170745</v>
      </c>
      <c r="M57" s="47">
        <f t="shared" si="15"/>
        <v>-0.92833080032629089</v>
      </c>
      <c r="N57" s="47">
        <f t="shared" si="15"/>
        <v>-0.68442835675627756</v>
      </c>
      <c r="O57" s="47">
        <f t="shared" si="15"/>
        <v>-0.63050974935792536</v>
      </c>
      <c r="P57" s="47">
        <f>-P58+P66+P71</f>
        <v>-0.42643586286718393</v>
      </c>
      <c r="Q57" s="47">
        <f t="shared" si="15"/>
        <v>-0.21832319013679991</v>
      </c>
      <c r="R57" s="47">
        <f t="shared" si="15"/>
        <v>-4.8282635786027761E-3</v>
      </c>
      <c r="S57" s="47">
        <f t="shared" si="15"/>
        <v>0.10851795411856968</v>
      </c>
      <c r="T57" s="47">
        <f>-T58+T66+T71</f>
        <v>0.23871597297539848</v>
      </c>
      <c r="U57" s="47">
        <f>-U58+U66+U71</f>
        <v>0.39374009266360477</v>
      </c>
      <c r="V57" s="47">
        <f t="shared" ref="V57:W57" si="16">-V58+V66+V71</f>
        <v>0.56187620150176754</v>
      </c>
      <c r="W57" s="47">
        <f t="shared" si="16"/>
        <v>0.74120939313493817</v>
      </c>
    </row>
    <row r="58" spans="2:48" outlineLevel="1" x14ac:dyDescent="0.2">
      <c r="B58" s="84" t="s">
        <v>106</v>
      </c>
      <c r="C58" s="48"/>
      <c r="D58" s="48">
        <f>D59+D60-D61-D62-D63-D64-D65</f>
        <v>-4.5943547309772903</v>
      </c>
      <c r="E58" s="48">
        <f t="shared" ref="E58:S58" si="17">E59+E60-E61-E62-E63-E64-E65</f>
        <v>-3.7999557005349547</v>
      </c>
      <c r="F58" s="48">
        <f t="shared" si="17"/>
        <v>-3.0642601009770956</v>
      </c>
      <c r="G58" s="48">
        <f t="shared" si="17"/>
        <v>-2.7853283806228912</v>
      </c>
      <c r="H58" s="48">
        <f t="shared" si="17"/>
        <v>-2.385939208890933</v>
      </c>
      <c r="I58" s="48">
        <f t="shared" si="17"/>
        <v>-1.9728419685513949</v>
      </c>
      <c r="J58" s="48">
        <f t="shared" si="17"/>
        <v>-1.5507821441240717</v>
      </c>
      <c r="K58" s="48">
        <f t="shared" si="17"/>
        <v>-1.3539292627493724</v>
      </c>
      <c r="L58" s="48">
        <f t="shared" si="17"/>
        <v>-1.1596363813747008</v>
      </c>
      <c r="M58" s="48">
        <f t="shared" si="17"/>
        <v>-0.97210360000000073</v>
      </c>
      <c r="N58" s="48">
        <f t="shared" si="17"/>
        <v>-0.93316536070106071</v>
      </c>
      <c r="O58" s="48">
        <f t="shared" si="17"/>
        <v>-0.91181794057278542</v>
      </c>
      <c r="P58" s="48">
        <f t="shared" si="17"/>
        <v>-0.90595051743701849</v>
      </c>
      <c r="Q58" s="48">
        <f t="shared" si="17"/>
        <v>-0.91570411743700908</v>
      </c>
      <c r="R58" s="48">
        <f t="shared" si="17"/>
        <v>-0.93975622362187528</v>
      </c>
      <c r="S58" s="48">
        <f t="shared" si="17"/>
        <v>-0.97357842829217667</v>
      </c>
      <c r="T58" s="48">
        <f>T59+T60-T61-T62-T63-T64-T65</f>
        <v>-1.0150023940380735</v>
      </c>
      <c r="U58" s="48">
        <f>U59+U60-U61-U62-U63-U64-U65</f>
        <v>-1.0721169270478275</v>
      </c>
      <c r="V58" s="48">
        <f t="shared" ref="V58:W58" si="18">V59+V60-V61-V62-V63-V64-V65</f>
        <v>-1.1479518287499646</v>
      </c>
      <c r="W58" s="48">
        <f t="shared" si="18"/>
        <v>-1.2418262645762326</v>
      </c>
    </row>
    <row r="59" spans="2:48" outlineLevel="1" x14ac:dyDescent="0.2">
      <c r="B59" s="79" t="s">
        <v>107</v>
      </c>
      <c r="C59" s="1"/>
      <c r="D59" s="1">
        <f>D12</f>
        <v>-4.3552039999999996</v>
      </c>
      <c r="E59" s="1">
        <f>E12</f>
        <v>-3.790994</v>
      </c>
      <c r="F59" s="1">
        <f>F12</f>
        <v>-2.897243</v>
      </c>
      <c r="G59" s="1">
        <f t="shared" ref="G59:W59" si="19">IF(G12="",F59,G12)</f>
        <v>-2.4572430000000001</v>
      </c>
      <c r="H59" s="1">
        <f t="shared" si="19"/>
        <v>-2.0172430000000001</v>
      </c>
      <c r="I59" s="1">
        <f t="shared" si="19"/>
        <v>-1.5772430000000002</v>
      </c>
      <c r="J59" s="1">
        <f t="shared" si="19"/>
        <v>-1.1372430000000002</v>
      </c>
      <c r="K59" s="1">
        <f t="shared" si="19"/>
        <v>-1.1372430000000002</v>
      </c>
      <c r="L59" s="1">
        <f t="shared" si="19"/>
        <v>-1.1372430000000002</v>
      </c>
      <c r="M59" s="1">
        <f t="shared" si="19"/>
        <v>-1.1372430000000002</v>
      </c>
      <c r="N59" s="1">
        <f t="shared" si="19"/>
        <v>-1.1372430000000002</v>
      </c>
      <c r="O59" s="1">
        <f t="shared" si="19"/>
        <v>-1.1372430000000002</v>
      </c>
      <c r="P59" s="1">
        <f t="shared" si="19"/>
        <v>-1.1372430000000002</v>
      </c>
      <c r="Q59" s="1">
        <f t="shared" si="19"/>
        <v>-1.1372430000000002</v>
      </c>
      <c r="R59" s="1">
        <f t="shared" si="19"/>
        <v>-1.1372430000000002</v>
      </c>
      <c r="S59" s="1">
        <f t="shared" si="19"/>
        <v>-1.1372430000000002</v>
      </c>
      <c r="T59" s="1">
        <f t="shared" si="19"/>
        <v>-1.1372430000000002</v>
      </c>
      <c r="U59" s="1">
        <f t="shared" si="19"/>
        <v>-1.1372430000000002</v>
      </c>
      <c r="V59" s="1">
        <f t="shared" si="19"/>
        <v>-1.1372430000000002</v>
      </c>
      <c r="W59" s="1">
        <f t="shared" si="19"/>
        <v>-1.1372430000000002</v>
      </c>
    </row>
    <row r="60" spans="2:48" outlineLevel="1" x14ac:dyDescent="0.2">
      <c r="B60" s="79" t="s">
        <v>108</v>
      </c>
      <c r="C60" s="1"/>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row>
    <row r="61" spans="2:48" outlineLevel="1" x14ac:dyDescent="0.2">
      <c r="B61" s="79" t="s">
        <v>109</v>
      </c>
      <c r="C61" s="1"/>
      <c r="D61" s="1">
        <f t="shared" ref="D61:W61" si="20">-$C$47*D29</f>
        <v>0.23915073097729053</v>
      </c>
      <c r="E61" s="1">
        <f t="shared" si="20"/>
        <v>8.9617005349547311E-3</v>
      </c>
      <c r="F61" s="1">
        <f t="shared" si="20"/>
        <v>0.16701710097709546</v>
      </c>
      <c r="G61" s="1">
        <f t="shared" si="20"/>
        <v>0.32808538062289133</v>
      </c>
      <c r="H61" s="1">
        <f t="shared" si="20"/>
        <v>0.36869620889093274</v>
      </c>
      <c r="I61" s="1">
        <f t="shared" si="20"/>
        <v>0.39559896855139481</v>
      </c>
      <c r="J61" s="1">
        <f t="shared" si="20"/>
        <v>0.41353914412407133</v>
      </c>
      <c r="K61" s="1">
        <f t="shared" si="20"/>
        <v>0.27569276274936849</v>
      </c>
      <c r="L61" s="1">
        <f t="shared" si="20"/>
        <v>0.13784638137469754</v>
      </c>
      <c r="M61" s="1">
        <f t="shared" si="20"/>
        <v>0</v>
      </c>
      <c r="N61" s="1">
        <f t="shared" si="20"/>
        <v>-1.8392989423743344E-6</v>
      </c>
      <c r="O61" s="1">
        <f t="shared" si="20"/>
        <v>-2.7594272168363077E-6</v>
      </c>
      <c r="P61" s="1">
        <f t="shared" si="20"/>
        <v>-3.6825629831760407E-6</v>
      </c>
      <c r="Q61" s="1">
        <f t="shared" si="20"/>
        <v>-3.6825629938119772E-6</v>
      </c>
      <c r="R61" s="1">
        <f t="shared" si="20"/>
        <v>-5.0763781257900932E-6</v>
      </c>
      <c r="S61" s="1">
        <f t="shared" si="20"/>
        <v>-6.4717078257725543E-6</v>
      </c>
      <c r="T61" s="1">
        <f t="shared" si="20"/>
        <v>-6.0059619286789712E-6</v>
      </c>
      <c r="U61" s="1">
        <f t="shared" si="20"/>
        <v>-5.0729521736236903E-6</v>
      </c>
      <c r="V61" s="1">
        <f t="shared" si="20"/>
        <v>-3.6712500373292652E-6</v>
      </c>
      <c r="W61" s="1">
        <f t="shared" si="20"/>
        <v>-2.7354237692733818E-6</v>
      </c>
    </row>
    <row r="62" spans="2:48" outlineLevel="1" x14ac:dyDescent="0.2">
      <c r="B62" s="79" t="s">
        <v>110</v>
      </c>
      <c r="C62" s="1"/>
      <c r="D62" s="1">
        <f t="shared" ref="D62:W62" si="21">-D13</f>
        <v>0</v>
      </c>
      <c r="E62" s="1">
        <f t="shared" si="21"/>
        <v>0</v>
      </c>
      <c r="F62" s="1">
        <f t="shared" si="21"/>
        <v>0</v>
      </c>
      <c r="G62" s="1">
        <f t="shared" si="21"/>
        <v>0</v>
      </c>
      <c r="H62" s="1">
        <f t="shared" si="21"/>
        <v>0</v>
      </c>
      <c r="I62" s="1">
        <f t="shared" si="21"/>
        <v>0</v>
      </c>
      <c r="J62" s="1">
        <f t="shared" si="21"/>
        <v>0</v>
      </c>
      <c r="K62" s="1">
        <f t="shared" si="21"/>
        <v>0</v>
      </c>
      <c r="L62" s="1">
        <f t="shared" si="21"/>
        <v>0</v>
      </c>
      <c r="M62" s="1">
        <f t="shared" si="21"/>
        <v>0</v>
      </c>
      <c r="N62" s="1">
        <f t="shared" si="21"/>
        <v>0</v>
      </c>
      <c r="O62" s="1">
        <f t="shared" si="21"/>
        <v>0</v>
      </c>
      <c r="P62" s="1">
        <f t="shared" si="21"/>
        <v>0</v>
      </c>
      <c r="Q62" s="1">
        <f t="shared" si="21"/>
        <v>0</v>
      </c>
      <c r="R62" s="1">
        <f t="shared" si="21"/>
        <v>0</v>
      </c>
      <c r="S62" s="1">
        <f t="shared" si="21"/>
        <v>0</v>
      </c>
      <c r="T62" s="1">
        <f t="shared" si="21"/>
        <v>0</v>
      </c>
      <c r="U62" s="1">
        <f t="shared" si="21"/>
        <v>0</v>
      </c>
      <c r="V62" s="1">
        <f t="shared" si="21"/>
        <v>0</v>
      </c>
      <c r="W62" s="1">
        <f t="shared" si="21"/>
        <v>0</v>
      </c>
    </row>
    <row r="63" spans="2:48" outlineLevel="1" x14ac:dyDescent="0.2">
      <c r="B63" s="79" t="s">
        <v>111</v>
      </c>
      <c r="C63" s="1"/>
      <c r="D63" s="1">
        <f>IF(D$55&lt;=$C$6,0,HLOOKUP(D$55,'Input data'!$C$9:$BB$26,12,FALSE)-HLOOKUP($C$6,'Input data'!$C$9:$BB$26,12,FALSE))</f>
        <v>0</v>
      </c>
      <c r="E63" s="1">
        <f>IF(E$55&lt;=$C$6,0,HLOOKUP(E$55,'Input data'!$C$9:$BB$26,12,FALSE)-HLOOKUP($C$6,'Input data'!$C$9:$BB$26,12,FALSE))</f>
        <v>0</v>
      </c>
      <c r="F63" s="1">
        <f>IF(F$55&lt;=$C$6,0,HLOOKUP(F$55,'Input data'!$C$9:$BB$26,12,FALSE)-HLOOKUP($C$6,'Input data'!$C$9:$BB$26,12,FALSE))</f>
        <v>0</v>
      </c>
      <c r="G63" s="1">
        <f>IF(G$55&lt;=$C$6,0,HLOOKUP(G$55,'Input data'!$C$9:$BB$26,12,FALSE)-HLOOKUP($C$6,'Input data'!$C$9:$BB$26,12,FALSE))</f>
        <v>0</v>
      </c>
      <c r="H63" s="1">
        <f>IF(H$55&lt;=$C$6,0,HLOOKUP(H$55,'Input data'!$C$9:$BB$26,12,FALSE)-HLOOKUP($C$6,'Input data'!$C$9:$BB$26,12,FALSE))</f>
        <v>0</v>
      </c>
      <c r="I63" s="1">
        <f>IF(I$55&lt;=$C$6,0,HLOOKUP(I$55,'Input data'!$C$9:$BB$26,12,FALSE)-HLOOKUP($C$6,'Input data'!$C$9:$BB$26,12,FALSE))</f>
        <v>0</v>
      </c>
      <c r="J63" s="1">
        <f>IF(J$55&lt;=$C$6,0,HLOOKUP(J$55,'Input data'!$C$9:$BB$26,12,FALSE)-HLOOKUP($C$6,'Input data'!$C$9:$BB$26,12,FALSE))</f>
        <v>0</v>
      </c>
      <c r="K63" s="1">
        <f>IF(K$55&lt;=$C$6,0,HLOOKUP(K$55,'Input data'!$C$9:$BB$26,12,FALSE)-HLOOKUP($C$6,'Input data'!$C$9:$BB$26,12,FALSE))</f>
        <v>-6.1849999999996186E-2</v>
      </c>
      <c r="L63" s="1">
        <f>IF(L$55&lt;=$C$6,0,HLOOKUP(L$55,'Input data'!$C$9:$BB$26,12,FALSE)-HLOOKUP($C$6,'Input data'!$C$9:$BB$26,12,FALSE))</f>
        <v>-0.12113999999999692</v>
      </c>
      <c r="M63" s="1">
        <f>IF(M$55&lt;=$C$6,0,HLOOKUP(M$55,'Input data'!$C$9:$BB$26,12,FALSE)-HLOOKUP($C$6,'Input data'!$C$9:$BB$26,12,FALSE))</f>
        <v>-0.17366999999999955</v>
      </c>
      <c r="N63" s="1">
        <f>IF(N$55&lt;=$C$6,0,HLOOKUP(N$55,'Input data'!$C$9:$BB$26,12,FALSE)-HLOOKUP($C$6,'Input data'!$C$9:$BB$26,12,FALSE))</f>
        <v>-0.21544999999999703</v>
      </c>
      <c r="O63" s="1">
        <f>IF(O$55&lt;=$C$6,0,HLOOKUP(O$55,'Input data'!$C$9:$BB$26,12,FALSE)-HLOOKUP($C$6,'Input data'!$C$9:$BB$26,12,FALSE))</f>
        <v>-0.23963999999999785</v>
      </c>
      <c r="P63" s="1">
        <f>IF(P$55&lt;=$C$6,0,HLOOKUP(P$55,'Input data'!$C$9:$BB$26,12,FALSE)-HLOOKUP($C$6,'Input data'!$C$9:$BB$26,12,FALSE))</f>
        <v>-0.24834999999999852</v>
      </c>
      <c r="Q63" s="1">
        <f>IF(Q$55&lt;=$C$6,0,HLOOKUP(Q$55,'Input data'!$C$9:$BB$26,12,FALSE)-HLOOKUP($C$6,'Input data'!$C$9:$BB$26,12,FALSE))</f>
        <v>-0.24143999999999721</v>
      </c>
      <c r="R63" s="1">
        <f>IF(R$55&lt;=$C$6,0,HLOOKUP(R$55,'Input data'!$C$9:$BB$26,12,FALSE)-HLOOKUP($C$6,'Input data'!$C$9:$BB$26,12,FALSE))</f>
        <v>-0.22022999999999904</v>
      </c>
      <c r="S63" s="1">
        <f>IF(S$55&lt;=$C$6,0,HLOOKUP(S$55,'Input data'!$C$9:$BB$26,12,FALSE)-HLOOKUP($C$6,'Input data'!$C$9:$BB$26,12,FALSE))</f>
        <v>-0.1892499999999977</v>
      </c>
      <c r="T63" s="1">
        <f>IF(T$55&lt;=$C$6,0,HLOOKUP(T$55,'Input data'!$C$9:$BB$26,12,FALSE)-HLOOKUP($C$6,'Input data'!$C$9:$BB$26,12,FALSE))</f>
        <v>-0.15066999999999808</v>
      </c>
      <c r="U63" s="1">
        <f>IF(U$55&lt;=$C$6,0,HLOOKUP(U$55,'Input data'!$C$9:$BB$26,12,FALSE)-HLOOKUP($C$6,'Input data'!$C$9:$BB$26,12,FALSE))</f>
        <v>-9.6399999999999153E-2</v>
      </c>
      <c r="V63" s="1">
        <f>IF(V$55&lt;=$C$6,0,HLOOKUP(V$55,'Input data'!$C$9:$BB$26,12,FALSE)-HLOOKUP($C$6,'Input data'!$C$9:$BB$26,12,FALSE))</f>
        <v>-2.3409999999998377E-2</v>
      </c>
      <c r="W63" s="1">
        <f>IF(W$55&lt;=$C$6,0,HLOOKUP(W$55,'Input data'!$C$9:$BB$26,12,FALSE)-HLOOKUP($C$6,'Input data'!$C$9:$BB$26,12,FALSE))</f>
        <v>6.7620000000001568E-2</v>
      </c>
    </row>
    <row r="64" spans="2:48" outlineLevel="1" x14ac:dyDescent="0.2">
      <c r="B64" s="79" t="s">
        <v>112</v>
      </c>
      <c r="C64" s="1"/>
      <c r="D64" s="1">
        <f>IF(D$55&lt;=$C$5,0,-HLOOKUP(D$55,'Input data'!$C$9:$BB$26,18,FALSE)+HLOOKUP($C$6,'Input data'!$C$9:$BB$26,18,FALSE))</f>
        <v>0</v>
      </c>
      <c r="E64" s="1">
        <f>IF(E$55&lt;=$C$5,0,-HLOOKUP(E$55,'Input data'!$C$9:$BB$26,18,FALSE)+HLOOKUP($C$6,'Input data'!$C$9:$BB$26,18,FALSE))</f>
        <v>0</v>
      </c>
      <c r="F64" s="1">
        <f>IF(F$55&lt;=$C$5,0,-HLOOKUP(F$55,'Input data'!$C$9:$BB$26,18,FALSE)+HLOOKUP($C$6,'Input data'!$C$9:$BB$26,18,FALSE))</f>
        <v>0</v>
      </c>
      <c r="G64" s="1">
        <f>IF(G$55&lt;=$C$6,0,-HLOOKUP(G$55,'Input data'!$C$9:$BB$26,18,FALSE)+HLOOKUP($C$6,'Input data'!$C$9:$BB$26,18,FALSE))</f>
        <v>0</v>
      </c>
      <c r="H64" s="1">
        <f>IF(H$55&lt;=$C$6,0,-HLOOKUP(H$55,'Input data'!$C$9:$BB$26,18,FALSE)+HLOOKUP($C$6,'Input data'!$C$9:$BB$26,18,FALSE))</f>
        <v>0</v>
      </c>
      <c r="I64" s="1">
        <f>IF(I$55&lt;=$C$6,0,-HLOOKUP(I$55,'Input data'!$C$9:$BB$26,18,FALSE)+HLOOKUP($C$6,'Input data'!$C$9:$BB$26,18,FALSE))</f>
        <v>0</v>
      </c>
      <c r="J64" s="1">
        <f>IF(J$55&lt;=$C$6,0,-HLOOKUP(J$55,'Input data'!$C$9:$BB$26,18,FALSE)+HLOOKUP($C$6,'Input data'!$C$9:$BB$26,18,FALSE))</f>
        <v>0</v>
      </c>
      <c r="K64" s="1">
        <f>IF(K$55&lt;=$C$6,0,-HLOOKUP(K$55,'Input data'!$C$9:$BB$26,18,FALSE)+HLOOKUP($C$6,'Input data'!$C$9:$BB$26,18,FALSE))</f>
        <v>2.8434999999999988E-3</v>
      </c>
      <c r="L64" s="1">
        <f>IF(L$55&lt;=$C$6,0,-HLOOKUP(L$55,'Input data'!$C$9:$BB$26,18,FALSE)+HLOOKUP($C$6,'Input data'!$C$9:$BB$26,18,FALSE))</f>
        <v>5.6869999999999976E-3</v>
      </c>
      <c r="M64" s="1">
        <f>IF(M$55&lt;=$C$6,0,-HLOOKUP(M$55,'Input data'!$C$9:$BB$26,18,FALSE)+HLOOKUP($C$6,'Input data'!$C$9:$BB$26,18,FALSE))</f>
        <v>8.5305999999999993E-3</v>
      </c>
      <c r="N64" s="1">
        <f>IF(N$55&lt;=$C$6,0,-HLOOKUP(N$55,'Input data'!$C$9:$BB$26,18,FALSE)+HLOOKUP($C$6,'Input data'!$C$9:$BB$26,18,FALSE))</f>
        <v>1.1374200000000001E-2</v>
      </c>
      <c r="O64" s="1">
        <f>IF(O$55&lt;=$C$6,0,-HLOOKUP(O$55,'Input data'!$C$9:$BB$26,18,FALSE)+HLOOKUP($C$6,'Input data'!$C$9:$BB$26,18,FALSE))</f>
        <v>1.42177E-2</v>
      </c>
      <c r="P64" s="1">
        <f>IF(P$55&lt;=$C$6,0,-HLOOKUP(P$55,'Input data'!$C$9:$BB$26,18,FALSE)+HLOOKUP($C$6,'Input data'!$C$9:$BB$26,18,FALSE))</f>
        <v>1.7061199999999999E-2</v>
      </c>
      <c r="Q64" s="1">
        <f>IF(Q$55&lt;=$C$6,0,-HLOOKUP(Q$55,'Input data'!$C$9:$BB$26,18,FALSE)+HLOOKUP($C$6,'Input data'!$C$9:$BB$26,18,FALSE))</f>
        <v>1.99048E-2</v>
      </c>
      <c r="R64" s="1">
        <f>IF(R$55&lt;=$C$6,0,-HLOOKUP(R$55,'Input data'!$C$9:$BB$26,18,FALSE)+HLOOKUP($C$6,'Input data'!$C$9:$BB$26,18,FALSE))</f>
        <v>2.2748299999999999E-2</v>
      </c>
      <c r="S64" s="1">
        <f>IF(S$55&lt;=$C$6,0,-HLOOKUP(S$55,'Input data'!$C$9:$BB$26,18,FALSE)+HLOOKUP($C$6,'Input data'!$C$9:$BB$26,18,FALSE))</f>
        <v>2.5591900000000001E-2</v>
      </c>
      <c r="T64" s="1">
        <f>IF(T$55&lt;=$C$6,0,-HLOOKUP(T$55,'Input data'!$C$9:$BB$26,18,FALSE)+HLOOKUP($C$6,'Input data'!$C$9:$BB$26,18,FALSE))</f>
        <v>2.84354E-2</v>
      </c>
      <c r="U64" s="1">
        <f>IF(U$55&lt;=$C$6,0,-HLOOKUP(U$55,'Input data'!$C$9:$BB$26,18,FALSE)+HLOOKUP($C$6,'Input data'!$C$9:$BB$26,18,FALSE))</f>
        <v>3.1279000000000001E-2</v>
      </c>
      <c r="V64" s="1">
        <f>IF(V$55&lt;=$C$6,0,-HLOOKUP(V$55,'Input data'!$C$9:$BB$26,18,FALSE)+HLOOKUP($C$6,'Input data'!$C$9:$BB$26,18,FALSE))</f>
        <v>3.41225E-2</v>
      </c>
      <c r="W64" s="1">
        <f>IF(W$55&lt;=$C$6,0,-HLOOKUP(W$55,'Input data'!$C$9:$BB$26,18,FALSE)+HLOOKUP($C$6,'Input data'!$C$9:$BB$26,18,FALSE))</f>
        <v>3.6965999999999999E-2</v>
      </c>
    </row>
    <row r="65" spans="2:23" outlineLevel="1" x14ac:dyDescent="0.2">
      <c r="B65" s="79" t="s">
        <v>113</v>
      </c>
      <c r="C65" s="37"/>
      <c r="D65" s="37">
        <v>0</v>
      </c>
      <c r="E65" s="37">
        <v>0</v>
      </c>
      <c r="F65" s="37">
        <v>0</v>
      </c>
      <c r="G65" s="37">
        <v>0</v>
      </c>
      <c r="H65" s="37">
        <v>0</v>
      </c>
      <c r="I65" s="37">
        <v>0</v>
      </c>
      <c r="J65" s="37">
        <v>0</v>
      </c>
      <c r="K65" s="37">
        <v>0</v>
      </c>
      <c r="L65" s="37">
        <v>0</v>
      </c>
      <c r="M65" s="37">
        <v>0</v>
      </c>
      <c r="N65" s="37">
        <v>0</v>
      </c>
      <c r="O65" s="37">
        <v>0</v>
      </c>
      <c r="P65" s="37">
        <v>0</v>
      </c>
      <c r="Q65" s="37">
        <v>0</v>
      </c>
      <c r="R65" s="37">
        <v>0</v>
      </c>
      <c r="S65" s="37">
        <v>0</v>
      </c>
      <c r="T65" s="37">
        <v>0</v>
      </c>
      <c r="U65" s="37">
        <v>0</v>
      </c>
      <c r="V65" s="37">
        <v>0</v>
      </c>
      <c r="W65" s="37">
        <v>0</v>
      </c>
    </row>
    <row r="66" spans="2:23" outlineLevel="1" x14ac:dyDescent="0.2">
      <c r="B66" s="84" t="s">
        <v>114</v>
      </c>
      <c r="C66" s="48"/>
      <c r="D66" s="48">
        <f t="shared" ref="D66:T66" si="22">SUM(D67:D70)</f>
        <v>-5.5832499999999996</v>
      </c>
      <c r="E66" s="48">
        <f t="shared" si="22"/>
        <v>-4.0893290000000002</v>
      </c>
      <c r="F66" s="48">
        <f t="shared" si="22"/>
        <v>-2.6188769999999999</v>
      </c>
      <c r="G66" s="48">
        <f>SUM(G67:G70)</f>
        <v>-2.1483854355699523</v>
      </c>
      <c r="H66" s="48">
        <f>SUM(H67:H70)</f>
        <v>-2.1688915081585369</v>
      </c>
      <c r="I66" s="48">
        <f t="shared" si="22"/>
        <v>-2.1667920973324937</v>
      </c>
      <c r="J66" s="48">
        <f t="shared" si="22"/>
        <v>-2.1005956649741142</v>
      </c>
      <c r="K66" s="48">
        <f t="shared" si="22"/>
        <v>-2.0733463915162771</v>
      </c>
      <c r="L66" s="48">
        <f t="shared" si="22"/>
        <v>-2.0366493317064083</v>
      </c>
      <c r="M66" s="48">
        <f t="shared" si="22"/>
        <v>-1.9004344003262916</v>
      </c>
      <c r="N66" s="48">
        <f t="shared" si="22"/>
        <v>-1.6175937174573383</v>
      </c>
      <c r="O66" s="48">
        <f t="shared" si="22"/>
        <v>-1.5423276899307108</v>
      </c>
      <c r="P66" s="48">
        <f t="shared" si="22"/>
        <v>-1.3323863803042024</v>
      </c>
      <c r="Q66" s="48">
        <f t="shared" si="22"/>
        <v>-1.134027307573809</v>
      </c>
      <c r="R66" s="48">
        <f t="shared" si="22"/>
        <v>-0.94458448720047805</v>
      </c>
      <c r="S66" s="48">
        <f t="shared" si="22"/>
        <v>-0.86506047417360699</v>
      </c>
      <c r="T66" s="48">
        <f t="shared" si="22"/>
        <v>-0.77628642106267498</v>
      </c>
      <c r="U66" s="48">
        <f>SUM(U67:U70)</f>
        <v>-0.67837683438422269</v>
      </c>
      <c r="V66" s="48">
        <f t="shared" ref="V66:W66" si="23">SUM(V67:V70)</f>
        <v>-0.58607562724819706</v>
      </c>
      <c r="W66" s="48">
        <f t="shared" si="23"/>
        <v>-0.50061687144129441</v>
      </c>
    </row>
    <row r="67" spans="2:23" outlineLevel="1" x14ac:dyDescent="0.2">
      <c r="B67" s="79" t="s">
        <v>115</v>
      </c>
      <c r="C67" s="34"/>
      <c r="D67" s="34">
        <f>C56*D35/100*(1/(1+D32/100))</f>
        <v>0.94020825338464531</v>
      </c>
      <c r="E67" s="34">
        <f t="shared" ref="E67:F67" si="24">D56*E35/100*(1/(1+E32/100))</f>
        <v>1.1036091376320842</v>
      </c>
      <c r="F67" s="34">
        <f t="shared" si="24"/>
        <v>1.2783144254813359</v>
      </c>
      <c r="G67" s="34">
        <f>F56*G35/100*(1/(1+G32/100))</f>
        <v>1.3294576949361674</v>
      </c>
      <c r="H67" s="34">
        <f t="shared" ref="H67:W67" si="25">G56*H35/100*(1/(1+H32/100))</f>
        <v>1.3911880922919946</v>
      </c>
      <c r="I67" s="34">
        <f t="shared" si="25"/>
        <v>1.4373170782341744</v>
      </c>
      <c r="J67" s="34">
        <f t="shared" si="25"/>
        <v>1.4710602023192991</v>
      </c>
      <c r="K67" s="34">
        <f t="shared" si="25"/>
        <v>1.5996737048554299</v>
      </c>
      <c r="L67" s="34">
        <f t="shared" si="25"/>
        <v>1.5432777701276701</v>
      </c>
      <c r="M67" s="34">
        <f t="shared" si="25"/>
        <v>1.5486335781263381</v>
      </c>
      <c r="N67" s="34">
        <f t="shared" si="25"/>
        <v>1.5561289615451708</v>
      </c>
      <c r="O67" s="34">
        <f t="shared" si="25"/>
        <v>1.5646925638631559</v>
      </c>
      <c r="P67" s="34">
        <f t="shared" si="25"/>
        <v>1.5744036646657373</v>
      </c>
      <c r="Q67" s="34">
        <f t="shared" si="25"/>
        <v>1.5872506186671418</v>
      </c>
      <c r="R67" s="34">
        <f t="shared" si="25"/>
        <v>1.6040944233608889</v>
      </c>
      <c r="S67" s="34">
        <f t="shared" si="25"/>
        <v>1.6221445727401633</v>
      </c>
      <c r="T67" s="34">
        <f t="shared" si="25"/>
        <v>1.6424015202544837</v>
      </c>
      <c r="U67" s="34">
        <f t="shared" si="25"/>
        <v>1.6657447763860371</v>
      </c>
      <c r="V67" s="34">
        <f t="shared" si="25"/>
        <v>1.6928006263411421</v>
      </c>
      <c r="W67" s="34">
        <f t="shared" si="25"/>
        <v>1.7242193300426472</v>
      </c>
    </row>
    <row r="68" spans="2:23" outlineLevel="1" x14ac:dyDescent="0.2">
      <c r="B68" s="79" t="s">
        <v>116</v>
      </c>
      <c r="C68" s="34"/>
      <c r="D68" s="34">
        <f t="shared" ref="D68:W68" si="26">-C56*(D23/100)*(1/(1+D32/100))</f>
        <v>-3.8279967050558801</v>
      </c>
      <c r="E68" s="34">
        <f t="shared" si="26"/>
        <v>-2.6067445173410486</v>
      </c>
      <c r="F68" s="34">
        <f t="shared" si="26"/>
        <v>-2.1260856686799849</v>
      </c>
      <c r="G68" s="34">
        <f t="shared" si="26"/>
        <v>-2.1921013063143944</v>
      </c>
      <c r="H68" s="34">
        <f>-G56*(H23/100)*(1/(1+H32/100))</f>
        <v>-2.2559368845447985</v>
      </c>
      <c r="I68" s="34">
        <f t="shared" si="26"/>
        <v>-2.2935856188455142</v>
      </c>
      <c r="J68" s="34">
        <f t="shared" si="26"/>
        <v>-2.2649237423944961</v>
      </c>
      <c r="K68" s="34">
        <f t="shared" si="26"/>
        <v>-2.3789085090802882</v>
      </c>
      <c r="L68" s="34">
        <f t="shared" si="26"/>
        <v>-2.3026647421137785</v>
      </c>
      <c r="M68" s="34">
        <f t="shared" si="26"/>
        <v>-2.1925951408698783</v>
      </c>
      <c r="N68" s="34">
        <f t="shared" si="26"/>
        <v>-1.9393480314018094</v>
      </c>
      <c r="O68" s="34">
        <f t="shared" si="26"/>
        <v>-1.8887144823089428</v>
      </c>
      <c r="P68" s="34">
        <f t="shared" si="26"/>
        <v>-1.7168128843566022</v>
      </c>
      <c r="Q68" s="34">
        <f t="shared" si="26"/>
        <v>-1.5543385397812028</v>
      </c>
      <c r="R68" s="34">
        <f t="shared" si="26"/>
        <v>-1.399549251168654</v>
      </c>
      <c r="S68" s="34">
        <f t="shared" si="26"/>
        <v>-1.3506922615885726</v>
      </c>
      <c r="T68" s="34">
        <f t="shared" si="26"/>
        <v>-1.2921261506344301</v>
      </c>
      <c r="U68" s="34">
        <f t="shared" si="26"/>
        <v>-1.2245415664730126</v>
      </c>
      <c r="V68" s="34">
        <f t="shared" si="26"/>
        <v>-1.1628394583754693</v>
      </c>
      <c r="W68" s="34">
        <f t="shared" si="26"/>
        <v>-1.1087278156212415</v>
      </c>
    </row>
    <row r="69" spans="2:23" outlineLevel="1" x14ac:dyDescent="0.2">
      <c r="B69" s="79" t="s">
        <v>117</v>
      </c>
      <c r="C69" s="34"/>
      <c r="D69" s="34">
        <f t="shared" ref="D69:T69" si="27">-C56*D41/100*(1/(1+D41/100))</f>
        <v>-2.6954615106143631</v>
      </c>
      <c r="E69" s="34">
        <f t="shared" si="27"/>
        <v>-2.5861962367945783</v>
      </c>
      <c r="F69" s="34">
        <f t="shared" si="27"/>
        <v>-1.7711092855302355</v>
      </c>
      <c r="G69" s="34">
        <f t="shared" si="27"/>
        <v>-1.2857443532503172</v>
      </c>
      <c r="H69" s="34">
        <f>-G56*H41/100*(1/(1+H41/100))</f>
        <v>-1.3041427159057333</v>
      </c>
      <c r="I69" s="34">
        <f t="shared" si="27"/>
        <v>-1.3105235567211539</v>
      </c>
      <c r="J69" s="34">
        <f t="shared" si="27"/>
        <v>-1.3067321248989174</v>
      </c>
      <c r="K69" s="34">
        <f t="shared" si="27"/>
        <v>-1.2941115872914188</v>
      </c>
      <c r="L69" s="34">
        <f t="shared" si="27"/>
        <v>-1.2772623597202999</v>
      </c>
      <c r="M69" s="34">
        <f t="shared" si="27"/>
        <v>-1.2564728375827514</v>
      </c>
      <c r="N69" s="34">
        <f t="shared" si="27"/>
        <v>-1.2343746476006996</v>
      </c>
      <c r="O69" s="34">
        <f t="shared" si="27"/>
        <v>-1.2183057714849239</v>
      </c>
      <c r="P69" s="34">
        <f t="shared" si="27"/>
        <v>-1.1899771606133376</v>
      </c>
      <c r="Q69" s="34">
        <f t="shared" si="27"/>
        <v>-1.1669393864597479</v>
      </c>
      <c r="R69" s="34">
        <f t="shared" si="27"/>
        <v>-1.1491296593927129</v>
      </c>
      <c r="S69" s="34">
        <f>-R56*S41/100*(1/(1+S41/100))</f>
        <v>-1.1365127853251977</v>
      </c>
      <c r="T69" s="34">
        <f t="shared" si="27"/>
        <v>-1.1265617906827285</v>
      </c>
      <c r="U69" s="34">
        <f t="shared" ref="U69" si="28">-T56*U41/100*(1/(1+U41/100))</f>
        <v>-1.1195800442972472</v>
      </c>
      <c r="V69" s="34">
        <f t="shared" ref="V69" si="29">-U56*V41/100*(1/(1+V41/100))</f>
        <v>-1.1160367952138699</v>
      </c>
      <c r="W69" s="34">
        <f t="shared" ref="W69" si="30">-V56*W41/100*(1/(1+W41/100))</f>
        <v>-1.1161083858627001</v>
      </c>
    </row>
    <row r="70" spans="2:23" outlineLevel="1" x14ac:dyDescent="0.2">
      <c r="B70" s="79" t="s">
        <v>118</v>
      </c>
      <c r="C70" s="49"/>
      <c r="D70" s="49">
        <f>'Baseline NFPC'!D70</f>
        <v>-3.7714402267852165E-8</v>
      </c>
      <c r="E70" s="49">
        <f>'Baseline NFPC'!E70</f>
        <v>2.6165035427183625E-6</v>
      </c>
      <c r="F70" s="49">
        <f>'Baseline NFPC'!F70</f>
        <v>3.5287288846497233E-6</v>
      </c>
      <c r="G70" s="49">
        <f>'Baseline NFPC'!G70</f>
        <v>2.5290585918824604E-6</v>
      </c>
      <c r="H70" s="49">
        <f>'Baseline NFPC'!H70</f>
        <v>0</v>
      </c>
      <c r="I70" s="49">
        <f>'Baseline NFPC'!I70</f>
        <v>0</v>
      </c>
      <c r="J70" s="49">
        <f>'Baseline NFPC'!J70</f>
        <v>0</v>
      </c>
      <c r="K70" s="49">
        <f>'Baseline NFPC'!K70</f>
        <v>0</v>
      </c>
      <c r="L70" s="49">
        <f>'Baseline NFPC'!L70</f>
        <v>0</v>
      </c>
      <c r="M70" s="49">
        <f>'Baseline NFPC'!M70</f>
        <v>0</v>
      </c>
      <c r="N70" s="49">
        <f>'Baseline NFPC'!N70</f>
        <v>0</v>
      </c>
      <c r="O70" s="49">
        <f>'Baseline NFPC'!O70</f>
        <v>0</v>
      </c>
      <c r="P70" s="49">
        <f>'Baseline NFPC'!P70</f>
        <v>0</v>
      </c>
      <c r="Q70" s="49">
        <f>'Baseline NFPC'!Q70</f>
        <v>0</v>
      </c>
      <c r="R70" s="49">
        <f>'Baseline NFPC'!R70</f>
        <v>0</v>
      </c>
      <c r="S70" s="49">
        <f>'Baseline NFPC'!S70</f>
        <v>0</v>
      </c>
      <c r="T70" s="49">
        <f>'Baseline NFPC'!T70</f>
        <v>0</v>
      </c>
      <c r="U70" s="49">
        <f>'Baseline NFPC'!U70</f>
        <v>0</v>
      </c>
      <c r="V70" s="49">
        <f>'Baseline NFPC'!V70</f>
        <v>0</v>
      </c>
      <c r="W70" s="49">
        <f>'Baseline NFPC'!W70</f>
        <v>0</v>
      </c>
    </row>
    <row r="71" spans="2:23" outlineLevel="1" x14ac:dyDescent="0.2">
      <c r="B71" s="84" t="s">
        <v>119</v>
      </c>
      <c r="C71" s="50"/>
      <c r="D71" s="50">
        <f>'Input data'!D16</f>
        <v>-1.3102750000000001</v>
      </c>
      <c r="E71" s="50">
        <f>'Input data'!E16</f>
        <v>-0.94044799999999995</v>
      </c>
      <c r="F71" s="50">
        <f>'Input data'!F16</f>
        <v>1.1851989999999999</v>
      </c>
      <c r="G71" s="50">
        <f>'Input data'!G16</f>
        <v>6.6724400000000003E-2</v>
      </c>
      <c r="H71" s="50">
        <f>'Input data'!H16</f>
        <v>0</v>
      </c>
      <c r="I71" s="50">
        <f>'Input data'!I16</f>
        <v>0</v>
      </c>
      <c r="J71" s="50">
        <f>'Input data'!J16</f>
        <v>0</v>
      </c>
      <c r="K71" s="50">
        <f>'Input data'!K16</f>
        <v>0</v>
      </c>
      <c r="L71" s="50">
        <f>'Input data'!L16</f>
        <v>0</v>
      </c>
      <c r="M71" s="50">
        <f>'Input data'!M16</f>
        <v>0</v>
      </c>
      <c r="N71" s="50">
        <f>'Input data'!N16</f>
        <v>0</v>
      </c>
      <c r="O71" s="50">
        <f>'Input data'!O16</f>
        <v>0</v>
      </c>
      <c r="P71" s="50">
        <f>'Input data'!P16</f>
        <v>0</v>
      </c>
      <c r="Q71" s="50">
        <f>'Input data'!Q16</f>
        <v>0</v>
      </c>
      <c r="R71" s="50">
        <f>'Input data'!R16</f>
        <v>0</v>
      </c>
      <c r="S71" s="50">
        <f>'Input data'!S16</f>
        <v>0</v>
      </c>
      <c r="T71" s="50">
        <f>'Input data'!T16</f>
        <v>0</v>
      </c>
      <c r="U71" s="50">
        <f>'Input data'!U16</f>
        <v>0</v>
      </c>
      <c r="V71" s="50">
        <f>'Input data'!V16</f>
        <v>0</v>
      </c>
      <c r="W71" s="50">
        <f>'Input data'!W16</f>
        <v>0</v>
      </c>
    </row>
    <row r="72" spans="2:23" outlineLevel="1" x14ac:dyDescent="0.2">
      <c r="B72" s="79" t="s">
        <v>120</v>
      </c>
      <c r="C72" s="34"/>
      <c r="D72" s="34">
        <f t="shared" ref="D72:W72" si="31">D14</f>
        <v>-1.3102750000000001</v>
      </c>
      <c r="E72" s="34">
        <f t="shared" si="31"/>
        <v>-0.94044729999999999</v>
      </c>
      <c r="F72" s="34">
        <f t="shared" si="31"/>
        <v>1.1851970000000001</v>
      </c>
      <c r="G72" s="34">
        <f t="shared" si="31"/>
        <v>6.6727599999999998E-2</v>
      </c>
      <c r="H72" s="34">
        <f t="shared" si="31"/>
        <v>0</v>
      </c>
      <c r="I72" s="34">
        <f t="shared" si="31"/>
        <v>0</v>
      </c>
      <c r="J72" s="34">
        <f t="shared" si="31"/>
        <v>0</v>
      </c>
      <c r="K72" s="34">
        <f t="shared" si="31"/>
        <v>0</v>
      </c>
      <c r="L72" s="34">
        <f t="shared" si="31"/>
        <v>0</v>
      </c>
      <c r="M72" s="34">
        <f t="shared" si="31"/>
        <v>0</v>
      </c>
      <c r="N72" s="34">
        <f t="shared" si="31"/>
        <v>0</v>
      </c>
      <c r="O72" s="34">
        <f t="shared" si="31"/>
        <v>0</v>
      </c>
      <c r="P72" s="34">
        <f t="shared" si="31"/>
        <v>0</v>
      </c>
      <c r="Q72" s="34">
        <f t="shared" si="31"/>
        <v>0</v>
      </c>
      <c r="R72" s="34">
        <f t="shared" si="31"/>
        <v>0</v>
      </c>
      <c r="S72" s="34">
        <f t="shared" si="31"/>
        <v>0</v>
      </c>
      <c r="T72" s="34">
        <f t="shared" si="31"/>
        <v>0</v>
      </c>
      <c r="U72" s="34">
        <f t="shared" si="31"/>
        <v>0</v>
      </c>
      <c r="V72" s="34">
        <f t="shared" si="31"/>
        <v>0</v>
      </c>
      <c r="W72" s="34">
        <f t="shared" si="31"/>
        <v>0</v>
      </c>
    </row>
    <row r="73" spans="2:23" outlineLevel="1" x14ac:dyDescent="0.2">
      <c r="B73" s="89" t="s">
        <v>121</v>
      </c>
      <c r="C73" s="49"/>
      <c r="D73" s="49">
        <f>+D71-D72</f>
        <v>0</v>
      </c>
      <c r="E73" s="49">
        <f t="shared" ref="E73:T73" si="32">+E71-E72</f>
        <v>-6.9999999996461781E-7</v>
      </c>
      <c r="F73" s="49">
        <f t="shared" si="32"/>
        <v>1.9999999998354667E-6</v>
      </c>
      <c r="G73" s="49">
        <f t="shared" si="32"/>
        <v>-3.1999999999948736E-6</v>
      </c>
      <c r="H73" s="49">
        <f t="shared" si="32"/>
        <v>0</v>
      </c>
      <c r="I73" s="49">
        <f t="shared" si="32"/>
        <v>0</v>
      </c>
      <c r="J73" s="49">
        <f t="shared" si="32"/>
        <v>0</v>
      </c>
      <c r="K73" s="49">
        <f t="shared" si="32"/>
        <v>0</v>
      </c>
      <c r="L73" s="49">
        <f t="shared" si="32"/>
        <v>0</v>
      </c>
      <c r="M73" s="49">
        <f t="shared" si="32"/>
        <v>0</v>
      </c>
      <c r="N73" s="49">
        <f t="shared" si="32"/>
        <v>0</v>
      </c>
      <c r="O73" s="49">
        <f t="shared" si="32"/>
        <v>0</v>
      </c>
      <c r="P73" s="49">
        <f t="shared" si="32"/>
        <v>0</v>
      </c>
      <c r="Q73" s="49">
        <f t="shared" si="32"/>
        <v>0</v>
      </c>
      <c r="R73" s="49">
        <f t="shared" si="32"/>
        <v>0</v>
      </c>
      <c r="S73" s="49">
        <f t="shared" si="32"/>
        <v>0</v>
      </c>
      <c r="T73" s="49">
        <f t="shared" si="32"/>
        <v>0</v>
      </c>
      <c r="U73" s="49">
        <f t="shared" ref="U73:W73" si="33">+U71-U72</f>
        <v>0</v>
      </c>
      <c r="V73" s="49">
        <f t="shared" si="33"/>
        <v>0</v>
      </c>
      <c r="W73" s="49">
        <f t="shared" si="33"/>
        <v>0</v>
      </c>
    </row>
    <row r="74" spans="2:23" outlineLevel="1" x14ac:dyDescent="0.2">
      <c r="B74" s="79"/>
      <c r="C74" s="34"/>
      <c r="D74" s="34"/>
      <c r="E74" s="34"/>
      <c r="F74" s="34"/>
      <c r="G74" s="34"/>
      <c r="H74" s="34"/>
      <c r="I74" s="34"/>
      <c r="J74" s="34"/>
      <c r="K74" s="34"/>
      <c r="L74" s="34"/>
      <c r="M74" s="34"/>
      <c r="N74" s="34"/>
      <c r="O74" s="34"/>
      <c r="P74" s="34"/>
      <c r="Q74" s="34"/>
      <c r="R74" s="34"/>
      <c r="S74" s="34"/>
      <c r="T74" s="34"/>
      <c r="U74" s="34"/>
      <c r="V74" s="34"/>
      <c r="W74" s="34"/>
    </row>
    <row r="75" spans="2:23" x14ac:dyDescent="0.2">
      <c r="B75" s="51" t="s">
        <v>187</v>
      </c>
      <c r="C75" s="51"/>
      <c r="D75" s="51"/>
      <c r="E75" s="51"/>
      <c r="F75" s="51"/>
      <c r="G75" s="51"/>
      <c r="H75" s="51"/>
      <c r="I75" s="51"/>
      <c r="J75" s="51"/>
      <c r="K75" s="51">
        <f t="shared" ref="K75:W75" si="34">IF(K56&lt;J56,0,1)</f>
        <v>0</v>
      </c>
      <c r="L75" s="51">
        <f t="shared" si="34"/>
        <v>0</v>
      </c>
      <c r="M75" s="51">
        <f t="shared" si="34"/>
        <v>0</v>
      </c>
      <c r="N75" s="51">
        <f t="shared" si="34"/>
        <v>0</v>
      </c>
      <c r="O75" s="51">
        <f t="shared" si="34"/>
        <v>0</v>
      </c>
      <c r="P75" s="51">
        <f t="shared" si="34"/>
        <v>0</v>
      </c>
      <c r="Q75" s="51">
        <f t="shared" si="34"/>
        <v>0</v>
      </c>
      <c r="R75" s="51">
        <f t="shared" si="34"/>
        <v>0</v>
      </c>
      <c r="S75" s="51">
        <f t="shared" si="34"/>
        <v>1</v>
      </c>
      <c r="T75" s="51">
        <f t="shared" si="34"/>
        <v>1</v>
      </c>
      <c r="U75" s="51">
        <f t="shared" si="34"/>
        <v>1</v>
      </c>
      <c r="V75" s="51">
        <f t="shared" si="34"/>
        <v>1</v>
      </c>
      <c r="W75" s="51">
        <f t="shared" si="34"/>
        <v>1</v>
      </c>
    </row>
    <row r="76" spans="2:23" x14ac:dyDescent="0.2">
      <c r="D76" s="53"/>
    </row>
    <row r="77" spans="2:23" s="93" customFormat="1" ht="12.75" outlineLevel="1" x14ac:dyDescent="0.2">
      <c r="B77" s="94" t="s">
        <v>124</v>
      </c>
      <c r="C77" s="95"/>
      <c r="E77" s="96"/>
      <c r="F77" s="95"/>
    </row>
    <row r="78" spans="2:23" x14ac:dyDescent="0.2">
      <c r="C78" s="34"/>
      <c r="D78" s="34"/>
      <c r="E78" s="34"/>
      <c r="F78" s="34"/>
      <c r="G78" s="34"/>
      <c r="H78" s="34"/>
      <c r="I78" s="34"/>
      <c r="J78" s="34"/>
      <c r="K78" s="34"/>
      <c r="L78" s="34"/>
      <c r="M78" s="34"/>
      <c r="N78" s="34"/>
      <c r="O78" s="34"/>
      <c r="P78" s="34"/>
      <c r="Q78" s="34"/>
      <c r="R78" s="34"/>
      <c r="S78" s="34"/>
      <c r="T78" s="34"/>
      <c r="U78" s="34"/>
      <c r="V78" s="34"/>
      <c r="W78" s="34"/>
    </row>
    <row r="79" spans="2:23" x14ac:dyDescent="0.2">
      <c r="B79" s="26" t="s">
        <v>125</v>
      </c>
      <c r="E79" s="111">
        <f t="shared" ref="E79:F79" si="35">IF((E83-D83*E42/((1+E23/100)*(1+E41/100)))&gt;0,1,0)</f>
        <v>1</v>
      </c>
      <c r="F79" s="111">
        <f t="shared" si="35"/>
        <v>1</v>
      </c>
      <c r="G79" s="111">
        <f>IF((G83-F83*G42/((1+G23/100)*(1+G41/100)))&gt;0,1,0)</f>
        <v>1</v>
      </c>
      <c r="H79" s="111">
        <f t="shared" ref="H79:W79" si="36">IF((H83-G83*H42/((1+H23/100)*(1+H41/100)))&gt;0,1,0)</f>
        <v>1</v>
      </c>
      <c r="I79" s="111">
        <f t="shared" si="36"/>
        <v>1</v>
      </c>
      <c r="J79" s="111">
        <f t="shared" si="36"/>
        <v>1</v>
      </c>
      <c r="K79" s="111">
        <f t="shared" si="36"/>
        <v>1</v>
      </c>
      <c r="L79" s="111">
        <f t="shared" si="36"/>
        <v>1</v>
      </c>
      <c r="M79" s="111">
        <f t="shared" si="36"/>
        <v>1</v>
      </c>
      <c r="N79" s="111">
        <f t="shared" si="36"/>
        <v>1</v>
      </c>
      <c r="O79" s="111">
        <f t="shared" si="36"/>
        <v>1</v>
      </c>
      <c r="P79" s="111">
        <f t="shared" si="36"/>
        <v>1</v>
      </c>
      <c r="Q79" s="111">
        <f t="shared" si="36"/>
        <v>1</v>
      </c>
      <c r="R79" s="111">
        <f t="shared" si="36"/>
        <v>1</v>
      </c>
      <c r="S79" s="111">
        <f t="shared" si="36"/>
        <v>1</v>
      </c>
      <c r="T79" s="111">
        <f t="shared" si="36"/>
        <v>1</v>
      </c>
      <c r="U79" s="111">
        <f t="shared" si="36"/>
        <v>1</v>
      </c>
      <c r="V79" s="111">
        <f t="shared" si="36"/>
        <v>1</v>
      </c>
      <c r="W79" s="111">
        <f t="shared" si="36"/>
        <v>1</v>
      </c>
    </row>
    <row r="80" spans="2:23" x14ac:dyDescent="0.2">
      <c r="B80" s="26" t="s">
        <v>126</v>
      </c>
      <c r="E80" s="111">
        <f t="shared" ref="E80:F80" si="37">IF(AND(E79=0,ABS(E83-D83*E42/((1+E23/100)*(1+E41/100)))&lt;((D89*D83*E42/((1+E23/100)*(1+E41/100))+(E38*D83*D90*E42/((1+E23/100)*(1+E41/100)))))),1,0)</f>
        <v>0</v>
      </c>
      <c r="F80" s="111">
        <f t="shared" si="37"/>
        <v>0</v>
      </c>
      <c r="G80" s="111">
        <f>IF(AND(G79=0,ABS(G83-F83*G42/((1+G23/100)*(1+G41/100)))&lt;((F89*F83*G42/((1+G23/100)*(1+G41/100))+(G38*F83*F90*G42/((1+G23/100)*(1+G41/100)))))),1,0)</f>
        <v>0</v>
      </c>
      <c r="H80" s="111">
        <f t="shared" ref="H80:W80" si="38">IF(AND(H79=0,ABS(H83-G83*H42/((1+H23/100)*(1+H41/100)))&lt;((G89*G83*H42/((1+H23/100)*(1+H41/100))+(H38*G83*G90*H42/((1+H23/100)*(1+H41/100)))))),1,0)</f>
        <v>0</v>
      </c>
      <c r="I80" s="111">
        <f t="shared" si="38"/>
        <v>0</v>
      </c>
      <c r="J80" s="111">
        <f t="shared" si="38"/>
        <v>0</v>
      </c>
      <c r="K80" s="111">
        <f t="shared" si="38"/>
        <v>0</v>
      </c>
      <c r="L80" s="111">
        <f t="shared" si="38"/>
        <v>0</v>
      </c>
      <c r="M80" s="111">
        <f t="shared" si="38"/>
        <v>0</v>
      </c>
      <c r="N80" s="111">
        <f t="shared" si="38"/>
        <v>0</v>
      </c>
      <c r="O80" s="111">
        <f t="shared" si="38"/>
        <v>0</v>
      </c>
      <c r="P80" s="111">
        <f t="shared" si="38"/>
        <v>0</v>
      </c>
      <c r="Q80" s="111">
        <f t="shared" si="38"/>
        <v>0</v>
      </c>
      <c r="R80" s="111">
        <f t="shared" si="38"/>
        <v>0</v>
      </c>
      <c r="S80" s="111">
        <f t="shared" si="38"/>
        <v>0</v>
      </c>
      <c r="T80" s="111">
        <f t="shared" si="38"/>
        <v>0</v>
      </c>
      <c r="U80" s="111">
        <f t="shared" si="38"/>
        <v>0</v>
      </c>
      <c r="V80" s="111">
        <f t="shared" si="38"/>
        <v>0</v>
      </c>
      <c r="W80" s="111">
        <f t="shared" si="38"/>
        <v>0</v>
      </c>
    </row>
    <row r="82" spans="2:23" x14ac:dyDescent="0.2">
      <c r="B82" s="51"/>
      <c r="C82" s="86">
        <v>2021</v>
      </c>
      <c r="D82" s="86">
        <v>2022</v>
      </c>
      <c r="E82" s="86">
        <v>2023</v>
      </c>
      <c r="F82" s="86">
        <v>2024</v>
      </c>
      <c r="G82" s="86">
        <v>2025</v>
      </c>
      <c r="H82" s="86">
        <v>2026</v>
      </c>
      <c r="I82" s="86">
        <v>2027</v>
      </c>
      <c r="J82" s="86">
        <v>2028</v>
      </c>
      <c r="K82" s="86">
        <v>2029</v>
      </c>
      <c r="L82" s="86">
        <v>2030</v>
      </c>
      <c r="M82" s="86">
        <v>2031</v>
      </c>
      <c r="N82" s="86">
        <v>2032</v>
      </c>
      <c r="O82" s="86">
        <v>2033</v>
      </c>
      <c r="P82" s="86">
        <v>2034</v>
      </c>
      <c r="Q82" s="86">
        <v>2035</v>
      </c>
      <c r="R82" s="86">
        <v>2036</v>
      </c>
      <c r="S82" s="86">
        <v>2037</v>
      </c>
      <c r="T82" s="86">
        <v>2038</v>
      </c>
      <c r="U82" s="86">
        <v>2039</v>
      </c>
      <c r="V82" s="86">
        <v>2040</v>
      </c>
      <c r="W82" s="86">
        <v>2041</v>
      </c>
    </row>
    <row r="83" spans="2:23" x14ac:dyDescent="0.2">
      <c r="B83" s="106" t="s">
        <v>104</v>
      </c>
      <c r="C83" s="110">
        <f>C56</f>
        <v>53.925649999999997</v>
      </c>
      <c r="D83" s="110">
        <f>D56</f>
        <v>51.626479730977287</v>
      </c>
      <c r="E83" s="110">
        <f>E56</f>
        <v>50.396658431512243</v>
      </c>
      <c r="F83" s="110">
        <f>F56</f>
        <v>52.027240532489337</v>
      </c>
      <c r="G83" s="110">
        <f>G56</f>
        <v>52.730907877542279</v>
      </c>
      <c r="H83" s="110">
        <f>G83*(1+H97/100)*H42-H59-H60+H61+H62+H63+H64+H65+H71</f>
        <v>52.947955578274673</v>
      </c>
      <c r="I83" s="110">
        <f t="shared" ref="I83:T83" si="39">H83*(1+I97/100)*I42-I59-I60+I61+I62+I63+I64+I65+I71</f>
        <v>52.754005449493576</v>
      </c>
      <c r="J83" s="110">
        <f t="shared" si="39"/>
        <v>52.204191928643525</v>
      </c>
      <c r="K83" s="110">
        <f t="shared" si="39"/>
        <v>51.484774799876604</v>
      </c>
      <c r="L83" s="110">
        <f t="shared" si="39"/>
        <v>50.607761849544893</v>
      </c>
      <c r="M83" s="110">
        <f t="shared" si="39"/>
        <v>49.6794310492186</v>
      </c>
      <c r="N83" s="110">
        <f t="shared" si="39"/>
        <v>48.995002692462322</v>
      </c>
      <c r="O83" s="110">
        <f t="shared" si="39"/>
        <v>48.364492943104395</v>
      </c>
      <c r="P83" s="110">
        <f t="shared" si="39"/>
        <v>47.938057080237215</v>
      </c>
      <c r="Q83" s="110">
        <f t="shared" si="39"/>
        <v>47.719733890100407</v>
      </c>
      <c r="R83" s="110">
        <f t="shared" si="39"/>
        <v>47.714905626521812</v>
      </c>
      <c r="S83" s="110">
        <f t="shared" si="39"/>
        <v>47.823423580640387</v>
      </c>
      <c r="T83" s="110">
        <f t="shared" si="39"/>
        <v>48.062139553615786</v>
      </c>
      <c r="U83" s="110">
        <f>T83*(1+U97/100)*U42-U59-U60+U61+U62+U63+U64+U65+U71</f>
        <v>48.455879646279385</v>
      </c>
      <c r="V83" s="110">
        <f t="shared" ref="V83:W83" si="40">U83*(1+V97/100)*V42-V59-V60+V61+V62+V63+V64+V65+V71</f>
        <v>49.01775584778116</v>
      </c>
      <c r="W83" s="110">
        <f t="shared" si="40"/>
        <v>49.758965240916105</v>
      </c>
    </row>
    <row r="84" spans="2:23" x14ac:dyDescent="0.2">
      <c r="B84" s="26" t="s">
        <v>127</v>
      </c>
      <c r="C84" s="34"/>
      <c r="D84" s="254">
        <f>'Input data'!C66*$D$83</f>
        <v>40.602371246986003</v>
      </c>
      <c r="E84" s="34">
        <f t="shared" ref="E84" si="41">IF(E83=0,0,IF(E79=1,D83*E42/((1+E23/100)*(1+E41/100))-E85-E86,IF(AND(E79=0,E80=1),(1-D89-E38*D90)*D83*E42/((1+E23/100)*(1+E41/100)),E83)))</f>
        <v>37.860894175576689</v>
      </c>
      <c r="F84" s="34">
        <f t="shared" ref="F84" si="42">IF(F83=0,0,IF(F79=1,E83*F42/((1+F23/100)*(1+F41/100))-F85-F86,IF(AND(F79=0,F80=1),(1-E89-F38*E90)*E83*F42/((1+F23/100)*(1+F41/100)),F83)))</f>
        <v>38.019239464248713</v>
      </c>
      <c r="G84" s="34">
        <f t="shared" ref="G84" si="43">IF(G83=0,0,IF(G79=1,F83*G42/((1+G23/100)*(1+G41/100))-G85-G86,IF(AND(G79=0,G80=1),(1-F89-G38*F90)*F83*G42/((1+G23/100)*(1+G41/100)),G83)))</f>
        <v>39.688801788439605</v>
      </c>
      <c r="H84" s="34">
        <f t="shared" ref="H84:W84" si="44">IF(H83=0,0,IF(H79=1,G83*H42/((1+H23/100)*(1+H41/100))-H85-H86,IF(AND(H79=0,H80=1),(1-G89-H38*G90)*G83*H42/((1+H23/100)*(1+H41/100)),H83)))</f>
        <v>40.171165073085703</v>
      </c>
      <c r="I84" s="34">
        <f t="shared" si="44"/>
        <v>40.280137358718825</v>
      </c>
      <c r="J84" s="34">
        <f t="shared" si="44"/>
        <v>40.110982180469783</v>
      </c>
      <c r="K84" s="34">
        <f t="shared" si="44"/>
        <v>39.538792034271893</v>
      </c>
      <c r="L84" s="34">
        <f t="shared" si="44"/>
        <v>38.986447305613417</v>
      </c>
      <c r="M84" s="34">
        <f t="shared" si="44"/>
        <v>38.335322227851208</v>
      </c>
      <c r="N84" s="34">
        <f t="shared" si="44"/>
        <v>37.75947411133847</v>
      </c>
      <c r="O84" s="34">
        <f t="shared" si="44"/>
        <v>37.212693644131129</v>
      </c>
      <c r="P84" s="34">
        <f t="shared" si="44"/>
        <v>36.877288566652389</v>
      </c>
      <c r="Q84" s="34">
        <f t="shared" si="44"/>
        <v>36.694741995823605</v>
      </c>
      <c r="R84" s="34">
        <f t="shared" si="44"/>
        <v>36.670024743332561</v>
      </c>
      <c r="S84" s="34">
        <f t="shared" si="44"/>
        <v>36.727957252005247</v>
      </c>
      <c r="T84" s="34">
        <f t="shared" si="44"/>
        <v>36.883281682780421</v>
      </c>
      <c r="U84" s="34">
        <f t="shared" si="44"/>
        <v>37.148981459948757</v>
      </c>
      <c r="V84" s="34">
        <f t="shared" si="44"/>
        <v>37.532872465173668</v>
      </c>
      <c r="W84" s="34">
        <f t="shared" si="44"/>
        <v>38.044214533028303</v>
      </c>
    </row>
    <row r="85" spans="2:23" x14ac:dyDescent="0.2">
      <c r="B85" s="105" t="s">
        <v>128</v>
      </c>
      <c r="C85" s="34"/>
      <c r="D85" s="254">
        <f>'Input data'!C67*$D$83</f>
        <v>4.064303127827737E-2</v>
      </c>
      <c r="E85" s="34">
        <f t="shared" ref="E85" si="45">IF(E83=0,0,IF(E79=1,E38*D83*D90*E42/((1+E23/100)*(1+E41/100)),IF(AND(E79=0,E80=1),(E38*D83*D90*E42/((1+E23/100)*(1+E41/100)))*(1-ABS(E83-D83*E42/((1+E23/100)*(1+E41/100)))/((E38*D83*D90*E42/((1+E23/100)*(1+E41/100)))+(D89*D83*E42/((1+E23/100)*(1+E41/100))))),0)))</f>
        <v>1.9515624310289765</v>
      </c>
      <c r="F85" s="34">
        <f t="shared" ref="F85" si="46">IF(F83=0,0,IF(F79=1,F38*E83*E90*F42/((1+F23/100)*(1+F41/100)),IF(AND(F79=0,F80=1),(F38*E83*E90*F42/((1+F23/100)*(1+F41/100)))*(1-ABS(F83-E83*F42/((1+F23/100)*(1+F41/100)))/((F38*E83*E90*F42/((1+F23/100)*(1+F41/100)))+(E89*E83*F42/((1+F23/100)*(1+F41/100))))),0)))</f>
        <v>1.8951143607196621</v>
      </c>
      <c r="G85" s="34">
        <f t="shared" ref="G85" si="47">IF(G83=0,0,IF(G79=1,G38*F83*F90*G42/((1+G23/100)*(1+G41/100)),IF(AND(G79=0,G80=1),(G38*F83*F90*G42/((1+G23/100)*(1+G41/100)))*(1-ABS(G83-F83*G42/((1+G23/100)*(1+G41/100)))/((G38*F83*F90*G42/((1+G23/100)*(1+G41/100)))+(F89*F83*G42/((1+G23/100)*(1+G41/100))))),0)))</f>
        <v>2.0441466815158553</v>
      </c>
      <c r="H85" s="34">
        <f t="shared" ref="H85:W85" si="48">IF(H83=0,0,IF(H79=1,H38*G83*G90*H42/((1+H23/100)*(1+H41/100)),IF(AND(H79=0,H80=1),(H38*G83*G90*H42/((1+H23/100)*(1+H41/100)))*(1-ABS(H83-G83*H42/((1+H23/100)*(1+H41/100)))/((H38*G83*G90*H42/((1+H23/100)*(1+H41/100)))+(G89*G83*H42/((1+H23/100)*(1+H41/100))))),0)))</f>
        <v>2.1358120846283555</v>
      </c>
      <c r="I85" s="34">
        <f t="shared" si="48"/>
        <v>2.2088210792668197</v>
      </c>
      <c r="J85" s="34">
        <f t="shared" si="48"/>
        <v>2.2666905555679744</v>
      </c>
      <c r="K85" s="34">
        <f t="shared" si="48"/>
        <v>2.3007537398385112</v>
      </c>
      <c r="L85" s="34">
        <f t="shared" si="48"/>
        <v>2.33429174117432</v>
      </c>
      <c r="M85" s="34">
        <f t="shared" si="48"/>
        <v>2.3600938486114682</v>
      </c>
      <c r="N85" s="34">
        <f t="shared" si="48"/>
        <v>2.3886605577162427</v>
      </c>
      <c r="O85" s="34">
        <f t="shared" si="48"/>
        <v>2.4173645963691803</v>
      </c>
      <c r="P85" s="34">
        <f t="shared" si="48"/>
        <v>2.3955764300113964</v>
      </c>
      <c r="Q85" s="34">
        <f t="shared" si="48"/>
        <v>2.3837180673319804</v>
      </c>
      <c r="R85" s="34">
        <f t="shared" si="48"/>
        <v>2.3821124160006693</v>
      </c>
      <c r="S85" s="34">
        <f t="shared" si="48"/>
        <v>2.3858757553811363</v>
      </c>
      <c r="T85" s="34">
        <f t="shared" si="48"/>
        <v>2.3959657473472604</v>
      </c>
      <c r="U85" s="34">
        <f t="shared" si="48"/>
        <v>2.4132258049161162</v>
      </c>
      <c r="V85" s="34">
        <f t="shared" si="48"/>
        <v>2.4381636536450979</v>
      </c>
      <c r="W85" s="34">
        <f t="shared" si="48"/>
        <v>2.4713808193597591</v>
      </c>
    </row>
    <row r="86" spans="2:23" x14ac:dyDescent="0.2">
      <c r="B86" s="105" t="s">
        <v>129</v>
      </c>
      <c r="C86" s="34"/>
      <c r="D86" s="254">
        <f>'Input data'!C68*$D$83</f>
        <v>6.7592062017853909</v>
      </c>
      <c r="E86" s="34">
        <f t="shared" ref="E86" si="49">IF(E83=0,0,IF(E79=1,(1-D90)*D83*E42/((1+E23/100)*(1+E41/100)),IF(AND(E79=0,E80=1),(D89*D83*E42/((1+E23/100)*(1+E41/100)))*(1-ABS(E83-D83*E42/((1+E23/100)*(1+E41/100)))/((E38*D83*D90*E42/((1+E23/100)*(1+E41/100)))+(D89*D83*E42/((1+E23/100)*(1+E41/100))))),0)))</f>
        <v>6.6210823702360049</v>
      </c>
      <c r="F86" s="34">
        <f t="shared" ref="F86" si="50">IF(F83=0,0,IF(F79=1,(1-E90)*E83*F42/((1+F23/100)*(1+F41/100)),IF(AND(F79=0,F80=1),(E89*E83*F42/((1+F23/100)*(1+F41/100)))*(1-ABS(F83-E83*F42/((1+F23/100)*(1+F41/100)))/((F38*E83*E90*F42/((1+F23/100)*(1+F41/100)))+(E89*E83*F42/((1+F23/100)*(1+F41/100))))),0)))</f>
        <v>6.5851096523336512</v>
      </c>
      <c r="G86" s="34">
        <f t="shared" ref="G86" si="51">IF(G83=0,0,IF(G79=1,(1-F90)*F83*G42/((1+G23/100)*(1+G41/100)),IF(AND(G79=0,G80=1),(F89*F83*G42/((1+G23/100)*(1+G41/100)))*(1-ABS(G83-F83*G42/((1+G23/100)*(1+G41/100)))/((G38*F83*F90*G42/((1+G23/100)*(1+G41/100)))+(F89*F83*G42/((1+G23/100)*(1+G41/100))))),0)))</f>
        <v>6.8164415480296876</v>
      </c>
      <c r="H86" s="34">
        <f t="shared" ref="H86:W86" si="52">IF(H83=0,0,IF(H79=1,(1-G90)*G83*H42/((1+H23/100)*(1+H41/100)),IF(AND(H79=0,H80=1),(G89*G83*H42/((1+H23/100)*(1+H41/100)))*(1-ABS(H83-G83*H42/((1+H23/100)*(1+H41/100)))/((H38*G83*G90*H42/((1+H23/100)*(1+H41/100)))+(G89*G83*H42/((1+H23/100)*(1+H41/100))))),0)))</f>
        <v>6.8638511193776841</v>
      </c>
      <c r="I86" s="34">
        <f t="shared" si="52"/>
        <v>6.8548879647223533</v>
      </c>
      <c r="J86" s="34">
        <f t="shared" si="52"/>
        <v>6.8046768461623985</v>
      </c>
      <c r="K86" s="34">
        <f t="shared" si="52"/>
        <v>6.6916260581614102</v>
      </c>
      <c r="L86" s="34">
        <f t="shared" si="52"/>
        <v>6.5841086512547857</v>
      </c>
      <c r="M86" s="34">
        <f t="shared" si="52"/>
        <v>6.463277794629585</v>
      </c>
      <c r="N86" s="34">
        <f t="shared" si="52"/>
        <v>6.3575737011613773</v>
      </c>
      <c r="O86" s="34">
        <f t="shared" si="52"/>
        <v>6.2579241981681379</v>
      </c>
      <c r="P86" s="34">
        <f t="shared" si="52"/>
        <v>6.1848379014706714</v>
      </c>
      <c r="Q86" s="34">
        <f t="shared" si="52"/>
        <v>6.1383190908406746</v>
      </c>
      <c r="R86" s="34">
        <f t="shared" si="52"/>
        <v>6.1189178202058185</v>
      </c>
      <c r="S86" s="34">
        <f t="shared" si="52"/>
        <v>6.1138675722216638</v>
      </c>
      <c r="T86" s="34">
        <f t="shared" si="52"/>
        <v>6.1254882091955478</v>
      </c>
      <c r="U86" s="34">
        <f t="shared" si="52"/>
        <v>6.155810677980651</v>
      </c>
      <c r="V86" s="34">
        <f t="shared" si="52"/>
        <v>6.205967273871285</v>
      </c>
      <c r="W86" s="34">
        <f t="shared" si="52"/>
        <v>6.2773242939091505</v>
      </c>
    </row>
    <row r="87" spans="2:23" x14ac:dyDescent="0.2">
      <c r="B87" s="105" t="s">
        <v>130</v>
      </c>
      <c r="C87" s="34"/>
      <c r="D87" s="254">
        <f>'Input data'!C69*$D$83</f>
        <v>3.6219077873668084</v>
      </c>
      <c r="E87" s="34">
        <f>IF(E83=0,0,IF(E79=1,'Input data'!$C$58*(E83-D83*E42/((1+E23/100)*(1+E41/100))),0))</f>
        <v>3.4471835226479048</v>
      </c>
      <c r="F87" s="34">
        <f>IF(F83=0,0,IF(F79=1,'Input data'!$C$58*(F83-E83*F42/((1+F23/100)*(1+F41/100))),0))</f>
        <v>4.8081472687016928</v>
      </c>
      <c r="G87" s="34">
        <f>IF(G83=0,0,IF(G79=1,'Input data'!$C$58*(G83-F83*G42/((1+G23/100)*(1+G41/100))),0))</f>
        <v>3.6371498840731888</v>
      </c>
      <c r="H87" s="34">
        <f>IF(H83=0,0,IF(H79=1,'Input data'!$C$58*(H83-G83*H42/((1+H23/100)*(1+H41/100))),0))</f>
        <v>3.2854046274675404</v>
      </c>
      <c r="I87" s="34">
        <f>IF(I83=0,0,IF(I79=1,'Input data'!$C$58*(I83-H83*I42/((1+I23/100)*(1+I41/100))),0))</f>
        <v>2.9662098783911319</v>
      </c>
      <c r="J87" s="34">
        <f>IF(J83=0,0,IF(J79=1,'Input data'!$C$58*(J83-I83*J42/((1+J23/100)*(1+J41/100))),0))</f>
        <v>2.6284459158612772</v>
      </c>
      <c r="K87" s="34">
        <f>IF(K83=0,0,IF(K79=1,'Input data'!$C$58*(K83-J83*K42/((1+K23/100)*(1+K41/100))),0))</f>
        <v>2.5690902327892355</v>
      </c>
      <c r="L87" s="34">
        <f>IF(L83=0,0,IF(L79=1,'Input data'!$C$58*(L83-K83*L42/((1+L23/100)*(1+L41/100))),0))</f>
        <v>2.3510371647289396</v>
      </c>
      <c r="M87" s="34">
        <f>IF(M83=0,0,IF(M79=1,'Input data'!$C$58*(M83-L83*M42/((1+M23/100)*(1+M41/100))),0))</f>
        <v>2.1925767731079864</v>
      </c>
      <c r="N87" s="34">
        <f>IF(N83=0,0,IF(N79=1,'Input data'!$C$58*(N83-M83*N42/((1+N23/100)*(1+N41/100))),0))</f>
        <v>2.1652272834106308</v>
      </c>
      <c r="O87" s="34">
        <f>IF(O83=0,0,IF(O79=1,'Input data'!$C$58*(O83-N83*O42/((1+O23/100)*(1+O41/100))),0))</f>
        <v>2.1541077179733028</v>
      </c>
      <c r="P87" s="34">
        <f>IF(P83=0,0,IF(P79=1,'Input data'!$C$58*(P83-O83*P42/((1+P23/100)*(1+P41/100))),0))</f>
        <v>2.1574510091536379</v>
      </c>
      <c r="Q87" s="34">
        <f>IF(Q83=0,0,IF(Q79=1,'Input data'!$C$58*(Q83-P83*Q42/((1+Q23/100)*(1+Q41/100))),0))</f>
        <v>2.177109325852741</v>
      </c>
      <c r="R87" s="34">
        <f>IF(R83=0,0,IF(R79=1,'Input data'!$C$58*(R83-Q83*R42/((1+R23/100)*(1+R41/100))),0))</f>
        <v>2.2126812312007695</v>
      </c>
      <c r="S87" s="34">
        <f>IF(S83=0,0,IF(S79=1,'Input data'!$C$58*(S83-R83*S42/((1+S23/100)*(1+S41/100))),0))</f>
        <v>2.2578006191490454</v>
      </c>
      <c r="T87" s="34">
        <f>IF(T83=0,0,IF(T79=1,'Input data'!$C$58*(T83-S83*T42/((1+T23/100)*(1+T41/100))),0))</f>
        <v>2.3114516458931216</v>
      </c>
      <c r="U87" s="34">
        <f>IF(U83=0,0,IF(U79=1,'Input data'!$C$58*(U83-T83*U42/((1+U23/100)*(1+U41/100))),0))</f>
        <v>2.3814350940755129</v>
      </c>
      <c r="V87" s="34">
        <f>IF(V83=0,0,IF(V79=1,'Input data'!$C$58*(V83-U83*V42/((1+V23/100)*(1+V41/100))),0))</f>
        <v>2.470931085251789</v>
      </c>
      <c r="W87" s="34">
        <f>IF(W83=0,0,IF(W79=1,'Input data'!$C$58*(W83-V83*W42/((1+W23/100)*(1+W41/100))),0))</f>
        <v>2.5799130251153461</v>
      </c>
    </row>
    <row r="88" spans="2:23" x14ac:dyDescent="0.2">
      <c r="B88" s="107" t="s">
        <v>131</v>
      </c>
      <c r="C88" s="49"/>
      <c r="D88" s="255">
        <f>'Input data'!C70*$D$83</f>
        <v>0.60234756355780006</v>
      </c>
      <c r="E88" s="49">
        <f>IF(E83=0,0,IF(E79=1,'Input data'!$C$57*(E83-D83*E42/((1+E23/100)*(1+E41/100))),0))</f>
        <v>0.51593593202267063</v>
      </c>
      <c r="F88" s="49">
        <f>IF(F83=0,0,IF(F79=1,'Input data'!$C$57*(F83-E83*F42/((1+F23/100)*(1+F41/100))),0))</f>
        <v>0.71962978648562193</v>
      </c>
      <c r="G88" s="49">
        <f>IF(G83=0,0,IF(G79=1,'Input data'!$C$57*(G83-F83*G42/((1+G23/100)*(1+G41/100))),0))</f>
        <v>0.54436797548394367</v>
      </c>
      <c r="H88" s="49">
        <f>IF(H83=0,0,IF(H79=1,'Input data'!$C$57*(H83-G83*H42/((1+H23/100)*(1+H41/100))),0))</f>
        <v>0.49172267371538886</v>
      </c>
      <c r="I88" s="49">
        <f>IF(I83=0,0,IF(I79=1,'Input data'!$C$57*(I83-H83*I42/((1+I23/100)*(1+I41/100))),0))</f>
        <v>0.44394916839444798</v>
      </c>
      <c r="J88" s="49">
        <f>IF(J83=0,0,IF(J79=1,'Input data'!$C$57*(J83-I83*J42/((1+J23/100)*(1+J41/100))),0))</f>
        <v>0.39339643058208684</v>
      </c>
      <c r="K88" s="49">
        <f>IF(K83=0,0,IF(K79=1,'Input data'!$C$57*(K83-J83*K42/((1+K23/100)*(1+K41/100))),0))</f>
        <v>0.38451273481555193</v>
      </c>
      <c r="L88" s="49">
        <f>IF(L83=0,0,IF(L79=1,'Input data'!$C$57*(L83-K83*L42/((1+L23/100)*(1+L41/100))),0))</f>
        <v>0.35187698677342993</v>
      </c>
      <c r="M88" s="49">
        <f>IF(M83=0,0,IF(M79=1,'Input data'!$C$57*(M83-L83*M42/((1+M23/100)*(1+M41/100))),0))</f>
        <v>0.32816040501835275</v>
      </c>
      <c r="N88" s="49">
        <f>IF(N83=0,0,IF(N79=1,'Input data'!$C$57*(N83-M83*N42/((1+N23/100)*(1+N41/100))),0))</f>
        <v>0.32406703883559995</v>
      </c>
      <c r="O88" s="49">
        <f>IF(O83=0,0,IF(O79=1,'Input data'!$C$57*(O83-N83*O42/((1+O23/100)*(1+O41/100))),0))</f>
        <v>0.32240278646264015</v>
      </c>
      <c r="P88" s="49">
        <f>IF(P83=0,0,IF(P79=1,'Input data'!$C$57*(P83-O83*P42/((1+P23/100)*(1+P41/100))),0))</f>
        <v>0.32290317294912008</v>
      </c>
      <c r="Q88" s="49">
        <f>IF(Q83=0,0,IF(Q79=1,'Input data'!$C$57*(Q83-P83*Q42/((1+Q23/100)*(1+Q41/100))),0))</f>
        <v>0.32584541025140268</v>
      </c>
      <c r="R88" s="49">
        <f>IF(R83=0,0,IF(R79=1,'Input data'!$C$57*(R83-Q83*R42/((1+R23/100)*(1+R41/100))),0))</f>
        <v>0.33116941578199888</v>
      </c>
      <c r="S88" s="49">
        <f>IF(S83=0,0,IF(S79=1,'Input data'!$C$57*(S83-R83*S42/((1+S23/100)*(1+S41/100))),0))</f>
        <v>0.33792238188329449</v>
      </c>
      <c r="T88" s="49">
        <f>IF(T83=0,0,IF(T79=1,'Input data'!$C$57*(T83-S83*T42/((1+T23/100)*(1+T41/100))),0))</f>
        <v>0.34595226839943671</v>
      </c>
      <c r="U88" s="49">
        <f>IF(U83=0,0,IF(U79=1,'Input data'!$C$57*(U83-T83*U42/((1+U23/100)*(1+U41/100))),0))</f>
        <v>0.35642660935834436</v>
      </c>
      <c r="V88" s="49">
        <f>IF(V83=0,0,IF(V79=1,'Input data'!$C$57*(V83-U83*V42/((1+V23/100)*(1+V41/100))),0))</f>
        <v>0.36982136983931713</v>
      </c>
      <c r="W88" s="49">
        <f>IF(W83=0,0,IF(W79=1,'Input data'!$C$57*(W83-V83*W42/((1+W23/100)*(1+W41/100))),0))</f>
        <v>0.38613256950354402</v>
      </c>
    </row>
    <row r="89" spans="2:23" x14ac:dyDescent="0.2">
      <c r="B89" s="26" t="s">
        <v>73</v>
      </c>
      <c r="C89" s="36"/>
      <c r="D89" s="260">
        <f>'Baseline NFPC'!$D$93</f>
        <v>0.14259267150708055</v>
      </c>
      <c r="E89" s="36">
        <f t="shared" ref="E89:G89" si="53">IF(E83&lt;&gt;0,(E86+E88)/(E84+E85+E86+E87+E88),0)</f>
        <v>0.14161689533360031</v>
      </c>
      <c r="F89" s="36">
        <f t="shared" si="53"/>
        <v>0.14040220784451748</v>
      </c>
      <c r="G89" s="36">
        <f t="shared" si="53"/>
        <v>0.13959193611093784</v>
      </c>
      <c r="H89" s="36">
        <f t="shared" ref="H89" si="54">IF(H83&lt;&gt;0,(H86+H88)/(H84+H85+H86+H87+H88),0)</f>
        <v>0.13892082730595878</v>
      </c>
      <c r="I89" s="36">
        <f t="shared" ref="I89:W89" si="55">IF(I83&lt;&gt;0,(I86+I88)/(I84+I85+I86+I87+I88),0)</f>
        <v>0.13835607497339081</v>
      </c>
      <c r="J89" s="36">
        <f t="shared" si="55"/>
        <v>0.13788305135693574</v>
      </c>
      <c r="K89" s="36">
        <f t="shared" si="55"/>
        <v>0.13744138573941908</v>
      </c>
      <c r="L89" s="36">
        <f t="shared" si="55"/>
        <v>0.13705379144504864</v>
      </c>
      <c r="M89" s="36">
        <f t="shared" si="55"/>
        <v>0.13670523305549731</v>
      </c>
      <c r="N89" s="36">
        <f t="shared" si="55"/>
        <v>0.13637392331493678</v>
      </c>
      <c r="O89" s="36">
        <f t="shared" si="55"/>
        <v>0.1360569828028968</v>
      </c>
      <c r="P89" s="36">
        <f t="shared" si="55"/>
        <v>0.13575312540362949</v>
      </c>
      <c r="Q89" s="36">
        <f t="shared" si="55"/>
        <v>0.1354610341285471</v>
      </c>
      <c r="R89" s="36">
        <f t="shared" si="55"/>
        <v>0.1351797127395471</v>
      </c>
      <c r="S89" s="36">
        <f t="shared" si="55"/>
        <v>0.13490857556916389</v>
      </c>
      <c r="T89" s="36">
        <f t="shared" si="55"/>
        <v>0.13464736563331225</v>
      </c>
      <c r="U89" s="36">
        <f t="shared" si="55"/>
        <v>0.13439519279966322</v>
      </c>
      <c r="V89" s="36">
        <f t="shared" si="55"/>
        <v>0.1341511566570068</v>
      </c>
      <c r="W89" s="36">
        <f t="shared" si="55"/>
        <v>0.13391469921350829</v>
      </c>
    </row>
    <row r="90" spans="2:23" x14ac:dyDescent="0.2">
      <c r="B90" s="35" t="s">
        <v>74</v>
      </c>
      <c r="C90" s="108"/>
      <c r="D90" s="261">
        <f>'Baseline NFPC'!$D$94</f>
        <v>0.85740732849291945</v>
      </c>
      <c r="E90" s="108">
        <f t="shared" ref="E90:G90" si="56">IF(E83&lt;&gt;0,(E84+E85+E87)/(E84+E85+E86+E87+E88),1)</f>
        <v>0.85838310466639967</v>
      </c>
      <c r="F90" s="108">
        <f t="shared" si="56"/>
        <v>0.8595977921554826</v>
      </c>
      <c r="G90" s="108">
        <f t="shared" si="56"/>
        <v>0.86040806388906221</v>
      </c>
      <c r="H90" s="108">
        <f t="shared" ref="H90" si="57">IF(H83&lt;&gt;0,(H84+H85+H87)/(H84+H85+H86+H87+H88),1)</f>
        <v>0.86107917269404122</v>
      </c>
      <c r="I90" s="108">
        <f t="shared" ref="I90:W90" si="58">IF(I83&lt;&gt;0,(I84+I85+I87)/(I84+I85+I86+I87+I88),1)</f>
        <v>0.86164392502660925</v>
      </c>
      <c r="J90" s="108">
        <f t="shared" si="58"/>
        <v>0.86211694864306421</v>
      </c>
      <c r="K90" s="108">
        <f t="shared" si="58"/>
        <v>0.86255861426058089</v>
      </c>
      <c r="L90" s="108">
        <f t="shared" si="58"/>
        <v>0.86294620855495108</v>
      </c>
      <c r="M90" s="108">
        <f t="shared" si="58"/>
        <v>0.8632947669445028</v>
      </c>
      <c r="N90" s="108">
        <f t="shared" si="58"/>
        <v>0.86362607668506319</v>
      </c>
      <c r="O90" s="108">
        <f t="shared" si="58"/>
        <v>0.8639430171971032</v>
      </c>
      <c r="P90" s="108">
        <f t="shared" si="58"/>
        <v>0.86424687459637051</v>
      </c>
      <c r="Q90" s="108">
        <f t="shared" si="58"/>
        <v>0.86453896587145285</v>
      </c>
      <c r="R90" s="108">
        <f t="shared" si="58"/>
        <v>0.8648202872604529</v>
      </c>
      <c r="S90" s="108">
        <f t="shared" si="58"/>
        <v>0.86509142443083609</v>
      </c>
      <c r="T90" s="108">
        <f t="shared" si="58"/>
        <v>0.86535263436668775</v>
      </c>
      <c r="U90" s="108">
        <f t="shared" si="58"/>
        <v>0.86560480720033672</v>
      </c>
      <c r="V90" s="108">
        <f t="shared" si="58"/>
        <v>0.86584884334299317</v>
      </c>
      <c r="W90" s="108">
        <f t="shared" si="58"/>
        <v>0.8660853007864916</v>
      </c>
    </row>
    <row r="92" spans="2:23" x14ac:dyDescent="0.2">
      <c r="B92" s="113" t="s">
        <v>132</v>
      </c>
      <c r="C92" s="113"/>
      <c r="D92" s="113"/>
      <c r="E92" s="115">
        <f t="shared" ref="E92:G92" si="59">E94+E95</f>
        <v>2.3767499999999999</v>
      </c>
      <c r="F92" s="115">
        <f t="shared" si="59"/>
        <v>2.7490950000000001</v>
      </c>
      <c r="G92" s="115">
        <f t="shared" si="59"/>
        <v>2.7383609999999998</v>
      </c>
      <c r="H92" s="115">
        <f t="shared" ref="H92:W92" si="60">H94+H95</f>
        <v>2.8292956231126509</v>
      </c>
      <c r="I92" s="115">
        <f t="shared" si="60"/>
        <v>2.9128598255268852</v>
      </c>
      <c r="J92" s="115">
        <f>J94+J95</f>
        <v>2.9910327888273525</v>
      </c>
      <c r="K92" s="115">
        <f t="shared" si="60"/>
        <v>3.2961777852470751</v>
      </c>
      <c r="L92" s="115">
        <f t="shared" si="60"/>
        <v>3.2215482237943336</v>
      </c>
      <c r="M92" s="115">
        <f t="shared" si="60"/>
        <v>3.2838771624157137</v>
      </c>
      <c r="N92" s="115">
        <f t="shared" si="60"/>
        <v>3.3461031260019909</v>
      </c>
      <c r="O92" s="115">
        <f t="shared" si="60"/>
        <v>3.4098090190703942</v>
      </c>
      <c r="P92" s="115">
        <f t="shared" si="60"/>
        <v>3.463447478183832</v>
      </c>
      <c r="Q92" s="115">
        <f t="shared" si="60"/>
        <v>3.5103133136957636</v>
      </c>
      <c r="R92" s="115">
        <f t="shared" si="60"/>
        <v>3.5511555443801086</v>
      </c>
      <c r="S92" s="115">
        <f t="shared" si="60"/>
        <v>3.586617387025739</v>
      </c>
      <c r="T92" s="115">
        <f t="shared" si="60"/>
        <v>3.6172471816619614</v>
      </c>
      <c r="U92" s="115">
        <f t="shared" si="60"/>
        <v>3.6435192323264562</v>
      </c>
      <c r="V92" s="115">
        <f t="shared" si="60"/>
        <v>3.6658953634248093</v>
      </c>
      <c r="W92" s="115">
        <f t="shared" si="60"/>
        <v>3.6847868076534667</v>
      </c>
    </row>
    <row r="93" spans="2:23" x14ac:dyDescent="0.2">
      <c r="B93" s="33" t="s">
        <v>133</v>
      </c>
      <c r="C93" s="97"/>
      <c r="D93" s="97"/>
      <c r="E93" s="266">
        <f>((E35*D83)-(E37*(D86+D88)))/(D84+D85+D87)</f>
        <v>2.2015876621443162</v>
      </c>
      <c r="F93" s="266">
        <f t="shared" ref="F93:G93" si="61">((F35*E83)-(F37*(E86+E88)))/(E84+E85+E87)</f>
        <v>2.6146168494183679</v>
      </c>
      <c r="G93" s="266">
        <f t="shared" si="61"/>
        <v>2.7256186012377643</v>
      </c>
      <c r="H93" s="34">
        <f t="shared" ref="H93:W93" si="62">IF(G83&gt;0,(G93*G84+H36*(G87+G85))/(G84+G85+G87),H36)</f>
        <v>2.8332228260083951</v>
      </c>
      <c r="I93" s="34">
        <f t="shared" si="62"/>
        <v>2.9320675465268593</v>
      </c>
      <c r="J93" s="34">
        <f t="shared" si="62"/>
        <v>3.0245144505946047</v>
      </c>
      <c r="K93" s="34">
        <f t="shared" si="62"/>
        <v>3.2201997016068802</v>
      </c>
      <c r="L93" s="34">
        <f t="shared" si="62"/>
        <v>3.2951004763468905</v>
      </c>
      <c r="M93" s="34">
        <f t="shared" si="62"/>
        <v>3.368880572026991</v>
      </c>
      <c r="N93" s="34">
        <f t="shared" si="62"/>
        <v>3.4424968933200741</v>
      </c>
      <c r="O93" s="34">
        <f t="shared" si="62"/>
        <v>3.5177740835732716</v>
      </c>
      <c r="P93" s="34">
        <f t="shared" si="62"/>
        <v>3.5852866647571733</v>
      </c>
      <c r="Q93" s="34">
        <f t="shared" si="62"/>
        <v>3.6449017836689372</v>
      </c>
      <c r="R93" s="34">
        <f t="shared" si="62"/>
        <v>3.6974968571497326</v>
      </c>
      <c r="S93" s="34">
        <f t="shared" si="62"/>
        <v>3.7438250456688329</v>
      </c>
      <c r="T93" s="34">
        <f t="shared" si="62"/>
        <v>3.7845285623440201</v>
      </c>
      <c r="U93" s="34">
        <f t="shared" si="62"/>
        <v>3.8201631286190088</v>
      </c>
      <c r="V93" s="34">
        <f t="shared" si="62"/>
        <v>3.8512679186784977</v>
      </c>
      <c r="W93" s="34">
        <f t="shared" si="62"/>
        <v>3.8783224487221069</v>
      </c>
    </row>
    <row r="94" spans="2:23" x14ac:dyDescent="0.2">
      <c r="B94" s="26" t="s">
        <v>134</v>
      </c>
      <c r="C94" s="97"/>
      <c r="D94" s="97"/>
      <c r="E94" s="34">
        <f t="shared" ref="E94" si="63">(E93*(D84+D85+D87)+E37*(D86+D88))/D83</f>
        <v>2.3767499999999999</v>
      </c>
      <c r="F94" s="34">
        <f t="shared" ref="F94" si="64">(F93*(E84+E85+E87)+F37*(E86+E88))/E83</f>
        <v>2.7490950000000001</v>
      </c>
      <c r="G94" s="34">
        <f t="shared" ref="G94" si="65">(G93*(F84+F85+F87)+G37*(F86+F88))/F83</f>
        <v>2.7383609999999998</v>
      </c>
      <c r="H94" s="34">
        <f t="shared" ref="H94:W94" si="66">(H93*(G84+G85+G87)+H37*(G86+G88))/G83</f>
        <v>2.8292956231126509</v>
      </c>
      <c r="I94" s="34">
        <f t="shared" si="66"/>
        <v>2.9128598255268852</v>
      </c>
      <c r="J94" s="34">
        <f>(J93*(I84+I85+I87)+J37*(I86+I88))/I83</f>
        <v>2.9910327888273525</v>
      </c>
      <c r="K94" s="34">
        <f>(K93*(J84+J85+J87)+K37*(J86+J88))/J83</f>
        <v>3.2961777852470751</v>
      </c>
      <c r="L94" s="34">
        <f t="shared" si="66"/>
        <v>3.2215482237943336</v>
      </c>
      <c r="M94" s="34">
        <f t="shared" si="66"/>
        <v>3.2838771624157137</v>
      </c>
      <c r="N94" s="34">
        <f t="shared" si="66"/>
        <v>3.3461031260019909</v>
      </c>
      <c r="O94" s="34">
        <f t="shared" si="66"/>
        <v>3.4098090190703942</v>
      </c>
      <c r="P94" s="34">
        <f t="shared" si="66"/>
        <v>3.463447478183832</v>
      </c>
      <c r="Q94" s="34">
        <f t="shared" si="66"/>
        <v>3.5103133136957636</v>
      </c>
      <c r="R94" s="34">
        <f t="shared" si="66"/>
        <v>3.5511555443801086</v>
      </c>
      <c r="S94" s="34">
        <f t="shared" si="66"/>
        <v>3.586617387025739</v>
      </c>
      <c r="T94" s="34">
        <f t="shared" si="66"/>
        <v>3.6172471816619614</v>
      </c>
      <c r="U94" s="97">
        <f t="shared" si="66"/>
        <v>3.6435192323264562</v>
      </c>
      <c r="V94" s="97">
        <f t="shared" si="66"/>
        <v>3.6658953634248093</v>
      </c>
      <c r="W94" s="97">
        <f t="shared" si="66"/>
        <v>3.6847868076534667</v>
      </c>
    </row>
    <row r="95" spans="2:23" x14ac:dyDescent="0.2">
      <c r="B95" s="35" t="s">
        <v>135</v>
      </c>
      <c r="C95" s="35"/>
      <c r="D95" s="35"/>
      <c r="E95" s="49">
        <f>IF('Criteria results'!$F$5=4,E104,E109)</f>
        <v>0</v>
      </c>
      <c r="F95" s="49">
        <f>IF('Criteria results'!$F$5=4,F104,F109)</f>
        <v>0</v>
      </c>
      <c r="G95" s="49">
        <f>IF('Criteria results'!$F$5=4,G104,G109)</f>
        <v>0</v>
      </c>
      <c r="H95" s="49">
        <f>IF('Criteria results'!$F$5=4,H104,H109)</f>
        <v>0</v>
      </c>
      <c r="I95" s="49">
        <f>IF('Criteria results'!$F$5=4,I104,I109)</f>
        <v>0</v>
      </c>
      <c r="J95" s="49">
        <f>IF('Criteria results'!$F$5=4,J104,J109)</f>
        <v>0</v>
      </c>
      <c r="K95" s="49">
        <f>IF('Criteria results'!$F$5=4,K104,K109)</f>
        <v>0</v>
      </c>
      <c r="L95" s="49">
        <f>IF('Criteria results'!$F$5=4,L104,L109)</f>
        <v>0</v>
      </c>
      <c r="M95" s="49">
        <f>IF('Criteria results'!$F$5=4,M104,M109)</f>
        <v>0</v>
      </c>
      <c r="N95" s="49">
        <f>IF('Criteria results'!$F$5=4,N104,N109)</f>
        <v>0</v>
      </c>
      <c r="O95" s="49">
        <f>IF('Criteria results'!$F$5=4,O104,O109)</f>
        <v>0</v>
      </c>
      <c r="P95" s="49">
        <f>IF('Criteria results'!$F$5=4,P104,P109)</f>
        <v>0</v>
      </c>
      <c r="Q95" s="49">
        <f>IF('Criteria results'!$F$5=4,Q104,Q109)</f>
        <v>0</v>
      </c>
      <c r="R95" s="49">
        <f>IF('Criteria results'!$F$5=4,R104,R109)</f>
        <v>0</v>
      </c>
      <c r="S95" s="49">
        <f>IF('Criteria results'!$F$5=4,S104,S109)</f>
        <v>0</v>
      </c>
      <c r="T95" s="49">
        <f>IF('Criteria results'!$F$5=4,T104,T109)</f>
        <v>0</v>
      </c>
      <c r="U95" s="49">
        <f>IF('Criteria results'!$F$5=4,U104,U109)</f>
        <v>0</v>
      </c>
      <c r="V95" s="49">
        <f>IF('Criteria results'!$F$5=4,V104,V109)</f>
        <v>0</v>
      </c>
      <c r="W95" s="49">
        <f>IF('Criteria results'!$F$5=4,W104,W109)</f>
        <v>0</v>
      </c>
    </row>
    <row r="97" spans="1:54" x14ac:dyDescent="0.2">
      <c r="B97" s="113" t="s">
        <v>186</v>
      </c>
      <c r="C97" s="115">
        <f t="shared" ref="C97:T97" si="67">((1+C92/100)/((1+C23/100)*(1+C41/100))-1)*100</f>
        <v>-12.869322491408585</v>
      </c>
      <c r="D97" s="115">
        <f t="shared" si="67"/>
        <v>-12.0971341387081</v>
      </c>
      <c r="E97" s="115">
        <f>((1+E92/100)/((1+E23/100)*(1+E41/100))-1)*100</f>
        <v>-7.9209964301513835</v>
      </c>
      <c r="F97" s="115">
        <f t="shared" si="67"/>
        <v>-5.1965360605959248</v>
      </c>
      <c r="G97" s="115">
        <f t="shared" si="67"/>
        <v>-4.1293521290773461</v>
      </c>
      <c r="H97" s="115">
        <f t="shared" si="67"/>
        <v>-4.1131313596864061</v>
      </c>
      <c r="I97" s="115">
        <f t="shared" si="67"/>
        <v>-4.0923054982345057</v>
      </c>
      <c r="J97" s="115">
        <f t="shared" si="67"/>
        <v>-3.9818695226568557</v>
      </c>
      <c r="K97" s="115">
        <f t="shared" si="67"/>
        <v>-3.9716090124530257</v>
      </c>
      <c r="L97" s="115">
        <f t="shared" si="67"/>
        <v>-3.955828377657189</v>
      </c>
      <c r="M97" s="115">
        <f t="shared" si="67"/>
        <v>-3.7552231730306862</v>
      </c>
      <c r="N97" s="115">
        <f t="shared" si="67"/>
        <v>-3.2560632907706832</v>
      </c>
      <c r="O97" s="115">
        <f t="shared" si="67"/>
        <v>-3.1479285746992991</v>
      </c>
      <c r="P97" s="115">
        <f t="shared" si="67"/>
        <v>-2.7548854525811128</v>
      </c>
      <c r="Q97" s="115">
        <f t="shared" si="67"/>
        <v>-2.3656096568029805</v>
      </c>
      <c r="R97" s="115">
        <f t="shared" si="67"/>
        <v>-1.9794420676692681</v>
      </c>
      <c r="S97" s="115">
        <f t="shared" si="67"/>
        <v>-1.8129774392611764</v>
      </c>
      <c r="T97" s="115">
        <f t="shared" si="67"/>
        <v>-1.6232347308922535</v>
      </c>
      <c r="U97" s="115">
        <f>((1+U92/100)/((1+U23/100)*(1+U41/100))-1)*100</f>
        <v>-1.4114578349710305</v>
      </c>
      <c r="V97" s="115">
        <f t="shared" ref="V97:W97" si="68">((1+V92/100)/((1+V23/100)*(1+V41/100))-1)*100</f>
        <v>-1.2095036382095525</v>
      </c>
      <c r="W97" s="115">
        <f t="shared" si="68"/>
        <v>-1.0212970030612945</v>
      </c>
    </row>
    <row r="98" spans="1:54" ht="15" x14ac:dyDescent="0.2">
      <c r="A98" s="224"/>
      <c r="F98" s="223"/>
      <c r="G98" s="223"/>
      <c r="H98" s="223"/>
      <c r="I98" s="223"/>
      <c r="J98" s="223"/>
      <c r="K98" s="223"/>
      <c r="L98" s="223"/>
      <c r="M98" s="223"/>
      <c r="N98" s="223"/>
      <c r="O98" s="223"/>
      <c r="P98" s="223"/>
      <c r="Q98" s="223"/>
      <c r="R98" s="223"/>
      <c r="S98" s="223"/>
      <c r="T98" s="223"/>
      <c r="U98" s="77"/>
      <c r="V98" s="77"/>
      <c r="W98" s="77"/>
    </row>
    <row r="99" spans="1:54" s="25" customFormat="1" ht="12.75" outlineLevel="1" x14ac:dyDescent="0.2">
      <c r="B99" s="25" t="s">
        <v>136</v>
      </c>
      <c r="C99" s="112"/>
      <c r="D99" s="112"/>
      <c r="E99" s="112"/>
      <c r="F99" s="112"/>
      <c r="G99" s="112"/>
      <c r="H99" s="112"/>
      <c r="I99" s="112"/>
      <c r="J99" s="112"/>
      <c r="K99" s="112"/>
      <c r="L99" s="112"/>
      <c r="M99" s="112"/>
      <c r="N99" s="112"/>
      <c r="O99" s="112"/>
      <c r="P99" s="112"/>
      <c r="Q99" s="112"/>
      <c r="R99" s="112"/>
      <c r="S99" s="112"/>
      <c r="T99" s="112"/>
      <c r="U99" s="112"/>
      <c r="V99" s="112"/>
      <c r="W99" s="112"/>
    </row>
    <row r="100" spans="1:54" s="127" customFormat="1" ht="12.75" outlineLevel="1" x14ac:dyDescent="0.2">
      <c r="C100" s="128"/>
      <c r="D100" s="128"/>
      <c r="E100" s="128"/>
      <c r="F100" s="128"/>
      <c r="G100" s="128"/>
      <c r="H100" s="128"/>
      <c r="I100" s="128"/>
      <c r="J100" s="128"/>
      <c r="K100" s="128"/>
      <c r="L100" s="128"/>
      <c r="M100" s="128"/>
      <c r="N100" s="128"/>
      <c r="O100" s="128"/>
      <c r="P100" s="128"/>
      <c r="Q100" s="128"/>
      <c r="R100" s="128"/>
      <c r="S100" s="128"/>
      <c r="T100" s="128"/>
      <c r="U100" s="128"/>
      <c r="V100" s="128"/>
      <c r="W100" s="128"/>
    </row>
    <row r="101" spans="1:54" s="127" customFormat="1" ht="12.75" outlineLevel="1" x14ac:dyDescent="0.2">
      <c r="B101" s="106" t="s">
        <v>293</v>
      </c>
      <c r="C101" s="129"/>
      <c r="D101" s="129"/>
      <c r="E101" s="129"/>
      <c r="F101" s="129"/>
      <c r="G101" s="129"/>
      <c r="H101" s="129"/>
      <c r="I101" s="129"/>
      <c r="J101" s="129"/>
      <c r="K101" s="129"/>
      <c r="L101" s="129"/>
      <c r="M101" s="129"/>
      <c r="N101" s="129"/>
      <c r="O101" s="129"/>
      <c r="P101" s="129"/>
      <c r="Q101" s="129"/>
      <c r="R101" s="129"/>
      <c r="S101" s="129"/>
      <c r="T101" s="129"/>
      <c r="U101" s="129"/>
      <c r="V101" s="129"/>
      <c r="W101" s="129"/>
    </row>
    <row r="102" spans="1:54" outlineLevel="1" x14ac:dyDescent="0.2">
      <c r="B102" s="120" t="s">
        <v>43</v>
      </c>
      <c r="C102" s="34">
        <v>53.925647735595703</v>
      </c>
      <c r="D102" s="34">
        <v>51.626441955566406</v>
      </c>
      <c r="E102" s="34">
        <v>50.3966064453125</v>
      </c>
      <c r="F102" s="34">
        <v>52.027179718017578</v>
      </c>
      <c r="G102" s="34">
        <v>52.730838775634766</v>
      </c>
      <c r="H102" s="34">
        <v>52.947887420654297</v>
      </c>
      <c r="I102" s="34">
        <v>52.753932952880859</v>
      </c>
      <c r="J102" s="34">
        <v>52.204116821289063</v>
      </c>
      <c r="K102" s="34">
        <v>51.484706878662109</v>
      </c>
      <c r="L102" s="34">
        <v>50.607692718505859</v>
      </c>
      <c r="M102" s="34">
        <v>49.67938232421875</v>
      </c>
      <c r="N102" s="34">
        <v>48.994964599609375</v>
      </c>
      <c r="O102" s="34">
        <v>48.364463806152344</v>
      </c>
      <c r="P102" s="34">
        <v>47.938041687011719</v>
      </c>
      <c r="Q102" s="34">
        <v>47.719718933105469</v>
      </c>
      <c r="R102" s="34">
        <v>47.714908599853516</v>
      </c>
      <c r="S102" s="34">
        <v>47.823440551757813</v>
      </c>
      <c r="T102" s="34">
        <v>48.062164306640625</v>
      </c>
      <c r="U102" s="34">
        <v>48.455917358398438</v>
      </c>
      <c r="V102" s="34">
        <v>49.017803192138672</v>
      </c>
      <c r="W102" s="34">
        <v>49.759021759033203</v>
      </c>
      <c r="X102" s="34"/>
      <c r="Y102" s="34"/>
      <c r="Z102" s="34"/>
    </row>
    <row r="103" spans="1:54" s="5" customFormat="1" ht="12.75" x14ac:dyDescent="0.2">
      <c r="A103" s="26"/>
      <c r="B103" s="26" t="s">
        <v>132</v>
      </c>
      <c r="C103" s="1">
        <v>2.4089398384094238</v>
      </c>
      <c r="D103" s="1">
        <v>1.9834704399108887</v>
      </c>
      <c r="E103" s="1">
        <v>2.3767504692077637</v>
      </c>
      <c r="F103" s="1">
        <v>2.7490947246551514</v>
      </c>
      <c r="G103" s="1">
        <v>2.738361120223999</v>
      </c>
      <c r="H103" s="1">
        <v>2.8292953968048096</v>
      </c>
      <c r="I103" s="1">
        <v>2.9128596782684326</v>
      </c>
      <c r="J103" s="1">
        <v>2.991032600402832</v>
      </c>
      <c r="K103" s="1">
        <v>3.2961776256561279</v>
      </c>
      <c r="L103" s="1">
        <v>3.2215480804443359</v>
      </c>
      <c r="M103" s="1">
        <v>3.283876895904541</v>
      </c>
      <c r="N103" s="1">
        <v>3.3461031913757324</v>
      </c>
      <c r="O103" s="1">
        <v>3.409808874130249</v>
      </c>
      <c r="P103" s="1">
        <v>3.4634475708007813</v>
      </c>
      <c r="Q103" s="1">
        <v>3.5103137493133545</v>
      </c>
      <c r="R103" s="1">
        <v>3.5511555671691895</v>
      </c>
      <c r="S103" s="1">
        <v>3.5866177082061768</v>
      </c>
      <c r="T103" s="1">
        <v>3.6172473430633545</v>
      </c>
      <c r="U103" s="99">
        <v>3.643519401550293</v>
      </c>
      <c r="V103" s="99">
        <v>3.6658957004547119</v>
      </c>
      <c r="W103" s="99">
        <v>3.6847870349884033</v>
      </c>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row>
    <row r="104" spans="1:54" s="5" customFormat="1" ht="12.75" x14ac:dyDescent="0.2">
      <c r="B104" s="26" t="s">
        <v>185</v>
      </c>
      <c r="C104" s="1"/>
      <c r="D104" s="1"/>
      <c r="E104" s="1"/>
      <c r="F104" s="1"/>
      <c r="G104" s="1">
        <v>0</v>
      </c>
      <c r="H104" s="1">
        <v>0</v>
      </c>
      <c r="I104" s="1">
        <v>0</v>
      </c>
      <c r="J104" s="1">
        <v>0</v>
      </c>
      <c r="K104" s="1">
        <v>0</v>
      </c>
      <c r="L104" s="1">
        <v>0</v>
      </c>
      <c r="M104" s="1">
        <v>0</v>
      </c>
      <c r="N104" s="1">
        <v>0</v>
      </c>
      <c r="O104" s="1">
        <v>0</v>
      </c>
      <c r="P104" s="1">
        <v>0</v>
      </c>
      <c r="Q104" s="1">
        <v>0</v>
      </c>
      <c r="R104" s="1">
        <v>0</v>
      </c>
      <c r="S104" s="1">
        <v>0</v>
      </c>
      <c r="T104" s="1">
        <v>0</v>
      </c>
      <c r="U104" s="1">
        <v>0</v>
      </c>
      <c r="V104" s="1">
        <v>0</v>
      </c>
      <c r="W104" s="1">
        <v>0</v>
      </c>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row>
    <row r="105" spans="1:54" s="5" customFormat="1" ht="12.75" x14ac:dyDescent="0.2">
      <c r="B105" s="26"/>
      <c r="C105" s="1"/>
      <c r="D105" s="1"/>
      <c r="E105" s="1"/>
      <c r="F105" s="1"/>
      <c r="G105" s="222"/>
      <c r="H105" s="222"/>
      <c r="I105" s="222"/>
      <c r="J105" s="222"/>
      <c r="K105" s="222"/>
      <c r="L105" s="222"/>
      <c r="M105" s="222"/>
      <c r="N105" s="222"/>
      <c r="O105" s="222"/>
      <c r="P105" s="222"/>
      <c r="Q105" s="222"/>
      <c r="R105" s="222"/>
      <c r="S105" s="222"/>
      <c r="T105" s="222"/>
      <c r="U105" s="222"/>
      <c r="V105" s="222"/>
      <c r="W105" s="222"/>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row>
    <row r="106" spans="1:54" s="5" customFormat="1" ht="12.75" x14ac:dyDescent="0.2">
      <c r="B106" s="106" t="s">
        <v>294</v>
      </c>
      <c r="C106" s="37"/>
      <c r="D106" s="37"/>
      <c r="E106" s="37"/>
      <c r="F106" s="37"/>
      <c r="G106" s="225"/>
      <c r="H106" s="225"/>
      <c r="I106" s="225"/>
      <c r="J106" s="225"/>
      <c r="K106" s="225"/>
      <c r="L106" s="225"/>
      <c r="M106" s="225"/>
      <c r="N106" s="225"/>
      <c r="O106" s="225"/>
      <c r="P106" s="225"/>
      <c r="Q106" s="225"/>
      <c r="R106" s="225"/>
      <c r="S106" s="225"/>
      <c r="T106" s="225"/>
      <c r="U106" s="37"/>
      <c r="V106" s="37"/>
      <c r="W106" s="37"/>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row>
    <row r="107" spans="1:54" outlineLevel="1" x14ac:dyDescent="0.2">
      <c r="B107" s="120" t="s">
        <v>43</v>
      </c>
      <c r="C107" s="34">
        <v>53.925647735595703</v>
      </c>
      <c r="D107" s="34">
        <v>51.626441955566406</v>
      </c>
      <c r="E107" s="34">
        <v>50.3966064453125</v>
      </c>
      <c r="F107" s="34">
        <v>52.027179718017578</v>
      </c>
      <c r="G107" s="34">
        <v>52.779010772705078</v>
      </c>
      <c r="H107" s="34">
        <v>53.185359954833984</v>
      </c>
      <c r="I107" s="34">
        <v>53.323013305664063</v>
      </c>
      <c r="J107" s="34">
        <v>53.246349334716797</v>
      </c>
      <c r="K107" s="34">
        <v>52.954090118408203</v>
      </c>
      <c r="L107" s="34">
        <v>52.475807189941406</v>
      </c>
      <c r="M107" s="34">
        <v>51.846275329589844</v>
      </c>
      <c r="N107" s="34">
        <v>51.234352111816406</v>
      </c>
      <c r="O107" s="34">
        <v>50.514759063720703</v>
      </c>
      <c r="P107" s="34">
        <v>49.914218902587891</v>
      </c>
      <c r="Q107" s="34">
        <v>49.629756927490234</v>
      </c>
      <c r="R107" s="34">
        <v>49.565834045410156</v>
      </c>
      <c r="S107" s="34">
        <v>49.617843627929688</v>
      </c>
      <c r="T107" s="34">
        <v>49.803024291992188</v>
      </c>
      <c r="U107" s="34">
        <v>50.146537780761719</v>
      </c>
      <c r="V107" s="34">
        <v>50.661216735839844</v>
      </c>
      <c r="W107" s="34">
        <v>51.357944488525391</v>
      </c>
      <c r="X107" s="34"/>
      <c r="Y107" s="34"/>
      <c r="Z107" s="34"/>
    </row>
    <row r="108" spans="1:54" x14ac:dyDescent="0.2">
      <c r="B108" s="26" t="s">
        <v>132</v>
      </c>
      <c r="C108" s="1">
        <v>2.4089398384094238</v>
      </c>
      <c r="D108" s="1">
        <v>1.9834704399108887</v>
      </c>
      <c r="E108" s="1">
        <v>2.3767504692077637</v>
      </c>
      <c r="F108" s="1">
        <v>2.7490947246551514</v>
      </c>
      <c r="G108" s="1">
        <v>2.738361120223999</v>
      </c>
      <c r="H108" s="1">
        <v>2.8306419849395752</v>
      </c>
      <c r="I108" s="1">
        <v>2.9167966842651367</v>
      </c>
      <c r="J108" s="1">
        <v>2.9987335205078125</v>
      </c>
      <c r="K108" s="1">
        <v>3.0771398544311523</v>
      </c>
      <c r="L108" s="1">
        <v>3.1525537967681885</v>
      </c>
      <c r="M108" s="1">
        <v>3.2253818511962891</v>
      </c>
      <c r="N108" s="1">
        <v>3.5268027782440186</v>
      </c>
      <c r="O108" s="1">
        <v>3.4513435363769531</v>
      </c>
      <c r="P108" s="1">
        <v>3.5008382797241211</v>
      </c>
      <c r="Q108" s="1">
        <v>3.5431981086730957</v>
      </c>
      <c r="R108" s="1">
        <v>3.5800445079803467</v>
      </c>
      <c r="S108" s="1">
        <v>3.6119639873504639</v>
      </c>
      <c r="T108" s="1">
        <v>3.6394565105438232</v>
      </c>
      <c r="U108" s="1">
        <v>3.6629543304443359</v>
      </c>
      <c r="V108" s="1">
        <v>3.6828787326812744</v>
      </c>
      <c r="W108" s="1">
        <v>3.6996030807495117</v>
      </c>
      <c r="X108" s="1"/>
      <c r="Y108" s="1"/>
      <c r="Z108" s="1"/>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60"/>
    </row>
    <row r="109" spans="1:54" x14ac:dyDescent="0.2">
      <c r="B109" s="26" t="s">
        <v>185</v>
      </c>
      <c r="C109" s="34"/>
      <c r="D109" s="34"/>
      <c r="E109" s="34"/>
      <c r="F109" s="34"/>
      <c r="G109" s="34">
        <v>0</v>
      </c>
      <c r="H109" s="34">
        <v>0</v>
      </c>
      <c r="I109" s="34">
        <v>0</v>
      </c>
      <c r="J109" s="34">
        <v>0</v>
      </c>
      <c r="K109" s="34">
        <v>0</v>
      </c>
      <c r="L109" s="34">
        <v>0</v>
      </c>
      <c r="M109" s="34">
        <v>0</v>
      </c>
      <c r="N109" s="34">
        <v>0</v>
      </c>
      <c r="O109" s="34">
        <v>0</v>
      </c>
      <c r="P109" s="34">
        <v>0</v>
      </c>
      <c r="Q109" s="34">
        <v>0</v>
      </c>
      <c r="R109" s="34">
        <v>0</v>
      </c>
      <c r="S109" s="34">
        <v>0</v>
      </c>
      <c r="T109" s="34">
        <v>0</v>
      </c>
      <c r="U109" s="34">
        <v>0</v>
      </c>
      <c r="V109" s="34">
        <v>0</v>
      </c>
      <c r="W109" s="34">
        <v>0</v>
      </c>
    </row>
    <row r="112" spans="1:54" x14ac:dyDescent="0.2">
      <c r="E112" s="34"/>
      <c r="F112" s="34"/>
      <c r="G112" s="121"/>
      <c r="H112" s="121"/>
      <c r="I112" s="121"/>
      <c r="J112" s="121"/>
      <c r="K112" s="121"/>
      <c r="L112" s="121"/>
      <c r="M112" s="121"/>
      <c r="N112" s="121"/>
      <c r="O112" s="121"/>
      <c r="P112" s="121"/>
      <c r="Q112" s="121"/>
      <c r="R112" s="121"/>
      <c r="S112" s="121"/>
      <c r="T112" s="121"/>
      <c r="U112" s="121"/>
      <c r="V112" s="121"/>
      <c r="W112" s="121"/>
    </row>
    <row r="113" spans="5:23" x14ac:dyDescent="0.2">
      <c r="E113" s="34"/>
      <c r="F113" s="34"/>
      <c r="G113" s="121"/>
      <c r="H113" s="121"/>
      <c r="I113" s="121"/>
      <c r="J113" s="121"/>
      <c r="K113" s="121"/>
      <c r="L113" s="121"/>
      <c r="M113" s="121"/>
      <c r="N113" s="121"/>
      <c r="O113" s="121"/>
      <c r="P113" s="121"/>
      <c r="Q113" s="121"/>
      <c r="R113" s="121"/>
      <c r="S113" s="121"/>
      <c r="T113" s="121"/>
      <c r="U113" s="121"/>
      <c r="V113" s="121"/>
      <c r="W113" s="121"/>
    </row>
    <row r="115" spans="5:23" x14ac:dyDescent="0.2">
      <c r="E115" s="34"/>
      <c r="F115" s="34"/>
      <c r="G115" s="121"/>
      <c r="H115" s="121"/>
      <c r="I115" s="121"/>
      <c r="J115" s="121"/>
      <c r="K115" s="121"/>
      <c r="L115" s="121"/>
      <c r="M115" s="121"/>
      <c r="N115" s="121"/>
      <c r="O115" s="121"/>
      <c r="P115" s="121"/>
      <c r="Q115" s="121"/>
      <c r="R115" s="121"/>
      <c r="S115" s="121"/>
      <c r="T115" s="121"/>
      <c r="U115" s="121"/>
      <c r="V115" s="121"/>
      <c r="W115" s="121"/>
    </row>
    <row r="116" spans="5:23" x14ac:dyDescent="0.2">
      <c r="E116" s="34"/>
      <c r="F116" s="34"/>
      <c r="G116" s="121"/>
      <c r="H116" s="121"/>
      <c r="I116" s="121"/>
      <c r="J116" s="121"/>
      <c r="K116" s="121"/>
      <c r="L116" s="121"/>
      <c r="M116" s="121"/>
      <c r="N116" s="121"/>
      <c r="O116" s="121"/>
      <c r="P116" s="121"/>
      <c r="Q116" s="121"/>
      <c r="R116" s="121"/>
      <c r="S116" s="121"/>
      <c r="T116" s="121"/>
      <c r="U116" s="121"/>
      <c r="V116" s="121"/>
      <c r="W116" s="121"/>
    </row>
    <row r="117" spans="5:23" x14ac:dyDescent="0.2">
      <c r="G117" s="53"/>
      <c r="H117" s="53"/>
      <c r="I117" s="53"/>
      <c r="J117" s="53"/>
      <c r="K117" s="53"/>
      <c r="L117" s="53"/>
      <c r="M117" s="53"/>
      <c r="N117" s="53"/>
      <c r="O117" s="53"/>
      <c r="P117" s="53"/>
      <c r="Q117" s="53"/>
      <c r="R117" s="53"/>
      <c r="S117" s="53"/>
      <c r="T117" s="53"/>
      <c r="U117" s="53"/>
      <c r="V117" s="53"/>
      <c r="W117" s="53"/>
    </row>
    <row r="118" spans="5:23" x14ac:dyDescent="0.2">
      <c r="E118" s="34"/>
      <c r="F118" s="34"/>
      <c r="G118" s="121"/>
      <c r="H118" s="121"/>
      <c r="I118" s="121"/>
      <c r="J118" s="121"/>
      <c r="K118" s="121"/>
      <c r="L118" s="121"/>
      <c r="M118" s="121"/>
      <c r="N118" s="121"/>
      <c r="O118" s="121"/>
      <c r="P118" s="121"/>
      <c r="Q118" s="121"/>
      <c r="R118" s="121"/>
      <c r="S118" s="121"/>
      <c r="T118" s="121"/>
      <c r="U118" s="121"/>
      <c r="V118" s="121"/>
      <c r="W118" s="121"/>
    </row>
    <row r="119" spans="5:23" x14ac:dyDescent="0.2">
      <c r="E119" s="34"/>
      <c r="F119" s="34"/>
      <c r="G119" s="121"/>
      <c r="H119" s="121"/>
      <c r="I119" s="121"/>
      <c r="J119" s="121"/>
      <c r="K119" s="121"/>
      <c r="L119" s="121"/>
      <c r="M119" s="121"/>
      <c r="N119" s="121"/>
      <c r="O119" s="121"/>
      <c r="P119" s="121"/>
      <c r="Q119" s="121"/>
      <c r="R119" s="121"/>
      <c r="S119" s="121"/>
      <c r="T119" s="121"/>
      <c r="U119" s="121"/>
      <c r="V119" s="121"/>
      <c r="W119" s="121"/>
    </row>
    <row r="120" spans="5:23" x14ac:dyDescent="0.2">
      <c r="G120" s="53"/>
      <c r="H120" s="53"/>
      <c r="I120" s="53"/>
      <c r="J120" s="53"/>
      <c r="K120" s="53"/>
      <c r="L120" s="53"/>
      <c r="M120" s="53"/>
      <c r="N120" s="53"/>
      <c r="O120" s="53"/>
      <c r="P120" s="53"/>
      <c r="Q120" s="53"/>
      <c r="R120" s="53"/>
      <c r="S120" s="53"/>
      <c r="T120" s="53"/>
      <c r="U120" s="53"/>
      <c r="V120" s="53"/>
      <c r="W120" s="53"/>
    </row>
    <row r="121" spans="5:23" x14ac:dyDescent="0.2">
      <c r="E121" s="34"/>
      <c r="F121" s="34"/>
      <c r="G121" s="121"/>
      <c r="H121" s="121"/>
      <c r="I121" s="121"/>
      <c r="J121" s="121"/>
      <c r="K121" s="121"/>
      <c r="L121" s="121"/>
      <c r="M121" s="121"/>
      <c r="N121" s="121"/>
      <c r="O121" s="121"/>
      <c r="P121" s="121"/>
      <c r="Q121" s="121"/>
      <c r="R121" s="121"/>
      <c r="S121" s="121"/>
      <c r="T121" s="121"/>
      <c r="U121" s="121"/>
      <c r="V121" s="121"/>
      <c r="W121" s="121"/>
    </row>
    <row r="122" spans="5:23" x14ac:dyDescent="0.2">
      <c r="E122" s="34"/>
      <c r="F122" s="34"/>
      <c r="G122" s="121"/>
      <c r="H122" s="121"/>
      <c r="I122" s="121"/>
      <c r="J122" s="121"/>
      <c r="K122" s="121"/>
      <c r="L122" s="121"/>
      <c r="M122" s="121"/>
      <c r="N122" s="121"/>
      <c r="O122" s="121"/>
      <c r="P122" s="121"/>
      <c r="Q122" s="121"/>
      <c r="R122" s="121"/>
      <c r="S122" s="121"/>
      <c r="T122" s="121"/>
      <c r="U122" s="121"/>
      <c r="V122" s="121"/>
      <c r="W122" s="121"/>
    </row>
    <row r="123" spans="5:23" x14ac:dyDescent="0.2">
      <c r="G123" s="121"/>
      <c r="H123" s="121"/>
      <c r="I123" s="121"/>
      <c r="J123" s="121"/>
      <c r="K123" s="121"/>
      <c r="L123" s="121"/>
      <c r="M123" s="121"/>
      <c r="N123" s="121"/>
      <c r="O123" s="121"/>
      <c r="P123" s="121"/>
      <c r="Q123" s="121"/>
      <c r="R123" s="121"/>
      <c r="S123" s="121"/>
      <c r="T123" s="121"/>
      <c r="U123" s="121"/>
      <c r="V123" s="121"/>
      <c r="W123" s="121"/>
    </row>
    <row r="124" spans="5:23" x14ac:dyDescent="0.2">
      <c r="E124" s="34"/>
      <c r="F124" s="34"/>
      <c r="G124" s="121"/>
      <c r="H124" s="121"/>
      <c r="I124" s="121"/>
      <c r="J124" s="121"/>
      <c r="K124" s="121"/>
      <c r="L124" s="121"/>
      <c r="M124" s="121"/>
      <c r="N124" s="121"/>
      <c r="O124" s="121"/>
      <c r="P124" s="121"/>
      <c r="Q124" s="121"/>
      <c r="R124" s="121"/>
      <c r="S124" s="121"/>
      <c r="T124" s="121"/>
      <c r="U124" s="121"/>
      <c r="V124" s="121"/>
      <c r="W124" s="121"/>
    </row>
    <row r="125" spans="5:23" x14ac:dyDescent="0.2">
      <c r="E125" s="34"/>
      <c r="F125" s="34"/>
      <c r="G125" s="121"/>
      <c r="H125" s="121"/>
      <c r="I125" s="121"/>
      <c r="J125" s="121"/>
      <c r="K125" s="121"/>
      <c r="L125" s="121"/>
      <c r="M125" s="121"/>
      <c r="N125" s="121"/>
      <c r="O125" s="121"/>
      <c r="P125" s="121"/>
      <c r="Q125" s="121"/>
      <c r="R125" s="121"/>
      <c r="S125" s="121"/>
      <c r="T125" s="121"/>
      <c r="U125" s="121"/>
      <c r="V125" s="121"/>
      <c r="W125" s="121"/>
    </row>
    <row r="126" spans="5:23" x14ac:dyDescent="0.2">
      <c r="G126" s="121"/>
      <c r="H126" s="121"/>
      <c r="I126" s="121"/>
      <c r="J126" s="121"/>
      <c r="K126" s="121"/>
      <c r="L126" s="121"/>
      <c r="M126" s="121"/>
      <c r="N126" s="121"/>
      <c r="O126" s="121"/>
      <c r="P126" s="121"/>
      <c r="Q126" s="121"/>
      <c r="R126" s="121"/>
      <c r="S126" s="121"/>
      <c r="T126" s="121"/>
      <c r="U126" s="121"/>
      <c r="V126" s="121"/>
      <c r="W126" s="121"/>
    </row>
    <row r="127" spans="5:23" x14ac:dyDescent="0.2">
      <c r="G127" s="121"/>
      <c r="H127" s="121"/>
      <c r="I127" s="121"/>
      <c r="J127" s="121"/>
      <c r="K127" s="121"/>
      <c r="L127" s="121"/>
      <c r="M127" s="121"/>
      <c r="N127" s="121"/>
      <c r="O127" s="121"/>
      <c r="P127" s="121"/>
      <c r="Q127" s="121"/>
      <c r="R127" s="121"/>
      <c r="S127" s="121"/>
      <c r="T127" s="121"/>
      <c r="U127" s="121"/>
      <c r="V127" s="121"/>
      <c r="W127" s="121"/>
    </row>
    <row r="128" spans="5:23" x14ac:dyDescent="0.2">
      <c r="G128" s="121"/>
      <c r="H128" s="121"/>
      <c r="I128" s="121"/>
      <c r="J128" s="121"/>
      <c r="K128" s="121"/>
      <c r="L128" s="121"/>
      <c r="M128" s="121"/>
      <c r="N128" s="121"/>
      <c r="O128" s="121"/>
      <c r="P128" s="121"/>
      <c r="Q128" s="121"/>
      <c r="R128" s="121"/>
      <c r="S128" s="121"/>
      <c r="T128" s="121"/>
      <c r="U128" s="121"/>
      <c r="V128" s="121"/>
      <c r="W128" s="121"/>
    </row>
    <row r="129" spans="7:23" x14ac:dyDescent="0.2">
      <c r="G129" s="121"/>
      <c r="H129" s="121"/>
      <c r="I129" s="121"/>
      <c r="J129" s="121"/>
      <c r="K129" s="121"/>
      <c r="L129" s="121"/>
      <c r="M129" s="121"/>
      <c r="N129" s="121"/>
      <c r="O129" s="121"/>
      <c r="P129" s="121"/>
      <c r="Q129" s="121"/>
      <c r="R129" s="121"/>
      <c r="S129" s="121"/>
      <c r="T129" s="121"/>
      <c r="U129" s="121"/>
      <c r="V129" s="121"/>
      <c r="W129" s="121"/>
    </row>
  </sheetData>
  <conditionalFormatting sqref="K36:N36">
    <cfRule type="expression" dxfId="30" priority="8">
      <formula>K10=$C$6+1</formula>
    </cfRule>
  </conditionalFormatting>
  <conditionalFormatting sqref="K37:N37">
    <cfRule type="expression" dxfId="29" priority="9">
      <formula>K10=$C$6+1</formula>
    </cfRule>
  </conditionalFormatting>
  <conditionalFormatting sqref="U10:W43 U45:W52 U54:W76 U78:W98 U100:W130">
    <cfRule type="expression" dxfId="28" priority="3">
      <formula>U$10&gt;$C$7</formula>
    </cfRule>
  </conditionalFormatting>
  <conditionalFormatting sqref="G12:M12">
    <cfRule type="expression" dxfId="27" priority="50">
      <formula>AND(G10&gt;$C$5,G10&lt;=$C$6)</formula>
    </cfRule>
  </conditionalFormatting>
  <pageMargins left="0.7" right="0.7" top="0.75" bottom="0.75" header="0.3" footer="0.3"/>
  <pageSetup paperSize="9" orientation="portrait" r:id="rId1"/>
  <ignoredErrors>
    <ignoredError sqref="C5 C46:C47" unlockedFormula="1"/>
  </ignoredErrors>
  <extLst>
    <ext xmlns:x14="http://schemas.microsoft.com/office/spreadsheetml/2009/9/main" uri="{78C0D931-6437-407d-A8EE-F0AAD7539E65}">
      <x14:conditionalFormattings>
        <x14:conditionalFormatting xmlns:xm="http://schemas.microsoft.com/office/excel/2006/main">
          <x14:cfRule type="expression" priority="7" id="{61052BD5-AD8A-4BB2-862D-CE762EAD4EEA}">
            <xm:f>'Criteria results'!$F$5=7</xm:f>
            <x14:dxf>
              <fill>
                <patternFill>
                  <bgColor theme="0" tint="-0.34998626667073579"/>
                </patternFill>
              </fill>
            </x14:dxf>
          </x14:cfRule>
          <xm:sqref>N36:N37</xm:sqref>
        </x14:conditionalFormatting>
        <x14:conditionalFormatting xmlns:xm="http://schemas.microsoft.com/office/excel/2006/main">
          <x14:cfRule type="expression" priority="5" id="{47F7DBED-0C23-454F-801E-ED2E3DAA754C}">
            <xm:f>'Criteria results'!$F$5=7</xm:f>
            <x14:dxf>
              <fill>
                <patternFill>
                  <bgColor theme="0"/>
                </patternFill>
              </fill>
            </x14:dxf>
          </x14:cfRule>
          <xm:sqref>K35:M35</xm:sqref>
        </x14:conditionalFormatting>
        <x14:conditionalFormatting xmlns:xm="http://schemas.microsoft.com/office/excel/2006/main">
          <x14:cfRule type="expression" priority="52" id="{6869C80F-226A-4E6B-8E82-1C590454F27E}">
            <xm:f>AND($N$10&gt;2024,$N$10&lt;=2024+'Criteria results'!$F$5)</xm:f>
            <x14:dxf>
              <fill>
                <patternFill>
                  <bgColor theme="0" tint="-0.14996795556505021"/>
                </patternFill>
              </fill>
            </x14:dxf>
          </x14:cfRule>
          <xm:sqref>N12</xm:sqref>
        </x14:conditionalFormatting>
        <x14:conditionalFormatting xmlns:xm="http://schemas.microsoft.com/office/excel/2006/main">
          <x14:cfRule type="expression" priority="53" id="{EF89FFEC-805B-44CB-80CA-34B558135CB5}">
            <xm:f>AND($O$10&gt;2024,$O$10&lt;=2024+'Criteria results'!#REF!)</xm:f>
            <x14:dxf>
              <fill>
                <patternFill>
                  <bgColor theme="0" tint="-0.14996795556505021"/>
                </patternFill>
              </fill>
            </x14:dxf>
          </x14:cfRule>
          <xm:sqref>O12</xm:sqref>
        </x14:conditionalFormatting>
        <x14:conditionalFormatting xmlns:xm="http://schemas.microsoft.com/office/excel/2006/main">
          <x14:cfRule type="expression" priority="54" id="{FBE5528E-1123-4677-9DE6-5E90CA8A7C56}">
            <xm:f>AND($P$10&gt;2024,$P$10&lt;=2024+'Criteria results'!#REF!)</xm:f>
            <x14:dxf>
              <fill>
                <patternFill>
                  <bgColor theme="0" tint="-0.14996795556505021"/>
                </patternFill>
              </fill>
            </x14:dxf>
          </x14:cfRule>
          <xm:sqref>P12</xm:sqref>
        </x14:conditionalFormatting>
        <x14:conditionalFormatting xmlns:xm="http://schemas.microsoft.com/office/excel/2006/main">
          <x14:cfRule type="expression" priority="55" id="{8951C7CF-B485-425C-9942-73B06456B0B5}">
            <xm:f>OR('Criteria results'!#REF!=7,'Criteria results'!#REF!=10)</xm:f>
            <x14:dxf>
              <font>
                <color theme="0"/>
              </font>
            </x14:dxf>
          </x14:cfRule>
          <xm:sqref>K75:M75</xm:sqref>
        </x14:conditionalFormatting>
        <x14:conditionalFormatting xmlns:xm="http://schemas.microsoft.com/office/excel/2006/main">
          <x14:cfRule type="expression" priority="56" id="{116E26F3-65D6-4A9D-BBEB-1F21709D15A5}">
            <xm:f>OR('Criteria results'!#REF!=10)</xm:f>
            <x14:dxf>
              <font>
                <color theme="0"/>
              </font>
            </x14:dxf>
          </x14:cfRule>
          <xm:sqref>N75:P75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92D050"/>
  </sheetPr>
  <dimension ref="A1:BB129"/>
  <sheetViews>
    <sheetView zoomScaleNormal="100" workbookViewId="0"/>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MT</v>
      </c>
    </row>
    <row r="4" spans="1:51" x14ac:dyDescent="0.2">
      <c r="B4" s="64" t="s">
        <v>38</v>
      </c>
      <c r="C4" s="21"/>
    </row>
    <row r="5" spans="1:51" x14ac:dyDescent="0.2">
      <c r="A5" s="29"/>
      <c r="B5" s="22" t="str">
        <f>'Input data'!B5</f>
        <v>Last year before the adjustment</v>
      </c>
      <c r="C5" s="23">
        <f>+'Input data'!C5</f>
        <v>2024</v>
      </c>
      <c r="K5" s="80"/>
    </row>
    <row r="6" spans="1:51" x14ac:dyDescent="0.2">
      <c r="A6" s="29"/>
      <c r="B6" s="65" t="s">
        <v>44</v>
      </c>
      <c r="C6" s="23">
        <f>+C5+'Criteria results'!F5</f>
        <v>2028</v>
      </c>
      <c r="E6" s="43"/>
      <c r="F6" s="29"/>
    </row>
    <row r="7" spans="1:51" x14ac:dyDescent="0.2">
      <c r="A7" s="29"/>
      <c r="B7" s="24" t="s">
        <v>39</v>
      </c>
      <c r="C7" s="66">
        <f>C5+'Criteria results'!F5+10</f>
        <v>2038</v>
      </c>
      <c r="E7" s="43"/>
      <c r="F7" s="29"/>
    </row>
    <row r="8" spans="1:51" x14ac:dyDescent="0.2">
      <c r="A8" s="29"/>
      <c r="C8" s="29"/>
      <c r="E8" s="43"/>
      <c r="F8" s="29"/>
    </row>
    <row r="9" spans="1:51" s="67"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'Adjustment scenario'!C12</f>
        <v>-5.6509479999999996</v>
      </c>
      <c r="D12" s="2">
        <f>'Adjustment scenario'!D12</f>
        <v>-4.3552039999999996</v>
      </c>
      <c r="E12" s="2">
        <f>'Adjustment scenario'!E12</f>
        <v>-3.790994</v>
      </c>
      <c r="F12" s="2">
        <f>'Adjust. no safeguard'!F12</f>
        <v>-2.897243</v>
      </c>
      <c r="G12" s="3">
        <f>'Adjust. no safeguard'!G12</f>
        <v>-2.4572430000000001</v>
      </c>
      <c r="H12" s="3">
        <f>'Adjust. no safeguard'!H12</f>
        <v>-2.0172430000000001</v>
      </c>
      <c r="I12" s="3">
        <f>'Adjust. no safeguard'!I12</f>
        <v>-1.5772430000000002</v>
      </c>
      <c r="J12" s="3">
        <f>'Adjust. no safeguard'!J12</f>
        <v>-1.1372430000000002</v>
      </c>
      <c r="K12" s="3">
        <f>IF(AND('Criteria results'!$F$5=4,'Criteria results'!$F$5=4),'Adjust. no safeguard'!K12-0.25,IF(AND('Criteria results'!$F$5=4,'Criteria results'!$F$5=7),'Adjust. no safeguard'!K12-0.5/3,IF(AND('Criteria results'!$F$5=7,'Criteria results'!$F$5=7),'Adjust. no safeguard'!K12,'Adjust. no safeguard'!K12)))</f>
        <v>-1.3872430000000002</v>
      </c>
      <c r="L12" s="3">
        <f>IF(AND('Criteria results'!$F$5=4,'Criteria results'!$F$5=4),'Adjust. no safeguard'!L12-0.5,IF(AND('Criteria results'!$F$5=4,'Criteria results'!$F$5=7),'Adjust. no safeguard'!L12-0.5*2/3,IF(AND('Criteria results'!$F$5=7,'Criteria results'!$F$5=7),'Adjust. no safeguard'!L12,'Adjust. no safeguard'!L12)))</f>
        <v>-1.6372430000000002</v>
      </c>
      <c r="M12" s="3">
        <f>IF('Criteria results'!$F$5=4,'Adjust. no safeguard'!M12-0.5,'Adjust. no safeguard'!M12)</f>
        <v>-1.6372430000000002</v>
      </c>
      <c r="N12" s="3">
        <f>IF('Criteria results'!$F$5=4,'Adjust. no safeguard'!N12-0.5,IF(AND('Criteria results'!$F$5=7,'Criteria results'!$F$5=7),'Adjust. no safeguard'!N12-0.25,'Adjust. no safeguard'!N12-1/3*0.5))</f>
        <v>-1.6372430000000002</v>
      </c>
      <c r="O12" s="3">
        <f>IF('Criteria results'!$F$5=4,'Adjust. no safeguard'!N12-0.5,IF(AND('Criteria results'!$F$5=7,'Criteria results'!$F$5=7),'Adjust. no safeguard'!O12-0.5,'Adjust. no safeguard'!O12-2/3*0.5))</f>
        <v>-1.6372430000000002</v>
      </c>
      <c r="P12" s="3">
        <f>'Adjust. no safeguard'!P12-0.5</f>
        <v>-1.6372430000000002</v>
      </c>
      <c r="Q12" s="3">
        <f>'Adjust. no safeguard'!Q12-0.5</f>
        <v>-1.6372430000000002</v>
      </c>
      <c r="R12" s="3">
        <f>'Adjust. no safeguard'!R12-0.5</f>
        <v>-1.6372430000000002</v>
      </c>
      <c r="S12" s="3">
        <f>'Adjust. no safeguard'!S12-0.5</f>
        <v>-1.6372430000000002</v>
      </c>
      <c r="T12" s="3">
        <f>'Adjust. no safeguard'!T12-0.5</f>
        <v>-1.6372430000000002</v>
      </c>
      <c r="U12" s="3">
        <f>'Adjust. no safeguard'!U12-0.5</f>
        <v>-1.6372430000000002</v>
      </c>
      <c r="V12" s="3">
        <f>'Adjust. no safeguard'!V12-0.5</f>
        <v>-1.6372430000000002</v>
      </c>
      <c r="W12" s="3">
        <f>'Adjust. no safeguard'!W12-0.5</f>
        <v>-1.6372430000000002</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26" t="s">
        <v>49</v>
      </c>
      <c r="C13" s="1">
        <f>'Input data'!C14</f>
        <v>0</v>
      </c>
      <c r="D13" s="2">
        <f>'Input data'!D14</f>
        <v>0</v>
      </c>
      <c r="E13" s="2">
        <f>'Input data'!E14</f>
        <v>0</v>
      </c>
      <c r="F13" s="2">
        <f>'Input data'!F14</f>
        <v>0</v>
      </c>
      <c r="G13" s="2">
        <f>'Input data'!G14</f>
        <v>0</v>
      </c>
      <c r="H13" s="2">
        <f>0</f>
        <v>0</v>
      </c>
      <c r="I13" s="2">
        <f>0</f>
        <v>0</v>
      </c>
      <c r="J13" s="2">
        <f>0</f>
        <v>0</v>
      </c>
      <c r="K13" s="2">
        <f>0</f>
        <v>0</v>
      </c>
      <c r="L13" s="2">
        <f>0</f>
        <v>0</v>
      </c>
      <c r="M13" s="2">
        <f>0</f>
        <v>0</v>
      </c>
      <c r="N13" s="2">
        <f>0</f>
        <v>0</v>
      </c>
      <c r="O13" s="2">
        <f>0</f>
        <v>0</v>
      </c>
      <c r="P13" s="2">
        <f>0</f>
        <v>0</v>
      </c>
      <c r="Q13" s="2">
        <f>0</f>
        <v>0</v>
      </c>
      <c r="R13" s="2">
        <f>0</f>
        <v>0</v>
      </c>
      <c r="S13" s="2">
        <f>0</f>
        <v>0</v>
      </c>
      <c r="T13" s="2">
        <f>0</f>
        <v>0</v>
      </c>
      <c r="U13" s="2">
        <f>0</f>
        <v>0</v>
      </c>
      <c r="V13" s="2">
        <f>0</f>
        <v>0</v>
      </c>
      <c r="W13" s="2">
        <f>0</f>
        <v>0</v>
      </c>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60"/>
    </row>
    <row r="14" spans="1:51" x14ac:dyDescent="0.2">
      <c r="B14" s="26" t="s">
        <v>87</v>
      </c>
      <c r="C14" s="1">
        <f>'Input data'!C15</f>
        <v>0.80446119999999999</v>
      </c>
      <c r="D14" s="2">
        <f>'Input data'!D15</f>
        <v>-1.3102750000000001</v>
      </c>
      <c r="E14" s="2">
        <f>'Input data'!E15</f>
        <v>-0.94044729999999999</v>
      </c>
      <c r="F14" s="2">
        <f>'Input data'!F15</f>
        <v>1.1851970000000001</v>
      </c>
      <c r="G14" s="2">
        <f>'Input data'!G15</f>
        <v>6.6727599999999998E-2</v>
      </c>
      <c r="H14" s="2">
        <f>'Input data'!H15</f>
        <v>0</v>
      </c>
      <c r="I14" s="2">
        <f>'Input data'!I15</f>
        <v>0</v>
      </c>
      <c r="J14" s="2">
        <f>'Input data'!J15</f>
        <v>0</v>
      </c>
      <c r="K14" s="2">
        <f>'Input data'!K15</f>
        <v>0</v>
      </c>
      <c r="L14" s="2">
        <f>'Input data'!L15</f>
        <v>0</v>
      </c>
      <c r="M14" s="2">
        <f>'Input data'!M15</f>
        <v>0</v>
      </c>
      <c r="N14" s="2">
        <f>'Input data'!N15</f>
        <v>0</v>
      </c>
      <c r="O14" s="2">
        <f>'Input data'!O15</f>
        <v>0</v>
      </c>
      <c r="P14" s="2">
        <f>'Input data'!P15</f>
        <v>0</v>
      </c>
      <c r="Q14" s="2">
        <f>'Input data'!Q15</f>
        <v>0</v>
      </c>
      <c r="R14" s="2">
        <f>'Input data'!R15</f>
        <v>0</v>
      </c>
      <c r="S14" s="2">
        <f>'Input data'!S15</f>
        <v>0</v>
      </c>
      <c r="T14" s="2">
        <f>'Input data'!T15</f>
        <v>0</v>
      </c>
      <c r="U14" s="2">
        <f>'Input data'!U15</f>
        <v>0</v>
      </c>
      <c r="V14" s="2">
        <f>'Input data'!V15</f>
        <v>0</v>
      </c>
      <c r="W14" s="2">
        <f>'Input data'!W15</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1" ht="11.25" customHeight="1" x14ac:dyDescent="0.2">
      <c r="B16" s="30"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x14ac:dyDescent="0.2">
      <c r="A17" s="61"/>
      <c r="B17" s="26" t="s">
        <v>52</v>
      </c>
      <c r="C17" s="1">
        <f>'Input data'!C20</f>
        <v>0</v>
      </c>
      <c r="D17" s="101">
        <f>'Input data'!D20</f>
        <v>16.93779</v>
      </c>
      <c r="E17" s="101">
        <f>'Input data'!E20</f>
        <v>16.704159999999998</v>
      </c>
      <c r="F17" s="101">
        <f>'Input data'!F20</f>
        <v>16.665520000000001</v>
      </c>
      <c r="G17" s="101">
        <f>'Input data'!G20</f>
        <v>16.600960000000001</v>
      </c>
      <c r="H17" s="101">
        <f>'Input data'!H20</f>
        <v>16.335190000000001</v>
      </c>
      <c r="I17" s="101">
        <f>'Input data'!I20</f>
        <v>16.23882</v>
      </c>
      <c r="J17" s="101">
        <f>'Input data'!J20</f>
        <v>16.156209999999998</v>
      </c>
      <c r="K17" s="101">
        <f>'Input data'!K20</f>
        <v>16.094360000000002</v>
      </c>
      <c r="L17" s="101">
        <f>'Input data'!L20</f>
        <v>16.035070000000001</v>
      </c>
      <c r="M17" s="101">
        <f>'Input data'!M20</f>
        <v>15.982539999999998</v>
      </c>
      <c r="N17" s="101">
        <f>'Input data'!N20</f>
        <v>15.940760000000001</v>
      </c>
      <c r="O17" s="101">
        <f>'Input data'!O20</f>
        <v>15.91657</v>
      </c>
      <c r="P17" s="101">
        <f>'Input data'!P20</f>
        <v>15.907859999999999</v>
      </c>
      <c r="Q17" s="101">
        <f>'Input data'!Q20</f>
        <v>15.914770000000001</v>
      </c>
      <c r="R17" s="101">
        <f>'Input data'!R20</f>
        <v>15.935979999999999</v>
      </c>
      <c r="S17" s="101">
        <f>'Input data'!S20</f>
        <v>15.96696</v>
      </c>
      <c r="T17" s="101">
        <f>'Input data'!T20</f>
        <v>16.00554</v>
      </c>
      <c r="U17" s="101">
        <f>'Input data'!U20</f>
        <v>16.059809999999999</v>
      </c>
      <c r="V17" s="101">
        <f>'Input data'!V20</f>
        <v>16.1328</v>
      </c>
      <c r="W17" s="101">
        <f>'Input data'!W20</f>
        <v>16.22383</v>
      </c>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
        <v>58</v>
      </c>
      <c r="C18" s="1">
        <f>'Input data'!C26</f>
        <v>0.52142140000000003</v>
      </c>
      <c r="D18" s="101">
        <f>'Input data'!D26</f>
        <v>0.43654569999999998</v>
      </c>
      <c r="E18" s="101">
        <f>'Input data'!E26</f>
        <v>0.43370209999999998</v>
      </c>
      <c r="F18" s="101">
        <f>'Input data'!F26</f>
        <v>0.43085859999999998</v>
      </c>
      <c r="G18" s="101">
        <f>'Input data'!G26</f>
        <v>0.42801499999999998</v>
      </c>
      <c r="H18" s="101">
        <f>'Input data'!H26</f>
        <v>0.42517149999999998</v>
      </c>
      <c r="I18" s="101">
        <f>'Input data'!I26</f>
        <v>0.42232789999999998</v>
      </c>
      <c r="J18" s="101">
        <f>'Input data'!J26</f>
        <v>0.41948429999999998</v>
      </c>
      <c r="K18" s="101">
        <f>'Input data'!K26</f>
        <v>0.41664079999999998</v>
      </c>
      <c r="L18" s="101">
        <f>'Input data'!L26</f>
        <v>0.41379729999999998</v>
      </c>
      <c r="M18" s="101">
        <f>'Input data'!M26</f>
        <v>0.41095369999999998</v>
      </c>
      <c r="N18" s="101">
        <f>'Input data'!N26</f>
        <v>0.40811009999999998</v>
      </c>
      <c r="O18" s="101">
        <f>'Input data'!O26</f>
        <v>0.40526659999999998</v>
      </c>
      <c r="P18" s="101">
        <f>'Input data'!P26</f>
        <v>0.40242309999999998</v>
      </c>
      <c r="Q18" s="101">
        <f>'Input data'!Q26</f>
        <v>0.39957949999999998</v>
      </c>
      <c r="R18" s="101">
        <f>'Input data'!R26</f>
        <v>0.39673599999999998</v>
      </c>
      <c r="S18" s="101">
        <f>'Input data'!S26</f>
        <v>0.39389239999999998</v>
      </c>
      <c r="T18" s="101">
        <f>'Input data'!T26</f>
        <v>0.39104889999999998</v>
      </c>
      <c r="U18" s="101">
        <f>'Input data'!U26</f>
        <v>0.38820529999999998</v>
      </c>
      <c r="V18" s="101">
        <f>'Input data'!V26</f>
        <v>0.38536179999999998</v>
      </c>
      <c r="W18" s="101">
        <f>'Input data'!W26</f>
        <v>0.38251829999999998</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20" spans="1:50" x14ac:dyDescent="0.2">
      <c r="B20" s="28" t="s">
        <v>88</v>
      </c>
    </row>
    <row r="21" spans="1:50" ht="10.5" customHeight="1" x14ac:dyDescent="0.2">
      <c r="B21" s="30" t="s">
        <v>89</v>
      </c>
    </row>
    <row r="22" spans="1:50" x14ac:dyDescent="0.2">
      <c r="B22" s="26" t="s">
        <v>61</v>
      </c>
      <c r="C22" s="34">
        <f>'Input data'!C31</f>
        <v>13.624549999999999</v>
      </c>
      <c r="D22" s="100">
        <f>IF(AND(D49&gt;1,C49&gt;1),IF(AND(D49&gt;0,C49&gt;0),D26*(D50/100+1),0)+IF(D49&gt;0,C22*(1+D51/100),0)-C22*(1+'Input data'!D30/100),IF(D49=1,D26,C22*(1+D51/100)))</f>
        <v>14.724809936189498</v>
      </c>
      <c r="E22" s="100">
        <f>IF(AND(E49&gt;1,D49&gt;1),IF(AND(E49&gt;0,D49&gt;0),E26*(E50/100+1),0)+IF(E49&gt;0,D22*(1+E51/100),0)-D22*(1+'Input data'!E30/100),IF(E49=1,E26,D22*(1+E51/100)))</f>
        <v>15.551449869647822</v>
      </c>
      <c r="F22" s="100">
        <f>IF(AND(F49&gt;1,E49&gt;1),IF(AND(F49&gt;0,E49&gt;0),F26*(F50/100+1),0)+IF(F49&gt;0,E22*(1+F51/100),0)-E22*(1+'Input data'!F30/100),IF(F49=1,F26,E22*(1+F51/100)))</f>
        <v>16.262505701747756</v>
      </c>
      <c r="G22" s="34">
        <f>IF(AND(G49&gt;1,F49&gt;1),IF(AND(G49&gt;0,F49&gt;0),G26*(G50/100+1),0)+IF(G49&gt;0,F22*(1+G51/100),0)-F22*(1+'Input data'!G30/100),IF(G49=1,G26,F22*(1+G51/100)))</f>
        <v>16.996790033942958</v>
      </c>
      <c r="H22" s="34">
        <f>IF(AND(H49&gt;1,G49&gt;1),IF(AND(H49&gt;0,G49&gt;0),H26*(H50/100+1),0)+IF(H49&gt;0,G22*(1+H51/100),0)-G22*(1+'Input data'!H30/100),IF(H49=1,H26,G22*(1+H51/100)))</f>
        <v>17.776595599559172</v>
      </c>
      <c r="I22" s="34">
        <f>IF(AND(I49&gt;1,H49&gt;1),IF(AND(I49&gt;0,H49&gt;0),I26*(I50/100+1),0)+IF(I49&gt;0,H22*(1+I51/100),0)-H22*(1+'Input data'!I30/100),IF(I49=1,I26,H22*(1+I51/100)))</f>
        <v>18.602881894438362</v>
      </c>
      <c r="J22" s="34">
        <f>IF(AND(J49&gt;1,I49&gt;1),IF(AND(J49&gt;0,I49&gt;0),J26*(J50/100+1),0)+IF(J49&gt;0,I22*(1+J51/100),0)-I22*(1+'Input data'!J30/100),IF(J49=1,J26,I22*(1+J51/100)))</f>
        <v>19.459573557963992</v>
      </c>
      <c r="K22" s="34">
        <f>IF(AND(K49&gt;1,J49&gt;1),IF(AND(K49&gt;0,J49&gt;0),K26*(K50/100+1),0)+IF(K49&gt;0,J22*(1+K51/100),0)-J22*(1+'Input data'!K30/100),IF(K49=1,K26,J22*(1+K51/100)))</f>
        <v>20.449932653638793</v>
      </c>
      <c r="L22" s="34">
        <f>IF(AND(L49&gt;1,K49&gt;1),IF(AND(L49&gt;0,K49&gt;0),L26*(L50/100+1),0)+IF(L49&gt;0,K22*(1+L51/100),0)-K22*(1+'Input data'!L30/100),IF(L49=1,L26,K22*(1+L51/100)))</f>
        <v>21.437849956962822</v>
      </c>
      <c r="M22" s="34">
        <f>IF(AND(M49&gt;1,L49&gt;1),IF(AND(M49&gt;0,L49&gt;0),M26*(M50/100+1),0)+IF(M49&gt;0,L22*(1+M51/100),0)-L22*(1+'Input data'!M30/100),IF(M49=1,M26,L22*(1+M51/100)))</f>
        <v>22.376476399409501</v>
      </c>
      <c r="N22" s="34">
        <f>IF(AND(N49&gt;1,M49&gt;1),IF(AND(N49&gt;0,M49&gt;0),N26*(N50/100+1),0)+IF(N49&gt;0,M22*(1+N51/100),0)-M22*(1+'Input data'!N30/100),IF(N49=1,N26,M22*(1+N51/100)))</f>
        <v>23.316330434434143</v>
      </c>
      <c r="O22" s="34">
        <f>IF(AND(O49&gt;1,N49&gt;1),IF(AND(O49&gt;0,N49&gt;0),O26*(O50/100+1),0)+IF(O49&gt;0,N22*(1+O51/100),0)-N22*(1+'Input data'!O30/100),IF(O49=1,O26,N22*(1+O51/100)))</f>
        <v>24.283016284965722</v>
      </c>
      <c r="P22" s="34">
        <f>IF(AND(P49&gt;1,O49&gt;1),IF(AND(P49&gt;0,O49&gt;0),P26*(P50/100+1),0)+IF(P49&gt;0,O22*(1+P51/100),0)-O22*(1+'Input data'!P30/100),IF(P49=1,P26,O22*(1+P51/100)))</f>
        <v>25.20011927458426</v>
      </c>
      <c r="Q22" s="34">
        <f>IF(AND(Q49&gt;1,P49&gt;1),IF(AND(Q49&gt;0,P49&gt;0),Q26*(Q50/100+1),0)+IF(Q49&gt;0,P22*(1+Q51/100),0)-P22*(1+'Input data'!Q30/100),IF(Q49=1,Q26,P22*(1+Q51/100)))</f>
        <v>26.066379926679105</v>
      </c>
      <c r="R22" s="34">
        <f>IF(AND(R49&gt;1,Q49&gt;1),IF(AND(R49&gt;0,Q49&gt;0),R26*(R50/100+1),0)+IF(R49&gt;0,Q22*(1+R51/100),0)-Q22*(1+'Input data'!R30/100),IF(R49=1,R26,Q22*(1+R51/100)))</f>
        <v>26.874002917188982</v>
      </c>
      <c r="S22" s="34">
        <f>IF(AND(S49&gt;1,R49&gt;1),IF(AND(S49&gt;0,R49&gt;0),S26*(S50/100+1),0)+IF(S49&gt;0,R22*(1+S51/100),0)-R22*(1+'Input data'!S30/100),IF(S49=1,S26,R22*(1+S51/100)))</f>
        <v>27.676575396288701</v>
      </c>
      <c r="T22" s="34">
        <f>IF(AND(T49&gt;1,S49&gt;1),IF(AND(T49&gt;0,S49&gt;0),T26*(T50/100+1),0)+IF(T49&gt;0,S22*(1+T51/100),0)-S22*(1+'Input data'!T30/100),IF(T49=1,T26,S22*(1+T51/100)))</f>
        <v>28.464194271853266</v>
      </c>
      <c r="U22" s="34">
        <f>IF(AND(U49&gt;1,T49&gt;1),IF(AND(U49&gt;0,T49&gt;0),U26*(U50/100+1),0)+IF(U49&gt;0,T22*(1+U51/100),0)-T22*(1+'Input data'!U30/100),IF(U49=1,U26,T22*(1+U51/100)))</f>
        <v>29.226598037598801</v>
      </c>
      <c r="V22" s="34">
        <f>IF(AND(V49&gt;1,U49&gt;1),IF(AND(V49&gt;0,U49&gt;0),V26*(V50/100+1),0)+IF(V49&gt;0,U22*(1+V51/100),0)-U22*(1+'Input data'!V30/100),IF(V49=1,V26,U22*(1+V51/100)))</f>
        <v>29.962588659233184</v>
      </c>
      <c r="W22" s="34">
        <f>IF(AND(W49&gt;1,V49&gt;1),IF(AND(W49&gt;0,V49&gt;0),W26*(W50/100+1),0)+IF(W49&gt;0,V22*(1+W51/100),0)-V22*(1+'Input data'!W30/100),IF(W49=1,W26,V22*(1+W51/100)))</f>
        <v>30.672532721831086</v>
      </c>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row>
    <row r="23" spans="1:50" x14ac:dyDescent="0.2">
      <c r="A23" s="61"/>
      <c r="B23" s="62" t="s">
        <v>60</v>
      </c>
      <c r="C23" s="34">
        <f>+'Input data'!C30</f>
        <v>12.513949999999999</v>
      </c>
      <c r="D23" s="100">
        <f t="shared" ref="D23:T23" si="0">100*(D22/C22-1)</f>
        <v>8.0755689999999944</v>
      </c>
      <c r="E23" s="100">
        <f t="shared" si="0"/>
        <v>5.6139259999999913</v>
      </c>
      <c r="F23" s="100">
        <f t="shared" si="0"/>
        <v>4.5722800000000063</v>
      </c>
      <c r="G23" s="34">
        <f t="shared" si="0"/>
        <v>4.515197999999998</v>
      </c>
      <c r="H23" s="34">
        <f t="shared" si="0"/>
        <v>4.5879578676851773</v>
      </c>
      <c r="I23" s="34">
        <f t="shared" si="0"/>
        <v>4.6481695004620516</v>
      </c>
      <c r="J23" s="34">
        <f t="shared" si="0"/>
        <v>4.6051556333416954</v>
      </c>
      <c r="K23" s="34">
        <f t="shared" si="0"/>
        <v>5.0893155121042755</v>
      </c>
      <c r="L23" s="34">
        <f t="shared" si="0"/>
        <v>4.8309073680408599</v>
      </c>
      <c r="M23" s="34">
        <f t="shared" si="0"/>
        <v>4.3783609099373511</v>
      </c>
      <c r="N23" s="34">
        <f>100*(N22/M22-1)</f>
        <v>4.2001878144203308</v>
      </c>
      <c r="O23" s="34">
        <f t="shared" si="0"/>
        <v>4.1459605028755009</v>
      </c>
      <c r="P23" s="34">
        <f t="shared" si="0"/>
        <v>3.776726000000008</v>
      </c>
      <c r="Q23" s="34">
        <f t="shared" si="0"/>
        <v>3.4375260000000019</v>
      </c>
      <c r="R23" s="34">
        <f t="shared" si="0"/>
        <v>3.0983320000000036</v>
      </c>
      <c r="S23" s="34">
        <f t="shared" si="0"/>
        <v>2.9864270000000026</v>
      </c>
      <c r="T23" s="34">
        <f t="shared" si="0"/>
        <v>2.8457959999999893</v>
      </c>
      <c r="U23" s="34">
        <f t="shared" ref="U23" si="1">100*(U22/T22-1)</f>
        <v>2.6784659999999905</v>
      </c>
      <c r="V23" s="34">
        <f t="shared" ref="V23" si="2">100*(V22/U22-1)</f>
        <v>2.5182220000000033</v>
      </c>
      <c r="W23" s="34">
        <f t="shared" ref="W23" si="3">100*(W22/V22-1)</f>
        <v>2.3694349999999975</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5.25" customHeight="1" x14ac:dyDescent="0.2">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row>
    <row r="25" spans="1:50" x14ac:dyDescent="0.2">
      <c r="B25" s="30" t="s">
        <v>90</v>
      </c>
    </row>
    <row r="26" spans="1:50" x14ac:dyDescent="0.2">
      <c r="B26" s="26" t="s">
        <v>61</v>
      </c>
      <c r="C26" s="34">
        <f>'Input data'!C34</f>
        <v>13.87421</v>
      </c>
      <c r="D26" s="100">
        <f>+C26*(1+'Input data'!D33/100)</f>
        <v>14.7986955071298</v>
      </c>
      <c r="E26" s="100">
        <f>+D26*(1+'Input data'!E33/100)</f>
        <v>15.554359963927773</v>
      </c>
      <c r="F26" s="100">
        <f>+E26*(1+'Input data'!F33/100)</f>
        <v>16.319408002671945</v>
      </c>
      <c r="G26" s="34">
        <f>+F26*(1+'Input data'!G33/100)</f>
        <v>17.114010422743164</v>
      </c>
      <c r="H26" s="34">
        <f>+G26*(1+'Input data'!H33/100)</f>
        <v>17.914487112768004</v>
      </c>
      <c r="I26" s="34">
        <f>+H26*(1+'Input data'!I33/100)</f>
        <v>18.757799770040062</v>
      </c>
      <c r="J26" s="34">
        <f>+I26*(1+'Input data'!J33/100)</f>
        <v>19.629038606509173</v>
      </c>
      <c r="K26" s="34">
        <f>+J26*(1+'Input data'!K33/100)</f>
        <v>20.531617526486727</v>
      </c>
      <c r="L26" s="34">
        <f>+K26*(1+'Input data'!L33/100)</f>
        <v>21.456415783349957</v>
      </c>
      <c r="M26" s="34">
        <f>+L26*(1+'Input data'!M33/100)</f>
        <v>22.389391807879576</v>
      </c>
      <c r="N26" s="34">
        <f>+M26*(1+'Input data'!N33/100)</f>
        <v>23.323057433007914</v>
      </c>
      <c r="O26" s="34">
        <f>+N26*(1+'Input data'!O33/100)</f>
        <v>24.283016284965722</v>
      </c>
      <c r="P26" s="34">
        <f>+O26*(1+'Input data'!P33/100)</f>
        <v>25.20011878892393</v>
      </c>
      <c r="Q26" s="34">
        <f>+P26*(1+'Input data'!Q33/100)</f>
        <v>26.066379424324076</v>
      </c>
      <c r="R26" s="34">
        <f>+Q26*(1+'Input data'!R33/100)</f>
        <v>26.874001617277941</v>
      </c>
      <c r="S26" s="34">
        <f>+R26*(1+'Input data'!S33/100)</f>
        <v>27.676573251336716</v>
      </c>
      <c r="T26" s="34">
        <f>+S26*(1+'Input data'!T33/100)</f>
        <v>28.46419234262606</v>
      </c>
      <c r="U26" s="34">
        <f>+T26*(1+'Input data'!U33/100)</f>
        <v>29.226596625981749</v>
      </c>
      <c r="V26" s="34">
        <f>+U26*(1+'Input data'!V33/100)</f>
        <v>29.962588088866379</v>
      </c>
      <c r="W26" s="34">
        <f>+V26*(1+'Input data'!W33/100)</f>
        <v>30.672532737201575</v>
      </c>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row>
    <row r="27" spans="1:50" ht="5.25" customHeight="1" x14ac:dyDescent="0.2">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x14ac:dyDescent="0.2">
      <c r="B28" s="30" t="s">
        <v>91</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26" t="s">
        <v>91</v>
      </c>
      <c r="C29" s="34">
        <f t="shared" ref="C29:T29" si="4">100*(C22/C26-1)</f>
        <v>-1.7994538067392707</v>
      </c>
      <c r="D29" s="100">
        <f t="shared" si="4"/>
        <v>-0.49927083711334141</v>
      </c>
      <c r="E29" s="100">
        <f t="shared" si="4"/>
        <v>-1.8709186920573551E-2</v>
      </c>
      <c r="F29" s="100">
        <f t="shared" si="4"/>
        <v>-0.34867870767660847</v>
      </c>
      <c r="G29" s="34">
        <f t="shared" si="4"/>
        <v>-0.68493816413964792</v>
      </c>
      <c r="H29" s="34">
        <f t="shared" si="4"/>
        <v>-0.76972068661990134</v>
      </c>
      <c r="I29" s="34">
        <f t="shared" si="4"/>
        <v>-0.82588511179831903</v>
      </c>
      <c r="J29" s="34">
        <f t="shared" si="4"/>
        <v>-0.86333850547822832</v>
      </c>
      <c r="K29" s="34">
        <f t="shared" si="4"/>
        <v>-0.39784918427666627</v>
      </c>
      <c r="L29" s="34">
        <f t="shared" si="4"/>
        <v>-8.6528088263193581E-2</v>
      </c>
      <c r="M29" s="34">
        <f t="shared" si="4"/>
        <v>-5.7685392175454986E-2</v>
      </c>
      <c r="N29" s="34">
        <f t="shared" si="4"/>
        <v>-2.8842696087738595E-2</v>
      </c>
      <c r="O29" s="34">
        <f t="shared" si="4"/>
        <v>0</v>
      </c>
      <c r="P29" s="34">
        <f t="shared" si="4"/>
        <v>1.9272144546889081E-6</v>
      </c>
      <c r="Q29" s="34">
        <f t="shared" si="4"/>
        <v>1.9272144324844476E-6</v>
      </c>
      <c r="R29" s="34">
        <f t="shared" si="4"/>
        <v>4.8370579763812316E-6</v>
      </c>
      <c r="S29" s="34">
        <f t="shared" si="4"/>
        <v>7.750063435452148E-6</v>
      </c>
      <c r="T29" s="34">
        <f t="shared" si="4"/>
        <v>6.7777338852437197E-6</v>
      </c>
      <c r="U29" s="34">
        <f t="shared" ref="U29:W29" si="5">100*(U22/U26-1)</f>
        <v>4.8299056976119914E-6</v>
      </c>
      <c r="V29" s="34">
        <f t="shared" si="5"/>
        <v>1.9035965914682151E-6</v>
      </c>
      <c r="W29" s="34">
        <f t="shared" si="5"/>
        <v>-5.0111570448763132E-8</v>
      </c>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ht="5.25" customHeight="1" x14ac:dyDescent="0.2">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x14ac:dyDescent="0.2">
      <c r="B31" s="30" t="s">
        <v>92</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26" t="s">
        <v>60</v>
      </c>
      <c r="C32" s="1">
        <f t="shared" ref="C32:W32" si="6">100*((1+C23/100)*(1+C41/100)-1)</f>
        <v>14.7701393577935</v>
      </c>
      <c r="D32" s="2">
        <f t="shared" si="6"/>
        <v>13.761933721019993</v>
      </c>
      <c r="E32" s="2">
        <f t="shared" si="6"/>
        <v>11.183598899764146</v>
      </c>
      <c r="F32" s="2">
        <f t="shared" si="6"/>
        <v>8.3811611205204084</v>
      </c>
      <c r="G32" s="1">
        <f t="shared" si="6"/>
        <v>7.1635200987937742</v>
      </c>
      <c r="H32" s="1">
        <f t="shared" si="6"/>
        <v>7.2402270313374872</v>
      </c>
      <c r="I32" s="1">
        <f t="shared" si="6"/>
        <v>7.3040701897306493</v>
      </c>
      <c r="J32" s="1">
        <f t="shared" si="6"/>
        <v>7.2620683998107616</v>
      </c>
      <c r="K32" s="1">
        <f t="shared" si="6"/>
        <v>7.7606391476765735</v>
      </c>
      <c r="L32" s="1">
        <f t="shared" si="6"/>
        <v>7.4977706641684794</v>
      </c>
      <c r="M32" s="1">
        <f t="shared" si="6"/>
        <v>7.0358107545190673</v>
      </c>
      <c r="N32" s="1">
        <f t="shared" si="6"/>
        <v>6.8551970076608626</v>
      </c>
      <c r="O32" s="1">
        <f t="shared" si="6"/>
        <v>6.8016824956988353</v>
      </c>
      <c r="P32" s="1">
        <f t="shared" si="6"/>
        <v>6.3944939133500078</v>
      </c>
      <c r="Q32" s="1">
        <f t="shared" si="6"/>
        <v>6.01829227370001</v>
      </c>
      <c r="R32" s="1">
        <f t="shared" si="6"/>
        <v>5.6422833420999963</v>
      </c>
      <c r="S32" s="1">
        <f t="shared" si="6"/>
        <v>5.4992958187999985</v>
      </c>
      <c r="T32" s="1">
        <f t="shared" si="6"/>
        <v>5.3269508284999878</v>
      </c>
      <c r="U32" s="1">
        <f t="shared" si="6"/>
        <v>5.127347414099992</v>
      </c>
      <c r="V32" s="1">
        <f t="shared" si="6"/>
        <v>4.9350890836499905</v>
      </c>
      <c r="W32" s="1">
        <f t="shared" si="6"/>
        <v>4.7546428355000003</v>
      </c>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4" spans="2:51" x14ac:dyDescent="0.2">
      <c r="B34" s="28" t="s">
        <v>141</v>
      </c>
    </row>
    <row r="35" spans="2:51" x14ac:dyDescent="0.2">
      <c r="B35" s="26" t="s">
        <v>63</v>
      </c>
      <c r="C35" s="34">
        <f>'Input data'!C37</f>
        <v>2.4089399999999999</v>
      </c>
      <c r="D35" s="100">
        <f>'Input data'!D37</f>
        <v>1.9834700000000001</v>
      </c>
      <c r="E35" s="100">
        <f>'Input data'!E37</f>
        <v>2.3767499999999999</v>
      </c>
      <c r="F35" s="100">
        <f>'Input data'!F37</f>
        <v>2.7490950000000001</v>
      </c>
      <c r="G35" s="100">
        <f>'Input data'!G37</f>
        <v>2.7383609999999998</v>
      </c>
      <c r="H35" s="34">
        <f t="shared" ref="H35:W35" si="7">H92</f>
        <v>2.8292956231126509</v>
      </c>
      <c r="I35" s="34">
        <f t="shared" si="7"/>
        <v>2.9128598255268852</v>
      </c>
      <c r="J35" s="34">
        <f t="shared" si="7"/>
        <v>2.9910327888273525</v>
      </c>
      <c r="K35" s="34">
        <f t="shared" si="7"/>
        <v>3.0645257032705233</v>
      </c>
      <c r="L35" s="34">
        <f t="shared" si="7"/>
        <v>3.1386788823971852</v>
      </c>
      <c r="M35" s="34">
        <f t="shared" si="7"/>
        <v>3.2142546270580969</v>
      </c>
      <c r="N35" s="34">
        <f t="shared" si="7"/>
        <v>3.2896692653043531</v>
      </c>
      <c r="O35" s="34">
        <f t="shared" si="7"/>
        <v>3.3650214715135522</v>
      </c>
      <c r="P35" s="34">
        <f t="shared" si="7"/>
        <v>3.4282966574669906</v>
      </c>
      <c r="Q35" s="34">
        <f t="shared" si="7"/>
        <v>3.4831356214530071</v>
      </c>
      <c r="R35" s="34">
        <f t="shared" si="7"/>
        <v>3.5305155421463117</v>
      </c>
      <c r="S35" s="34">
        <f t="shared" si="7"/>
        <v>3.5712818873231851</v>
      </c>
      <c r="T35" s="34">
        <f t="shared" si="7"/>
        <v>3.6061698484214371</v>
      </c>
      <c r="U35" s="34">
        <f t="shared" si="7"/>
        <v>3.6358174803837633</v>
      </c>
      <c r="V35" s="34">
        <f t="shared" si="7"/>
        <v>3.6608279983659737</v>
      </c>
      <c r="W35" s="34">
        <f t="shared" si="7"/>
        <v>3.6817352904877314</v>
      </c>
    </row>
    <row r="36" spans="2:51" x14ac:dyDescent="0.2">
      <c r="B36" s="32" t="s">
        <v>94</v>
      </c>
      <c r="C36" s="1"/>
      <c r="D36" s="2">
        <f>'Input data'!D$39</f>
        <v>2.41</v>
      </c>
      <c r="E36" s="2">
        <f>'Input data'!E$39</f>
        <v>3.71</v>
      </c>
      <c r="F36" s="166">
        <f>'Input data'!F$39</f>
        <v>3.4970020000000002</v>
      </c>
      <c r="G36" s="166">
        <f>'Input data'!G$39</f>
        <v>3.5053580000000002</v>
      </c>
      <c r="H36" s="1">
        <f>G36+($O$36-$G$36)/($O$10-$G$10)</f>
        <v>3.5849320000000002</v>
      </c>
      <c r="I36" s="1">
        <f t="shared" ref="I36:M36" si="8">H36+($O$36-$G$36)/($O$10-$G$10)</f>
        <v>3.6645060000000003</v>
      </c>
      <c r="J36" s="1">
        <f t="shared" si="8"/>
        <v>3.7440800000000003</v>
      </c>
      <c r="K36" s="1">
        <f t="shared" si="8"/>
        <v>3.8236540000000003</v>
      </c>
      <c r="L36" s="1">
        <f t="shared" si="8"/>
        <v>3.9032280000000004</v>
      </c>
      <c r="M36" s="1">
        <f t="shared" si="8"/>
        <v>3.9828020000000004</v>
      </c>
      <c r="N36" s="1">
        <f>M36+($O$36-$G$36)/($O$10-$G$10)</f>
        <v>4.0623760000000004</v>
      </c>
      <c r="O36" s="252">
        <f>'Input data'!$C$52</f>
        <v>4.1419499999999996</v>
      </c>
      <c r="P36" s="1">
        <f>'Baseline NFPC'!P36</f>
        <v>4.1348524999999992</v>
      </c>
      <c r="Q36" s="1">
        <f>'Baseline NFPC'!Q36</f>
        <v>4.1277549999999996</v>
      </c>
      <c r="R36" s="1">
        <f>'Baseline NFPC'!R36</f>
        <v>4.1206575000000001</v>
      </c>
      <c r="S36" s="1">
        <f>'Baseline NFPC'!S36</f>
        <v>4.1135599999999997</v>
      </c>
      <c r="T36" s="1">
        <f>'Baseline NFPC'!T36</f>
        <v>4.1064624999999992</v>
      </c>
      <c r="U36" s="1">
        <f>'Baseline NFPC'!U36</f>
        <v>4.0993649999999997</v>
      </c>
      <c r="V36" s="1">
        <f>'Baseline NFPC'!V36</f>
        <v>4.0922675000000002</v>
      </c>
      <c r="W36" s="1">
        <f>'Baseline NFPC'!W36</f>
        <v>4.0851699999999997</v>
      </c>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60"/>
    </row>
    <row r="37" spans="2:51" x14ac:dyDescent="0.2">
      <c r="B37" s="32" t="s">
        <v>95</v>
      </c>
      <c r="C37" s="1"/>
      <c r="D37" s="2">
        <f>'Input data'!D$38</f>
        <v>0.35</v>
      </c>
      <c r="E37" s="2">
        <f>'Input data'!E$38</f>
        <v>3.43</v>
      </c>
      <c r="F37" s="166">
        <f>'Input data'!F$38</f>
        <v>3.5642079999999998</v>
      </c>
      <c r="G37" s="166">
        <f>'Input data'!G$38</f>
        <v>2.8163749999999999</v>
      </c>
      <c r="H37" s="1">
        <f>G37+($O$37-$G$37)/($O$10-$G$10)</f>
        <v>2.8050893749999997</v>
      </c>
      <c r="I37" s="1">
        <f t="shared" ref="I37:N37" si="9">H37+($O$37-$G$37)/($O$10-$G$10)</f>
        <v>2.7938037499999995</v>
      </c>
      <c r="J37" s="1">
        <f t="shared" si="9"/>
        <v>2.7825181249999993</v>
      </c>
      <c r="K37" s="1">
        <f t="shared" si="9"/>
        <v>2.7712324999999991</v>
      </c>
      <c r="L37" s="1">
        <f t="shared" si="9"/>
        <v>2.7599468749999989</v>
      </c>
      <c r="M37" s="1">
        <f t="shared" si="9"/>
        <v>2.7486612499999987</v>
      </c>
      <c r="N37" s="1">
        <f t="shared" si="9"/>
        <v>2.7373756249999985</v>
      </c>
      <c r="O37" s="252">
        <f>'Input data'!$C$53</f>
        <v>2.7260900000000001</v>
      </c>
      <c r="P37" s="1">
        <f>'Baseline NFPC'!P37</f>
        <v>2.6897855000000002</v>
      </c>
      <c r="Q37" s="1">
        <f>'Baseline NFPC'!Q37</f>
        <v>2.6534810000000002</v>
      </c>
      <c r="R37" s="1">
        <f>'Baseline NFPC'!R37</f>
        <v>2.6171765000000002</v>
      </c>
      <c r="S37" s="1">
        <f>'Baseline NFPC'!S37</f>
        <v>2.5808720000000003</v>
      </c>
      <c r="T37" s="1">
        <f>'Baseline NFPC'!T37</f>
        <v>2.5445675000000003</v>
      </c>
      <c r="U37" s="1">
        <f>'Baseline NFPC'!U37</f>
        <v>2.5082629999999999</v>
      </c>
      <c r="V37" s="1">
        <f>'Baseline NFPC'!V37</f>
        <v>2.4719584999999999</v>
      </c>
      <c r="W37" s="1">
        <f>'Baseline NFPC'!W37</f>
        <v>2.435654</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s="5" customFormat="1" ht="12.75" x14ac:dyDescent="0.2">
      <c r="B38" s="26" t="s">
        <v>96</v>
      </c>
      <c r="C38" s="34">
        <f>'Baseline NFPC'!C38</f>
        <v>8.1903229999999994E-2</v>
      </c>
      <c r="D38" s="34">
        <f>'Baseline NFPC'!D38</f>
        <v>1E-3</v>
      </c>
      <c r="E38" s="34">
        <f>'Baseline NFPC'!E38</f>
        <v>4.9018890000000002E-2</v>
      </c>
      <c r="F38" s="34">
        <f>'Baseline NFPC'!F38</f>
        <v>4.7479519999999997E-2</v>
      </c>
      <c r="G38" s="34">
        <f>'Baseline NFPC'!G38</f>
        <v>4.8981602222222219E-2</v>
      </c>
      <c r="H38" s="34">
        <f>'Baseline NFPC'!H38</f>
        <v>5.048368444444444E-2</v>
      </c>
      <c r="I38" s="34">
        <f>'Baseline NFPC'!I38</f>
        <v>5.1985766666666662E-2</v>
      </c>
      <c r="J38" s="34">
        <f>'Baseline NFPC'!J38</f>
        <v>5.3487848888888884E-2</v>
      </c>
      <c r="K38" s="34">
        <f>'Baseline NFPC'!K38</f>
        <v>5.4989931111111112E-2</v>
      </c>
      <c r="L38" s="34">
        <f>'Baseline NFPC'!L38</f>
        <v>5.6492013333333334E-2</v>
      </c>
      <c r="M38" s="34">
        <f>'Baseline NFPC'!M38</f>
        <v>5.7994095555555555E-2</v>
      </c>
      <c r="N38" s="34">
        <f>'Baseline NFPC'!N38</f>
        <v>5.9496177777777777E-2</v>
      </c>
      <c r="O38" s="34">
        <f>'Baseline NFPC'!O38</f>
        <v>6.0998259999999999E-2</v>
      </c>
      <c r="P38" s="34">
        <f>'Baseline NFPC'!P38</f>
        <v>6.0998259999999999E-2</v>
      </c>
      <c r="Q38" s="34">
        <f>'Baseline NFPC'!Q38</f>
        <v>6.0998259999999999E-2</v>
      </c>
      <c r="R38" s="34">
        <f>'Baseline NFPC'!R38</f>
        <v>6.0998259999999999E-2</v>
      </c>
      <c r="S38" s="34">
        <f>'Baseline NFPC'!S38</f>
        <v>6.0998259999999999E-2</v>
      </c>
      <c r="T38" s="34">
        <f>'Baseline NFPC'!T38</f>
        <v>6.0998259999999999E-2</v>
      </c>
      <c r="U38" s="34">
        <f>'Baseline NFPC'!U38</f>
        <v>6.0998259999999999E-2</v>
      </c>
      <c r="V38" s="34">
        <f>'Baseline NFPC'!V38</f>
        <v>6.0998259999999999E-2</v>
      </c>
      <c r="W38" s="34">
        <f>'Baseline NFPC'!W38</f>
        <v>6.0998259999999999E-2</v>
      </c>
    </row>
    <row r="39" spans="2:51" x14ac:dyDescent="0.2">
      <c r="C39" s="1"/>
      <c r="D39" s="1"/>
      <c r="E39" s="1"/>
      <c r="F39" s="1"/>
      <c r="G39" s="1"/>
      <c r="H39" s="1"/>
      <c r="I39" s="1"/>
      <c r="J39" s="1"/>
      <c r="K39" s="1"/>
      <c r="L39" s="1"/>
      <c r="M39" s="1"/>
      <c r="N39" s="1"/>
      <c r="O39" s="1"/>
      <c r="P39" s="1"/>
      <c r="Q39" s="1"/>
      <c r="R39" s="1"/>
      <c r="S39" s="1"/>
      <c r="T39" s="1"/>
      <c r="U39" s="1"/>
      <c r="V39" s="1"/>
      <c r="W39" s="1"/>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60"/>
    </row>
    <row r="40" spans="2:51" x14ac:dyDescent="0.2">
      <c r="B40" s="28" t="s">
        <v>97</v>
      </c>
      <c r="C40" s="1"/>
      <c r="D40" s="1"/>
      <c r="E40" s="1"/>
      <c r="F40" s="1"/>
      <c r="G40" s="1"/>
      <c r="H40" s="1"/>
      <c r="I40" s="1"/>
      <c r="J40" s="1"/>
      <c r="K40" s="1"/>
      <c r="L40" s="1"/>
      <c r="M40" s="1"/>
      <c r="N40" s="1"/>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6" t="s">
        <v>142</v>
      </c>
      <c r="C41" s="1">
        <f>'Input data'!C42</f>
        <v>2.0052530000000002</v>
      </c>
      <c r="D41" s="2">
        <f>'Input data'!D42</f>
        <v>5.2614710000000002</v>
      </c>
      <c r="E41" s="2">
        <f>'Input data'!E42</f>
        <v>5.2736159999999996</v>
      </c>
      <c r="F41" s="2">
        <f>'Input data'!F42</f>
        <v>3.6423429999999999</v>
      </c>
      <c r="G41" s="2">
        <f>'Input data'!G42</f>
        <v>2.5339109999999998</v>
      </c>
      <c r="H41" s="1">
        <f>'Baseline NFPC'!H41</f>
        <v>2.5359221249999999</v>
      </c>
      <c r="I41" s="1">
        <f>'Baseline NFPC'!I41</f>
        <v>2.53793325</v>
      </c>
      <c r="J41" s="1">
        <f>'Baseline NFPC'!J41</f>
        <v>2.5399443749999997</v>
      </c>
      <c r="K41" s="1">
        <f>'Baseline NFPC'!K41</f>
        <v>2.5419554999999998</v>
      </c>
      <c r="L41" s="1">
        <f>'Baseline NFPC'!L41</f>
        <v>2.5439666249999999</v>
      </c>
      <c r="M41" s="1">
        <f>'Baseline NFPC'!M41</f>
        <v>2.5459777499999996</v>
      </c>
      <c r="N41" s="1">
        <f>'Baseline NFPC'!N41</f>
        <v>2.5479888749999997</v>
      </c>
      <c r="O41" s="252">
        <f>'Baseline NFPC'!O41</f>
        <v>2.5499999999999998</v>
      </c>
      <c r="P41" s="1">
        <f>'Baseline NFPC'!P41</f>
        <v>2.5225</v>
      </c>
      <c r="Q41" s="1">
        <f>'Baseline NFPC'!Q41</f>
        <v>2.4949999999999997</v>
      </c>
      <c r="R41" s="1">
        <f>'Baseline NFPC'!R41</f>
        <v>2.4674999999999998</v>
      </c>
      <c r="S41" s="1">
        <f>'Baseline NFPC'!S41</f>
        <v>2.44</v>
      </c>
      <c r="T41" s="1">
        <f>'Baseline NFPC'!T41</f>
        <v>2.4124999999999996</v>
      </c>
      <c r="U41" s="1">
        <f>'Baseline NFPC'!U41</f>
        <v>2.3849999999999998</v>
      </c>
      <c r="V41" s="1">
        <f>'Baseline NFPC'!V41</f>
        <v>2.3574999999999999</v>
      </c>
      <c r="W41" s="1">
        <f>'Baseline NFPC'!W41</f>
        <v>2.33</v>
      </c>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98</v>
      </c>
      <c r="C42" s="1">
        <f>'Baseline NFPC'!C42</f>
        <v>1</v>
      </c>
      <c r="D42" s="1">
        <f>'Baseline NFPC'!D42</f>
        <v>1</v>
      </c>
      <c r="E42" s="1">
        <f>'Baseline NFPC'!E42</f>
        <v>1</v>
      </c>
      <c r="F42" s="1">
        <f>'Baseline NFPC'!F42</f>
        <v>1</v>
      </c>
      <c r="G42" s="1">
        <f>'Baseline NFPC'!G42</f>
        <v>0.99999990000000005</v>
      </c>
      <c r="H42" s="1">
        <f>'Baseline NFPC'!H42</f>
        <v>1</v>
      </c>
      <c r="I42" s="1">
        <f>'Baseline NFPC'!I42</f>
        <v>1</v>
      </c>
      <c r="J42" s="1">
        <f>'Baseline NFPC'!J42</f>
        <v>1</v>
      </c>
      <c r="K42" s="1">
        <f>'Baseline NFPC'!K42</f>
        <v>1</v>
      </c>
      <c r="L42" s="1">
        <f>'Baseline NFPC'!L42</f>
        <v>1</v>
      </c>
      <c r="M42" s="1">
        <f>'Baseline NFPC'!M42</f>
        <v>1</v>
      </c>
      <c r="N42" s="1">
        <f>'Baseline NFPC'!N42</f>
        <v>1</v>
      </c>
      <c r="O42" s="1">
        <f>'Baseline NFPC'!O42</f>
        <v>1</v>
      </c>
      <c r="P42" s="1">
        <f>'Baseline NFPC'!P42</f>
        <v>1</v>
      </c>
      <c r="Q42" s="1">
        <f>'Baseline NFPC'!Q42</f>
        <v>1</v>
      </c>
      <c r="R42" s="1">
        <f>'Baseline NFPC'!R42</f>
        <v>1</v>
      </c>
      <c r="S42" s="1">
        <f>'Baseline NFPC'!S42</f>
        <v>1</v>
      </c>
      <c r="T42" s="1">
        <f>'Baseline NFPC'!T42</f>
        <v>1</v>
      </c>
      <c r="U42" s="1">
        <f>'Baseline NFPC'!U42</f>
        <v>1</v>
      </c>
      <c r="V42" s="1">
        <f>'Baseline NFPC'!V42</f>
        <v>1</v>
      </c>
      <c r="W42" s="1">
        <f>'Baseline NFPC'!W42</f>
        <v>1</v>
      </c>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0"/>
    </row>
    <row r="43" spans="2:51" x14ac:dyDescent="0.2">
      <c r="C43" s="36"/>
      <c r="U43" s="1"/>
      <c r="V43" s="1"/>
      <c r="W43" s="1"/>
    </row>
    <row r="44" spans="2:51" s="67" customFormat="1" ht="12.75" x14ac:dyDescent="0.2">
      <c r="B44" s="75" t="s">
        <v>99</v>
      </c>
      <c r="C44" s="68"/>
    </row>
    <row r="45" spans="2:51" x14ac:dyDescent="0.2">
      <c r="C45" s="36"/>
    </row>
    <row r="46" spans="2:51" x14ac:dyDescent="0.2">
      <c r="B46" s="54" t="s">
        <v>68</v>
      </c>
      <c r="C46" s="55">
        <f>'Input data'!C49</f>
        <v>0.75</v>
      </c>
    </row>
    <row r="47" spans="2:51" x14ac:dyDescent="0.2">
      <c r="B47" s="56" t="s">
        <v>258</v>
      </c>
      <c r="C47" s="57">
        <f>'Input data'!C50</f>
        <v>0.47899999999999998</v>
      </c>
    </row>
    <row r="48" spans="2:51" x14ac:dyDescent="0.2">
      <c r="C48" s="58"/>
    </row>
    <row r="49" spans="2:48" outlineLevel="1" x14ac:dyDescent="0.2">
      <c r="B49" s="26" t="s">
        <v>100</v>
      </c>
      <c r="C49" s="34">
        <v>0</v>
      </c>
      <c r="D49" s="34">
        <f>IF(AND(ABS((D12-C12)-('Input data'!D13-'Input data'!C13))&gt;0.0001,ABS(D12-C12)&gt;0.0001,D$10&gt;$C$5),4,IF(C49=4,3,IF(C49=3,2,IF(C49=2,1,0))))</f>
        <v>0</v>
      </c>
      <c r="E49" s="34">
        <f>IF(AND(ABS((E12-D12)-('Input data'!E13-'Input data'!D13))&gt;0.0001,ABS(E12-D12)&gt;0.0001,E$10&gt;$C$5),4,IF(D49=4,3,IF(D49=3,2,IF(D49=2,1,0))))</f>
        <v>0</v>
      </c>
      <c r="F49" s="34">
        <f>IF(AND(ABS((F12-E12)-('Input data'!F13-'Input data'!E13))&gt;0.0001,ABS(F12-E12)&gt;0.0001,F$10&gt;$C$5),4,IF(E49=4,3,IF(E49=3,2,IF(E49=2,1,0))))</f>
        <v>0</v>
      </c>
      <c r="G49" s="34">
        <f>IF(AND(ABS((G12-F12)-('Input data'!G13-'Input data'!F13))&gt;0.0001,ABS(G12-F12)&gt;0.0001,G$10&gt;$C$5),4,IF(F49=4,3,IF(F49=3,2,IF(F49=2,1,0))))</f>
        <v>4</v>
      </c>
      <c r="H49" s="34">
        <f>IF(AND(ABS((H12-G12)-('Input data'!H13-'Input data'!G13))&gt;0.0001,ABS(H12-G12)&gt;0.0001,H$10&gt;$C$5),4,IF(G49=4,3,IF(G49=3,2,IF(G49=2,1,0))))</f>
        <v>4</v>
      </c>
      <c r="I49" s="34">
        <f>IF(AND(ABS((I12-H12)-('Input data'!I13-'Input data'!H13))&gt;0.0001,ABS(I12-H12)&gt;0.0001,I$10&gt;$C$5),4,IF(H49=4,3,IF(H49=3,2,IF(H49=2,1,0))))</f>
        <v>4</v>
      </c>
      <c r="J49" s="34">
        <f>IF(AND(ABS((J12-I12)-('Input data'!J13-'Input data'!I13))&gt;0.0001,ABS(J12-I12)&gt;0.0001,J$10&gt;$C$5),4,IF(I49=4,3,IF(I49=3,2,IF(I49=2,1,0))))</f>
        <v>4</v>
      </c>
      <c r="K49" s="34">
        <f>IF(AND(ABS((K12-J12)-('Input data'!K13-'Input data'!J13))&gt;0.0001,ABS(K12-J12)&gt;0.0001,K$10&gt;$C$5),4,IF(J49=4,3,IF(J49=3,2,IF(J49=2,1,0))))</f>
        <v>4</v>
      </c>
      <c r="L49" s="34">
        <f>IF(AND(ABS((L12-K12)-('Input data'!L13-'Input data'!K13))&gt;0.0001,ABS(L12-K12)&gt;0.0001,L$10&gt;$C$5),4,IF(K49=4,3,IF(K49=3,2,IF(K49=2,1,0))))</f>
        <v>4</v>
      </c>
      <c r="M49" s="34">
        <f>IF(AND(ABS((M12-L12)-('Input data'!M13-'Input data'!L13))&gt;0.0001,ABS(M12-L12)&gt;0.0001,M$10&gt;$C$5),4,IF(L49=4,3,IF(L49=3,2,IF(L49=2,1,0))))</f>
        <v>3</v>
      </c>
      <c r="N49" s="34">
        <f>IF(AND(ABS((N12-M12)-('Input data'!N13-'Input data'!M13))&gt;0.0001,ABS(N12-M12)&gt;0.0001,N$10&gt;$C$5),4,IF(M49=4,3,IF(M49=3,2,IF(M49=2,1,0))))</f>
        <v>2</v>
      </c>
      <c r="O49" s="34">
        <f>IF(AND(ABS((O12-N12)-('Input data'!O13-'Input data'!N13))&gt;0.0001,ABS(O12-N12)&gt;0.0001,O$10&gt;$C$5),4,IF(N49=4,3,IF(N49=3,2,IF(N49=2,1,0))))</f>
        <v>1</v>
      </c>
      <c r="P49" s="34">
        <f>IF(AND(ABS((P12-O12)-('Input data'!P13-'Input data'!O13))&gt;0.0001,ABS(P12-O12)&gt;0.0001,P$10&gt;$C$5),4,IF(O49=4,3,IF(O49=3,2,IF(O49=2,1,0))))</f>
        <v>0</v>
      </c>
      <c r="Q49" s="34">
        <f>IF(AND(ABS((Q12-P12)-('Input data'!Q13-'Input data'!P13))&gt;0.0001,ABS(Q12-P12)&gt;0.0001,Q$10&gt;$C$5),4,IF(P49=4,3,IF(P49=3,2,IF(P49=2,1,0))))</f>
        <v>0</v>
      </c>
      <c r="R49" s="34">
        <f>IF(AND(ABS((R12-Q12)-('Input data'!R13-'Input data'!Q13))&gt;0.0001,ABS(R12-Q12)&gt;0.0001,R$10&gt;$C$5),4,IF(Q49=4,3,IF(Q49=3,2,IF(Q49=2,1,0))))</f>
        <v>0</v>
      </c>
      <c r="S49" s="34">
        <f>IF(AND(ABS((S12-R12)-('Input data'!S13-'Input data'!R13))&gt;0.0001,ABS(S12-R12)&gt;0.0001,S$10&gt;$C$5),4,IF(R49=4,3,IF(R49=3,2,IF(R49=2,1,0))))</f>
        <v>0</v>
      </c>
      <c r="T49" s="34">
        <f>IF(AND(ABS((T12-S12)-('Input data'!T13-'Input data'!S13))&gt;0.0001,ABS(T12-S12)&gt;0.0001,T$10&gt;$C$5),4,IF(S49=4,3,IF(S49=3,2,IF(S49=2,1,0))))</f>
        <v>0</v>
      </c>
      <c r="U49" s="34">
        <f>IF(AND(ABS((U12-T12)-('Input data'!U13-'Input data'!T13))&gt;0.0001,ABS(U12-T12)&gt;0.0001,U$10&gt;$C$5),4,IF(T49=4,3,IF(T49=3,2,IF(T49=2,1,0))))</f>
        <v>0</v>
      </c>
      <c r="V49" s="34">
        <f>IF(AND(ABS((V12-U12)-('Input data'!V13-'Input data'!U13))&gt;0.0001,ABS(V12-U12)&gt;0.0001,V$10&gt;$C$5),4,IF(U49=4,3,IF(U49=3,2,IF(U49=2,1,0))))</f>
        <v>0</v>
      </c>
      <c r="W49" s="34">
        <f>IF(AND(ABS((W12-V12)-('Input data'!W13-'Input data'!V13))&gt;0.0001,ABS(W12-V12)&gt;0.0001,W$10&gt;$C$5),4,IF(V49=4,3,IF(V49=3,2,IF(V49=2,1,0))))</f>
        <v>0</v>
      </c>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row>
    <row r="50" spans="2:48" outlineLevel="1" x14ac:dyDescent="0.2">
      <c r="B50" s="26" t="s">
        <v>101</v>
      </c>
      <c r="C50" s="34">
        <v>0</v>
      </c>
      <c r="D50" s="34">
        <f t="shared" ref="D50:W50" si="10">IF(C49=4,2/3*C29,IF(C49=3,1/3*B29,0))</f>
        <v>0</v>
      </c>
      <c r="E50" s="34">
        <f t="shared" si="10"/>
        <v>0</v>
      </c>
      <c r="F50" s="34">
        <f t="shared" si="10"/>
        <v>0</v>
      </c>
      <c r="G50" s="34">
        <f t="shared" si="10"/>
        <v>0</v>
      </c>
      <c r="H50" s="34">
        <f t="shared" si="10"/>
        <v>-0.45662544275976524</v>
      </c>
      <c r="I50" s="34">
        <f t="shared" si="10"/>
        <v>-0.51314712441326749</v>
      </c>
      <c r="J50" s="34">
        <f t="shared" si="10"/>
        <v>-0.55059007453221265</v>
      </c>
      <c r="K50" s="34">
        <f t="shared" si="10"/>
        <v>-0.57555900365215218</v>
      </c>
      <c r="L50" s="34">
        <f t="shared" si="10"/>
        <v>-0.26523278951777751</v>
      </c>
      <c r="M50" s="34">
        <f t="shared" si="10"/>
        <v>-5.7685392175462383E-2</v>
      </c>
      <c r="N50" s="34">
        <f t="shared" si="10"/>
        <v>-2.8842696087731191E-2</v>
      </c>
      <c r="O50" s="34">
        <f t="shared" si="10"/>
        <v>0</v>
      </c>
      <c r="P50" s="34">
        <f t="shared" si="10"/>
        <v>0</v>
      </c>
      <c r="Q50" s="34">
        <f t="shared" si="10"/>
        <v>0</v>
      </c>
      <c r="R50" s="34">
        <f t="shared" si="10"/>
        <v>0</v>
      </c>
      <c r="S50" s="34">
        <f t="shared" si="10"/>
        <v>0</v>
      </c>
      <c r="T50" s="34">
        <f t="shared" si="10"/>
        <v>0</v>
      </c>
      <c r="U50" s="34">
        <f t="shared" si="10"/>
        <v>0</v>
      </c>
      <c r="V50" s="34">
        <f t="shared" si="10"/>
        <v>0</v>
      </c>
      <c r="W50" s="34">
        <f t="shared" si="10"/>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102</v>
      </c>
      <c r="C51" s="34"/>
      <c r="D51" s="34">
        <f>'Input data'!D30-$C$46*((D12-C12)-('Input data'!D13-'Input data'!C13))</f>
        <v>8.0755689999999998</v>
      </c>
      <c r="E51" s="34">
        <f>'Input data'!E30-$C$46*((E12-D12)-('Input data'!E13-'Input data'!D13))</f>
        <v>5.6139260000000002</v>
      </c>
      <c r="F51" s="34">
        <f>'Input data'!F30-$C$46*((F12-E12)-('Input data'!F13-'Input data'!E13))</f>
        <v>4.5722800000000001</v>
      </c>
      <c r="G51" s="34">
        <f>'Input data'!G30-$C$46*((G12-F12))</f>
        <v>4.5151979999999998</v>
      </c>
      <c r="H51" s="34">
        <f>'Input data'!H30-$C$46*((H12-G12))</f>
        <v>4.4773629999999995</v>
      </c>
      <c r="I51" s="34">
        <f>'Input data'!I30-$C$46*((I12-H12))</f>
        <v>4.5506839999999995</v>
      </c>
      <c r="J51" s="34">
        <f>'Input data'!J30-$C$46*((J12-I12))</f>
        <v>4.4010949999999998</v>
      </c>
      <c r="K51" s="34">
        <f>'Input data'!K30-$C$46*((K12-J12))</f>
        <v>4.7856800000000002</v>
      </c>
      <c r="L51" s="34">
        <f>'Input data'!L30-$C$46*((L12-K12))</f>
        <v>4.6917590000000002</v>
      </c>
      <c r="M51" s="34">
        <f>'Input data'!M30-$C$46*((M12-L12))</f>
        <v>4.3482380000000003</v>
      </c>
      <c r="N51" s="34">
        <f>'Input data'!N30-$C$46*((N12-M12))</f>
        <v>4.1701290000000002</v>
      </c>
      <c r="O51" s="34">
        <f>'Input data'!O30-$C$46*((O12-N12))</f>
        <v>4.1159239999999997</v>
      </c>
      <c r="P51" s="34">
        <f>'Input data'!P30-$C$46*((P12-O12))</f>
        <v>3.776726</v>
      </c>
      <c r="Q51" s="34">
        <f>'Input data'!Q30-$C$46*((Q12-P12))</f>
        <v>3.4375260000000001</v>
      </c>
      <c r="R51" s="34">
        <f>'Input data'!R30-$C$46*((R12-Q12))</f>
        <v>3.0983320000000001</v>
      </c>
      <c r="S51" s="34">
        <f>'Input data'!S30-$C$46*((S12-R12))</f>
        <v>2.9864269999999999</v>
      </c>
      <c r="T51" s="34">
        <f>'Input data'!T30-$C$46*((T12-S12))</f>
        <v>2.845796</v>
      </c>
      <c r="U51" s="34">
        <f>'Input data'!U30-$C$46*((U12-T12))</f>
        <v>2.6784659999999998</v>
      </c>
      <c r="V51" s="34">
        <f>'Input data'!V30-$C$46*((V12-U12))</f>
        <v>2.5182220000000002</v>
      </c>
      <c r="W51" s="34">
        <f>'Input data'!W30-$C$46*((W12-V12))</f>
        <v>2.3694350000000002</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x14ac:dyDescent="0.2">
      <c r="C52" s="36"/>
    </row>
    <row r="53" spans="2:48" s="67" customFormat="1" ht="12.75" outlineLevel="1" x14ac:dyDescent="0.2">
      <c r="B53" s="72" t="s">
        <v>103</v>
      </c>
      <c r="C53" s="69"/>
      <c r="E53" s="70"/>
      <c r="F53" s="69"/>
    </row>
    <row r="54" spans="2:48" outlineLevel="1" x14ac:dyDescent="0.2">
      <c r="B54" s="43"/>
      <c r="C54" s="29"/>
      <c r="E54" s="44"/>
      <c r="F54" s="29"/>
    </row>
    <row r="55" spans="2:48" outlineLevel="1" x14ac:dyDescent="0.2">
      <c r="B55" s="85"/>
      <c r="C55" s="86">
        <v>2021</v>
      </c>
      <c r="D55" s="86">
        <v>2022</v>
      </c>
      <c r="E55" s="86">
        <v>2023</v>
      </c>
      <c r="F55" s="86">
        <v>2024</v>
      </c>
      <c r="G55" s="86">
        <v>2025</v>
      </c>
      <c r="H55" s="86">
        <v>2026</v>
      </c>
      <c r="I55" s="86">
        <v>2027</v>
      </c>
      <c r="J55" s="86">
        <v>2028</v>
      </c>
      <c r="K55" s="86">
        <v>2029</v>
      </c>
      <c r="L55" s="86">
        <v>2030</v>
      </c>
      <c r="M55" s="86">
        <v>2031</v>
      </c>
      <c r="N55" s="86">
        <v>2032</v>
      </c>
      <c r="O55" s="86">
        <v>2033</v>
      </c>
      <c r="P55" s="86">
        <v>2034</v>
      </c>
      <c r="Q55" s="86">
        <v>2035</v>
      </c>
      <c r="R55" s="86">
        <v>2036</v>
      </c>
      <c r="S55" s="86">
        <v>2037</v>
      </c>
      <c r="T55" s="86">
        <v>2038</v>
      </c>
      <c r="U55" s="86">
        <v>2039</v>
      </c>
      <c r="V55" s="86">
        <v>2040</v>
      </c>
      <c r="W55" s="86">
        <v>2041</v>
      </c>
    </row>
    <row r="56" spans="2:48" ht="10.5" customHeight="1" outlineLevel="1" x14ac:dyDescent="0.2">
      <c r="B56" s="87" t="s">
        <v>104</v>
      </c>
      <c r="C56" s="45">
        <f>+'Input data'!C12</f>
        <v>53.925649999999997</v>
      </c>
      <c r="D56" s="45">
        <f t="shared" ref="D56:T56" si="11">+C56+D57</f>
        <v>51.626479730977287</v>
      </c>
      <c r="E56" s="45">
        <f t="shared" si="11"/>
        <v>50.396658431512243</v>
      </c>
      <c r="F56" s="45">
        <f t="shared" si="11"/>
        <v>52.027240532489337</v>
      </c>
      <c r="G56" s="45">
        <f t="shared" si="11"/>
        <v>52.730907877542279</v>
      </c>
      <c r="H56" s="45">
        <f t="shared" si="11"/>
        <v>52.947955578274673</v>
      </c>
      <c r="I56" s="45">
        <f t="shared" si="11"/>
        <v>52.754005449493576</v>
      </c>
      <c r="J56" s="45">
        <f t="shared" si="11"/>
        <v>52.204191928643532</v>
      </c>
      <c r="K56" s="45">
        <f t="shared" si="11"/>
        <v>51.447985627579243</v>
      </c>
      <c r="L56" s="45">
        <f t="shared" si="11"/>
        <v>50.924979397907997</v>
      </c>
      <c r="M56" s="45">
        <f t="shared" si="11"/>
        <v>50.606512843817448</v>
      </c>
      <c r="N56" s="45">
        <f t="shared" si="11"/>
        <v>50.364865375506987</v>
      </c>
      <c r="O56" s="46">
        <f t="shared" si="11"/>
        <v>50.156047095111582</v>
      </c>
      <c r="P56" s="46">
        <f t="shared" si="11"/>
        <v>50.16368807415504</v>
      </c>
      <c r="Q56" s="46">
        <f t="shared" si="11"/>
        <v>50.379858486178676</v>
      </c>
      <c r="R56" s="46">
        <f t="shared" si="11"/>
        <v>50.812534324566855</v>
      </c>
      <c r="S56" s="46">
        <f t="shared" si="11"/>
        <v>51.357509559885877</v>
      </c>
      <c r="T56" s="46">
        <f t="shared" si="11"/>
        <v>52.033460464275514</v>
      </c>
      <c r="U56" s="46">
        <f t="shared" ref="U56" si="12">+T56+U57</f>
        <v>52.867337764289623</v>
      </c>
      <c r="V56" s="46">
        <f t="shared" ref="V56" si="13">+U56+V57</f>
        <v>53.873306990050104</v>
      </c>
      <c r="W56" s="46">
        <f t="shared" ref="W56" si="14">+V56+W57</f>
        <v>55.063360207465635</v>
      </c>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row>
    <row r="57" spans="2:48" outlineLevel="1" x14ac:dyDescent="0.2">
      <c r="B57" s="88" t="s">
        <v>105</v>
      </c>
      <c r="C57" s="47"/>
      <c r="D57" s="47">
        <f t="shared" ref="D57:T57" si="15">-D58+D66+D71</f>
        <v>-2.2991702690227074</v>
      </c>
      <c r="E57" s="47">
        <f t="shared" si="15"/>
        <v>-1.229821299465041</v>
      </c>
      <c r="F57" s="47">
        <f t="shared" si="15"/>
        <v>1.6305821009770929</v>
      </c>
      <c r="G57" s="47">
        <f t="shared" si="15"/>
        <v>0.70366734505293893</v>
      </c>
      <c r="H57" s="47">
        <f t="shared" si="15"/>
        <v>0.2170477007323961</v>
      </c>
      <c r="I57" s="47">
        <f t="shared" si="15"/>
        <v>-0.19395012878109874</v>
      </c>
      <c r="J57" s="47">
        <f t="shared" si="15"/>
        <v>-0.54981352085004254</v>
      </c>
      <c r="K57" s="47">
        <f t="shared" si="15"/>
        <v>-0.75620630106428699</v>
      </c>
      <c r="L57" s="47">
        <f t="shared" si="15"/>
        <v>-0.52300622967124721</v>
      </c>
      <c r="M57" s="47">
        <f t="shared" si="15"/>
        <v>-0.3184665540905498</v>
      </c>
      <c r="N57" s="47">
        <f t="shared" si="15"/>
        <v>-0.24164746831046324</v>
      </c>
      <c r="O57" s="47">
        <f t="shared" si="15"/>
        <v>-0.20881828039540373</v>
      </c>
      <c r="P57" s="47">
        <f t="shared" si="15"/>
        <v>7.6409790434610603E-3</v>
      </c>
      <c r="Q57" s="47">
        <f t="shared" si="15"/>
        <v>0.21617041202363541</v>
      </c>
      <c r="R57" s="47">
        <f t="shared" si="15"/>
        <v>0.4326758383881788</v>
      </c>
      <c r="S57" s="47">
        <f t="shared" si="15"/>
        <v>0.54497523531902203</v>
      </c>
      <c r="T57" s="47">
        <f t="shared" si="15"/>
        <v>0.67595090438964056</v>
      </c>
      <c r="U57" s="47">
        <f t="shared" ref="U57:W57" si="16">-U58+U66+U71</f>
        <v>0.83387730001410598</v>
      </c>
      <c r="V57" s="47">
        <f t="shared" si="16"/>
        <v>1.005969225760484</v>
      </c>
      <c r="W57" s="47">
        <f t="shared" si="16"/>
        <v>1.1900532174155307</v>
      </c>
    </row>
    <row r="58" spans="2:48" outlineLevel="1" x14ac:dyDescent="0.2">
      <c r="B58" s="84" t="s">
        <v>106</v>
      </c>
      <c r="C58" s="48"/>
      <c r="D58" s="48">
        <f t="shared" ref="D58:T58" si="17">D59+D60-D61-D62-D63-D64-D65</f>
        <v>-4.5943547309772903</v>
      </c>
      <c r="E58" s="48">
        <f t="shared" si="17"/>
        <v>-3.7999557005349547</v>
      </c>
      <c r="F58" s="48">
        <f t="shared" si="17"/>
        <v>-3.0642601009770956</v>
      </c>
      <c r="G58" s="48">
        <f t="shared" si="17"/>
        <v>-2.7853283806228912</v>
      </c>
      <c r="H58" s="48">
        <f t="shared" si="17"/>
        <v>-2.385939208890933</v>
      </c>
      <c r="I58" s="48">
        <f t="shared" si="17"/>
        <v>-1.9728419685513949</v>
      </c>
      <c r="J58" s="48">
        <f t="shared" si="17"/>
        <v>-1.5507821441240717</v>
      </c>
      <c r="K58" s="48">
        <f t="shared" si="17"/>
        <v>-1.5188062592685272</v>
      </c>
      <c r="L58" s="48">
        <f t="shared" si="17"/>
        <v>-1.5632369542780731</v>
      </c>
      <c r="M58" s="48">
        <f t="shared" si="17"/>
        <v>-1.4997349028520437</v>
      </c>
      <c r="N58" s="48">
        <f t="shared" si="17"/>
        <v>-1.4469828514260299</v>
      </c>
      <c r="O58" s="48">
        <f t="shared" si="17"/>
        <v>-1.4118207000000025</v>
      </c>
      <c r="P58" s="48">
        <f t="shared" si="17"/>
        <v>-1.405953276864278</v>
      </c>
      <c r="Q58" s="48">
        <f t="shared" si="17"/>
        <v>-1.4157068768642898</v>
      </c>
      <c r="R58" s="48">
        <f t="shared" si="17"/>
        <v>-1.4397589830492303</v>
      </c>
      <c r="S58" s="48">
        <f t="shared" si="17"/>
        <v>-1.473581187719617</v>
      </c>
      <c r="T58" s="48">
        <f t="shared" si="17"/>
        <v>-1.5150051534654712</v>
      </c>
      <c r="U58" s="48">
        <f t="shared" ref="U58:W58" si="18">U59+U60-U61-U62-U63-U64-U65</f>
        <v>-1.5721196864751721</v>
      </c>
      <c r="V58" s="48">
        <f t="shared" si="18"/>
        <v>-1.6479545881772346</v>
      </c>
      <c r="W58" s="48">
        <f t="shared" si="18"/>
        <v>-1.7418290240034442</v>
      </c>
    </row>
    <row r="59" spans="2:48" outlineLevel="1" x14ac:dyDescent="0.2">
      <c r="B59" s="79" t="s">
        <v>107</v>
      </c>
      <c r="C59" s="1"/>
      <c r="D59" s="1">
        <f>D12</f>
        <v>-4.3552039999999996</v>
      </c>
      <c r="E59" s="1">
        <f>E12</f>
        <v>-3.790994</v>
      </c>
      <c r="F59" s="1">
        <f>F12</f>
        <v>-2.897243</v>
      </c>
      <c r="G59" s="1">
        <f t="shared" ref="G59:W59" si="19">IF(G12="",F59,G12)</f>
        <v>-2.4572430000000001</v>
      </c>
      <c r="H59" s="1">
        <f t="shared" si="19"/>
        <v>-2.0172430000000001</v>
      </c>
      <c r="I59" s="1">
        <f t="shared" si="19"/>
        <v>-1.5772430000000002</v>
      </c>
      <c r="J59" s="1">
        <f t="shared" si="19"/>
        <v>-1.1372430000000002</v>
      </c>
      <c r="K59" s="1">
        <f t="shared" si="19"/>
        <v>-1.3872430000000002</v>
      </c>
      <c r="L59" s="1">
        <f t="shared" si="19"/>
        <v>-1.6372430000000002</v>
      </c>
      <c r="M59" s="1">
        <f t="shared" si="19"/>
        <v>-1.6372430000000002</v>
      </c>
      <c r="N59" s="1">
        <f t="shared" si="19"/>
        <v>-1.6372430000000002</v>
      </c>
      <c r="O59" s="1">
        <f t="shared" si="19"/>
        <v>-1.6372430000000002</v>
      </c>
      <c r="P59" s="1">
        <f t="shared" si="19"/>
        <v>-1.6372430000000002</v>
      </c>
      <c r="Q59" s="1">
        <f t="shared" si="19"/>
        <v>-1.6372430000000002</v>
      </c>
      <c r="R59" s="1">
        <f t="shared" si="19"/>
        <v>-1.6372430000000002</v>
      </c>
      <c r="S59" s="1">
        <f t="shared" si="19"/>
        <v>-1.6372430000000002</v>
      </c>
      <c r="T59" s="1">
        <f t="shared" si="19"/>
        <v>-1.6372430000000002</v>
      </c>
      <c r="U59" s="1">
        <f t="shared" si="19"/>
        <v>-1.6372430000000002</v>
      </c>
      <c r="V59" s="1">
        <f t="shared" si="19"/>
        <v>-1.6372430000000002</v>
      </c>
      <c r="W59" s="1">
        <f t="shared" si="19"/>
        <v>-1.6372430000000002</v>
      </c>
    </row>
    <row r="60" spans="2:48" outlineLevel="1" x14ac:dyDescent="0.2">
      <c r="B60" s="79" t="s">
        <v>108</v>
      </c>
      <c r="C60" s="1"/>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row>
    <row r="61" spans="2:48" outlineLevel="1" x14ac:dyDescent="0.2">
      <c r="B61" s="79" t="s">
        <v>109</v>
      </c>
      <c r="C61" s="1"/>
      <c r="D61" s="1">
        <f t="shared" ref="D61:W61" si="20">-$C$47*D29</f>
        <v>0.23915073097729053</v>
      </c>
      <c r="E61" s="1">
        <f t="shared" si="20"/>
        <v>8.9617005349547311E-3</v>
      </c>
      <c r="F61" s="1">
        <f t="shared" si="20"/>
        <v>0.16701710097709546</v>
      </c>
      <c r="G61" s="1">
        <f t="shared" si="20"/>
        <v>0.32808538062289133</v>
      </c>
      <c r="H61" s="1">
        <f t="shared" si="20"/>
        <v>0.36869620889093274</v>
      </c>
      <c r="I61" s="1">
        <f t="shared" si="20"/>
        <v>0.39559896855139481</v>
      </c>
      <c r="J61" s="1">
        <f t="shared" si="20"/>
        <v>0.41353914412407133</v>
      </c>
      <c r="K61" s="1">
        <f t="shared" si="20"/>
        <v>0.19056975926852313</v>
      </c>
      <c r="L61" s="1">
        <f t="shared" si="20"/>
        <v>4.1446954278069721E-2</v>
      </c>
      <c r="M61" s="1">
        <f t="shared" si="20"/>
        <v>2.7631302852042936E-2</v>
      </c>
      <c r="N61" s="1">
        <f t="shared" si="20"/>
        <v>1.3815651426026787E-2</v>
      </c>
      <c r="O61" s="1">
        <f t="shared" si="20"/>
        <v>0</v>
      </c>
      <c r="P61" s="1">
        <f t="shared" si="20"/>
        <v>-9.2313572379598692E-7</v>
      </c>
      <c r="Q61" s="1">
        <f t="shared" si="20"/>
        <v>-9.2313571316005032E-7</v>
      </c>
      <c r="R61" s="1">
        <f t="shared" si="20"/>
        <v>-2.3169507706866099E-6</v>
      </c>
      <c r="S61" s="1">
        <f t="shared" si="20"/>
        <v>-3.7122803855815787E-6</v>
      </c>
      <c r="T61" s="1">
        <f t="shared" si="20"/>
        <v>-3.2465345310317415E-6</v>
      </c>
      <c r="U61" s="1">
        <f t="shared" si="20"/>
        <v>-2.3135248291561439E-6</v>
      </c>
      <c r="V61" s="1">
        <f t="shared" si="20"/>
        <v>-9.1182276731327503E-7</v>
      </c>
      <c r="W61" s="1">
        <f t="shared" si="20"/>
        <v>2.400344224495754E-8</v>
      </c>
    </row>
    <row r="62" spans="2:48" outlineLevel="1" x14ac:dyDescent="0.2">
      <c r="B62" s="79" t="s">
        <v>110</v>
      </c>
      <c r="C62" s="1"/>
      <c r="D62" s="1">
        <f t="shared" ref="D62:W62" si="21">-D13</f>
        <v>0</v>
      </c>
      <c r="E62" s="1">
        <f t="shared" si="21"/>
        <v>0</v>
      </c>
      <c r="F62" s="1">
        <f t="shared" si="21"/>
        <v>0</v>
      </c>
      <c r="G62" s="1">
        <f t="shared" si="21"/>
        <v>0</v>
      </c>
      <c r="H62" s="1">
        <f t="shared" si="21"/>
        <v>0</v>
      </c>
      <c r="I62" s="1">
        <f t="shared" si="21"/>
        <v>0</v>
      </c>
      <c r="J62" s="1">
        <f t="shared" si="21"/>
        <v>0</v>
      </c>
      <c r="K62" s="1">
        <f t="shared" si="21"/>
        <v>0</v>
      </c>
      <c r="L62" s="1">
        <f t="shared" si="21"/>
        <v>0</v>
      </c>
      <c r="M62" s="1">
        <f t="shared" si="21"/>
        <v>0</v>
      </c>
      <c r="N62" s="1">
        <f t="shared" si="21"/>
        <v>0</v>
      </c>
      <c r="O62" s="1">
        <f t="shared" si="21"/>
        <v>0</v>
      </c>
      <c r="P62" s="1">
        <f t="shared" si="21"/>
        <v>0</v>
      </c>
      <c r="Q62" s="1">
        <f t="shared" si="21"/>
        <v>0</v>
      </c>
      <c r="R62" s="1">
        <f t="shared" si="21"/>
        <v>0</v>
      </c>
      <c r="S62" s="1">
        <f t="shared" si="21"/>
        <v>0</v>
      </c>
      <c r="T62" s="1">
        <f t="shared" si="21"/>
        <v>0</v>
      </c>
      <c r="U62" s="1">
        <f t="shared" si="21"/>
        <v>0</v>
      </c>
      <c r="V62" s="1">
        <f t="shared" si="21"/>
        <v>0</v>
      </c>
      <c r="W62" s="1">
        <f t="shared" si="21"/>
        <v>0</v>
      </c>
    </row>
    <row r="63" spans="2:48" outlineLevel="1" x14ac:dyDescent="0.2">
      <c r="B63" s="79" t="s">
        <v>111</v>
      </c>
      <c r="C63" s="1"/>
      <c r="D63" s="1">
        <f>IF(D$55&lt;=$C$6,0,HLOOKUP(D$55,'Input data'!$C$9:$BB$26,12,FALSE)-HLOOKUP($C$6,'Input data'!$C$9:$BB$26,12,FALSE))</f>
        <v>0</v>
      </c>
      <c r="E63" s="1">
        <f>IF(E$55&lt;=$C$6,0,HLOOKUP(E$55,'Input data'!$C$9:$BB$26,12,FALSE)-HLOOKUP($C$6,'Input data'!$C$9:$BB$26,12,FALSE))</f>
        <v>0</v>
      </c>
      <c r="F63" s="1">
        <f>IF(F$55&lt;=$C$6,0,HLOOKUP(F$55,'Input data'!$C$9:$BB$26,12,FALSE)-HLOOKUP($C$6,'Input data'!$C$9:$BB$26,12,FALSE))</f>
        <v>0</v>
      </c>
      <c r="G63" s="1">
        <f>IF(G$55&lt;=$C$6,0,HLOOKUP(G$55,'Input data'!$C$9:$BB$26,12,FALSE)-HLOOKUP($C$6,'Input data'!$C$9:$BB$26,12,FALSE))</f>
        <v>0</v>
      </c>
      <c r="H63" s="1">
        <f>IF(H$55&lt;=$C$6,0,HLOOKUP(H$55,'Input data'!$C$9:$BB$26,12,FALSE)-HLOOKUP($C$6,'Input data'!$C$9:$BB$26,12,FALSE))</f>
        <v>0</v>
      </c>
      <c r="I63" s="1">
        <f>IF(I$55&lt;=$C$6,0,HLOOKUP(I$55,'Input data'!$C$9:$BB$26,12,FALSE)-HLOOKUP($C$6,'Input data'!$C$9:$BB$26,12,FALSE))</f>
        <v>0</v>
      </c>
      <c r="J63" s="1">
        <f>IF(J$55&lt;=$C$6,0,HLOOKUP(J$55,'Input data'!$C$9:$BB$26,12,FALSE)-HLOOKUP($C$6,'Input data'!$C$9:$BB$26,12,FALSE))</f>
        <v>0</v>
      </c>
      <c r="K63" s="1">
        <f>IF(K$55&lt;=$C$6,0,HLOOKUP(K$55,'Input data'!$C$9:$BB$26,12,FALSE)-HLOOKUP($C$6,'Input data'!$C$9:$BB$26,12,FALSE))</f>
        <v>-6.1849999999996186E-2</v>
      </c>
      <c r="L63" s="1">
        <f>IF(L$55&lt;=$C$6,0,HLOOKUP(L$55,'Input data'!$C$9:$BB$26,12,FALSE)-HLOOKUP($C$6,'Input data'!$C$9:$BB$26,12,FALSE))</f>
        <v>-0.12113999999999692</v>
      </c>
      <c r="M63" s="1">
        <f>IF(M$55&lt;=$C$6,0,HLOOKUP(M$55,'Input data'!$C$9:$BB$26,12,FALSE)-HLOOKUP($C$6,'Input data'!$C$9:$BB$26,12,FALSE))</f>
        <v>-0.17366999999999955</v>
      </c>
      <c r="N63" s="1">
        <f>IF(N$55&lt;=$C$6,0,HLOOKUP(N$55,'Input data'!$C$9:$BB$26,12,FALSE)-HLOOKUP($C$6,'Input data'!$C$9:$BB$26,12,FALSE))</f>
        <v>-0.21544999999999703</v>
      </c>
      <c r="O63" s="1">
        <f>IF(O$55&lt;=$C$6,0,HLOOKUP(O$55,'Input data'!$C$9:$BB$26,12,FALSE)-HLOOKUP($C$6,'Input data'!$C$9:$BB$26,12,FALSE))</f>
        <v>-0.23963999999999785</v>
      </c>
      <c r="P63" s="1">
        <f>IF(P$55&lt;=$C$6,0,HLOOKUP(P$55,'Input data'!$C$9:$BB$26,12,FALSE)-HLOOKUP($C$6,'Input data'!$C$9:$BB$26,12,FALSE))</f>
        <v>-0.24834999999999852</v>
      </c>
      <c r="Q63" s="1">
        <f>IF(Q$55&lt;=$C$6,0,HLOOKUP(Q$55,'Input data'!$C$9:$BB$26,12,FALSE)-HLOOKUP($C$6,'Input data'!$C$9:$BB$26,12,FALSE))</f>
        <v>-0.24143999999999721</v>
      </c>
      <c r="R63" s="1">
        <f>IF(R$55&lt;=$C$6,0,HLOOKUP(R$55,'Input data'!$C$9:$BB$26,12,FALSE)-HLOOKUP($C$6,'Input data'!$C$9:$BB$26,12,FALSE))</f>
        <v>-0.22022999999999904</v>
      </c>
      <c r="S63" s="1">
        <f>IF(S$55&lt;=$C$6,0,HLOOKUP(S$55,'Input data'!$C$9:$BB$26,12,FALSE)-HLOOKUP($C$6,'Input data'!$C$9:$BB$26,12,FALSE))</f>
        <v>-0.1892499999999977</v>
      </c>
      <c r="T63" s="1">
        <f>IF(T$55&lt;=$C$6,0,HLOOKUP(T$55,'Input data'!$C$9:$BB$26,12,FALSE)-HLOOKUP($C$6,'Input data'!$C$9:$BB$26,12,FALSE))</f>
        <v>-0.15066999999999808</v>
      </c>
      <c r="U63" s="1">
        <f>IF(U$55&lt;=$C$6,0,HLOOKUP(U$55,'Input data'!$C$9:$BB$26,12,FALSE)-HLOOKUP($C$6,'Input data'!$C$9:$BB$26,12,FALSE))</f>
        <v>-9.6399999999999153E-2</v>
      </c>
      <c r="V63" s="1">
        <f>IF(V$55&lt;=$C$6,0,HLOOKUP(V$55,'Input data'!$C$9:$BB$26,12,FALSE)-HLOOKUP($C$6,'Input data'!$C$9:$BB$26,12,FALSE))</f>
        <v>-2.3409999999998377E-2</v>
      </c>
      <c r="W63" s="1">
        <f>IF(W$55&lt;=$C$6,0,HLOOKUP(W$55,'Input data'!$C$9:$BB$26,12,FALSE)-HLOOKUP($C$6,'Input data'!$C$9:$BB$26,12,FALSE))</f>
        <v>6.7620000000001568E-2</v>
      </c>
    </row>
    <row r="64" spans="2:48" outlineLevel="1" x14ac:dyDescent="0.2">
      <c r="B64" s="79" t="s">
        <v>112</v>
      </c>
      <c r="C64" s="1"/>
      <c r="D64" s="1">
        <f>IF(D$55&lt;=$C$5,0,-HLOOKUP(D$55,'Input data'!$C$9:$BB$26,18,FALSE)+HLOOKUP($C$6,'Input data'!$C$9:$BB$26,18,FALSE))</f>
        <v>0</v>
      </c>
      <c r="E64" s="1">
        <f>IF(E$55&lt;=$C$5,0,-HLOOKUP(E$55,'Input data'!$C$9:$BB$26,18,FALSE)+HLOOKUP($C$6,'Input data'!$C$9:$BB$26,18,FALSE))</f>
        <v>0</v>
      </c>
      <c r="F64" s="1">
        <f>IF(F$55&lt;=$C$5,0,-HLOOKUP(F$55,'Input data'!$C$9:$BB$26,18,FALSE)+HLOOKUP($C$6,'Input data'!$C$9:$BB$26,18,FALSE))</f>
        <v>0</v>
      </c>
      <c r="G64" s="1">
        <f>IF(G$55&lt;=$C$6,0,-HLOOKUP(G$55,'Input data'!$C$9:$BB$26,18,FALSE)+HLOOKUP($C$6,'Input data'!$C$9:$BB$26,18,FALSE))</f>
        <v>0</v>
      </c>
      <c r="H64" s="1">
        <f>IF(H$55&lt;=$C$6,0,-HLOOKUP(H$55,'Input data'!$C$9:$BB$26,18,FALSE)+HLOOKUP($C$6,'Input data'!$C$9:$BB$26,18,FALSE))</f>
        <v>0</v>
      </c>
      <c r="I64" s="1">
        <f>IF(I$55&lt;=$C$6,0,-HLOOKUP(I$55,'Input data'!$C$9:$BB$26,18,FALSE)+HLOOKUP($C$6,'Input data'!$C$9:$BB$26,18,FALSE))</f>
        <v>0</v>
      </c>
      <c r="J64" s="1">
        <f>IF(J$55&lt;=$C$6,0,-HLOOKUP(J$55,'Input data'!$C$9:$BB$26,18,FALSE)+HLOOKUP($C$6,'Input data'!$C$9:$BB$26,18,FALSE))</f>
        <v>0</v>
      </c>
      <c r="K64" s="1">
        <f>IF(K$55&lt;=$C$6,0,-HLOOKUP(K$55,'Input data'!$C$9:$BB$26,18,FALSE)+HLOOKUP($C$6,'Input data'!$C$9:$BB$26,18,FALSE))</f>
        <v>2.8434999999999988E-3</v>
      </c>
      <c r="L64" s="1">
        <f>IF(L$55&lt;=$C$6,0,-HLOOKUP(L$55,'Input data'!$C$9:$BB$26,18,FALSE)+HLOOKUP($C$6,'Input data'!$C$9:$BB$26,18,FALSE))</f>
        <v>5.6869999999999976E-3</v>
      </c>
      <c r="M64" s="1">
        <f>IF(M$55&lt;=$C$6,0,-HLOOKUP(M$55,'Input data'!$C$9:$BB$26,18,FALSE)+HLOOKUP($C$6,'Input data'!$C$9:$BB$26,18,FALSE))</f>
        <v>8.5305999999999993E-3</v>
      </c>
      <c r="N64" s="1">
        <f>IF(N$55&lt;=$C$6,0,-HLOOKUP(N$55,'Input data'!$C$9:$BB$26,18,FALSE)+HLOOKUP($C$6,'Input data'!$C$9:$BB$26,18,FALSE))</f>
        <v>1.1374200000000001E-2</v>
      </c>
      <c r="O64" s="1">
        <f>IF(O$55&lt;=$C$6,0,-HLOOKUP(O$55,'Input data'!$C$9:$BB$26,18,FALSE)+HLOOKUP($C$6,'Input data'!$C$9:$BB$26,18,FALSE))</f>
        <v>1.42177E-2</v>
      </c>
      <c r="P64" s="1">
        <f>IF(P$55&lt;=$C$6,0,-HLOOKUP(P$55,'Input data'!$C$9:$BB$26,18,FALSE)+HLOOKUP($C$6,'Input data'!$C$9:$BB$26,18,FALSE))</f>
        <v>1.7061199999999999E-2</v>
      </c>
      <c r="Q64" s="1">
        <f>IF(Q$55&lt;=$C$6,0,-HLOOKUP(Q$55,'Input data'!$C$9:$BB$26,18,FALSE)+HLOOKUP($C$6,'Input data'!$C$9:$BB$26,18,FALSE))</f>
        <v>1.99048E-2</v>
      </c>
      <c r="R64" s="1">
        <f>IF(R$55&lt;=$C$6,0,-HLOOKUP(R$55,'Input data'!$C$9:$BB$26,18,FALSE)+HLOOKUP($C$6,'Input data'!$C$9:$BB$26,18,FALSE))</f>
        <v>2.2748299999999999E-2</v>
      </c>
      <c r="S64" s="1">
        <f>IF(S$55&lt;=$C$6,0,-HLOOKUP(S$55,'Input data'!$C$9:$BB$26,18,FALSE)+HLOOKUP($C$6,'Input data'!$C$9:$BB$26,18,FALSE))</f>
        <v>2.5591900000000001E-2</v>
      </c>
      <c r="T64" s="1">
        <f>IF(T$55&lt;=$C$6,0,-HLOOKUP(T$55,'Input data'!$C$9:$BB$26,18,FALSE)+HLOOKUP($C$6,'Input data'!$C$9:$BB$26,18,FALSE))</f>
        <v>2.84354E-2</v>
      </c>
      <c r="U64" s="1">
        <f>IF(U$55&lt;=$C$6,0,-HLOOKUP(U$55,'Input data'!$C$9:$BB$26,18,FALSE)+HLOOKUP($C$6,'Input data'!$C$9:$BB$26,18,FALSE))</f>
        <v>3.1279000000000001E-2</v>
      </c>
      <c r="V64" s="1">
        <f>IF(V$55&lt;=$C$6,0,-HLOOKUP(V$55,'Input data'!$C$9:$BB$26,18,FALSE)+HLOOKUP($C$6,'Input data'!$C$9:$BB$26,18,FALSE))</f>
        <v>3.41225E-2</v>
      </c>
      <c r="W64" s="1">
        <f>IF(W$55&lt;=$C$6,0,-HLOOKUP(W$55,'Input data'!$C$9:$BB$26,18,FALSE)+HLOOKUP($C$6,'Input data'!$C$9:$BB$26,18,FALSE))</f>
        <v>3.6965999999999999E-2</v>
      </c>
    </row>
    <row r="65" spans="2:23" outlineLevel="1" x14ac:dyDescent="0.2">
      <c r="B65" s="79" t="s">
        <v>113</v>
      </c>
      <c r="C65" s="37"/>
      <c r="D65" s="37">
        <v>0</v>
      </c>
      <c r="E65" s="37">
        <v>0</v>
      </c>
      <c r="F65" s="37">
        <v>0</v>
      </c>
      <c r="G65" s="37">
        <v>0</v>
      </c>
      <c r="H65" s="37">
        <v>0</v>
      </c>
      <c r="I65" s="37">
        <v>0</v>
      </c>
      <c r="J65" s="37">
        <v>0</v>
      </c>
      <c r="K65" s="37">
        <v>0</v>
      </c>
      <c r="L65" s="37">
        <v>0</v>
      </c>
      <c r="M65" s="37">
        <v>0</v>
      </c>
      <c r="N65" s="37">
        <v>0</v>
      </c>
      <c r="O65" s="37">
        <v>0</v>
      </c>
      <c r="P65" s="37">
        <v>0</v>
      </c>
      <c r="Q65" s="37">
        <v>0</v>
      </c>
      <c r="R65" s="37">
        <v>0</v>
      </c>
      <c r="S65" s="37">
        <v>0</v>
      </c>
      <c r="T65" s="37">
        <v>0</v>
      </c>
      <c r="U65" s="37">
        <v>0</v>
      </c>
      <c r="V65" s="37">
        <v>0</v>
      </c>
      <c r="W65" s="37">
        <v>0</v>
      </c>
    </row>
    <row r="66" spans="2:23" outlineLevel="1" x14ac:dyDescent="0.2">
      <c r="B66" s="84" t="s">
        <v>114</v>
      </c>
      <c r="C66" s="48"/>
      <c r="D66" s="48">
        <f t="shared" ref="D66:T66" si="22">SUM(D67:D70)</f>
        <v>-5.5832499999999978</v>
      </c>
      <c r="E66" s="48">
        <f t="shared" si="22"/>
        <v>-4.0893289999999958</v>
      </c>
      <c r="F66" s="48">
        <f t="shared" si="22"/>
        <v>-2.6188770000000026</v>
      </c>
      <c r="G66" s="48">
        <f t="shared" si="22"/>
        <v>-2.1483854355699523</v>
      </c>
      <c r="H66" s="48">
        <f t="shared" si="22"/>
        <v>-2.1688915081585369</v>
      </c>
      <c r="I66" s="48">
        <f t="shared" si="22"/>
        <v>-2.1667920973324937</v>
      </c>
      <c r="J66" s="48">
        <f t="shared" si="22"/>
        <v>-2.1005956649741142</v>
      </c>
      <c r="K66" s="48">
        <f t="shared" si="22"/>
        <v>-2.2750125603328142</v>
      </c>
      <c r="L66" s="48">
        <f t="shared" si="22"/>
        <v>-2.0862431839493203</v>
      </c>
      <c r="M66" s="48">
        <f t="shared" si="22"/>
        <v>-1.8182014569425935</v>
      </c>
      <c r="N66" s="48">
        <f t="shared" si="22"/>
        <v>-1.6886303197364931</v>
      </c>
      <c r="O66" s="48">
        <f t="shared" si="22"/>
        <v>-1.6206389803954062</v>
      </c>
      <c r="P66" s="48">
        <f t="shared" si="22"/>
        <v>-1.3983122978208169</v>
      </c>
      <c r="Q66" s="48">
        <f t="shared" si="22"/>
        <v>-1.1995364648406543</v>
      </c>
      <c r="R66" s="48">
        <f t="shared" si="22"/>
        <v>-1.0070831446610515</v>
      </c>
      <c r="S66" s="48">
        <f t="shared" si="22"/>
        <v>-0.92860595240059496</v>
      </c>
      <c r="T66" s="48">
        <f t="shared" si="22"/>
        <v>-0.83905424907583059</v>
      </c>
      <c r="U66" s="48">
        <f t="shared" ref="U66:W66" si="23">SUM(U67:U70)</f>
        <v>-0.7382423864610661</v>
      </c>
      <c r="V66" s="48">
        <f t="shared" si="23"/>
        <v>-0.64198536241675064</v>
      </c>
      <c r="W66" s="48">
        <f t="shared" si="23"/>
        <v>-0.55177580658791348</v>
      </c>
    </row>
    <row r="67" spans="2:23" outlineLevel="1" x14ac:dyDescent="0.2">
      <c r="B67" s="79" t="s">
        <v>115</v>
      </c>
      <c r="C67" s="34"/>
      <c r="D67" s="34">
        <f>C56*D35/100*(1/(1+D32/100))</f>
        <v>0.94020825338464531</v>
      </c>
      <c r="E67" s="34">
        <f t="shared" ref="E67:W67" si="24">D56*E35/100*(1/(1+E32/100))</f>
        <v>1.1036091376320842</v>
      </c>
      <c r="F67" s="34">
        <f t="shared" si="24"/>
        <v>1.2783144254813359</v>
      </c>
      <c r="G67" s="34">
        <f t="shared" si="24"/>
        <v>1.3294576949361674</v>
      </c>
      <c r="H67" s="34">
        <f t="shared" si="24"/>
        <v>1.3911880922919946</v>
      </c>
      <c r="I67" s="34">
        <f t="shared" si="24"/>
        <v>1.4373170782341744</v>
      </c>
      <c r="J67" s="34">
        <f t="shared" si="24"/>
        <v>1.4710602023192991</v>
      </c>
      <c r="K67" s="34">
        <f t="shared" si="24"/>
        <v>1.4845966880778756</v>
      </c>
      <c r="L67" s="34">
        <f t="shared" si="24"/>
        <v>1.5021586497419475</v>
      </c>
      <c r="M67" s="34">
        <f t="shared" si="24"/>
        <v>1.5292624917651982</v>
      </c>
      <c r="N67" s="34">
        <f t="shared" si="24"/>
        <v>1.5579840250034889</v>
      </c>
      <c r="O67" s="34">
        <f t="shared" si="24"/>
        <v>1.5868556509425384</v>
      </c>
      <c r="P67" s="34">
        <f t="shared" si="24"/>
        <v>1.6161532639834508</v>
      </c>
      <c r="Q67" s="34">
        <f t="shared" si="24"/>
        <v>1.6480828457740719</v>
      </c>
      <c r="R67" s="34">
        <f t="shared" si="24"/>
        <v>1.6836712324799119</v>
      </c>
      <c r="S67" s="34">
        <f t="shared" si="24"/>
        <v>1.7200672485434352</v>
      </c>
      <c r="T67" s="34">
        <f t="shared" si="24"/>
        <v>1.7583714425231667</v>
      </c>
      <c r="U67" s="34">
        <f t="shared" si="24"/>
        <v>1.7995713748551827</v>
      </c>
      <c r="V67" s="34">
        <f t="shared" si="24"/>
        <v>1.8443614235873134</v>
      </c>
      <c r="W67" s="34">
        <f t="shared" si="24"/>
        <v>1.8934459627915365</v>
      </c>
    </row>
    <row r="68" spans="2:23" outlineLevel="1" x14ac:dyDescent="0.2">
      <c r="B68" s="79" t="s">
        <v>116</v>
      </c>
      <c r="C68" s="34"/>
      <c r="D68" s="34">
        <f t="shared" ref="D68:W68" si="25">-C56*(D23/100)*(1/(1+D32/100))</f>
        <v>-3.8279967050558779</v>
      </c>
      <c r="E68" s="34">
        <f t="shared" si="25"/>
        <v>-2.6067445173410442</v>
      </c>
      <c r="F68" s="34">
        <f t="shared" si="25"/>
        <v>-2.1260856686799876</v>
      </c>
      <c r="G68" s="34">
        <f t="shared" si="25"/>
        <v>-2.1921013063143944</v>
      </c>
      <c r="H68" s="34">
        <f t="shared" si="25"/>
        <v>-2.2559368845447985</v>
      </c>
      <c r="I68" s="34">
        <f t="shared" si="25"/>
        <v>-2.2935856188455142</v>
      </c>
      <c r="J68" s="34">
        <f t="shared" si="25"/>
        <v>-2.2649237423944961</v>
      </c>
      <c r="K68" s="34">
        <f t="shared" si="25"/>
        <v>-2.4654976611192709</v>
      </c>
      <c r="L68" s="34">
        <f t="shared" si="25"/>
        <v>-2.312052159812624</v>
      </c>
      <c r="M68" s="34">
        <f t="shared" si="25"/>
        <v>-2.0831153383471857</v>
      </c>
      <c r="N68" s="34">
        <f t="shared" si="25"/>
        <v>-1.9892046856800891</v>
      </c>
      <c r="O68" s="34">
        <f t="shared" si="25"/>
        <v>-1.955125965247815</v>
      </c>
      <c r="P68" s="34">
        <f t="shared" si="25"/>
        <v>-1.7804083665796198</v>
      </c>
      <c r="Q68" s="34">
        <f t="shared" si="25"/>
        <v>-1.6265021659245775</v>
      </c>
      <c r="R68" s="34">
        <f t="shared" si="25"/>
        <v>-1.4775667731236322</v>
      </c>
      <c r="S68" s="34">
        <f t="shared" si="25"/>
        <v>-1.4383785528383768</v>
      </c>
      <c r="T68" s="34">
        <f t="shared" si="25"/>
        <v>-1.3876125163203481</v>
      </c>
      <c r="U68" s="34">
        <f t="shared" si="25"/>
        <v>-1.3257240684188802</v>
      </c>
      <c r="V68" s="34">
        <f t="shared" si="25"/>
        <v>-1.2687051986332041</v>
      </c>
      <c r="W68" s="34">
        <f t="shared" si="25"/>
        <v>-1.2185550510483962</v>
      </c>
    </row>
    <row r="69" spans="2:23" outlineLevel="1" x14ac:dyDescent="0.2">
      <c r="B69" s="79" t="s">
        <v>117</v>
      </c>
      <c r="C69" s="34"/>
      <c r="D69" s="34">
        <f t="shared" ref="D69:T69" si="26">-C56*D41/100*(1/(1+D41/100))</f>
        <v>-2.6954615106143631</v>
      </c>
      <c r="E69" s="34">
        <f t="shared" si="26"/>
        <v>-2.5861962367945783</v>
      </c>
      <c r="F69" s="34">
        <f t="shared" si="26"/>
        <v>-1.7711092855302355</v>
      </c>
      <c r="G69" s="34">
        <f t="shared" si="26"/>
        <v>-1.2857443532503172</v>
      </c>
      <c r="H69" s="34">
        <f t="shared" si="26"/>
        <v>-1.3041427159057333</v>
      </c>
      <c r="I69" s="34">
        <f t="shared" si="26"/>
        <v>-1.3105235567211539</v>
      </c>
      <c r="J69" s="34">
        <f t="shared" si="26"/>
        <v>-1.3067321248989174</v>
      </c>
      <c r="K69" s="34">
        <f t="shared" si="26"/>
        <v>-1.2941115872914188</v>
      </c>
      <c r="L69" s="34">
        <f t="shared" si="26"/>
        <v>-1.2763496738786435</v>
      </c>
      <c r="M69" s="34">
        <f t="shared" si="26"/>
        <v>-1.2643486103606061</v>
      </c>
      <c r="N69" s="34">
        <f t="shared" si="26"/>
        <v>-1.2574096590598929</v>
      </c>
      <c r="O69" s="34">
        <f t="shared" si="26"/>
        <v>-1.2523686660901296</v>
      </c>
      <c r="P69" s="34">
        <f t="shared" si="26"/>
        <v>-1.234057195224648</v>
      </c>
      <c r="Q69" s="34">
        <f t="shared" si="26"/>
        <v>-1.2211171446901488</v>
      </c>
      <c r="R69" s="34">
        <f t="shared" si="26"/>
        <v>-1.2131876040173313</v>
      </c>
      <c r="S69" s="34">
        <f t="shared" si="26"/>
        <v>-1.2102946481056533</v>
      </c>
      <c r="T69" s="34">
        <f t="shared" si="26"/>
        <v>-1.2098131752786492</v>
      </c>
      <c r="U69" s="34">
        <f t="shared" ref="U69" si="27">-T56*U41/100*(1/(1+U41/100))</f>
        <v>-1.2120896928973686</v>
      </c>
      <c r="V69" s="34">
        <f t="shared" ref="V69" si="28">-U56*V41/100*(1/(1+V41/100))</f>
        <v>-1.2176415873708599</v>
      </c>
      <c r="W69" s="34">
        <f t="shared" ref="W69" si="29">-V56*W41/100*(1/(1+W41/100))</f>
        <v>-1.2266667183310538</v>
      </c>
    </row>
    <row r="70" spans="2:23" outlineLevel="1" x14ac:dyDescent="0.2">
      <c r="B70" s="79" t="s">
        <v>118</v>
      </c>
      <c r="C70" s="49"/>
      <c r="D70" s="49">
        <f>'Baseline NFPC'!D70</f>
        <v>-3.7714402267852165E-8</v>
      </c>
      <c r="E70" s="49">
        <f>'Baseline NFPC'!E70</f>
        <v>2.6165035427183625E-6</v>
      </c>
      <c r="F70" s="49">
        <f>'Baseline NFPC'!F70</f>
        <v>3.5287288846497233E-6</v>
      </c>
      <c r="G70" s="49">
        <f>'Baseline NFPC'!G70</f>
        <v>2.5290585918824604E-6</v>
      </c>
      <c r="H70" s="49">
        <f>'Baseline NFPC'!H70</f>
        <v>0</v>
      </c>
      <c r="I70" s="49">
        <f>'Baseline NFPC'!I70</f>
        <v>0</v>
      </c>
      <c r="J70" s="49">
        <f>'Baseline NFPC'!J70</f>
        <v>0</v>
      </c>
      <c r="K70" s="49">
        <f>'Baseline NFPC'!K70</f>
        <v>0</v>
      </c>
      <c r="L70" s="49">
        <f>'Baseline NFPC'!L70</f>
        <v>0</v>
      </c>
      <c r="M70" s="49">
        <f>'Baseline NFPC'!M70</f>
        <v>0</v>
      </c>
      <c r="N70" s="49">
        <f>'Baseline NFPC'!N70</f>
        <v>0</v>
      </c>
      <c r="O70" s="49">
        <f>'Baseline NFPC'!O70</f>
        <v>0</v>
      </c>
      <c r="P70" s="49">
        <f>'Baseline NFPC'!P70</f>
        <v>0</v>
      </c>
      <c r="Q70" s="49">
        <f>'Baseline NFPC'!Q70</f>
        <v>0</v>
      </c>
      <c r="R70" s="49">
        <f>'Baseline NFPC'!R70</f>
        <v>0</v>
      </c>
      <c r="S70" s="49">
        <f>'Baseline NFPC'!S70</f>
        <v>0</v>
      </c>
      <c r="T70" s="49">
        <f>'Baseline NFPC'!T70</f>
        <v>0</v>
      </c>
      <c r="U70" s="49">
        <f>'Baseline NFPC'!U70</f>
        <v>0</v>
      </c>
      <c r="V70" s="49">
        <f>'Baseline NFPC'!V70</f>
        <v>0</v>
      </c>
      <c r="W70" s="49">
        <f>'Baseline NFPC'!W70</f>
        <v>0</v>
      </c>
    </row>
    <row r="71" spans="2:23" outlineLevel="1" x14ac:dyDescent="0.2">
      <c r="B71" s="84" t="s">
        <v>119</v>
      </c>
      <c r="C71" s="50"/>
      <c r="D71" s="50">
        <f>'Input data'!D16</f>
        <v>-1.3102750000000001</v>
      </c>
      <c r="E71" s="50">
        <f>'Input data'!E16</f>
        <v>-0.94044799999999995</v>
      </c>
      <c r="F71" s="50">
        <f>'Input data'!F16</f>
        <v>1.1851989999999999</v>
      </c>
      <c r="G71" s="50">
        <f>'Input data'!G16</f>
        <v>6.6724400000000003E-2</v>
      </c>
      <c r="H71" s="50">
        <f>'Input data'!H16</f>
        <v>0</v>
      </c>
      <c r="I71" s="50">
        <f>'Input data'!I16</f>
        <v>0</v>
      </c>
      <c r="J71" s="50">
        <f>'Input data'!J16</f>
        <v>0</v>
      </c>
      <c r="K71" s="50">
        <f>'Input data'!K16</f>
        <v>0</v>
      </c>
      <c r="L71" s="50">
        <f>'Input data'!L16</f>
        <v>0</v>
      </c>
      <c r="M71" s="50">
        <f>'Input data'!M16</f>
        <v>0</v>
      </c>
      <c r="N71" s="50">
        <f>'Input data'!N16</f>
        <v>0</v>
      </c>
      <c r="O71" s="50">
        <f>'Input data'!O16</f>
        <v>0</v>
      </c>
      <c r="P71" s="50">
        <f>'Input data'!P16</f>
        <v>0</v>
      </c>
      <c r="Q71" s="50">
        <f>'Input data'!Q16</f>
        <v>0</v>
      </c>
      <c r="R71" s="50">
        <f>'Input data'!R16</f>
        <v>0</v>
      </c>
      <c r="S71" s="50">
        <f>'Input data'!S16</f>
        <v>0</v>
      </c>
      <c r="T71" s="50">
        <f>'Input data'!T16</f>
        <v>0</v>
      </c>
      <c r="U71" s="50">
        <f>'Input data'!U16</f>
        <v>0</v>
      </c>
      <c r="V71" s="50">
        <f>'Input data'!V16</f>
        <v>0</v>
      </c>
      <c r="W71" s="50">
        <f>'Input data'!W16</f>
        <v>0</v>
      </c>
    </row>
    <row r="72" spans="2:23" outlineLevel="1" x14ac:dyDescent="0.2">
      <c r="B72" s="79" t="s">
        <v>120</v>
      </c>
      <c r="C72" s="34"/>
      <c r="D72" s="34">
        <f t="shared" ref="D72:W72" si="30">D14</f>
        <v>-1.3102750000000001</v>
      </c>
      <c r="E72" s="34">
        <f t="shared" si="30"/>
        <v>-0.94044729999999999</v>
      </c>
      <c r="F72" s="34">
        <f t="shared" si="30"/>
        <v>1.1851970000000001</v>
      </c>
      <c r="G72" s="34">
        <f t="shared" si="30"/>
        <v>6.6727599999999998E-2</v>
      </c>
      <c r="H72" s="34">
        <f t="shared" si="30"/>
        <v>0</v>
      </c>
      <c r="I72" s="34">
        <f t="shared" si="30"/>
        <v>0</v>
      </c>
      <c r="J72" s="34">
        <f t="shared" si="30"/>
        <v>0</v>
      </c>
      <c r="K72" s="34">
        <f t="shared" si="30"/>
        <v>0</v>
      </c>
      <c r="L72" s="34">
        <f t="shared" si="30"/>
        <v>0</v>
      </c>
      <c r="M72" s="34">
        <f t="shared" si="30"/>
        <v>0</v>
      </c>
      <c r="N72" s="34">
        <f t="shared" si="30"/>
        <v>0</v>
      </c>
      <c r="O72" s="34">
        <f t="shared" si="30"/>
        <v>0</v>
      </c>
      <c r="P72" s="34">
        <f t="shared" si="30"/>
        <v>0</v>
      </c>
      <c r="Q72" s="34">
        <f t="shared" si="30"/>
        <v>0</v>
      </c>
      <c r="R72" s="34">
        <f t="shared" si="30"/>
        <v>0</v>
      </c>
      <c r="S72" s="34">
        <f t="shared" si="30"/>
        <v>0</v>
      </c>
      <c r="T72" s="34">
        <f t="shared" si="30"/>
        <v>0</v>
      </c>
      <c r="U72" s="34">
        <f t="shared" si="30"/>
        <v>0</v>
      </c>
      <c r="V72" s="34">
        <f t="shared" si="30"/>
        <v>0</v>
      </c>
      <c r="W72" s="34">
        <f t="shared" si="30"/>
        <v>0</v>
      </c>
    </row>
    <row r="73" spans="2:23" outlineLevel="1" x14ac:dyDescent="0.2">
      <c r="B73" s="89" t="s">
        <v>121</v>
      </c>
      <c r="C73" s="49"/>
      <c r="D73" s="49">
        <f t="shared" ref="D73:T73" si="31">+D71-D72</f>
        <v>0</v>
      </c>
      <c r="E73" s="49">
        <f t="shared" si="31"/>
        <v>-6.9999999996461781E-7</v>
      </c>
      <c r="F73" s="49">
        <f t="shared" si="31"/>
        <v>1.9999999998354667E-6</v>
      </c>
      <c r="G73" s="49">
        <f t="shared" si="31"/>
        <v>-3.1999999999948736E-6</v>
      </c>
      <c r="H73" s="49">
        <f t="shared" si="31"/>
        <v>0</v>
      </c>
      <c r="I73" s="49">
        <f t="shared" si="31"/>
        <v>0</v>
      </c>
      <c r="J73" s="49">
        <f t="shared" si="31"/>
        <v>0</v>
      </c>
      <c r="K73" s="49">
        <f t="shared" si="31"/>
        <v>0</v>
      </c>
      <c r="L73" s="49">
        <f t="shared" si="31"/>
        <v>0</v>
      </c>
      <c r="M73" s="49">
        <f t="shared" si="31"/>
        <v>0</v>
      </c>
      <c r="N73" s="49">
        <f t="shared" si="31"/>
        <v>0</v>
      </c>
      <c r="O73" s="49">
        <f t="shared" si="31"/>
        <v>0</v>
      </c>
      <c r="P73" s="49">
        <f t="shared" si="31"/>
        <v>0</v>
      </c>
      <c r="Q73" s="49">
        <f t="shared" si="31"/>
        <v>0</v>
      </c>
      <c r="R73" s="49">
        <f t="shared" si="31"/>
        <v>0</v>
      </c>
      <c r="S73" s="49">
        <f t="shared" si="31"/>
        <v>0</v>
      </c>
      <c r="T73" s="49">
        <f t="shared" si="31"/>
        <v>0</v>
      </c>
      <c r="U73" s="49">
        <f t="shared" ref="U73:W73" si="32">+U71-U72</f>
        <v>0</v>
      </c>
      <c r="V73" s="49">
        <f t="shared" si="32"/>
        <v>0</v>
      </c>
      <c r="W73" s="49">
        <f t="shared" si="32"/>
        <v>0</v>
      </c>
    </row>
    <row r="75" spans="2:23" x14ac:dyDescent="0.2">
      <c r="B75" s="51" t="s">
        <v>187</v>
      </c>
      <c r="C75" s="51"/>
      <c r="D75" s="51"/>
      <c r="E75" s="51"/>
      <c r="F75" s="51"/>
      <c r="G75" s="51"/>
      <c r="H75" s="51"/>
      <c r="I75" s="51"/>
      <c r="J75" s="51"/>
      <c r="K75" s="51">
        <f t="shared" ref="K75:W75" si="33">IF(K56&lt;J56,0,1)</f>
        <v>0</v>
      </c>
      <c r="L75" s="51">
        <f t="shared" si="33"/>
        <v>0</v>
      </c>
      <c r="M75" s="51">
        <f t="shared" si="33"/>
        <v>0</v>
      </c>
      <c r="N75" s="51">
        <f t="shared" si="33"/>
        <v>0</v>
      </c>
      <c r="O75" s="51">
        <f t="shared" si="33"/>
        <v>0</v>
      </c>
      <c r="P75" s="51">
        <f t="shared" si="33"/>
        <v>1</v>
      </c>
      <c r="Q75" s="51">
        <f t="shared" si="33"/>
        <v>1</v>
      </c>
      <c r="R75" s="51">
        <f t="shared" si="33"/>
        <v>1</v>
      </c>
      <c r="S75" s="51">
        <f t="shared" si="33"/>
        <v>1</v>
      </c>
      <c r="T75" s="51">
        <f t="shared" si="33"/>
        <v>1</v>
      </c>
      <c r="U75" s="51">
        <f t="shared" si="33"/>
        <v>1</v>
      </c>
      <c r="V75" s="51">
        <f t="shared" si="33"/>
        <v>1</v>
      </c>
      <c r="W75" s="51">
        <f t="shared" si="33"/>
        <v>1</v>
      </c>
    </row>
    <row r="76" spans="2:23" x14ac:dyDescent="0.2">
      <c r="D76" s="53"/>
    </row>
    <row r="77" spans="2:23" s="93" customFormat="1" ht="12.75" outlineLevel="1" x14ac:dyDescent="0.2">
      <c r="B77" s="94" t="s">
        <v>124</v>
      </c>
      <c r="C77" s="95"/>
      <c r="E77" s="96"/>
      <c r="F77" s="95"/>
    </row>
    <row r="78" spans="2:23" x14ac:dyDescent="0.2">
      <c r="C78" s="34"/>
      <c r="D78" s="34"/>
      <c r="E78" s="34"/>
      <c r="F78" s="34"/>
      <c r="G78" s="34"/>
      <c r="H78" s="34"/>
      <c r="I78" s="34"/>
      <c r="J78" s="34"/>
      <c r="K78" s="34"/>
      <c r="L78" s="34"/>
      <c r="M78" s="34"/>
      <c r="N78" s="34"/>
      <c r="O78" s="34"/>
      <c r="P78" s="34"/>
      <c r="Q78" s="34"/>
      <c r="R78" s="34"/>
      <c r="S78" s="34"/>
      <c r="T78" s="34"/>
      <c r="U78" s="34"/>
      <c r="V78" s="34"/>
      <c r="W78" s="34"/>
    </row>
    <row r="79" spans="2:23" x14ac:dyDescent="0.2">
      <c r="B79" s="26" t="s">
        <v>125</v>
      </c>
      <c r="E79" s="29">
        <f t="shared" ref="E79" si="34">IF((E83-D83*E42/((1+E23/100)*(1+E41/100)))&gt;0,1,0)</f>
        <v>1</v>
      </c>
      <c r="F79" s="29">
        <f t="shared" ref="F79" si="35">IF((F83-E83*F42/((1+F23/100)*(1+F41/100)))&gt;0,1,0)</f>
        <v>1</v>
      </c>
      <c r="G79" s="29">
        <f t="shared" ref="G79:W79" si="36">IF((G83-F83*G42/((1+G23/100)*(1+G41/100)))&gt;0,1,0)</f>
        <v>1</v>
      </c>
      <c r="H79" s="29">
        <f t="shared" si="36"/>
        <v>1</v>
      </c>
      <c r="I79" s="29">
        <f t="shared" si="36"/>
        <v>1</v>
      </c>
      <c r="J79" s="29">
        <f t="shared" si="36"/>
        <v>1</v>
      </c>
      <c r="K79" s="29">
        <f t="shared" si="36"/>
        <v>1</v>
      </c>
      <c r="L79" s="29">
        <f t="shared" si="36"/>
        <v>1</v>
      </c>
      <c r="M79" s="29">
        <f t="shared" si="36"/>
        <v>1</v>
      </c>
      <c r="N79" s="29">
        <f t="shared" si="36"/>
        <v>1</v>
      </c>
      <c r="O79" s="29">
        <f t="shared" si="36"/>
        <v>1</v>
      </c>
      <c r="P79" s="29">
        <f t="shared" si="36"/>
        <v>1</v>
      </c>
      <c r="Q79" s="29">
        <f t="shared" si="36"/>
        <v>1</v>
      </c>
      <c r="R79" s="29">
        <f t="shared" si="36"/>
        <v>1</v>
      </c>
      <c r="S79" s="29">
        <f t="shared" si="36"/>
        <v>1</v>
      </c>
      <c r="T79" s="29">
        <f t="shared" si="36"/>
        <v>1</v>
      </c>
      <c r="U79" s="29">
        <f t="shared" si="36"/>
        <v>1</v>
      </c>
      <c r="V79" s="29">
        <f t="shared" si="36"/>
        <v>1</v>
      </c>
      <c r="W79" s="29">
        <f t="shared" si="36"/>
        <v>1</v>
      </c>
    </row>
    <row r="80" spans="2:23" x14ac:dyDescent="0.2">
      <c r="B80" s="26" t="s">
        <v>126</v>
      </c>
      <c r="E80" s="29">
        <f t="shared" ref="E80" si="37">IF(AND(E79=0,ABS(E83-D83*E42/((1+E23/100)*(1+E41/100)))&lt;((D89*D83*E42/((1+E23/100)*(1+E41/100))+(E38*D83*D90*E42/((1+E23/100)*(1+E41/100)))))),1,0)</f>
        <v>0</v>
      </c>
      <c r="F80" s="29">
        <f t="shared" ref="F80" si="38">IF(AND(F79=0,ABS(F83-E83*F42/((1+F23/100)*(1+F41/100)))&lt;((E89*E83*F42/((1+F23/100)*(1+F41/100))+(F38*E83*E90*F42/((1+F23/100)*(1+F41/100)))))),1,0)</f>
        <v>0</v>
      </c>
      <c r="G80" s="29">
        <f t="shared" ref="G80:W80" si="39">IF(AND(G79=0,ABS(G83-F83*G42/((1+G23/100)*(1+G41/100)))&lt;((F89*F83*G42/((1+G23/100)*(1+G41/100))+(G38*F83*F90*G42/((1+G23/100)*(1+G41/100)))))),1,0)</f>
        <v>0</v>
      </c>
      <c r="H80" s="29">
        <f t="shared" si="39"/>
        <v>0</v>
      </c>
      <c r="I80" s="29">
        <f t="shared" si="39"/>
        <v>0</v>
      </c>
      <c r="J80" s="29">
        <f t="shared" si="39"/>
        <v>0</v>
      </c>
      <c r="K80" s="29">
        <f t="shared" si="39"/>
        <v>0</v>
      </c>
      <c r="L80" s="29">
        <f t="shared" si="39"/>
        <v>0</v>
      </c>
      <c r="M80" s="29">
        <f t="shared" si="39"/>
        <v>0</v>
      </c>
      <c r="N80" s="29">
        <f t="shared" si="39"/>
        <v>0</v>
      </c>
      <c r="O80" s="29">
        <f t="shared" si="39"/>
        <v>0</v>
      </c>
      <c r="P80" s="29">
        <f t="shared" si="39"/>
        <v>0</v>
      </c>
      <c r="Q80" s="29">
        <f t="shared" si="39"/>
        <v>0</v>
      </c>
      <c r="R80" s="29">
        <f t="shared" si="39"/>
        <v>0</v>
      </c>
      <c r="S80" s="29">
        <f t="shared" si="39"/>
        <v>0</v>
      </c>
      <c r="T80" s="29">
        <f t="shared" si="39"/>
        <v>0</v>
      </c>
      <c r="U80" s="29">
        <f t="shared" si="39"/>
        <v>0</v>
      </c>
      <c r="V80" s="29">
        <f t="shared" si="39"/>
        <v>0</v>
      </c>
      <c r="W80" s="29">
        <f t="shared" si="39"/>
        <v>0</v>
      </c>
    </row>
    <row r="82" spans="2:24" x14ac:dyDescent="0.2">
      <c r="B82" s="51"/>
      <c r="C82" s="86">
        <v>2021</v>
      </c>
      <c r="D82" s="86">
        <v>2022</v>
      </c>
      <c r="E82" s="86">
        <v>2023</v>
      </c>
      <c r="F82" s="86">
        <v>2024</v>
      </c>
      <c r="G82" s="86">
        <v>2025</v>
      </c>
      <c r="H82" s="86">
        <v>2026</v>
      </c>
      <c r="I82" s="86">
        <v>2027</v>
      </c>
      <c r="J82" s="86">
        <v>2028</v>
      </c>
      <c r="K82" s="86">
        <v>2029</v>
      </c>
      <c r="L82" s="86">
        <v>2030</v>
      </c>
      <c r="M82" s="86">
        <v>2031</v>
      </c>
      <c r="N82" s="86">
        <v>2032</v>
      </c>
      <c r="O82" s="86">
        <v>2033</v>
      </c>
      <c r="P82" s="86">
        <v>2034</v>
      </c>
      <c r="Q82" s="86">
        <v>2035</v>
      </c>
      <c r="R82" s="86">
        <v>2036</v>
      </c>
      <c r="S82" s="86">
        <v>2037</v>
      </c>
      <c r="T82" s="86">
        <v>2038</v>
      </c>
      <c r="U82" s="86">
        <v>2039</v>
      </c>
      <c r="V82" s="86">
        <v>2040</v>
      </c>
      <c r="W82" s="86">
        <v>2041</v>
      </c>
    </row>
    <row r="83" spans="2:24" x14ac:dyDescent="0.2">
      <c r="B83" s="106" t="s">
        <v>104</v>
      </c>
      <c r="C83" s="110">
        <f>C56</f>
        <v>53.925649999999997</v>
      </c>
      <c r="D83" s="110">
        <f>D56</f>
        <v>51.626479730977287</v>
      </c>
      <c r="E83" s="110">
        <f>E56</f>
        <v>50.396658431512243</v>
      </c>
      <c r="F83" s="110">
        <f>F56</f>
        <v>52.027240532489337</v>
      </c>
      <c r="G83" s="110">
        <f>G56</f>
        <v>52.730907877542279</v>
      </c>
      <c r="H83" s="110">
        <f>G83*(1+H97/100)*H42-H59-H60+H61+H62+H63+H64+H65+H71</f>
        <v>52.947955578274673</v>
      </c>
      <c r="I83" s="110">
        <f t="shared" ref="I83:S83" si="40">H83*(1+I97/100)*I42-I59-I60+I61+I62+I63+I64+I65+I71</f>
        <v>52.754005449493576</v>
      </c>
      <c r="J83" s="110">
        <f t="shared" si="40"/>
        <v>52.204191928643525</v>
      </c>
      <c r="K83" s="110">
        <f t="shared" si="40"/>
        <v>51.447985627579214</v>
      </c>
      <c r="L83" s="110">
        <f t="shared" si="40"/>
        <v>50.924979397907975</v>
      </c>
      <c r="M83" s="110">
        <f t="shared" si="40"/>
        <v>50.606512843817413</v>
      </c>
      <c r="N83" s="110">
        <f t="shared" si="40"/>
        <v>50.364865375506959</v>
      </c>
      <c r="O83" s="110">
        <f t="shared" si="40"/>
        <v>50.15604709511156</v>
      </c>
      <c r="P83" s="110">
        <f t="shared" si="40"/>
        <v>50.163688074155033</v>
      </c>
      <c r="Q83" s="110">
        <f t="shared" si="40"/>
        <v>50.379858486178662</v>
      </c>
      <c r="R83" s="110">
        <f t="shared" si="40"/>
        <v>50.812534324566847</v>
      </c>
      <c r="S83" s="110">
        <f t="shared" si="40"/>
        <v>51.357509559885862</v>
      </c>
      <c r="T83" s="110">
        <f>S83*(1+T97/100)*T42-T59-T60+T61+T62+T63+T64+T65+T71</f>
        <v>52.0334604642755</v>
      </c>
      <c r="U83" s="110">
        <f>T83*(1+U97/100)*U42-U59-U60+U61+U62+U63+U64+U65+U71</f>
        <v>52.867337764289601</v>
      </c>
      <c r="V83" s="110">
        <f t="shared" ref="V83:W83" si="41">U83*(1+V97/100)*V42-V59-V60+V61+V62+V63+V64+V65+V71</f>
        <v>53.873306990050096</v>
      </c>
      <c r="W83" s="110">
        <f t="shared" si="41"/>
        <v>55.063360207465628</v>
      </c>
    </row>
    <row r="84" spans="2:24" x14ac:dyDescent="0.2">
      <c r="B84" s="26" t="s">
        <v>127</v>
      </c>
      <c r="C84" s="34"/>
      <c r="D84" s="254">
        <f>'Input data'!C66*$D$83</f>
        <v>40.602371246986003</v>
      </c>
      <c r="E84" s="34">
        <f t="shared" ref="E84" si="42">IF(E83=0,0,IF(E79=1,D83*E42/((1+E23/100)*(1+E41/100))-E85-E86,IF(AND(E79=0,E80=1),(1-D89-E38*D90)*D83*E42/((1+E23/100)*(1+E41/100)),E83)))</f>
        <v>37.860894175576689</v>
      </c>
      <c r="F84" s="34">
        <f t="shared" ref="F84" si="43">IF(F83=0,0,IF(F79=1,E83*F42/((1+F23/100)*(1+F41/100))-F85-F86,IF(AND(F79=0,F80=1),(1-E89-F38*E90)*E83*F42/((1+F23/100)*(1+F41/100)),F83)))</f>
        <v>38.019239464248713</v>
      </c>
      <c r="G84" s="34">
        <f>IF(G83=0,0,IF(G79=1,F83*G42/((1+G23/100)*(1+G41/100))-G85-G86,IF(AND(G79=0,G80=1),(1-F89-G38*F90)*F83*G42/((1+G23/100)*(1+G41/100)),G83)))</f>
        <v>39.688801788439605</v>
      </c>
      <c r="H84" s="34">
        <f t="shared" ref="H84:W84" si="44">IF(H83=0,0,IF(H79=1,G83*H42/((1+H23/100)*(1+H41/100))-H85-H86,IF(AND(H79=0,H80=1),(1-G89-H38*G90)*G83*H42/((1+H23/100)*(1+H41/100)),H83)))</f>
        <v>40.171165073085703</v>
      </c>
      <c r="I84" s="34">
        <f t="shared" si="44"/>
        <v>40.280137358718825</v>
      </c>
      <c r="J84" s="34">
        <f t="shared" si="44"/>
        <v>40.110982180469783</v>
      </c>
      <c r="K84" s="34">
        <f t="shared" si="44"/>
        <v>39.468247055742921</v>
      </c>
      <c r="L84" s="34">
        <f t="shared" si="44"/>
        <v>38.949960909345222</v>
      </c>
      <c r="M84" s="34">
        <f t="shared" si="44"/>
        <v>38.67831656371812</v>
      </c>
      <c r="N84" s="34">
        <f t="shared" si="44"/>
        <v>38.458174851790503</v>
      </c>
      <c r="O84" s="34">
        <f t="shared" si="44"/>
        <v>38.249477260951792</v>
      </c>
      <c r="P84" s="34">
        <f t="shared" si="44"/>
        <v>38.25261066599505</v>
      </c>
      <c r="Q84" s="34">
        <f t="shared" si="44"/>
        <v>38.409354521927241</v>
      </c>
      <c r="R84" s="34">
        <f t="shared" si="44"/>
        <v>38.726662649024711</v>
      </c>
      <c r="S84" s="34">
        <f t="shared" si="44"/>
        <v>39.126091191633392</v>
      </c>
      <c r="T84" s="34">
        <f t="shared" si="44"/>
        <v>39.623790709267219</v>
      </c>
      <c r="U84" s="34">
        <f t="shared" si="44"/>
        <v>40.234391681529296</v>
      </c>
      <c r="V84" s="34">
        <f t="shared" si="44"/>
        <v>40.966514863181672</v>
      </c>
      <c r="W84" s="34">
        <f t="shared" si="44"/>
        <v>41.830025199794029</v>
      </c>
      <c r="X84" s="34"/>
    </row>
    <row r="85" spans="2:24" x14ac:dyDescent="0.2">
      <c r="B85" s="105" t="s">
        <v>128</v>
      </c>
      <c r="C85" s="34"/>
      <c r="D85" s="254">
        <f>'Input data'!C67*$D$83</f>
        <v>4.064303127827737E-2</v>
      </c>
      <c r="E85" s="34">
        <f t="shared" ref="E85" si="45">IF(E83=0,0,IF(E79=1,E38*D83*D90*E42/((1+E23/100)*(1+E41/100)),IF(AND(E79=0,E80=1),(E38*D83*D90*E42/((1+E23/100)*(1+E41/100)))*(1-ABS(E83-D83*E42/((1+E23/100)*(1+E41/100)))/((E38*D83*D90*E42/((1+E23/100)*(1+E41/100)))+(D89*D83*E42/((1+E23/100)*(1+E41/100))))),0)))</f>
        <v>1.9515624310289765</v>
      </c>
      <c r="F85" s="34">
        <f t="shared" ref="F85" si="46">IF(F83=0,0,IF(F79=1,F38*E83*E90*F42/((1+F23/100)*(1+F41/100)),IF(AND(F79=0,F80=1),(F38*E83*E90*F42/((1+F23/100)*(1+F41/100)))*(1-ABS(F83-E83*F42/((1+F23/100)*(1+F41/100)))/((F38*E83*E90*F42/((1+F23/100)*(1+F41/100)))+(E89*E83*F42/((1+F23/100)*(1+F41/100))))),0)))</f>
        <v>1.8951143607196621</v>
      </c>
      <c r="G85" s="34">
        <f t="shared" ref="G85" si="47">IF(G83=0,0,IF(G79=1,G38*F83*F90*G42/((1+G23/100)*(1+G41/100)),IF(AND(G79=0,G80=1),(G38*F83*F90*G42/((1+G23/100)*(1+G41/100)))*(1-ABS(G83-F83*G42/((1+G23/100)*(1+G41/100)))/((G38*F83*F90*G42/((1+G23/100)*(1+G41/100)))+(F89*F83*G42/((1+G23/100)*(1+G41/100))))),0)))</f>
        <v>2.0441466815158553</v>
      </c>
      <c r="H85" s="34">
        <f t="shared" ref="H85:W85" si="48">IF(H83=0,0,IF(H79=1,H38*G83*G90*H42/((1+H23/100)*(1+H41/100)),IF(AND(H79=0,H80=1),(H38*G83*G90*H42/((1+H23/100)*(1+H41/100)))*(1-ABS(H83-G83*H42/((1+H23/100)*(1+H41/100)))/((H38*G83*G90*H42/((1+H23/100)*(1+H41/100)))+(G89*G83*H42/((1+H23/100)*(1+H41/100))))),0)))</f>
        <v>2.1358120846283555</v>
      </c>
      <c r="I85" s="34">
        <f t="shared" si="48"/>
        <v>2.2088210792668197</v>
      </c>
      <c r="J85" s="34">
        <f t="shared" si="48"/>
        <v>2.2666905555679744</v>
      </c>
      <c r="K85" s="34">
        <f t="shared" si="48"/>
        <v>2.2966487428260409</v>
      </c>
      <c r="L85" s="34">
        <f t="shared" si="48"/>
        <v>2.3321071385916223</v>
      </c>
      <c r="M85" s="34">
        <f t="shared" si="48"/>
        <v>2.3812101135896708</v>
      </c>
      <c r="N85" s="34">
        <f t="shared" si="48"/>
        <v>2.4328602967127066</v>
      </c>
      <c r="O85" s="34">
        <f t="shared" si="48"/>
        <v>2.4847148407069244</v>
      </c>
      <c r="P85" s="34">
        <f t="shared" si="48"/>
        <v>2.4849183890576598</v>
      </c>
      <c r="Q85" s="34">
        <f t="shared" si="48"/>
        <v>2.4951005879506609</v>
      </c>
      <c r="R85" s="34">
        <f t="shared" si="48"/>
        <v>2.5157131627865761</v>
      </c>
      <c r="S85" s="34">
        <f t="shared" si="48"/>
        <v>2.5416603416421393</v>
      </c>
      <c r="T85" s="34">
        <f t="shared" si="48"/>
        <v>2.5739912770230498</v>
      </c>
      <c r="U85" s="34">
        <f t="shared" si="48"/>
        <v>2.6136563758995388</v>
      </c>
      <c r="V85" s="34">
        <f t="shared" si="48"/>
        <v>2.6612156489914707</v>
      </c>
      <c r="W85" s="34">
        <f t="shared" si="48"/>
        <v>2.7173099305903179</v>
      </c>
    </row>
    <row r="86" spans="2:24" x14ac:dyDescent="0.2">
      <c r="B86" s="105" t="s">
        <v>129</v>
      </c>
      <c r="C86" s="34"/>
      <c r="D86" s="254">
        <f>'Input data'!C68*$D$83</f>
        <v>6.7592062017853909</v>
      </c>
      <c r="E86" s="34">
        <f t="shared" ref="E86" si="49">IF(E83=0,0,IF(E79=1,(1-D90)*D83*E42/((1+E23/100)*(1+E41/100)),IF(AND(E79=0,E80=1),(D89*D83*E42/((1+E23/100)*(1+E41/100)))*(1-ABS(E83-D83*E42/((1+E23/100)*(1+E41/100)))/((E38*D83*D90*E42/((1+E23/100)*(1+E41/100)))+(D89*D83*E42/((1+E23/100)*(1+E41/100))))),0)))</f>
        <v>6.6210823702360049</v>
      </c>
      <c r="F86" s="34">
        <f t="shared" ref="F86" si="50">IF(F83=0,0,IF(F79=1,(1-E90)*E83*F42/((1+F23/100)*(1+F41/100)),IF(AND(F79=0,F80=1),(E89*E83*F42/((1+F23/100)*(1+F41/100)))*(1-ABS(F83-E83*F42/((1+F23/100)*(1+F41/100)))/((F38*E83*E90*F42/((1+F23/100)*(1+F41/100)))+(E89*E83*F42/((1+F23/100)*(1+F41/100))))),0)))</f>
        <v>6.5851096523336512</v>
      </c>
      <c r="G86" s="34">
        <f t="shared" ref="G86" si="51">IF(G83=0,0,IF(G79=1,(1-F90)*F83*G42/((1+G23/100)*(1+G41/100)),IF(AND(G79=0,G80=1),(F89*F83*G42/((1+G23/100)*(1+G41/100)))*(1-ABS(G83-F83*G42/((1+G23/100)*(1+G41/100)))/((G38*F83*F90*G42/((1+G23/100)*(1+G41/100)))+(F89*F83*G42/((1+G23/100)*(1+G41/100))))),0)))</f>
        <v>6.8164415480296876</v>
      </c>
      <c r="H86" s="34">
        <f t="shared" ref="H86:W86" si="52">IF(H83=0,0,IF(H79=1,(1-G90)*G83*H42/((1+H23/100)*(1+H41/100)),IF(AND(H79=0,H80=1),(G89*G83*H42/((1+H23/100)*(1+H41/100)))*(1-ABS(H83-G83*H42/((1+H23/100)*(1+H41/100)))/((H38*G83*G90*H42/((1+H23/100)*(1+H41/100)))+(G89*G83*H42/((1+H23/100)*(1+H41/100))))),0)))</f>
        <v>6.8638511193776841</v>
      </c>
      <c r="I86" s="34">
        <f t="shared" si="52"/>
        <v>6.8548879647223533</v>
      </c>
      <c r="J86" s="34">
        <f t="shared" si="52"/>
        <v>6.8046768461623985</v>
      </c>
      <c r="K86" s="34">
        <f t="shared" si="52"/>
        <v>6.6796868816638648</v>
      </c>
      <c r="L86" s="34">
        <f t="shared" si="52"/>
        <v>6.5775157459511027</v>
      </c>
      <c r="M86" s="34">
        <f t="shared" si="52"/>
        <v>6.517988771892381</v>
      </c>
      <c r="N86" s="34">
        <f t="shared" si="52"/>
        <v>6.468863350574221</v>
      </c>
      <c r="O86" s="34">
        <f t="shared" si="52"/>
        <v>6.4231786425103019</v>
      </c>
      <c r="P86" s="34">
        <f t="shared" si="52"/>
        <v>6.4040524782545809</v>
      </c>
      <c r="Q86" s="34">
        <f t="shared" si="52"/>
        <v>6.4116136536624007</v>
      </c>
      <c r="R86" s="34">
        <f t="shared" si="52"/>
        <v>6.4467282972264162</v>
      </c>
      <c r="S86" s="34">
        <f t="shared" si="52"/>
        <v>6.4961095903472907</v>
      </c>
      <c r="T86" s="34">
        <f t="shared" si="52"/>
        <v>6.5623018819966026</v>
      </c>
      <c r="U86" s="34">
        <f t="shared" si="52"/>
        <v>6.6475986455304144</v>
      </c>
      <c r="V86" s="34">
        <f t="shared" si="52"/>
        <v>6.7532604661123994</v>
      </c>
      <c r="W86" s="34">
        <f t="shared" si="52"/>
        <v>6.880750090286301</v>
      </c>
    </row>
    <row r="87" spans="2:24" x14ac:dyDescent="0.2">
      <c r="B87" s="105" t="s">
        <v>130</v>
      </c>
      <c r="C87" s="34"/>
      <c r="D87" s="254">
        <f>'Input data'!C69*$D$83</f>
        <v>3.6219077873668084</v>
      </c>
      <c r="E87" s="34">
        <f>IF(E83=0,0,IF(E79=1,'Input data'!$C$58*(E83-D83*E42/((1+E23/100)*(1+E41/100))),0))</f>
        <v>3.4471835226479048</v>
      </c>
      <c r="F87" s="34">
        <f>IF(F83=0,0,IF(F79=1,'Input data'!$C$58*(F83-E83*F42/((1+F23/100)*(1+F41/100))),0))</f>
        <v>4.8081472687016928</v>
      </c>
      <c r="G87" s="34">
        <f>IF(G83=0,0,IF(G79=1,'Input data'!$C$58*(G83-F83*G42/((1+G23/100)*(1+G41/100))),0))</f>
        <v>3.6371498840731888</v>
      </c>
      <c r="H87" s="34">
        <f>IF(H83=0,0,IF(H79=1,'Input data'!$C$58*(H83-G83*H42/((1+H23/100)*(1+H41/100))),0))</f>
        <v>3.2854046274675404</v>
      </c>
      <c r="I87" s="34">
        <f>IF(I83=0,0,IF(I79=1,'Input data'!$C$58*(I83-H83*I42/((1+I23/100)*(1+I41/100))),0))</f>
        <v>2.9662098783911319</v>
      </c>
      <c r="J87" s="34">
        <f>IF(J83=0,0,IF(J79=1,'Input data'!$C$58*(J83-I83*J42/((1+J23/100)*(1+J41/100))),0))</f>
        <v>2.6284459158612772</v>
      </c>
      <c r="K87" s="34">
        <f>IF(K83=0,0,IF(K79=1,'Input data'!$C$58*(K83-J83*K42/((1+K23/100)*(1+K41/100))),0))</f>
        <v>2.6124070370281611</v>
      </c>
      <c r="L87" s="34">
        <f>IF(L83=0,0,IF(L79=1,'Input data'!$C$58*(L83-K83*L42/((1+L23/100)*(1+L41/100))),0))</f>
        <v>2.6663292230876015</v>
      </c>
      <c r="M87" s="34">
        <f>IF(M83=0,0,IF(M79=1,'Input data'!$C$58*(M83-L83*M42/((1+M23/100)*(1+M41/100))),0))</f>
        <v>2.6346694890971665</v>
      </c>
      <c r="N87" s="34">
        <f>IF(N83=0,0,IF(N79=1,'Input data'!$C$58*(N83-M83*N42/((1+N23/100)*(1+N41/100))),0))</f>
        <v>2.613767367098363</v>
      </c>
      <c r="O87" s="34">
        <f>IF(O83=0,0,IF(O79=1,'Input data'!$C$58*(O83-N83*O42/((1+O23/100)*(1+O41/100))),0))</f>
        <v>2.608295769268536</v>
      </c>
      <c r="P87" s="34">
        <f>IF(P83=0,0,IF(P79=1,'Input data'!$C$58*(P83-O83*P42/((1+P23/100)*(1+P41/100))),0))</f>
        <v>2.6286757163020531</v>
      </c>
      <c r="Q87" s="34">
        <f>IF(Q83=0,0,IF(Q79=1,'Input data'!$C$58*(Q83-P83*Q42/((1+Q23/100)*(1+Q41/100))),0))</f>
        <v>2.6649324022494922</v>
      </c>
      <c r="R87" s="34">
        <f>IF(R83=0,0,IF(R79=1,'Input data'!$C$58*(R83-Q83*R42/((1+R23/100)*(1+R41/100))),0))</f>
        <v>2.716808639321636</v>
      </c>
      <c r="S87" s="34">
        <f>IF(S83=0,0,IF(S79=1,'Input data'!$C$58*(S83-R83*S42/((1+S23/100)*(1+S41/100))),0))</f>
        <v>2.7778855501420412</v>
      </c>
      <c r="T87" s="34">
        <f>IF(T83=0,0,IF(T79=1,'Input data'!$C$58*(T83-S83*T42/((1+T23/100)*(1+T41/100))),0))</f>
        <v>2.8472343552034673</v>
      </c>
      <c r="U87" s="34">
        <f>IF(U83=0,0,IF(U79=1,'Input data'!$C$58*(U83-T83*U42/((1+U23/100)*(1+U41/100))),0))</f>
        <v>2.9327498206948035</v>
      </c>
      <c r="V87" s="34">
        <f>IF(V83=0,0,IF(V79=1,'Input data'!$C$58*(V83-U83*V42/((1+V23/100)*(1+V41/100))),0))</f>
        <v>3.037671296394191</v>
      </c>
      <c r="W87" s="34">
        <f>IF(W83=0,0,IF(W79=1,'Input data'!$C$58*(W83-V83*W42/((1+W23/100)*(1+W41/100))),0))</f>
        <v>3.1620192573315684</v>
      </c>
    </row>
    <row r="88" spans="2:24" x14ac:dyDescent="0.2">
      <c r="B88" s="107" t="s">
        <v>131</v>
      </c>
      <c r="C88" s="49"/>
      <c r="D88" s="255">
        <f>'Input data'!C70*$D$83</f>
        <v>0.60234756355780006</v>
      </c>
      <c r="E88" s="49">
        <f>IF(E83=0,0,IF(E79=1,'Input data'!$C$57*(E83-D83*E42/((1+E23/100)*(1+E41/100))),0))</f>
        <v>0.51593593202267063</v>
      </c>
      <c r="F88" s="49">
        <f>IF(F83=0,0,IF(F79=1,'Input data'!$C$57*(F83-E83*F42/((1+F23/100)*(1+F41/100))),0))</f>
        <v>0.71962978648562193</v>
      </c>
      <c r="G88" s="49">
        <f>IF(G83=0,0,IF(G79=1,'Input data'!$C$57*(G83-F83*G42/((1+G23/100)*(1+G41/100))),0))</f>
        <v>0.54436797548394367</v>
      </c>
      <c r="H88" s="49">
        <f>IF(H83=0,0,IF(H79=1,'Input data'!$C$57*(H83-G83*H42/((1+H23/100)*(1+H41/100))),0))</f>
        <v>0.49172267371538886</v>
      </c>
      <c r="I88" s="49">
        <f>IF(I83=0,0,IF(I79=1,'Input data'!$C$57*(I83-H83*I42/((1+I23/100)*(1+I41/100))),0))</f>
        <v>0.44394916839444798</v>
      </c>
      <c r="J88" s="49">
        <f>IF(J83=0,0,IF(J79=1,'Input data'!$C$57*(J83-I83*J42/((1+J23/100)*(1+J41/100))),0))</f>
        <v>0.39339643058208684</v>
      </c>
      <c r="K88" s="49">
        <f>IF(K83=0,0,IF(K79=1,'Input data'!$C$57*(K83-J83*K42/((1+K23/100)*(1+K41/100))),0))</f>
        <v>0.39099591031822634</v>
      </c>
      <c r="L88" s="49">
        <f>IF(L83=0,0,IF(L79=1,'Input data'!$C$57*(L83-K83*L42/((1+L23/100)*(1+L41/100))),0))</f>
        <v>0.39906638093242425</v>
      </c>
      <c r="M88" s="49">
        <f>IF(M83=0,0,IF(M79=1,'Input data'!$C$57*(M83-L83*M42/((1+M23/100)*(1+M41/100))),0))</f>
        <v>0.39432790552006858</v>
      </c>
      <c r="N88" s="49">
        <f>IF(N83=0,0,IF(N79=1,'Input data'!$C$57*(N83-M83*N42/((1+N23/100)*(1+N41/100))),0))</f>
        <v>0.39119950933116454</v>
      </c>
      <c r="O88" s="49">
        <f>IF(O83=0,0,IF(O79=1,'Input data'!$C$57*(O83-N83*O42/((1+O23/100)*(1+O41/100))),0))</f>
        <v>0.39038058167400969</v>
      </c>
      <c r="P88" s="49">
        <f>IF(P83=0,0,IF(P79=1,'Input data'!$C$57*(P83-O83*P42/((1+P23/100)*(1+P41/100))),0))</f>
        <v>0.39343082454568407</v>
      </c>
      <c r="Q88" s="49">
        <f>IF(Q83=0,0,IF(Q79=1,'Input data'!$C$57*(Q83-P83*Q42/((1+Q23/100)*(1+Q41/100))),0))</f>
        <v>0.39885732038886923</v>
      </c>
      <c r="R88" s="49">
        <f>IF(R83=0,0,IF(R79=1,'Input data'!$C$57*(R83-Q83*R42/((1+R23/100)*(1+R41/100))),0))</f>
        <v>0.40662157620751116</v>
      </c>
      <c r="S88" s="49">
        <f>IF(S83=0,0,IF(S79=1,'Input data'!$C$57*(S83-R83*S42/((1+S23/100)*(1+S41/100))),0))</f>
        <v>0.41576288612099843</v>
      </c>
      <c r="T88" s="49">
        <f>IF(T83=0,0,IF(T79=1,'Input data'!$C$57*(T83-S83*T42/((1+T23/100)*(1+T41/100))),0))</f>
        <v>0.42614224078516261</v>
      </c>
      <c r="U88" s="49">
        <f>IF(U83=0,0,IF(U79=1,'Input data'!$C$57*(U83-T83*U42/((1+U23/100)*(1+U41/100))),0))</f>
        <v>0.43894124063554901</v>
      </c>
      <c r="V88" s="49">
        <f>IF(V83=0,0,IF(V79=1,'Input data'!$C$57*(V83-U83*V42/((1+V23/100)*(1+V41/100))),0))</f>
        <v>0.45464471537035983</v>
      </c>
      <c r="W88" s="49">
        <f>IF(W83=0,0,IF(W79=1,'Input data'!$C$57*(W83-V83*W42/((1+W23/100)*(1+W41/100))),0))</f>
        <v>0.47325572946341404</v>
      </c>
    </row>
    <row r="89" spans="2:24" x14ac:dyDescent="0.2">
      <c r="B89" s="26" t="s">
        <v>73</v>
      </c>
      <c r="C89" s="34"/>
      <c r="D89" s="260">
        <f>'Baseline NFPC'!$D$93</f>
        <v>0.14259267150708055</v>
      </c>
      <c r="E89" s="34">
        <f t="shared" ref="E89:G89" si="53">IF(E83&lt;&gt;0,(E86+E88)/(E84+E85+E86+E87+E88),0)</f>
        <v>0.14161689533360031</v>
      </c>
      <c r="F89" s="34">
        <f t="shared" si="53"/>
        <v>0.14040220784451748</v>
      </c>
      <c r="G89" s="34">
        <f t="shared" si="53"/>
        <v>0.13959193611093784</v>
      </c>
      <c r="H89" s="34">
        <f t="shared" ref="H89:W89" si="54">IF(H83&lt;&gt;0,(H86+H88)/(H84+H85+H86+H87+H88),0)</f>
        <v>0.13892082730595878</v>
      </c>
      <c r="I89" s="34">
        <f t="shared" si="54"/>
        <v>0.13835607497339081</v>
      </c>
      <c r="J89" s="34">
        <f t="shared" si="54"/>
        <v>0.13788305135693574</v>
      </c>
      <c r="K89" s="34">
        <f t="shared" si="54"/>
        <v>0.13743361777398297</v>
      </c>
      <c r="L89" s="34">
        <f t="shared" si="54"/>
        <v>0.13699724986378942</v>
      </c>
      <c r="M89" s="34">
        <f t="shared" si="54"/>
        <v>0.13658946821223084</v>
      </c>
      <c r="N89" s="34">
        <f t="shared" si="54"/>
        <v>0.13620731056776569</v>
      </c>
      <c r="O89" s="34">
        <f t="shared" si="54"/>
        <v>0.13584721322363524</v>
      </c>
      <c r="P89" s="34">
        <f t="shared" si="54"/>
        <v>0.13550605156366913</v>
      </c>
      <c r="Q89" s="34">
        <f t="shared" si="54"/>
        <v>0.13518241572511905</v>
      </c>
      <c r="R89" s="34">
        <f t="shared" si="54"/>
        <v>0.13487518315181674</v>
      </c>
      <c r="S89" s="34">
        <f t="shared" si="54"/>
        <v>0.13458348225411207</v>
      </c>
      <c r="T89" s="34">
        <f t="shared" si="54"/>
        <v>0.13430673379065008</v>
      </c>
      <c r="U89" s="34">
        <f t="shared" si="54"/>
        <v>0.13404381960297462</v>
      </c>
      <c r="V89" s="34">
        <f t="shared" si="54"/>
        <v>0.13379362775732317</v>
      </c>
      <c r="W89" s="34">
        <f t="shared" si="54"/>
        <v>0.13355534046672002</v>
      </c>
    </row>
    <row r="90" spans="2:24" x14ac:dyDescent="0.2">
      <c r="B90" s="35" t="s">
        <v>74</v>
      </c>
      <c r="C90" s="49"/>
      <c r="D90" s="261">
        <f>'Baseline NFPC'!$D$94</f>
        <v>0.85740732849291945</v>
      </c>
      <c r="E90" s="49">
        <f t="shared" ref="E90:G90" si="55">IF(E83&lt;&gt;0,(E84+E85+E87)/(E84+E85+E86+E87+E88),1)</f>
        <v>0.85838310466639967</v>
      </c>
      <c r="F90" s="49">
        <f t="shared" si="55"/>
        <v>0.8595977921554826</v>
      </c>
      <c r="G90" s="49">
        <f t="shared" si="55"/>
        <v>0.86040806388906221</v>
      </c>
      <c r="H90" s="49">
        <f t="shared" ref="H90:W90" si="56">IF(H83&lt;&gt;0,(H84+H85+H87)/(H84+H85+H86+H87+H88),1)</f>
        <v>0.86107917269404122</v>
      </c>
      <c r="I90" s="49">
        <f t="shared" si="56"/>
        <v>0.86164392502660925</v>
      </c>
      <c r="J90" s="49">
        <f t="shared" si="56"/>
        <v>0.86211694864306421</v>
      </c>
      <c r="K90" s="49">
        <f t="shared" si="56"/>
        <v>0.86256638222601711</v>
      </c>
      <c r="L90" s="49">
        <f t="shared" si="56"/>
        <v>0.86300275013621053</v>
      </c>
      <c r="M90" s="49">
        <f t="shared" si="56"/>
        <v>0.86341053178776905</v>
      </c>
      <c r="N90" s="49">
        <f t="shared" si="56"/>
        <v>0.8637926894322342</v>
      </c>
      <c r="O90" s="49">
        <f t="shared" si="56"/>
        <v>0.86415278677636476</v>
      </c>
      <c r="P90" s="49">
        <f t="shared" si="56"/>
        <v>0.86449394843633098</v>
      </c>
      <c r="Q90" s="49">
        <f t="shared" si="56"/>
        <v>0.86481758427488098</v>
      </c>
      <c r="R90" s="49">
        <f t="shared" si="56"/>
        <v>0.86512481684818332</v>
      </c>
      <c r="S90" s="49">
        <f t="shared" si="56"/>
        <v>0.8654165177458879</v>
      </c>
      <c r="T90" s="49">
        <f t="shared" si="56"/>
        <v>0.86569326620934994</v>
      </c>
      <c r="U90" s="49">
        <f t="shared" si="56"/>
        <v>0.86595618039702538</v>
      </c>
      <c r="V90" s="49">
        <f t="shared" si="56"/>
        <v>0.86620637224267683</v>
      </c>
      <c r="W90" s="49">
        <f t="shared" si="56"/>
        <v>0.86644465953328009</v>
      </c>
    </row>
    <row r="92" spans="2:24" x14ac:dyDescent="0.2">
      <c r="B92" s="113" t="s">
        <v>132</v>
      </c>
      <c r="C92" s="51"/>
      <c r="D92" s="51"/>
      <c r="E92" s="52">
        <f t="shared" ref="E92:G92" si="57">E94+E95</f>
        <v>2.3767499999999999</v>
      </c>
      <c r="F92" s="52">
        <f t="shared" si="57"/>
        <v>2.7490950000000001</v>
      </c>
      <c r="G92" s="52">
        <f t="shared" si="57"/>
        <v>2.7383609999999998</v>
      </c>
      <c r="H92" s="52">
        <f t="shared" ref="H92:W92" si="58">H94+H95</f>
        <v>2.8292956231126509</v>
      </c>
      <c r="I92" s="52">
        <f t="shared" si="58"/>
        <v>2.9128598255268852</v>
      </c>
      <c r="J92" s="52">
        <f t="shared" si="58"/>
        <v>2.9910327888273525</v>
      </c>
      <c r="K92" s="52">
        <f t="shared" si="58"/>
        <v>3.0645257032705233</v>
      </c>
      <c r="L92" s="52">
        <f t="shared" si="58"/>
        <v>3.1386788823971852</v>
      </c>
      <c r="M92" s="52">
        <f t="shared" si="58"/>
        <v>3.2142546270580969</v>
      </c>
      <c r="N92" s="52">
        <f t="shared" si="58"/>
        <v>3.2896692653043531</v>
      </c>
      <c r="O92" s="52">
        <f t="shared" si="58"/>
        <v>3.3650214715135522</v>
      </c>
      <c r="P92" s="52">
        <f t="shared" si="58"/>
        <v>3.4282966574669906</v>
      </c>
      <c r="Q92" s="52">
        <f t="shared" si="58"/>
        <v>3.4831356214530071</v>
      </c>
      <c r="R92" s="52">
        <f t="shared" si="58"/>
        <v>3.5305155421463117</v>
      </c>
      <c r="S92" s="52">
        <f t="shared" si="58"/>
        <v>3.5712818873231851</v>
      </c>
      <c r="T92" s="52">
        <f t="shared" si="58"/>
        <v>3.6061698484214371</v>
      </c>
      <c r="U92" s="52">
        <f t="shared" si="58"/>
        <v>3.6358174803837633</v>
      </c>
      <c r="V92" s="52">
        <f t="shared" si="58"/>
        <v>3.6608279983659737</v>
      </c>
      <c r="W92" s="52">
        <f t="shared" si="58"/>
        <v>3.6817352904877314</v>
      </c>
    </row>
    <row r="93" spans="2:24" x14ac:dyDescent="0.2">
      <c r="B93" s="33" t="s">
        <v>133</v>
      </c>
      <c r="C93" s="97"/>
      <c r="D93" s="97"/>
      <c r="E93" s="266">
        <f>((E35*D83)-(E37*(D86+D88)))/(D84+D85+D87)</f>
        <v>2.2015876621443162</v>
      </c>
      <c r="F93" s="266">
        <f t="shared" ref="F93:G93" si="59">((F35*E83)-(F37*(E86+E88)))/(E84+E85+E87)</f>
        <v>2.6146168494183679</v>
      </c>
      <c r="G93" s="266">
        <f t="shared" si="59"/>
        <v>2.7256186012377643</v>
      </c>
      <c r="H93" s="34">
        <f t="shared" ref="H93:W93" si="60">IF(G83&gt;0,(G93*G84+H36*(G87+G85))/(G84+G85+G87),H36)</f>
        <v>2.8332228260083951</v>
      </c>
      <c r="I93" s="34">
        <f t="shared" si="60"/>
        <v>2.9320675465268593</v>
      </c>
      <c r="J93" s="34">
        <f t="shared" si="60"/>
        <v>3.0245144505946047</v>
      </c>
      <c r="K93" s="34">
        <f t="shared" si="60"/>
        <v>3.1114336800512157</v>
      </c>
      <c r="L93" s="34">
        <f t="shared" si="60"/>
        <v>3.1990226553704275</v>
      </c>
      <c r="M93" s="34">
        <f t="shared" si="60"/>
        <v>3.2881651820380049</v>
      </c>
      <c r="N93" s="34">
        <f>IF(M83&gt;0,(M93*M84+N36*(M87+M85))/(M84+M85+M87),N36)</f>
        <v>3.3770407900296413</v>
      </c>
      <c r="O93" s="34">
        <f>IF(N83&gt;0,(N93*N84+O36*(N87+N85))/(N84+N85+N87),O36)</f>
        <v>3.4657714991957369</v>
      </c>
      <c r="P93" s="34">
        <f t="shared" si="60"/>
        <v>3.5443926583266339</v>
      </c>
      <c r="Q93" s="34">
        <f t="shared" si="60"/>
        <v>3.6131807445195072</v>
      </c>
      <c r="R93" s="34">
        <f t="shared" si="60"/>
        <v>3.673282502877028</v>
      </c>
      <c r="S93" s="34">
        <f t="shared" si="60"/>
        <v>3.725689335065522</v>
      </c>
      <c r="T93" s="34">
        <f t="shared" si="60"/>
        <v>3.7712627694484571</v>
      </c>
      <c r="U93" s="34">
        <f t="shared" si="60"/>
        <v>3.8107502947447509</v>
      </c>
      <c r="V93" s="34">
        <f t="shared" si="60"/>
        <v>3.8448564886960312</v>
      </c>
      <c r="W93" s="34">
        <f t="shared" si="60"/>
        <v>3.8742041312597464</v>
      </c>
    </row>
    <row r="94" spans="2:24" x14ac:dyDescent="0.2">
      <c r="B94" s="26" t="s">
        <v>134</v>
      </c>
      <c r="C94" s="97"/>
      <c r="D94" s="97"/>
      <c r="E94" s="34">
        <f t="shared" ref="E94:F94" si="61">(E93*(D84+D85+D87)+E37*(D86+D88))/D83</f>
        <v>2.3767499999999999</v>
      </c>
      <c r="F94" s="34">
        <f t="shared" si="61"/>
        <v>2.7490950000000001</v>
      </c>
      <c r="G94" s="34">
        <f>(G93*(F84+F85+F87)+G37*(F86+F88))/F83</f>
        <v>2.7383609999999998</v>
      </c>
      <c r="H94" s="34">
        <f t="shared" ref="H94:W94" si="62">(H93*(G84+G85+G87)+H37*(G86+G88))/G83</f>
        <v>2.8292956231126509</v>
      </c>
      <c r="I94" s="34">
        <f t="shared" si="62"/>
        <v>2.9128598255268852</v>
      </c>
      <c r="J94" s="34">
        <f t="shared" si="62"/>
        <v>2.9910327888273525</v>
      </c>
      <c r="K94" s="34">
        <f t="shared" si="62"/>
        <v>3.0645257032705233</v>
      </c>
      <c r="L94" s="34">
        <f t="shared" si="62"/>
        <v>3.1386788823971852</v>
      </c>
      <c r="M94" s="34">
        <f t="shared" si="62"/>
        <v>3.2142546270580969</v>
      </c>
      <c r="N94" s="34">
        <f>(N93*(M84+M85+M87)+N37*(M86+M88))/M83</f>
        <v>3.2896692653043531</v>
      </c>
      <c r="O94" s="34">
        <f>(O93*(N84+N85+N87)+O37*(N86+N88))/N83</f>
        <v>3.3650214715135522</v>
      </c>
      <c r="P94" s="34">
        <f t="shared" si="62"/>
        <v>3.4282966574669906</v>
      </c>
      <c r="Q94" s="34">
        <f t="shared" si="62"/>
        <v>3.4831356214530071</v>
      </c>
      <c r="R94" s="34">
        <f t="shared" si="62"/>
        <v>3.5305155421463117</v>
      </c>
      <c r="S94" s="34">
        <f t="shared" si="62"/>
        <v>3.5712818873231851</v>
      </c>
      <c r="T94" s="34">
        <f t="shared" si="62"/>
        <v>3.6061698484214371</v>
      </c>
      <c r="U94" s="34">
        <f t="shared" si="62"/>
        <v>3.6358174803837633</v>
      </c>
      <c r="V94" s="34">
        <f t="shared" si="62"/>
        <v>3.6608279983659737</v>
      </c>
      <c r="W94" s="34">
        <f t="shared" si="62"/>
        <v>3.6817352904877314</v>
      </c>
    </row>
    <row r="95" spans="2:24" x14ac:dyDescent="0.2">
      <c r="B95" s="35" t="s">
        <v>135</v>
      </c>
      <c r="C95" s="35"/>
      <c r="D95" s="35"/>
      <c r="E95" s="49">
        <f>IF('Criteria results'!$F$5=4,E105,E110)</f>
        <v>0</v>
      </c>
      <c r="F95" s="49">
        <f>IF('Criteria results'!$F$5=4,F105,F110)</f>
        <v>0</v>
      </c>
      <c r="G95" s="49">
        <f>IF('Criteria results'!$F$5=4,G105,G110)</f>
        <v>0</v>
      </c>
      <c r="H95" s="49">
        <f>IF('Criteria results'!$F$5=4,H105,H110)</f>
        <v>0</v>
      </c>
      <c r="I95" s="49">
        <f>IF('Criteria results'!$F$5=4,I105,I110)</f>
        <v>0</v>
      </c>
      <c r="J95" s="49">
        <f>IF('Criteria results'!$F$5=4,J105,J110)</f>
        <v>0</v>
      </c>
      <c r="K95" s="49">
        <f>IF('Criteria results'!$F$5=4,K105,K110)</f>
        <v>0</v>
      </c>
      <c r="L95" s="49">
        <f>IF('Criteria results'!$F$5=4,L105,L110)</f>
        <v>0</v>
      </c>
      <c r="M95" s="49">
        <f>IF('Criteria results'!$F$5=4,M105,M110)</f>
        <v>0</v>
      </c>
      <c r="N95" s="49">
        <f>IF('Criteria results'!$F$5=4,N105,N110)</f>
        <v>0</v>
      </c>
      <c r="O95" s="49">
        <f>IF('Criteria results'!$F$5=4,O105,O110)</f>
        <v>0</v>
      </c>
      <c r="P95" s="49">
        <f>IF('Criteria results'!$F$5=4,P105,P110)</f>
        <v>0</v>
      </c>
      <c r="Q95" s="49">
        <f>IF('Criteria results'!$F$5=4,Q105,Q110)</f>
        <v>0</v>
      </c>
      <c r="R95" s="49">
        <f>IF('Criteria results'!$F$5=4,R105,R110)</f>
        <v>0</v>
      </c>
      <c r="S95" s="49">
        <f>IF('Criteria results'!$F$5=4,S105,S110)</f>
        <v>0</v>
      </c>
      <c r="T95" s="49">
        <f>IF('Criteria results'!$F$5=4,T105,T110)</f>
        <v>0</v>
      </c>
      <c r="U95" s="49">
        <f>IF('Criteria results'!$F$5=4,U105,U110)</f>
        <v>0</v>
      </c>
      <c r="V95" s="49">
        <f>IF('Criteria results'!$F$5=4,V105,V110)</f>
        <v>0</v>
      </c>
      <c r="W95" s="49">
        <f>IF('Criteria results'!$F$5=4,W105,W110)</f>
        <v>0</v>
      </c>
    </row>
    <row r="96" spans="2:24" x14ac:dyDescent="0.2">
      <c r="G96" s="98"/>
      <c r="H96" s="98"/>
      <c r="I96" s="98"/>
      <c r="J96" s="98"/>
      <c r="K96" s="98"/>
      <c r="L96" s="98"/>
      <c r="M96" s="98"/>
      <c r="N96" s="98"/>
      <c r="O96" s="98"/>
      <c r="P96" s="98"/>
      <c r="Q96" s="98"/>
      <c r="R96" s="98"/>
      <c r="S96" s="98"/>
      <c r="T96" s="98"/>
      <c r="U96" s="98"/>
      <c r="V96" s="98"/>
      <c r="W96" s="98"/>
    </row>
    <row r="97" spans="1:54" x14ac:dyDescent="0.2">
      <c r="B97" s="113" t="s">
        <v>186</v>
      </c>
      <c r="C97" s="52">
        <f t="shared" ref="C97:T97" si="63">((1+C92/100)/((1+C23/100)*(1+C41/100))-1)*100</f>
        <v>-12.869322491408585</v>
      </c>
      <c r="D97" s="52">
        <f t="shared" si="63"/>
        <v>-12.0971341387081</v>
      </c>
      <c r="E97" s="52">
        <f t="shared" si="63"/>
        <v>-7.9209964301513835</v>
      </c>
      <c r="F97" s="52">
        <f t="shared" si="63"/>
        <v>-5.1965360605959248</v>
      </c>
      <c r="G97" s="52">
        <f>((1+G92/100)/((1+G23/100)*(1+G41/100))-1)*100</f>
        <v>-4.1293521290773461</v>
      </c>
      <c r="H97" s="52">
        <f t="shared" si="63"/>
        <v>-4.1131313596864061</v>
      </c>
      <c r="I97" s="52">
        <f t="shared" si="63"/>
        <v>-4.0923054982345057</v>
      </c>
      <c r="J97" s="52">
        <f t="shared" si="63"/>
        <v>-3.9818695226568557</v>
      </c>
      <c r="K97" s="52">
        <f t="shared" si="63"/>
        <v>-4.357911647100055</v>
      </c>
      <c r="L97" s="52">
        <f t="shared" si="63"/>
        <v>-4.0550531930466205</v>
      </c>
      <c r="M97" s="52">
        <f t="shared" si="63"/>
        <v>-3.5703528571624621</v>
      </c>
      <c r="N97" s="52">
        <f t="shared" si="63"/>
        <v>-3.3367845853120914</v>
      </c>
      <c r="O97" s="52">
        <f t="shared" si="63"/>
        <v>-3.2177967087022918</v>
      </c>
      <c r="P97" s="52">
        <f t="shared" si="63"/>
        <v>-2.7879236479086411</v>
      </c>
      <c r="Q97" s="52">
        <f t="shared" si="63"/>
        <v>-2.3912445653266667</v>
      </c>
      <c r="R97" s="52">
        <f t="shared" si="63"/>
        <v>-1.9989797012576527</v>
      </c>
      <c r="S97" s="52">
        <f t="shared" si="63"/>
        <v>-1.8275135549608468</v>
      </c>
      <c r="T97" s="52">
        <f t="shared" si="63"/>
        <v>-1.6337518237667714</v>
      </c>
      <c r="U97" s="52">
        <f>((1+U92/100)/((1+U23/100)*(1+U41/100))-1)*100</f>
        <v>-1.418783951468916</v>
      </c>
      <c r="V97" s="52">
        <f t="shared" ref="V97:W97" si="64">((1+V92/100)/((1+V23/100)*(1+V41/100))-1)*100</f>
        <v>-1.2143326854835212</v>
      </c>
      <c r="W97" s="52">
        <f t="shared" si="64"/>
        <v>-1.0242100168267321</v>
      </c>
    </row>
    <row r="100" spans="1:54" s="25" customFormat="1" ht="12.75" outlineLevel="1" x14ac:dyDescent="0.2">
      <c r="B100" s="25" t="s">
        <v>136</v>
      </c>
      <c r="C100" s="112"/>
      <c r="D100" s="112"/>
      <c r="E100" s="112"/>
      <c r="F100" s="112"/>
      <c r="G100" s="112"/>
      <c r="H100" s="112"/>
      <c r="I100" s="112"/>
      <c r="J100" s="112"/>
      <c r="K100" s="112"/>
      <c r="L100" s="112"/>
      <c r="M100" s="112"/>
      <c r="N100" s="112"/>
      <c r="O100" s="112"/>
      <c r="P100" s="112"/>
      <c r="Q100" s="112"/>
      <c r="R100" s="112"/>
      <c r="S100" s="112"/>
      <c r="T100" s="112"/>
      <c r="U100" s="112"/>
      <c r="V100" s="112"/>
      <c r="W100" s="112"/>
    </row>
    <row r="101" spans="1:54" s="127" customFormat="1" ht="12.75" outlineLevel="1" x14ac:dyDescent="0.2">
      <c r="C101" s="128"/>
      <c r="D101" s="128"/>
      <c r="E101" s="128"/>
      <c r="F101" s="128"/>
      <c r="G101" s="128"/>
      <c r="H101" s="128"/>
      <c r="I101" s="128"/>
      <c r="J101" s="128"/>
      <c r="K101" s="128"/>
      <c r="L101" s="128"/>
      <c r="M101" s="128"/>
      <c r="N101" s="128"/>
      <c r="O101" s="128"/>
      <c r="P101" s="128"/>
      <c r="Q101" s="128"/>
      <c r="R101" s="128"/>
      <c r="S101" s="128"/>
      <c r="T101" s="128"/>
      <c r="U101" s="128"/>
      <c r="V101" s="128"/>
      <c r="W101" s="128"/>
    </row>
    <row r="102" spans="1:54" s="127" customFormat="1" ht="12.75" outlineLevel="1" x14ac:dyDescent="0.2">
      <c r="B102" s="106" t="s">
        <v>293</v>
      </c>
      <c r="C102" s="129"/>
      <c r="D102" s="129"/>
      <c r="E102" s="129"/>
      <c r="F102" s="129"/>
      <c r="G102" s="129"/>
      <c r="H102" s="129"/>
      <c r="I102" s="129"/>
      <c r="J102" s="129"/>
      <c r="K102" s="129"/>
      <c r="L102" s="129"/>
      <c r="M102" s="129"/>
      <c r="N102" s="129"/>
      <c r="O102" s="129"/>
      <c r="P102" s="129"/>
      <c r="Q102" s="129"/>
      <c r="R102" s="129"/>
      <c r="S102" s="129"/>
      <c r="T102" s="129"/>
      <c r="U102" s="129"/>
      <c r="V102" s="129"/>
      <c r="W102" s="129"/>
    </row>
    <row r="103" spans="1:54" outlineLevel="1" x14ac:dyDescent="0.2">
      <c r="B103" s="120" t="s">
        <v>43</v>
      </c>
      <c r="C103" s="34">
        <v>53.925647735595703</v>
      </c>
      <c r="D103" s="34">
        <v>51.626441955566406</v>
      </c>
      <c r="E103" s="34">
        <v>50.3966064453125</v>
      </c>
      <c r="F103" s="34">
        <v>52.027179718017578</v>
      </c>
      <c r="G103" s="34">
        <v>52.730838775634766</v>
      </c>
      <c r="H103" s="34">
        <v>52.947887420654297</v>
      </c>
      <c r="I103" s="34">
        <v>52.753932952880859</v>
      </c>
      <c r="J103" s="34">
        <v>52.204116821289063</v>
      </c>
      <c r="K103" s="34">
        <v>51.447921752929688</v>
      </c>
      <c r="L103" s="34">
        <v>50.924922943115234</v>
      </c>
      <c r="M103" s="34">
        <v>50.606475830078125</v>
      </c>
      <c r="N103" s="34">
        <v>50.364833831787109</v>
      </c>
      <c r="O103" s="34">
        <v>50.156021118164063</v>
      </c>
      <c r="P103" s="34">
        <v>50.163673400878906</v>
      </c>
      <c r="Q103" s="34">
        <v>50.379840850830078</v>
      </c>
      <c r="R103" s="34">
        <v>50.812530517578125</v>
      </c>
      <c r="S103" s="34">
        <v>51.357517242431641</v>
      </c>
      <c r="T103" s="34">
        <v>52.033470153808594</v>
      </c>
      <c r="U103" s="34">
        <v>52.867359161376953</v>
      </c>
      <c r="V103" s="34">
        <v>53.873332977294922</v>
      </c>
      <c r="W103" s="34">
        <v>55.063392639160156</v>
      </c>
      <c r="X103" s="34"/>
      <c r="Y103" s="34"/>
      <c r="Z103" s="34"/>
    </row>
    <row r="104" spans="1:54" s="5" customFormat="1" ht="12.75" x14ac:dyDescent="0.2">
      <c r="A104" s="26"/>
      <c r="B104" s="26" t="s">
        <v>132</v>
      </c>
      <c r="C104" s="1">
        <v>2.4089398384094238</v>
      </c>
      <c r="D104" s="1">
        <v>1.9834704399108887</v>
      </c>
      <c r="E104" s="1">
        <v>2.3767504692077637</v>
      </c>
      <c r="F104" s="1">
        <v>2.7490947246551514</v>
      </c>
      <c r="G104" s="1">
        <v>2.738361120223999</v>
      </c>
      <c r="H104" s="1">
        <v>2.8292953968048096</v>
      </c>
      <c r="I104" s="1">
        <v>2.9128596782684326</v>
      </c>
      <c r="J104" s="1">
        <v>2.991032600402832</v>
      </c>
      <c r="K104" s="1">
        <v>3.0645256042480469</v>
      </c>
      <c r="L104" s="1">
        <v>3.1386787891387939</v>
      </c>
      <c r="M104" s="1">
        <v>3.21425461769104</v>
      </c>
      <c r="N104" s="1">
        <v>3.2896692752838135</v>
      </c>
      <c r="O104" s="1">
        <v>3.3650217056274414</v>
      </c>
      <c r="P104" s="1">
        <v>3.4282968044281006</v>
      </c>
      <c r="Q104" s="1">
        <v>3.4831357002258301</v>
      </c>
      <c r="R104" s="1">
        <v>3.5305156707763672</v>
      </c>
      <c r="S104" s="1">
        <v>3.5712821483612061</v>
      </c>
      <c r="T104" s="1">
        <v>3.6061699390411377</v>
      </c>
      <c r="U104" s="99">
        <v>3.6358177661895752</v>
      </c>
      <c r="V104" s="99">
        <v>3.6608283519744873</v>
      </c>
      <c r="W104" s="99">
        <v>3.6817355155944824</v>
      </c>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row>
    <row r="105" spans="1:54" s="5" customFormat="1" ht="12.75" x14ac:dyDescent="0.2">
      <c r="B105" s="26" t="s">
        <v>185</v>
      </c>
      <c r="C105" s="1"/>
      <c r="D105" s="1"/>
      <c r="E105" s="1"/>
      <c r="F105" s="1"/>
      <c r="G105" s="1">
        <v>0</v>
      </c>
      <c r="H105" s="1">
        <v>0</v>
      </c>
      <c r="I105" s="1">
        <v>0</v>
      </c>
      <c r="J105" s="1">
        <v>0</v>
      </c>
      <c r="K105" s="1">
        <v>0</v>
      </c>
      <c r="L105" s="1">
        <v>0</v>
      </c>
      <c r="M105" s="1">
        <v>0</v>
      </c>
      <c r="N105" s="1">
        <v>0</v>
      </c>
      <c r="O105" s="1">
        <v>0</v>
      </c>
      <c r="P105" s="1">
        <v>0</v>
      </c>
      <c r="Q105" s="1">
        <v>0</v>
      </c>
      <c r="R105" s="1">
        <v>0</v>
      </c>
      <c r="S105" s="1">
        <v>0</v>
      </c>
      <c r="T105" s="1">
        <v>0</v>
      </c>
      <c r="U105" s="1">
        <v>0</v>
      </c>
      <c r="V105" s="1">
        <v>0</v>
      </c>
      <c r="W105" s="1">
        <v>0</v>
      </c>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row>
    <row r="106" spans="1:54" s="5" customFormat="1" ht="12.75" x14ac:dyDescent="0.2">
      <c r="B106" s="26"/>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row>
    <row r="107" spans="1:54" s="5" customFormat="1" ht="12.75" x14ac:dyDescent="0.2">
      <c r="B107" s="106" t="s">
        <v>294</v>
      </c>
      <c r="C107" s="37"/>
      <c r="D107" s="37"/>
      <c r="E107" s="37"/>
      <c r="F107" s="37"/>
      <c r="G107" s="37"/>
      <c r="H107" s="37"/>
      <c r="I107" s="37"/>
      <c r="J107" s="37"/>
      <c r="K107" s="37"/>
      <c r="L107" s="37"/>
      <c r="M107" s="37"/>
      <c r="N107" s="37"/>
      <c r="O107" s="37"/>
      <c r="P107" s="37"/>
      <c r="Q107" s="37"/>
      <c r="R107" s="37"/>
      <c r="S107" s="37"/>
      <c r="T107" s="37"/>
      <c r="U107" s="37"/>
      <c r="V107" s="37"/>
      <c r="W107" s="37"/>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row>
    <row r="108" spans="1:54" outlineLevel="1" x14ac:dyDescent="0.2">
      <c r="B108" s="120" t="s">
        <v>43</v>
      </c>
      <c r="C108" s="34">
        <v>53.925647735595703</v>
      </c>
      <c r="D108" s="34">
        <v>51.626441955566406</v>
      </c>
      <c r="E108" s="34">
        <v>50.3966064453125</v>
      </c>
      <c r="F108" s="34">
        <v>52.027179718017578</v>
      </c>
      <c r="G108" s="34">
        <v>52.779010772705078</v>
      </c>
      <c r="H108" s="34">
        <v>53.185359954833984</v>
      </c>
      <c r="I108" s="34">
        <v>53.323013305664063</v>
      </c>
      <c r="J108" s="34">
        <v>53.246349334716797</v>
      </c>
      <c r="K108" s="34">
        <v>52.954090118408203</v>
      </c>
      <c r="L108" s="34">
        <v>52.475807189941406</v>
      </c>
      <c r="M108" s="34">
        <v>51.846275329589844</v>
      </c>
      <c r="N108" s="34">
        <v>51.197109222412109</v>
      </c>
      <c r="O108" s="34">
        <v>50.801036834716797</v>
      </c>
      <c r="P108" s="34">
        <v>50.751556396484375</v>
      </c>
      <c r="Q108" s="34">
        <v>50.919540405273438</v>
      </c>
      <c r="R108" s="34">
        <v>51.312469482421875</v>
      </c>
      <c r="S108" s="34">
        <v>51.813549041748047</v>
      </c>
      <c r="T108" s="34">
        <v>52.447132110595703</v>
      </c>
      <c r="U108" s="34">
        <v>53.240123748779297</v>
      </c>
      <c r="V108" s="34">
        <v>54.206462860107422</v>
      </c>
      <c r="W108" s="34">
        <v>55.357940673828125</v>
      </c>
      <c r="X108" s="34"/>
      <c r="Y108" s="34"/>
      <c r="Z108" s="34"/>
    </row>
    <row r="109" spans="1:54" x14ac:dyDescent="0.2">
      <c r="B109" s="26" t="s">
        <v>132</v>
      </c>
      <c r="C109" s="1">
        <v>2.4089398384094238</v>
      </c>
      <c r="D109" s="1">
        <v>1.9834704399108887</v>
      </c>
      <c r="E109" s="1">
        <v>2.3767504692077637</v>
      </c>
      <c r="F109" s="1">
        <v>2.7490947246551514</v>
      </c>
      <c r="G109" s="1">
        <v>2.738361120223999</v>
      </c>
      <c r="H109" s="1">
        <v>2.8306419849395752</v>
      </c>
      <c r="I109" s="1">
        <v>2.9167966842651367</v>
      </c>
      <c r="J109" s="1">
        <v>2.9987335205078125</v>
      </c>
      <c r="K109" s="1">
        <v>3.0771398544311523</v>
      </c>
      <c r="L109" s="1">
        <v>3.1525537967681885</v>
      </c>
      <c r="M109" s="1">
        <v>3.2253818511962891</v>
      </c>
      <c r="N109" s="1">
        <v>3.2959249019622803</v>
      </c>
      <c r="O109" s="1">
        <v>3.3680298328399658</v>
      </c>
      <c r="P109" s="1">
        <v>3.4302549362182617</v>
      </c>
      <c r="Q109" s="1">
        <v>3.4843130111694336</v>
      </c>
      <c r="R109" s="1">
        <v>3.5311253070831299</v>
      </c>
      <c r="S109" s="1">
        <v>3.571491003036499</v>
      </c>
      <c r="T109" s="1">
        <v>3.6060774326324463</v>
      </c>
      <c r="U109" s="1">
        <v>3.6355044841766357</v>
      </c>
      <c r="V109" s="1">
        <v>3.6603598594665527</v>
      </c>
      <c r="W109" s="1">
        <v>3.6811645030975342</v>
      </c>
      <c r="X109" s="1"/>
      <c r="Y109" s="1"/>
      <c r="Z109" s="1"/>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60"/>
    </row>
    <row r="110" spans="1:54" x14ac:dyDescent="0.2">
      <c r="B110" s="26" t="s">
        <v>185</v>
      </c>
      <c r="C110" s="34"/>
      <c r="D110" s="34"/>
      <c r="E110" s="34"/>
      <c r="F110" s="34"/>
      <c r="G110" s="34">
        <v>0</v>
      </c>
      <c r="H110" s="34">
        <v>0</v>
      </c>
      <c r="I110" s="34">
        <v>0</v>
      </c>
      <c r="J110" s="34">
        <v>0</v>
      </c>
      <c r="K110" s="34">
        <v>0</v>
      </c>
      <c r="L110" s="34">
        <v>0</v>
      </c>
      <c r="M110" s="34">
        <v>0</v>
      </c>
      <c r="N110" s="34">
        <v>0</v>
      </c>
      <c r="O110" s="34">
        <v>0</v>
      </c>
      <c r="P110" s="34">
        <v>0</v>
      </c>
      <c r="Q110" s="34">
        <v>0</v>
      </c>
      <c r="R110" s="34">
        <v>0</v>
      </c>
      <c r="S110" s="34">
        <v>0</v>
      </c>
      <c r="T110" s="34">
        <v>0</v>
      </c>
      <c r="U110" s="34">
        <v>0</v>
      </c>
      <c r="V110" s="34">
        <v>0</v>
      </c>
      <c r="W110" s="34">
        <v>0</v>
      </c>
    </row>
    <row r="114" spans="5:23" x14ac:dyDescent="0.2">
      <c r="E114" s="34"/>
      <c r="F114" s="34"/>
      <c r="G114" s="121"/>
      <c r="H114" s="121"/>
      <c r="I114" s="121"/>
      <c r="J114" s="121"/>
      <c r="K114" s="121"/>
      <c r="L114" s="121"/>
      <c r="M114" s="121"/>
      <c r="N114" s="121"/>
      <c r="O114" s="121"/>
      <c r="P114" s="121"/>
      <c r="Q114" s="121"/>
      <c r="R114" s="121"/>
      <c r="S114" s="121"/>
      <c r="T114" s="121"/>
      <c r="U114" s="121"/>
      <c r="V114" s="121"/>
      <c r="W114" s="121"/>
    </row>
    <row r="115" spans="5:23" x14ac:dyDescent="0.2">
      <c r="E115" s="34"/>
      <c r="F115" s="34"/>
      <c r="G115" s="121"/>
      <c r="H115" s="121"/>
      <c r="I115" s="121"/>
      <c r="J115" s="121"/>
      <c r="K115" s="121"/>
      <c r="L115" s="121"/>
      <c r="M115" s="121"/>
      <c r="N115" s="121"/>
      <c r="O115" s="121"/>
      <c r="P115" s="121"/>
      <c r="Q115" s="121"/>
      <c r="R115" s="121"/>
      <c r="S115" s="121"/>
      <c r="T115" s="121"/>
      <c r="U115" s="121"/>
      <c r="V115" s="121"/>
      <c r="W115" s="121"/>
    </row>
    <row r="117" spans="5:23" x14ac:dyDescent="0.2">
      <c r="E117" s="34"/>
      <c r="F117" s="34"/>
      <c r="G117" s="121"/>
      <c r="H117" s="121"/>
      <c r="I117" s="121"/>
      <c r="J117" s="121"/>
      <c r="K117" s="121"/>
      <c r="L117" s="121"/>
      <c r="M117" s="121"/>
      <c r="N117" s="121"/>
      <c r="O117" s="121"/>
      <c r="P117" s="121"/>
      <c r="Q117" s="121"/>
      <c r="R117" s="121"/>
      <c r="S117" s="121"/>
      <c r="T117" s="121"/>
      <c r="U117" s="121"/>
      <c r="V117" s="121"/>
      <c r="W117" s="121"/>
    </row>
    <row r="118" spans="5:23" x14ac:dyDescent="0.2">
      <c r="E118" s="34"/>
      <c r="F118" s="34"/>
      <c r="G118" s="121"/>
      <c r="H118" s="121"/>
      <c r="I118" s="121"/>
      <c r="J118" s="121"/>
      <c r="K118" s="121"/>
      <c r="L118" s="121"/>
      <c r="M118" s="121"/>
      <c r="N118" s="121"/>
      <c r="O118" s="121"/>
      <c r="P118" s="121"/>
      <c r="Q118" s="121"/>
      <c r="R118" s="121"/>
      <c r="S118" s="121"/>
      <c r="T118" s="121"/>
      <c r="U118" s="121"/>
      <c r="V118" s="121"/>
      <c r="W118" s="121"/>
    </row>
    <row r="119" spans="5:23" x14ac:dyDescent="0.2">
      <c r="G119" s="53"/>
      <c r="H119" s="53"/>
      <c r="I119" s="53"/>
      <c r="J119" s="53"/>
      <c r="K119" s="53"/>
      <c r="L119" s="53"/>
      <c r="M119" s="53"/>
      <c r="N119" s="53"/>
      <c r="O119" s="53"/>
      <c r="P119" s="53"/>
      <c r="Q119" s="53"/>
      <c r="R119" s="53"/>
      <c r="S119" s="53"/>
      <c r="T119" s="53"/>
      <c r="U119" s="53"/>
      <c r="V119" s="53"/>
      <c r="W119" s="53"/>
    </row>
    <row r="120" spans="5:23" x14ac:dyDescent="0.2">
      <c r="E120" s="34"/>
      <c r="F120" s="34"/>
      <c r="G120" s="121"/>
      <c r="H120" s="121"/>
      <c r="I120" s="121"/>
      <c r="J120" s="121"/>
      <c r="K120" s="121"/>
      <c r="L120" s="121"/>
      <c r="M120" s="121"/>
      <c r="N120" s="121"/>
      <c r="O120" s="121"/>
      <c r="P120" s="121"/>
      <c r="Q120" s="121"/>
      <c r="R120" s="121"/>
      <c r="S120" s="121"/>
      <c r="T120" s="121"/>
      <c r="U120" s="121"/>
      <c r="V120" s="121"/>
      <c r="W120" s="121"/>
    </row>
    <row r="121" spans="5:23" x14ac:dyDescent="0.2">
      <c r="E121" s="34"/>
      <c r="F121" s="34"/>
      <c r="G121" s="121"/>
      <c r="H121" s="121"/>
      <c r="I121" s="121"/>
      <c r="J121" s="121"/>
      <c r="K121" s="121"/>
      <c r="L121" s="121"/>
      <c r="M121" s="121"/>
      <c r="N121" s="121"/>
      <c r="O121" s="121"/>
      <c r="P121" s="121"/>
      <c r="Q121" s="121"/>
      <c r="R121" s="121"/>
      <c r="S121" s="121"/>
      <c r="T121" s="121"/>
      <c r="U121" s="121"/>
      <c r="V121" s="121"/>
      <c r="W121" s="121"/>
    </row>
    <row r="122" spans="5:23" x14ac:dyDescent="0.2">
      <c r="G122" s="53"/>
      <c r="H122" s="53"/>
      <c r="I122" s="53"/>
      <c r="J122" s="53"/>
      <c r="K122" s="53"/>
      <c r="L122" s="53"/>
      <c r="M122" s="53"/>
      <c r="N122" s="53"/>
      <c r="O122" s="53"/>
      <c r="P122" s="53"/>
      <c r="Q122" s="53"/>
      <c r="R122" s="53"/>
      <c r="S122" s="53"/>
      <c r="T122" s="53"/>
      <c r="U122" s="53"/>
      <c r="V122" s="53"/>
      <c r="W122" s="53"/>
    </row>
    <row r="123" spans="5:23" x14ac:dyDescent="0.2">
      <c r="E123" s="34"/>
      <c r="F123" s="34"/>
      <c r="G123" s="121"/>
      <c r="H123" s="121"/>
      <c r="I123" s="121"/>
      <c r="J123" s="121"/>
      <c r="K123" s="121"/>
      <c r="L123" s="121"/>
      <c r="M123" s="121"/>
      <c r="N123" s="121"/>
      <c r="O123" s="121"/>
      <c r="P123" s="121"/>
      <c r="Q123" s="121"/>
      <c r="R123" s="121"/>
      <c r="S123" s="121"/>
      <c r="T123" s="121"/>
      <c r="U123" s="121"/>
      <c r="V123" s="121"/>
      <c r="W123" s="121"/>
    </row>
    <row r="124" spans="5:23" x14ac:dyDescent="0.2">
      <c r="E124" s="34"/>
      <c r="F124" s="34"/>
      <c r="G124" s="121"/>
      <c r="H124" s="121"/>
      <c r="I124" s="121"/>
      <c r="J124" s="121"/>
      <c r="K124" s="121"/>
      <c r="L124" s="121"/>
      <c r="M124" s="121"/>
      <c r="N124" s="121"/>
      <c r="O124" s="121"/>
      <c r="P124" s="121"/>
      <c r="Q124" s="121"/>
      <c r="R124" s="121"/>
      <c r="S124" s="121"/>
      <c r="T124" s="121"/>
      <c r="U124" s="121"/>
      <c r="V124" s="121"/>
      <c r="W124" s="121"/>
    </row>
    <row r="125" spans="5:23" x14ac:dyDescent="0.2">
      <c r="G125" s="121"/>
      <c r="H125" s="121"/>
      <c r="I125" s="121"/>
      <c r="J125" s="121"/>
      <c r="K125" s="121"/>
      <c r="L125" s="121"/>
      <c r="M125" s="121"/>
      <c r="N125" s="121"/>
      <c r="O125" s="121"/>
      <c r="P125" s="121"/>
      <c r="Q125" s="121"/>
      <c r="R125" s="121"/>
      <c r="S125" s="121"/>
      <c r="T125" s="121"/>
      <c r="U125" s="121"/>
      <c r="V125" s="121"/>
      <c r="W125" s="121"/>
    </row>
    <row r="126" spans="5:23" x14ac:dyDescent="0.2">
      <c r="E126" s="34"/>
      <c r="F126" s="34"/>
      <c r="G126" s="121"/>
      <c r="H126" s="121"/>
      <c r="I126" s="121"/>
      <c r="J126" s="121"/>
      <c r="K126" s="121"/>
      <c r="L126" s="121"/>
      <c r="M126" s="121"/>
      <c r="N126" s="121"/>
      <c r="O126" s="121"/>
      <c r="P126" s="121"/>
      <c r="Q126" s="121"/>
      <c r="R126" s="121"/>
      <c r="S126" s="121"/>
      <c r="T126" s="121"/>
      <c r="U126" s="121"/>
      <c r="V126" s="121"/>
      <c r="W126" s="121"/>
    </row>
    <row r="127" spans="5:23" x14ac:dyDescent="0.2">
      <c r="E127" s="34"/>
      <c r="F127" s="34"/>
      <c r="G127" s="121"/>
      <c r="H127" s="121"/>
      <c r="I127" s="121"/>
      <c r="J127" s="121"/>
      <c r="K127" s="121"/>
      <c r="L127" s="121"/>
      <c r="M127" s="121"/>
      <c r="N127" s="121"/>
      <c r="O127" s="121"/>
      <c r="P127" s="121"/>
      <c r="Q127" s="121"/>
      <c r="R127" s="121"/>
      <c r="S127" s="121"/>
      <c r="T127" s="121"/>
      <c r="U127" s="121"/>
      <c r="V127" s="121"/>
      <c r="W127" s="121"/>
    </row>
    <row r="128" spans="5:23" x14ac:dyDescent="0.2">
      <c r="G128" s="121"/>
      <c r="H128" s="121"/>
      <c r="I128" s="121"/>
      <c r="J128" s="121"/>
      <c r="K128" s="121"/>
      <c r="L128" s="121"/>
      <c r="M128" s="121"/>
      <c r="N128" s="121"/>
      <c r="O128" s="121"/>
      <c r="P128" s="121"/>
      <c r="Q128" s="121"/>
      <c r="R128" s="121"/>
      <c r="S128" s="121"/>
      <c r="T128" s="121"/>
      <c r="U128" s="121"/>
      <c r="V128" s="121"/>
      <c r="W128" s="121"/>
    </row>
    <row r="129" spans="7:23" x14ac:dyDescent="0.2">
      <c r="G129" s="121"/>
      <c r="H129" s="121"/>
      <c r="I129" s="121"/>
      <c r="J129" s="121"/>
      <c r="K129" s="121"/>
      <c r="L129" s="121"/>
      <c r="M129" s="121"/>
      <c r="N129" s="121"/>
      <c r="O129" s="121"/>
      <c r="P129" s="121"/>
      <c r="Q129" s="121"/>
      <c r="R129" s="121"/>
      <c r="S129" s="121"/>
      <c r="T129" s="121"/>
      <c r="U129" s="121"/>
      <c r="V129" s="121"/>
      <c r="W129" s="121"/>
    </row>
  </sheetData>
  <conditionalFormatting sqref="U10:W43 U45:W52 U54:W76 U78:W99 U101:W130">
    <cfRule type="expression" dxfId="19" priority="1">
      <formula>U$10&gt;$C$7</formula>
    </cfRule>
  </conditionalFormatting>
  <conditionalFormatting sqref="G12:M12">
    <cfRule type="expression" dxfId="18" priority="60">
      <formula>AND(G10&gt;$C$5,G10&lt;=$C$6)</formula>
    </cfRule>
  </conditionalFormatting>
  <conditionalFormatting sqref="K12:N12">
    <cfRule type="expression" dxfId="17" priority="62">
      <formula>K10=$C$6+1</formula>
    </cfRule>
  </conditionalFormatting>
  <conditionalFormatting sqref="L12:O12">
    <cfRule type="expression" dxfId="16" priority="65">
      <formula>L10=$C$6+2</formula>
    </cfRule>
  </conditionalFormatting>
  <pageMargins left="0.7" right="0.7" top="0.75" bottom="0.75" header="0.3" footer="0.3"/>
  <pageSetup paperSize="9" orientation="portrait" r:id="rId1"/>
  <ignoredErrors>
    <ignoredError sqref="C5 C46:C47" unlockedFormula="1"/>
  </ignoredErrors>
  <extLst>
    <ext xmlns:x14="http://schemas.microsoft.com/office/spreadsheetml/2009/9/main" uri="{78C0D931-6437-407d-A8EE-F0AAD7539E65}">
      <x14:conditionalFormattings>
        <x14:conditionalFormatting xmlns:xm="http://schemas.microsoft.com/office/excel/2006/main">
          <x14:cfRule type="expression" priority="69" id="{D31BC8EE-7345-483F-A9F0-CB3AD006CBA1}">
            <xm:f>'Criteria results'!$F$5=7</xm:f>
            <x14:dxf>
              <border>
                <left style="thin">
                  <color auto="1"/>
                </left>
                <top style="thin">
                  <color auto="1"/>
                </top>
                <bottom style="thin">
                  <color auto="1"/>
                </bottom>
                <vertical/>
                <horizontal/>
              </border>
            </x14:dxf>
          </x14:cfRule>
          <xm:sqref>N12</xm:sqref>
        </x14:conditionalFormatting>
        <x14:conditionalFormatting xmlns:xm="http://schemas.microsoft.com/office/excel/2006/main">
          <x14:cfRule type="expression" priority="76" id="{B88CB253-25A7-48C5-B892-AF3EE434A6A9}">
            <xm:f>OR('Criteria results'!#REF!=7,'Criteria results'!#REF!=10)</xm:f>
            <x14:dxf>
              <font>
                <color theme="0"/>
              </font>
            </x14:dxf>
          </x14:cfRule>
          <xm:sqref>K75:M75</xm:sqref>
        </x14:conditionalFormatting>
        <x14:conditionalFormatting xmlns:xm="http://schemas.microsoft.com/office/excel/2006/main">
          <x14:cfRule type="expression" priority="77" id="{4D283B7C-3A09-4829-8C79-6D87AFE7DCC7}">
            <xm:f>'Criteria results'!#REF!=10</xm:f>
            <x14:dxf>
              <font>
                <color theme="0"/>
              </font>
            </x14:dxf>
          </x14:cfRule>
          <xm:sqref>N75:P75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tabColor rgb="FF92D050"/>
  </sheetPr>
  <dimension ref="A1:BB132"/>
  <sheetViews>
    <sheetView zoomScaleNormal="100" workbookViewId="0"/>
  </sheetViews>
  <sheetFormatPr defaultColWidth="9.28515625" defaultRowHeight="11.25" outlineLevelRow="1" x14ac:dyDescent="0.2"/>
  <cols>
    <col min="1" max="1" width="9.28515625" style="26" customWidth="1"/>
    <col min="2" max="2" width="56"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MT</v>
      </c>
    </row>
    <row r="4" spans="1:51" x14ac:dyDescent="0.2">
      <c r="B4" s="64" t="s">
        <v>38</v>
      </c>
      <c r="C4" s="21"/>
    </row>
    <row r="5" spans="1:51" x14ac:dyDescent="0.2">
      <c r="A5" s="29"/>
      <c r="B5" s="22" t="str">
        <f>'Input data'!B5</f>
        <v>Last year before the adjustment</v>
      </c>
      <c r="C5" s="23">
        <f>+'Input data'!C5</f>
        <v>2024</v>
      </c>
    </row>
    <row r="6" spans="1:51" x14ac:dyDescent="0.2">
      <c r="A6" s="29"/>
      <c r="B6" s="65" t="s">
        <v>44</v>
      </c>
      <c r="C6" s="23">
        <f>+C5+'Criteria results'!F5</f>
        <v>2028</v>
      </c>
      <c r="E6" s="43"/>
      <c r="F6" s="29"/>
    </row>
    <row r="7" spans="1:51" x14ac:dyDescent="0.2">
      <c r="A7" s="29"/>
      <c r="B7" s="24" t="s">
        <v>39</v>
      </c>
      <c r="C7" s="66">
        <f>C5+'Criteria results'!F5+10</f>
        <v>2038</v>
      </c>
      <c r="E7" s="43"/>
      <c r="F7" s="29"/>
    </row>
    <row r="8" spans="1:51" x14ac:dyDescent="0.2">
      <c r="A8" s="29"/>
      <c r="C8" s="29"/>
      <c r="E8" s="43"/>
      <c r="F8" s="29"/>
    </row>
    <row r="9" spans="1:51" s="67"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-5.6509479999999996</v>
      </c>
      <c r="D12" s="2">
        <f>'Input data'!D13</f>
        <v>-4.3552039999999996</v>
      </c>
      <c r="E12" s="2">
        <f>'Input data'!E13</f>
        <v>-3.790994</v>
      </c>
      <c r="F12" s="2">
        <f>'Input data'!F13</f>
        <v>-2.897243</v>
      </c>
      <c r="G12" s="3">
        <f>'Adjust. no safeguard'!G12</f>
        <v>-2.4572430000000001</v>
      </c>
      <c r="H12" s="3">
        <f>'Adjust. no safeguard'!H12</f>
        <v>-2.0172430000000001</v>
      </c>
      <c r="I12" s="3">
        <f>'Adjust. no safeguard'!I12</f>
        <v>-1.5772430000000002</v>
      </c>
      <c r="J12" s="3">
        <f>'Adjust. no safeguard'!J12</f>
        <v>-1.1372430000000002</v>
      </c>
      <c r="K12" s="119">
        <f>'Adjust. no safeguard'!K12</f>
        <v>-1.1372430000000002</v>
      </c>
      <c r="L12" s="119">
        <f>'Adjust. no safeguard'!L12</f>
        <v>-1.1372430000000002</v>
      </c>
      <c r="M12" s="119">
        <f>'Adjust. no safeguard'!M12</f>
        <v>-1.1372430000000002</v>
      </c>
      <c r="N12" s="119">
        <f>IF(N10&lt;=$C$6,M12+'Criteria results'!$F$6,M12)</f>
        <v>-1.1372430000000002</v>
      </c>
      <c r="O12" s="119">
        <f>IF(O10&lt;=$C$6,N12+'Criteria results'!$F$6,N12)</f>
        <v>-1.1372430000000002</v>
      </c>
      <c r="P12" s="119">
        <f>IF(P10&lt;=$C$6,O12+'Criteria results'!$F$6,O12)</f>
        <v>-1.1372430000000002</v>
      </c>
      <c r="Q12" s="119">
        <f>IF(Q10&lt;=$C$6,P12+'Criteria results'!$F$6,P12)</f>
        <v>-1.1372430000000002</v>
      </c>
      <c r="R12" s="119">
        <f>IF(R10&lt;=$C$6,Q12+'Criteria results'!$F$6,Q12)</f>
        <v>-1.1372430000000002</v>
      </c>
      <c r="S12" s="119">
        <f>IF(S10&lt;=$C$6,R12+'Criteria results'!$F$6,R12)</f>
        <v>-1.1372430000000002</v>
      </c>
      <c r="T12" s="119">
        <f>IF(T10&lt;=$C$6,S12+'Criteria results'!$F$6,S12)</f>
        <v>-1.1372430000000002</v>
      </c>
      <c r="U12" s="119">
        <f>IF(U10&lt;=$C$6,T12+'Criteria results'!$F$6,T12)</f>
        <v>-1.1372430000000002</v>
      </c>
      <c r="V12" s="119">
        <f>IF(V10&lt;=$C$6,U12+'Criteria results'!$F$6,U12)</f>
        <v>-1.1372430000000002</v>
      </c>
      <c r="W12" s="119">
        <f>IF(W10&lt;=$C$6,V12+'Criteria results'!$F$6,V12)</f>
        <v>-1.1372430000000002</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26" t="s">
        <v>49</v>
      </c>
      <c r="C13" s="1">
        <f>'Input data'!C14</f>
        <v>0</v>
      </c>
      <c r="D13" s="2">
        <f>'Input data'!D14</f>
        <v>0</v>
      </c>
      <c r="E13" s="2">
        <f>'Input data'!E14</f>
        <v>0</v>
      </c>
      <c r="F13" s="2">
        <f>'Input data'!F14</f>
        <v>0</v>
      </c>
      <c r="G13" s="2">
        <f>'Input data'!G14</f>
        <v>0</v>
      </c>
      <c r="H13" s="2">
        <f>0</f>
        <v>0</v>
      </c>
      <c r="I13" s="2">
        <f>0</f>
        <v>0</v>
      </c>
      <c r="J13" s="2">
        <f>0</f>
        <v>0</v>
      </c>
      <c r="K13" s="2">
        <f>0</f>
        <v>0</v>
      </c>
      <c r="L13" s="2">
        <f>0</f>
        <v>0</v>
      </c>
      <c r="M13" s="2">
        <f>0</f>
        <v>0</v>
      </c>
      <c r="N13" s="2">
        <f>0</f>
        <v>0</v>
      </c>
      <c r="O13" s="2">
        <f>0</f>
        <v>0</v>
      </c>
      <c r="P13" s="2">
        <f>0</f>
        <v>0</v>
      </c>
      <c r="Q13" s="2">
        <f>0</f>
        <v>0</v>
      </c>
      <c r="R13" s="2">
        <f>0</f>
        <v>0</v>
      </c>
      <c r="S13" s="2">
        <f>0</f>
        <v>0</v>
      </c>
      <c r="T13" s="2">
        <f>0</f>
        <v>0</v>
      </c>
      <c r="U13" s="2">
        <f>0</f>
        <v>0</v>
      </c>
      <c r="V13" s="2">
        <f>0</f>
        <v>0</v>
      </c>
      <c r="W13" s="2">
        <f>0</f>
        <v>0</v>
      </c>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60"/>
    </row>
    <row r="14" spans="1:51" x14ac:dyDescent="0.2">
      <c r="B14" s="26" t="s">
        <v>87</v>
      </c>
      <c r="C14" s="1">
        <f>'Input data'!C15</f>
        <v>0.80446119999999999</v>
      </c>
      <c r="D14" s="2">
        <f>'Input data'!D15</f>
        <v>-1.3102750000000001</v>
      </c>
      <c r="E14" s="2">
        <f>'Input data'!E15</f>
        <v>-0.94044729999999999</v>
      </c>
      <c r="F14" s="2">
        <f>'Input data'!F15</f>
        <v>1.1851970000000001</v>
      </c>
      <c r="G14" s="2">
        <f>'Input data'!G15</f>
        <v>6.6727599999999998E-2</v>
      </c>
      <c r="H14" s="2">
        <f>'Input data'!H15</f>
        <v>0</v>
      </c>
      <c r="I14" s="2">
        <f>'Input data'!I15</f>
        <v>0</v>
      </c>
      <c r="J14" s="2">
        <f>'Input data'!J15</f>
        <v>0</v>
      </c>
      <c r="K14" s="2">
        <f>'Input data'!K15</f>
        <v>0</v>
      </c>
      <c r="L14" s="2">
        <f>'Input data'!L15</f>
        <v>0</v>
      </c>
      <c r="M14" s="2">
        <f>'Input data'!M15</f>
        <v>0</v>
      </c>
      <c r="N14" s="2">
        <f>'Input data'!N15</f>
        <v>0</v>
      </c>
      <c r="O14" s="2">
        <f>'Input data'!O15</f>
        <v>0</v>
      </c>
      <c r="P14" s="2">
        <f>'Input data'!P15</f>
        <v>0</v>
      </c>
      <c r="Q14" s="2">
        <f>'Input data'!Q15</f>
        <v>0</v>
      </c>
      <c r="R14" s="2">
        <f>'Input data'!R15</f>
        <v>0</v>
      </c>
      <c r="S14" s="2">
        <f>'Input data'!S15</f>
        <v>0</v>
      </c>
      <c r="T14" s="2">
        <f>'Input data'!T15</f>
        <v>0</v>
      </c>
      <c r="U14" s="2">
        <f>'Input data'!U15</f>
        <v>0</v>
      </c>
      <c r="V14" s="2">
        <f>'Input data'!V15</f>
        <v>0</v>
      </c>
      <c r="W14" s="2">
        <f>'Input data'!W15</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1" ht="11.25" customHeight="1" x14ac:dyDescent="0.2">
      <c r="B16" s="30"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4" x14ac:dyDescent="0.2">
      <c r="A17" s="61"/>
      <c r="B17" s="26" t="s">
        <v>52</v>
      </c>
      <c r="C17" s="101">
        <f>'Input data'!C20</f>
        <v>0</v>
      </c>
      <c r="D17" s="101">
        <f>'Input data'!D20</f>
        <v>16.93779</v>
      </c>
      <c r="E17" s="101">
        <f>'Input data'!E20</f>
        <v>16.704159999999998</v>
      </c>
      <c r="F17" s="101">
        <f>'Input data'!F20</f>
        <v>16.665520000000001</v>
      </c>
      <c r="G17" s="101">
        <f>'Input data'!G20</f>
        <v>16.600960000000001</v>
      </c>
      <c r="H17" s="101">
        <f>'Input data'!H20</f>
        <v>16.335190000000001</v>
      </c>
      <c r="I17" s="101">
        <f>'Input data'!I20</f>
        <v>16.23882</v>
      </c>
      <c r="J17" s="101">
        <f>'Input data'!J20</f>
        <v>16.156209999999998</v>
      </c>
      <c r="K17" s="101">
        <f>'Input data'!K20</f>
        <v>16.094360000000002</v>
      </c>
      <c r="L17" s="101">
        <f>'Input data'!L20</f>
        <v>16.035070000000001</v>
      </c>
      <c r="M17" s="101">
        <f>'Input data'!M20</f>
        <v>15.982539999999998</v>
      </c>
      <c r="N17" s="101">
        <f>'Input data'!N20</f>
        <v>15.940760000000001</v>
      </c>
      <c r="O17" s="101">
        <f>'Input data'!O20</f>
        <v>15.91657</v>
      </c>
      <c r="P17" s="101">
        <f>'Input data'!P20</f>
        <v>15.907859999999999</v>
      </c>
      <c r="Q17" s="101">
        <f>'Input data'!Q20</f>
        <v>15.914770000000001</v>
      </c>
      <c r="R17" s="101">
        <f>'Input data'!R20</f>
        <v>15.935979999999999</v>
      </c>
      <c r="S17" s="101">
        <f>'Input data'!S20</f>
        <v>15.96696</v>
      </c>
      <c r="T17" s="101">
        <f>'Input data'!T20</f>
        <v>16.00554</v>
      </c>
      <c r="U17" s="101">
        <f>'Input data'!U20</f>
        <v>16.059809999999999</v>
      </c>
      <c r="V17" s="101">
        <f>'Input data'!V20</f>
        <v>16.1328</v>
      </c>
      <c r="W17" s="101">
        <f>'Input data'!W20</f>
        <v>16.22383</v>
      </c>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4" x14ac:dyDescent="0.2">
      <c r="A18" s="61"/>
      <c r="B18" s="26" t="s">
        <v>58</v>
      </c>
      <c r="C18" s="101">
        <f>'Input data'!C26</f>
        <v>0.52142140000000003</v>
      </c>
      <c r="D18" s="101">
        <f>'Input data'!D26</f>
        <v>0.43654569999999998</v>
      </c>
      <c r="E18" s="101">
        <f>'Input data'!E26</f>
        <v>0.43370209999999998</v>
      </c>
      <c r="F18" s="101">
        <f>'Input data'!F26</f>
        <v>0.43085859999999998</v>
      </c>
      <c r="G18" s="101">
        <f>'Input data'!G26</f>
        <v>0.42801499999999998</v>
      </c>
      <c r="H18" s="101">
        <f>'Input data'!H26</f>
        <v>0.42517149999999998</v>
      </c>
      <c r="I18" s="101">
        <f>'Input data'!I26</f>
        <v>0.42232789999999998</v>
      </c>
      <c r="J18" s="101">
        <f>'Input data'!J26</f>
        <v>0.41948429999999998</v>
      </c>
      <c r="K18" s="101">
        <f>'Input data'!K26</f>
        <v>0.41664079999999998</v>
      </c>
      <c r="L18" s="101">
        <f>'Input data'!L26</f>
        <v>0.41379729999999998</v>
      </c>
      <c r="M18" s="101">
        <f>'Input data'!M26</f>
        <v>0.41095369999999998</v>
      </c>
      <c r="N18" s="101">
        <f>'Input data'!N26</f>
        <v>0.40811009999999998</v>
      </c>
      <c r="O18" s="101">
        <f>'Input data'!O26</f>
        <v>0.40526659999999998</v>
      </c>
      <c r="P18" s="101">
        <f>'Input data'!P26</f>
        <v>0.40242309999999998</v>
      </c>
      <c r="Q18" s="101">
        <f>'Input data'!Q26</f>
        <v>0.39957949999999998</v>
      </c>
      <c r="R18" s="101">
        <f>'Input data'!R26</f>
        <v>0.39673599999999998</v>
      </c>
      <c r="S18" s="101">
        <f>'Input data'!S26</f>
        <v>0.39389239999999998</v>
      </c>
      <c r="T18" s="101">
        <f>'Input data'!T26</f>
        <v>0.39104889999999998</v>
      </c>
      <c r="U18" s="101">
        <f>'Input data'!U26</f>
        <v>0.38820529999999998</v>
      </c>
      <c r="V18" s="101">
        <f>'Input data'!V26</f>
        <v>0.38536179999999998</v>
      </c>
      <c r="W18" s="101">
        <f>'Input data'!W26</f>
        <v>0.38251829999999998</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4" x14ac:dyDescent="0.2">
      <c r="K19" s="38"/>
      <c r="L19" s="38"/>
      <c r="M19" s="38"/>
    </row>
    <row r="20" spans="1:54" x14ac:dyDescent="0.2">
      <c r="B20" s="28" t="s">
        <v>88</v>
      </c>
      <c r="K20" s="38"/>
      <c r="L20" s="38"/>
      <c r="M20" s="38"/>
    </row>
    <row r="21" spans="1:54" ht="10.5" customHeight="1" x14ac:dyDescent="0.2">
      <c r="B21" s="30" t="s">
        <v>89</v>
      </c>
    </row>
    <row r="22" spans="1:54" x14ac:dyDescent="0.2">
      <c r="B22" s="26" t="s">
        <v>61</v>
      </c>
      <c r="C22" s="34">
        <f>'Input data'!C31</f>
        <v>13.624549999999999</v>
      </c>
      <c r="D22" s="100">
        <f>IF(AND(D50&gt;1,C50&gt;1),IF(AND(D50&gt;0,C50&gt;0),D27*(D51/100+1),0)+IF(D50&gt;0,C22*(1+D52/100),0)-C22*(1+'Input data'!D30/100),IF(D50=1,D27,C22*(1+D52/100)))</f>
        <v>14.724809936189498</v>
      </c>
      <c r="E22" s="100">
        <f>IF(AND(E50&gt;1,D50&gt;1),IF(AND(E50&gt;0,D50&gt;0),E27*(E51/100+1),0)+IF(E50&gt;0,D22*(1+E52/100),0)-D22*(1+'Input data'!E30/100),IF(E50=1,E27,D22*(1+E52/100)))</f>
        <v>15.551449869647822</v>
      </c>
      <c r="F22" s="100">
        <f>IF(AND(F50&gt;1,E50&gt;1),IF(AND(F50&gt;0,E50&gt;0),F27*(F51/100+1),0)+IF(F50&gt;0,E22*(1+F52/100),0)-E22*(1+'Input data'!F30/100),IF(F50=1,F27,E22*(1+F52/100)))</f>
        <v>16.262505701747756</v>
      </c>
      <c r="G22" s="34">
        <f>IF(AND(G50&gt;1,F50&gt;1),IF(AND(G50&gt;0,F50&gt;0),G27*(G51/100+1),0)+IF(G50&gt;0,F22*(1+G52/100),0)-F22*(1+'Input data'!G30/100),IF(G50=1,G27,F22*(1+G52/100)))</f>
        <v>16.996790033942958</v>
      </c>
      <c r="H22" s="34">
        <f>IF(AND(H50&gt;1,G50&gt;1),IF(AND(H50&gt;0,G50&gt;0),H27*(H51/100+1),0)+IF(H50&gt;0,G22*(1+H52/100),0)-G22*(1+'Input data'!H30/100),IF(H50=1,H27,G22*(1+H52/100)))</f>
        <v>17.776595599559172</v>
      </c>
      <c r="I22" s="34">
        <f>IF(AND(I50&gt;1,H50&gt;1),IF(AND(I50&gt;0,H50&gt;0),I27*(I51/100+1),0)+IF(I50&gt;0,H22*(1+I52/100),0)-H22*(1+'Input data'!I30/100),IF(I50=1,I27,H22*(1+I52/100)))</f>
        <v>18.602881894438362</v>
      </c>
      <c r="J22" s="34">
        <f>IF(AND(J50&gt;1,I50&gt;1),IF(AND(J50&gt;0,I50&gt;0),J27*(J51/100+1),0)+IF(J50&gt;0,I22*(1+J52/100),0)-I22*(1+'Input data'!J30/100),IF(J50=1,J27,I22*(1+J52/100)))</f>
        <v>19.459573557963992</v>
      </c>
      <c r="K22" s="4">
        <f>IF(AND(K50&gt;1,J50&gt;1),IF(AND(K50&gt;0,J50&gt;0),K27*(K51/100+1),0)+IF(K50&gt;0,J22*(1+K52/100),0)-J22*(1+'Adverse (r-g)'!K24/100),IF(K50=1,K27,J22*(1+K52/100)))</f>
        <v>20.315865643680212</v>
      </c>
      <c r="L22" s="4">
        <f>IF(AND(L50&gt;1,K50&gt;1),IF(AND(L50&gt;0,K50&gt;0),L27*(L51/100+1),0)+IF(L50&gt;0,K22*(1+L52/100),0)-K22*(1+'Adverse (r-g)'!L24/100),IF(L50=1,L27,K22*(1+L52/100)))</f>
        <v>21.190524523995556</v>
      </c>
      <c r="M22" s="4">
        <f>IF(AND(M50&gt;1,L50&gt;1),IF(AND(M50&gt;0,L50&gt;0),M27*(M51/100+1),0)+IF(M50&gt;0,L22*(1+M52/100),0)-L22*(1+'Adverse (r-g)'!M24/100),IF(M50=1,M27,L22*(1+M52/100)))</f>
        <v>22.069497832043851</v>
      </c>
      <c r="N22" s="4">
        <f>IF(AND(N50&gt;1,M50&gt;1),IF(AND(N50&gt;0,M50&gt;0),N27*(N51/100+1),0)+IF(N50&gt;0,M22*(1+N52/100),0)-M22*(1+'Adverse (r-g)'!N24/100),IF(N50=1,N27,M22*(1+N52/100)))</f>
        <v>22.879476872132066</v>
      </c>
      <c r="O22" s="4">
        <f>IF(AND(O50&gt;1,N50&gt;1),IF(AND(O50&gt;0,N50&gt;0),O27*(O51/100+1),0)+IF(O50&gt;0,N22*(1+O52/100),0)-N22*(1+'Adverse (r-g)'!O24/100),IF(O50=1,O27,N22*(1+O52/100)))</f>
        <v>23.706781367425936</v>
      </c>
      <c r="P22" s="4">
        <f>IF(AND(P50&gt;1,O50&gt;1),IF(AND(P50&gt;0,O50&gt;0),P27*(P51/100+1),0)+IF(P50&gt;0,O22*(1+P52/100),0)-O22*(1+'Adverse (r-g)'!P24/100),IF(P50=1,P27,O22*(1+P52/100)))</f>
        <v>24.483587636255535</v>
      </c>
      <c r="Q22" s="4">
        <f>IF(AND(Q50&gt;1,P50&gt;1),IF(AND(Q50&gt;0,P50&gt;0),Q27*(Q51/100+1),0)+IF(Q50&gt;0,P22*(1+Q52/100),0)-P22*(1+'Adverse (r-g)'!Q24/100),IF(Q50=1,Q27,P22*(1+Q52/100)))</f>
        <v>25.202799388803324</v>
      </c>
      <c r="R22" s="4">
        <f>IF(AND(R50&gt;1,Q50&gt;1),IF(AND(R50&gt;0,Q50&gt;0),R27*(R51/100+1),0)+IF(R50&gt;0,Q22*(1+R52/100),0)-Q22*(1+'Adverse (r-g)'!R24/100),IF(R50=1,R27,Q22*(1+R52/100)))</f>
        <v>25.857651790218405</v>
      </c>
      <c r="S22" s="4">
        <f>IF(AND(S50&gt;1,R50&gt;1),IF(AND(S50&gt;0,R50&gt;0),S27*(S51/100+1),0)+IF(S50&gt;0,R22*(1+S52/100),0)-R22*(1+'Adverse (r-g)'!S24/100),IF(S50=1,S27,R22*(1+S52/100)))</f>
        <v>26.500583425896377</v>
      </c>
      <c r="T22" s="4">
        <f>IF(AND(T50&gt;1,S50&gt;1),IF(AND(T50&gt;0,S50&gt;0),T27*(T51/100+1),0)+IF(T50&gt;0,S22*(1+T52/100),0)-S22*(1+'Adverse (r-g)'!T24/100),IF(T50=1,T27,S22*(1+T52/100)))</f>
        <v>27.122233051877718</v>
      </c>
      <c r="U22" s="4">
        <f>IF(AND(U50&gt;1,T50&gt;1),IF(AND(U50&gt;0,T50&gt;0),U27*(U51/100+1),0)+IF(U50&gt;0,T22*(1+U52/100),0)-T22*(1+'Adverse (r-g)'!U24/100),IF(U50=1,U27,T22*(1+U52/100)))</f>
        <v>27.713081677353635</v>
      </c>
      <c r="V22" s="4">
        <f>IF(AND(V50&gt;1,U50&gt;1),IF(AND(V50&gt;0,U50&gt;0),V27*(V51/100+1),0)+IF(V50&gt;0,U22*(1+V52/100),0)-U22*(1+'Adverse (r-g)'!V24/100),IF(V50=1,V27,U22*(1+V52/100)))</f>
        <v>28.272393188643953</v>
      </c>
      <c r="W22" s="4">
        <f>IF(AND(W50&gt;1,V50&gt;1),IF(AND(W50&gt;0,V50&gt;0),W27*(W51/100+1),0)+IF(W50&gt;0,V22*(1+W52/100),0)-V22*(1+'Adverse (r-g)'!W24/100),IF(W50=1,W27,V22*(1+W52/100)))</f>
        <v>28.800927202250083</v>
      </c>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row>
    <row r="23" spans="1:54" x14ac:dyDescent="0.2">
      <c r="A23" s="61"/>
      <c r="B23" s="62" t="s">
        <v>145</v>
      </c>
      <c r="C23" s="34">
        <f>+'Input data'!C30</f>
        <v>12.513949999999999</v>
      </c>
      <c r="D23" s="100">
        <f>100*(D22/C22-1)</f>
        <v>8.0755689999999944</v>
      </c>
      <c r="E23" s="100">
        <f t="shared" ref="E23:T23" si="0">100*(E22/D22-1)</f>
        <v>5.6139259999999913</v>
      </c>
      <c r="F23" s="100">
        <f t="shared" si="0"/>
        <v>4.5722800000000063</v>
      </c>
      <c r="G23" s="34">
        <f t="shared" si="0"/>
        <v>4.515197999999998</v>
      </c>
      <c r="H23" s="34">
        <f t="shared" si="0"/>
        <v>4.5879578676851773</v>
      </c>
      <c r="I23" s="34">
        <f t="shared" si="0"/>
        <v>4.6481695004620516</v>
      </c>
      <c r="J23" s="34">
        <f t="shared" si="0"/>
        <v>4.6051556333416954</v>
      </c>
      <c r="K23" s="4">
        <f>100*(K22/J22-1)</f>
        <v>4.4003640838561786</v>
      </c>
      <c r="L23" s="4">
        <f>100*(L22/K22-1)</f>
        <v>4.3052995902610247</v>
      </c>
      <c r="M23" s="4">
        <f t="shared" si="0"/>
        <v>4.1479544645200761</v>
      </c>
      <c r="N23" s="4">
        <f t="shared" si="0"/>
        <v>3.6701290000000109</v>
      </c>
      <c r="O23" s="4">
        <f t="shared" si="0"/>
        <v>3.6159239999999926</v>
      </c>
      <c r="P23" s="4">
        <f t="shared" si="0"/>
        <v>3.2767259999999965</v>
      </c>
      <c r="Q23" s="4">
        <f t="shared" si="0"/>
        <v>2.9375259999999903</v>
      </c>
      <c r="R23" s="4">
        <f t="shared" si="0"/>
        <v>2.5983319999999921</v>
      </c>
      <c r="S23" s="4">
        <f t="shared" si="0"/>
        <v>2.4864269999999911</v>
      </c>
      <c r="T23" s="4">
        <f t="shared" si="0"/>
        <v>2.345796</v>
      </c>
      <c r="U23" s="4">
        <f t="shared" ref="U23" si="1">100*(U22/T22-1)</f>
        <v>2.1784660000000011</v>
      </c>
      <c r="V23" s="4">
        <f t="shared" ref="V23" si="2">100*(V22/U22-1)</f>
        <v>2.0182219999999917</v>
      </c>
      <c r="W23" s="4">
        <f t="shared" ref="W23" si="3">100*(W22/V22-1)</f>
        <v>1.8694350000000082</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4" s="5" customFormat="1" ht="10.15" customHeight="1" x14ac:dyDescent="0.2">
      <c r="B24" s="32" t="s">
        <v>146</v>
      </c>
      <c r="C24" s="34"/>
      <c r="D24" s="34"/>
      <c r="E24" s="34"/>
      <c r="F24" s="34"/>
      <c r="G24" s="34"/>
      <c r="H24" s="34"/>
      <c r="I24" s="34"/>
      <c r="J24" s="34"/>
      <c r="K24" s="4">
        <f>IF('Criteria results'!$F$5=4,'Input data'!K30-0.5,'Input data'!K30)</f>
        <v>4.0981800000000002</v>
      </c>
      <c r="L24" s="4">
        <f>IF('Criteria results'!$F$5=4,'Input data'!L30-0.5,'Input data'!L30)</f>
        <v>4.0042590000000002</v>
      </c>
      <c r="M24" s="4">
        <f>IF('Criteria results'!$F$5=4,'Input data'!M30-0.5,'Input data'!M30)</f>
        <v>3.8482380000000003</v>
      </c>
      <c r="N24" s="4">
        <f>'Input data'!N30-0.5</f>
        <v>3.6701290000000002</v>
      </c>
      <c r="O24" s="4">
        <f>'Input data'!O30-0.5</f>
        <v>3.6159239999999997</v>
      </c>
      <c r="P24" s="4">
        <f>'Input data'!P30-0.5</f>
        <v>3.276726</v>
      </c>
      <c r="Q24" s="4">
        <f>'Input data'!Q30-0.5</f>
        <v>2.9375260000000001</v>
      </c>
      <c r="R24" s="4">
        <f>'Input data'!R30-0.5</f>
        <v>2.5983320000000001</v>
      </c>
      <c r="S24" s="4">
        <f>'Input data'!S30-0.5</f>
        <v>2.4864269999999999</v>
      </c>
      <c r="T24" s="4">
        <f>'Input data'!T30-0.5</f>
        <v>2.345796</v>
      </c>
      <c r="U24" s="4">
        <f>'Input data'!U30-0.5</f>
        <v>2.1784659999999998</v>
      </c>
      <c r="V24" s="4">
        <f>'Input data'!V30-0.5</f>
        <v>2.0182220000000002</v>
      </c>
      <c r="W24" s="4">
        <f>'Input data'!W30-0.5</f>
        <v>1.8694350000000002</v>
      </c>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row>
    <row r="25" spans="1:54" s="5" customFormat="1" ht="10.15" customHeight="1" x14ac:dyDescent="0.2">
      <c r="B25" s="32"/>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row>
    <row r="26" spans="1:54" x14ac:dyDescent="0.2">
      <c r="B26" s="30" t="s">
        <v>147</v>
      </c>
    </row>
    <row r="27" spans="1:54" x14ac:dyDescent="0.2">
      <c r="B27" s="26" t="s">
        <v>61</v>
      </c>
      <c r="C27" s="34">
        <f>'Input data'!C34</f>
        <v>13.87421</v>
      </c>
      <c r="D27" s="100">
        <f>+C27*(1+'Input data'!D33/100)</f>
        <v>14.7986955071298</v>
      </c>
      <c r="E27" s="100">
        <f>+D27*(1+'Input data'!E33/100)</f>
        <v>15.554359963927773</v>
      </c>
      <c r="F27" s="100">
        <f>+E27*(1+'Input data'!F33/100)</f>
        <v>16.319408002671945</v>
      </c>
      <c r="G27" s="34">
        <f>+F27*(1+'Input data'!G33/100)</f>
        <v>17.114010422743164</v>
      </c>
      <c r="H27" s="34">
        <f>+G27*(1+'Input data'!H33/100)</f>
        <v>17.914487112768004</v>
      </c>
      <c r="I27" s="34">
        <f>+H27*(1+'Input data'!I33/100)</f>
        <v>18.757799770040062</v>
      </c>
      <c r="J27" s="34">
        <f>+I27*(1+'Input data'!J33/100)</f>
        <v>19.629038606509173</v>
      </c>
      <c r="K27" s="4">
        <f>IF('Criteria results'!$F$5=4,J27*(1+'Input data'!K33/100-0.005),J27*(1+'Input data'!K33/100))</f>
        <v>20.433472333454183</v>
      </c>
      <c r="L27" s="4">
        <f>IF('Criteria results'!$F$5=4,K27*(1+'Input data'!L33/100-0.005),K27*(1+'Input data'!L33/100))</f>
        <v>21.25168251005265</v>
      </c>
      <c r="M27" s="4">
        <f>IF('Criteria results'!$F$5=4,L27*(1+'Input data'!M33/100-0.005),L27*(1+'Input data'!M33/100))</f>
        <v>22.069497832043851</v>
      </c>
      <c r="N27" s="4">
        <f>+M27*(1+'Input data'!N33/100-0.005)</f>
        <v>22.879475989352152</v>
      </c>
      <c r="O27" s="4">
        <f>+N27*(1+'Input data'!O33/100-0.005)</f>
        <v>23.706779995135854</v>
      </c>
      <c r="P27" s="4">
        <f>+O27*(1+'Input data'!P33/100-0.005)</f>
        <v>24.483585744863671</v>
      </c>
      <c r="Q27" s="4">
        <f>+P27*(1+'Input data'!Q33/100-0.005)</f>
        <v>25.202797441851338</v>
      </c>
      <c r="R27" s="4">
        <f>+Q27*(1+'Input data'!R33/100-0.005)</f>
        <v>25.857649036594221</v>
      </c>
      <c r="S27" s="4">
        <f>+R27*(1+'Input data'!S33/100-0.005)</f>
        <v>26.500579828075871</v>
      </c>
      <c r="T27" s="4">
        <f>+S27*(1+'Input data'!T33/100-0.005)</f>
        <v>27.122229634665484</v>
      </c>
      <c r="U27" s="4">
        <f>+T27*(1+'Input data'!U33/100-0.005)</f>
        <v>27.713078728143191</v>
      </c>
      <c r="V27" s="4">
        <f>+U27*(1+'Input data'!V33/100-0.005)</f>
        <v>28.272391011304265</v>
      </c>
      <c r="W27" s="4">
        <f>+V27*(1+'Input data'!W33/100-0.005)</f>
        <v>28.800925549654266</v>
      </c>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4" ht="5.25" customHeight="1" x14ac:dyDescent="0.2">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4" x14ac:dyDescent="0.2">
      <c r="B29" s="30" t="s">
        <v>91</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4" x14ac:dyDescent="0.2">
      <c r="B30" s="26" t="s">
        <v>91</v>
      </c>
      <c r="C30" s="34">
        <f t="shared" ref="C30:W30" si="4">100*(C22/C27-1)</f>
        <v>-1.7994538067392707</v>
      </c>
      <c r="D30" s="100">
        <f t="shared" si="4"/>
        <v>-0.49927083711334141</v>
      </c>
      <c r="E30" s="100">
        <f t="shared" si="4"/>
        <v>-1.8709186920573551E-2</v>
      </c>
      <c r="F30" s="100">
        <f t="shared" si="4"/>
        <v>-0.34867870767660847</v>
      </c>
      <c r="G30" s="34">
        <f t="shared" si="4"/>
        <v>-0.68493816413964792</v>
      </c>
      <c r="H30" s="34">
        <f t="shared" si="4"/>
        <v>-0.76972068661990134</v>
      </c>
      <c r="I30" s="34">
        <f t="shared" si="4"/>
        <v>-0.82588511179831903</v>
      </c>
      <c r="J30" s="34">
        <f t="shared" si="4"/>
        <v>-0.86333850547822832</v>
      </c>
      <c r="K30" s="34">
        <f t="shared" si="4"/>
        <v>-0.57555900365217072</v>
      </c>
      <c r="L30" s="34">
        <f t="shared" si="4"/>
        <v>-0.28777950182610201</v>
      </c>
      <c r="M30" s="34">
        <f t="shared" si="4"/>
        <v>0</v>
      </c>
      <c r="N30" s="34">
        <f t="shared" si="4"/>
        <v>3.858392183531123E-6</v>
      </c>
      <c r="O30" s="34">
        <f t="shared" si="4"/>
        <v>5.7885975346394503E-6</v>
      </c>
      <c r="P30" s="34">
        <f t="shared" si="4"/>
        <v>7.7251424146496106E-6</v>
      </c>
      <c r="Q30" s="34">
        <f t="shared" si="4"/>
        <v>7.7251423702406896E-6</v>
      </c>
      <c r="R30" s="34">
        <f t="shared" si="4"/>
        <v>1.0649166837239932E-5</v>
      </c>
      <c r="S30" s="34">
        <f t="shared" si="4"/>
        <v>1.3576384105817851E-5</v>
      </c>
      <c r="T30" s="34">
        <f t="shared" si="4"/>
        <v>1.259930426655842E-5</v>
      </c>
      <c r="U30" s="34">
        <f t="shared" si="4"/>
        <v>1.0641944458988917E-5</v>
      </c>
      <c r="V30" s="34">
        <f t="shared" si="4"/>
        <v>7.7012930699282833E-6</v>
      </c>
      <c r="W30" s="34">
        <f t="shared" si="4"/>
        <v>5.737995523169559E-6</v>
      </c>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4" ht="5.25" customHeight="1" x14ac:dyDescent="0.2">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4" x14ac:dyDescent="0.2">
      <c r="B32" s="30" t="s">
        <v>92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row>
    <row r="33" spans="2:51" x14ac:dyDescent="0.2">
      <c r="B33" s="26" t="s">
        <v>60</v>
      </c>
      <c r="C33" s="1">
        <f t="shared" ref="C33:W33" si="5">100*((1+C23/100)*(1+C42/100)-1)</f>
        <v>14.7701393577935</v>
      </c>
      <c r="D33" s="2">
        <f t="shared" si="5"/>
        <v>13.761933721019993</v>
      </c>
      <c r="E33" s="2">
        <f t="shared" si="5"/>
        <v>11.183598899764146</v>
      </c>
      <c r="F33" s="2">
        <f t="shared" si="5"/>
        <v>8.3811611205204084</v>
      </c>
      <c r="G33" s="1">
        <f t="shared" si="5"/>
        <v>7.1635200987937742</v>
      </c>
      <c r="H33" s="1">
        <f t="shared" si="5"/>
        <v>7.2402270313374872</v>
      </c>
      <c r="I33" s="1">
        <f t="shared" si="5"/>
        <v>7.3040701897306493</v>
      </c>
      <c r="J33" s="1">
        <f t="shared" si="5"/>
        <v>7.2620683998107616</v>
      </c>
      <c r="K33" s="1">
        <f t="shared" si="5"/>
        <v>7.054174880705788</v>
      </c>
      <c r="L33" s="1">
        <f t="shared" si="5"/>
        <v>6.9587915999435257</v>
      </c>
      <c r="M33" s="1">
        <f t="shared" si="5"/>
        <v>6.7995382122668868</v>
      </c>
      <c r="N33" s="1">
        <f t="shared" si="5"/>
        <v>6.3116323536181573</v>
      </c>
      <c r="O33" s="1">
        <f t="shared" si="5"/>
        <v>6.2581300620000002</v>
      </c>
      <c r="P33" s="1">
        <f t="shared" si="5"/>
        <v>5.8818814133499986</v>
      </c>
      <c r="Q33" s="1">
        <f t="shared" si="5"/>
        <v>5.5058172736999866</v>
      </c>
      <c r="R33" s="1">
        <f t="shared" si="5"/>
        <v>5.1299458420999811</v>
      </c>
      <c r="S33" s="1">
        <f t="shared" si="5"/>
        <v>4.9870958187999914</v>
      </c>
      <c r="T33" s="1">
        <f t="shared" si="5"/>
        <v>4.8148883284999888</v>
      </c>
      <c r="U33" s="1">
        <f t="shared" si="5"/>
        <v>4.6154224141000011</v>
      </c>
      <c r="V33" s="1">
        <f t="shared" si="5"/>
        <v>4.4233015836499856</v>
      </c>
      <c r="W33" s="1">
        <f t="shared" si="5"/>
        <v>4.2429928355000257</v>
      </c>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5" spans="2:51" x14ac:dyDescent="0.2">
      <c r="B35" s="28" t="s">
        <v>148</v>
      </c>
    </row>
    <row r="36" spans="2:51" x14ac:dyDescent="0.2">
      <c r="B36" s="26" t="s">
        <v>63</v>
      </c>
      <c r="C36" s="34">
        <f>'Input data'!C37</f>
        <v>2.4089399999999999</v>
      </c>
      <c r="D36" s="100">
        <f>'Input data'!D37</f>
        <v>1.9834700000000001</v>
      </c>
      <c r="E36" s="100">
        <f>'Input data'!E37</f>
        <v>2.3767499999999999</v>
      </c>
      <c r="F36" s="100">
        <f>'Input data'!F37</f>
        <v>2.7490950000000001</v>
      </c>
      <c r="G36" s="100">
        <f>'Input data'!G37</f>
        <v>2.7383609999999998</v>
      </c>
      <c r="H36" s="34">
        <f t="shared" ref="H36:W36" si="6">H93</f>
        <v>2.8292956231126509</v>
      </c>
      <c r="I36" s="34">
        <f t="shared" si="6"/>
        <v>2.9128598255268852</v>
      </c>
      <c r="J36" s="34">
        <f t="shared" si="6"/>
        <v>2.9910327888273516</v>
      </c>
      <c r="K36" s="34">
        <f>K93</f>
        <v>3.1803517442587985</v>
      </c>
      <c r="L36" s="34">
        <f t="shared" si="6"/>
        <v>3.294629856161738</v>
      </c>
      <c r="M36" s="34">
        <f t="shared" si="6"/>
        <v>3.4030491112193917</v>
      </c>
      <c r="N36" s="34">
        <f t="shared" si="6"/>
        <v>3.5063277820203451</v>
      </c>
      <c r="O36" s="34">
        <f t="shared" si="6"/>
        <v>3.6074676684872347</v>
      </c>
      <c r="P36" s="34">
        <f t="shared" si="6"/>
        <v>3.6951416972254267</v>
      </c>
      <c r="Q36" s="34">
        <f t="shared" si="6"/>
        <v>3.7724792002679872</v>
      </c>
      <c r="R36" s="34">
        <f t="shared" si="6"/>
        <v>3.8405789335056331</v>
      </c>
      <c r="S36" s="34">
        <f t="shared" si="6"/>
        <v>3.9003969469922883</v>
      </c>
      <c r="T36" s="34">
        <f t="shared" si="6"/>
        <v>3.9527589834701722</v>
      </c>
      <c r="U36" s="34">
        <f t="shared" si="6"/>
        <v>3.9983883271463809</v>
      </c>
      <c r="V36" s="34">
        <f t="shared" si="6"/>
        <v>4.0379949033415539</v>
      </c>
      <c r="W36" s="34">
        <f t="shared" si="6"/>
        <v>4.0722163925898407</v>
      </c>
    </row>
    <row r="37" spans="2:51" x14ac:dyDescent="0.2">
      <c r="B37" s="32" t="s">
        <v>94</v>
      </c>
      <c r="C37" s="1"/>
      <c r="D37" s="2">
        <f>'Input data'!D$39</f>
        <v>2.41</v>
      </c>
      <c r="E37" s="2">
        <f>'Input data'!E$39</f>
        <v>3.71</v>
      </c>
      <c r="F37" s="166">
        <f>'Input data'!F$39</f>
        <v>3.4970020000000002</v>
      </c>
      <c r="G37" s="166">
        <f>'Input data'!G$39</f>
        <v>3.5053580000000002</v>
      </c>
      <c r="H37" s="1">
        <f>$G$37+('Input data'!$C$52-$G$37)/($O$10-$G$10)*(H10-$G$10)</f>
        <v>3.5849320000000002</v>
      </c>
      <c r="I37" s="1">
        <f>$G$37+('Input data'!$C$52-$G$37)/($O$10-$G$10)*(I10-$G$10)</f>
        <v>3.6645060000000003</v>
      </c>
      <c r="J37" s="1">
        <f>$G$37+('Input data'!$C$52-$G$37)/($O$10-$G$10)*(J10-$G$10)</f>
        <v>3.7440799999999999</v>
      </c>
      <c r="K37" s="4">
        <f>IF('Criteria results'!$F$5=4,$G$37+('Input data'!$C$52-$G$37)/($O$10-$G$10)*(K10-$G$10)+0.5,$G$37+('Input data'!$C$52-$G$37)/($O$10-$G$10)*(K10-$G$10))</f>
        <v>4.3236539999999994</v>
      </c>
      <c r="L37" s="4">
        <f>IF('Criteria results'!$F$5=4,$G$37+('Input data'!$C$52-$G$37)/($O$10-$G$10)*(L10-$G$10)+0.5,$G$37+('Input data'!$C$52-$G$37)/($O$10-$G$10)*(L10-$G$10))</f>
        <v>4.4032280000000004</v>
      </c>
      <c r="M37" s="4">
        <f>IF('Criteria results'!$F$5=4,$G$37+('Input data'!$C$52-$G$37)/($O$10-$G$10)*(M10-$G$10)+0.5,$G$37+('Input data'!$C$52-$G$37)/($O$10-$G$10)*(M10-$G$10))</f>
        <v>4.4828019999999995</v>
      </c>
      <c r="N37" s="3">
        <f>IF('Criteria results'!$F$5=4,$G$37+('Input data'!$C$52-$G$37)/($O$10-$G$10)*(N10-$G$10)+0.5,$G$37+('Input data'!$C$52-$G$37)/($O$10-$G$10)*(N10-$G$10)+0.5)</f>
        <v>4.5623759999999995</v>
      </c>
      <c r="O37" s="3">
        <f>'Input data'!$C$52+0.5</f>
        <v>4.6419499999999996</v>
      </c>
      <c r="P37" s="3">
        <f>'Baseline NFPC'!P36+0.5</f>
        <v>4.6348524999999992</v>
      </c>
      <c r="Q37" s="3">
        <f>'Baseline NFPC'!Q36+0.5</f>
        <v>4.6277549999999996</v>
      </c>
      <c r="R37" s="3">
        <f>'Baseline NFPC'!R36+0.5</f>
        <v>4.6206575000000001</v>
      </c>
      <c r="S37" s="3">
        <f>'Baseline NFPC'!S36+0.5</f>
        <v>4.6135599999999997</v>
      </c>
      <c r="T37" s="3">
        <f>'Baseline NFPC'!T36+0.5</f>
        <v>4.6064624999999992</v>
      </c>
      <c r="U37" s="3">
        <f>'Baseline NFPC'!U36+0.5</f>
        <v>4.5993649999999997</v>
      </c>
      <c r="V37" s="3">
        <f>'Baseline NFPC'!V36+0.5</f>
        <v>4.5922675000000002</v>
      </c>
      <c r="W37" s="3">
        <f>'Baseline NFPC'!W36+0.5</f>
        <v>4.5851699999999997</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x14ac:dyDescent="0.2">
      <c r="B38" s="32" t="s">
        <v>95</v>
      </c>
      <c r="C38" s="1"/>
      <c r="D38" s="2">
        <f>'Input data'!D$38</f>
        <v>0.35</v>
      </c>
      <c r="E38" s="2">
        <f>'Input data'!E$38</f>
        <v>3.43</v>
      </c>
      <c r="F38" s="166">
        <f>'Input data'!F$38</f>
        <v>3.5642079999999998</v>
      </c>
      <c r="G38" s="166">
        <f>'Input data'!G$38</f>
        <v>2.8163749999999999</v>
      </c>
      <c r="H38" s="1">
        <f>$G$38+('Input data'!$C$53-$G$38)/($O$10-$G$10)*(H10-$G$10)</f>
        <v>2.8050893749999997</v>
      </c>
      <c r="I38" s="1">
        <f>$G$38+('Input data'!$C$53-$G$38)/($O$10-$G$10)*(I10-$G$10)</f>
        <v>2.7938037499999999</v>
      </c>
      <c r="J38" s="1">
        <f>$G$38+('Input data'!$C$53-$G$38)/($O$10-$G$10)*(J10-$G$10)</f>
        <v>2.7825181250000002</v>
      </c>
      <c r="K38" s="4">
        <f>IF('Criteria results'!$F$5=4,$G$38+('Input data'!$C$53-$G$38)/($O$10-$G$10)*(K10-$G$10)+0.5,$G$38+('Input data'!$C$53-$G$38)/($O$10-$G$10)*(K10-$G$10))</f>
        <v>3.2712325</v>
      </c>
      <c r="L38" s="4">
        <f>IF('Criteria results'!$F$5=4,$G$38+('Input data'!$C$53-$G$38)/($O$10-$G$10)*(L10-$G$10)+0.5,$G$38+('Input data'!$C$53-$G$38)/($O$10-$G$10)*(L10-$G$10))</f>
        <v>3.2599468749999998</v>
      </c>
      <c r="M38" s="4">
        <f>IF('Criteria results'!$F$5=4,$G$38+('Input data'!$C$53-$G$38)/($O$10-$G$10)*(M10-$G$10)+0.5,$G$38+('Input data'!$C$53-$G$38)/($O$10-$G$10)*(M10-$G$10))</f>
        <v>3.2486612500000001</v>
      </c>
      <c r="N38" s="3">
        <f>IF('Criteria results'!$F$5=4,$G$38+('Input data'!$C$53-$G$38)/($O$10-$G$10)*(N10-$G$10)+0.5,$G$38+('Input data'!$C$53-$G$38)/($O$10-$G$10)*(N10-$G$10)+0.5)</f>
        <v>3.2373756250000003</v>
      </c>
      <c r="O38" s="3">
        <f>'Input data'!$C$53+0.5</f>
        <v>3.2260900000000001</v>
      </c>
      <c r="P38" s="3">
        <f>'Baseline NFPC'!P37+0.5</f>
        <v>3.1897855000000002</v>
      </c>
      <c r="Q38" s="3">
        <f>'Baseline NFPC'!Q37+0.5</f>
        <v>3.1534810000000002</v>
      </c>
      <c r="R38" s="3">
        <f>'Baseline NFPC'!R37+0.5</f>
        <v>3.1171765000000002</v>
      </c>
      <c r="S38" s="3">
        <f>'Baseline NFPC'!S37+0.5</f>
        <v>3.0808720000000003</v>
      </c>
      <c r="T38" s="3">
        <f>'Baseline NFPC'!T37+0.5</f>
        <v>3.0445675000000003</v>
      </c>
      <c r="U38" s="3">
        <f>'Baseline NFPC'!U37+0.5</f>
        <v>3.0082629999999999</v>
      </c>
      <c r="V38" s="3">
        <f>'Baseline NFPC'!V37+0.5</f>
        <v>2.9719584999999999</v>
      </c>
      <c r="W38" s="3">
        <f>'Baseline NFPC'!W37+0.5</f>
        <v>2.935654</v>
      </c>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60"/>
    </row>
    <row r="39" spans="2:51" s="5" customFormat="1" ht="12.75" x14ac:dyDescent="0.2">
      <c r="B39" s="26" t="s">
        <v>96</v>
      </c>
      <c r="C39" s="34">
        <f>'Baseline NFPC'!C38</f>
        <v>8.1903229999999994E-2</v>
      </c>
      <c r="D39" s="34">
        <f>'Baseline NFPC'!D38</f>
        <v>1E-3</v>
      </c>
      <c r="E39" s="34">
        <f>'Baseline NFPC'!E38</f>
        <v>4.9018890000000002E-2</v>
      </c>
      <c r="F39" s="34">
        <f>'Baseline NFPC'!F38</f>
        <v>4.7479519999999997E-2</v>
      </c>
      <c r="G39" s="34">
        <f>'Baseline NFPC'!G38</f>
        <v>4.8981602222222219E-2</v>
      </c>
      <c r="H39" s="34">
        <f>'Baseline NFPC'!H38</f>
        <v>5.048368444444444E-2</v>
      </c>
      <c r="I39" s="34">
        <f>'Baseline NFPC'!I38</f>
        <v>5.1985766666666662E-2</v>
      </c>
      <c r="J39" s="34">
        <f>'Baseline NFPC'!J38</f>
        <v>5.3487848888888884E-2</v>
      </c>
      <c r="K39" s="34">
        <f>'Baseline NFPC'!K38</f>
        <v>5.4989931111111112E-2</v>
      </c>
      <c r="L39" s="34">
        <f>'Baseline NFPC'!L38</f>
        <v>5.6492013333333334E-2</v>
      </c>
      <c r="M39" s="34">
        <f>'Baseline NFPC'!M38</f>
        <v>5.7994095555555555E-2</v>
      </c>
      <c r="N39" s="34">
        <f>'Baseline NFPC'!N38</f>
        <v>5.9496177777777777E-2</v>
      </c>
      <c r="O39" s="34">
        <f>'Baseline NFPC'!O38</f>
        <v>6.0998259999999999E-2</v>
      </c>
      <c r="P39" s="34">
        <f>'Baseline NFPC'!P38</f>
        <v>6.0998259999999999E-2</v>
      </c>
      <c r="Q39" s="34">
        <f>'Baseline NFPC'!Q38</f>
        <v>6.0998259999999999E-2</v>
      </c>
      <c r="R39" s="34">
        <f>'Baseline NFPC'!R38</f>
        <v>6.0998259999999999E-2</v>
      </c>
      <c r="S39" s="34">
        <f>'Baseline NFPC'!S38</f>
        <v>6.0998259999999999E-2</v>
      </c>
      <c r="T39" s="34">
        <f>'Baseline NFPC'!T38</f>
        <v>6.0998259999999999E-2</v>
      </c>
      <c r="U39" s="34">
        <f>'Baseline NFPC'!U38</f>
        <v>6.0998259999999999E-2</v>
      </c>
      <c r="V39" s="34">
        <f>'Baseline NFPC'!V38</f>
        <v>6.0998259999999999E-2</v>
      </c>
      <c r="W39" s="34">
        <f>'Baseline NFPC'!W38</f>
        <v>6.0998259999999999E-2</v>
      </c>
    </row>
    <row r="40" spans="2:51" x14ac:dyDescent="0.2">
      <c r="C40" s="1"/>
      <c r="D40" s="1"/>
      <c r="E40" s="1"/>
      <c r="F40" s="1"/>
      <c r="G40" s="1"/>
      <c r="H40" s="1"/>
      <c r="I40" s="1"/>
      <c r="J40" s="1"/>
      <c r="K40" s="1"/>
      <c r="L40" s="1"/>
      <c r="M40" s="1"/>
      <c r="N40" s="1"/>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8" t="s">
        <v>97</v>
      </c>
      <c r="C41" s="1"/>
      <c r="D41" s="1"/>
      <c r="E41" s="1"/>
      <c r="F41" s="1"/>
      <c r="G41" s="1"/>
      <c r="H41" s="1"/>
      <c r="I41" s="1"/>
      <c r="J41" s="1"/>
      <c r="K41" s="1"/>
      <c r="L41" s="1"/>
      <c r="M41" s="1"/>
      <c r="N41" s="1"/>
      <c r="O41" s="1"/>
      <c r="P41" s="1"/>
      <c r="Q41" s="1"/>
      <c r="R41" s="1"/>
      <c r="S41" s="1"/>
      <c r="T41" s="1"/>
      <c r="U41" s="1"/>
      <c r="V41" s="1"/>
      <c r="W41" s="1"/>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142</v>
      </c>
      <c r="C42" s="1">
        <f>'Input data'!C42</f>
        <v>2.0052530000000002</v>
      </c>
      <c r="D42" s="2">
        <f>'Input data'!D42</f>
        <v>5.2614710000000002</v>
      </c>
      <c r="E42" s="2">
        <f>'Input data'!E42</f>
        <v>5.2736159999999996</v>
      </c>
      <c r="F42" s="2">
        <f>'Input data'!F42</f>
        <v>3.6423429999999999</v>
      </c>
      <c r="G42" s="2">
        <f>'Input data'!G42</f>
        <v>2.5339109999999998</v>
      </c>
      <c r="H42" s="1">
        <f>'Baseline NFPC'!H41</f>
        <v>2.5359221249999999</v>
      </c>
      <c r="I42" s="1">
        <f>'Baseline NFPC'!I41</f>
        <v>2.53793325</v>
      </c>
      <c r="J42" s="1">
        <f>'Baseline NFPC'!J41</f>
        <v>2.5399443749999997</v>
      </c>
      <c r="K42" s="1">
        <f>'Baseline NFPC'!K41</f>
        <v>2.5419554999999998</v>
      </c>
      <c r="L42" s="1">
        <f>'Baseline NFPC'!L41</f>
        <v>2.5439666249999999</v>
      </c>
      <c r="M42" s="1">
        <f>'Baseline NFPC'!M41</f>
        <v>2.5459777499999996</v>
      </c>
      <c r="N42" s="1">
        <f>'Baseline NFPC'!N41</f>
        <v>2.5479888749999997</v>
      </c>
      <c r="O42" s="252">
        <f>'Baseline NFPC'!O41</f>
        <v>2.5499999999999998</v>
      </c>
      <c r="P42" s="1">
        <f>'Baseline NFPC'!P41</f>
        <v>2.5225</v>
      </c>
      <c r="Q42" s="1">
        <f>'Baseline NFPC'!Q41</f>
        <v>2.4949999999999997</v>
      </c>
      <c r="R42" s="1">
        <f>'Baseline NFPC'!R41</f>
        <v>2.4674999999999998</v>
      </c>
      <c r="S42" s="1">
        <f>'Baseline NFPC'!S41</f>
        <v>2.44</v>
      </c>
      <c r="T42" s="1">
        <f>'Baseline NFPC'!T41</f>
        <v>2.4124999999999996</v>
      </c>
      <c r="U42" s="1">
        <f>'Baseline NFPC'!U41</f>
        <v>2.3849999999999998</v>
      </c>
      <c r="V42" s="1">
        <f>'Baseline NFPC'!V41</f>
        <v>2.3574999999999999</v>
      </c>
      <c r="W42" s="1">
        <f>'Baseline NFPC'!W41</f>
        <v>2.33</v>
      </c>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60"/>
    </row>
    <row r="43" spans="2:51" x14ac:dyDescent="0.2">
      <c r="B43" s="26" t="s">
        <v>98</v>
      </c>
      <c r="C43" s="1">
        <f>'Baseline NFPC'!C42</f>
        <v>1</v>
      </c>
      <c r="D43" s="1">
        <f>'Baseline NFPC'!D42</f>
        <v>1</v>
      </c>
      <c r="E43" s="1">
        <f>'Baseline NFPC'!E42</f>
        <v>1</v>
      </c>
      <c r="F43" s="1">
        <f>'Baseline NFPC'!F42</f>
        <v>1</v>
      </c>
      <c r="G43" s="1">
        <f>'Baseline NFPC'!G42</f>
        <v>0.99999990000000005</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1">
        <f>'Baseline NFPC'!V42</f>
        <v>1</v>
      </c>
      <c r="W43" s="1">
        <f>'Baseline NFPC'!W42</f>
        <v>1</v>
      </c>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0"/>
    </row>
    <row r="44" spans="2:51" x14ac:dyDescent="0.2">
      <c r="C44" s="36"/>
    </row>
    <row r="45" spans="2:51" s="67" customFormat="1" ht="12.75" x14ac:dyDescent="0.2">
      <c r="B45" s="75" t="s">
        <v>99</v>
      </c>
      <c r="C45" s="68"/>
    </row>
    <row r="46" spans="2:51" x14ac:dyDescent="0.2">
      <c r="C46" s="36"/>
    </row>
    <row r="47" spans="2:51" x14ac:dyDescent="0.2">
      <c r="B47" s="54" t="s">
        <v>68</v>
      </c>
      <c r="C47" s="55">
        <f>'Input data'!C49</f>
        <v>0.75</v>
      </c>
    </row>
    <row r="48" spans="2:51" x14ac:dyDescent="0.2">
      <c r="B48" s="56" t="s">
        <v>258</v>
      </c>
      <c r="C48" s="57">
        <f>'Input data'!C50</f>
        <v>0.47899999999999998</v>
      </c>
    </row>
    <row r="49" spans="2:48" x14ac:dyDescent="0.2">
      <c r="C49" s="58"/>
    </row>
    <row r="50" spans="2:48" outlineLevel="1" x14ac:dyDescent="0.2">
      <c r="B50" s="26" t="s">
        <v>100</v>
      </c>
      <c r="C50" s="34">
        <v>0</v>
      </c>
      <c r="D50" s="34">
        <f>IF(AND(ABS((D12-C12)-('Input data'!D13-'Input data'!C13))&gt;0.0001,ABS(D12-C12)&gt;0.0001,D$10&gt;$C$5),4,IF(C50=4,3,IF(C50=3,2,IF(C50=2,1,0))))</f>
        <v>0</v>
      </c>
      <c r="E50" s="34">
        <f>IF(AND(ABS((E12-D12)-('Input data'!E13-'Input data'!D13))&gt;0.0001,ABS(E12-D12)&gt;0.0001,E$10&gt;$C$5),4,IF(D50=4,3,IF(D50=3,2,IF(D50=2,1,0))))</f>
        <v>0</v>
      </c>
      <c r="F50" s="34">
        <f>IF(AND(ABS((F12-E12)-('Input data'!F13-'Input data'!E13))&gt;0.0001,ABS(F12-E12)&gt;0.0001,F$10&gt;$C$5),4,IF(E50=4,3,IF(E50=3,2,IF(E50=2,1,0))))</f>
        <v>0</v>
      </c>
      <c r="G50" s="34">
        <f>IF(AND(ABS((G12-F12)-('Input data'!G13-'Input data'!F13))&gt;0.0001,ABS(G12-F12)&gt;0.0001,G$10&gt;$C$5),4,IF(F50=4,3,IF(F50=3,2,IF(F50=2,1,0))))</f>
        <v>4</v>
      </c>
      <c r="H50" s="34">
        <f>IF(AND(ABS((H12-G12)-('Input data'!H13-'Input data'!G13))&gt;0.0001,ABS(H12-G12)&gt;0.0001,H$10&gt;$C$5),4,IF(G50=4,3,IF(G50=3,2,IF(G50=2,1,0))))</f>
        <v>4</v>
      </c>
      <c r="I50" s="34">
        <f>IF(AND(ABS((I12-H12)-('Input data'!I13-'Input data'!H13))&gt;0.0001,ABS(I12-H12)&gt;0.0001,I$10&gt;$C$5),4,IF(H50=4,3,IF(H50=3,2,IF(H50=2,1,0))))</f>
        <v>4</v>
      </c>
      <c r="J50" s="34">
        <f>IF(AND(ABS((J12-I12)-('Input data'!J13-'Input data'!I13))&gt;0.0001,ABS(J12-I12)&gt;0.0001,J$10&gt;$C$5),4,IF(I50=4,3,IF(I50=3,2,IF(I50=2,1,0))))</f>
        <v>4</v>
      </c>
      <c r="K50" s="34">
        <f>IF(AND(ABS((K12-J12)-('Input data'!K13-'Input data'!J13))&gt;0.0001,ABS(K12-J12)&gt;0.0001,K$10&gt;$C$5),4,IF(J50=4,3,IF(J50=3,2,IF(J50=2,1,0))))</f>
        <v>3</v>
      </c>
      <c r="L50" s="34">
        <f>IF(AND(ABS((L12-K12)-('Input data'!L13-'Input data'!K13))&gt;0.0001,ABS(L12-K12)&gt;0.0001,L$10&gt;$C$5),4,IF(K50=4,3,IF(K50=3,2,IF(K50=2,1,0))))</f>
        <v>2</v>
      </c>
      <c r="M50" s="34">
        <f>IF(AND(ABS((M12-L12)-('Input data'!M13-'Input data'!L13))&gt;0.0001,ABS(M12-L12)&gt;0.0001,M$10&gt;$C$5),4,IF(L50=4,3,IF(L50=3,2,IF(L50=2,1,0))))</f>
        <v>1</v>
      </c>
      <c r="N50" s="34">
        <f>IF(AND(ABS((N12-M12)-('Input data'!N13-'Input data'!M13))&gt;0.0001,ABS(N12-M12)&gt;0.0001,N$10&gt;$C$5),4,IF(M50=4,3,IF(M50=3,2,IF(M50=2,1,0))))</f>
        <v>0</v>
      </c>
      <c r="O50" s="34">
        <f>IF(AND(ABS((O12-N12)-('Input data'!O13-'Input data'!N13))&gt;0.0001,ABS(O12-N12)&gt;0.0001,O$10&gt;$C$5),4,IF(N50=4,3,IF(N50=3,2,IF(N50=2,1,0))))</f>
        <v>0</v>
      </c>
      <c r="P50" s="34">
        <f>IF(AND(ABS((P12-O12)-('Input data'!P13-'Input data'!O13))&gt;0.0001,ABS(P12-O12)&gt;0.0001,P$10&gt;$C$5),4,IF(O50=4,3,IF(O50=3,2,IF(O50=2,1,0))))</f>
        <v>0</v>
      </c>
      <c r="Q50" s="34">
        <f>IF(AND(ABS((Q12-P12)-('Input data'!Q13-'Input data'!P13))&gt;0.0001,ABS(Q12-P12)&gt;0.0001,Q$10&gt;$C$5),4,IF(P50=4,3,IF(P50=3,2,IF(P50=2,1,0))))</f>
        <v>0</v>
      </c>
      <c r="R50" s="34">
        <f>IF(AND(ABS((R12-Q12)-('Input data'!R13-'Input data'!Q13))&gt;0.0001,ABS(R12-Q12)&gt;0.0001,R$10&gt;$C$5),4,IF(Q50=4,3,IF(Q50=3,2,IF(Q50=2,1,0))))</f>
        <v>0</v>
      </c>
      <c r="S50" s="34">
        <f>IF(AND(ABS((S12-R12)-('Input data'!S13-'Input data'!R13))&gt;0.0001,ABS(S12-R12)&gt;0.0001,S$10&gt;$C$5),4,IF(R50=4,3,IF(R50=3,2,IF(R50=2,1,0))))</f>
        <v>0</v>
      </c>
      <c r="T50" s="34">
        <f>IF(AND(ABS((T12-S12)-('Input data'!T13-'Input data'!S13))&gt;0.0001,ABS(T12-S12)&gt;0.0001,T$10&gt;$C$5),4,IF(S50=4,3,IF(S50=3,2,IF(S50=2,1,0))))</f>
        <v>0</v>
      </c>
      <c r="U50" s="34">
        <f>IF(AND(ABS((U12-T12)-('Input data'!U13-'Input data'!T13))&gt;0.0001,ABS(U12-T12)&gt;0.0001,U$10&gt;$C$5),4,IF(T50=4,3,IF(T50=3,2,IF(T50=2,1,0))))</f>
        <v>0</v>
      </c>
      <c r="V50" s="34">
        <f>IF(AND(ABS((V12-U12)-('Input data'!V13-'Input data'!U13))&gt;0.0001,ABS(V12-U12)&gt;0.0001,V$10&gt;$C$5),4,IF(U50=4,3,IF(U50=3,2,IF(U50=2,1,0))))</f>
        <v>0</v>
      </c>
      <c r="W50" s="34">
        <f>IF(AND(ABS((W12-V12)-('Input data'!W13-'Input data'!V13))&gt;0.0001,ABS(W12-V12)&gt;0.0001,W$10&gt;$C$5),4,IF(V50=4,3,IF(V50=3,2,IF(V50=2,1,0))))</f>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101</v>
      </c>
      <c r="C51" s="34">
        <v>0</v>
      </c>
      <c r="D51" s="34">
        <f t="shared" ref="D51:W51" si="7">IF(C50=4,2/3*C30,IF(C50=3,1/3*B30,0))</f>
        <v>0</v>
      </c>
      <c r="E51" s="34">
        <f t="shared" si="7"/>
        <v>0</v>
      </c>
      <c r="F51" s="34">
        <f t="shared" si="7"/>
        <v>0</v>
      </c>
      <c r="G51" s="34">
        <f t="shared" si="7"/>
        <v>0</v>
      </c>
      <c r="H51" s="34">
        <f t="shared" si="7"/>
        <v>-0.45662544275976524</v>
      </c>
      <c r="I51" s="34">
        <f t="shared" si="7"/>
        <v>-0.51314712441326749</v>
      </c>
      <c r="J51" s="34">
        <f t="shared" si="7"/>
        <v>-0.55059007453221265</v>
      </c>
      <c r="K51" s="34">
        <f t="shared" si="7"/>
        <v>-0.57555900365215218</v>
      </c>
      <c r="L51" s="34">
        <f t="shared" si="7"/>
        <v>-0.28777950182607609</v>
      </c>
      <c r="M51" s="34">
        <f t="shared" si="7"/>
        <v>0</v>
      </c>
      <c r="N51" s="34">
        <f t="shared" si="7"/>
        <v>0</v>
      </c>
      <c r="O51" s="34">
        <f t="shared" si="7"/>
        <v>0</v>
      </c>
      <c r="P51" s="34">
        <f t="shared" si="7"/>
        <v>0</v>
      </c>
      <c r="Q51" s="34">
        <f t="shared" si="7"/>
        <v>0</v>
      </c>
      <c r="R51" s="34">
        <f t="shared" si="7"/>
        <v>0</v>
      </c>
      <c r="S51" s="34">
        <f t="shared" si="7"/>
        <v>0</v>
      </c>
      <c r="T51" s="34">
        <f t="shared" si="7"/>
        <v>0</v>
      </c>
      <c r="U51" s="34">
        <f t="shared" si="7"/>
        <v>0</v>
      </c>
      <c r="V51" s="34">
        <f t="shared" si="7"/>
        <v>0</v>
      </c>
      <c r="W51" s="34">
        <f t="shared" si="7"/>
        <v>0</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outlineLevel="1" x14ac:dyDescent="0.2">
      <c r="B52" s="26" t="s">
        <v>102</v>
      </c>
      <c r="C52" s="34"/>
      <c r="D52" s="34">
        <f>'Input data'!D30-$C$47*((D12-C12)-('Input data'!D13-'Input data'!C13))</f>
        <v>8.0755689999999998</v>
      </c>
      <c r="E52" s="34">
        <f>'Input data'!E30-$C$47*((E12-D12)-('Input data'!E13-'Input data'!D13))</f>
        <v>5.6139260000000002</v>
      </c>
      <c r="F52" s="34">
        <f>'Input data'!F30-$C$47*((F12-E12)-('Input data'!F13-'Input data'!E13))</f>
        <v>4.5722800000000001</v>
      </c>
      <c r="G52" s="34">
        <f>'Input data'!G30-$C$47*((G12-F12))</f>
        <v>4.5151979999999998</v>
      </c>
      <c r="H52" s="34">
        <f>'Input data'!H30-$C$47*((H12-G12))</f>
        <v>4.4773629999999995</v>
      </c>
      <c r="I52" s="34">
        <f>'Input data'!I30-$C$47*((I12-H12))</f>
        <v>4.5506839999999995</v>
      </c>
      <c r="J52" s="34">
        <f>'Input data'!J30-$C$47*((J12-I12))</f>
        <v>4.4010949999999998</v>
      </c>
      <c r="K52" s="4">
        <f>'Adverse (r-g)'!K24-$C$47*(K12-J12)</f>
        <v>4.0981800000000002</v>
      </c>
      <c r="L52" s="4">
        <f>'Adverse (r-g)'!L24-$C$47*(L12-K12)</f>
        <v>4.0042590000000002</v>
      </c>
      <c r="M52" s="4">
        <f>'Adverse (r-g)'!M24-$C$47*(M12-L12)</f>
        <v>3.8482380000000003</v>
      </c>
      <c r="N52" s="4">
        <f>'Adverse (r-g)'!N24-$C$47*((N12-M12))</f>
        <v>3.6701290000000002</v>
      </c>
      <c r="O52" s="4">
        <f>'Adverse (r-g)'!O24-$C$47*((O12-N12))</f>
        <v>3.6159239999999997</v>
      </c>
      <c r="P52" s="4">
        <f>'Adverse (r-g)'!P24-$C$47*((P12-O12))</f>
        <v>3.276726</v>
      </c>
      <c r="Q52" s="4">
        <f>'Adverse (r-g)'!Q24-$C$47*((Q12-P12))</f>
        <v>2.9375260000000001</v>
      </c>
      <c r="R52" s="4">
        <f>'Adverse (r-g)'!R24-$C$47*((R12-Q12))</f>
        <v>2.5983320000000001</v>
      </c>
      <c r="S52" s="4">
        <f>'Adverse (r-g)'!S24-$C$47*((S12-R12))</f>
        <v>2.4864269999999999</v>
      </c>
      <c r="T52" s="4">
        <f>'Adverse (r-g)'!T24-$C$47*((T12-S12))</f>
        <v>2.345796</v>
      </c>
      <c r="U52" s="4">
        <f>'Adverse (r-g)'!U24-$C$47*((U12-T12))</f>
        <v>2.1784659999999998</v>
      </c>
      <c r="V52" s="4">
        <f>'Adverse (r-g)'!V24-$C$47*((V12-U12))</f>
        <v>2.0182220000000002</v>
      </c>
      <c r="W52" s="4">
        <f>'Adverse (r-g)'!W24-$C$47*((W12-V12))</f>
        <v>1.8694350000000002</v>
      </c>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row>
    <row r="53" spans="2:48" x14ac:dyDescent="0.2">
      <c r="C53" s="36"/>
    </row>
    <row r="54" spans="2:48" s="67" customFormat="1" ht="12.75" outlineLevel="1" x14ac:dyDescent="0.2">
      <c r="B54" s="72" t="s">
        <v>103</v>
      </c>
      <c r="C54" s="69"/>
      <c r="E54" s="70"/>
      <c r="F54" s="69"/>
    </row>
    <row r="55" spans="2:48" outlineLevel="1" x14ac:dyDescent="0.2">
      <c r="B55" s="43"/>
      <c r="C55" s="29"/>
      <c r="E55" s="44"/>
      <c r="F55" s="29"/>
    </row>
    <row r="56" spans="2:48" outlineLevel="1" x14ac:dyDescent="0.2">
      <c r="B56" s="85"/>
      <c r="C56" s="86">
        <v>2021</v>
      </c>
      <c r="D56" s="86">
        <v>2022</v>
      </c>
      <c r="E56" s="86">
        <v>2023</v>
      </c>
      <c r="F56" s="86">
        <v>2024</v>
      </c>
      <c r="G56" s="86">
        <v>2025</v>
      </c>
      <c r="H56" s="86">
        <v>2026</v>
      </c>
      <c r="I56" s="86">
        <v>2027</v>
      </c>
      <c r="J56" s="86">
        <v>2028</v>
      </c>
      <c r="K56" s="86">
        <v>2029</v>
      </c>
      <c r="L56" s="86">
        <v>2030</v>
      </c>
      <c r="M56" s="86">
        <v>2031</v>
      </c>
      <c r="N56" s="86">
        <v>2032</v>
      </c>
      <c r="O56" s="86">
        <v>2033</v>
      </c>
      <c r="P56" s="86">
        <v>2034</v>
      </c>
      <c r="Q56" s="86">
        <v>2035</v>
      </c>
      <c r="R56" s="86">
        <v>2036</v>
      </c>
      <c r="S56" s="86">
        <v>2037</v>
      </c>
      <c r="T56" s="86">
        <v>2038</v>
      </c>
      <c r="U56" s="86">
        <v>2039</v>
      </c>
      <c r="V56" s="86">
        <v>2040</v>
      </c>
      <c r="W56" s="86">
        <v>2041</v>
      </c>
    </row>
    <row r="57" spans="2:48" ht="10.5" customHeight="1" outlineLevel="1" x14ac:dyDescent="0.2">
      <c r="B57" s="87" t="s">
        <v>104</v>
      </c>
      <c r="C57" s="45">
        <f>+'Input data'!C12</f>
        <v>53.925649999999997</v>
      </c>
      <c r="D57" s="45">
        <f>+C57+D58</f>
        <v>51.626479730977287</v>
      </c>
      <c r="E57" s="45">
        <f>+D57+E58</f>
        <v>50.396658431512243</v>
      </c>
      <c r="F57" s="45">
        <f t="shared" ref="F57:T57" si="8">+E57+F58</f>
        <v>52.027240532489337</v>
      </c>
      <c r="G57" s="45">
        <f t="shared" si="8"/>
        <v>52.730907877542279</v>
      </c>
      <c r="H57" s="45">
        <f t="shared" si="8"/>
        <v>52.947955578274673</v>
      </c>
      <c r="I57" s="45">
        <f t="shared" si="8"/>
        <v>52.754005449493576</v>
      </c>
      <c r="J57" s="45">
        <f t="shared" si="8"/>
        <v>52.204191928643532</v>
      </c>
      <c r="K57" s="45">
        <f t="shared" si="8"/>
        <v>51.669079435309612</v>
      </c>
      <c r="L57" s="45">
        <f t="shared" si="8"/>
        <v>51.058652212082194</v>
      </c>
      <c r="M57" s="45">
        <f t="shared" si="8"/>
        <v>50.406964561151554</v>
      </c>
      <c r="N57" s="45">
        <f t="shared" si="8"/>
        <v>50.010013113971276</v>
      </c>
      <c r="O57" s="46">
        <f t="shared" si="8"/>
        <v>49.674306160238665</v>
      </c>
      <c r="P57" s="46">
        <f t="shared" si="8"/>
        <v>49.554351408670577</v>
      </c>
      <c r="Q57" s="46">
        <f t="shared" si="8"/>
        <v>49.655935052977966</v>
      </c>
      <c r="R57" s="46">
        <f t="shared" si="8"/>
        <v>49.986685711695259</v>
      </c>
      <c r="S57" s="46">
        <f t="shared" si="8"/>
        <v>50.442862664699746</v>
      </c>
      <c r="T57" s="46">
        <f t="shared" si="8"/>
        <v>51.042959543932817</v>
      </c>
      <c r="U57" s="46">
        <f t="shared" ref="U57" si="9">+T57+U58</f>
        <v>51.814019057283893</v>
      </c>
      <c r="V57" s="46">
        <f t="shared" ref="V57" si="10">+U57+V58</f>
        <v>52.770784731040486</v>
      </c>
      <c r="W57" s="46">
        <f t="shared" ref="W57" si="11">+V57+W58</f>
        <v>53.926159062264638</v>
      </c>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row>
    <row r="58" spans="2:48" outlineLevel="1" x14ac:dyDescent="0.2">
      <c r="B58" s="88" t="s">
        <v>105</v>
      </c>
      <c r="C58" s="47"/>
      <c r="D58" s="47">
        <f>-D59+D67+D72</f>
        <v>-2.2991702690227074</v>
      </c>
      <c r="E58" s="47">
        <f>-E59+E67+E72</f>
        <v>-1.229821299465041</v>
      </c>
      <c r="F58" s="47">
        <f t="shared" ref="F58:T58" si="12">-F59+F67+F72</f>
        <v>1.6305821009770929</v>
      </c>
      <c r="G58" s="47">
        <f t="shared" si="12"/>
        <v>0.70366734505293893</v>
      </c>
      <c r="H58" s="47">
        <f t="shared" si="12"/>
        <v>0.2170477007323961</v>
      </c>
      <c r="I58" s="47">
        <f t="shared" si="12"/>
        <v>-0.19395012878109874</v>
      </c>
      <c r="J58" s="47">
        <f t="shared" si="12"/>
        <v>-0.54981352085004342</v>
      </c>
      <c r="K58" s="47">
        <f t="shared" si="12"/>
        <v>-0.53511249333391731</v>
      </c>
      <c r="L58" s="47">
        <f t="shared" si="12"/>
        <v>-0.61042722322742171</v>
      </c>
      <c r="M58" s="47">
        <f t="shared" si="12"/>
        <v>-0.65168765093064218</v>
      </c>
      <c r="N58" s="47">
        <f t="shared" si="12"/>
        <v>-0.3969514471802752</v>
      </c>
      <c r="O58" s="47">
        <f t="shared" si="12"/>
        <v>-0.3357069537326115</v>
      </c>
      <c r="P58" s="47">
        <f t="shared" si="12"/>
        <v>-0.11995475156808999</v>
      </c>
      <c r="Q58" s="47">
        <f t="shared" si="12"/>
        <v>0.10158364430738609</v>
      </c>
      <c r="R58" s="47">
        <f t="shared" si="12"/>
        <v>0.33075065871729126</v>
      </c>
      <c r="S58" s="47">
        <f t="shared" si="12"/>
        <v>0.4561769530044848</v>
      </c>
      <c r="T58" s="47">
        <f t="shared" si="12"/>
        <v>0.60009687923307187</v>
      </c>
      <c r="U58" s="47">
        <f t="shared" ref="U58:W58" si="13">-U59+U67+U72</f>
        <v>0.7710595133510747</v>
      </c>
      <c r="V58" s="47">
        <f t="shared" si="13"/>
        <v>0.95676567375659238</v>
      </c>
      <c r="W58" s="47">
        <f t="shared" si="13"/>
        <v>1.1553743312241556</v>
      </c>
    </row>
    <row r="59" spans="2:48" outlineLevel="1" x14ac:dyDescent="0.2">
      <c r="B59" s="84" t="s">
        <v>106</v>
      </c>
      <c r="C59" s="48"/>
      <c r="D59" s="48">
        <f>D60+D61-D62-D63-D64-D65-D66</f>
        <v>-4.5943547309772903</v>
      </c>
      <c r="E59" s="48">
        <f t="shared" ref="E59:T59" si="14">E60+E61-E62-E63-E64-E65-E66</f>
        <v>-3.7999557005349547</v>
      </c>
      <c r="F59" s="48">
        <f t="shared" si="14"/>
        <v>-3.0642601009770956</v>
      </c>
      <c r="G59" s="48">
        <f t="shared" si="14"/>
        <v>-2.7853283806228912</v>
      </c>
      <c r="H59" s="48">
        <f t="shared" si="14"/>
        <v>-2.385939208890933</v>
      </c>
      <c r="I59" s="48">
        <f t="shared" si="14"/>
        <v>-1.9728419685513949</v>
      </c>
      <c r="J59" s="48">
        <f t="shared" si="14"/>
        <v>-1.5507821441240717</v>
      </c>
      <c r="K59" s="48">
        <f t="shared" si="14"/>
        <v>-1.3539292627493937</v>
      </c>
      <c r="L59" s="48">
        <f t="shared" si="14"/>
        <v>-1.1596363813747061</v>
      </c>
      <c r="M59" s="48">
        <f t="shared" si="14"/>
        <v>-0.97210360000000073</v>
      </c>
      <c r="N59" s="48">
        <f t="shared" si="14"/>
        <v>-0.93316535183014737</v>
      </c>
      <c r="O59" s="48">
        <f t="shared" si="14"/>
        <v>-0.91181792726178335</v>
      </c>
      <c r="P59" s="48">
        <f t="shared" si="14"/>
        <v>-0.90595049965678498</v>
      </c>
      <c r="Q59" s="48">
        <f t="shared" si="14"/>
        <v>-0.91570409965680755</v>
      </c>
      <c r="R59" s="48">
        <f t="shared" si="14"/>
        <v>-0.93975619904908614</v>
      </c>
      <c r="S59" s="48">
        <f t="shared" si="14"/>
        <v>-0.97357839691201575</v>
      </c>
      <c r="T59" s="48">
        <f t="shared" si="14"/>
        <v>-1.0150023649332585</v>
      </c>
      <c r="U59" s="48">
        <f t="shared" ref="U59:W59" si="15">U60+U61-U62-U63-U64-U65-U66</f>
        <v>-1.0721169025086053</v>
      </c>
      <c r="V59" s="48">
        <f t="shared" si="15"/>
        <v>-1.1479518110806215</v>
      </c>
      <c r="W59" s="48">
        <f t="shared" si="15"/>
        <v>-1.2418262515001461</v>
      </c>
    </row>
    <row r="60" spans="2:48" outlineLevel="1" x14ac:dyDescent="0.2">
      <c r="B60" s="79" t="s">
        <v>107</v>
      </c>
      <c r="C60" s="1"/>
      <c r="D60" s="1">
        <f>D12</f>
        <v>-4.3552039999999996</v>
      </c>
      <c r="E60" s="1">
        <f>E12</f>
        <v>-3.790994</v>
      </c>
      <c r="F60" s="1">
        <f>F12</f>
        <v>-2.897243</v>
      </c>
      <c r="G60" s="1">
        <f t="shared" ref="G60:W60" si="16">IF(G12="",F60,G12)</f>
        <v>-2.4572430000000001</v>
      </c>
      <c r="H60" s="1">
        <f t="shared" si="16"/>
        <v>-2.0172430000000001</v>
      </c>
      <c r="I60" s="1">
        <f t="shared" si="16"/>
        <v>-1.5772430000000002</v>
      </c>
      <c r="J60" s="1">
        <f t="shared" si="16"/>
        <v>-1.1372430000000002</v>
      </c>
      <c r="K60" s="1">
        <f t="shared" si="16"/>
        <v>-1.1372430000000002</v>
      </c>
      <c r="L60" s="1">
        <f t="shared" si="16"/>
        <v>-1.1372430000000002</v>
      </c>
      <c r="M60" s="1">
        <f t="shared" si="16"/>
        <v>-1.1372430000000002</v>
      </c>
      <c r="N60" s="1">
        <f t="shared" si="16"/>
        <v>-1.1372430000000002</v>
      </c>
      <c r="O60" s="1">
        <f t="shared" si="16"/>
        <v>-1.1372430000000002</v>
      </c>
      <c r="P60" s="1">
        <f t="shared" si="16"/>
        <v>-1.1372430000000002</v>
      </c>
      <c r="Q60" s="1">
        <f t="shared" si="16"/>
        <v>-1.1372430000000002</v>
      </c>
      <c r="R60" s="1">
        <f t="shared" si="16"/>
        <v>-1.1372430000000002</v>
      </c>
      <c r="S60" s="1">
        <f t="shared" si="16"/>
        <v>-1.1372430000000002</v>
      </c>
      <c r="T60" s="1">
        <f t="shared" si="16"/>
        <v>-1.1372430000000002</v>
      </c>
      <c r="U60" s="1">
        <f t="shared" si="16"/>
        <v>-1.1372430000000002</v>
      </c>
      <c r="V60" s="1">
        <f t="shared" si="16"/>
        <v>-1.1372430000000002</v>
      </c>
      <c r="W60" s="1">
        <f t="shared" si="16"/>
        <v>-1.1372430000000002</v>
      </c>
    </row>
    <row r="61" spans="2:48" outlineLevel="1" x14ac:dyDescent="0.2">
      <c r="B61" s="79" t="s">
        <v>108</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row>
    <row r="62" spans="2:48" outlineLevel="1" x14ac:dyDescent="0.2">
      <c r="B62" s="79" t="s">
        <v>109</v>
      </c>
      <c r="C62" s="1"/>
      <c r="D62" s="1">
        <f t="shared" ref="D62:W62" si="17">-$C$48*D30</f>
        <v>0.23915073097729053</v>
      </c>
      <c r="E62" s="1">
        <f t="shared" si="17"/>
        <v>8.9617005349547311E-3</v>
      </c>
      <c r="F62" s="1">
        <f t="shared" si="17"/>
        <v>0.16701710097709546</v>
      </c>
      <c r="G62" s="1">
        <f t="shared" si="17"/>
        <v>0.32808538062289133</v>
      </c>
      <c r="H62" s="1">
        <f t="shared" si="17"/>
        <v>0.36869620889093274</v>
      </c>
      <c r="I62" s="1">
        <f t="shared" si="17"/>
        <v>0.39559896855139481</v>
      </c>
      <c r="J62" s="1">
        <f t="shared" si="17"/>
        <v>0.41353914412407133</v>
      </c>
      <c r="K62" s="1">
        <f t="shared" si="17"/>
        <v>0.27569276274938975</v>
      </c>
      <c r="L62" s="1">
        <f t="shared" si="17"/>
        <v>0.13784638137470287</v>
      </c>
      <c r="M62" s="1">
        <f t="shared" si="17"/>
        <v>0</v>
      </c>
      <c r="N62" s="1">
        <f t="shared" si="17"/>
        <v>-1.8481698559114078E-6</v>
      </c>
      <c r="O62" s="1">
        <f t="shared" si="17"/>
        <v>-2.7727382190922965E-6</v>
      </c>
      <c r="P62" s="1">
        <f t="shared" si="17"/>
        <v>-3.7003432166171635E-6</v>
      </c>
      <c r="Q62" s="1">
        <f t="shared" si="17"/>
        <v>-3.7003431953452901E-6</v>
      </c>
      <c r="R62" s="1">
        <f t="shared" si="17"/>
        <v>-5.1009509150379275E-6</v>
      </c>
      <c r="S62" s="1">
        <f t="shared" si="17"/>
        <v>-6.5030879866867505E-6</v>
      </c>
      <c r="T62" s="1">
        <f t="shared" si="17"/>
        <v>-6.0350667436814831E-6</v>
      </c>
      <c r="U62" s="1">
        <f t="shared" si="17"/>
        <v>-5.0974913958556906E-6</v>
      </c>
      <c r="V62" s="1">
        <f t="shared" si="17"/>
        <v>-3.6889193804956476E-6</v>
      </c>
      <c r="W62" s="1">
        <f t="shared" si="17"/>
        <v>-2.7484998555982187E-6</v>
      </c>
    </row>
    <row r="63" spans="2:48" outlineLevel="1" x14ac:dyDescent="0.2">
      <c r="B63" s="79" t="s">
        <v>110</v>
      </c>
      <c r="C63" s="1"/>
      <c r="D63" s="1">
        <f t="shared" ref="D63:W63" si="18">-D13</f>
        <v>0</v>
      </c>
      <c r="E63" s="1">
        <f t="shared" si="18"/>
        <v>0</v>
      </c>
      <c r="F63" s="1">
        <f t="shared" si="18"/>
        <v>0</v>
      </c>
      <c r="G63" s="1">
        <f t="shared" si="18"/>
        <v>0</v>
      </c>
      <c r="H63" s="1">
        <f t="shared" si="18"/>
        <v>0</v>
      </c>
      <c r="I63" s="1">
        <f t="shared" si="18"/>
        <v>0</v>
      </c>
      <c r="J63" s="1">
        <f t="shared" si="18"/>
        <v>0</v>
      </c>
      <c r="K63" s="1">
        <f t="shared" si="18"/>
        <v>0</v>
      </c>
      <c r="L63" s="1">
        <f t="shared" si="18"/>
        <v>0</v>
      </c>
      <c r="M63" s="1">
        <f t="shared" si="18"/>
        <v>0</v>
      </c>
      <c r="N63" s="1">
        <f t="shared" si="18"/>
        <v>0</v>
      </c>
      <c r="O63" s="1">
        <f t="shared" si="18"/>
        <v>0</v>
      </c>
      <c r="P63" s="1">
        <f t="shared" si="18"/>
        <v>0</v>
      </c>
      <c r="Q63" s="1">
        <f t="shared" si="18"/>
        <v>0</v>
      </c>
      <c r="R63" s="1">
        <f t="shared" si="18"/>
        <v>0</v>
      </c>
      <c r="S63" s="1">
        <f t="shared" si="18"/>
        <v>0</v>
      </c>
      <c r="T63" s="1">
        <f t="shared" si="18"/>
        <v>0</v>
      </c>
      <c r="U63" s="1">
        <f t="shared" si="18"/>
        <v>0</v>
      </c>
      <c r="V63" s="1">
        <f t="shared" si="18"/>
        <v>0</v>
      </c>
      <c r="W63" s="1">
        <f t="shared" si="18"/>
        <v>0</v>
      </c>
    </row>
    <row r="64" spans="2:48" outlineLevel="1" x14ac:dyDescent="0.2">
      <c r="B64" s="79" t="s">
        <v>111</v>
      </c>
      <c r="C64" s="1"/>
      <c r="D64" s="1">
        <f>IF(D$56&lt;=$C$6,0,HLOOKUP(D$56,'Input data'!$C$9:$BB$26,12,FALSE)-HLOOKUP($C$6,'Input data'!$C$9:$BB$26,12,FALSE))</f>
        <v>0</v>
      </c>
      <c r="E64" s="1">
        <f>IF(E$56&lt;=$C$6,0,HLOOKUP(E$56,'Input data'!$C$9:$BB$26,12,FALSE)-HLOOKUP($C$6,'Input data'!$C$9:$BB$26,12,FALSE))</f>
        <v>0</v>
      </c>
      <c r="F64" s="1">
        <f>IF(F$56&lt;=$C$6,0,HLOOKUP(F$56,'Input data'!$C$9:$BB$26,12,FALSE)-HLOOKUP($C$6,'Input data'!$C$9:$BB$26,12,FALSE))</f>
        <v>0</v>
      </c>
      <c r="G64" s="1">
        <f>IF(G$56&lt;=$C$6,0,HLOOKUP(G$56,'Input data'!$C$9:$BB$26,12,FALSE)-HLOOKUP($C$6,'Input data'!$C$9:$BB$26,12,FALSE))</f>
        <v>0</v>
      </c>
      <c r="H64" s="1">
        <f>IF(H$56&lt;=$C$6,0,HLOOKUP(H$56,'Input data'!$C$9:$BB$26,12,FALSE)-HLOOKUP($C$6,'Input data'!$C$9:$BB$26,12,FALSE))</f>
        <v>0</v>
      </c>
      <c r="I64" s="1">
        <f>IF(I$56&lt;=$C$6,0,HLOOKUP(I$56,'Input data'!$C$9:$BB$26,12,FALSE)-HLOOKUP($C$6,'Input data'!$C$9:$BB$26,12,FALSE))</f>
        <v>0</v>
      </c>
      <c r="J64" s="1">
        <f>IF(J$56&lt;=$C$6,0,HLOOKUP(J$56,'Input data'!$C$9:$BB$26,12,FALSE)-HLOOKUP($C$6,'Input data'!$C$9:$BB$26,12,FALSE))</f>
        <v>0</v>
      </c>
      <c r="K64" s="1">
        <f>IF(K$56&lt;=$C$6,0,HLOOKUP(K$56,'Input data'!$C$9:$BB$26,12,FALSE)-HLOOKUP($C$6,'Input data'!$C$9:$BB$26,12,FALSE))</f>
        <v>-6.1849999999996186E-2</v>
      </c>
      <c r="L64" s="1">
        <f>IF(L$56&lt;=$C$6,0,HLOOKUP(L$56,'Input data'!$C$9:$BB$26,12,FALSE)-HLOOKUP($C$6,'Input data'!$C$9:$BB$26,12,FALSE))</f>
        <v>-0.12113999999999692</v>
      </c>
      <c r="M64" s="1">
        <f>IF(M$56&lt;=$C$6,0,HLOOKUP(M$56,'Input data'!$C$9:$BB$26,12,FALSE)-HLOOKUP($C$6,'Input data'!$C$9:$BB$26,12,FALSE))</f>
        <v>-0.17366999999999955</v>
      </c>
      <c r="N64" s="1">
        <f>IF(N$56&lt;=$C$6,0,HLOOKUP(N$56,'Input data'!$C$9:$BB$26,12,FALSE)-HLOOKUP($C$6,'Input data'!$C$9:$BB$26,12,FALSE))</f>
        <v>-0.21544999999999703</v>
      </c>
      <c r="O64" s="1">
        <f>IF(O$56&lt;=$C$6,0,HLOOKUP(O$56,'Input data'!$C$9:$BB$26,12,FALSE)-HLOOKUP($C$6,'Input data'!$C$9:$BB$26,12,FALSE))</f>
        <v>-0.23963999999999785</v>
      </c>
      <c r="P64" s="1">
        <f>IF(P$56&lt;=$C$6,0,HLOOKUP(P$56,'Input data'!$C$9:$BB$26,12,FALSE)-HLOOKUP($C$6,'Input data'!$C$9:$BB$26,12,FALSE))</f>
        <v>-0.24834999999999852</v>
      </c>
      <c r="Q64" s="1">
        <f>IF(Q$56&lt;=$C$6,0,HLOOKUP(Q$56,'Input data'!$C$9:$BB$26,12,FALSE)-HLOOKUP($C$6,'Input data'!$C$9:$BB$26,12,FALSE))</f>
        <v>-0.24143999999999721</v>
      </c>
      <c r="R64" s="1">
        <f>IF(R$56&lt;=$C$6,0,HLOOKUP(R$56,'Input data'!$C$9:$BB$26,12,FALSE)-HLOOKUP($C$6,'Input data'!$C$9:$BB$26,12,FALSE))</f>
        <v>-0.22022999999999904</v>
      </c>
      <c r="S64" s="1">
        <f>IF(S$56&lt;=$C$6,0,HLOOKUP(S$56,'Input data'!$C$9:$BB$26,12,FALSE)-HLOOKUP($C$6,'Input data'!$C$9:$BB$26,12,FALSE))</f>
        <v>-0.1892499999999977</v>
      </c>
      <c r="T64" s="1">
        <f>IF(T$56&lt;=$C$6,0,HLOOKUP(T$56,'Input data'!$C$9:$BB$26,12,FALSE)-HLOOKUP($C$6,'Input data'!$C$9:$BB$26,12,FALSE))</f>
        <v>-0.15066999999999808</v>
      </c>
      <c r="U64" s="1">
        <f>IF(U$56&lt;=$C$6,0,HLOOKUP(U$56,'Input data'!$C$9:$BB$26,12,FALSE)-HLOOKUP($C$6,'Input data'!$C$9:$BB$26,12,FALSE))</f>
        <v>-9.6399999999999153E-2</v>
      </c>
      <c r="V64" s="1">
        <f>IF(V$56&lt;=$C$6,0,HLOOKUP(V$56,'Input data'!$C$9:$BB$26,12,FALSE)-HLOOKUP($C$6,'Input data'!$C$9:$BB$26,12,FALSE))</f>
        <v>-2.3409999999998377E-2</v>
      </c>
      <c r="W64" s="1">
        <f>IF(W$56&lt;=$C$6,0,HLOOKUP(W$56,'Input data'!$C$9:$BB$26,12,FALSE)-HLOOKUP($C$6,'Input data'!$C$9:$BB$26,12,FALSE))</f>
        <v>6.7620000000001568E-2</v>
      </c>
    </row>
    <row r="65" spans="2:23" outlineLevel="1" x14ac:dyDescent="0.2">
      <c r="B65" s="79" t="s">
        <v>112</v>
      </c>
      <c r="C65" s="1"/>
      <c r="D65" s="1">
        <f>IF(D$56&lt;=$C$5,0,-HLOOKUP(D$56,'Input data'!$C$9:$BB$26,18,FALSE)+HLOOKUP($C$6,'Input data'!$C$9:$BB$26,18,FALSE))</f>
        <v>0</v>
      </c>
      <c r="E65" s="1">
        <f>IF(E$56&lt;=$C$5,0,-HLOOKUP(E$56,'Input data'!$C$9:$BB$26,18,FALSE)+HLOOKUP($C$6,'Input data'!$C$9:$BB$26,18,FALSE))</f>
        <v>0</v>
      </c>
      <c r="F65" s="1">
        <f>IF(F$56&lt;=$C$5,0,-HLOOKUP(F$56,'Input data'!$C$9:$BB$26,18,FALSE)+HLOOKUP($C$6,'Input data'!$C$9:$BB$26,18,FALSE))</f>
        <v>0</v>
      </c>
      <c r="G65" s="1">
        <f>IF(G$56&lt;=$C$6,0,-HLOOKUP(G$56,'Input data'!$C$9:$BB$26,18,FALSE)+HLOOKUP($C$6,'Input data'!$C$9:$BB$26,18,FALSE))</f>
        <v>0</v>
      </c>
      <c r="H65" s="1">
        <f>IF(H$56&lt;=$C$6,0,-HLOOKUP(H$56,'Input data'!$C$9:$BB$26,18,FALSE)+HLOOKUP($C$6,'Input data'!$C$9:$BB$26,18,FALSE))</f>
        <v>0</v>
      </c>
      <c r="I65" s="1">
        <f>IF(I$56&lt;=$C$6,0,-HLOOKUP(I$56,'Input data'!$C$9:$BB$26,18,FALSE)+HLOOKUP($C$6,'Input data'!$C$9:$BB$26,18,FALSE))</f>
        <v>0</v>
      </c>
      <c r="J65" s="1">
        <f>IF(J$56&lt;=$C$6,0,-HLOOKUP(J$56,'Input data'!$C$9:$BB$26,18,FALSE)+HLOOKUP($C$6,'Input data'!$C$9:$BB$26,18,FALSE))</f>
        <v>0</v>
      </c>
      <c r="K65" s="1">
        <f>IF(K$56&lt;=$C$6,0,-HLOOKUP(K$56,'Input data'!$C$9:$BB$26,18,FALSE)+HLOOKUP($C$6,'Input data'!$C$9:$BB$26,18,FALSE))</f>
        <v>2.8434999999999988E-3</v>
      </c>
      <c r="L65" s="1">
        <f>IF(L$56&lt;=$C$6,0,-HLOOKUP(L$56,'Input data'!$C$9:$BB$26,18,FALSE)+HLOOKUP($C$6,'Input data'!$C$9:$BB$26,18,FALSE))</f>
        <v>5.6869999999999976E-3</v>
      </c>
      <c r="M65" s="1">
        <f>IF(M$56&lt;=$C$6,0,-HLOOKUP(M$56,'Input data'!$C$9:$BB$26,18,FALSE)+HLOOKUP($C$6,'Input data'!$C$9:$BB$26,18,FALSE))</f>
        <v>8.5305999999999993E-3</v>
      </c>
      <c r="N65" s="1">
        <f>IF(N$56&lt;=$C$6,0,-HLOOKUP(N$56,'Input data'!$C$9:$BB$26,18,FALSE)+HLOOKUP($C$6,'Input data'!$C$9:$BB$26,18,FALSE))</f>
        <v>1.1374200000000001E-2</v>
      </c>
      <c r="O65" s="1">
        <f>IF(O$56&lt;=$C$6,0,-HLOOKUP(O$56,'Input data'!$C$9:$BB$26,18,FALSE)+HLOOKUP($C$6,'Input data'!$C$9:$BB$26,18,FALSE))</f>
        <v>1.42177E-2</v>
      </c>
      <c r="P65" s="1">
        <f>IF(P$56&lt;=$C$6,0,-HLOOKUP(P$56,'Input data'!$C$9:$BB$26,18,FALSE)+HLOOKUP($C$6,'Input data'!$C$9:$BB$26,18,FALSE))</f>
        <v>1.7061199999999999E-2</v>
      </c>
      <c r="Q65" s="1">
        <f>IF(Q$56&lt;=$C$6,0,-HLOOKUP(Q$56,'Input data'!$C$9:$BB$26,18,FALSE)+HLOOKUP($C$6,'Input data'!$C$9:$BB$26,18,FALSE))</f>
        <v>1.99048E-2</v>
      </c>
      <c r="R65" s="1">
        <f>IF(R$56&lt;=$C$6,0,-HLOOKUP(R$56,'Input data'!$C$9:$BB$26,18,FALSE)+HLOOKUP($C$6,'Input data'!$C$9:$BB$26,18,FALSE))</f>
        <v>2.2748299999999999E-2</v>
      </c>
      <c r="S65" s="1">
        <f>IF(S$56&lt;=$C$6,0,-HLOOKUP(S$56,'Input data'!$C$9:$BB$26,18,FALSE)+HLOOKUP($C$6,'Input data'!$C$9:$BB$26,18,FALSE))</f>
        <v>2.5591900000000001E-2</v>
      </c>
      <c r="T65" s="1">
        <f>IF(T$56&lt;=$C$6,0,-HLOOKUP(T$56,'Input data'!$C$9:$BB$26,18,FALSE)+HLOOKUP($C$6,'Input data'!$C$9:$BB$26,18,FALSE))</f>
        <v>2.84354E-2</v>
      </c>
      <c r="U65" s="1">
        <f>IF(U$56&lt;=$C$6,0,-HLOOKUP(U$56,'Input data'!$C$9:$BB$26,18,FALSE)+HLOOKUP($C$6,'Input data'!$C$9:$BB$26,18,FALSE))</f>
        <v>3.1279000000000001E-2</v>
      </c>
      <c r="V65" s="1">
        <f>IF(V$56&lt;=$C$6,0,-HLOOKUP(V$56,'Input data'!$C$9:$BB$26,18,FALSE)+HLOOKUP($C$6,'Input data'!$C$9:$BB$26,18,FALSE))</f>
        <v>3.41225E-2</v>
      </c>
      <c r="W65" s="1">
        <f>IF(W$56&lt;=$C$6,0,-HLOOKUP(W$56,'Input data'!$C$9:$BB$26,18,FALSE)+HLOOKUP($C$6,'Input data'!$C$9:$BB$26,18,FALSE))</f>
        <v>3.6965999999999999E-2</v>
      </c>
    </row>
    <row r="66" spans="2:23" outlineLevel="1" x14ac:dyDescent="0.2">
      <c r="B66" s="79" t="s">
        <v>113</v>
      </c>
      <c r="C66" s="37"/>
      <c r="D66" s="37">
        <v>0</v>
      </c>
      <c r="E66" s="37">
        <v>0</v>
      </c>
      <c r="F66" s="37">
        <v>0</v>
      </c>
      <c r="G66" s="37">
        <v>0</v>
      </c>
      <c r="H66" s="37">
        <v>0</v>
      </c>
      <c r="I66" s="37">
        <v>0</v>
      </c>
      <c r="J66" s="37">
        <v>0</v>
      </c>
      <c r="K66" s="37">
        <v>0</v>
      </c>
      <c r="L66" s="37">
        <v>0</v>
      </c>
      <c r="M66" s="37">
        <v>0</v>
      </c>
      <c r="N66" s="37">
        <v>0</v>
      </c>
      <c r="O66" s="37">
        <v>0</v>
      </c>
      <c r="P66" s="37">
        <v>0</v>
      </c>
      <c r="Q66" s="37">
        <v>0</v>
      </c>
      <c r="R66" s="37">
        <v>0</v>
      </c>
      <c r="S66" s="37">
        <v>0</v>
      </c>
      <c r="T66" s="37">
        <v>0</v>
      </c>
      <c r="U66" s="37">
        <v>0</v>
      </c>
      <c r="V66" s="37">
        <v>0</v>
      </c>
      <c r="W66" s="37">
        <v>0</v>
      </c>
    </row>
    <row r="67" spans="2:23" outlineLevel="1" x14ac:dyDescent="0.2">
      <c r="B67" s="84" t="s">
        <v>114</v>
      </c>
      <c r="C67" s="48"/>
      <c r="D67" s="48">
        <f t="shared" ref="D67:T67" si="19">SUM(D68:D71)</f>
        <v>-5.5832499999999978</v>
      </c>
      <c r="E67" s="48">
        <f>SUM(E68:E71)</f>
        <v>-4.0893289999999958</v>
      </c>
      <c r="F67" s="48">
        <f t="shared" si="19"/>
        <v>-2.6188770000000026</v>
      </c>
      <c r="G67" s="48">
        <f t="shared" si="19"/>
        <v>-2.1483854355699523</v>
      </c>
      <c r="H67" s="48">
        <f t="shared" si="19"/>
        <v>-2.1688915081585369</v>
      </c>
      <c r="I67" s="48">
        <f t="shared" si="19"/>
        <v>-2.1667920973324937</v>
      </c>
      <c r="J67" s="48">
        <f t="shared" si="19"/>
        <v>-2.1005956649741151</v>
      </c>
      <c r="K67" s="48">
        <f t="shared" si="19"/>
        <v>-1.889041756083311</v>
      </c>
      <c r="L67" s="48">
        <f t="shared" si="19"/>
        <v>-1.7700636046021279</v>
      </c>
      <c r="M67" s="48">
        <f t="shared" si="19"/>
        <v>-1.6237912509306429</v>
      </c>
      <c r="N67" s="48">
        <f t="shared" si="19"/>
        <v>-1.3301167990104226</v>
      </c>
      <c r="O67" s="48">
        <f t="shared" si="19"/>
        <v>-1.2475248809943948</v>
      </c>
      <c r="P67" s="48">
        <f t="shared" si="19"/>
        <v>-1.025905251224875</v>
      </c>
      <c r="Q67" s="48">
        <f t="shared" si="19"/>
        <v>-0.81412045534942146</v>
      </c>
      <c r="R67" s="48">
        <f t="shared" si="19"/>
        <v>-0.60900554033179488</v>
      </c>
      <c r="S67" s="48">
        <f t="shared" si="19"/>
        <v>-0.51740144390753096</v>
      </c>
      <c r="T67" s="48">
        <f t="shared" si="19"/>
        <v>-0.41490548570018659</v>
      </c>
      <c r="U67" s="48">
        <f t="shared" ref="U67:W67" si="20">SUM(U68:U71)</f>
        <v>-0.30105738915753055</v>
      </c>
      <c r="V67" s="48">
        <f t="shared" si="20"/>
        <v>-0.19118613732402912</v>
      </c>
      <c r="W67" s="48">
        <f t="shared" si="20"/>
        <v>-8.6451920275990579E-2</v>
      </c>
    </row>
    <row r="68" spans="2:23" outlineLevel="1" x14ac:dyDescent="0.2">
      <c r="B68" s="79" t="s">
        <v>115</v>
      </c>
      <c r="C68" s="34"/>
      <c r="D68" s="34">
        <f>C57*D36/100*(1/(1+D33/100))</f>
        <v>0.94020825338464531</v>
      </c>
      <c r="E68" s="34">
        <f>D57*E36/100*(1/(1+E33/100))</f>
        <v>1.1036091376320842</v>
      </c>
      <c r="F68" s="34">
        <f t="shared" ref="F68:W68" si="21">E57*F36/100*(1/(1+F33/100))</f>
        <v>1.2783144254813359</v>
      </c>
      <c r="G68" s="34">
        <f>F57*G36/100*(1/(1+G33/100))</f>
        <v>1.3294576949361674</v>
      </c>
      <c r="H68" s="34">
        <f t="shared" si="21"/>
        <v>1.3911880922919946</v>
      </c>
      <c r="I68" s="34">
        <f t="shared" si="21"/>
        <v>1.4373170782341744</v>
      </c>
      <c r="J68" s="34">
        <f t="shared" si="21"/>
        <v>1.4710602023192987</v>
      </c>
      <c r="K68" s="34">
        <f t="shared" si="21"/>
        <v>1.55087546135303</v>
      </c>
      <c r="L68" s="34">
        <f t="shared" si="21"/>
        <v>1.5915521220983335</v>
      </c>
      <c r="M68" s="34">
        <f t="shared" si="21"/>
        <v>1.6269274562315383</v>
      </c>
      <c r="N68" s="34">
        <f t="shared" si="21"/>
        <v>1.6625023653121009</v>
      </c>
      <c r="O68" s="34">
        <f t="shared" si="21"/>
        <v>1.6978418997587084</v>
      </c>
      <c r="P68" s="34">
        <f t="shared" si="21"/>
        <v>1.7335694976638052</v>
      </c>
      <c r="Q68" s="34">
        <f t="shared" si="21"/>
        <v>1.7718715877724465</v>
      </c>
      <c r="R68" s="34">
        <f t="shared" si="21"/>
        <v>1.8140172770033047</v>
      </c>
      <c r="S68" s="34">
        <f t="shared" si="21"/>
        <v>1.8570655261924716</v>
      </c>
      <c r="T68" s="34">
        <f t="shared" si="21"/>
        <v>1.9022915706873751</v>
      </c>
      <c r="U68" s="34">
        <f t="shared" si="21"/>
        <v>1.9508555135935566</v>
      </c>
      <c r="V68" s="34">
        <f t="shared" si="21"/>
        <v>2.0036212387649091</v>
      </c>
      <c r="W68" s="34">
        <f t="shared" si="21"/>
        <v>2.0614724192606872</v>
      </c>
    </row>
    <row r="69" spans="2:23" outlineLevel="1" x14ac:dyDescent="0.2">
      <c r="B69" s="79" t="s">
        <v>116</v>
      </c>
      <c r="C69" s="34"/>
      <c r="D69" s="34">
        <f t="shared" ref="D69:W69" si="22">-C57*(D23/100)*(1/(1+D33/100))</f>
        <v>-3.8279967050558779</v>
      </c>
      <c r="E69" s="34">
        <f>-D57*(E23/100)*(1/(1+E33/100))</f>
        <v>-2.6067445173410442</v>
      </c>
      <c r="F69" s="34">
        <f t="shared" si="22"/>
        <v>-2.1260856686799876</v>
      </c>
      <c r="G69" s="34">
        <f t="shared" si="22"/>
        <v>-2.1921013063143944</v>
      </c>
      <c r="H69" s="34">
        <f t="shared" si="22"/>
        <v>-2.2559368845447985</v>
      </c>
      <c r="I69" s="34">
        <f t="shared" si="22"/>
        <v>-2.2935856188455142</v>
      </c>
      <c r="J69" s="34">
        <f t="shared" si="22"/>
        <v>-2.2649237423944961</v>
      </c>
      <c r="K69" s="34">
        <f t="shared" si="22"/>
        <v>-2.1458056301449222</v>
      </c>
      <c r="L69" s="34">
        <f t="shared" si="22"/>
        <v>-2.0797810371122432</v>
      </c>
      <c r="M69" s="34">
        <f t="shared" si="22"/>
        <v>-1.9830513122121189</v>
      </c>
      <c r="N69" s="34">
        <f t="shared" si="22"/>
        <v>-1.7401676405691924</v>
      </c>
      <c r="O69" s="34">
        <f t="shared" si="22"/>
        <v>-1.7018218422779523</v>
      </c>
      <c r="P69" s="34">
        <f t="shared" si="22"/>
        <v>-1.5372704787118701</v>
      </c>
      <c r="Q69" s="34">
        <f t="shared" si="22"/>
        <v>-1.379707768136424</v>
      </c>
      <c r="R69" s="34">
        <f t="shared" si="22"/>
        <v>-1.2272678731506204</v>
      </c>
      <c r="S69" s="34">
        <f t="shared" si="22"/>
        <v>-1.1838430620900804</v>
      </c>
      <c r="T69" s="34">
        <f t="shared" si="22"/>
        <v>-1.1289299388131628</v>
      </c>
      <c r="U69" s="34">
        <f t="shared" si="22"/>
        <v>-1.0628963621222864</v>
      </c>
      <c r="V69" s="34">
        <f t="shared" si="22"/>
        <v>-1.0014258463764423</v>
      </c>
      <c r="W69" s="34">
        <f t="shared" si="22"/>
        <v>-0.94636147015991312</v>
      </c>
    </row>
    <row r="70" spans="2:23" outlineLevel="1" x14ac:dyDescent="0.2">
      <c r="B70" s="79" t="s">
        <v>117</v>
      </c>
      <c r="C70" s="34"/>
      <c r="D70" s="34">
        <f t="shared" ref="D70:T70" si="23">-C57*D42/100*(1/(1+D42/100))</f>
        <v>-2.6954615106143631</v>
      </c>
      <c r="E70" s="34">
        <f>-D57*E42/100*(1/(1+E42/100))</f>
        <v>-2.5861962367945783</v>
      </c>
      <c r="F70" s="34">
        <f t="shared" si="23"/>
        <v>-1.7711092855302355</v>
      </c>
      <c r="G70" s="34">
        <f t="shared" si="23"/>
        <v>-1.2857443532503172</v>
      </c>
      <c r="H70" s="34">
        <f t="shared" si="23"/>
        <v>-1.3041427159057333</v>
      </c>
      <c r="I70" s="34">
        <f t="shared" si="23"/>
        <v>-1.3105235567211539</v>
      </c>
      <c r="J70" s="34">
        <f t="shared" si="23"/>
        <v>-1.3067321248989174</v>
      </c>
      <c r="K70" s="34">
        <f t="shared" si="23"/>
        <v>-1.2941115872914188</v>
      </c>
      <c r="L70" s="34">
        <f t="shared" si="23"/>
        <v>-1.2818346895882182</v>
      </c>
      <c r="M70" s="34">
        <f t="shared" si="23"/>
        <v>-1.2676673949500623</v>
      </c>
      <c r="N70" s="34">
        <f t="shared" si="23"/>
        <v>-1.2524515237533311</v>
      </c>
      <c r="O70" s="34">
        <f t="shared" si="23"/>
        <v>-1.2435449384751509</v>
      </c>
      <c r="P70" s="34">
        <f t="shared" si="23"/>
        <v>-1.2222042701768101</v>
      </c>
      <c r="Q70" s="34">
        <f t="shared" si="23"/>
        <v>-1.2062842749854439</v>
      </c>
      <c r="R70" s="34">
        <f t="shared" si="23"/>
        <v>-1.1957549441844793</v>
      </c>
      <c r="S70" s="34">
        <f t="shared" si="23"/>
        <v>-1.1906239080099221</v>
      </c>
      <c r="T70" s="34">
        <f t="shared" si="23"/>
        <v>-1.1882671175743988</v>
      </c>
      <c r="U70" s="34">
        <f t="shared" ref="U70" si="24">-T57*U42/100*(1/(1+U42/100))</f>
        <v>-1.1890165406288007</v>
      </c>
      <c r="V70" s="34">
        <f t="shared" ref="V70" si="25">-U57*V42/100*(1/(1+V42/100))</f>
        <v>-1.1933815297124959</v>
      </c>
      <c r="W70" s="34">
        <f t="shared" ref="W70" si="26">-V57*W42/100*(1/(1+W42/100))</f>
        <v>-1.2015628693767646</v>
      </c>
    </row>
    <row r="71" spans="2:23" outlineLevel="1" x14ac:dyDescent="0.2">
      <c r="B71" s="79" t="s">
        <v>118</v>
      </c>
      <c r="C71" s="49"/>
      <c r="D71" s="49">
        <f>'Baseline NFPC'!D70</f>
        <v>-3.7714402267852165E-8</v>
      </c>
      <c r="E71" s="49">
        <f>'Baseline NFPC'!E70</f>
        <v>2.6165035427183625E-6</v>
      </c>
      <c r="F71" s="49">
        <f>'Baseline NFPC'!F70</f>
        <v>3.5287288846497233E-6</v>
      </c>
      <c r="G71" s="49">
        <f>'Baseline NFPC'!G70</f>
        <v>2.5290585918824604E-6</v>
      </c>
      <c r="H71" s="49">
        <f>'Baseline NFPC'!H70</f>
        <v>0</v>
      </c>
      <c r="I71" s="49">
        <f>'Baseline NFPC'!I70</f>
        <v>0</v>
      </c>
      <c r="J71" s="49">
        <f>'Baseline NFPC'!J70</f>
        <v>0</v>
      </c>
      <c r="K71" s="49">
        <f>'Baseline NFPC'!K70</f>
        <v>0</v>
      </c>
      <c r="L71" s="49">
        <f>'Baseline NFPC'!L70</f>
        <v>0</v>
      </c>
      <c r="M71" s="49">
        <f>'Baseline NFPC'!M70</f>
        <v>0</v>
      </c>
      <c r="N71" s="49">
        <f>'Baseline NFPC'!N70</f>
        <v>0</v>
      </c>
      <c r="O71" s="49">
        <f>'Baseline NFPC'!O70</f>
        <v>0</v>
      </c>
      <c r="P71" s="49">
        <f>'Baseline NFPC'!P70</f>
        <v>0</v>
      </c>
      <c r="Q71" s="49">
        <f>'Baseline NFPC'!Q70</f>
        <v>0</v>
      </c>
      <c r="R71" s="49">
        <f>'Baseline NFPC'!R70</f>
        <v>0</v>
      </c>
      <c r="S71" s="49">
        <f>'Baseline NFPC'!S70</f>
        <v>0</v>
      </c>
      <c r="T71" s="49">
        <f>'Baseline NFPC'!T70</f>
        <v>0</v>
      </c>
      <c r="U71" s="49">
        <f>'Baseline NFPC'!U70</f>
        <v>0</v>
      </c>
      <c r="V71" s="49">
        <f>'Baseline NFPC'!V70</f>
        <v>0</v>
      </c>
      <c r="W71" s="49">
        <f>'Baseline NFPC'!W70</f>
        <v>0</v>
      </c>
    </row>
    <row r="72" spans="2:23" outlineLevel="1" x14ac:dyDescent="0.2">
      <c r="B72" s="84" t="s">
        <v>119</v>
      </c>
      <c r="C72" s="50"/>
      <c r="D72" s="50">
        <f>'Input data'!D16</f>
        <v>-1.3102750000000001</v>
      </c>
      <c r="E72" s="50">
        <f>'Input data'!E16</f>
        <v>-0.94044799999999995</v>
      </c>
      <c r="F72" s="50">
        <f>'Input data'!F16</f>
        <v>1.1851989999999999</v>
      </c>
      <c r="G72" s="50">
        <f>'Input data'!G16</f>
        <v>6.6724400000000003E-2</v>
      </c>
      <c r="H72" s="50">
        <f>'Input data'!H16</f>
        <v>0</v>
      </c>
      <c r="I72" s="50">
        <f>'Input data'!I16</f>
        <v>0</v>
      </c>
      <c r="J72" s="50">
        <f>'Input data'!J16</f>
        <v>0</v>
      </c>
      <c r="K72" s="50">
        <f>'Input data'!K16</f>
        <v>0</v>
      </c>
      <c r="L72" s="50">
        <f>'Input data'!L16</f>
        <v>0</v>
      </c>
      <c r="M72" s="50">
        <f>'Input data'!M16</f>
        <v>0</v>
      </c>
      <c r="N72" s="50">
        <f>'Input data'!N16</f>
        <v>0</v>
      </c>
      <c r="O72" s="50">
        <f>'Input data'!O16</f>
        <v>0</v>
      </c>
      <c r="P72" s="50">
        <f>'Input data'!P16</f>
        <v>0</v>
      </c>
      <c r="Q72" s="50">
        <f>'Input data'!Q16</f>
        <v>0</v>
      </c>
      <c r="R72" s="50">
        <f>'Input data'!R16</f>
        <v>0</v>
      </c>
      <c r="S72" s="50">
        <f>'Input data'!S16</f>
        <v>0</v>
      </c>
      <c r="T72" s="50">
        <f>'Input data'!T16</f>
        <v>0</v>
      </c>
      <c r="U72" s="50">
        <f>'Input data'!U16</f>
        <v>0</v>
      </c>
      <c r="V72" s="50">
        <f>'Input data'!V16</f>
        <v>0</v>
      </c>
      <c r="W72" s="50">
        <f>'Input data'!W16</f>
        <v>0</v>
      </c>
    </row>
    <row r="73" spans="2:23" outlineLevel="1" x14ac:dyDescent="0.2">
      <c r="B73" s="79" t="s">
        <v>120</v>
      </c>
      <c r="C73" s="34"/>
      <c r="D73" s="34">
        <f t="shared" ref="D73:W73" si="27">D14</f>
        <v>-1.3102750000000001</v>
      </c>
      <c r="E73" s="34">
        <f t="shared" si="27"/>
        <v>-0.94044729999999999</v>
      </c>
      <c r="F73" s="34">
        <f t="shared" si="27"/>
        <v>1.1851970000000001</v>
      </c>
      <c r="G73" s="34">
        <f t="shared" si="27"/>
        <v>6.6727599999999998E-2</v>
      </c>
      <c r="H73" s="34">
        <f t="shared" si="27"/>
        <v>0</v>
      </c>
      <c r="I73" s="34">
        <f t="shared" si="27"/>
        <v>0</v>
      </c>
      <c r="J73" s="34">
        <f t="shared" si="27"/>
        <v>0</v>
      </c>
      <c r="K73" s="34">
        <f t="shared" si="27"/>
        <v>0</v>
      </c>
      <c r="L73" s="34">
        <f t="shared" si="27"/>
        <v>0</v>
      </c>
      <c r="M73" s="34">
        <f t="shared" si="27"/>
        <v>0</v>
      </c>
      <c r="N73" s="34">
        <f t="shared" si="27"/>
        <v>0</v>
      </c>
      <c r="O73" s="34">
        <f t="shared" si="27"/>
        <v>0</v>
      </c>
      <c r="P73" s="34">
        <f t="shared" si="27"/>
        <v>0</v>
      </c>
      <c r="Q73" s="34">
        <f t="shared" si="27"/>
        <v>0</v>
      </c>
      <c r="R73" s="34">
        <f t="shared" si="27"/>
        <v>0</v>
      </c>
      <c r="S73" s="34">
        <f t="shared" si="27"/>
        <v>0</v>
      </c>
      <c r="T73" s="34">
        <f t="shared" si="27"/>
        <v>0</v>
      </c>
      <c r="U73" s="34">
        <f t="shared" si="27"/>
        <v>0</v>
      </c>
      <c r="V73" s="34">
        <f t="shared" si="27"/>
        <v>0</v>
      </c>
      <c r="W73" s="34">
        <f t="shared" si="27"/>
        <v>0</v>
      </c>
    </row>
    <row r="74" spans="2:23" outlineLevel="1" x14ac:dyDescent="0.2">
      <c r="B74" s="89" t="s">
        <v>121</v>
      </c>
      <c r="C74" s="49"/>
      <c r="D74" s="49">
        <f>+D72-D73</f>
        <v>0</v>
      </c>
      <c r="E74" s="49">
        <f t="shared" ref="E74:T74" si="28">+E72-E73</f>
        <v>-6.9999999996461781E-7</v>
      </c>
      <c r="F74" s="49">
        <f t="shared" si="28"/>
        <v>1.9999999998354667E-6</v>
      </c>
      <c r="G74" s="49">
        <f t="shared" si="28"/>
        <v>-3.1999999999948736E-6</v>
      </c>
      <c r="H74" s="49">
        <f t="shared" si="28"/>
        <v>0</v>
      </c>
      <c r="I74" s="49">
        <f t="shared" si="28"/>
        <v>0</v>
      </c>
      <c r="J74" s="49">
        <f t="shared" si="28"/>
        <v>0</v>
      </c>
      <c r="K74" s="49">
        <f t="shared" si="28"/>
        <v>0</v>
      </c>
      <c r="L74" s="49">
        <f t="shared" si="28"/>
        <v>0</v>
      </c>
      <c r="M74" s="49">
        <f t="shared" si="28"/>
        <v>0</v>
      </c>
      <c r="N74" s="49">
        <f t="shared" si="28"/>
        <v>0</v>
      </c>
      <c r="O74" s="49">
        <f t="shared" si="28"/>
        <v>0</v>
      </c>
      <c r="P74" s="49">
        <f t="shared" si="28"/>
        <v>0</v>
      </c>
      <c r="Q74" s="49">
        <f t="shared" si="28"/>
        <v>0</v>
      </c>
      <c r="R74" s="49">
        <f t="shared" si="28"/>
        <v>0</v>
      </c>
      <c r="S74" s="49">
        <f t="shared" si="28"/>
        <v>0</v>
      </c>
      <c r="T74" s="49">
        <f t="shared" si="28"/>
        <v>0</v>
      </c>
      <c r="U74" s="49">
        <f t="shared" ref="U74:W74" si="29">+U72-U73</f>
        <v>0</v>
      </c>
      <c r="V74" s="49">
        <f t="shared" si="29"/>
        <v>0</v>
      </c>
      <c r="W74" s="49">
        <f t="shared" si="29"/>
        <v>0</v>
      </c>
    </row>
    <row r="76" spans="2:23" x14ac:dyDescent="0.2">
      <c r="B76" s="51" t="s">
        <v>187</v>
      </c>
      <c r="C76" s="51"/>
      <c r="D76" s="51"/>
      <c r="E76" s="51"/>
      <c r="F76" s="51"/>
      <c r="G76" s="51"/>
      <c r="H76" s="51"/>
      <c r="I76" s="51"/>
      <c r="J76" s="51"/>
      <c r="K76" s="51">
        <f t="shared" ref="K76:W76" si="30">IF(K57&lt;J57,0,1)</f>
        <v>0</v>
      </c>
      <c r="L76" s="51">
        <f t="shared" si="30"/>
        <v>0</v>
      </c>
      <c r="M76" s="51">
        <f t="shared" si="30"/>
        <v>0</v>
      </c>
      <c r="N76" s="51">
        <f t="shared" si="30"/>
        <v>0</v>
      </c>
      <c r="O76" s="51">
        <f t="shared" si="30"/>
        <v>0</v>
      </c>
      <c r="P76" s="51">
        <f t="shared" si="30"/>
        <v>0</v>
      </c>
      <c r="Q76" s="51">
        <f t="shared" si="30"/>
        <v>1</v>
      </c>
      <c r="R76" s="51">
        <f t="shared" si="30"/>
        <v>1</v>
      </c>
      <c r="S76" s="51">
        <f t="shared" si="30"/>
        <v>1</v>
      </c>
      <c r="T76" s="51">
        <f t="shared" si="30"/>
        <v>1</v>
      </c>
      <c r="U76" s="51">
        <f t="shared" si="30"/>
        <v>1</v>
      </c>
      <c r="V76" s="51">
        <f t="shared" si="30"/>
        <v>1</v>
      </c>
      <c r="W76" s="51">
        <f t="shared" si="30"/>
        <v>1</v>
      </c>
    </row>
    <row r="77" spans="2:23" x14ac:dyDescent="0.2">
      <c r="D77" s="53"/>
    </row>
    <row r="78" spans="2:23" s="93" customFormat="1" ht="12.75" outlineLevel="1" x14ac:dyDescent="0.2">
      <c r="B78" s="94" t="s">
        <v>124</v>
      </c>
      <c r="C78" s="95"/>
      <c r="E78" s="96"/>
      <c r="F78" s="95"/>
    </row>
    <row r="79" spans="2:23" x14ac:dyDescent="0.2">
      <c r="C79" s="34"/>
      <c r="D79" s="34"/>
      <c r="E79" s="34"/>
      <c r="F79" s="34"/>
      <c r="G79" s="34"/>
      <c r="H79" s="34"/>
      <c r="I79" s="34"/>
      <c r="J79" s="34"/>
      <c r="K79" s="34"/>
      <c r="L79" s="34"/>
      <c r="M79" s="34"/>
      <c r="N79" s="34"/>
      <c r="O79" s="34"/>
      <c r="P79" s="34"/>
      <c r="Q79" s="34"/>
      <c r="R79" s="34"/>
      <c r="S79" s="34"/>
      <c r="T79" s="34"/>
      <c r="U79" s="34"/>
      <c r="V79" s="34"/>
      <c r="W79" s="34"/>
    </row>
    <row r="80" spans="2:23" x14ac:dyDescent="0.2">
      <c r="B80" s="26" t="s">
        <v>125</v>
      </c>
      <c r="E80" s="29">
        <f t="shared" ref="E80" si="31">IF((E84-D84*E43/((1+E23/100)*(1+E42/100)))&gt;0,1,0)</f>
        <v>1</v>
      </c>
      <c r="F80" s="29">
        <f t="shared" ref="F80" si="32">IF((F84-E84*F43/((1+F23/100)*(1+F42/100)))&gt;0,1,0)</f>
        <v>1</v>
      </c>
      <c r="G80" s="29">
        <f t="shared" ref="G80:W80" si="33">IF((G84-F84*G43/((1+G23/100)*(1+G42/100)))&gt;0,1,0)</f>
        <v>1</v>
      </c>
      <c r="H80" s="29">
        <f t="shared" si="33"/>
        <v>1</v>
      </c>
      <c r="I80" s="29">
        <f t="shared" si="33"/>
        <v>1</v>
      </c>
      <c r="J80" s="29">
        <f t="shared" si="33"/>
        <v>1</v>
      </c>
      <c r="K80" s="29">
        <f t="shared" si="33"/>
        <v>1</v>
      </c>
      <c r="L80" s="29">
        <f t="shared" si="33"/>
        <v>1</v>
      </c>
      <c r="M80" s="29">
        <f t="shared" si="33"/>
        <v>1</v>
      </c>
      <c r="N80" s="29">
        <f t="shared" si="33"/>
        <v>1</v>
      </c>
      <c r="O80" s="29">
        <f t="shared" si="33"/>
        <v>1</v>
      </c>
      <c r="P80" s="29">
        <f t="shared" si="33"/>
        <v>1</v>
      </c>
      <c r="Q80" s="29">
        <f t="shared" si="33"/>
        <v>1</v>
      </c>
      <c r="R80" s="29">
        <f t="shared" si="33"/>
        <v>1</v>
      </c>
      <c r="S80" s="29">
        <f t="shared" si="33"/>
        <v>1</v>
      </c>
      <c r="T80" s="29">
        <f t="shared" si="33"/>
        <v>1</v>
      </c>
      <c r="U80" s="29">
        <f t="shared" si="33"/>
        <v>1</v>
      </c>
      <c r="V80" s="29">
        <f t="shared" si="33"/>
        <v>1</v>
      </c>
      <c r="W80" s="29">
        <f t="shared" si="33"/>
        <v>1</v>
      </c>
    </row>
    <row r="81" spans="2:23" x14ac:dyDescent="0.2">
      <c r="B81" s="26" t="s">
        <v>126</v>
      </c>
      <c r="E81" s="29">
        <f t="shared" ref="E81" si="34">IF(AND(E80=0,ABS(E84-D84*E43/((1+E23/100)*(1+E42/100)))&lt;((D90*D84*E43/((1+E23/100)*(1+E42/100))+(E39*D84*D91*E43/((1+E23/100)*(1+E42/100)))))),1,0)</f>
        <v>0</v>
      </c>
      <c r="F81" s="29">
        <f t="shared" ref="F81" si="35">IF(AND(F80=0,ABS(F84-E84*F43/((1+F23/100)*(1+F42/100)))&lt;((E90*E84*F43/((1+F23/100)*(1+F42/100))+(F39*E84*E91*F43/((1+F23/100)*(1+F42/100)))))),1,0)</f>
        <v>0</v>
      </c>
      <c r="G81" s="29">
        <f t="shared" ref="G81:W81" si="36">IF(AND(G80=0,ABS(G84-F84*G43/((1+G23/100)*(1+G42/100)))&lt;((F90*F84*G43/((1+G23/100)*(1+G42/100))+(G39*F84*F91*G43/((1+G23/100)*(1+G42/100)))))),1,0)</f>
        <v>0</v>
      </c>
      <c r="H81" s="29">
        <f t="shared" si="36"/>
        <v>0</v>
      </c>
      <c r="I81" s="29">
        <f t="shared" si="36"/>
        <v>0</v>
      </c>
      <c r="J81" s="29">
        <f t="shared" si="36"/>
        <v>0</v>
      </c>
      <c r="K81" s="29">
        <f t="shared" si="36"/>
        <v>0</v>
      </c>
      <c r="L81" s="29">
        <f t="shared" si="36"/>
        <v>0</v>
      </c>
      <c r="M81" s="29">
        <f t="shared" si="36"/>
        <v>0</v>
      </c>
      <c r="N81" s="29">
        <f t="shared" si="36"/>
        <v>0</v>
      </c>
      <c r="O81" s="29">
        <f t="shared" si="36"/>
        <v>0</v>
      </c>
      <c r="P81" s="29">
        <f t="shared" si="36"/>
        <v>0</v>
      </c>
      <c r="Q81" s="29">
        <f t="shared" si="36"/>
        <v>0</v>
      </c>
      <c r="R81" s="29">
        <f t="shared" si="36"/>
        <v>0</v>
      </c>
      <c r="S81" s="29">
        <f t="shared" si="36"/>
        <v>0</v>
      </c>
      <c r="T81" s="29">
        <f t="shared" si="36"/>
        <v>0</v>
      </c>
      <c r="U81" s="29">
        <f t="shared" si="36"/>
        <v>0</v>
      </c>
      <c r="V81" s="29">
        <f t="shared" si="36"/>
        <v>0</v>
      </c>
      <c r="W81" s="29">
        <f t="shared" si="36"/>
        <v>0</v>
      </c>
    </row>
    <row r="83" spans="2:23" x14ac:dyDescent="0.2">
      <c r="B83" s="51"/>
      <c r="C83" s="86">
        <v>2021</v>
      </c>
      <c r="D83" s="86">
        <v>2022</v>
      </c>
      <c r="E83" s="86">
        <v>2023</v>
      </c>
      <c r="F83" s="86">
        <v>2024</v>
      </c>
      <c r="G83" s="86">
        <v>2025</v>
      </c>
      <c r="H83" s="86">
        <v>2026</v>
      </c>
      <c r="I83" s="86">
        <v>2027</v>
      </c>
      <c r="J83" s="86">
        <v>2028</v>
      </c>
      <c r="K83" s="86">
        <v>2029</v>
      </c>
      <c r="L83" s="86">
        <v>2030</v>
      </c>
      <c r="M83" s="86">
        <v>2031</v>
      </c>
      <c r="N83" s="86">
        <v>2032</v>
      </c>
      <c r="O83" s="86">
        <v>2033</v>
      </c>
      <c r="P83" s="86">
        <v>2034</v>
      </c>
      <c r="Q83" s="86">
        <v>2035</v>
      </c>
      <c r="R83" s="86">
        <v>2036</v>
      </c>
      <c r="S83" s="86">
        <v>2037</v>
      </c>
      <c r="T83" s="86">
        <v>2038</v>
      </c>
      <c r="U83" s="86">
        <v>2039</v>
      </c>
      <c r="V83" s="86">
        <v>2040</v>
      </c>
      <c r="W83" s="86">
        <v>2041</v>
      </c>
    </row>
    <row r="84" spans="2:23" x14ac:dyDescent="0.2">
      <c r="B84" s="106" t="s">
        <v>104</v>
      </c>
      <c r="C84" s="110">
        <f>C57</f>
        <v>53.925649999999997</v>
      </c>
      <c r="D84" s="110">
        <f>D57</f>
        <v>51.626479730977287</v>
      </c>
      <c r="E84" s="110">
        <f>E57</f>
        <v>50.396658431512243</v>
      </c>
      <c r="F84" s="110">
        <f>F57</f>
        <v>52.027240532489337</v>
      </c>
      <c r="G84" s="110">
        <f>G57</f>
        <v>52.730907877542279</v>
      </c>
      <c r="H84" s="110">
        <f>G84*(1+H98/100)*H43-H60-H61+H62+H63+H64+H65+H66+H72</f>
        <v>52.947955578274673</v>
      </c>
      <c r="I84" s="110">
        <f t="shared" ref="I84:T84" si="37">H84*(1+I98/100)*I43-I60-I61+I62+I63+I64+I65+I66+I72</f>
        <v>52.754005449493576</v>
      </c>
      <c r="J84" s="110">
        <f t="shared" si="37"/>
        <v>52.204191928643525</v>
      </c>
      <c r="K84" s="110">
        <f t="shared" si="37"/>
        <v>51.669079435309598</v>
      </c>
      <c r="L84" s="110">
        <f t="shared" si="37"/>
        <v>51.058652212082173</v>
      </c>
      <c r="M84" s="110">
        <f t="shared" si="37"/>
        <v>50.406964561151533</v>
      </c>
      <c r="N84" s="110">
        <f t="shared" si="37"/>
        <v>50.010013113971247</v>
      </c>
      <c r="O84" s="110">
        <f t="shared" si="37"/>
        <v>49.674306160238629</v>
      </c>
      <c r="P84" s="110">
        <f t="shared" si="37"/>
        <v>49.554351408670541</v>
      </c>
      <c r="Q84" s="110">
        <f t="shared" si="37"/>
        <v>49.655935052977931</v>
      </c>
      <c r="R84" s="110">
        <f t="shared" si="37"/>
        <v>49.986685711695223</v>
      </c>
      <c r="S84" s="110">
        <f t="shared" si="37"/>
        <v>50.44286266469971</v>
      </c>
      <c r="T84" s="110">
        <f t="shared" si="37"/>
        <v>51.042959543932774</v>
      </c>
      <c r="U84" s="110">
        <f>T84*(1+U98/100)*U43-U60-U61+U62+U63+U64+U65+U66+U72</f>
        <v>51.814019057283843</v>
      </c>
      <c r="V84" s="110">
        <f t="shared" ref="V84:W84" si="38">U84*(1+V98/100)*V43-V60-V61+V62+V63+V64+V65+V66+V72</f>
        <v>52.770784731040443</v>
      </c>
      <c r="W84" s="110">
        <f t="shared" si="38"/>
        <v>53.926159062264595</v>
      </c>
    </row>
    <row r="85" spans="2:23" x14ac:dyDescent="0.2">
      <c r="B85" s="26" t="s">
        <v>127</v>
      </c>
      <c r="C85" s="34"/>
      <c r="D85" s="254">
        <f>'Input data'!C66*$D$84</f>
        <v>40.602371246986003</v>
      </c>
      <c r="E85" s="34">
        <f t="shared" ref="E85" si="39">IF(E84=0,0,IF(E80=1,D84*E43/((1+E23/100)*(1+E42/100))-E86-E87,IF(AND(E80=0,E81=1),(1-D90-E39*D91)*D84*E43/((1+E23/100)*(1+E42/100)),E84)))</f>
        <v>37.860894175576689</v>
      </c>
      <c r="F85" s="34">
        <f t="shared" ref="F85" si="40">IF(F84=0,0,IF(F80=1,E84*F43/((1+F23/100)*(1+F42/100))-F86-F87,IF(AND(F80=0,F81=1),(1-E90-F39*E91)*E84*F43/((1+F23/100)*(1+F42/100)),F84)))</f>
        <v>38.019239464248713</v>
      </c>
      <c r="G85" s="34">
        <f t="shared" ref="G85" si="41">IF(G84=0,0,IF(G80=1,F84*G43/((1+G23/100)*(1+G42/100))-G86-G87,IF(AND(G80=0,G81=1),(1-F90-G39*F91)*F84*G43/((1+G23/100)*(1+G42/100)),G84)))</f>
        <v>39.688801788439605</v>
      </c>
      <c r="H85" s="34">
        <f t="shared" ref="H85:W85" si="42">IF(H84=0,0,IF(H80=1,G84*H43/((1+H23/100)*(1+H42/100))-H86-H87,IF(AND(H80=0,H81=1),(1-G90-H39*G91)*G84*H43/((1+H23/100)*(1+H42/100)),H84)))</f>
        <v>40.171165073085703</v>
      </c>
      <c r="I85" s="34">
        <f t="shared" si="42"/>
        <v>40.280137358718825</v>
      </c>
      <c r="J85" s="34">
        <f t="shared" si="42"/>
        <v>40.110982180469783</v>
      </c>
      <c r="K85" s="34">
        <f t="shared" si="42"/>
        <v>39.72870309359412</v>
      </c>
      <c r="L85" s="34">
        <f t="shared" si="42"/>
        <v>39.313705466042947</v>
      </c>
      <c r="M85" s="34">
        <f t="shared" si="42"/>
        <v>38.862867323544954</v>
      </c>
      <c r="N85" s="34">
        <f t="shared" si="42"/>
        <v>38.497268522675924</v>
      </c>
      <c r="O85" s="34">
        <f t="shared" si="42"/>
        <v>38.167261104431859</v>
      </c>
      <c r="P85" s="34">
        <f t="shared" si="42"/>
        <v>38.060074393216645</v>
      </c>
      <c r="Q85" s="34">
        <f t="shared" si="42"/>
        <v>38.117258090044373</v>
      </c>
      <c r="R85" s="34">
        <f t="shared" si="42"/>
        <v>38.345266836574147</v>
      </c>
      <c r="S85" s="34">
        <f t="shared" si="42"/>
        <v>38.666118242287368</v>
      </c>
      <c r="T85" s="34">
        <f t="shared" si="42"/>
        <v>39.095658312733264</v>
      </c>
      <c r="U85" s="34">
        <f t="shared" si="42"/>
        <v>39.648439824159901</v>
      </c>
      <c r="V85" s="34">
        <f t="shared" si="42"/>
        <v>40.333409754201355</v>
      </c>
      <c r="W85" s="34">
        <f t="shared" si="42"/>
        <v>41.161024376361468</v>
      </c>
    </row>
    <row r="86" spans="2:23" x14ac:dyDescent="0.2">
      <c r="B86" s="105" t="s">
        <v>128</v>
      </c>
      <c r="C86" s="34"/>
      <c r="D86" s="254">
        <f>'Input data'!C67*$D$84</f>
        <v>4.064303127827737E-2</v>
      </c>
      <c r="E86" s="34">
        <f t="shared" ref="E86" si="43">IF(E84=0,0,IF(E80=1,E39*D84*D91*E43/((1+E23/100)*(1+E42/100)),IF(AND(E80=0,E81=1),(E39*D84*D91*E43/((1+E23/100)*(1+E42/100)))*(1-ABS(E84-D84*E43/((1+E23/100)*(1+E42/100)))/((E39*D84*D91*E43/((1+E23/100)*(1+E42/100)))+(D90*D84*E43/((1+E23/100)*(1+E42/100))))),0)))</f>
        <v>1.9515624310289765</v>
      </c>
      <c r="F86" s="34">
        <f t="shared" ref="F86" si="44">IF(F84=0,0,IF(F80=1,F39*E84*E91*F43/((1+F23/100)*(1+F42/100)),IF(AND(F80=0,F81=1),(F39*E84*E91*F43/((1+F23/100)*(1+F42/100)))*(1-ABS(F84-E84*F43/((1+F23/100)*(1+F42/100)))/((F39*E84*E91*F43/((1+F23/100)*(1+F42/100)))+(E90*E84*F43/((1+F23/100)*(1+F42/100))))),0)))</f>
        <v>1.8951143607196621</v>
      </c>
      <c r="G86" s="34">
        <f t="shared" ref="G86" si="45">IF(G84=0,0,IF(G80=1,G39*F84*F91*G43/((1+G23/100)*(1+G42/100)),IF(AND(G80=0,G81=1),(G39*F84*F91*G43/((1+G23/100)*(1+G42/100)))*(1-ABS(G84-F84*G43/((1+G23/100)*(1+G42/100)))/((G39*F84*F91*G43/((1+G23/100)*(1+G42/100)))+(F90*F84*G43/((1+G23/100)*(1+G42/100))))),0)))</f>
        <v>2.0441466815158553</v>
      </c>
      <c r="H86" s="34">
        <f t="shared" ref="H86:W86" si="46">IF(H84=0,0,IF(H80=1,H39*G84*G91*H43/((1+H23/100)*(1+H42/100)),IF(AND(H80=0,H81=1),(H39*G84*G91*H43/((1+H23/100)*(1+H42/100)))*(1-ABS(H84-G84*H43/((1+H23/100)*(1+H42/100)))/((H39*G84*G91*H43/((1+H23/100)*(1+H42/100)))+(G90*G84*H43/((1+H23/100)*(1+H42/100))))),0)))</f>
        <v>2.1358120846283555</v>
      </c>
      <c r="I86" s="34">
        <f t="shared" si="46"/>
        <v>2.2088210792668197</v>
      </c>
      <c r="J86" s="34">
        <f t="shared" si="46"/>
        <v>2.2666905555679744</v>
      </c>
      <c r="K86" s="34">
        <f t="shared" si="46"/>
        <v>2.3118046232239609</v>
      </c>
      <c r="L86" s="34">
        <f t="shared" si="46"/>
        <v>2.3538861406109817</v>
      </c>
      <c r="M86" s="34">
        <f t="shared" si="46"/>
        <v>2.3925718835634582</v>
      </c>
      <c r="N86" s="34">
        <f t="shared" si="46"/>
        <v>2.4353333584249808</v>
      </c>
      <c r="O86" s="34">
        <f t="shared" si="46"/>
        <v>2.4793740172792664</v>
      </c>
      <c r="P86" s="34">
        <f t="shared" si="46"/>
        <v>2.4724110878184007</v>
      </c>
      <c r="Q86" s="34">
        <f t="shared" si="46"/>
        <v>2.476125783817642</v>
      </c>
      <c r="R86" s="34">
        <f t="shared" si="46"/>
        <v>2.4909374036588341</v>
      </c>
      <c r="S86" s="34">
        <f t="shared" si="46"/>
        <v>2.5117801525413439</v>
      </c>
      <c r="T86" s="34">
        <f t="shared" si="46"/>
        <v>2.5396833989160292</v>
      </c>
      <c r="U86" s="34">
        <f t="shared" si="46"/>
        <v>2.5755925020846715</v>
      </c>
      <c r="V86" s="34">
        <f t="shared" si="46"/>
        <v>2.6200886644505155</v>
      </c>
      <c r="W86" s="34">
        <f t="shared" si="46"/>
        <v>2.6738511334128461</v>
      </c>
    </row>
    <row r="87" spans="2:23" x14ac:dyDescent="0.2">
      <c r="B87" s="105" t="s">
        <v>129</v>
      </c>
      <c r="C87" s="34"/>
      <c r="D87" s="254">
        <f>'Input data'!C68*$D$84</f>
        <v>6.7592062017853909</v>
      </c>
      <c r="E87" s="34">
        <f t="shared" ref="E87" si="47">IF(E84=0,0,IF(E80=1,(1-D91)*D84*E43/((1+E23/100)*(1+E42/100)),IF(AND(E80=0,E81=1),(D90*D84*E43/((1+E23/100)*(1+E42/100)))*(1-ABS(E84-D84*E43/((1+E23/100)*(1+E42/100)))/((E39*D84*D91*E43/((1+E23/100)*(1+E42/100)))+(D90*D84*E43/((1+E23/100)*(1+E42/100))))),0)))</f>
        <v>6.6210823702360049</v>
      </c>
      <c r="F87" s="34">
        <f t="shared" ref="F87" si="48">IF(F84=0,0,IF(F80=1,(1-E91)*E84*F43/((1+F23/100)*(1+F42/100)),IF(AND(F80=0,F81=1),(E90*E84*F43/((1+F23/100)*(1+F42/100)))*(1-ABS(F84-E84*F43/((1+F23/100)*(1+F42/100)))/((F39*E84*E91*F43/((1+F23/100)*(1+F42/100)))+(E90*E84*F43/((1+F23/100)*(1+F42/100))))),0)))</f>
        <v>6.5851096523336512</v>
      </c>
      <c r="G87" s="34">
        <f t="shared" ref="G87" si="49">IF(G84=0,0,IF(G80=1,(1-F91)*F84*G43/((1+G23/100)*(1+G42/100)),IF(AND(G80=0,G81=1),(F90*F84*G43/((1+G23/100)*(1+G42/100)))*(1-ABS(G84-F84*G43/((1+G23/100)*(1+G42/100)))/((G39*F84*F91*G43/((1+G23/100)*(1+G42/100)))+(F90*F84*G43/((1+G23/100)*(1+G42/100))))),0)))</f>
        <v>6.8164415480296876</v>
      </c>
      <c r="H87" s="34">
        <f t="shared" ref="H87:W87" si="50">IF(H84=0,0,IF(H80=1,(1-G91)*G84*H43/((1+H23/100)*(1+H42/100)),IF(AND(H80=0,H81=1),(G90*G84*H43/((1+H23/100)*(1+H42/100)))*(1-ABS(H84-G84*H43/((1+H23/100)*(1+H42/100)))/((H39*G84*G91*H43/((1+H23/100)*(1+H42/100)))+(G90*G84*H43/((1+H23/100)*(1+H42/100))))),0)))</f>
        <v>6.8638511193776841</v>
      </c>
      <c r="I87" s="34">
        <f t="shared" si="50"/>
        <v>6.8548879647223533</v>
      </c>
      <c r="J87" s="34">
        <f t="shared" si="50"/>
        <v>6.8046768461623985</v>
      </c>
      <c r="K87" s="34">
        <f t="shared" si="50"/>
        <v>6.7237669943891047</v>
      </c>
      <c r="L87" s="34">
        <f t="shared" si="50"/>
        <v>6.6398721019552145</v>
      </c>
      <c r="M87" s="34">
        <f t="shared" si="50"/>
        <v>6.5524942978115872</v>
      </c>
      <c r="N87" s="34">
        <f t="shared" si="50"/>
        <v>6.4817435157281063</v>
      </c>
      <c r="O87" s="34">
        <f t="shared" si="50"/>
        <v>6.4180112115070163</v>
      </c>
      <c r="P87" s="34">
        <f t="shared" si="50"/>
        <v>6.3823459303149042</v>
      </c>
      <c r="Q87" s="34">
        <f t="shared" si="50"/>
        <v>6.3749754916866657</v>
      </c>
      <c r="R87" s="34">
        <f t="shared" si="50"/>
        <v>6.3967079954098525</v>
      </c>
      <c r="S87" s="34">
        <f t="shared" si="50"/>
        <v>6.4343203467665138</v>
      </c>
      <c r="T87" s="34">
        <f t="shared" si="50"/>
        <v>6.4903238966628551</v>
      </c>
      <c r="U87" s="34">
        <f t="shared" si="50"/>
        <v>6.5670143149371114</v>
      </c>
      <c r="V87" s="34">
        <f t="shared" si="50"/>
        <v>6.6657132625430409</v>
      </c>
      <c r="W87" s="34">
        <f t="shared" si="50"/>
        <v>6.7879848817294466</v>
      </c>
    </row>
    <row r="88" spans="2:23" x14ac:dyDescent="0.2">
      <c r="B88" s="105" t="s">
        <v>130</v>
      </c>
      <c r="C88" s="34"/>
      <c r="D88" s="254">
        <f>'Input data'!C69*$D$84</f>
        <v>3.6219077873668084</v>
      </c>
      <c r="E88" s="34">
        <f>IF(E84=0,0,IF(E80=1,'Input data'!$C$58*(E84-D84*E43/((1+E23/100)*(1+E42/100))),0))</f>
        <v>3.4471835226479048</v>
      </c>
      <c r="F88" s="34">
        <f>IF(F84=0,0,IF(F80=1,'Input data'!$C$58*(F84-E84*F43/((1+F23/100)*(1+F42/100))),0))</f>
        <v>4.8081472687016928</v>
      </c>
      <c r="G88" s="34">
        <f>IF(G84=0,0,IF(G80=1,'Input data'!$C$58*(G84-F84*G43/((1+G23/100)*(1+G42/100))),0))</f>
        <v>3.6371498840731888</v>
      </c>
      <c r="H88" s="34">
        <f>IF(H84=0,0,IF(H80=1,'Input data'!$C$58*(H84-G84*H43/((1+H23/100)*(1+H42/100))),0))</f>
        <v>3.2854046274675404</v>
      </c>
      <c r="I88" s="34">
        <f>IF(I84=0,0,IF(I80=1,'Input data'!$C$58*(I84-H84*I43/((1+I23/100)*(1+I42/100))),0))</f>
        <v>2.9662098783911319</v>
      </c>
      <c r="J88" s="34">
        <f>IF(J84=0,0,IF(J80=1,'Input data'!$C$58*(J84-I84*J43/((1+J23/100)*(1+J42/100))),0))</f>
        <v>2.6284459158612772</v>
      </c>
      <c r="K88" s="34">
        <f>IF(K84=0,0,IF(K80=1,'Input data'!$C$58*(K84-J84*K43/((1+K23/100)*(1+K42/100))),0))</f>
        <v>2.5266447544584465</v>
      </c>
      <c r="L88" s="34">
        <f>IF(L84=0,0,IF(L80=1,'Input data'!$C$58*(L84-K84*L43/((1+L23/100)*(1+L42/100))),0))</f>
        <v>2.393026953980347</v>
      </c>
      <c r="M88" s="34">
        <f>IF(M84=0,0,IF(M80=1,'Input data'!$C$58*(M84-L84*M43/((1+M23/100)*(1+M42/100))),0))</f>
        <v>2.2606780174977752</v>
      </c>
      <c r="N88" s="34">
        <f>IF(N84=0,0,IF(N80=1,'Input data'!$C$58*(N84-M84*N43/((1+N23/100)*(1+N42/100))),0))</f>
        <v>2.2577525323534742</v>
      </c>
      <c r="O88" s="34">
        <f>IF(O84=0,0,IF(O80=1,'Input data'!$C$58*(O84-N84*O43/((1+O23/100)*(1+O42/100))),0))</f>
        <v>2.2699230892017033</v>
      </c>
      <c r="P88" s="34">
        <f>IF(P84=0,0,IF(P80=1,'Input data'!$C$58*(P84-O84*P43/((1+P23/100)*(1+P42/100))),0))</f>
        <v>2.2958959341334073</v>
      </c>
      <c r="Q88" s="34">
        <f>IF(Q84=0,0,IF(Q80=1,'Input data'!$C$58*(Q84-P84*Q43/((1+Q23/100)*(1+Q42/100))),0))</f>
        <v>2.3376955278642559</v>
      </c>
      <c r="R88" s="34">
        <f>IF(R84=0,0,IF(R80=1,'Input data'!$C$58*(R84-Q84*R43/((1+R23/100)*(1+R42/100))),0))</f>
        <v>2.3952754037139408</v>
      </c>
      <c r="S88" s="34">
        <f>IF(S84=0,0,IF(S80=1,'Input data'!$C$58*(S84-R84*S43/((1+S23/100)*(1+S42/100))),0))</f>
        <v>2.4621385254258774</v>
      </c>
      <c r="T88" s="34">
        <f>IF(T84=0,0,IF(T80=1,'Input data'!$C$58*(T84-S84*T43/((1+T23/100)*(1+T42/100))),0))</f>
        <v>2.5375080667176046</v>
      </c>
      <c r="U88" s="34">
        <f>IF(U84=0,0,IF(U80=1,'Input data'!$C$58*(U84-T84*U43/((1+U23/100)*(1+U42/100))),0))</f>
        <v>2.6294288681925884</v>
      </c>
      <c r="V88" s="34">
        <f>IF(V84=0,0,IF(V80=1,'Input data'!$C$58*(V84-U84*V43/((1+V23/100)*(1+V42/100))),0))</f>
        <v>2.7412877184525257</v>
      </c>
      <c r="W88" s="34">
        <f>IF(W84=0,0,IF(W80=1,'Input data'!$C$58*(W84-V84*W43/((1+W23/100)*(1+W42/100))),0))</f>
        <v>2.8732610456169083</v>
      </c>
    </row>
    <row r="89" spans="2:23" x14ac:dyDescent="0.2">
      <c r="B89" s="107" t="s">
        <v>131</v>
      </c>
      <c r="C89" s="49"/>
      <c r="D89" s="255">
        <f>'Input data'!C70*$D$84</f>
        <v>0.60234756355780006</v>
      </c>
      <c r="E89" s="49">
        <f>IF(E84=0,0,IF(E80=1,'Input data'!$C$57*(E84-D84*E43/((1+E23/100)*(1+E42/100))),0))</f>
        <v>0.51593593202267063</v>
      </c>
      <c r="F89" s="49">
        <f>IF(F84=0,0,IF(F80=1,'Input data'!$C$57*(F84-E84*F43/((1+F23/100)*(1+F42/100))),0))</f>
        <v>0.71962978648562193</v>
      </c>
      <c r="G89" s="49">
        <f>IF(G84=0,0,IF(G80=1,'Input data'!$C$57*(G84-F84*G43/((1+G23/100)*(1+G42/100))),0))</f>
        <v>0.54436797548394367</v>
      </c>
      <c r="H89" s="49">
        <f>IF(H84=0,0,IF(H80=1,'Input data'!$C$57*(H84-G84*H43/((1+H23/100)*(1+H42/100))),0))</f>
        <v>0.49172267371538886</v>
      </c>
      <c r="I89" s="49">
        <f>IF(I84=0,0,IF(I80=1,'Input data'!$C$57*(I84-H84*I43/((1+I23/100)*(1+I42/100))),0))</f>
        <v>0.44394916839444798</v>
      </c>
      <c r="J89" s="49">
        <f>IF(J84=0,0,IF(J80=1,'Input data'!$C$57*(J84-I84*J43/((1+J23/100)*(1+J42/100))),0))</f>
        <v>0.39339643058208684</v>
      </c>
      <c r="K89" s="49">
        <f>IF(K84=0,0,IF(K80=1,'Input data'!$C$57*(K84-J84*K43/((1+K23/100)*(1+K42/100))),0))</f>
        <v>0.37815996964396564</v>
      </c>
      <c r="L89" s="49">
        <f>IF(L84=0,0,IF(L80=1,'Input data'!$C$57*(L84-K84*L43/((1+L23/100)*(1+L42/100))),0))</f>
        <v>0.35816154949268414</v>
      </c>
      <c r="M89" s="49">
        <f>IF(M84=0,0,IF(M80=1,'Input data'!$C$57*(M84-L84*M43/((1+M23/100)*(1+M42/100))),0))</f>
        <v>0.33835303873376349</v>
      </c>
      <c r="N89" s="49">
        <f>IF(N84=0,0,IF(N80=1,'Input data'!$C$57*(N84-M84*N43/((1+N23/100)*(1+N42/100))),0))</f>
        <v>0.33791518478875976</v>
      </c>
      <c r="O89" s="49">
        <f>IF(O84=0,0,IF(O80=1,'Input data'!$C$57*(O84-N84*O43/((1+O23/100)*(1+O42/100))),0))</f>
        <v>0.33973673781878311</v>
      </c>
      <c r="P89" s="49">
        <f>IF(P84=0,0,IF(P80=1,'Input data'!$C$57*(P84-O84*P43/((1+P23/100)*(1+P42/100))),0))</f>
        <v>0.34362406318718297</v>
      </c>
      <c r="Q89" s="49">
        <f>IF(Q84=0,0,IF(Q80=1,'Input data'!$C$57*(Q84-P84*Q43/((1+Q23/100)*(1+Q42/100))),0))</f>
        <v>0.34988015956499596</v>
      </c>
      <c r="R89" s="49">
        <f>IF(R84=0,0,IF(R80=1,'Input data'!$C$57*(R84-Q84*R43/((1+R23/100)*(1+R42/100))),0))</f>
        <v>0.35849807233844683</v>
      </c>
      <c r="S89" s="49">
        <f>IF(S84=0,0,IF(S80=1,'Input data'!$C$57*(S84-R84*S43/((1+S23/100)*(1+S42/100))),0))</f>
        <v>0.36850539767861173</v>
      </c>
      <c r="T89" s="49">
        <f>IF(T84=0,0,IF(T80=1,'Input data'!$C$57*(T84-S84*T43/((1+T23/100)*(1+T42/100))),0))</f>
        <v>0.37978586890301547</v>
      </c>
      <c r="U89" s="49">
        <f>IF(U84=0,0,IF(U80=1,'Input data'!$C$57*(U84-T84*U43/((1+U23/100)*(1+U42/100))),0))</f>
        <v>0.39354354790956797</v>
      </c>
      <c r="V89" s="49">
        <f>IF(V84=0,0,IF(V80=1,'Input data'!$C$57*(V84-U84*V43/((1+V23/100)*(1+V42/100))),0))</f>
        <v>0.4102853313930056</v>
      </c>
      <c r="W89" s="49">
        <f>IF(W84=0,0,IF(W80=1,'Input data'!$C$57*(W84-V84*W43/((1+W23/100)*(1+W42/100))),0))</f>
        <v>0.43003762514393029</v>
      </c>
    </row>
    <row r="90" spans="2:23" x14ac:dyDescent="0.2">
      <c r="B90" s="26" t="s">
        <v>73</v>
      </c>
      <c r="C90" s="34"/>
      <c r="D90" s="260">
        <f>'Baseline NFPC'!$D$93</f>
        <v>0.14259267150708055</v>
      </c>
      <c r="E90" s="34">
        <f t="shared" ref="E90:G90" si="51">IF(E84&lt;&gt;0,(E87+E89)/(E85+E86+E87+E88+E89),0)</f>
        <v>0.14161689533360031</v>
      </c>
      <c r="F90" s="34">
        <f t="shared" si="51"/>
        <v>0.14040220784451748</v>
      </c>
      <c r="G90" s="34">
        <f t="shared" si="51"/>
        <v>0.13959193611093784</v>
      </c>
      <c r="H90" s="34">
        <f t="shared" ref="H90:W90" si="52">IF(H84&lt;&gt;0,(H87+H89)/(H85+H86+H87+H88+H89),0)</f>
        <v>0.13892082730595878</v>
      </c>
      <c r="I90" s="34">
        <f t="shared" si="52"/>
        <v>0.13835607497339081</v>
      </c>
      <c r="J90" s="34">
        <f t="shared" si="52"/>
        <v>0.13788305135693574</v>
      </c>
      <c r="K90" s="34">
        <f t="shared" si="52"/>
        <v>0.13745023216302471</v>
      </c>
      <c r="L90" s="34">
        <f t="shared" si="52"/>
        <v>0.13705872263098889</v>
      </c>
      <c r="M90" s="34">
        <f t="shared" si="52"/>
        <v>0.13670427085895392</v>
      </c>
      <c r="N90" s="34">
        <f t="shared" si="52"/>
        <v>0.13636586507136239</v>
      </c>
      <c r="O90" s="34">
        <f t="shared" si="52"/>
        <v>0.13604111404247415</v>
      </c>
      <c r="P90" s="34">
        <f t="shared" si="52"/>
        <v>0.13572914995967925</v>
      </c>
      <c r="Q90" s="34">
        <f t="shared" si="52"/>
        <v>0.13542904073957948</v>
      </c>
      <c r="R90" s="34">
        <f t="shared" si="52"/>
        <v>0.13514010724195316</v>
      </c>
      <c r="S90" s="34">
        <f t="shared" si="52"/>
        <v>0.13486200792497435</v>
      </c>
      <c r="T90" s="34">
        <f t="shared" si="52"/>
        <v>0.13459465961515721</v>
      </c>
      <c r="U90" s="34">
        <f t="shared" si="52"/>
        <v>0.13433734710197484</v>
      </c>
      <c r="V90" s="34">
        <f t="shared" si="52"/>
        <v>0.13408931911853594</v>
      </c>
      <c r="W90" s="34">
        <f t="shared" si="52"/>
        <v>0.13385011342156322</v>
      </c>
    </row>
    <row r="91" spans="2:23" x14ac:dyDescent="0.2">
      <c r="B91" s="35" t="s">
        <v>74</v>
      </c>
      <c r="C91" s="49"/>
      <c r="D91" s="261">
        <f>'Baseline NFPC'!$D$94</f>
        <v>0.85740732849291945</v>
      </c>
      <c r="E91" s="49">
        <f t="shared" ref="E91:G91" si="53">IF(E84&lt;&gt;0,(E85+E86+E88)/(E85+E86+E87+E88+E89),1)</f>
        <v>0.85838310466639967</v>
      </c>
      <c r="F91" s="49">
        <f t="shared" si="53"/>
        <v>0.8595977921554826</v>
      </c>
      <c r="G91" s="49">
        <f t="shared" si="53"/>
        <v>0.86040806388906221</v>
      </c>
      <c r="H91" s="49">
        <f t="shared" ref="H91:W91" si="54">IF(H84&lt;&gt;0,(H85+H86+H88)/(H85+H86+H87+H88+H89),1)</f>
        <v>0.86107917269404122</v>
      </c>
      <c r="I91" s="49">
        <f t="shared" si="54"/>
        <v>0.86164392502660925</v>
      </c>
      <c r="J91" s="49">
        <f t="shared" si="54"/>
        <v>0.86211694864306421</v>
      </c>
      <c r="K91" s="49">
        <f t="shared" si="54"/>
        <v>0.86254976783697535</v>
      </c>
      <c r="L91" s="49">
        <f t="shared" si="54"/>
        <v>0.86294127736901116</v>
      </c>
      <c r="M91" s="49">
        <f t="shared" si="54"/>
        <v>0.86329572914104613</v>
      </c>
      <c r="N91" s="49">
        <f t="shared" si="54"/>
        <v>0.86363413492863761</v>
      </c>
      <c r="O91" s="49">
        <f t="shared" si="54"/>
        <v>0.8639588859575259</v>
      </c>
      <c r="P91" s="49">
        <f t="shared" si="54"/>
        <v>0.86427085004032067</v>
      </c>
      <c r="Q91" s="49">
        <f t="shared" si="54"/>
        <v>0.8645709592604206</v>
      </c>
      <c r="R91" s="49">
        <f t="shared" si="54"/>
        <v>0.86485989275804676</v>
      </c>
      <c r="S91" s="49">
        <f t="shared" si="54"/>
        <v>0.86513799207502573</v>
      </c>
      <c r="T91" s="49">
        <f t="shared" si="54"/>
        <v>0.86540534038484274</v>
      </c>
      <c r="U91" s="49">
        <f t="shared" si="54"/>
        <v>0.86566265289802524</v>
      </c>
      <c r="V91" s="49">
        <f t="shared" si="54"/>
        <v>0.86591068088146395</v>
      </c>
      <c r="W91" s="49">
        <f t="shared" si="54"/>
        <v>0.86614988657843672</v>
      </c>
    </row>
    <row r="92" spans="2:23" x14ac:dyDescent="0.2">
      <c r="C92" s="38"/>
      <c r="D92" s="38"/>
      <c r="E92" s="38"/>
      <c r="F92" s="38"/>
      <c r="G92" s="38"/>
      <c r="H92" s="38"/>
      <c r="I92" s="38"/>
      <c r="J92" s="38"/>
      <c r="K92" s="38"/>
      <c r="L92" s="38"/>
      <c r="M92" s="38"/>
      <c r="N92" s="38"/>
      <c r="O92" s="38"/>
      <c r="P92" s="38"/>
      <c r="Q92" s="38"/>
      <c r="R92" s="38"/>
      <c r="S92" s="38"/>
      <c r="T92" s="38"/>
      <c r="U92" s="38"/>
      <c r="V92" s="38"/>
      <c r="W92" s="38"/>
    </row>
    <row r="93" spans="2:23" x14ac:dyDescent="0.2">
      <c r="B93" s="113" t="s">
        <v>132</v>
      </c>
      <c r="C93" s="115">
        <f>C105</f>
        <v>2.4089398384094238</v>
      </c>
      <c r="D93" s="115">
        <f>D105</f>
        <v>1.9834704399108887</v>
      </c>
      <c r="E93" s="115">
        <f t="shared" ref="E93:G93" si="55">E95+E96</f>
        <v>2.3767499999999999</v>
      </c>
      <c r="F93" s="115">
        <f t="shared" si="55"/>
        <v>2.7490950000000001</v>
      </c>
      <c r="G93" s="115">
        <f t="shared" si="55"/>
        <v>2.7383609999999998</v>
      </c>
      <c r="H93" s="115">
        <f t="shared" ref="H93:W93" si="56">H95+H96</f>
        <v>2.8292956231126509</v>
      </c>
      <c r="I93" s="115">
        <f t="shared" si="56"/>
        <v>2.9128598255268852</v>
      </c>
      <c r="J93" s="115">
        <f t="shared" si="56"/>
        <v>2.9910327888273516</v>
      </c>
      <c r="K93" s="115">
        <f t="shared" si="56"/>
        <v>3.1803517442587985</v>
      </c>
      <c r="L93" s="115">
        <f t="shared" si="56"/>
        <v>3.294629856161738</v>
      </c>
      <c r="M93" s="115">
        <f t="shared" si="56"/>
        <v>3.4030491112193917</v>
      </c>
      <c r="N93" s="115">
        <f t="shared" si="56"/>
        <v>3.5063277820203451</v>
      </c>
      <c r="O93" s="115">
        <f t="shared" si="56"/>
        <v>3.6074676684872347</v>
      </c>
      <c r="P93" s="115">
        <f t="shared" si="56"/>
        <v>3.6951416972254267</v>
      </c>
      <c r="Q93" s="115">
        <f t="shared" si="56"/>
        <v>3.7724792002679872</v>
      </c>
      <c r="R93" s="115">
        <f t="shared" si="56"/>
        <v>3.8405789335056331</v>
      </c>
      <c r="S93" s="115">
        <f t="shared" si="56"/>
        <v>3.9003969469922883</v>
      </c>
      <c r="T93" s="115">
        <f t="shared" si="56"/>
        <v>3.9527589834701722</v>
      </c>
      <c r="U93" s="115">
        <f t="shared" si="56"/>
        <v>3.9983883271463809</v>
      </c>
      <c r="V93" s="115">
        <f t="shared" si="56"/>
        <v>4.0379949033415539</v>
      </c>
      <c r="W93" s="115">
        <f t="shared" si="56"/>
        <v>4.0722163925898407</v>
      </c>
    </row>
    <row r="94" spans="2:23" x14ac:dyDescent="0.2">
      <c r="B94" s="33" t="s">
        <v>133</v>
      </c>
      <c r="C94" s="34"/>
      <c r="D94" s="34"/>
      <c r="E94" s="266">
        <f>((E36*D84)-(E38*(D87+D89)))/(D85+D86+D88)</f>
        <v>2.2015876621443162</v>
      </c>
      <c r="F94" s="266">
        <f t="shared" ref="F94:G94" si="57">((F36*E84)-(F38*(E87+E89)))/(E85+E86+E88)</f>
        <v>2.6146168494183679</v>
      </c>
      <c r="G94" s="266">
        <f t="shared" si="57"/>
        <v>2.7256186012377643</v>
      </c>
      <c r="H94" s="34">
        <f t="shared" ref="H94:W94" si="58">IF(G84&gt;0,(G94*G85+H37*(G88+G86))/(G85+G86+G88),H37)</f>
        <v>2.8332228260083951</v>
      </c>
      <c r="I94" s="34">
        <f t="shared" si="58"/>
        <v>2.9320675465268593</v>
      </c>
      <c r="J94" s="34">
        <f t="shared" si="58"/>
        <v>3.0245144505946038</v>
      </c>
      <c r="K94" s="34">
        <f t="shared" si="58"/>
        <v>3.1658166908290473</v>
      </c>
      <c r="L94" s="34">
        <f t="shared" si="58"/>
        <v>3.3001567068902951</v>
      </c>
      <c r="M94" s="34">
        <f t="shared" si="58"/>
        <v>3.4275701343798262</v>
      </c>
      <c r="N94" s="34">
        <f t="shared" si="58"/>
        <v>3.5489167897963836</v>
      </c>
      <c r="O94" s="34">
        <f t="shared" si="58"/>
        <v>3.667686334677934</v>
      </c>
      <c r="P94" s="34">
        <f t="shared" si="58"/>
        <v>3.7747163403898645</v>
      </c>
      <c r="Q94" s="34">
        <f t="shared" si="58"/>
        <v>3.8696895823432662</v>
      </c>
      <c r="R94" s="34">
        <f t="shared" si="58"/>
        <v>3.9538949043799629</v>
      </c>
      <c r="S94" s="34">
        <f t="shared" si="58"/>
        <v>4.028453167602553</v>
      </c>
      <c r="T94" s="34">
        <f t="shared" si="58"/>
        <v>4.0943323835093732</v>
      </c>
      <c r="U94" s="34">
        <f t="shared" si="58"/>
        <v>4.1523804221389433</v>
      </c>
      <c r="V94" s="34">
        <f t="shared" si="58"/>
        <v>4.203427132466385</v>
      </c>
      <c r="W94" s="34">
        <f t="shared" si="58"/>
        <v>4.2482170826413457</v>
      </c>
    </row>
    <row r="95" spans="2:23" x14ac:dyDescent="0.2">
      <c r="B95" s="26" t="s">
        <v>134</v>
      </c>
      <c r="C95" s="34"/>
      <c r="D95" s="34"/>
      <c r="E95" s="34">
        <f t="shared" ref="E95" si="59">(E94*(D85+D86+D88)+E38*(D87+D89))/D84</f>
        <v>2.3767499999999999</v>
      </c>
      <c r="F95" s="34">
        <f t="shared" ref="F95" si="60">(F94*(E85+E86+E88)+F38*(E87+E89))/E84</f>
        <v>2.7490950000000001</v>
      </c>
      <c r="G95" s="34">
        <f t="shared" ref="G95" si="61">(G94*(F85+F86+F88)+G38*(F87+F89))/F84</f>
        <v>2.7383609999999998</v>
      </c>
      <c r="H95" s="34">
        <f t="shared" ref="H95:W95" si="62">(H94*(G85+G86+G88)+H38*(G87+G89))/G84</f>
        <v>2.8292956231126509</v>
      </c>
      <c r="I95" s="34">
        <f t="shared" si="62"/>
        <v>2.9128598255268852</v>
      </c>
      <c r="J95" s="34">
        <f t="shared" si="62"/>
        <v>2.9910327888273516</v>
      </c>
      <c r="K95" s="34">
        <f t="shared" si="62"/>
        <v>3.1803517442587985</v>
      </c>
      <c r="L95" s="34">
        <f t="shared" si="62"/>
        <v>3.294629856161738</v>
      </c>
      <c r="M95" s="34">
        <f t="shared" si="62"/>
        <v>3.4030491112193917</v>
      </c>
      <c r="N95" s="34">
        <f t="shared" si="62"/>
        <v>3.5063277820203451</v>
      </c>
      <c r="O95" s="34">
        <f t="shared" si="62"/>
        <v>3.6074676684872347</v>
      </c>
      <c r="P95" s="34">
        <f t="shared" si="62"/>
        <v>3.6951416972254267</v>
      </c>
      <c r="Q95" s="34">
        <f t="shared" si="62"/>
        <v>3.7724792002679872</v>
      </c>
      <c r="R95" s="34">
        <f t="shared" si="62"/>
        <v>3.8405789335056331</v>
      </c>
      <c r="S95" s="34">
        <f t="shared" si="62"/>
        <v>3.9003969469922883</v>
      </c>
      <c r="T95" s="34">
        <f t="shared" si="62"/>
        <v>3.9527589834701722</v>
      </c>
      <c r="U95" s="34">
        <f t="shared" si="62"/>
        <v>3.9983883271463809</v>
      </c>
      <c r="V95" s="34">
        <f t="shared" si="62"/>
        <v>4.0379949033415539</v>
      </c>
      <c r="W95" s="34">
        <f t="shared" si="62"/>
        <v>4.0722163925898407</v>
      </c>
    </row>
    <row r="96" spans="2:23" x14ac:dyDescent="0.2">
      <c r="B96" s="35" t="s">
        <v>135</v>
      </c>
      <c r="C96" s="114"/>
      <c r="D96" s="114"/>
      <c r="E96" s="49">
        <f>IF('Criteria results'!$F$5=4,E106,E111)</f>
        <v>0</v>
      </c>
      <c r="F96" s="49">
        <f>IF('Criteria results'!$F$5=4,F106,F111)</f>
        <v>0</v>
      </c>
      <c r="G96" s="49">
        <f>IF('Criteria results'!$F$5=4,G106,G111)</f>
        <v>0</v>
      </c>
      <c r="H96" s="49">
        <f>IF('Criteria results'!$F$5=4,H106,H111)</f>
        <v>0</v>
      </c>
      <c r="I96" s="49">
        <f>IF('Criteria results'!$F$5=4,I106,I111)</f>
        <v>0</v>
      </c>
      <c r="J96" s="49">
        <f>IF('Criteria results'!$F$5=4,J106,J111)</f>
        <v>0</v>
      </c>
      <c r="K96" s="49">
        <f>IF('Criteria results'!$F$5=4,K106,K111)</f>
        <v>0</v>
      </c>
      <c r="L96" s="49">
        <f>IF('Criteria results'!$F$5=4,L106,L111)</f>
        <v>0</v>
      </c>
      <c r="M96" s="49">
        <f>IF('Criteria results'!$F$5=4,M106,M111)</f>
        <v>0</v>
      </c>
      <c r="N96" s="49">
        <f>IF('Criteria results'!$F$5=4,N106,N111)</f>
        <v>0</v>
      </c>
      <c r="O96" s="49">
        <f>IF('Criteria results'!$F$5=4,O106,O111)</f>
        <v>0</v>
      </c>
      <c r="P96" s="49">
        <f>IF('Criteria results'!$F$5=4,P106,P111)</f>
        <v>0</v>
      </c>
      <c r="Q96" s="49">
        <f>IF('Criteria results'!$F$5=4,Q106,Q111)</f>
        <v>0</v>
      </c>
      <c r="R96" s="49">
        <f>IF('Criteria results'!$F$5=4,R106,R111)</f>
        <v>0</v>
      </c>
      <c r="S96" s="49">
        <f>IF('Criteria results'!$F$5=4,S106,S111)</f>
        <v>0</v>
      </c>
      <c r="T96" s="49">
        <f>IF('Criteria results'!$F$5=4,T106,T111)</f>
        <v>0</v>
      </c>
      <c r="U96" s="49">
        <f>IF('Criteria results'!$F$5=4,U106,U111)</f>
        <v>0</v>
      </c>
      <c r="V96" s="49">
        <f>IF('Criteria results'!$F$5=4,V106,V111)</f>
        <v>0</v>
      </c>
      <c r="W96" s="49">
        <f>IF('Criteria results'!$F$5=4,W106,W111)</f>
        <v>0</v>
      </c>
    </row>
    <row r="98" spans="1:54" x14ac:dyDescent="0.2">
      <c r="B98" s="113" t="s">
        <v>186</v>
      </c>
      <c r="C98" s="115">
        <f>((1+C93/100)/((1+C23/100)*(1+C42/100))-1)*100</f>
        <v>-10.770396889428092</v>
      </c>
      <c r="D98" s="115">
        <f t="shared" ref="D98:T98" si="63">((1+D93/100)/((1+D23/100)*(1+D42/100))-1)*100</f>
        <v>-10.353606778514845</v>
      </c>
      <c r="E98" s="115">
        <f t="shared" si="63"/>
        <v>-7.9209964301513835</v>
      </c>
      <c r="F98" s="115">
        <f t="shared" si="63"/>
        <v>-5.1965360605959248</v>
      </c>
      <c r="G98" s="115">
        <f t="shared" si="63"/>
        <v>-4.1293521290773461</v>
      </c>
      <c r="H98" s="115">
        <f t="shared" si="63"/>
        <v>-4.1131313596864061</v>
      </c>
      <c r="I98" s="115">
        <f t="shared" si="63"/>
        <v>-4.0923054982345057</v>
      </c>
      <c r="J98" s="115">
        <f t="shared" si="63"/>
        <v>-3.9818695226568557</v>
      </c>
      <c r="K98" s="115">
        <f t="shared" si="63"/>
        <v>-3.6185633495972813</v>
      </c>
      <c r="L98" s="115">
        <f t="shared" si="63"/>
        <v>-3.4257695781444553</v>
      </c>
      <c r="M98" s="115">
        <f t="shared" si="63"/>
        <v>-3.1802469916085929</v>
      </c>
      <c r="N98" s="115">
        <f t="shared" si="63"/>
        <v>-2.6387559945149741</v>
      </c>
      <c r="O98" s="115">
        <f t="shared" si="63"/>
        <v>-2.4945501976800788</v>
      </c>
      <c r="P98" s="115">
        <f t="shared" si="63"/>
        <v>-2.0652633736151782</v>
      </c>
      <c r="Q98" s="115">
        <f t="shared" si="63"/>
        <v>-1.6428838885114927</v>
      </c>
      <c r="R98" s="115">
        <f t="shared" si="63"/>
        <v>-1.2264506542511877</v>
      </c>
      <c r="S98" s="115">
        <f t="shared" si="63"/>
        <v>-1.0350785144902619</v>
      </c>
      <c r="T98" s="115">
        <f t="shared" si="63"/>
        <v>-0.82252565334786087</v>
      </c>
      <c r="U98" s="115">
        <f>((1+U93/100)/((1+U23/100)*(1+U42/100))-1)*100</f>
        <v>-0.58981178177650584</v>
      </c>
      <c r="V98" s="115">
        <f t="shared" ref="V98:W98" si="64">((1+V93/100)/((1+V23/100)*(1+V42/100))-1)*100</f>
        <v>-0.36898534566996988</v>
      </c>
      <c r="W98" s="115">
        <f t="shared" si="64"/>
        <v>-0.1638253452485583</v>
      </c>
    </row>
    <row r="101" spans="1:54" s="25" customFormat="1" ht="12.75" outlineLevel="1" x14ac:dyDescent="0.2">
      <c r="B101" s="25" t="s">
        <v>136</v>
      </c>
      <c r="C101" s="112"/>
      <c r="D101" s="112"/>
      <c r="E101" s="112"/>
      <c r="F101" s="112"/>
      <c r="G101" s="112"/>
      <c r="H101" s="112"/>
      <c r="I101" s="112"/>
      <c r="J101" s="112"/>
      <c r="K101" s="112"/>
      <c r="L101" s="112"/>
      <c r="M101" s="112"/>
      <c r="N101" s="112"/>
      <c r="O101" s="112"/>
      <c r="P101" s="112"/>
      <c r="Q101" s="112"/>
      <c r="R101" s="112"/>
      <c r="S101" s="112"/>
      <c r="T101" s="112"/>
      <c r="U101" s="112"/>
      <c r="V101" s="112"/>
      <c r="W101" s="112"/>
    </row>
    <row r="102" spans="1:54" s="127" customFormat="1" ht="12.75" outlineLevel="1" x14ac:dyDescent="0.2">
      <c r="C102" s="128"/>
      <c r="D102" s="128"/>
      <c r="E102" s="128"/>
      <c r="F102" s="128"/>
      <c r="G102" s="128"/>
      <c r="H102" s="128"/>
      <c r="I102" s="128"/>
      <c r="J102" s="128"/>
      <c r="K102" s="128"/>
      <c r="L102" s="128"/>
      <c r="M102" s="128"/>
      <c r="N102" s="128"/>
      <c r="O102" s="128"/>
      <c r="P102" s="128"/>
      <c r="Q102" s="128"/>
      <c r="R102" s="128"/>
      <c r="S102" s="128"/>
      <c r="T102" s="128"/>
      <c r="U102" s="128"/>
      <c r="V102" s="128"/>
      <c r="W102" s="128"/>
    </row>
    <row r="103" spans="1:54" s="127" customFormat="1" ht="12.75" outlineLevel="1" x14ac:dyDescent="0.2">
      <c r="B103" s="106" t="s">
        <v>293</v>
      </c>
      <c r="C103" s="129"/>
      <c r="D103" s="129"/>
      <c r="E103" s="129"/>
      <c r="F103" s="129"/>
      <c r="G103" s="129"/>
      <c r="H103" s="129"/>
      <c r="I103" s="129"/>
      <c r="J103" s="129"/>
      <c r="K103" s="129"/>
      <c r="L103" s="129"/>
      <c r="M103" s="129"/>
      <c r="N103" s="129"/>
      <c r="O103" s="129"/>
      <c r="P103" s="129"/>
      <c r="Q103" s="129"/>
      <c r="R103" s="129"/>
      <c r="S103" s="129"/>
      <c r="T103" s="129"/>
      <c r="U103" s="129"/>
      <c r="V103" s="129"/>
      <c r="W103" s="129"/>
    </row>
    <row r="104" spans="1:54" outlineLevel="1" x14ac:dyDescent="0.2">
      <c r="B104" s="120" t="s">
        <v>43</v>
      </c>
      <c r="C104" s="34">
        <v>53.925647735595703</v>
      </c>
      <c r="D104" s="34">
        <v>51.626441955566406</v>
      </c>
      <c r="E104" s="34">
        <v>50.3966064453125</v>
      </c>
      <c r="F104" s="34">
        <v>52.027179718017578</v>
      </c>
      <c r="G104" s="34">
        <v>52.730838775634766</v>
      </c>
      <c r="H104" s="34">
        <v>52.947887420654297</v>
      </c>
      <c r="I104" s="34">
        <v>52.753932952880859</v>
      </c>
      <c r="J104" s="34">
        <v>52.204116821289063</v>
      </c>
      <c r="K104" s="34">
        <v>51.66900634765625</v>
      </c>
      <c r="L104" s="34">
        <v>51.058578491210938</v>
      </c>
      <c r="M104" s="34">
        <v>50.406909942626953</v>
      </c>
      <c r="N104" s="34">
        <v>50.009967803955078</v>
      </c>
      <c r="O104" s="34">
        <v>49.674270629882813</v>
      </c>
      <c r="P104" s="34">
        <v>49.554332733154297</v>
      </c>
      <c r="Q104" s="34">
        <v>49.655918121337891</v>
      </c>
      <c r="R104" s="34">
        <v>49.986682891845703</v>
      </c>
      <c r="S104" s="34">
        <v>50.442874908447266</v>
      </c>
      <c r="T104" s="34">
        <v>51.042976379394531</v>
      </c>
      <c r="U104" s="34">
        <v>51.814048767089844</v>
      </c>
      <c r="V104" s="34">
        <v>52.770824432373047</v>
      </c>
      <c r="W104" s="34">
        <v>53.92620849609375</v>
      </c>
      <c r="X104" s="34"/>
      <c r="Y104" s="34"/>
      <c r="Z104" s="34"/>
    </row>
    <row r="105" spans="1:54" s="5" customFormat="1" ht="12.75" x14ac:dyDescent="0.2">
      <c r="A105" s="26"/>
      <c r="B105" s="26" t="s">
        <v>132</v>
      </c>
      <c r="C105" s="1">
        <v>2.4089398384094238</v>
      </c>
      <c r="D105" s="1">
        <v>1.9834704399108887</v>
      </c>
      <c r="E105" s="1">
        <v>2.3767504692077637</v>
      </c>
      <c r="F105" s="1">
        <v>2.7490947246551514</v>
      </c>
      <c r="G105" s="1">
        <v>2.738361120223999</v>
      </c>
      <c r="H105" s="1">
        <v>2.8292953968048096</v>
      </c>
      <c r="I105" s="1">
        <v>2.9128596782684326</v>
      </c>
      <c r="J105" s="1">
        <v>2.991032600402832</v>
      </c>
      <c r="K105" s="1">
        <v>3.1803514957427979</v>
      </c>
      <c r="L105" s="1">
        <v>3.2946295738220215</v>
      </c>
      <c r="M105" s="1">
        <v>3.4030487537384033</v>
      </c>
      <c r="N105" s="1">
        <v>3.5063278675079346</v>
      </c>
      <c r="O105" s="1">
        <v>3.6074676513671875</v>
      </c>
      <c r="P105" s="1">
        <v>3.6951420307159424</v>
      </c>
      <c r="Q105" s="1">
        <v>3.7724792957305908</v>
      </c>
      <c r="R105" s="1">
        <v>3.8405790328979492</v>
      </c>
      <c r="S105" s="1">
        <v>3.9003973007202148</v>
      </c>
      <c r="T105" s="1">
        <v>3.9527595043182373</v>
      </c>
      <c r="U105" s="1">
        <v>3.9983887672424316</v>
      </c>
      <c r="V105" s="1">
        <v>4.0379953384399414</v>
      </c>
      <c r="W105" s="1">
        <v>4.0722169876098633</v>
      </c>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row>
    <row r="106" spans="1:54" s="5" customFormat="1" ht="12.75" x14ac:dyDescent="0.2">
      <c r="B106" s="26" t="s">
        <v>185</v>
      </c>
      <c r="C106" s="1"/>
      <c r="D106" s="1"/>
      <c r="E106" s="1"/>
      <c r="F106" s="1"/>
      <c r="G106" s="1">
        <v>0</v>
      </c>
      <c r="H106" s="1">
        <v>0</v>
      </c>
      <c r="I106" s="1">
        <v>0</v>
      </c>
      <c r="J106" s="1">
        <v>0</v>
      </c>
      <c r="K106" s="1">
        <v>0</v>
      </c>
      <c r="L106" s="1">
        <v>0</v>
      </c>
      <c r="M106" s="1">
        <v>0</v>
      </c>
      <c r="N106" s="1">
        <v>0</v>
      </c>
      <c r="O106" s="1">
        <v>0</v>
      </c>
      <c r="P106" s="1">
        <v>0</v>
      </c>
      <c r="Q106" s="1">
        <v>0</v>
      </c>
      <c r="R106" s="1">
        <v>0</v>
      </c>
      <c r="S106" s="1">
        <v>0</v>
      </c>
      <c r="T106" s="1">
        <v>0</v>
      </c>
      <c r="U106" s="1">
        <v>0</v>
      </c>
      <c r="V106" s="1">
        <v>0</v>
      </c>
      <c r="W106" s="1">
        <v>0</v>
      </c>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row>
    <row r="107" spans="1:54" s="5" customFormat="1" ht="12.75" x14ac:dyDescent="0.2">
      <c r="B107" s="26"/>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row>
    <row r="108" spans="1:54" s="5" customFormat="1" ht="12.75" x14ac:dyDescent="0.2">
      <c r="B108" s="106" t="s">
        <v>294</v>
      </c>
      <c r="C108" s="37"/>
      <c r="D108" s="37"/>
      <c r="E108" s="37"/>
      <c r="F108" s="37"/>
      <c r="G108" s="37"/>
      <c r="H108" s="37"/>
      <c r="I108" s="37"/>
      <c r="J108" s="37"/>
      <c r="K108" s="37"/>
      <c r="L108" s="37"/>
      <c r="M108" s="37"/>
      <c r="N108" s="37"/>
      <c r="O108" s="37"/>
      <c r="P108" s="37"/>
      <c r="Q108" s="37"/>
      <c r="R108" s="37"/>
      <c r="S108" s="37"/>
      <c r="T108" s="37"/>
      <c r="U108" s="37"/>
      <c r="V108" s="37"/>
      <c r="W108" s="37"/>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row>
    <row r="109" spans="1:54" outlineLevel="1" x14ac:dyDescent="0.2">
      <c r="B109" s="120" t="s">
        <v>43</v>
      </c>
      <c r="C109" s="34">
        <v>53.925647735595703</v>
      </c>
      <c r="D109" s="34">
        <v>51.626441955566406</v>
      </c>
      <c r="E109" s="34">
        <v>50.3966064453125</v>
      </c>
      <c r="F109" s="34">
        <v>52.027179718017578</v>
      </c>
      <c r="G109" s="34">
        <v>52.779010772705078</v>
      </c>
      <c r="H109" s="34">
        <v>53.185359954833984</v>
      </c>
      <c r="I109" s="34">
        <v>53.323013305664063</v>
      </c>
      <c r="J109" s="34">
        <v>53.246349334716797</v>
      </c>
      <c r="K109" s="34">
        <v>52.954090118408203</v>
      </c>
      <c r="L109" s="34">
        <v>52.475807189941406</v>
      </c>
      <c r="M109" s="34">
        <v>51.846275329589844</v>
      </c>
      <c r="N109" s="34">
        <v>51.420021057128906</v>
      </c>
      <c r="O109" s="34">
        <v>50.969482421875</v>
      </c>
      <c r="P109" s="34">
        <v>50.653079986572266</v>
      </c>
      <c r="Q109" s="34">
        <v>50.669540405273438</v>
      </c>
      <c r="R109" s="34">
        <v>50.923770904541016</v>
      </c>
      <c r="S109" s="34">
        <v>51.308845520019531</v>
      </c>
      <c r="T109" s="34">
        <v>51.842838287353516</v>
      </c>
      <c r="U109" s="34">
        <v>52.552394866943359</v>
      </c>
      <c r="V109" s="34">
        <v>53.451625823974609</v>
      </c>
      <c r="W109" s="34">
        <v>54.552860260009766</v>
      </c>
      <c r="X109" s="34"/>
      <c r="Y109" s="34"/>
      <c r="Z109" s="34"/>
    </row>
    <row r="110" spans="1:54" x14ac:dyDescent="0.2">
      <c r="B110" s="26" t="s">
        <v>132</v>
      </c>
      <c r="C110" s="1">
        <v>2.4089398384094238</v>
      </c>
      <c r="D110" s="1">
        <v>1.9834704399108887</v>
      </c>
      <c r="E110" s="1">
        <v>2.3767504692077637</v>
      </c>
      <c r="F110" s="1">
        <v>2.7490947246551514</v>
      </c>
      <c r="G110" s="1">
        <v>2.738361120223999</v>
      </c>
      <c r="H110" s="1">
        <v>2.8306419849395752</v>
      </c>
      <c r="I110" s="1">
        <v>2.9167966842651367</v>
      </c>
      <c r="J110" s="1">
        <v>2.9987335205078125</v>
      </c>
      <c r="K110" s="1">
        <v>3.0771398544311523</v>
      </c>
      <c r="L110" s="1">
        <v>3.1525537967681885</v>
      </c>
      <c r="M110" s="1">
        <v>3.2253818511962891</v>
      </c>
      <c r="N110" s="1">
        <v>3.4113638401031494</v>
      </c>
      <c r="O110" s="1">
        <v>3.5243515968322754</v>
      </c>
      <c r="P110" s="1">
        <v>3.6211650371551514</v>
      </c>
      <c r="Q110" s="1">
        <v>3.7054140567779541</v>
      </c>
      <c r="R110" s="1">
        <v>3.779926061630249</v>
      </c>
      <c r="S110" s="1">
        <v>3.845674991607666</v>
      </c>
      <c r="T110" s="1">
        <v>3.9035036563873291</v>
      </c>
      <c r="U110" s="1">
        <v>3.9541542530059814</v>
      </c>
      <c r="V110" s="1">
        <v>3.9983632564544678</v>
      </c>
      <c r="W110" s="1">
        <v>4.0367960929870605</v>
      </c>
      <c r="X110" s="1"/>
      <c r="Y110" s="1"/>
      <c r="Z110" s="1"/>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60"/>
    </row>
    <row r="111" spans="1:54" x14ac:dyDescent="0.2">
      <c r="B111" s="26" t="s">
        <v>185</v>
      </c>
      <c r="C111" s="34"/>
      <c r="D111" s="34"/>
      <c r="E111" s="34"/>
      <c r="F111" s="34"/>
      <c r="G111" s="34">
        <v>0</v>
      </c>
      <c r="H111" s="34">
        <v>0</v>
      </c>
      <c r="I111" s="34">
        <v>0</v>
      </c>
      <c r="J111" s="34">
        <v>0</v>
      </c>
      <c r="K111" s="34">
        <v>0</v>
      </c>
      <c r="L111" s="34">
        <v>0</v>
      </c>
      <c r="M111" s="34">
        <v>0</v>
      </c>
      <c r="N111" s="34">
        <v>0</v>
      </c>
      <c r="O111" s="34">
        <v>0</v>
      </c>
      <c r="P111" s="34">
        <v>0</v>
      </c>
      <c r="Q111" s="34">
        <v>0</v>
      </c>
      <c r="R111" s="34">
        <v>0</v>
      </c>
      <c r="S111" s="34">
        <v>0</v>
      </c>
      <c r="T111" s="34">
        <v>0</v>
      </c>
      <c r="U111" s="34">
        <v>0</v>
      </c>
      <c r="V111" s="34">
        <v>0</v>
      </c>
      <c r="W111" s="34">
        <v>0</v>
      </c>
    </row>
    <row r="113" spans="2:25" x14ac:dyDescent="0.2">
      <c r="C113" s="34"/>
      <c r="D113" s="34"/>
      <c r="E113" s="34"/>
      <c r="F113" s="34"/>
      <c r="G113" s="34"/>
      <c r="H113" s="34"/>
      <c r="I113" s="34"/>
      <c r="J113" s="34"/>
      <c r="K113" s="34"/>
      <c r="L113" s="34"/>
      <c r="M113" s="34"/>
      <c r="N113" s="34"/>
      <c r="O113" s="34"/>
      <c r="P113" s="34"/>
      <c r="Q113" s="34"/>
      <c r="R113" s="34"/>
      <c r="S113" s="34"/>
      <c r="T113" s="34"/>
      <c r="U113" s="34"/>
      <c r="V113" s="34"/>
      <c r="W113" s="34"/>
    </row>
    <row r="114" spans="2:25" x14ac:dyDescent="0.2">
      <c r="C114" s="34"/>
      <c r="D114" s="34"/>
      <c r="E114" s="34"/>
      <c r="F114" s="34"/>
      <c r="G114" s="34"/>
      <c r="H114" s="34"/>
      <c r="I114" s="34"/>
      <c r="J114" s="34"/>
      <c r="K114" s="34"/>
      <c r="L114" s="34"/>
      <c r="M114" s="34"/>
      <c r="N114" s="34"/>
      <c r="O114" s="34"/>
      <c r="P114" s="34"/>
      <c r="Q114" s="34"/>
      <c r="R114" s="34"/>
      <c r="S114" s="34"/>
      <c r="T114" s="34"/>
      <c r="U114" s="34"/>
      <c r="V114" s="34"/>
      <c r="W114" s="34"/>
    </row>
    <row r="115" spans="2:25" x14ac:dyDescent="0.2">
      <c r="C115" s="34"/>
      <c r="D115" s="34"/>
      <c r="E115" s="34"/>
      <c r="F115" s="34"/>
      <c r="G115" s="122"/>
      <c r="H115" s="122"/>
      <c r="I115" s="122"/>
      <c r="J115" s="122"/>
      <c r="K115" s="122"/>
      <c r="L115" s="122"/>
      <c r="M115" s="122"/>
      <c r="N115" s="122"/>
      <c r="O115" s="122"/>
      <c r="P115" s="122"/>
      <c r="Q115" s="122"/>
      <c r="R115" s="122"/>
      <c r="S115" s="122"/>
      <c r="T115" s="122"/>
      <c r="U115" s="122"/>
      <c r="V115" s="122"/>
      <c r="W115" s="122"/>
    </row>
    <row r="116" spans="2:25" x14ac:dyDescent="0.2">
      <c r="C116" s="34"/>
      <c r="D116" s="34"/>
      <c r="E116" s="34"/>
      <c r="F116" s="34"/>
      <c r="G116" s="122"/>
      <c r="H116" s="122"/>
      <c r="I116" s="122"/>
      <c r="J116" s="122"/>
      <c r="K116" s="122"/>
      <c r="L116" s="122"/>
      <c r="M116" s="122"/>
      <c r="N116" s="122"/>
      <c r="O116" s="122"/>
      <c r="P116" s="122"/>
      <c r="Q116" s="122"/>
      <c r="R116" s="122"/>
      <c r="S116" s="122"/>
      <c r="T116" s="122"/>
      <c r="U116" s="122"/>
      <c r="V116" s="122"/>
      <c r="W116" s="122"/>
    </row>
    <row r="117" spans="2:25" x14ac:dyDescent="0.2">
      <c r="C117" s="36"/>
      <c r="D117" s="123"/>
      <c r="E117" s="123"/>
      <c r="F117" s="123"/>
      <c r="G117" s="123"/>
      <c r="H117" s="123"/>
      <c r="I117" s="123"/>
      <c r="J117" s="123"/>
      <c r="K117" s="123"/>
      <c r="L117" s="123"/>
      <c r="M117" s="123"/>
      <c r="N117" s="123"/>
      <c r="O117" s="123"/>
      <c r="P117" s="123"/>
      <c r="Q117" s="123"/>
      <c r="R117" s="123"/>
      <c r="S117" s="123"/>
      <c r="T117" s="123"/>
      <c r="U117" s="123"/>
      <c r="V117" s="123"/>
      <c r="W117" s="123"/>
    </row>
    <row r="118" spans="2:25" x14ac:dyDescent="0.2">
      <c r="C118" s="36"/>
      <c r="D118" s="36"/>
      <c r="E118" s="34"/>
      <c r="F118" s="34"/>
      <c r="G118" s="122"/>
      <c r="H118" s="122"/>
      <c r="I118" s="122"/>
      <c r="J118" s="122"/>
      <c r="K118" s="122"/>
      <c r="L118" s="122"/>
      <c r="M118" s="122"/>
      <c r="N118" s="122"/>
      <c r="O118" s="122"/>
      <c r="P118" s="122"/>
      <c r="Q118" s="122"/>
      <c r="R118" s="122"/>
      <c r="S118" s="122"/>
      <c r="T118" s="122"/>
      <c r="U118" s="122"/>
      <c r="V118" s="122"/>
      <c r="W118" s="122"/>
    </row>
    <row r="119" spans="2:25" x14ac:dyDescent="0.2">
      <c r="E119" s="34"/>
      <c r="F119" s="34"/>
      <c r="G119" s="122"/>
      <c r="H119" s="122"/>
      <c r="I119" s="122"/>
      <c r="J119" s="122"/>
      <c r="K119" s="122"/>
      <c r="L119" s="122"/>
      <c r="M119" s="122"/>
      <c r="N119" s="122"/>
      <c r="O119" s="122"/>
      <c r="P119" s="122"/>
      <c r="Q119" s="122"/>
      <c r="R119" s="122"/>
      <c r="S119" s="122"/>
      <c r="T119" s="122"/>
      <c r="U119" s="122"/>
      <c r="V119" s="122"/>
      <c r="W119" s="122"/>
      <c r="X119" s="53"/>
      <c r="Y119" s="53"/>
    </row>
    <row r="120" spans="2:25" x14ac:dyDescent="0.2">
      <c r="B120" s="33"/>
      <c r="C120" s="97"/>
      <c r="D120" s="97"/>
      <c r="G120" s="123"/>
      <c r="H120" s="123"/>
      <c r="I120" s="123"/>
      <c r="J120" s="123"/>
      <c r="K120" s="123"/>
      <c r="L120" s="123"/>
      <c r="M120" s="123"/>
      <c r="N120" s="123"/>
      <c r="O120" s="123"/>
      <c r="P120" s="123"/>
      <c r="Q120" s="123"/>
      <c r="R120" s="123"/>
      <c r="S120" s="123"/>
      <c r="T120" s="123"/>
      <c r="U120" s="123"/>
      <c r="V120" s="123"/>
      <c r="W120" s="123"/>
      <c r="X120" s="53"/>
      <c r="Y120" s="53"/>
    </row>
    <row r="121" spans="2:25" x14ac:dyDescent="0.2">
      <c r="C121" s="97"/>
      <c r="D121" s="97"/>
      <c r="E121" s="34"/>
      <c r="F121" s="34"/>
      <c r="G121" s="122"/>
      <c r="H121" s="122"/>
      <c r="I121" s="122"/>
      <c r="J121" s="122"/>
      <c r="K121" s="122"/>
      <c r="L121" s="122"/>
      <c r="M121" s="122"/>
      <c r="N121" s="122"/>
      <c r="O121" s="122"/>
      <c r="P121" s="122"/>
      <c r="Q121" s="122"/>
      <c r="R121" s="122"/>
      <c r="S121" s="122"/>
      <c r="T121" s="122"/>
      <c r="U121" s="122"/>
      <c r="V121" s="122"/>
      <c r="W121" s="122"/>
      <c r="X121" s="53"/>
      <c r="Y121" s="53"/>
    </row>
    <row r="122" spans="2:25" x14ac:dyDescent="0.2">
      <c r="E122" s="34"/>
      <c r="F122" s="34"/>
      <c r="G122" s="122"/>
      <c r="H122" s="122"/>
      <c r="I122" s="122"/>
      <c r="J122" s="122"/>
      <c r="K122" s="122"/>
      <c r="L122" s="122"/>
      <c r="M122" s="122"/>
      <c r="N122" s="122"/>
      <c r="O122" s="122"/>
      <c r="P122" s="122"/>
      <c r="Q122" s="122"/>
      <c r="R122" s="122"/>
      <c r="S122" s="122"/>
      <c r="T122" s="122"/>
      <c r="U122" s="122"/>
      <c r="V122" s="122"/>
      <c r="W122" s="122"/>
      <c r="X122" s="53"/>
      <c r="Y122" s="53"/>
    </row>
    <row r="123" spans="2:25" x14ac:dyDescent="0.2">
      <c r="C123" s="97"/>
      <c r="D123" s="97"/>
      <c r="E123" s="97"/>
      <c r="F123" s="97"/>
      <c r="G123" s="123"/>
      <c r="H123" s="123"/>
      <c r="I123" s="123"/>
      <c r="J123" s="123"/>
      <c r="K123" s="123"/>
      <c r="L123" s="123"/>
      <c r="M123" s="123"/>
      <c r="N123" s="123"/>
      <c r="O123" s="123"/>
      <c r="P123" s="123"/>
      <c r="Q123" s="123"/>
      <c r="R123" s="123"/>
      <c r="S123" s="123"/>
      <c r="T123" s="123"/>
      <c r="U123" s="123"/>
      <c r="V123" s="123"/>
      <c r="W123" s="123"/>
      <c r="X123" s="53"/>
      <c r="Y123" s="53"/>
    </row>
    <row r="124" spans="2:25" x14ac:dyDescent="0.2">
      <c r="E124" s="34"/>
      <c r="F124" s="34"/>
      <c r="G124" s="122"/>
      <c r="H124" s="122"/>
      <c r="I124" s="122"/>
      <c r="J124" s="122"/>
      <c r="K124" s="122"/>
      <c r="L124" s="122"/>
      <c r="M124" s="122"/>
      <c r="N124" s="122"/>
      <c r="O124" s="122"/>
      <c r="P124" s="122"/>
      <c r="Q124" s="122"/>
      <c r="R124" s="122"/>
      <c r="S124" s="122"/>
      <c r="T124" s="122"/>
      <c r="U124" s="122"/>
      <c r="V124" s="122"/>
      <c r="W124" s="122"/>
      <c r="X124" s="53"/>
      <c r="Y124" s="53"/>
    </row>
    <row r="125" spans="2:25" x14ac:dyDescent="0.2">
      <c r="E125" s="34"/>
      <c r="F125" s="34"/>
      <c r="G125" s="122"/>
      <c r="H125" s="122"/>
      <c r="I125" s="122"/>
      <c r="J125" s="122"/>
      <c r="K125" s="122"/>
      <c r="L125" s="122"/>
      <c r="M125" s="122"/>
      <c r="N125" s="122"/>
      <c r="O125" s="122"/>
      <c r="P125" s="122"/>
      <c r="Q125" s="122"/>
      <c r="R125" s="122"/>
      <c r="S125" s="122"/>
      <c r="T125" s="122"/>
      <c r="U125" s="122"/>
      <c r="V125" s="122"/>
      <c r="W125" s="122"/>
      <c r="X125" s="122"/>
      <c r="Y125" s="53"/>
    </row>
    <row r="126" spans="2:25" x14ac:dyDescent="0.2">
      <c r="G126" s="122"/>
      <c r="H126" s="122"/>
      <c r="I126" s="122"/>
      <c r="J126" s="122"/>
      <c r="K126" s="122"/>
      <c r="L126" s="122"/>
      <c r="M126" s="122"/>
      <c r="N126" s="122"/>
      <c r="O126" s="122"/>
      <c r="P126" s="122"/>
      <c r="Q126" s="122"/>
      <c r="R126" s="122"/>
      <c r="S126" s="122"/>
      <c r="T126" s="122"/>
      <c r="U126" s="122"/>
      <c r="V126" s="122"/>
      <c r="W126" s="122"/>
      <c r="X126" s="122"/>
      <c r="Y126" s="53"/>
    </row>
    <row r="127" spans="2:25" x14ac:dyDescent="0.2">
      <c r="C127" s="97"/>
      <c r="D127" s="97"/>
      <c r="E127" s="34"/>
      <c r="F127" s="34"/>
      <c r="G127" s="122"/>
      <c r="H127" s="122"/>
      <c r="I127" s="122"/>
      <c r="J127" s="122"/>
      <c r="K127" s="122"/>
      <c r="L127" s="122"/>
      <c r="M127" s="122"/>
      <c r="N127" s="122"/>
      <c r="O127" s="122"/>
      <c r="P127" s="122"/>
      <c r="Q127" s="122"/>
      <c r="R127" s="122"/>
      <c r="S127" s="122"/>
      <c r="T127" s="122"/>
      <c r="U127" s="122"/>
      <c r="V127" s="122"/>
      <c r="W127" s="122"/>
      <c r="X127" s="122"/>
      <c r="Y127" s="53"/>
    </row>
    <row r="128" spans="2:25" x14ac:dyDescent="0.2">
      <c r="E128" s="34"/>
      <c r="F128" s="34"/>
      <c r="G128" s="122"/>
      <c r="H128" s="122"/>
      <c r="I128" s="122"/>
      <c r="J128" s="122"/>
      <c r="K128" s="122"/>
      <c r="L128" s="122"/>
      <c r="M128" s="122"/>
      <c r="N128" s="122"/>
      <c r="O128" s="122"/>
      <c r="P128" s="122"/>
      <c r="Q128" s="122"/>
      <c r="R128" s="122"/>
      <c r="S128" s="122"/>
      <c r="T128" s="122"/>
      <c r="U128" s="122"/>
      <c r="V128" s="122"/>
      <c r="W128" s="122"/>
      <c r="X128" s="122"/>
      <c r="Y128" s="53"/>
    </row>
    <row r="129" spans="6:25" x14ac:dyDescent="0.2">
      <c r="G129" s="122"/>
      <c r="H129" s="122"/>
      <c r="I129" s="122"/>
      <c r="J129" s="122"/>
      <c r="K129" s="122"/>
      <c r="L129" s="122"/>
      <c r="M129" s="122"/>
      <c r="N129" s="122"/>
      <c r="O129" s="122"/>
      <c r="P129" s="122"/>
      <c r="Q129" s="122"/>
      <c r="R129" s="122"/>
      <c r="S129" s="122"/>
      <c r="T129" s="122"/>
      <c r="U129" s="122"/>
      <c r="V129" s="122"/>
      <c r="W129" s="122"/>
      <c r="X129" s="122"/>
      <c r="Y129" s="53"/>
    </row>
    <row r="130" spans="6:25" x14ac:dyDescent="0.2">
      <c r="F130" s="34"/>
      <c r="G130" s="122"/>
      <c r="H130" s="122"/>
      <c r="I130" s="122"/>
      <c r="J130" s="122"/>
      <c r="K130" s="122"/>
      <c r="L130" s="122"/>
      <c r="M130" s="122"/>
      <c r="N130" s="122"/>
      <c r="O130" s="122"/>
      <c r="P130" s="122"/>
      <c r="Q130" s="122"/>
      <c r="R130" s="122"/>
      <c r="S130" s="122"/>
      <c r="T130" s="122"/>
      <c r="U130" s="122"/>
      <c r="V130" s="122"/>
      <c r="W130" s="122"/>
      <c r="X130" s="122"/>
      <c r="Y130" s="53"/>
    </row>
    <row r="131" spans="6:25" x14ac:dyDescent="0.2">
      <c r="G131" s="122"/>
      <c r="H131" s="122"/>
      <c r="I131" s="122"/>
      <c r="J131" s="122"/>
      <c r="K131" s="122"/>
      <c r="L131" s="122"/>
      <c r="M131" s="122"/>
      <c r="N131" s="122"/>
      <c r="O131" s="122"/>
      <c r="P131" s="122"/>
      <c r="Q131" s="122"/>
      <c r="R131" s="122"/>
      <c r="S131" s="122"/>
      <c r="T131" s="122"/>
      <c r="U131" s="122"/>
      <c r="V131" s="122"/>
      <c r="W131" s="122"/>
      <c r="X131" s="122"/>
      <c r="Y131" s="53"/>
    </row>
    <row r="132" spans="6:25" x14ac:dyDescent="0.2">
      <c r="G132" s="122"/>
      <c r="H132" s="122"/>
      <c r="I132" s="122"/>
      <c r="J132" s="122"/>
      <c r="K132" s="122"/>
      <c r="L132" s="122"/>
      <c r="M132" s="122"/>
      <c r="N132" s="122"/>
      <c r="O132" s="122"/>
      <c r="P132" s="122"/>
      <c r="Q132" s="122"/>
      <c r="R132" s="122"/>
      <c r="S132" s="122"/>
      <c r="T132" s="122"/>
      <c r="U132" s="122"/>
      <c r="V132" s="122"/>
      <c r="W132" s="122"/>
      <c r="X132" s="122"/>
    </row>
  </sheetData>
  <conditionalFormatting sqref="K22:M24 K27:M27 K37:M38">
    <cfRule type="expression" dxfId="12" priority="23">
      <formula>K$10&lt;=$C$6</formula>
    </cfRule>
  </conditionalFormatting>
  <conditionalFormatting sqref="G12:M12">
    <cfRule type="expression" dxfId="11" priority="80">
      <formula>AND(G10&gt;$C$5,G10&lt;=$C$6)</formula>
    </cfRule>
  </conditionalFormatting>
  <conditionalFormatting sqref="U10:W44 U46:W53 U55:W77 U79:W100 U102:W130">
    <cfRule type="expression" dxfId="10" priority="1">
      <formula>U$10&gt;$C$7</formula>
    </cfRule>
  </conditionalFormatting>
  <pageMargins left="0.7" right="0.7" top="0.75" bottom="0.75" header="0.3" footer="0.3"/>
  <pageSetup paperSize="9" orientation="portrait" r:id="rId1"/>
  <ignoredErrors>
    <ignoredError sqref="C5 C47:C48" unlockedFormula="1"/>
  </ignoredErrors>
  <extLst>
    <ext xmlns:x14="http://schemas.microsoft.com/office/spreadsheetml/2009/9/main" uri="{78C0D931-6437-407d-A8EE-F0AAD7539E65}">
      <x14:conditionalFormattings>
        <x14:conditionalFormatting xmlns:xm="http://schemas.microsoft.com/office/excel/2006/main">
          <x14:cfRule type="expression" priority="11" id="{47096C19-0CC0-4A07-971C-858ECF0661D5}">
            <xm:f>'Criteria results'!$F$5=7</xm:f>
            <x14:dxf>
              <fill>
                <patternFill>
                  <bgColor theme="0"/>
                </patternFill>
              </fill>
            </x14:dxf>
          </x14:cfRule>
          <xm:sqref>K52</xm:sqref>
        </x14:conditionalFormatting>
        <x14:conditionalFormatting xmlns:xm="http://schemas.microsoft.com/office/excel/2006/main">
          <x14:cfRule type="expression" priority="10" id="{1BFFC212-476D-44E4-A610-AF76A344A99F}">
            <xm:f>'Criteria results'!$F$5=7</xm:f>
            <x14:dxf>
              <fill>
                <patternFill>
                  <bgColor theme="0"/>
                </patternFill>
              </fill>
            </x14:dxf>
          </x14:cfRule>
          <xm:sqref>L52</xm:sqref>
        </x14:conditionalFormatting>
        <x14:conditionalFormatting xmlns:xm="http://schemas.microsoft.com/office/excel/2006/main">
          <x14:cfRule type="expression" priority="9" id="{4EACEE69-D13B-4A8D-9236-28646E633B5B}">
            <xm:f>'Criteria results'!$F$5=7</xm:f>
            <x14:dxf>
              <fill>
                <patternFill>
                  <bgColor theme="0"/>
                </patternFill>
              </fill>
            </x14:dxf>
          </x14:cfRule>
          <xm:sqref>M52</xm:sqref>
        </x14:conditionalFormatting>
        <x14:conditionalFormatting xmlns:xm="http://schemas.microsoft.com/office/excel/2006/main">
          <x14:cfRule type="expression" priority="82" id="{57B4AF88-7351-4B19-BA3B-6B998AD74D0C}">
            <xm:f>AND($N$10&gt;2024,$N$10&lt;=2024+'Criteria results'!$F$5)</xm:f>
            <x14:dxf>
              <fill>
                <patternFill>
                  <bgColor theme="0" tint="-0.14996795556505021"/>
                </patternFill>
              </fill>
            </x14:dxf>
          </x14:cfRule>
          <xm:sqref>N12</xm:sqref>
        </x14:conditionalFormatting>
        <x14:conditionalFormatting xmlns:xm="http://schemas.microsoft.com/office/excel/2006/main">
          <x14:cfRule type="expression" priority="83" id="{354A6338-46EF-4602-BA31-438E78236E93}">
            <xm:f>AND($O$10&gt;2024,$O$10&lt;=2024+'Criteria results'!$F$5)</xm:f>
            <x14:dxf>
              <fill>
                <patternFill>
                  <bgColor theme="0" tint="-0.14996795556505021"/>
                </patternFill>
              </fill>
            </x14:dxf>
          </x14:cfRule>
          <xm:sqref>O12</xm:sqref>
        </x14:conditionalFormatting>
        <x14:conditionalFormatting xmlns:xm="http://schemas.microsoft.com/office/excel/2006/main">
          <x14:cfRule type="expression" priority="84" id="{9F1C1270-F5DB-4E73-982C-3D38BC86117F}">
            <xm:f>AND($P$10&gt;2024,$P$10&lt;=2024+'Criteria results'!#REF!)</xm:f>
            <x14:dxf>
              <fill>
                <patternFill>
                  <bgColor theme="0" tint="-0.14996795556505021"/>
                </patternFill>
              </fill>
            </x14:dxf>
          </x14:cfRule>
          <xm:sqref>P12</xm:sqref>
        </x14:conditionalFormatting>
        <x14:conditionalFormatting xmlns:xm="http://schemas.microsoft.com/office/excel/2006/main">
          <x14:cfRule type="expression" priority="85" id="{3B57B2B3-DFDF-4C5A-9FDD-41F823A47376}">
            <xm:f>OR('Criteria results'!#REF!=7,'Criteria results'!#REF!=10)</xm:f>
            <x14:dxf>
              <font>
                <color theme="0"/>
              </font>
            </x14:dxf>
          </x14:cfRule>
          <xm:sqref>K76:M76</xm:sqref>
        </x14:conditionalFormatting>
        <x14:conditionalFormatting xmlns:xm="http://schemas.microsoft.com/office/excel/2006/main">
          <x14:cfRule type="expression" priority="86" id="{AD631567-B5C1-4C77-8394-9CE24A7E7ABD}">
            <xm:f>'Criteria results'!#REF!=10</xm:f>
            <x14:dxf>
              <font>
                <color theme="0"/>
              </font>
            </x14:dxf>
          </x14:cfRule>
          <xm:sqref>N76:P76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tabColor rgb="FF00B050"/>
  </sheetPr>
  <dimension ref="A1:AX31"/>
  <sheetViews>
    <sheetView workbookViewId="0"/>
  </sheetViews>
  <sheetFormatPr defaultColWidth="8.85546875" defaultRowHeight="12.75" x14ac:dyDescent="0.2"/>
  <cols>
    <col min="1" max="1" width="8.85546875" style="5"/>
    <col min="2" max="2" width="43.42578125" style="5" customWidth="1"/>
    <col min="3" max="16384" width="8.85546875" style="5"/>
  </cols>
  <sheetData>
    <row r="1" spans="1:50" s="26" customFormat="1" ht="24.75" customHeight="1" x14ac:dyDescent="0.2">
      <c r="B1" s="39"/>
    </row>
    <row r="2" spans="1:50" s="26" customFormat="1" ht="11.25" customHeight="1" x14ac:dyDescent="0.2">
      <c r="B2" s="27"/>
    </row>
    <row r="3" spans="1:50" s="26" customFormat="1" ht="11.25" customHeight="1" x14ac:dyDescent="0.2">
      <c r="B3" s="19" t="s">
        <v>15</v>
      </c>
      <c r="C3" s="20" t="str">
        <f>'Input data'!C3</f>
        <v>MT</v>
      </c>
    </row>
    <row r="4" spans="1:50" s="26" customFormat="1" ht="11.25" x14ac:dyDescent="0.2">
      <c r="B4" s="64" t="s">
        <v>38</v>
      </c>
      <c r="C4" s="21"/>
    </row>
    <row r="5" spans="1:50" s="26" customFormat="1" ht="11.25" x14ac:dyDescent="0.2">
      <c r="A5" s="29"/>
      <c r="B5" s="22" t="str">
        <f>'Input data'!B5</f>
        <v>Last year before the adjustment</v>
      </c>
      <c r="C5" s="23">
        <f>+'Input data'!C5</f>
        <v>2024</v>
      </c>
    </row>
    <row r="6" spans="1:50" s="26" customFormat="1" ht="11.25" x14ac:dyDescent="0.2">
      <c r="A6" s="29"/>
      <c r="B6" s="65" t="s">
        <v>149</v>
      </c>
      <c r="C6" s="23">
        <f>C5+'Criteria results'!F5+1</f>
        <v>2029</v>
      </c>
      <c r="E6" s="43"/>
      <c r="F6" s="29"/>
    </row>
    <row r="7" spans="1:50" s="26" customFormat="1" ht="11.25" x14ac:dyDescent="0.2">
      <c r="A7" s="29"/>
      <c r="B7" s="24" t="s">
        <v>150</v>
      </c>
      <c r="C7" s="66">
        <f>C6+4</f>
        <v>2033</v>
      </c>
      <c r="E7" s="43"/>
      <c r="F7" s="29"/>
    </row>
    <row r="8" spans="1:50" s="26" customFormat="1" ht="11.25" x14ac:dyDescent="0.2">
      <c r="A8" s="29"/>
      <c r="C8" s="29"/>
      <c r="E8" s="43"/>
      <c r="F8" s="29"/>
    </row>
    <row r="9" spans="1:50" s="67" customFormat="1" ht="11.25" x14ac:dyDescent="0.2">
      <c r="B9" s="90" t="s">
        <v>151</v>
      </c>
    </row>
    <row r="10" spans="1:50" s="26" customFormat="1" ht="11.25"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0" x14ac:dyDescent="0.2">
      <c r="B11" s="91" t="s">
        <v>188</v>
      </c>
      <c r="C11" s="83">
        <f>'Adjust. no safeguard'!C57</f>
        <v>53.925649999999997</v>
      </c>
      <c r="D11" s="83">
        <f>'Adjust. no safeguard'!D57</f>
        <v>51.626479730977287</v>
      </c>
      <c r="E11" s="83">
        <f>'Adjust. no safeguard'!E57</f>
        <v>50.396658431512243</v>
      </c>
      <c r="F11" s="83">
        <f>'Adjust. no safeguard'!F57</f>
        <v>52.027240532489337</v>
      </c>
      <c r="G11" s="83">
        <f>'Adjust. no safeguard'!G57</f>
        <v>52.730907877542279</v>
      </c>
      <c r="H11" s="83">
        <f>'Adjust. no safeguard'!H57</f>
        <v>52.947955578274673</v>
      </c>
      <c r="I11" s="83">
        <f>'Adjust. no safeguard'!I57</f>
        <v>52.754005449493576</v>
      </c>
      <c r="J11" s="83">
        <f>'Adjust. no safeguard'!J57</f>
        <v>52.204191928643532</v>
      </c>
      <c r="K11" s="83">
        <f>'Adjust. no safeguard'!K57</f>
        <v>51.372351329919553</v>
      </c>
      <c r="L11" s="83">
        <f>'Adjust. no safeguard'!L57</f>
        <v>50.459213782499226</v>
      </c>
      <c r="M11" s="83">
        <f>'Adjust. no safeguard'!M57</f>
        <v>49.500598925154414</v>
      </c>
      <c r="N11" s="83">
        <f>'Adjust. no safeguard'!N57</f>
        <v>48.790200251788782</v>
      </c>
      <c r="O11" s="83">
        <f>'Adjust. no safeguard'!O57</f>
        <v>48.137985261657484</v>
      </c>
      <c r="P11" s="83">
        <f>'Adjust. no safeguard'!P57</f>
        <v>47.692831253694074</v>
      </c>
      <c r="Q11" s="83">
        <f>'Adjust. no safeguard'!Q57</f>
        <v>47.458119144471006</v>
      </c>
      <c r="R11" s="83">
        <f>'Adjust. no safeguard'!R57</f>
        <v>47.438682330101329</v>
      </c>
      <c r="S11" s="83">
        <f>'Adjust. no safeguard'!S57</f>
        <v>47.534549576967095</v>
      </c>
      <c r="T11" s="83">
        <f>'Adjust. no safeguard'!T57</f>
        <v>47.762177596110192</v>
      </c>
      <c r="U11" s="83">
        <f>'Adjust. no safeguard'!U57</f>
        <v>48.146034957105734</v>
      </c>
      <c r="V11" s="83">
        <f>'Adjust. no safeguard'!V57</f>
        <v>48.699009806069576</v>
      </c>
      <c r="W11" s="83">
        <f>'Adjust. no safeguard'!W57</f>
        <v>49.432125258886146</v>
      </c>
    </row>
    <row r="12" spans="1:50" s="26" customFormat="1" ht="11.25" x14ac:dyDescent="0.2">
      <c r="A12" s="29"/>
      <c r="C12" s="29"/>
      <c r="E12" s="43"/>
      <c r="F12" s="29"/>
    </row>
    <row r="13" spans="1:50" s="67" customFormat="1" ht="11.25" x14ac:dyDescent="0.2">
      <c r="B13" s="90" t="s">
        <v>152</v>
      </c>
    </row>
    <row r="14" spans="1:50" x14ac:dyDescent="0.2">
      <c r="B14" s="5" t="s">
        <v>153</v>
      </c>
      <c r="C14" s="83">
        <f>C$11</f>
        <v>53.925649999999997</v>
      </c>
      <c r="D14" s="83">
        <f t="shared" ref="D14:J18" si="0">D$11</f>
        <v>51.626479730977287</v>
      </c>
      <c r="E14" s="83">
        <f t="shared" si="0"/>
        <v>50.396658431512243</v>
      </c>
      <c r="F14" s="83">
        <f t="shared" si="0"/>
        <v>52.027240532489337</v>
      </c>
      <c r="G14" s="83">
        <f t="shared" si="0"/>
        <v>52.730907877542279</v>
      </c>
      <c r="H14" s="83">
        <f t="shared" si="0"/>
        <v>52.947955578274673</v>
      </c>
      <c r="I14" s="83">
        <f t="shared" si="0"/>
        <v>52.754005449493576</v>
      </c>
      <c r="J14" s="83">
        <f>J$11</f>
        <v>52.204191928643532</v>
      </c>
      <c r="K14" s="83">
        <f>IF('Criteria results'!$F$5=4,K$11+'Input data'!C74,K$11)</f>
        <v>42.410902660485959</v>
      </c>
      <c r="L14" s="83">
        <f>IF('Criteria results'!$F$5=4,L$11+'Input data'!D74,L$11)</f>
        <v>38.156174231717976</v>
      </c>
      <c r="M14" s="83">
        <f>IF('Criteria results'!$F$5=4,M$11+'Input data'!E74,M$11)</f>
        <v>34.856388109724726</v>
      </c>
      <c r="N14" s="83">
        <f>IF('Criteria results'!$F$5=4,N$11+'Input data'!F74,N$11+'Input data'!C74)</f>
        <v>32.432652491779017</v>
      </c>
      <c r="O14" s="83">
        <f>IF('Criteria results'!$F$5=4,O$11+'Input data'!G74,O$11+'Input data'!D74)</f>
        <v>30.162662538268812</v>
      </c>
      <c r="P14" s="83" t="str">
        <f>IF('Criteria results'!$F$5=4,"",Stochastic!P$11+'Input data'!E74)</f>
        <v/>
      </c>
      <c r="Q14" s="83" t="str">
        <f>IF('Criteria results'!$F$5=4,"",Stochastic!Q$11+'Input data'!F74)</f>
        <v/>
      </c>
      <c r="R14" s="83" t="str">
        <f>IF('Criteria results'!$F$5=4,"",Stochastic!R$11+'Input data'!G74)</f>
        <v/>
      </c>
    </row>
    <row r="15" spans="1:50" x14ac:dyDescent="0.2">
      <c r="B15" s="5" t="s">
        <v>154</v>
      </c>
      <c r="C15" s="83">
        <f t="shared" ref="C15:C18" si="1">C$11</f>
        <v>53.925649999999997</v>
      </c>
      <c r="D15" s="83">
        <f t="shared" si="0"/>
        <v>51.626479730977287</v>
      </c>
      <c r="E15" s="83">
        <f t="shared" si="0"/>
        <v>50.396658431512243</v>
      </c>
      <c r="F15" s="83">
        <f t="shared" si="0"/>
        <v>52.027240532489337</v>
      </c>
      <c r="G15" s="83">
        <f t="shared" si="0"/>
        <v>52.730907877542279</v>
      </c>
      <c r="H15" s="83">
        <f t="shared" si="0"/>
        <v>52.947955578274673</v>
      </c>
      <c r="I15" s="83">
        <f t="shared" si="0"/>
        <v>52.754005449493576</v>
      </c>
      <c r="J15" s="83">
        <f t="shared" si="0"/>
        <v>52.204191928643532</v>
      </c>
      <c r="K15" s="83">
        <f>IF('Criteria results'!$F$5=4,K$11+'Input data'!C75,K$11)</f>
        <v>47.865492504235959</v>
      </c>
      <c r="L15" s="83">
        <f>IF('Criteria results'!$F$5=4,L$11+'Input data'!D75,L$11)</f>
        <v>45.319634009550008</v>
      </c>
      <c r="M15" s="83">
        <f>IF('Criteria results'!$F$5=4,M$11+'Input data'!E75,M$11)</f>
        <v>43.355770128767695</v>
      </c>
      <c r="N15" s="83">
        <f>IF('Criteria results'!$F$5=4,N$11+'Input data'!F75,N$11+'Input data'!C75)</f>
        <v>41.87695028230636</v>
      </c>
      <c r="O15" s="83">
        <f>IF('Criteria results'!$F$5=4,O$11+'Input data'!G75,O$11+'Input data'!D75)</f>
        <v>40.645114930846937</v>
      </c>
      <c r="P15" s="83" t="str">
        <f>IF('Criteria results'!$F$5=4,"",Stochastic!P$11+'Input data'!E75)</f>
        <v/>
      </c>
      <c r="Q15" s="83" t="str">
        <f>IF('Criteria results'!$F$5=4,"",Stochastic!Q$11+'Input data'!F75)</f>
        <v/>
      </c>
      <c r="R15" s="83" t="str">
        <f>IF('Criteria results'!$F$5=4,"",Stochastic!R$11+'Input data'!G75)</f>
        <v/>
      </c>
    </row>
    <row r="16" spans="1:50" x14ac:dyDescent="0.2">
      <c r="B16" s="5" t="s">
        <v>189</v>
      </c>
      <c r="C16" s="83">
        <f t="shared" si="1"/>
        <v>53.925649999999997</v>
      </c>
      <c r="D16" s="83">
        <f t="shared" si="0"/>
        <v>51.626479730977287</v>
      </c>
      <c r="E16" s="83">
        <f t="shared" si="0"/>
        <v>50.396658431512243</v>
      </c>
      <c r="F16" s="83">
        <f t="shared" si="0"/>
        <v>52.027240532489337</v>
      </c>
      <c r="G16" s="83">
        <f t="shared" si="0"/>
        <v>52.730907877542279</v>
      </c>
      <c r="H16" s="83">
        <f t="shared" si="0"/>
        <v>52.947955578274673</v>
      </c>
      <c r="I16" s="83">
        <f t="shared" si="0"/>
        <v>52.754005449493576</v>
      </c>
      <c r="J16" s="83">
        <f t="shared" si="0"/>
        <v>52.204191928643532</v>
      </c>
      <c r="K16" s="83">
        <f>K11</f>
        <v>51.372351329919553</v>
      </c>
      <c r="L16" s="83">
        <f t="shared" ref="L16:O16" si="2">L11</f>
        <v>50.459213782499226</v>
      </c>
      <c r="M16" s="83">
        <f t="shared" si="2"/>
        <v>49.500598925154414</v>
      </c>
      <c r="N16" s="83">
        <f t="shared" si="2"/>
        <v>48.790200251788782</v>
      </c>
      <c r="O16" s="83">
        <f t="shared" si="2"/>
        <v>48.137985261657484</v>
      </c>
      <c r="P16" s="83" t="str">
        <f>IF('Criteria results'!$F$5=4,"",Stochastic!P$11)</f>
        <v/>
      </c>
      <c r="Q16" s="83" t="str">
        <f>IF('Criteria results'!$F$5=4,"",Stochastic!Q$11)</f>
        <v/>
      </c>
      <c r="R16" s="83" t="str">
        <f>IF('Criteria results'!$F$5=4,"",Stochastic!R$11)</f>
        <v/>
      </c>
    </row>
    <row r="17" spans="2:18" x14ac:dyDescent="0.2">
      <c r="B17" s="5" t="s">
        <v>155</v>
      </c>
      <c r="C17" s="83">
        <f t="shared" si="1"/>
        <v>53.925649999999997</v>
      </c>
      <c r="D17" s="83">
        <f t="shared" si="0"/>
        <v>51.626479730977287</v>
      </c>
      <c r="E17" s="83">
        <f t="shared" si="0"/>
        <v>50.396658431512243</v>
      </c>
      <c r="F17" s="83">
        <f t="shared" si="0"/>
        <v>52.027240532489337</v>
      </c>
      <c r="G17" s="83">
        <f t="shared" si="0"/>
        <v>52.730907877542279</v>
      </c>
      <c r="H17" s="83">
        <f t="shared" si="0"/>
        <v>52.947955578274673</v>
      </c>
      <c r="I17" s="83">
        <f t="shared" si="0"/>
        <v>52.754005449493576</v>
      </c>
      <c r="J17" s="83">
        <f t="shared" si="0"/>
        <v>52.204191928643532</v>
      </c>
      <c r="K17" s="83">
        <f>IF('Criteria results'!$F$5=4,K$11+'Input data'!C76,K$11)</f>
        <v>55.103132885095334</v>
      </c>
      <c r="L17" s="83">
        <f>IF('Criteria results'!$F$5=4,L$11+'Input data'!D76,L$11)</f>
        <v>55.488091040800008</v>
      </c>
      <c r="M17" s="83">
        <f>IF('Criteria results'!$F$5=4,M$11+'Input data'!E76,M$11)</f>
        <v>55.589302080671992</v>
      </c>
      <c r="N17" s="83">
        <f>IF('Criteria results'!$F$5=4,N$11+'Input data'!F76,N$11+'Input data'!C76)</f>
        <v>55.899735469073939</v>
      </c>
      <c r="O17" s="83">
        <f>IF('Criteria results'!$F$5=4,O$11+'Input data'!G76,O$11+'Input data'!D76)</f>
        <v>56.279750856139906</v>
      </c>
      <c r="P17" s="83" t="str">
        <f>IF('Criteria results'!$F$5=4,"",Stochastic!P$11+'Input data'!E76)</f>
        <v/>
      </c>
      <c r="Q17" s="83" t="str">
        <f>IF('Criteria results'!$F$5=4,"",Stochastic!Q$11+'Input data'!F76)</f>
        <v/>
      </c>
      <c r="R17" s="83" t="str">
        <f>IF('Criteria results'!$F$5=4,"",Stochastic!R$11+'Input data'!G76)</f>
        <v/>
      </c>
    </row>
    <row r="18" spans="2:18" x14ac:dyDescent="0.2">
      <c r="B18" s="5" t="s">
        <v>156</v>
      </c>
      <c r="C18" s="83">
        <f t="shared" si="1"/>
        <v>53.925649999999997</v>
      </c>
      <c r="D18" s="83">
        <f t="shared" si="0"/>
        <v>51.626479730977287</v>
      </c>
      <c r="E18" s="83">
        <f t="shared" si="0"/>
        <v>50.396658431512243</v>
      </c>
      <c r="F18" s="83">
        <f t="shared" si="0"/>
        <v>52.027240532489337</v>
      </c>
      <c r="G18" s="83">
        <f t="shared" si="0"/>
        <v>52.730907877542279</v>
      </c>
      <c r="H18" s="83">
        <f t="shared" si="0"/>
        <v>52.947955578274673</v>
      </c>
      <c r="I18" s="83">
        <f t="shared" si="0"/>
        <v>52.754005449493576</v>
      </c>
      <c r="J18" s="83">
        <f t="shared" si="0"/>
        <v>52.204191928643532</v>
      </c>
      <c r="K18" s="83">
        <f>IF('Criteria results'!$F$5=4,K$11+'Input data'!C77,K$11)</f>
        <v>60.453196209069944</v>
      </c>
      <c r="L18" s="83">
        <f>IF('Criteria results'!$F$5=4,L$11+'Input data'!D77,L$11)</f>
        <v>63.145264197538289</v>
      </c>
      <c r="M18" s="83">
        <f>IF('Criteria results'!$F$5=4,M$11+'Input data'!E77,M$11)</f>
        <v>64.96992112974425</v>
      </c>
      <c r="N18" s="83">
        <f>IF('Criteria results'!$F$5=4,N$11+'Input data'!F77,N$11+'Input data'!C77)</f>
        <v>66.54935171052901</v>
      </c>
      <c r="O18" s="83">
        <f>IF('Criteria results'!$F$5=4,O$11+'Input data'!G77,O$11+'Input data'!D77)</f>
        <v>67.683574708678975</v>
      </c>
      <c r="P18" s="83" t="str">
        <f>IF('Criteria results'!$F$5=4,"",Stochastic!P$11+'Input data'!E77)</f>
        <v/>
      </c>
      <c r="Q18" s="83" t="str">
        <f>IF('Criteria results'!$F$5=4,"",Stochastic!Q$11+'Input data'!F77)</f>
        <v/>
      </c>
      <c r="R18" s="83" t="str">
        <f>IF('Criteria results'!$F$5=4,"",Stochastic!R$11+'Input data'!G77)</f>
        <v/>
      </c>
    </row>
    <row r="20" spans="2:18" s="67" customFormat="1" ht="11.25" x14ac:dyDescent="0.2">
      <c r="B20" s="90" t="s">
        <v>157</v>
      </c>
    </row>
    <row r="21" spans="2:18" s="26" customFormat="1" x14ac:dyDescent="0.2">
      <c r="B21" s="81" t="str">
        <f>"Stochastic debt projections "&amp;E21&amp;"-"&amp;I21</f>
        <v>Stochastic debt projections 2029-2033</v>
      </c>
      <c r="C21" s="82">
        <f>IF('Criteria results'!$F$5=4,I10,L10)</f>
        <v>2027</v>
      </c>
      <c r="D21" s="82">
        <f>IF('Criteria results'!$F$5=4,J10,M10)</f>
        <v>2028</v>
      </c>
      <c r="E21" s="82">
        <f>IF('Criteria results'!$F$5=4,K10,N10)</f>
        <v>2029</v>
      </c>
      <c r="F21" s="82">
        <f>IF('Criteria results'!$F$5=4,L10,O10)</f>
        <v>2030</v>
      </c>
      <c r="G21" s="82">
        <f>IF('Criteria results'!$F$5=4,M10,P10)</f>
        <v>2031</v>
      </c>
      <c r="H21" s="82">
        <f>IF('Criteria results'!$F$5=4,N10,Q10)</f>
        <v>2032</v>
      </c>
      <c r="I21" s="82">
        <f>IF('Criteria results'!$F$5=4,O10,R10)</f>
        <v>2033</v>
      </c>
    </row>
    <row r="22" spans="2:18" x14ac:dyDescent="0.2">
      <c r="B22" s="5" t="s">
        <v>153</v>
      </c>
      <c r="C22" s="83">
        <f>IF('Criteria results'!$F$5=4,I$11,L$11)</f>
        <v>52.754005449493576</v>
      </c>
      <c r="D22" s="83">
        <f>IF('Criteria results'!$F$5=4,J$11,M$11)</f>
        <v>52.204191928643532</v>
      </c>
      <c r="E22" s="83">
        <f>IF('Criteria results'!$F$5=4,K$11+'Input data'!C74,N$11+'Input data'!C74)</f>
        <v>42.410902660485959</v>
      </c>
      <c r="F22" s="83">
        <f>IF('Criteria results'!$F$5=4,L$11+'Input data'!D74,O$11+'Input data'!D74)</f>
        <v>38.156174231717976</v>
      </c>
      <c r="G22" s="83">
        <f>IF('Criteria results'!$F$5=4,M$11+'Input data'!E74,P$11+'Input data'!E74)</f>
        <v>34.856388109724726</v>
      </c>
      <c r="H22" s="83">
        <f>IF('Criteria results'!$F$5=4,N$11+'Input data'!F74,Q$11+'Input data'!F74)</f>
        <v>32.432652491779017</v>
      </c>
      <c r="I22" s="83">
        <f>IF('Criteria results'!$F$5=4,O$11+'Input data'!G74,R$11+'Input data'!G74)</f>
        <v>30.162662538268812</v>
      </c>
      <c r="P22" s="83"/>
      <c r="Q22" s="83"/>
      <c r="R22" s="83"/>
    </row>
    <row r="23" spans="2:18" x14ac:dyDescent="0.2">
      <c r="B23" s="5" t="s">
        <v>158</v>
      </c>
      <c r="C23" s="83">
        <v>0</v>
      </c>
      <c r="D23" s="83">
        <v>0</v>
      </c>
      <c r="E23" s="83">
        <f>'Input data'!C75-'Input data'!C74</f>
        <v>5.45458984375</v>
      </c>
      <c r="F23" s="83">
        <f>'Input data'!D75-'Input data'!D74</f>
        <v>7.1634597778320313</v>
      </c>
      <c r="G23" s="83">
        <f>'Input data'!E75-'Input data'!E74</f>
        <v>8.4993820190429688</v>
      </c>
      <c r="H23" s="83">
        <f>'Input data'!F75-'Input data'!F74</f>
        <v>9.4442977905273438</v>
      </c>
      <c r="I23" s="83">
        <f>'Input data'!G75-'Input data'!G74</f>
        <v>10.482452392578125</v>
      </c>
      <c r="P23" s="83"/>
      <c r="Q23" s="83"/>
      <c r="R23" s="83"/>
    </row>
    <row r="24" spans="2:18" x14ac:dyDescent="0.2">
      <c r="B24" s="5" t="s">
        <v>159</v>
      </c>
      <c r="C24" s="83">
        <v>0</v>
      </c>
      <c r="D24" s="83">
        <v>0</v>
      </c>
      <c r="E24" s="83">
        <f>-'Input data'!C75</f>
        <v>3.5068588256835938</v>
      </c>
      <c r="F24" s="83">
        <f>-'Input data'!D75</f>
        <v>5.1395797729492188</v>
      </c>
      <c r="G24" s="83">
        <f>-'Input data'!E75</f>
        <v>6.1448287963867188</v>
      </c>
      <c r="H24" s="83">
        <f>-'Input data'!F75</f>
        <v>6.9132499694824219</v>
      </c>
      <c r="I24" s="83">
        <f>-'Input data'!G75</f>
        <v>7.4928703308105469</v>
      </c>
      <c r="P24" s="83"/>
      <c r="Q24" s="83"/>
      <c r="R24" s="83"/>
    </row>
    <row r="25" spans="2:18" x14ac:dyDescent="0.2">
      <c r="B25" s="5" t="s">
        <v>160</v>
      </c>
      <c r="C25" s="83">
        <v>0</v>
      </c>
      <c r="D25" s="83">
        <v>0</v>
      </c>
      <c r="E25" s="83">
        <f>'Input data'!C76</f>
        <v>3.7307815551757813</v>
      </c>
      <c r="F25" s="83">
        <f>'Input data'!D76</f>
        <v>5.0288772583007813</v>
      </c>
      <c r="G25" s="83">
        <f>'Input data'!E76</f>
        <v>6.0887031555175781</v>
      </c>
      <c r="H25" s="83">
        <f>'Input data'!F76</f>
        <v>7.1095352172851563</v>
      </c>
      <c r="I25" s="83">
        <f>'Input data'!G76</f>
        <v>8.1417655944824219</v>
      </c>
      <c r="P25" s="83"/>
      <c r="Q25" s="83"/>
      <c r="R25" s="83"/>
    </row>
    <row r="26" spans="2:18" x14ac:dyDescent="0.2">
      <c r="B26" s="5" t="s">
        <v>161</v>
      </c>
      <c r="C26" s="83">
        <v>0</v>
      </c>
      <c r="D26" s="83">
        <v>0</v>
      </c>
      <c r="E26" s="83">
        <f>'Input data'!C77-'Input data'!C76</f>
        <v>5.3500633239746094</v>
      </c>
      <c r="F26" s="83">
        <f>'Input data'!D77-'Input data'!D76</f>
        <v>7.6571731567382813</v>
      </c>
      <c r="G26" s="83">
        <f>'Input data'!E77-'Input data'!E76</f>
        <v>9.3806190490722656</v>
      </c>
      <c r="H26" s="83">
        <f>'Input data'!F77-'Input data'!F76</f>
        <v>10.649616241455078</v>
      </c>
      <c r="I26" s="83">
        <f>'Input data'!G77-'Input data'!G76</f>
        <v>11.403823852539063</v>
      </c>
      <c r="P26" s="83"/>
      <c r="Q26" s="83"/>
      <c r="R26" s="83"/>
    </row>
    <row r="27" spans="2:18" x14ac:dyDescent="0.2">
      <c r="B27" s="5" t="s">
        <v>153</v>
      </c>
      <c r="C27" s="83">
        <f>IF('Criteria results'!$F$5=4,I$11,L$11)</f>
        <v>52.754005449493576</v>
      </c>
      <c r="D27" s="83">
        <f>IF('Criteria results'!$F$5=4,J$11,M$11)</f>
        <v>52.204191928643532</v>
      </c>
      <c r="E27" s="83">
        <f>IF('Criteria results'!$F$5=4,K$11+'Input data'!C74,N$11+'Input data'!C74)</f>
        <v>42.410902660485959</v>
      </c>
      <c r="F27" s="83">
        <f>IF('Criteria results'!$F$5=4,L$11+'Input data'!D74,O$11+'Input data'!D74)</f>
        <v>38.156174231717976</v>
      </c>
      <c r="G27" s="83">
        <f>IF('Criteria results'!$F$5=4,M$11+'Input data'!E74,P$11+'Input data'!E74)</f>
        <v>34.856388109724726</v>
      </c>
      <c r="H27" s="83">
        <f>IF('Criteria results'!$F$5=4,N$11+'Input data'!F74,Q$11+'Input data'!F74)</f>
        <v>32.432652491779017</v>
      </c>
      <c r="I27" s="83">
        <f>IF('Criteria results'!$F$5=4,O$11+'Input data'!G74,R$11+'Input data'!G74)</f>
        <v>30.162662538268812</v>
      </c>
    </row>
    <row r="28" spans="2:18" x14ac:dyDescent="0.2">
      <c r="B28" s="5" t="s">
        <v>154</v>
      </c>
      <c r="C28" s="83">
        <f>IF('Criteria results'!$F$5=4,I$11,L$11)</f>
        <v>52.754005449493576</v>
      </c>
      <c r="D28" s="83">
        <f>IF('Criteria results'!$F$5=4,J$11,M$11)</f>
        <v>52.204191928643532</v>
      </c>
      <c r="E28" s="83">
        <f>IF('Criteria results'!$F$5=4,K$11+'Input data'!C75,N$11+'Input data'!C75)</f>
        <v>47.865492504235959</v>
      </c>
      <c r="F28" s="83">
        <f>IF('Criteria results'!$F$5=4,L$11+'Input data'!D75,O$11+'Input data'!D75)</f>
        <v>45.319634009550008</v>
      </c>
      <c r="G28" s="83">
        <f>IF('Criteria results'!$F$5=4,M$11+'Input data'!E75,P$11+'Input data'!E75)</f>
        <v>43.355770128767695</v>
      </c>
      <c r="H28" s="83">
        <f>IF('Criteria results'!$F$5=4,N$11+'Input data'!F75,Q$11+'Input data'!F75)</f>
        <v>41.87695028230636</v>
      </c>
      <c r="I28" s="83">
        <f>IF('Criteria results'!$F$5=4,O$11+'Input data'!G75,R$11+'Input data'!G75)</f>
        <v>40.645114930846937</v>
      </c>
      <c r="P28" s="83"/>
      <c r="Q28" s="83"/>
      <c r="R28" s="83"/>
    </row>
    <row r="29" spans="2:18" x14ac:dyDescent="0.2">
      <c r="B29" s="5" t="s">
        <v>162</v>
      </c>
      <c r="C29" s="83">
        <f>IF('Criteria results'!$F$5=4,I$11,L$11)</f>
        <v>52.754005449493576</v>
      </c>
      <c r="D29" s="83">
        <f>IF('Criteria results'!$F$5=4,J$11,M$11)</f>
        <v>52.204191928643532</v>
      </c>
      <c r="E29" s="83">
        <f>IF('Criteria results'!$F$5=4,K$11,N$11)</f>
        <v>51.372351329919553</v>
      </c>
      <c r="F29" s="83">
        <f>IF('Criteria results'!$F$5=4,L$11,O$11)</f>
        <v>50.459213782499226</v>
      </c>
      <c r="G29" s="83">
        <f>IF('Criteria results'!$F$5=4,M$11,P$11)</f>
        <v>49.500598925154414</v>
      </c>
      <c r="H29" s="83">
        <f>IF('Criteria results'!$F$5=4,N$11,Q$11)</f>
        <v>48.790200251788782</v>
      </c>
      <c r="I29" s="83">
        <f>IF('Criteria results'!$F$5=4,O$11,R$11)</f>
        <v>48.137985261657484</v>
      </c>
      <c r="P29" s="83"/>
      <c r="Q29" s="83"/>
      <c r="R29" s="83"/>
    </row>
    <row r="30" spans="2:18" x14ac:dyDescent="0.2">
      <c r="B30" s="5" t="s">
        <v>155</v>
      </c>
      <c r="C30" s="83">
        <f>IF('Criteria results'!$F$5=4,I$11,L$11)</f>
        <v>52.754005449493576</v>
      </c>
      <c r="D30" s="83">
        <f>IF('Criteria results'!$F$5=4,J$11,M$11)</f>
        <v>52.204191928643532</v>
      </c>
      <c r="E30" s="83">
        <f>IF('Criteria results'!$F$5=4,K$11+'Input data'!C76,N$11+'Input data'!C76)</f>
        <v>55.103132885095334</v>
      </c>
      <c r="F30" s="83">
        <f>IF('Criteria results'!$F$5=4,L$11+'Input data'!D76,O$11+'Input data'!D76)</f>
        <v>55.488091040800008</v>
      </c>
      <c r="G30" s="83">
        <f>IF('Criteria results'!$F$5=4,M$11+'Input data'!E76,P$11+'Input data'!E76)</f>
        <v>55.589302080671992</v>
      </c>
      <c r="H30" s="83">
        <f>IF('Criteria results'!$F$5=4,N$11+'Input data'!F76,Q$11+'Input data'!F76)</f>
        <v>55.899735469073939</v>
      </c>
      <c r="I30" s="83">
        <f>IF('Criteria results'!$F$5=4,O$11+'Input data'!G76,R$11+'Input data'!G76)</f>
        <v>56.279750856139906</v>
      </c>
      <c r="J30" s="83"/>
      <c r="K30" s="83"/>
      <c r="L30" s="83"/>
      <c r="M30" s="83"/>
      <c r="N30" s="83"/>
      <c r="O30" s="83"/>
    </row>
    <row r="31" spans="2:18" x14ac:dyDescent="0.2">
      <c r="B31" s="5" t="s">
        <v>156</v>
      </c>
      <c r="C31" s="83">
        <f>IF('Criteria results'!$F$5=4,I$11,L$11)</f>
        <v>52.754005449493576</v>
      </c>
      <c r="D31" s="83">
        <f>IF('Criteria results'!$F$5=4,J$11,M$11)</f>
        <v>52.204191928643532</v>
      </c>
      <c r="E31" s="83">
        <f>IF('Criteria results'!$F$5=4,K$11+'Input data'!C77,N$11+'Input data'!C77)</f>
        <v>60.453196209069944</v>
      </c>
      <c r="F31" s="83">
        <f>IF('Criteria results'!$F$5=4,L$11+'Input data'!D77,O$11+'Input data'!D77)</f>
        <v>63.145264197538289</v>
      </c>
      <c r="G31" s="83">
        <f>IF('Criteria results'!$F$5=4,M$11+'Input data'!E77,P$11+'Input data'!E77)</f>
        <v>64.96992112974425</v>
      </c>
      <c r="H31" s="83">
        <f>IF('Criteria results'!$F$5=4,N$11+'Input data'!F77,Q$11+'Input data'!F77)</f>
        <v>66.54935171052901</v>
      </c>
      <c r="I31" s="83">
        <f>IF('Criteria results'!$F$5=4,O$11+'Input data'!G77,R$11+'Input data'!G77)</f>
        <v>67.683574708678975</v>
      </c>
    </row>
  </sheetData>
  <pageMargins left="0.7" right="0.7" top="0.75" bottom="0.75" header="0.3" footer="0.3"/>
  <pageSetup paperSize="9" orientation="portrait" verticalDpi="0" r:id="rId1"/>
  <ignoredErrors>
    <ignoredError sqref="C5:C6" unlocked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D891-C40B-4DD5-A43C-645C26D0DC6D}">
  <sheetPr codeName="Sheet22">
    <tabColor rgb="FF7030A0"/>
  </sheetPr>
  <dimension ref="A1:Y63"/>
  <sheetViews>
    <sheetView zoomScale="90" zoomScaleNormal="90" workbookViewId="0"/>
  </sheetViews>
  <sheetFormatPr defaultRowHeight="12.75" x14ac:dyDescent="0.2"/>
  <cols>
    <col min="1" max="1" width="9.140625" style="331"/>
    <col min="2" max="2" width="4.5703125" style="331" customWidth="1"/>
    <col min="3" max="3" width="67" style="331" customWidth="1"/>
    <col min="4" max="4" width="16.5703125" style="331" customWidth="1"/>
    <col min="5" max="5" width="13.7109375" style="331" customWidth="1"/>
    <col min="6" max="24" width="10.7109375" style="331" customWidth="1"/>
    <col min="25" max="16384" width="9.140625" style="331"/>
  </cols>
  <sheetData>
    <row r="1" spans="1:25" x14ac:dyDescent="0.2">
      <c r="A1" s="271"/>
      <c r="B1" s="271"/>
      <c r="C1" s="271"/>
      <c r="D1" s="271"/>
      <c r="E1" s="271"/>
      <c r="F1" s="271"/>
      <c r="G1" s="271"/>
      <c r="H1" s="271"/>
      <c r="I1" s="271"/>
      <c r="J1" s="271"/>
      <c r="K1" s="271"/>
      <c r="L1" s="271"/>
      <c r="M1" s="271"/>
      <c r="N1" s="271"/>
      <c r="O1" s="271"/>
      <c r="P1" s="271"/>
      <c r="Q1" s="271"/>
      <c r="R1" s="271"/>
      <c r="S1" s="271"/>
      <c r="T1" s="271"/>
      <c r="U1" s="271"/>
      <c r="V1" s="271"/>
      <c r="W1" s="271"/>
      <c r="X1" s="271"/>
      <c r="Y1" s="271"/>
    </row>
    <row r="2" spans="1:25" x14ac:dyDescent="0.2">
      <c r="A2" s="271"/>
      <c r="B2" s="336"/>
      <c r="C2" s="337" t="s">
        <v>219</v>
      </c>
      <c r="D2" s="338"/>
      <c r="E2" s="338"/>
      <c r="F2" s="338"/>
      <c r="G2" s="354"/>
      <c r="H2" s="354"/>
      <c r="I2" s="354"/>
      <c r="J2" s="354"/>
      <c r="K2" s="271"/>
      <c r="L2" s="271"/>
      <c r="M2" s="271"/>
      <c r="N2" s="271"/>
      <c r="O2" s="271"/>
      <c r="P2" s="271"/>
      <c r="Q2" s="271"/>
      <c r="R2" s="271"/>
      <c r="S2" s="271"/>
      <c r="T2" s="271"/>
      <c r="U2" s="271"/>
      <c r="V2" s="271"/>
      <c r="W2" s="271"/>
      <c r="X2" s="271"/>
      <c r="Y2" s="271"/>
    </row>
    <row r="3" spans="1:25" x14ac:dyDescent="0.2">
      <c r="A3" s="271"/>
      <c r="B3" s="333"/>
      <c r="C3" s="354"/>
      <c r="D3" s="354"/>
      <c r="E3" s="354"/>
      <c r="F3" s="354"/>
      <c r="G3" s="354"/>
      <c r="H3" s="354"/>
      <c r="I3" s="354"/>
      <c r="J3" s="354"/>
      <c r="K3" s="271"/>
      <c r="L3" s="271"/>
      <c r="M3" s="271"/>
      <c r="N3" s="271"/>
      <c r="O3" s="271"/>
      <c r="P3" s="271"/>
      <c r="Q3" s="271"/>
      <c r="R3" s="271"/>
      <c r="S3" s="271"/>
      <c r="T3" s="271"/>
      <c r="U3" s="271"/>
      <c r="V3" s="271"/>
      <c r="W3" s="271"/>
      <c r="X3" s="271"/>
      <c r="Y3" s="271"/>
    </row>
    <row r="4" spans="1:25" x14ac:dyDescent="0.2">
      <c r="A4" s="271"/>
      <c r="B4" s="339"/>
      <c r="C4" s="337"/>
      <c r="D4" s="340" t="s">
        <v>240</v>
      </c>
      <c r="E4" s="341">
        <f>F4-1</f>
        <v>2022</v>
      </c>
      <c r="F4" s="342">
        <f>'Input data'!$C$5-1</f>
        <v>2023</v>
      </c>
      <c r="G4" s="342">
        <f>F4+1</f>
        <v>2024</v>
      </c>
      <c r="H4" s="342">
        <f t="shared" ref="H4:X4" si="0">G4+1</f>
        <v>2025</v>
      </c>
      <c r="I4" s="342">
        <f t="shared" si="0"/>
        <v>2026</v>
      </c>
      <c r="J4" s="342">
        <f t="shared" si="0"/>
        <v>2027</v>
      </c>
      <c r="K4" s="342">
        <f t="shared" si="0"/>
        <v>2028</v>
      </c>
      <c r="L4" s="342">
        <f t="shared" si="0"/>
        <v>2029</v>
      </c>
      <c r="M4" s="342">
        <f t="shared" si="0"/>
        <v>2030</v>
      </c>
      <c r="N4" s="342">
        <f t="shared" si="0"/>
        <v>2031</v>
      </c>
      <c r="O4" s="342">
        <f t="shared" si="0"/>
        <v>2032</v>
      </c>
      <c r="P4" s="342">
        <f t="shared" si="0"/>
        <v>2033</v>
      </c>
      <c r="Q4" s="342">
        <f t="shared" si="0"/>
        <v>2034</v>
      </c>
      <c r="R4" s="342">
        <f t="shared" si="0"/>
        <v>2035</v>
      </c>
      <c r="S4" s="342">
        <f t="shared" si="0"/>
        <v>2036</v>
      </c>
      <c r="T4" s="342">
        <f t="shared" si="0"/>
        <v>2037</v>
      </c>
      <c r="U4" s="342">
        <f t="shared" si="0"/>
        <v>2038</v>
      </c>
      <c r="V4" s="342">
        <f t="shared" si="0"/>
        <v>2039</v>
      </c>
      <c r="W4" s="342">
        <f t="shared" si="0"/>
        <v>2040</v>
      </c>
      <c r="X4" s="342">
        <f t="shared" si="0"/>
        <v>2041</v>
      </c>
      <c r="Y4" s="271"/>
    </row>
    <row r="5" spans="1:25" x14ac:dyDescent="0.2">
      <c r="A5" s="271"/>
      <c r="B5" s="339">
        <v>1</v>
      </c>
      <c r="C5" s="343" t="s">
        <v>220</v>
      </c>
      <c r="D5" s="344">
        <v>57</v>
      </c>
      <c r="E5" s="345" t="s">
        <v>221</v>
      </c>
      <c r="F5" s="332">
        <f ca="1">INDEX(OFFSET('Adjustment scenario'!$D$1:$W$1,$D5-1,0),MATCH(F$4,'Adjustment scenario'!$D$10:$W$10,0))</f>
        <v>50.396658431512243</v>
      </c>
      <c r="G5" s="332">
        <f ca="1">INDEX(OFFSET('Adjustment scenario'!$D$1:$W$1,$D5-1,0),MATCH(G$4,'Adjustment scenario'!$D$10:$W$10,0))</f>
        <v>52.027240532489337</v>
      </c>
      <c r="H5" s="332">
        <f ca="1">INDEX(OFFSET('Adjustment scenario'!$D$1:$W$1,$D5-1,0),MATCH(H$4,'Adjustment scenario'!$D$10:$W$10,0))</f>
        <v>52.712875471107772</v>
      </c>
      <c r="I5" s="332">
        <f ca="1">INDEX(OFFSET('Adjustment scenario'!$D$1:$W$1,$D5-1,0),MATCH(I$4,'Adjustment scenario'!$D$10:$W$10,0))</f>
        <v>52.858886626374179</v>
      </c>
      <c r="J5" s="332">
        <f ca="1">INDEX(OFFSET('Adjustment scenario'!$D$1:$W$1,$D5-1,0),MATCH(J$4,'Adjustment scenario'!$D$10:$W$10,0))</f>
        <v>52.540435718456841</v>
      </c>
      <c r="K5" s="332">
        <f ca="1">INDEX(OFFSET('Adjustment scenario'!$D$1:$W$1,$D5-1,0),MATCH(K$4,'Adjustment scenario'!$D$10:$W$10,0))</f>
        <v>51.80374973951259</v>
      </c>
      <c r="L5" s="332">
        <f ca="1">INDEX(OFFSET('Adjustment scenario'!$D$1:$W$1,$D5-1,0),MATCH(L$4,'Adjustment scenario'!$D$10:$W$10,0))</f>
        <v>50.734076487913782</v>
      </c>
      <c r="M5" s="332">
        <f ca="1">INDEX(OFFSET('Adjustment scenario'!$D$1:$W$1,$D5-1,0),MATCH(M$4,'Adjustment scenario'!$D$10:$W$10,0))</f>
        <v>49.571815456563641</v>
      </c>
      <c r="N5" s="332">
        <f ca="1">INDEX(OFFSET('Adjustment scenario'!$D$1:$W$1,$D5-1,0),MATCH(N$4,'Adjustment scenario'!$D$10:$W$10,0))</f>
        <v>48.352047922230085</v>
      </c>
      <c r="O5" s="332">
        <f ca="1">INDEX(OFFSET('Adjustment scenario'!$D$1:$W$1,$D5-1,0),MATCH(O$4,'Adjustment scenario'!$D$10:$W$10,0))</f>
        <v>47.403497063712436</v>
      </c>
      <c r="P5" s="332">
        <f ca="1">INDEX(OFFSET('Adjustment scenario'!$D$1:$W$1,$D5-1,0),MATCH(P$4,'Adjustment scenario'!$D$10:$W$10,0))</f>
        <v>46.518626991164147</v>
      </c>
      <c r="Q5" s="332">
        <f ca="1">INDEX(OFFSET('Adjustment scenario'!$D$1:$W$1,$D5-1,0),MATCH(Q$4,'Adjustment scenario'!$D$10:$W$10,0))</f>
        <v>45.841262491702317</v>
      </c>
      <c r="R5" s="332">
        <f ca="1">INDEX(OFFSET('Adjustment scenario'!$D$1:$W$1,$D5-1,0),MATCH(R$4,'Adjustment scenario'!$D$10:$W$10,0))</f>
        <v>45.373204130216429</v>
      </c>
      <c r="S5" s="332">
        <f ca="1">INDEX(OFFSET('Adjustment scenario'!$D$1:$W$1,$D5-1,0),MATCH(S$4,'Adjustment scenario'!$D$10:$W$10,0))</f>
        <v>45.117714957075847</v>
      </c>
      <c r="T5" s="332">
        <f ca="1">INDEX(OFFSET('Adjustment scenario'!$D$1:$W$1,$D5-1,0),MATCH(T$4,'Adjustment scenario'!$D$10:$W$10,0))</f>
        <v>44.97829679635273</v>
      </c>
      <c r="U5" s="332">
        <f ca="1">INDEX(OFFSET('Adjustment scenario'!$D$1:$W$1,$D5-1,0),MATCH(U$4,'Adjustment scenario'!$D$10:$W$10,0))</f>
        <v>44.97011606241562</v>
      </c>
      <c r="V5" s="332">
        <f ca="1">INDEX(OFFSET('Adjustment scenario'!$D$1:$W$1,$D5-1,0),MATCH(V$4,'Adjustment scenario'!$D$10:$W$10,0))</f>
        <v>45.116219090555163</v>
      </c>
      <c r="W5" s="332">
        <f ca="1">INDEX(OFFSET('Adjustment scenario'!$D$1:$W$1,$D5-1,0),MATCH(W$4,'Adjustment scenario'!$D$10:$W$10,0))</f>
        <v>45.428876893164301</v>
      </c>
      <c r="X5" s="332">
        <f ca="1">INDEX(OFFSET('Adjustment scenario'!$D$1:$W$1,$D5-1,0),MATCH(X$4,'Adjustment scenario'!$D$10:$W$10,0))</f>
        <v>45.91867419493073</v>
      </c>
      <c r="Y5" s="271"/>
    </row>
    <row r="6" spans="1:25" x14ac:dyDescent="0.2">
      <c r="A6" s="271"/>
      <c r="B6" s="339">
        <v>2</v>
      </c>
      <c r="C6" s="343" t="s">
        <v>222</v>
      </c>
      <c r="D6" s="344">
        <v>77</v>
      </c>
      <c r="E6" s="345" t="s">
        <v>221</v>
      </c>
      <c r="F6" s="332">
        <f ca="1">INDEX(OFFSET('Adjustment scenario'!$D$1:$W$1,$D6-1,0),MATCH(F$4,'Adjustment scenario'!$D$10:$W$10,0))</f>
        <v>-4.9035648381670391</v>
      </c>
      <c r="G6" s="332">
        <f ca="1">INDEX(OFFSET('Adjustment scenario'!$D$1:$W$1,$D6-1,0),MATCH(G$4,'Adjustment scenario'!$D$10:$W$10,0))</f>
        <v>-4.3425745264584314</v>
      </c>
      <c r="H6" s="332">
        <f ca="1">INDEX(OFFSET('Adjustment scenario'!$D$1:$W$1,$D6-1,0),MATCH(H$4,'Adjustment scenario'!$D$10:$W$10,0))</f>
        <v>-4.0758412672041322</v>
      </c>
      <c r="I6" s="332">
        <f ca="1">INDEX(OFFSET('Adjustment scenario'!$D$1:$W$1,$D6-1,0),MATCH(I$4,'Adjustment scenario'!$D$10:$W$10,0))</f>
        <v>-3.6908326637685271</v>
      </c>
      <c r="J6" s="332">
        <f ca="1">INDEX(OFFSET('Adjustment scenario'!$D$1:$W$1,$D6-1,0),MATCH(J$4,'Adjustment scenario'!$D$10:$W$10,0))</f>
        <v>-3.2702742486582439</v>
      </c>
      <c r="K6" s="332">
        <f ca="1">INDEX(OFFSET('Adjustment scenario'!$D$1:$W$1,$D6-1,0),MATCH(K$4,'Adjustment scenario'!$D$10:$W$10,0))</f>
        <v>-2.8034928099652019</v>
      </c>
      <c r="L6" s="332">
        <f ca="1">INDEX(OFFSET('Adjustment scenario'!$D$1:$W$1,$D6-1,0),MATCH(L$4,'Adjustment scenario'!$D$10:$W$10,0))</f>
        <v>-2.5954042605745951</v>
      </c>
      <c r="M6" s="332">
        <f ca="1">INDEX(OFFSET('Adjustment scenario'!$D$1:$W$1,$D6-1,0),MATCH(M$4,'Adjustment scenario'!$D$10:$W$10,0))</f>
        <v>-2.3851763681380982</v>
      </c>
      <c r="N6" s="332">
        <f ca="1">INDEX(OFFSET('Adjustment scenario'!$D$1:$W$1,$D6-1,0),MATCH(N$4,'Adjustment scenario'!$D$10:$W$10,0))</f>
        <v>-2.1778648823753164</v>
      </c>
      <c r="O6" s="332">
        <f ca="1">INDEX(OFFSET('Adjustment scenario'!$D$1:$W$1,$D6-1,0),MATCH(O$4,'Adjustment scenario'!$D$10:$W$10,0))</f>
        <v>-2.14037322587787</v>
      </c>
      <c r="P6" s="332">
        <f ca="1">INDEX(OFFSET('Adjustment scenario'!$D$1:$W$1,$D6-1,0),MATCH(P$4,'Adjustment scenario'!$D$10:$W$10,0))</f>
        <v>-2.1212247816983791</v>
      </c>
      <c r="Q6" s="332">
        <f ca="1">INDEX(OFFSET('Adjustment scenario'!$D$1:$W$1,$D6-1,0),MATCH(Q$4,'Adjustment scenario'!$D$10:$W$10,0))</f>
        <v>-2.1184857951470124</v>
      </c>
      <c r="R6" s="332">
        <f ca="1">INDEX(OFFSET('Adjustment scenario'!$D$1:$W$1,$D6-1,0),MATCH(R$4,'Adjustment scenario'!$D$10:$W$10,0))</f>
        <v>-2.1341917781242641</v>
      </c>
      <c r="S6" s="332">
        <f ca="1">INDEX(OFFSET('Adjustment scenario'!$D$1:$W$1,$D6-1,0),MATCH(S$4,'Adjustment scenario'!$D$10:$W$10,0))</f>
        <v>-2.1678631602484524</v>
      </c>
      <c r="T6" s="332">
        <f ca="1">INDEX(OFFSET('Adjustment scenario'!$D$1:$W$1,$D6-1,0),MATCH(T$4,'Adjustment scenario'!$D$10:$W$10,0))</f>
        <v>-2.2124047523265404</v>
      </c>
      <c r="U6" s="332">
        <f ca="1">INDEX(OFFSET('Adjustment scenario'!$D$1:$W$1,$D6-1,0),MATCH(U$4,'Adjustment scenario'!$D$10:$W$10,0))</f>
        <v>-2.2666138319283413</v>
      </c>
      <c r="V6" s="332">
        <f ca="1">INDEX(OFFSET('Adjustment scenario'!$D$1:$W$1,$D6-1,0),MATCH(V$4,'Adjustment scenario'!$D$10:$W$10,0))</f>
        <v>-2.3394182213418531</v>
      </c>
      <c r="W6" s="332">
        <f ca="1">INDEX(OFFSET('Adjustment scenario'!$D$1:$W$1,$D6-1,0),MATCH(W$4,'Adjustment scenario'!$D$10:$W$10,0))</f>
        <v>-2.4344700798338783</v>
      </c>
      <c r="X6" s="332">
        <f ca="1">INDEX(OFFSET('Adjustment scenario'!$D$1:$W$1,$D6-1,0),MATCH(X$4,'Adjustment scenario'!$D$10:$W$10,0))</f>
        <v>-2.5517401254757779</v>
      </c>
      <c r="Y6" s="271"/>
    </row>
    <row r="7" spans="1:25" x14ac:dyDescent="0.2">
      <c r="A7" s="271"/>
      <c r="B7" s="339">
        <v>3</v>
      </c>
      <c r="C7" s="343" t="s">
        <v>40</v>
      </c>
      <c r="D7" s="344">
        <v>12</v>
      </c>
      <c r="E7" s="345" t="s">
        <v>223</v>
      </c>
      <c r="F7" s="332">
        <f ca="1">INDEX(OFFSET('Adjustment scenario'!$D$1:$W$1,$D7-1,0),MATCH(F$4,'Adjustment scenario'!$D$10:$W$10,0))</f>
        <v>-3.790994</v>
      </c>
      <c r="G7" s="332">
        <f ca="1">INDEX(OFFSET('Adjustment scenario'!$D$1:$W$1,$D7-1,0),MATCH(G$4,'Adjustment scenario'!$D$10:$W$10,0))</f>
        <v>-2.897243</v>
      </c>
      <c r="H7" s="332">
        <f ca="1">INDEX(OFFSET('Adjustment scenario'!$D$1:$W$1,$D7-1,0),MATCH(H$4,'Adjustment scenario'!$D$10:$W$10,0))</f>
        <v>-2.397243</v>
      </c>
      <c r="I7" s="332">
        <f ca="1">INDEX(OFFSET('Adjustment scenario'!$D$1:$W$1,$D7-1,0),MATCH(I$4,'Adjustment scenario'!$D$10:$W$10,0))</f>
        <v>-1.897243</v>
      </c>
      <c r="J7" s="332">
        <f ca="1">INDEX(OFFSET('Adjustment scenario'!$D$1:$W$1,$D7-1,0),MATCH(J$4,'Adjustment scenario'!$D$10:$W$10,0))</f>
        <v>-1.397243</v>
      </c>
      <c r="K7" s="332">
        <f ca="1">INDEX(OFFSET('Adjustment scenario'!$D$1:$W$1,$D7-1,0),MATCH(K$4,'Adjustment scenario'!$D$10:$W$10,0))</f>
        <v>-0.86632273651979652</v>
      </c>
      <c r="L7" s="332">
        <f ca="1">INDEX(OFFSET('Adjustment scenario'!$D$1:$W$1,$D7-1,0),MATCH(L$4,'Adjustment scenario'!$D$10:$W$10,0))</f>
        <v>-0.86632273651979652</v>
      </c>
      <c r="M7" s="332">
        <f ca="1">INDEX(OFFSET('Adjustment scenario'!$D$1:$W$1,$D7-1,0),MATCH(M$4,'Adjustment scenario'!$D$10:$W$10,0))</f>
        <v>-0.86632273651979652</v>
      </c>
      <c r="N7" s="332">
        <f ca="1">INDEX(OFFSET('Adjustment scenario'!$D$1:$W$1,$D7-1,0),MATCH(N$4,'Adjustment scenario'!$D$10:$W$10,0))</f>
        <v>-0.86632273651979652</v>
      </c>
      <c r="O7" s="332">
        <f ca="1">INDEX(OFFSET('Adjustment scenario'!$D$1:$W$1,$D7-1,0),MATCH(O$4,'Adjustment scenario'!$D$10:$W$10,0))</f>
        <v>-0.86632273651979652</v>
      </c>
      <c r="P7" s="332">
        <f ca="1">INDEX(OFFSET('Adjustment scenario'!$D$1:$W$1,$D7-1,0),MATCH(P$4,'Adjustment scenario'!$D$10:$W$10,0))</f>
        <v>-0.86632273651979652</v>
      </c>
      <c r="Q7" s="332">
        <f ca="1">INDEX(OFFSET('Adjustment scenario'!$D$1:$W$1,$D7-1,0),MATCH(Q$4,'Adjustment scenario'!$D$10:$W$10,0))</f>
        <v>-0.86632273651979652</v>
      </c>
      <c r="R7" s="332">
        <f ca="1">INDEX(OFFSET('Adjustment scenario'!$D$1:$W$1,$D7-1,0),MATCH(R$4,'Adjustment scenario'!$D$10:$W$10,0))</f>
        <v>-0.86632273651979652</v>
      </c>
      <c r="S7" s="332">
        <f ca="1">INDEX(OFFSET('Adjustment scenario'!$D$1:$W$1,$D7-1,0),MATCH(S$4,'Adjustment scenario'!$D$10:$W$10,0))</f>
        <v>-0.86632273651979652</v>
      </c>
      <c r="T7" s="332">
        <f ca="1">INDEX(OFFSET('Adjustment scenario'!$D$1:$W$1,$D7-1,0),MATCH(T$4,'Adjustment scenario'!$D$10:$W$10,0))</f>
        <v>-0.86632273651979652</v>
      </c>
      <c r="U7" s="332">
        <f ca="1">INDEX(OFFSET('Adjustment scenario'!$D$1:$W$1,$D7-1,0),MATCH(U$4,'Adjustment scenario'!$D$10:$W$10,0))</f>
        <v>-0.86632273651979652</v>
      </c>
      <c r="V7" s="332">
        <f ca="1">INDEX(OFFSET('Adjustment scenario'!$D$1:$W$1,$D7-1,0),MATCH(V$4,'Adjustment scenario'!$D$10:$W$10,0))</f>
        <v>-0.86632273651979652</v>
      </c>
      <c r="W7" s="332">
        <f ca="1">INDEX(OFFSET('Adjustment scenario'!$D$1:$W$1,$D7-1,0),MATCH(W$4,'Adjustment scenario'!$D$10:$W$10,0))</f>
        <v>-0.86632273651979652</v>
      </c>
      <c r="X7" s="332">
        <f ca="1">INDEX(OFFSET('Adjustment scenario'!$D$1:$W$1,$D7-1,0),MATCH(X$4,'Adjustment scenario'!$D$10:$W$10,0))</f>
        <v>-0.86632273651979652</v>
      </c>
      <c r="Y7" s="271"/>
    </row>
    <row r="8" spans="1:25" x14ac:dyDescent="0.2">
      <c r="A8" s="271"/>
      <c r="B8" s="339">
        <v>4</v>
      </c>
      <c r="C8" s="343" t="s">
        <v>224</v>
      </c>
      <c r="D8" s="344">
        <v>62</v>
      </c>
      <c r="E8" s="345" t="s">
        <v>223</v>
      </c>
      <c r="F8" s="332">
        <f ca="1">INDEX(OFFSET('Adjustment scenario'!$D$1:$W$1,$D8-1,0),MATCH(F$4,'Adjustment scenario'!$D$10:$W$10,0))</f>
        <v>8.9617005349547311E-3</v>
      </c>
      <c r="G8" s="332">
        <f ca="1">INDEX(OFFSET('Adjustment scenario'!$D$1:$W$1,$D8-1,0),MATCH(G$4,'Adjustment scenario'!$D$10:$W$10,0))</f>
        <v>0.16701710097709546</v>
      </c>
      <c r="H8" s="332">
        <f ca="1">INDEX(OFFSET('Adjustment scenario'!$D$1:$W$1,$D8-1,0),MATCH(H$4,'Adjustment scenario'!$D$10:$W$10,0))</f>
        <v>0.34856791520961283</v>
      </c>
      <c r="I8" s="332">
        <f ca="1">INDEX(OFFSET('Adjustment scenario'!$D$1:$W$1,$D8-1,0),MATCH(I$4,'Adjustment scenario'!$D$10:$W$10,0))</f>
        <v>0.40272866660370749</v>
      </c>
      <c r="J8" s="332">
        <f ca="1">INDEX(OFFSET('Adjustment scenario'!$D$1:$W$1,$D8-1,0),MATCH(J$4,'Adjustment scenario'!$D$10:$W$10,0))</f>
        <v>0.4385928663119979</v>
      </c>
      <c r="K8" s="332">
        <f ca="1">INDEX(OFFSET('Adjustment scenario'!$D$1:$W$1,$D8-1,0),MATCH(K$4,'Adjustment scenario'!$D$10:$W$10,0))</f>
        <v>0.47299370356983983</v>
      </c>
      <c r="L8" s="332">
        <f ca="1">INDEX(OFFSET('Adjustment scenario'!$D$1:$W$1,$D8-1,0),MATCH(L$4,'Adjustment scenario'!$D$10:$W$10,0))</f>
        <v>0.31532913571321769</v>
      </c>
      <c r="M8" s="332">
        <f ca="1">INDEX(OFFSET('Adjustment scenario'!$D$1:$W$1,$D8-1,0),MATCH(M$4,'Adjustment scenario'!$D$10:$W$10,0))</f>
        <v>0.15766456785661681</v>
      </c>
      <c r="N8" s="332">
        <f ca="1">INDEX(OFFSET('Adjustment scenario'!$D$1:$W$1,$D8-1,0),MATCH(N$4,'Adjustment scenario'!$D$10:$W$10,0))</f>
        <v>0</v>
      </c>
      <c r="O8" s="332">
        <f ca="1">INDEX(OFFSET('Adjustment scenario'!$D$1:$W$1,$D8-1,0),MATCH(O$4,'Adjustment scenario'!$D$10:$W$10,0))</f>
        <v>-1.8392989423743344E-6</v>
      </c>
      <c r="P8" s="332">
        <f ca="1">INDEX(OFFSET('Adjustment scenario'!$D$1:$W$1,$D8-1,0),MATCH(P$4,'Adjustment scenario'!$D$10:$W$10,0))</f>
        <v>-2.7594272168363077E-6</v>
      </c>
      <c r="Q8" s="332">
        <f ca="1">INDEX(OFFSET('Adjustment scenario'!$D$1:$W$1,$D8-1,0),MATCH(Q$4,'Adjustment scenario'!$D$10:$W$10,0))</f>
        <v>-3.6825629831760407E-6</v>
      </c>
      <c r="R8" s="332">
        <f ca="1">INDEX(OFFSET('Adjustment scenario'!$D$1:$W$1,$D8-1,0),MATCH(R$4,'Adjustment scenario'!$D$10:$W$10,0))</f>
        <v>-3.6825629938119772E-6</v>
      </c>
      <c r="S8" s="332">
        <f ca="1">INDEX(OFFSET('Adjustment scenario'!$D$1:$W$1,$D8-1,0),MATCH(S$4,'Adjustment scenario'!$D$10:$W$10,0))</f>
        <v>-5.0763781257900932E-6</v>
      </c>
      <c r="T8" s="332">
        <f ca="1">INDEX(OFFSET('Adjustment scenario'!$D$1:$W$1,$D8-1,0),MATCH(T$4,'Adjustment scenario'!$D$10:$W$10,0))</f>
        <v>-6.4717078257725543E-6</v>
      </c>
      <c r="U8" s="332">
        <f ca="1">INDEX(OFFSET('Adjustment scenario'!$D$1:$W$1,$D8-1,0),MATCH(U$4,'Adjustment scenario'!$D$10:$W$10,0))</f>
        <v>-6.0059619286789712E-6</v>
      </c>
      <c r="V8" s="332">
        <f ca="1">INDEX(OFFSET('Adjustment scenario'!$D$1:$W$1,$D8-1,0),MATCH(V$4,'Adjustment scenario'!$D$10:$W$10,0))</f>
        <v>-5.0729521736236903E-6</v>
      </c>
      <c r="W8" s="332">
        <f ca="1">INDEX(OFFSET('Adjustment scenario'!$D$1:$W$1,$D8-1,0),MATCH(W$4,'Adjustment scenario'!$D$10:$W$10,0))</f>
        <v>-3.6712500373292652E-6</v>
      </c>
      <c r="X8" s="332">
        <f ca="1">INDEX(OFFSET('Adjustment scenario'!$D$1:$W$1,$D8-1,0),MATCH(X$4,'Adjustment scenario'!$D$10:$W$10,0))</f>
        <v>-2.7354237692733818E-6</v>
      </c>
      <c r="Y8" s="271"/>
    </row>
    <row r="9" spans="1:25" x14ac:dyDescent="0.2">
      <c r="A9" s="271"/>
      <c r="B9" s="339">
        <v>5</v>
      </c>
      <c r="C9" s="343" t="s">
        <v>225</v>
      </c>
      <c r="D9" s="344">
        <v>14</v>
      </c>
      <c r="E9" s="345" t="s">
        <v>221</v>
      </c>
      <c r="F9" s="332">
        <f ca="1">INDEX(OFFSET('Adjustment scenario'!$D$1:$W$1,$D9-1,0),MATCH(F$4,'Adjustment scenario'!$D$10:$W$10,0))</f>
        <v>0</v>
      </c>
      <c r="G9" s="332">
        <f ca="1">INDEX(OFFSET('Adjustment scenario'!$D$1:$W$1,$D9-1,0),MATCH(G$4,'Adjustment scenario'!$D$10:$W$10,0))</f>
        <v>0</v>
      </c>
      <c r="H9" s="332">
        <f ca="1">INDEX(OFFSET('Adjustment scenario'!$D$1:$W$1,$D9-1,0),MATCH(H$4,'Adjustment scenario'!$D$10:$W$10,0))</f>
        <v>0</v>
      </c>
      <c r="I9" s="332">
        <f ca="1">INDEX(OFFSET('Adjustment scenario'!$D$1:$W$1,$D9-1,0),MATCH(I$4,'Adjustment scenario'!$D$10:$W$10,0))</f>
        <v>0</v>
      </c>
      <c r="J9" s="332">
        <f ca="1">INDEX(OFFSET('Adjustment scenario'!$D$1:$W$1,$D9-1,0),MATCH(J$4,'Adjustment scenario'!$D$10:$W$10,0))</f>
        <v>0</v>
      </c>
      <c r="K9" s="332">
        <f ca="1">INDEX(OFFSET('Adjustment scenario'!$D$1:$W$1,$D9-1,0),MATCH(K$4,'Adjustment scenario'!$D$10:$W$10,0))</f>
        <v>0</v>
      </c>
      <c r="L9" s="332">
        <f ca="1">INDEX(OFFSET('Adjustment scenario'!$D$1:$W$1,$D9-1,0),MATCH(L$4,'Adjustment scenario'!$D$10:$W$10,0))</f>
        <v>0</v>
      </c>
      <c r="M9" s="332">
        <f ca="1">INDEX(OFFSET('Adjustment scenario'!$D$1:$W$1,$D9-1,0),MATCH(M$4,'Adjustment scenario'!$D$10:$W$10,0))</f>
        <v>0</v>
      </c>
      <c r="N9" s="332">
        <f ca="1">INDEX(OFFSET('Adjustment scenario'!$D$1:$W$1,$D9-1,0),MATCH(N$4,'Adjustment scenario'!$D$10:$W$10,0))</f>
        <v>0</v>
      </c>
      <c r="O9" s="332">
        <f ca="1">INDEX(OFFSET('Adjustment scenario'!$D$1:$W$1,$D9-1,0),MATCH(O$4,'Adjustment scenario'!$D$10:$W$10,0))</f>
        <v>0</v>
      </c>
      <c r="P9" s="332">
        <f ca="1">INDEX(OFFSET('Adjustment scenario'!$D$1:$W$1,$D9-1,0),MATCH(P$4,'Adjustment scenario'!$D$10:$W$10,0))</f>
        <v>0</v>
      </c>
      <c r="Q9" s="332">
        <f ca="1">INDEX(OFFSET('Adjustment scenario'!$D$1:$W$1,$D9-1,0),MATCH(Q$4,'Adjustment scenario'!$D$10:$W$10,0))</f>
        <v>0</v>
      </c>
      <c r="R9" s="332">
        <f ca="1">INDEX(OFFSET('Adjustment scenario'!$D$1:$W$1,$D9-1,0),MATCH(R$4,'Adjustment scenario'!$D$10:$W$10,0))</f>
        <v>0</v>
      </c>
      <c r="S9" s="332">
        <f ca="1">INDEX(OFFSET('Adjustment scenario'!$D$1:$W$1,$D9-1,0),MATCH(S$4,'Adjustment scenario'!$D$10:$W$10,0))</f>
        <v>0</v>
      </c>
      <c r="T9" s="332">
        <f ca="1">INDEX(OFFSET('Adjustment scenario'!$D$1:$W$1,$D9-1,0),MATCH(T$4,'Adjustment scenario'!$D$10:$W$10,0))</f>
        <v>0</v>
      </c>
      <c r="U9" s="332">
        <f ca="1">INDEX(OFFSET('Adjustment scenario'!$D$1:$W$1,$D9-1,0),MATCH(U$4,'Adjustment scenario'!$D$10:$W$10,0))</f>
        <v>0</v>
      </c>
      <c r="V9" s="332">
        <f ca="1">INDEX(OFFSET('Adjustment scenario'!$D$1:$W$1,$D9-1,0),MATCH(V$4,'Adjustment scenario'!$D$10:$W$10,0))</f>
        <v>0</v>
      </c>
      <c r="W9" s="332">
        <f ca="1">INDEX(OFFSET('Adjustment scenario'!$D$1:$W$1,$D9-1,0),MATCH(W$4,'Adjustment scenario'!$D$10:$W$10,0))</f>
        <v>0</v>
      </c>
      <c r="X9" s="332">
        <f ca="1">INDEX(OFFSET('Adjustment scenario'!$D$1:$W$1,$D9-1,0),MATCH(X$4,'Adjustment scenario'!$D$10:$W$10,0))</f>
        <v>0</v>
      </c>
      <c r="Y9" s="271"/>
    </row>
    <row r="10" spans="1:25" x14ac:dyDescent="0.2">
      <c r="A10" s="271"/>
      <c r="B10" s="339">
        <v>6</v>
      </c>
      <c r="C10" s="343" t="s">
        <v>226</v>
      </c>
      <c r="D10" s="344">
        <v>68</v>
      </c>
      <c r="E10" s="345" t="s">
        <v>221</v>
      </c>
      <c r="F10" s="332">
        <f ca="1">INDEX(OFFSET('Adjustment scenario'!$D$1:$W$1,$D10-1,0),MATCH(F$4,'Adjustment scenario'!$D$10:$W$10,0))</f>
        <v>1.1036091376320842</v>
      </c>
      <c r="G10" s="332">
        <f ca="1">INDEX(OFFSET('Adjustment scenario'!$D$1:$W$1,$D10-1,0),MATCH(G$4,'Adjustment scenario'!$D$10:$W$10,0))</f>
        <v>1.2783144254813359</v>
      </c>
      <c r="H10" s="332">
        <f ca="1">INDEX(OFFSET('Adjustment scenario'!$D$1:$W$1,$D10-1,0),MATCH(H$4,'Adjustment scenario'!$D$10:$W$10,0))</f>
        <v>1.3300303519945194</v>
      </c>
      <c r="I10" s="332">
        <f ca="1">INDEX(OFFSET('Adjustment scenario'!$D$1:$W$1,$D10-1,0),MATCH(I$4,'Adjustment scenario'!$D$10:$W$10,0))</f>
        <v>1.3908609971648196</v>
      </c>
      <c r="J10" s="332">
        <f ca="1">INDEX(OFFSET('Adjustment scenario'!$D$1:$W$1,$D10-1,0),MATCH(J$4,'Adjustment scenario'!$D$10:$W$10,0))</f>
        <v>1.4344383823462461</v>
      </c>
      <c r="K10" s="332">
        <f ca="1">INDEX(OFFSET('Adjustment scenario'!$D$1:$W$1,$D10-1,0),MATCH(K$4,'Adjustment scenario'!$D$10:$W$10,0))</f>
        <v>1.4641763698755654</v>
      </c>
      <c r="L10" s="332">
        <f ca="1">INDEX(OFFSET('Adjustment scenario'!$D$1:$W$1,$D10-1,0),MATCH(L$4,'Adjustment scenario'!$D$10:$W$10,0))</f>
        <v>1.4727588883415772</v>
      </c>
      <c r="M10" s="332">
        <f ca="1">INDEX(OFFSET('Adjustment scenario'!$D$1:$W$1,$D10-1,0),MATCH(M$4,'Adjustment scenario'!$D$10:$W$10,0))</f>
        <v>1.4766420637616819</v>
      </c>
      <c r="N10" s="332">
        <f ca="1">INDEX(OFFSET('Adjustment scenario'!$D$1:$W$1,$D10-1,0),MATCH(N$4,'Adjustment scenario'!$D$10:$W$10,0))</f>
        <v>1.4766815458555191</v>
      </c>
      <c r="O10" s="332">
        <f ca="1">INDEX(OFFSET('Adjustment scenario'!$D$1:$W$1,$D10-1,0),MATCH(O$4,'Adjustment scenario'!$D$10:$W$10,0))</f>
        <v>1.4781281286570129</v>
      </c>
      <c r="P10" s="332">
        <f ca="1">INDEX(OFFSET('Adjustment scenario'!$D$1:$W$1,$D10-1,0),MATCH(P$4,'Adjustment scenario'!$D$10:$W$10,0))</f>
        <v>1.4803271046057973</v>
      </c>
      <c r="Q10" s="332">
        <f ca="1">INDEX(OFFSET('Adjustment scenario'!$D$1:$W$1,$D10-1,0),MATCH(Q$4,'Adjustment scenario'!$D$10:$W$10,0))</f>
        <v>1.4834555411901977</v>
      </c>
      <c r="R10" s="332">
        <f ca="1">INDEX(OFFSET('Adjustment scenario'!$D$1:$W$1,$D10-1,0),MATCH(R$4,'Adjustment scenario'!$D$10:$W$10,0))</f>
        <v>1.4894079241674587</v>
      </c>
      <c r="S10" s="332">
        <f ca="1">INDEX(OFFSET('Adjustment scenario'!$D$1:$W$1,$D10-1,0),MATCH(S$4,'Adjustment scenario'!$D$10:$W$10,0))</f>
        <v>1.4990272001067804</v>
      </c>
      <c r="T10" s="332">
        <f ca="1">INDEX(OFFSET('Adjustment scenario'!$D$1:$W$1,$D10-1,0),MATCH(T$4,'Adjustment scenario'!$D$10:$W$10,0))</f>
        <v>1.5097465875145673</v>
      </c>
      <c r="U10" s="332">
        <f ca="1">INDEX(OFFSET('Adjustment scenario'!$D$1:$W$1,$D10-1,0),MATCH(U$4,'Adjustment scenario'!$D$10:$W$10,0))</f>
        <v>1.5225317013704716</v>
      </c>
      <c r="V10" s="332">
        <f ca="1">INDEX(OFFSET('Adjustment scenario'!$D$1:$W$1,$D10-1,0),MATCH(V$4,'Adjustment scenario'!$D$10:$W$10,0))</f>
        <v>1.5382215577742293</v>
      </c>
      <c r="W10" s="332">
        <f ca="1">INDEX(OFFSET('Adjustment scenario'!$D$1:$W$1,$D10-1,0),MATCH(W$4,'Adjustment scenario'!$D$10:$W$10,0))</f>
        <v>1.5574385145641174</v>
      </c>
      <c r="X10" s="332">
        <f ca="1">INDEX(OFFSET('Adjustment scenario'!$D$1:$W$1,$D10-1,0),MATCH(X$4,'Adjustment scenario'!$D$10:$W$10,0))</f>
        <v>1.5808341243797492</v>
      </c>
      <c r="Y10" s="271"/>
    </row>
    <row r="11" spans="1:25" x14ac:dyDescent="0.2">
      <c r="A11" s="271"/>
      <c r="B11" s="339">
        <v>7</v>
      </c>
      <c r="C11" s="346" t="s">
        <v>94</v>
      </c>
      <c r="D11" s="344">
        <v>37</v>
      </c>
      <c r="E11" s="345" t="s">
        <v>227</v>
      </c>
      <c r="F11" s="332">
        <f ca="1">INDEX(OFFSET('Adjustment scenario'!$D$1:$W$1,$D11-1,0),MATCH(F$4,'Adjustment scenario'!$D$10:$W$10,0))</f>
        <v>3.71</v>
      </c>
      <c r="G11" s="332">
        <f ca="1">INDEX(OFFSET('Adjustment scenario'!$D$1:$W$1,$D11-1,0),MATCH(G$4,'Adjustment scenario'!$D$10:$W$10,0))</f>
        <v>3.4970020000000002</v>
      </c>
      <c r="H11" s="332">
        <f ca="1">INDEX(OFFSET('Adjustment scenario'!$D$1:$W$1,$D11-1,0),MATCH(H$4,'Adjustment scenario'!$D$10:$W$10,0))</f>
        <v>3.5053580000000002</v>
      </c>
      <c r="I11" s="332">
        <f ca="1">INDEX(OFFSET('Adjustment scenario'!$D$1:$W$1,$D11-1,0),MATCH(I$4,'Adjustment scenario'!$D$10:$W$10,0))</f>
        <v>3.5849320000000002</v>
      </c>
      <c r="J11" s="332">
        <f ca="1">INDEX(OFFSET('Adjustment scenario'!$D$1:$W$1,$D11-1,0),MATCH(J$4,'Adjustment scenario'!$D$10:$W$10,0))</f>
        <v>3.6645060000000003</v>
      </c>
      <c r="K11" s="332">
        <f ca="1">INDEX(OFFSET('Adjustment scenario'!$D$1:$W$1,$D11-1,0),MATCH(K$4,'Adjustment scenario'!$D$10:$W$10,0))</f>
        <v>3.7440800000000003</v>
      </c>
      <c r="L11" s="332">
        <f ca="1">INDEX(OFFSET('Adjustment scenario'!$D$1:$W$1,$D11-1,0),MATCH(L$4,'Adjustment scenario'!$D$10:$W$10,0))</f>
        <v>3.8236540000000003</v>
      </c>
      <c r="M11" s="332">
        <f ca="1">INDEX(OFFSET('Adjustment scenario'!$D$1:$W$1,$D11-1,0),MATCH(M$4,'Adjustment scenario'!$D$10:$W$10,0))</f>
        <v>3.9032280000000004</v>
      </c>
      <c r="N11" s="332">
        <f ca="1">INDEX(OFFSET('Adjustment scenario'!$D$1:$W$1,$D11-1,0),MATCH(N$4,'Adjustment scenario'!$D$10:$W$10,0))</f>
        <v>3.9828020000000004</v>
      </c>
      <c r="O11" s="332">
        <f ca="1">INDEX(OFFSET('Adjustment scenario'!$D$1:$W$1,$D11-1,0),MATCH(O$4,'Adjustment scenario'!$D$10:$W$10,0))</f>
        <v>4.0623760000000004</v>
      </c>
      <c r="P11" s="332">
        <f ca="1">INDEX(OFFSET('Adjustment scenario'!$D$1:$W$1,$D11-1,0),MATCH(P$4,'Adjustment scenario'!$D$10:$W$10,0))</f>
        <v>4.1419499999999996</v>
      </c>
      <c r="Q11" s="332">
        <f ca="1">INDEX(OFFSET('Adjustment scenario'!$D$1:$W$1,$D11-1,0),MATCH(Q$4,'Adjustment scenario'!$D$10:$W$10,0))</f>
        <v>4.1348524999999992</v>
      </c>
      <c r="R11" s="332">
        <f ca="1">INDEX(OFFSET('Adjustment scenario'!$D$1:$W$1,$D11-1,0),MATCH(R$4,'Adjustment scenario'!$D$10:$W$10,0))</f>
        <v>4.1277549999999996</v>
      </c>
      <c r="S11" s="332">
        <f ca="1">INDEX(OFFSET('Adjustment scenario'!$D$1:$W$1,$D11-1,0),MATCH(S$4,'Adjustment scenario'!$D$10:$W$10,0))</f>
        <v>4.1206575000000001</v>
      </c>
      <c r="T11" s="332">
        <f ca="1">INDEX(OFFSET('Adjustment scenario'!$D$1:$W$1,$D11-1,0),MATCH(T$4,'Adjustment scenario'!$D$10:$W$10,0))</f>
        <v>4.1135599999999997</v>
      </c>
      <c r="U11" s="332">
        <f ca="1">INDEX(OFFSET('Adjustment scenario'!$D$1:$W$1,$D11-1,0),MATCH(U$4,'Adjustment scenario'!$D$10:$W$10,0))</f>
        <v>4.1064624999999992</v>
      </c>
      <c r="V11" s="332">
        <f ca="1">INDEX(OFFSET('Adjustment scenario'!$D$1:$W$1,$D11-1,0),MATCH(V$4,'Adjustment scenario'!$D$10:$W$10,0))</f>
        <v>4.0993649999999997</v>
      </c>
      <c r="W11" s="332">
        <f ca="1">INDEX(OFFSET('Adjustment scenario'!$D$1:$W$1,$D11-1,0),MATCH(W$4,'Adjustment scenario'!$D$10:$W$10,0))</f>
        <v>4.0922675000000002</v>
      </c>
      <c r="X11" s="332">
        <f ca="1">INDEX(OFFSET('Adjustment scenario'!$D$1:$W$1,$D11-1,0),MATCH(X$4,'Adjustment scenario'!$D$10:$W$10,0))</f>
        <v>4.0851699999999997</v>
      </c>
      <c r="Y11" s="271"/>
    </row>
    <row r="12" spans="1:25" x14ac:dyDescent="0.2">
      <c r="A12" s="271"/>
      <c r="B12" s="339">
        <v>8</v>
      </c>
      <c r="C12" s="346" t="s">
        <v>95</v>
      </c>
      <c r="D12" s="344">
        <v>38</v>
      </c>
      <c r="E12" s="345" t="s">
        <v>227</v>
      </c>
      <c r="F12" s="332">
        <f ca="1">INDEX(OFFSET('Adjustment scenario'!$D$1:$W$1,$D12-1,0),MATCH(F$4,'Adjustment scenario'!$D$10:$W$10,0))</f>
        <v>3.43</v>
      </c>
      <c r="G12" s="332">
        <f ca="1">INDEX(OFFSET('Adjustment scenario'!$D$1:$W$1,$D12-1,0),MATCH(G$4,'Adjustment scenario'!$D$10:$W$10,0))</f>
        <v>3.5642079999999998</v>
      </c>
      <c r="H12" s="332">
        <f ca="1">INDEX(OFFSET('Adjustment scenario'!$D$1:$W$1,$D12-1,0),MATCH(H$4,'Adjustment scenario'!$D$10:$W$10,0))</f>
        <v>2.8163749999999999</v>
      </c>
      <c r="I12" s="332">
        <f ca="1">INDEX(OFFSET('Adjustment scenario'!$D$1:$W$1,$D12-1,0),MATCH(I$4,'Adjustment scenario'!$D$10:$W$10,0))</f>
        <v>2.8050893749999997</v>
      </c>
      <c r="J12" s="332">
        <f ca="1">INDEX(OFFSET('Adjustment scenario'!$D$1:$W$1,$D12-1,0),MATCH(J$4,'Adjustment scenario'!$D$10:$W$10,0))</f>
        <v>2.7938037499999995</v>
      </c>
      <c r="K12" s="332">
        <f ca="1">INDEX(OFFSET('Adjustment scenario'!$D$1:$W$1,$D12-1,0),MATCH(K$4,'Adjustment scenario'!$D$10:$W$10,0))</f>
        <v>2.7825181249999993</v>
      </c>
      <c r="L12" s="332">
        <f ca="1">INDEX(OFFSET('Adjustment scenario'!$D$1:$W$1,$D12-1,0),MATCH(L$4,'Adjustment scenario'!$D$10:$W$10,0))</f>
        <v>2.7712324999999991</v>
      </c>
      <c r="M12" s="332">
        <f ca="1">INDEX(OFFSET('Adjustment scenario'!$D$1:$W$1,$D12-1,0),MATCH(M$4,'Adjustment scenario'!$D$10:$W$10,0))</f>
        <v>2.7599468749999989</v>
      </c>
      <c r="N12" s="332">
        <f ca="1">INDEX(OFFSET('Adjustment scenario'!$D$1:$W$1,$D12-1,0),MATCH(N$4,'Adjustment scenario'!$D$10:$W$10,0))</f>
        <v>2.7486612499999987</v>
      </c>
      <c r="O12" s="332">
        <f ca="1">INDEX(OFFSET('Adjustment scenario'!$D$1:$W$1,$D12-1,0),MATCH(O$4,'Adjustment scenario'!$D$10:$W$10,0))</f>
        <v>2.7373756249999985</v>
      </c>
      <c r="P12" s="332">
        <f ca="1">INDEX(OFFSET('Adjustment scenario'!$D$1:$W$1,$D12-1,0),MATCH(P$4,'Adjustment scenario'!$D$10:$W$10,0))</f>
        <v>2.7260900000000001</v>
      </c>
      <c r="Q12" s="332">
        <f ca="1">INDEX(OFFSET('Adjustment scenario'!$D$1:$W$1,$D12-1,0),MATCH(Q$4,'Adjustment scenario'!$D$10:$W$10,0))</f>
        <v>2.6897855000000002</v>
      </c>
      <c r="R12" s="332">
        <f ca="1">INDEX(OFFSET('Adjustment scenario'!$D$1:$W$1,$D12-1,0),MATCH(R$4,'Adjustment scenario'!$D$10:$W$10,0))</f>
        <v>2.6534810000000002</v>
      </c>
      <c r="S12" s="332">
        <f ca="1">INDEX(OFFSET('Adjustment scenario'!$D$1:$W$1,$D12-1,0),MATCH(S$4,'Adjustment scenario'!$D$10:$W$10,0))</f>
        <v>2.6171765000000002</v>
      </c>
      <c r="T12" s="332">
        <f ca="1">INDEX(OFFSET('Adjustment scenario'!$D$1:$W$1,$D12-1,0),MATCH(T$4,'Adjustment scenario'!$D$10:$W$10,0))</f>
        <v>2.5808720000000003</v>
      </c>
      <c r="U12" s="332">
        <f ca="1">INDEX(OFFSET('Adjustment scenario'!$D$1:$W$1,$D12-1,0),MATCH(U$4,'Adjustment scenario'!$D$10:$W$10,0))</f>
        <v>2.5445675000000003</v>
      </c>
      <c r="V12" s="332">
        <f ca="1">INDEX(OFFSET('Adjustment scenario'!$D$1:$W$1,$D12-1,0),MATCH(V$4,'Adjustment scenario'!$D$10:$W$10,0))</f>
        <v>2.5082629999999999</v>
      </c>
      <c r="W12" s="332">
        <f ca="1">INDEX(OFFSET('Adjustment scenario'!$D$1:$W$1,$D12-1,0),MATCH(W$4,'Adjustment scenario'!$D$10:$W$10,0))</f>
        <v>2.4719584999999999</v>
      </c>
      <c r="X12" s="332">
        <f ca="1">INDEX(OFFSET('Adjustment scenario'!$D$1:$W$1,$D12-1,0),MATCH(X$4,'Adjustment scenario'!$D$10:$W$10,0))</f>
        <v>2.435654</v>
      </c>
      <c r="Y12" s="271"/>
    </row>
    <row r="13" spans="1:25" x14ac:dyDescent="0.2">
      <c r="A13" s="271"/>
      <c r="B13" s="339">
        <v>9</v>
      </c>
      <c r="C13" s="343" t="s">
        <v>228</v>
      </c>
      <c r="D13" s="344">
        <v>36</v>
      </c>
      <c r="E13" s="345" t="s">
        <v>227</v>
      </c>
      <c r="F13" s="332">
        <f ca="1">INDEX(OFFSET('Adjustment scenario'!$D$1:$W$1,$D13-1,0),MATCH(F$4,'Adjustment scenario'!$D$10:$W$10,0))</f>
        <v>2.3767499999999999</v>
      </c>
      <c r="G13" s="332">
        <f ca="1">INDEX(OFFSET('Adjustment scenario'!$D$1:$W$1,$D13-1,0),MATCH(G$4,'Adjustment scenario'!$D$10:$W$10,0))</f>
        <v>2.7490950000000001</v>
      </c>
      <c r="H13" s="332">
        <f ca="1">INDEX(OFFSET('Adjustment scenario'!$D$1:$W$1,$D13-1,0),MATCH(H$4,'Adjustment scenario'!$D$10:$W$10,0))</f>
        <v>2.7383609999999998</v>
      </c>
      <c r="I13" s="332">
        <f ca="1">INDEX(OFFSET('Adjustment scenario'!$D$1:$W$1,$D13-1,0),MATCH(I$4,'Adjustment scenario'!$D$10:$W$10,0))</f>
        <v>2.8287900070696868</v>
      </c>
      <c r="J13" s="332">
        <f ca="1">INDEX(OFFSET('Adjustment scenario'!$D$1:$W$1,$D13-1,0),MATCH(J$4,'Adjustment scenario'!$D$10:$W$10,0))</f>
        <v>2.9113734145676009</v>
      </c>
      <c r="K13" s="332">
        <f ca="1">INDEX(OFFSET('Adjustment scenario'!$D$1:$W$1,$D13-1,0),MATCH(K$4,'Adjustment scenario'!$D$10:$W$10,0))</f>
        <v>2.9880993725823921</v>
      </c>
      <c r="L13" s="332">
        <f ca="1">INDEX(OFFSET('Adjustment scenario'!$D$1:$W$1,$D13-1,0),MATCH(L$4,'Adjustment scenario'!$D$10:$W$10,0))</f>
        <v>3.059409036847426</v>
      </c>
      <c r="M13" s="332">
        <f ca="1">INDEX(OFFSET('Adjustment scenario'!$D$1:$W$1,$D13-1,0),MATCH(M$4,'Adjustment scenario'!$D$10:$W$10,0))</f>
        <v>3.129364778437651</v>
      </c>
      <c r="N13" s="332">
        <f ca="1">INDEX(OFFSET('Adjustment scenario'!$D$1:$W$1,$D13-1,0),MATCH(N$4,'Adjustment scenario'!$D$10:$W$10,0))</f>
        <v>3.1980675101082716</v>
      </c>
      <c r="O13" s="332">
        <f ca="1">INDEX(OFFSET('Adjustment scenario'!$D$1:$W$1,$D13-1,0),MATCH(O$4,'Adjustment scenario'!$D$10:$W$10,0))</f>
        <v>3.2656343692776111</v>
      </c>
      <c r="P13" s="332">
        <f ca="1">INDEX(OFFSET('Adjustment scenario'!$D$1:$W$1,$D13-1,0),MATCH(P$4,'Adjustment scenario'!$D$10:$W$10,0))</f>
        <v>3.3342651392566927</v>
      </c>
      <c r="Q13" s="332">
        <f ca="1">INDEX(OFFSET('Adjustment scenario'!$D$1:$W$1,$D13-1,0),MATCH(Q$4,'Adjustment scenario'!$D$10:$W$10,0))</f>
        <v>3.3928667236430838</v>
      </c>
      <c r="R13" s="332">
        <f ca="1">INDEX(OFFSET('Adjustment scenario'!$D$1:$W$1,$D13-1,0),MATCH(R$4,'Adjustment scenario'!$D$10:$W$10,0))</f>
        <v>3.4445928413889697</v>
      </c>
      <c r="S13" s="332">
        <f ca="1">INDEX(OFFSET('Adjustment scenario'!$D$1:$W$1,$D13-1,0),MATCH(S$4,'Adjustment scenario'!$D$10:$W$10,0))</f>
        <v>3.4901801459010149</v>
      </c>
      <c r="T13" s="332">
        <f ca="1">INDEX(OFFSET('Adjustment scenario'!$D$1:$W$1,$D13-1,0),MATCH(T$4,'Adjustment scenario'!$D$10:$W$10,0))</f>
        <v>3.5302586134771348</v>
      </c>
      <c r="U13" s="332">
        <f ca="1">INDEX(OFFSET('Adjustment scenario'!$D$1:$W$1,$D13-1,0),MATCH(U$4,'Adjustment scenario'!$D$10:$W$10,0))</f>
        <v>3.5653555840754714</v>
      </c>
      <c r="V13" s="332">
        <f ca="1">INDEX(OFFSET('Adjustment scenario'!$D$1:$W$1,$D13-1,0),MATCH(V$4,'Adjustment scenario'!$D$10:$W$10,0))</f>
        <v>3.5959247220876107</v>
      </c>
      <c r="W13" s="332">
        <f ca="1">INDEX(OFFSET('Adjustment scenario'!$D$1:$W$1,$D13-1,0),MATCH(W$4,'Adjustment scenario'!$D$10:$W$10,0))</f>
        <v>3.6224212170808068</v>
      </c>
      <c r="X13" s="332">
        <f ca="1">INDEX(OFFSET('Adjustment scenario'!$D$1:$W$1,$D13-1,0),MATCH(X$4,'Adjustment scenario'!$D$10:$W$10,0))</f>
        <v>3.645252214159159</v>
      </c>
      <c r="Y13" s="271"/>
    </row>
    <row r="14" spans="1:25" x14ac:dyDescent="0.2">
      <c r="A14" s="271"/>
      <c r="B14" s="339">
        <v>10</v>
      </c>
      <c r="C14" s="343" t="s">
        <v>229</v>
      </c>
      <c r="D14" s="344">
        <v>72</v>
      </c>
      <c r="E14" s="345" t="s">
        <v>221</v>
      </c>
      <c r="F14" s="332">
        <f ca="1">INDEX(OFFSET('Adjustment scenario'!$D$1:$W$1,$D14-1,0),MATCH(F$4,'Adjustment scenario'!$D$10:$W$10,0))</f>
        <v>-0.94044799999999995</v>
      </c>
      <c r="G14" s="332">
        <f ca="1">INDEX(OFFSET('Adjustment scenario'!$D$1:$W$1,$D14-1,0),MATCH(G$4,'Adjustment scenario'!$D$10:$W$10,0))</f>
        <v>1.1851989999999999</v>
      </c>
      <c r="H14" s="332">
        <f ca="1">INDEX(OFFSET('Adjustment scenario'!$D$1:$W$1,$D14-1,0),MATCH(H$4,'Adjustment scenario'!$D$10:$W$10,0))</f>
        <v>6.6724400000000003E-2</v>
      </c>
      <c r="I14" s="332">
        <f ca="1">INDEX(OFFSET('Adjustment scenario'!$D$1:$W$1,$D14-1,0),MATCH(I$4,'Adjustment scenario'!$D$10:$W$10,0))</f>
        <v>0</v>
      </c>
      <c r="J14" s="332">
        <f ca="1">INDEX(OFFSET('Adjustment scenario'!$D$1:$W$1,$D14-1,0),MATCH(J$4,'Adjustment scenario'!$D$10:$W$10,0))</f>
        <v>0</v>
      </c>
      <c r="K14" s="332">
        <f ca="1">INDEX(OFFSET('Adjustment scenario'!$D$1:$W$1,$D14-1,0),MATCH(K$4,'Adjustment scenario'!$D$10:$W$10,0))</f>
        <v>0</v>
      </c>
      <c r="L14" s="332">
        <f ca="1">INDEX(OFFSET('Adjustment scenario'!$D$1:$W$1,$D14-1,0),MATCH(L$4,'Adjustment scenario'!$D$10:$W$10,0))</f>
        <v>0</v>
      </c>
      <c r="M14" s="332">
        <f ca="1">INDEX(OFFSET('Adjustment scenario'!$D$1:$W$1,$D14-1,0),MATCH(M$4,'Adjustment scenario'!$D$10:$W$10,0))</f>
        <v>0</v>
      </c>
      <c r="N14" s="332">
        <f ca="1">INDEX(OFFSET('Adjustment scenario'!$D$1:$W$1,$D14-1,0),MATCH(N$4,'Adjustment scenario'!$D$10:$W$10,0))</f>
        <v>0</v>
      </c>
      <c r="O14" s="332">
        <f ca="1">INDEX(OFFSET('Adjustment scenario'!$D$1:$W$1,$D14-1,0),MATCH(O$4,'Adjustment scenario'!$D$10:$W$10,0))</f>
        <v>0</v>
      </c>
      <c r="P14" s="332">
        <f ca="1">INDEX(OFFSET('Adjustment scenario'!$D$1:$W$1,$D14-1,0),MATCH(P$4,'Adjustment scenario'!$D$10:$W$10,0))</f>
        <v>0</v>
      </c>
      <c r="Q14" s="332">
        <f ca="1">INDEX(OFFSET('Adjustment scenario'!$D$1:$W$1,$D14-1,0),MATCH(Q$4,'Adjustment scenario'!$D$10:$W$10,0))</f>
        <v>0</v>
      </c>
      <c r="R14" s="332">
        <f ca="1">INDEX(OFFSET('Adjustment scenario'!$D$1:$W$1,$D14-1,0),MATCH(R$4,'Adjustment scenario'!$D$10:$W$10,0))</f>
        <v>0</v>
      </c>
      <c r="S14" s="332">
        <f ca="1">INDEX(OFFSET('Adjustment scenario'!$D$1:$W$1,$D14-1,0),MATCH(S$4,'Adjustment scenario'!$D$10:$W$10,0))</f>
        <v>0</v>
      </c>
      <c r="T14" s="332">
        <f ca="1">INDEX(OFFSET('Adjustment scenario'!$D$1:$W$1,$D14-1,0),MATCH(T$4,'Adjustment scenario'!$D$10:$W$10,0))</f>
        <v>0</v>
      </c>
      <c r="U14" s="332">
        <f ca="1">INDEX(OFFSET('Adjustment scenario'!$D$1:$W$1,$D14-1,0),MATCH(U$4,'Adjustment scenario'!$D$10:$W$10,0))</f>
        <v>0</v>
      </c>
      <c r="V14" s="332">
        <f ca="1">INDEX(OFFSET('Adjustment scenario'!$D$1:$W$1,$D14-1,0),MATCH(V$4,'Adjustment scenario'!$D$10:$W$10,0))</f>
        <v>0</v>
      </c>
      <c r="W14" s="332">
        <f ca="1">INDEX(OFFSET('Adjustment scenario'!$D$1:$W$1,$D14-1,0),MATCH(W$4,'Adjustment scenario'!$D$10:$W$10,0))</f>
        <v>0</v>
      </c>
      <c r="X14" s="332">
        <f ca="1">INDEX(OFFSET('Adjustment scenario'!$D$1:$W$1,$D14-1,0),MATCH(X$4,'Adjustment scenario'!$D$10:$W$10,0))</f>
        <v>0</v>
      </c>
      <c r="Y14" s="271"/>
    </row>
    <row r="15" spans="1:25" x14ac:dyDescent="0.2">
      <c r="A15" s="271"/>
      <c r="B15" s="339">
        <v>11</v>
      </c>
      <c r="C15" s="347" t="s">
        <v>62</v>
      </c>
      <c r="D15" s="344">
        <v>27</v>
      </c>
      <c r="E15" s="345" t="s">
        <v>230</v>
      </c>
      <c r="F15" s="332">
        <f ca="1">(INDEX(OFFSET('Adjustment scenario'!$D$1:$W$1,$D15-1,0),MATCH(F$4,'Adjustment scenario'!$D$10:$W$10,0))/INDEX(OFFSET('Adjustment scenario'!$D$1:$W$1,$D15-1,0),MATCH(E$4,'Adjustment scenario'!$D$10:$W$10,0))-1)*100</f>
        <v>5.1062909999999961</v>
      </c>
      <c r="G15" s="332">
        <f ca="1">(INDEX(OFFSET('Adjustment scenario'!$D$1:$W$1,$D15-1,0),MATCH(G$4,'Adjustment scenario'!$D$10:$W$10,0))/INDEX(OFFSET('Adjustment scenario'!$D$1:$W$1,$D15-1,0),MATCH(F$4,'Adjustment scenario'!$D$10:$W$10,0))-1)*100</f>
        <v>4.9185440000000025</v>
      </c>
      <c r="H15" s="332">
        <f ca="1">(INDEX(OFFSET('Adjustment scenario'!$D$1:$W$1,$D15-1,0),MATCH(H$4,'Adjustment scenario'!$D$10:$W$10,0))/INDEX(OFFSET('Adjustment scenario'!$D$1:$W$1,$D15-1,0),MATCH(G$4,'Adjustment scenario'!$D$10:$W$10,0))-1)*100</f>
        <v>4.8690640000000007</v>
      </c>
      <c r="I15" s="332">
        <f ca="1">(INDEX(OFFSET('Adjustment scenario'!$D$1:$W$1,$D15-1,0),MATCH(I$4,'Adjustment scenario'!$D$10:$W$10,0))/INDEX(OFFSET('Adjustment scenario'!$D$1:$W$1,$D15-1,0),MATCH(H$4,'Adjustment scenario'!$D$10:$W$10,0))-1)*100</f>
        <v>4.677317999999997</v>
      </c>
      <c r="J15" s="332">
        <f ca="1">(INDEX(OFFSET('Adjustment scenario'!$D$1:$W$1,$D15-1,0),MATCH(J$4,'Adjustment scenario'!$D$10:$W$10,0))/INDEX(OFFSET('Adjustment scenario'!$D$1:$W$1,$D15-1,0),MATCH(I$4,'Adjustment scenario'!$D$10:$W$10,0))-1)*100</f>
        <v>4.7074339999999992</v>
      </c>
      <c r="K15" s="332">
        <f ca="1">(INDEX(OFFSET('Adjustment scenario'!$D$1:$W$1,$D15-1,0),MATCH(K$4,'Adjustment scenario'!$D$10:$W$10,0))/INDEX(OFFSET('Adjustment scenario'!$D$1:$W$1,$D15-1,0),MATCH(J$4,'Adjustment scenario'!$D$10:$W$10,0))-1)*100</f>
        <v>4.6446750000000092</v>
      </c>
      <c r="L15" s="332">
        <f ca="1">(INDEX(OFFSET('Adjustment scenario'!$D$1:$W$1,$D15-1,0),MATCH(L$4,'Adjustment scenario'!$D$10:$W$10,0))/INDEX(OFFSET('Adjustment scenario'!$D$1:$W$1,$D15-1,0),MATCH(K$4,'Adjustment scenario'!$D$10:$W$10,0))-1)*100</f>
        <v>4.5981819999999951</v>
      </c>
      <c r="M15" s="332">
        <f ca="1">(INDEX(OFFSET('Adjustment scenario'!$D$1:$W$1,$D15-1,0),MATCH(M$4,'Adjustment scenario'!$D$10:$W$10,0))/INDEX(OFFSET('Adjustment scenario'!$D$1:$W$1,$D15-1,0),MATCH(L$4,'Adjustment scenario'!$D$10:$W$10,0))-1)*100</f>
        <v>4.5042639999999912</v>
      </c>
      <c r="N15" s="332">
        <f ca="1">(INDEX(OFFSET('Adjustment scenario'!$D$1:$W$1,$D15-1,0),MATCH(N$4,'Adjustment scenario'!$D$10:$W$10,0))/INDEX(OFFSET('Adjustment scenario'!$D$1:$W$1,$D15-1,0),MATCH(M$4,'Adjustment scenario'!$D$10:$W$10,0))-1)*100</f>
        <v>4.3482379999999932</v>
      </c>
      <c r="O15" s="332">
        <f ca="1">(INDEX(OFFSET('Adjustment scenario'!$D$1:$W$1,$D15-1,0),MATCH(O$4,'Adjustment scenario'!$D$10:$W$10,0))/INDEX(OFFSET('Adjustment scenario'!$D$1:$W$1,$D15-1,0),MATCH(N$4,'Adjustment scenario'!$D$10:$W$10,0))-1)*100</f>
        <v>4.1701250000000023</v>
      </c>
      <c r="P15" s="332">
        <f ca="1">(INDEX(OFFSET('Adjustment scenario'!$D$1:$W$1,$D15-1,0),MATCH(P$4,'Adjustment scenario'!$D$10:$W$10,0))/INDEX(OFFSET('Adjustment scenario'!$D$1:$W$1,$D15-1,0),MATCH(O$4,'Adjustment scenario'!$D$10:$W$10,0))-1)*100</f>
        <v>4.1159219999999941</v>
      </c>
      <c r="Q15" s="332">
        <f ca="1">(INDEX(OFFSET('Adjustment scenario'!$D$1:$W$1,$D15-1,0),MATCH(Q$4,'Adjustment scenario'!$D$10:$W$10,0))/INDEX(OFFSET('Adjustment scenario'!$D$1:$W$1,$D15-1,0),MATCH(P$4,'Adjustment scenario'!$D$10:$W$10,0))-1)*100</f>
        <v>3.776723999999998</v>
      </c>
      <c r="R15" s="332">
        <f ca="1">(INDEX(OFFSET('Adjustment scenario'!$D$1:$W$1,$D15-1,0),MATCH(R$4,'Adjustment scenario'!$D$10:$W$10,0))/INDEX(OFFSET('Adjustment scenario'!$D$1:$W$1,$D15-1,0),MATCH(Q$4,'Adjustment scenario'!$D$10:$W$10,0))-1)*100</f>
        <v>3.4375260000000019</v>
      </c>
      <c r="S15" s="332">
        <f ca="1">(INDEX(OFFSET('Adjustment scenario'!$D$1:$W$1,$D15-1,0),MATCH(S$4,'Adjustment scenario'!$D$10:$W$10,0))/INDEX(OFFSET('Adjustment scenario'!$D$1:$W$1,$D15-1,0),MATCH(R$4,'Adjustment scenario'!$D$10:$W$10,0))-1)*100</f>
        <v>3.0983289999999997</v>
      </c>
      <c r="T15" s="332">
        <f ca="1">(INDEX(OFFSET('Adjustment scenario'!$D$1:$W$1,$D15-1,0),MATCH(T$4,'Adjustment scenario'!$D$10:$W$10,0))/INDEX(OFFSET('Adjustment scenario'!$D$1:$W$1,$D15-1,0),MATCH(S$4,'Adjustment scenario'!$D$10:$W$10,0))-1)*100</f>
        <v>2.9864239999999986</v>
      </c>
      <c r="U15" s="332">
        <f ca="1">(INDEX(OFFSET('Adjustment scenario'!$D$1:$W$1,$D15-1,0),MATCH(U$4,'Adjustment scenario'!$D$10:$W$10,0))/INDEX(OFFSET('Adjustment scenario'!$D$1:$W$1,$D15-1,0),MATCH(T$4,'Adjustment scenario'!$D$10:$W$10,0))-1)*100</f>
        <v>2.8457970000000055</v>
      </c>
      <c r="V15" s="332">
        <f ca="1">(INDEX(OFFSET('Adjustment scenario'!$D$1:$W$1,$D15-1,0),MATCH(V$4,'Adjustment scenario'!$D$10:$W$10,0))/INDEX(OFFSET('Adjustment scenario'!$D$1:$W$1,$D15-1,0),MATCH(U$4,'Adjustment scenario'!$D$10:$W$10,0))-1)*100</f>
        <v>2.6784680000000005</v>
      </c>
      <c r="W15" s="332">
        <f ca="1">(INDEX(OFFSET('Adjustment scenario'!$D$1:$W$1,$D15-1,0),MATCH(W$4,'Adjustment scenario'!$D$10:$W$10,0))/INDEX(OFFSET('Adjustment scenario'!$D$1:$W$1,$D15-1,0),MATCH(V$4,'Adjustment scenario'!$D$10:$W$10,0))-1)*100</f>
        <v>2.5182250000000073</v>
      </c>
      <c r="X15" s="332">
        <f ca="1">(INDEX(OFFSET('Adjustment scenario'!$D$1:$W$1,$D15-1,0),MATCH(X$4,'Adjustment scenario'!$D$10:$W$10,0))/INDEX(OFFSET('Adjustment scenario'!$D$1:$W$1,$D15-1,0),MATCH(W$4,'Adjustment scenario'!$D$10:$W$10,0))-1)*100</f>
        <v>2.3694370000000076</v>
      </c>
      <c r="Y15" s="271"/>
    </row>
    <row r="16" spans="1:25" x14ac:dyDescent="0.2">
      <c r="A16" s="271"/>
      <c r="B16" s="339">
        <v>12</v>
      </c>
      <c r="C16" s="335" t="s">
        <v>231</v>
      </c>
      <c r="D16" s="344">
        <v>24</v>
      </c>
      <c r="E16" s="345" t="s">
        <v>230</v>
      </c>
      <c r="F16" s="332">
        <f ca="1">INDEX(OFFSET('Adjustment scenario'!$D$1:$W$1,$D16-1,0),MATCH(F$4,'Adjustment scenario'!$D$10:$W$10,0))</f>
        <v>5.6139260000000002</v>
      </c>
      <c r="G16" s="332">
        <f ca="1">INDEX(OFFSET('Adjustment scenario'!$D$1:$W$1,$D16-1,0),MATCH(G$4,'Adjustment scenario'!$D$10:$W$10,0))</f>
        <v>4.5722800000000001</v>
      </c>
      <c r="H16" s="332">
        <f ca="1">INDEX(OFFSET('Adjustment scenario'!$D$1:$W$1,$D16-1,0),MATCH(H$4,'Adjustment scenario'!$D$10:$W$10,0))</f>
        <v>4.4701979999999919</v>
      </c>
      <c r="I16" s="332">
        <f ca="1">INDEX(OFFSET('Adjustment scenario'!$D$1:$W$1,$D16-1,0),MATCH(I$4,'Adjustment scenario'!$D$10:$W$10,0))</f>
        <v>4.5580912606940194</v>
      </c>
      <c r="J16" s="332">
        <f ca="1">INDEX(OFFSET('Adjustment scenario'!$D$1:$W$1,$D16-1,0),MATCH(J$4,'Adjustment scenario'!$D$10:$W$10,0))</f>
        <v>4.6283715987609941</v>
      </c>
      <c r="K16" s="332">
        <f ca="1">INDEX(OFFSET('Adjustment scenario'!$D$1:$W$1,$D16-1,0),MATCH(K$4,'Adjustment scenario'!$D$10:$W$10,0))</f>
        <v>4.5688267550368034</v>
      </c>
      <c r="L16" s="332">
        <f ca="1">INDEX(OFFSET('Adjustment scenario'!$D$1:$W$1,$D16-1,0),MATCH(L$4,'Adjustment scenario'!$D$10:$W$10,0))</f>
        <v>4.9459042884477</v>
      </c>
      <c r="M16" s="332">
        <f ca="1">INDEX(OFFSET('Adjustment scenario'!$D$1:$W$1,$D16-1,0),MATCH(M$4,'Adjustment scenario'!$D$10:$W$10,0))</f>
        <v>4.8505229805385852</v>
      </c>
      <c r="N16" s="332">
        <f ca="1">INDEX(OFFSET('Adjustment scenario'!$D$1:$W$1,$D16-1,0),MATCH(N$4,'Adjustment scenario'!$D$10:$W$10,0))</f>
        <v>4.6928382316801853</v>
      </c>
      <c r="O16" s="332">
        <f ca="1">INDEX(OFFSET('Adjustment scenario'!$D$1:$W$1,$D16-1,0),MATCH(O$4,'Adjustment scenario'!$D$10:$W$10,0))</f>
        <v>4.1701290000000002</v>
      </c>
      <c r="P16" s="332">
        <f ca="1">INDEX(OFFSET('Adjustment scenario'!$D$1:$W$1,$D16-1,0),MATCH(P$4,'Adjustment scenario'!$D$10:$W$10,0))</f>
        <v>4.1159240000000041</v>
      </c>
      <c r="Q16" s="332">
        <f ca="1">INDEX(OFFSET('Adjustment scenario'!$D$1:$W$1,$D16-1,0),MATCH(Q$4,'Adjustment scenario'!$D$10:$W$10,0))</f>
        <v>3.776726000000008</v>
      </c>
      <c r="R16" s="332">
        <f ca="1">INDEX(OFFSET('Adjustment scenario'!$D$1:$W$1,$D16-1,0),MATCH(R$4,'Adjustment scenario'!$D$10:$W$10,0))</f>
        <v>3.4375260000000019</v>
      </c>
      <c r="S16" s="332">
        <f ca="1">INDEX(OFFSET('Adjustment scenario'!$D$1:$W$1,$D16-1,0),MATCH(S$4,'Adjustment scenario'!$D$10:$W$10,0))</f>
        <v>3.0983320000000036</v>
      </c>
      <c r="T16" s="332">
        <f ca="1">INDEX(OFFSET('Adjustment scenario'!$D$1:$W$1,$D16-1,0),MATCH(T$4,'Adjustment scenario'!$D$10:$W$10,0))</f>
        <v>2.9864270000000026</v>
      </c>
      <c r="U16" s="332">
        <f ca="1">INDEX(OFFSET('Adjustment scenario'!$D$1:$W$1,$D16-1,0),MATCH(U$4,'Adjustment scenario'!$D$10:$W$10,0))</f>
        <v>2.8457959999999893</v>
      </c>
      <c r="V16" s="332">
        <f ca="1">INDEX(OFFSET('Adjustment scenario'!$D$1:$W$1,$D16-1,0),MATCH(V$4,'Adjustment scenario'!$D$10:$W$10,0))</f>
        <v>2.6784659999999905</v>
      </c>
      <c r="W16" s="332">
        <f ca="1">INDEX(OFFSET('Adjustment scenario'!$D$1:$W$1,$D16-1,0),MATCH(W$4,'Adjustment scenario'!$D$10:$W$10,0))</f>
        <v>2.5182220000000033</v>
      </c>
      <c r="X16" s="332">
        <f ca="1">INDEX(OFFSET('Adjustment scenario'!$D$1:$W$1,$D16-1,0),MATCH(X$4,'Adjustment scenario'!$D$10:$W$10,0))</f>
        <v>2.3694349999999975</v>
      </c>
      <c r="Y16" s="271"/>
    </row>
    <row r="17" spans="1:25" x14ac:dyDescent="0.2">
      <c r="A17" s="271"/>
      <c r="B17" s="339">
        <v>13</v>
      </c>
      <c r="C17" s="348" t="s">
        <v>232</v>
      </c>
      <c r="D17" s="344">
        <v>42</v>
      </c>
      <c r="E17" s="345" t="s">
        <v>230</v>
      </c>
      <c r="F17" s="332">
        <f ca="1">INDEX(OFFSET('Adjustment scenario'!$D$1:$W$1,$D17-1,0),MATCH(F$4,'Adjustment scenario'!$D$10:$W$10,0))</f>
        <v>5.2736159999999996</v>
      </c>
      <c r="G17" s="332">
        <f ca="1">INDEX(OFFSET('Adjustment scenario'!$D$1:$W$1,$D17-1,0),MATCH(G$4,'Adjustment scenario'!$D$10:$W$10,0))</f>
        <v>3.6423429999999999</v>
      </c>
      <c r="H17" s="332">
        <f ca="1">INDEX(OFFSET('Adjustment scenario'!$D$1:$W$1,$D17-1,0),MATCH(H$4,'Adjustment scenario'!$D$10:$W$10,0))</f>
        <v>2.5339109999999998</v>
      </c>
      <c r="I17" s="332">
        <f ca="1">INDEX(OFFSET('Adjustment scenario'!$D$1:$W$1,$D17-1,0),MATCH(I$4,'Adjustment scenario'!$D$10:$W$10,0))</f>
        <v>2.5359221249999999</v>
      </c>
      <c r="J17" s="332">
        <f ca="1">INDEX(OFFSET('Adjustment scenario'!$D$1:$W$1,$D17-1,0),MATCH(J$4,'Adjustment scenario'!$D$10:$W$10,0))</f>
        <v>2.53793325</v>
      </c>
      <c r="K17" s="332">
        <f ca="1">INDEX(OFFSET('Adjustment scenario'!$D$1:$W$1,$D17-1,0),MATCH(K$4,'Adjustment scenario'!$D$10:$W$10,0))</f>
        <v>2.5399443749999997</v>
      </c>
      <c r="L17" s="332">
        <f ca="1">INDEX(OFFSET('Adjustment scenario'!$D$1:$W$1,$D17-1,0),MATCH(L$4,'Adjustment scenario'!$D$10:$W$10,0))</f>
        <v>2.5419554999999998</v>
      </c>
      <c r="M17" s="332">
        <f ca="1">INDEX(OFFSET('Adjustment scenario'!$D$1:$W$1,$D17-1,0),MATCH(M$4,'Adjustment scenario'!$D$10:$W$10,0))</f>
        <v>2.5439666249999999</v>
      </c>
      <c r="N17" s="332">
        <f ca="1">INDEX(OFFSET('Adjustment scenario'!$D$1:$W$1,$D17-1,0),MATCH(N$4,'Adjustment scenario'!$D$10:$W$10,0))</f>
        <v>2.5459777499999996</v>
      </c>
      <c r="O17" s="332">
        <f ca="1">INDEX(OFFSET('Adjustment scenario'!$D$1:$W$1,$D17-1,0),MATCH(O$4,'Adjustment scenario'!$D$10:$W$10,0))</f>
        <v>2.5479888749999997</v>
      </c>
      <c r="P17" s="332">
        <f ca="1">INDEX(OFFSET('Adjustment scenario'!$D$1:$W$1,$D17-1,0),MATCH(P$4,'Adjustment scenario'!$D$10:$W$10,0))</f>
        <v>2.5499999999999998</v>
      </c>
      <c r="Q17" s="332">
        <f ca="1">INDEX(OFFSET('Adjustment scenario'!$D$1:$W$1,$D17-1,0),MATCH(Q$4,'Adjustment scenario'!$D$10:$W$10,0))</f>
        <v>2.5225</v>
      </c>
      <c r="R17" s="332">
        <f ca="1">INDEX(OFFSET('Adjustment scenario'!$D$1:$W$1,$D17-1,0),MATCH(R$4,'Adjustment scenario'!$D$10:$W$10,0))</f>
        <v>2.4949999999999997</v>
      </c>
      <c r="S17" s="332">
        <f ca="1">INDEX(OFFSET('Adjustment scenario'!$D$1:$W$1,$D17-1,0),MATCH(S$4,'Adjustment scenario'!$D$10:$W$10,0))</f>
        <v>2.4674999999999998</v>
      </c>
      <c r="T17" s="332">
        <f ca="1">INDEX(OFFSET('Adjustment scenario'!$D$1:$W$1,$D17-1,0),MATCH(T$4,'Adjustment scenario'!$D$10:$W$10,0))</f>
        <v>2.44</v>
      </c>
      <c r="U17" s="332">
        <f ca="1">INDEX(OFFSET('Adjustment scenario'!$D$1:$W$1,$D17-1,0),MATCH(U$4,'Adjustment scenario'!$D$10:$W$10,0))</f>
        <v>2.4124999999999996</v>
      </c>
      <c r="V17" s="332">
        <f ca="1">INDEX(OFFSET('Adjustment scenario'!$D$1:$W$1,$D17-1,0),MATCH(V$4,'Adjustment scenario'!$D$10:$W$10,0))</f>
        <v>2.3849999999999998</v>
      </c>
      <c r="W17" s="332">
        <f ca="1">INDEX(OFFSET('Adjustment scenario'!$D$1:$W$1,$D17-1,0),MATCH(W$4,'Adjustment scenario'!$D$10:$W$10,0))</f>
        <v>2.3574999999999999</v>
      </c>
      <c r="X17" s="332">
        <f ca="1">INDEX(OFFSET('Adjustment scenario'!$D$1:$W$1,$D17-1,0),MATCH(X$4,'Adjustment scenario'!$D$10:$W$10,0))</f>
        <v>2.33</v>
      </c>
      <c r="Y17" s="271"/>
    </row>
    <row r="18" spans="1:25" x14ac:dyDescent="0.2">
      <c r="A18" s="271"/>
      <c r="B18" s="339">
        <v>14</v>
      </c>
      <c r="C18" s="335" t="s">
        <v>233</v>
      </c>
      <c r="D18" s="344">
        <v>33</v>
      </c>
      <c r="E18" s="345" t="s">
        <v>230</v>
      </c>
      <c r="F18" s="332">
        <f ca="1">INDEX(OFFSET('Adjustment scenario'!$D$1:$W$1,$D18-1,0),MATCH(F$4,'Adjustment scenario'!$D$10:$W$10,0))</f>
        <v>11.183598899764146</v>
      </c>
      <c r="G18" s="332">
        <f ca="1">INDEX(OFFSET('Adjustment scenario'!$D$1:$W$1,$D18-1,0),MATCH(G$4,'Adjustment scenario'!$D$10:$W$10,0))</f>
        <v>8.3811611205204084</v>
      </c>
      <c r="H18" s="332">
        <f ca="1">INDEX(OFFSET('Adjustment scenario'!$D$1:$W$1,$D18-1,0),MATCH(H$4,'Adjustment scenario'!$D$10:$W$10,0))</f>
        <v>7.1173798388437737</v>
      </c>
      <c r="I18" s="332">
        <f ca="1">INDEX(OFFSET('Adjustment scenario'!$D$1:$W$1,$D18-1,0),MATCH(I$4,'Adjustment scenario'!$D$10:$W$10,0))</f>
        <v>7.2096030304516612</v>
      </c>
      <c r="J18" s="332">
        <f ca="1">INDEX(OFFSET('Adjustment scenario'!$D$1:$W$1,$D18-1,0),MATCH(J$4,'Adjustment scenario'!$D$10:$W$10,0))</f>
        <v>7.283769830499498</v>
      </c>
      <c r="K18" s="332">
        <f ca="1">INDEX(OFFSET('Adjustment scenario'!$D$1:$W$1,$D18-1,0),MATCH(K$4,'Adjustment scenario'!$D$10:$W$10,0))</f>
        <v>7.2248167882048575</v>
      </c>
      <c r="L18" s="332">
        <f ca="1">INDEX(OFFSET('Adjustment scenario'!$D$1:$W$1,$D18-1,0),MATCH(L$4,'Adjustment scenario'!$D$10:$W$10,0))</f>
        <v>7.6135824745326319</v>
      </c>
      <c r="M18" s="332">
        <f ca="1">INDEX(OFFSET('Adjustment scenario'!$D$1:$W$1,$D18-1,0),MATCH(M$4,'Adjustment scenario'!$D$10:$W$10,0))</f>
        <v>7.5178852913014405</v>
      </c>
      <c r="N18" s="332">
        <f ca="1">INDEX(OFFSET('Adjustment scenario'!$D$1:$W$1,$D18-1,0),MATCH(N$4,'Adjustment scenario'!$D$10:$W$10,0))</f>
        <v>7.3582945989022708</v>
      </c>
      <c r="O18" s="332">
        <f ca="1">INDEX(OFFSET('Adjustment scenario'!$D$1:$W$1,$D18-1,0),MATCH(O$4,'Adjustment scenario'!$D$10:$W$10,0))</f>
        <v>6.8243722979931531</v>
      </c>
      <c r="P18" s="332">
        <f ca="1">INDEX(OFFSET('Adjustment scenario'!$D$1:$W$1,$D18-1,0),MATCH(P$4,'Adjustment scenario'!$D$10:$W$10,0))</f>
        <v>6.7708800620000176</v>
      </c>
      <c r="Q18" s="332">
        <f ca="1">INDEX(OFFSET('Adjustment scenario'!$D$1:$W$1,$D18-1,0),MATCH(Q$4,'Adjustment scenario'!$D$10:$W$10,0))</f>
        <v>6.3944939133500078</v>
      </c>
      <c r="R18" s="332">
        <f ca="1">INDEX(OFFSET('Adjustment scenario'!$D$1:$W$1,$D18-1,0),MATCH(R$4,'Adjustment scenario'!$D$10:$W$10,0))</f>
        <v>6.01829227370001</v>
      </c>
      <c r="S18" s="332">
        <f ca="1">INDEX(OFFSET('Adjustment scenario'!$D$1:$W$1,$D18-1,0),MATCH(S$4,'Adjustment scenario'!$D$10:$W$10,0))</f>
        <v>5.6422833420999963</v>
      </c>
      <c r="T18" s="332">
        <f ca="1">INDEX(OFFSET('Adjustment scenario'!$D$1:$W$1,$D18-1,0),MATCH(T$4,'Adjustment scenario'!$D$10:$W$10,0))</f>
        <v>5.4992958187999985</v>
      </c>
      <c r="U18" s="332">
        <f ca="1">INDEX(OFFSET('Adjustment scenario'!$D$1:$W$1,$D18-1,0),MATCH(U$4,'Adjustment scenario'!$D$10:$W$10,0))</f>
        <v>5.3269508284999878</v>
      </c>
      <c r="V18" s="332">
        <f ca="1">INDEX(OFFSET('Adjustment scenario'!$D$1:$W$1,$D18-1,0),MATCH(V$4,'Adjustment scenario'!$D$10:$W$10,0))</f>
        <v>5.127347414099992</v>
      </c>
      <c r="W18" s="332">
        <f ca="1">INDEX(OFFSET('Adjustment scenario'!$D$1:$W$1,$D18-1,0),MATCH(W$4,'Adjustment scenario'!$D$10:$W$10,0))</f>
        <v>4.9350890836499905</v>
      </c>
      <c r="X18" s="332">
        <f ca="1">INDEX(OFFSET('Adjustment scenario'!$D$1:$W$1,$D18-1,0),MATCH(X$4,'Adjustment scenario'!$D$10:$W$10,0))</f>
        <v>4.7546428355000003</v>
      </c>
      <c r="Y18" s="271"/>
    </row>
    <row r="19" spans="1:25" x14ac:dyDescent="0.2">
      <c r="A19" s="271"/>
      <c r="B19" s="333"/>
      <c r="C19" s="354"/>
      <c r="D19" s="354"/>
      <c r="E19" s="354"/>
      <c r="F19" s="354"/>
      <c r="G19" s="354"/>
      <c r="H19" s="354"/>
      <c r="I19" s="354"/>
      <c r="J19" s="354"/>
      <c r="K19" s="271"/>
      <c r="L19" s="271"/>
      <c r="M19" s="271"/>
      <c r="N19" s="271"/>
      <c r="O19" s="271"/>
      <c r="P19" s="271"/>
      <c r="Q19" s="271"/>
      <c r="R19" s="271"/>
      <c r="S19" s="271"/>
      <c r="T19" s="271"/>
      <c r="U19" s="271"/>
      <c r="V19" s="271"/>
      <c r="W19" s="271"/>
      <c r="X19" s="271"/>
      <c r="Y19" s="271"/>
    </row>
    <row r="20" spans="1:25" x14ac:dyDescent="0.2">
      <c r="A20" s="271"/>
      <c r="B20" s="355"/>
      <c r="C20" s="337" t="s">
        <v>234</v>
      </c>
      <c r="D20" s="338"/>
      <c r="E20" s="338"/>
      <c r="F20" s="338"/>
      <c r="G20" s="354"/>
      <c r="H20" s="354"/>
      <c r="I20" s="354"/>
      <c r="J20" s="354"/>
      <c r="K20" s="271"/>
      <c r="L20" s="271"/>
      <c r="M20" s="271"/>
      <c r="N20" s="271"/>
      <c r="O20" s="271"/>
      <c r="P20" s="271"/>
      <c r="Q20" s="271"/>
      <c r="R20" s="271"/>
      <c r="S20" s="271"/>
      <c r="T20" s="271"/>
      <c r="U20" s="271"/>
      <c r="V20" s="271"/>
      <c r="W20" s="271"/>
      <c r="X20" s="271"/>
      <c r="Y20" s="271"/>
    </row>
    <row r="21" spans="1:25" x14ac:dyDescent="0.2">
      <c r="A21" s="271"/>
      <c r="B21" s="333"/>
      <c r="C21" s="354"/>
      <c r="D21" s="354"/>
      <c r="E21" s="354"/>
      <c r="F21" s="354"/>
      <c r="G21" s="354"/>
      <c r="H21" s="354"/>
      <c r="I21" s="354"/>
      <c r="J21" s="354"/>
      <c r="K21" s="271"/>
      <c r="L21" s="271"/>
      <c r="M21" s="271"/>
      <c r="N21" s="271"/>
      <c r="O21" s="271"/>
      <c r="P21" s="271"/>
      <c r="Q21" s="271"/>
      <c r="R21" s="271"/>
      <c r="S21" s="271"/>
      <c r="T21" s="271"/>
      <c r="U21" s="271"/>
      <c r="V21" s="271"/>
      <c r="W21" s="271"/>
      <c r="X21" s="271"/>
      <c r="Y21" s="271"/>
    </row>
    <row r="22" spans="1:25" x14ac:dyDescent="0.2">
      <c r="A22" s="271"/>
      <c r="B22" s="339"/>
      <c r="C22" s="337" t="s">
        <v>26</v>
      </c>
      <c r="D22" s="337"/>
      <c r="E22" s="341">
        <f>F22-1</f>
        <v>2022</v>
      </c>
      <c r="F22" s="342">
        <f>'Input data'!$C$5-1</f>
        <v>2023</v>
      </c>
      <c r="G22" s="342">
        <f>F22+1</f>
        <v>2024</v>
      </c>
      <c r="H22" s="342">
        <f t="shared" ref="H22:X22" si="1">G22+1</f>
        <v>2025</v>
      </c>
      <c r="I22" s="342">
        <f t="shared" si="1"/>
        <v>2026</v>
      </c>
      <c r="J22" s="342">
        <f t="shared" si="1"/>
        <v>2027</v>
      </c>
      <c r="K22" s="342">
        <f t="shared" si="1"/>
        <v>2028</v>
      </c>
      <c r="L22" s="342">
        <f t="shared" si="1"/>
        <v>2029</v>
      </c>
      <c r="M22" s="342">
        <f t="shared" si="1"/>
        <v>2030</v>
      </c>
      <c r="N22" s="342">
        <f t="shared" si="1"/>
        <v>2031</v>
      </c>
      <c r="O22" s="342">
        <f t="shared" si="1"/>
        <v>2032</v>
      </c>
      <c r="P22" s="342">
        <f t="shared" si="1"/>
        <v>2033</v>
      </c>
      <c r="Q22" s="342">
        <f t="shared" si="1"/>
        <v>2034</v>
      </c>
      <c r="R22" s="342">
        <f t="shared" si="1"/>
        <v>2035</v>
      </c>
      <c r="S22" s="342">
        <f t="shared" si="1"/>
        <v>2036</v>
      </c>
      <c r="T22" s="342">
        <f t="shared" si="1"/>
        <v>2037</v>
      </c>
      <c r="U22" s="342">
        <f t="shared" si="1"/>
        <v>2038</v>
      </c>
      <c r="V22" s="342">
        <f t="shared" si="1"/>
        <v>2039</v>
      </c>
      <c r="W22" s="342">
        <f t="shared" si="1"/>
        <v>2040</v>
      </c>
      <c r="X22" s="342">
        <f t="shared" si="1"/>
        <v>2041</v>
      </c>
      <c r="Y22" s="271"/>
    </row>
    <row r="23" spans="1:25" x14ac:dyDescent="0.2">
      <c r="A23" s="271"/>
      <c r="B23" s="339">
        <v>1</v>
      </c>
      <c r="C23" s="343" t="s">
        <v>220</v>
      </c>
      <c r="D23" s="344">
        <v>56</v>
      </c>
      <c r="E23" s="345" t="s">
        <v>221</v>
      </c>
      <c r="F23" s="332">
        <f ca="1">INDEX(OFFSET('Financial stress'!$D$1:$W$1,$D23-1,0),MATCH(F$4,'Financial stress'!$D$10:$W$10,0))</f>
        <v>50.396658431512243</v>
      </c>
      <c r="G23" s="332">
        <f ca="1">INDEX(OFFSET('Financial stress'!$D$1:$W$1,$D23-1,0),MATCH(G$4,'Financial stress'!$D$10:$W$10,0))</f>
        <v>52.027240532489337</v>
      </c>
      <c r="H23" s="332">
        <f ca="1">INDEX(OFFSET('Financial stress'!$D$1:$W$1,$D23-1,0),MATCH(H$4,'Financial stress'!$D$10:$W$10,0))</f>
        <v>52.730907877542279</v>
      </c>
      <c r="I23" s="332">
        <f ca="1">INDEX(OFFSET('Financial stress'!$D$1:$W$1,$D23-1,0),MATCH(I$4,'Financial stress'!$D$10:$W$10,0))</f>
        <v>52.947955578274673</v>
      </c>
      <c r="J23" s="332">
        <f ca="1">INDEX(OFFSET('Financial stress'!$D$1:$W$1,$D23-1,0),MATCH(J$4,'Financial stress'!$D$10:$W$10,0))</f>
        <v>52.754005449493576</v>
      </c>
      <c r="K23" s="332">
        <f ca="1">INDEX(OFFSET('Financial stress'!$D$1:$W$1,$D23-1,0),MATCH(K$4,'Financial stress'!$D$10:$W$10,0))</f>
        <v>52.204191928643532</v>
      </c>
      <c r="L23" s="332">
        <f ca="1">INDEX(OFFSET('Financial stress'!$D$1:$W$1,$D23-1,0),MATCH(L$4,'Financial stress'!$D$10:$W$10,0))</f>
        <v>51.484774799876625</v>
      </c>
      <c r="M23" s="332">
        <f ca="1">INDEX(OFFSET('Financial stress'!$D$1:$W$1,$D23-1,0),MATCH(M$4,'Financial stress'!$D$10:$W$10,0))</f>
        <v>50.607761849544914</v>
      </c>
      <c r="N23" s="332">
        <f ca="1">INDEX(OFFSET('Financial stress'!$D$1:$W$1,$D23-1,0),MATCH(N$4,'Financial stress'!$D$10:$W$10,0))</f>
        <v>49.679431049218621</v>
      </c>
      <c r="O23" s="332">
        <f ca="1">INDEX(OFFSET('Financial stress'!$D$1:$W$1,$D23-1,0),MATCH(O$4,'Financial stress'!$D$10:$W$10,0))</f>
        <v>48.995002692462343</v>
      </c>
      <c r="P23" s="332">
        <f ca="1">INDEX(OFFSET('Financial stress'!$D$1:$W$1,$D23-1,0),MATCH(P$4,'Financial stress'!$D$10:$W$10,0))</f>
        <v>48.364492943104416</v>
      </c>
      <c r="Q23" s="332">
        <f ca="1">INDEX(OFFSET('Financial stress'!$D$1:$W$1,$D23-1,0),MATCH(Q$4,'Financial stress'!$D$10:$W$10,0))</f>
        <v>47.938057080237229</v>
      </c>
      <c r="R23" s="332">
        <f ca="1">INDEX(OFFSET('Financial stress'!$D$1:$W$1,$D23-1,0),MATCH(R$4,'Financial stress'!$D$10:$W$10,0))</f>
        <v>47.719733890100429</v>
      </c>
      <c r="S23" s="332">
        <f ca="1">INDEX(OFFSET('Financial stress'!$D$1:$W$1,$D23-1,0),MATCH(S$4,'Financial stress'!$D$10:$W$10,0))</f>
        <v>47.714905626521826</v>
      </c>
      <c r="T23" s="332">
        <f ca="1">INDEX(OFFSET('Financial stress'!$D$1:$W$1,$D23-1,0),MATCH(T$4,'Financial stress'!$D$10:$W$10,0))</f>
        <v>47.823423580640394</v>
      </c>
      <c r="U23" s="332">
        <f ca="1">INDEX(OFFSET('Financial stress'!$D$1:$W$1,$D23-1,0),MATCH(U$4,'Financial stress'!$D$10:$W$10,0))</f>
        <v>48.062139553615793</v>
      </c>
      <c r="V23" s="332">
        <f ca="1">INDEX(OFFSET('Financial stress'!$D$1:$W$1,$D23-1,0),MATCH(V$4,'Financial stress'!$D$10:$W$10,0))</f>
        <v>48.455879646279399</v>
      </c>
      <c r="W23" s="332">
        <f ca="1">INDEX(OFFSET('Financial stress'!$D$1:$W$1,$D23-1,0),MATCH(W$4,'Financial stress'!$D$10:$W$10,0))</f>
        <v>49.017755847781167</v>
      </c>
      <c r="X23" s="332">
        <f ca="1">INDEX(OFFSET('Financial stress'!$D$1:$W$1,$D23-1,0),MATCH(X$4,'Financial stress'!$D$10:$W$10,0))</f>
        <v>49.758965240916105</v>
      </c>
      <c r="Y23" s="271"/>
    </row>
    <row r="24" spans="1:25" x14ac:dyDescent="0.2">
      <c r="A24" s="271"/>
      <c r="B24" s="339">
        <v>2</v>
      </c>
      <c r="C24" s="343" t="s">
        <v>94</v>
      </c>
      <c r="D24" s="344">
        <v>36</v>
      </c>
      <c r="E24" s="345" t="s">
        <v>227</v>
      </c>
      <c r="F24" s="332">
        <f ca="1">INDEX(OFFSET('Financial stress'!$D$1:$W$1,$D24-1,0),MATCH(F$4,'Financial stress'!$D$10:$W$10,0))</f>
        <v>3.71</v>
      </c>
      <c r="G24" s="332">
        <f ca="1">INDEX(OFFSET('Financial stress'!$D$1:$W$1,$D24-1,0),MATCH(G$4,'Financial stress'!$D$10:$W$10,0))</f>
        <v>3.4970020000000002</v>
      </c>
      <c r="H24" s="332">
        <f ca="1">INDEX(OFFSET('Financial stress'!$D$1:$W$1,$D24-1,0),MATCH(H$4,'Financial stress'!$D$10:$W$10,0))</f>
        <v>3.5053580000000002</v>
      </c>
      <c r="I24" s="332">
        <f ca="1">INDEX(OFFSET('Financial stress'!$D$1:$W$1,$D24-1,0),MATCH(I$4,'Financial stress'!$D$10:$W$10,0))</f>
        <v>3.5849320000000002</v>
      </c>
      <c r="J24" s="332">
        <f ca="1">INDEX(OFFSET('Financial stress'!$D$1:$W$1,$D24-1,0),MATCH(J$4,'Financial stress'!$D$10:$W$10,0))</f>
        <v>3.6645060000000003</v>
      </c>
      <c r="K24" s="332">
        <f ca="1">INDEX(OFFSET('Financial stress'!$D$1:$W$1,$D24-1,0),MATCH(K$4,'Financial stress'!$D$10:$W$10,0))</f>
        <v>3.7440800000000003</v>
      </c>
      <c r="L24" s="332">
        <f ca="1">INDEX(OFFSET('Financial stress'!$D$1:$W$1,$D24-1,0),MATCH(L$4,'Financial stress'!$D$10:$W$10,0))</f>
        <v>4.8236539999999994</v>
      </c>
      <c r="M24" s="332">
        <f ca="1">INDEX(OFFSET('Financial stress'!$D$1:$W$1,$D24-1,0),MATCH(M$4,'Financial stress'!$D$10:$W$10,0))</f>
        <v>3.9032279999999999</v>
      </c>
      <c r="N24" s="332">
        <f ca="1">INDEX(OFFSET('Financial stress'!$D$1:$W$1,$D24-1,0),MATCH(N$4,'Financial stress'!$D$10:$W$10,0))</f>
        <v>3.9828019999999995</v>
      </c>
      <c r="O24" s="332">
        <f ca="1">INDEX(OFFSET('Financial stress'!$D$1:$W$1,$D24-1,0),MATCH(O$4,'Financial stress'!$D$10:$W$10,0))</f>
        <v>4.0623759999999995</v>
      </c>
      <c r="P24" s="332">
        <f ca="1">INDEX(OFFSET('Financial stress'!$D$1:$W$1,$D24-1,0),MATCH(P$4,'Financial stress'!$D$10:$W$10,0))</f>
        <v>4.1419499999999996</v>
      </c>
      <c r="Q24" s="332">
        <f ca="1">INDEX(OFFSET('Financial stress'!$D$1:$W$1,$D24-1,0),MATCH(Q$4,'Financial stress'!$D$10:$W$10,0))</f>
        <v>4.1348524999999992</v>
      </c>
      <c r="R24" s="332">
        <f ca="1">INDEX(OFFSET('Financial stress'!$D$1:$W$1,$D24-1,0),MATCH(R$4,'Financial stress'!$D$10:$W$10,0))</f>
        <v>4.1277549999999996</v>
      </c>
      <c r="S24" s="332">
        <f ca="1">INDEX(OFFSET('Financial stress'!$D$1:$W$1,$D24-1,0),MATCH(S$4,'Financial stress'!$D$10:$W$10,0))</f>
        <v>4.1206575000000001</v>
      </c>
      <c r="T24" s="332">
        <f ca="1">INDEX(OFFSET('Financial stress'!$D$1:$W$1,$D24-1,0),MATCH(T$4,'Financial stress'!$D$10:$W$10,0))</f>
        <v>4.1135599999999997</v>
      </c>
      <c r="U24" s="332">
        <f ca="1">INDEX(OFFSET('Financial stress'!$D$1:$W$1,$D24-1,0),MATCH(U$4,'Financial stress'!$D$10:$W$10,0))</f>
        <v>4.1064624999999992</v>
      </c>
      <c r="V24" s="332">
        <f ca="1">INDEX(OFFSET('Financial stress'!$D$1:$W$1,$D24-1,0),MATCH(V$4,'Financial stress'!$D$10:$W$10,0))</f>
        <v>4.0993649999999997</v>
      </c>
      <c r="W24" s="332">
        <f ca="1">INDEX(OFFSET('Financial stress'!$D$1:$W$1,$D24-1,0),MATCH(W$4,'Financial stress'!$D$10:$W$10,0))</f>
        <v>4.0922675000000002</v>
      </c>
      <c r="X24" s="332">
        <f ca="1">INDEX(OFFSET('Financial stress'!$D$1:$W$1,$D24-1,0),MATCH(X$4,'Financial stress'!$D$10:$W$10,0))</f>
        <v>4.0851699999999997</v>
      </c>
      <c r="Y24" s="271"/>
    </row>
    <row r="25" spans="1:25" x14ac:dyDescent="0.2">
      <c r="A25" s="271"/>
      <c r="B25" s="339">
        <v>3</v>
      </c>
      <c r="C25" s="343" t="s">
        <v>95</v>
      </c>
      <c r="D25" s="344">
        <v>37</v>
      </c>
      <c r="E25" s="345" t="s">
        <v>227</v>
      </c>
      <c r="F25" s="332">
        <f ca="1">INDEX(OFFSET('Financial stress'!$D$1:$W$1,$D25-1,0),MATCH(F$4,'Financial stress'!$D$10:$W$10,0))</f>
        <v>3.43</v>
      </c>
      <c r="G25" s="332">
        <f ca="1">INDEX(OFFSET('Financial stress'!$D$1:$W$1,$D25-1,0),MATCH(G$4,'Financial stress'!$D$10:$W$10,0))</f>
        <v>3.5642079999999998</v>
      </c>
      <c r="H25" s="332">
        <f ca="1">INDEX(OFFSET('Financial stress'!$D$1:$W$1,$D25-1,0),MATCH(H$4,'Financial stress'!$D$10:$W$10,0))</f>
        <v>2.8163749999999999</v>
      </c>
      <c r="I25" s="332">
        <f ca="1">INDEX(OFFSET('Financial stress'!$D$1:$W$1,$D25-1,0),MATCH(I$4,'Financial stress'!$D$10:$W$10,0))</f>
        <v>2.8050893749999997</v>
      </c>
      <c r="J25" s="332">
        <f ca="1">INDEX(OFFSET('Financial stress'!$D$1:$W$1,$D25-1,0),MATCH(J$4,'Financial stress'!$D$10:$W$10,0))</f>
        <v>2.7938037499999995</v>
      </c>
      <c r="K25" s="332">
        <f ca="1">INDEX(OFFSET('Financial stress'!$D$1:$W$1,$D25-1,0),MATCH(K$4,'Financial stress'!$D$10:$W$10,0))</f>
        <v>2.7825181249999993</v>
      </c>
      <c r="L25" s="332">
        <f ca="1">INDEX(OFFSET('Financial stress'!$D$1:$W$1,$D25-1,0),MATCH(L$4,'Financial stress'!$D$10:$W$10,0))</f>
        <v>3.7712325</v>
      </c>
      <c r="M25" s="332">
        <f ca="1">INDEX(OFFSET('Financial stress'!$D$1:$W$1,$D25-1,0),MATCH(M$4,'Financial stress'!$D$10:$W$10,0))</f>
        <v>2.7599468749999998</v>
      </c>
      <c r="N25" s="332">
        <f ca="1">INDEX(OFFSET('Financial stress'!$D$1:$W$1,$D25-1,0),MATCH(N$4,'Financial stress'!$D$10:$W$10,0))</f>
        <v>2.7486612500000001</v>
      </c>
      <c r="O25" s="332">
        <f ca="1">INDEX(OFFSET('Financial stress'!$D$1:$W$1,$D25-1,0),MATCH(O$4,'Financial stress'!$D$10:$W$10,0))</f>
        <v>2.7373756250000003</v>
      </c>
      <c r="P25" s="332">
        <f ca="1">INDEX(OFFSET('Financial stress'!$D$1:$W$1,$D25-1,0),MATCH(P$4,'Financial stress'!$D$10:$W$10,0))</f>
        <v>2.7260900000000001</v>
      </c>
      <c r="Q25" s="332">
        <f ca="1">INDEX(OFFSET('Financial stress'!$D$1:$W$1,$D25-1,0),MATCH(Q$4,'Financial stress'!$D$10:$W$10,0))</f>
        <v>2.6897855000000002</v>
      </c>
      <c r="R25" s="332">
        <f ca="1">INDEX(OFFSET('Financial stress'!$D$1:$W$1,$D25-1,0),MATCH(R$4,'Financial stress'!$D$10:$W$10,0))</f>
        <v>2.6534810000000002</v>
      </c>
      <c r="S25" s="332">
        <f ca="1">INDEX(OFFSET('Financial stress'!$D$1:$W$1,$D25-1,0),MATCH(S$4,'Financial stress'!$D$10:$W$10,0))</f>
        <v>2.6171765000000002</v>
      </c>
      <c r="T25" s="332">
        <f ca="1">INDEX(OFFSET('Financial stress'!$D$1:$W$1,$D25-1,0),MATCH(T$4,'Financial stress'!$D$10:$W$10,0))</f>
        <v>2.5808720000000003</v>
      </c>
      <c r="U25" s="332">
        <f ca="1">INDEX(OFFSET('Financial stress'!$D$1:$W$1,$D25-1,0),MATCH(U$4,'Financial stress'!$D$10:$W$10,0))</f>
        <v>2.5445675000000003</v>
      </c>
      <c r="V25" s="332">
        <f ca="1">INDEX(OFFSET('Financial stress'!$D$1:$W$1,$D25-1,0),MATCH(V$4,'Financial stress'!$D$10:$W$10,0))</f>
        <v>2.5082629999999999</v>
      </c>
      <c r="W25" s="332">
        <f ca="1">INDEX(OFFSET('Financial stress'!$D$1:$W$1,$D25-1,0),MATCH(W$4,'Financial stress'!$D$10:$W$10,0))</f>
        <v>2.4719584999999999</v>
      </c>
      <c r="X25" s="332">
        <f ca="1">INDEX(OFFSET('Financial stress'!$D$1:$W$1,$D25-1,0),MATCH(X$4,'Financial stress'!$D$10:$W$10,0))</f>
        <v>2.435654</v>
      </c>
      <c r="Y25" s="271"/>
    </row>
    <row r="26" spans="1:25" x14ac:dyDescent="0.2">
      <c r="A26" s="271"/>
      <c r="B26" s="339"/>
      <c r="C26" s="337" t="s">
        <v>27</v>
      </c>
      <c r="D26" s="337"/>
      <c r="E26" s="341">
        <f>F26-1</f>
        <v>2022</v>
      </c>
      <c r="F26" s="342">
        <f>'Input data'!$C$5-1</f>
        <v>2023</v>
      </c>
      <c r="G26" s="342">
        <f>F26+1</f>
        <v>2024</v>
      </c>
      <c r="H26" s="342">
        <f t="shared" ref="H26:X26" si="2">G26+1</f>
        <v>2025</v>
      </c>
      <c r="I26" s="342">
        <f t="shared" si="2"/>
        <v>2026</v>
      </c>
      <c r="J26" s="342">
        <f t="shared" si="2"/>
        <v>2027</v>
      </c>
      <c r="K26" s="342">
        <f t="shared" si="2"/>
        <v>2028</v>
      </c>
      <c r="L26" s="342">
        <f t="shared" si="2"/>
        <v>2029</v>
      </c>
      <c r="M26" s="342">
        <f t="shared" si="2"/>
        <v>2030</v>
      </c>
      <c r="N26" s="342">
        <f t="shared" si="2"/>
        <v>2031</v>
      </c>
      <c r="O26" s="342">
        <f t="shared" si="2"/>
        <v>2032</v>
      </c>
      <c r="P26" s="342">
        <f t="shared" si="2"/>
        <v>2033</v>
      </c>
      <c r="Q26" s="342">
        <f t="shared" si="2"/>
        <v>2034</v>
      </c>
      <c r="R26" s="342">
        <f t="shared" si="2"/>
        <v>2035</v>
      </c>
      <c r="S26" s="342">
        <f t="shared" si="2"/>
        <v>2036</v>
      </c>
      <c r="T26" s="342">
        <f t="shared" si="2"/>
        <v>2037</v>
      </c>
      <c r="U26" s="342">
        <f t="shared" si="2"/>
        <v>2038</v>
      </c>
      <c r="V26" s="342">
        <f t="shared" si="2"/>
        <v>2039</v>
      </c>
      <c r="W26" s="342">
        <f t="shared" si="2"/>
        <v>2040</v>
      </c>
      <c r="X26" s="342">
        <f t="shared" si="2"/>
        <v>2041</v>
      </c>
      <c r="Y26" s="271"/>
    </row>
    <row r="27" spans="1:25" x14ac:dyDescent="0.2">
      <c r="A27" s="271"/>
      <c r="B27" s="339">
        <v>4</v>
      </c>
      <c r="C27" s="343" t="s">
        <v>220</v>
      </c>
      <c r="D27" s="344">
        <v>56</v>
      </c>
      <c r="E27" s="345" t="s">
        <v>221</v>
      </c>
      <c r="F27" s="332">
        <f ca="1">INDEX(OFFSET('Lower SPB'!$D$1:$W$1,$D27-1,0),MATCH(F$4,'Lower SPB'!$D$10:$W$10,0))</f>
        <v>50.396658431512243</v>
      </c>
      <c r="G27" s="332">
        <f ca="1">INDEX(OFFSET('Lower SPB'!$D$1:$W$1,$D27-1,0),MATCH(G$4,'Lower SPB'!$D$10:$W$10,0))</f>
        <v>52.027240532489337</v>
      </c>
      <c r="H27" s="332">
        <f ca="1">INDEX(OFFSET('Lower SPB'!$D$1:$W$1,$D27-1,0),MATCH(H$4,'Lower SPB'!$D$10:$W$10,0))</f>
        <v>52.730907877542279</v>
      </c>
      <c r="I27" s="332">
        <f ca="1">INDEX(OFFSET('Lower SPB'!$D$1:$W$1,$D27-1,0),MATCH(I$4,'Lower SPB'!$D$10:$W$10,0))</f>
        <v>52.947955578274673</v>
      </c>
      <c r="J27" s="332">
        <f ca="1">INDEX(OFFSET('Lower SPB'!$D$1:$W$1,$D27-1,0),MATCH(J$4,'Lower SPB'!$D$10:$W$10,0))</f>
        <v>52.754005449493576</v>
      </c>
      <c r="K27" s="332">
        <f ca="1">INDEX(OFFSET('Lower SPB'!$D$1:$W$1,$D27-1,0),MATCH(K$4,'Lower SPB'!$D$10:$W$10,0))</f>
        <v>52.204191928643532</v>
      </c>
      <c r="L27" s="332">
        <f ca="1">INDEX(OFFSET('Lower SPB'!$D$1:$W$1,$D27-1,0),MATCH(L$4,'Lower SPB'!$D$10:$W$10,0))</f>
        <v>51.447985627579243</v>
      </c>
      <c r="M27" s="332">
        <f ca="1">INDEX(OFFSET('Lower SPB'!$D$1:$W$1,$D27-1,0),MATCH(M$4,'Lower SPB'!$D$10:$W$10,0))</f>
        <v>50.924979397907997</v>
      </c>
      <c r="N27" s="332">
        <f ca="1">INDEX(OFFSET('Lower SPB'!$D$1:$W$1,$D27-1,0),MATCH(N$4,'Lower SPB'!$D$10:$W$10,0))</f>
        <v>50.606512843817448</v>
      </c>
      <c r="O27" s="332">
        <f ca="1">INDEX(OFFSET('Lower SPB'!$D$1:$W$1,$D27-1,0),MATCH(O$4,'Lower SPB'!$D$10:$W$10,0))</f>
        <v>50.364865375506987</v>
      </c>
      <c r="P27" s="332">
        <f ca="1">INDEX(OFFSET('Lower SPB'!$D$1:$W$1,$D27-1,0),MATCH(P$4,'Lower SPB'!$D$10:$W$10,0))</f>
        <v>50.156047095111582</v>
      </c>
      <c r="Q27" s="332">
        <f ca="1">INDEX(OFFSET('Lower SPB'!$D$1:$W$1,$D27-1,0),MATCH(Q$4,'Lower SPB'!$D$10:$W$10,0))</f>
        <v>50.16368807415504</v>
      </c>
      <c r="R27" s="332">
        <f ca="1">INDEX(OFFSET('Lower SPB'!$D$1:$W$1,$D27-1,0),MATCH(R$4,'Lower SPB'!$D$10:$W$10,0))</f>
        <v>50.379858486178676</v>
      </c>
      <c r="S27" s="332">
        <f ca="1">INDEX(OFFSET('Lower SPB'!$D$1:$W$1,$D27-1,0),MATCH(S$4,'Lower SPB'!$D$10:$W$10,0))</f>
        <v>50.812534324566855</v>
      </c>
      <c r="T27" s="332">
        <f ca="1">INDEX(OFFSET('Lower SPB'!$D$1:$W$1,$D27-1,0),MATCH(T$4,'Lower SPB'!$D$10:$W$10,0))</f>
        <v>51.357509559885877</v>
      </c>
      <c r="U27" s="332">
        <f ca="1">INDEX(OFFSET('Lower SPB'!$D$1:$W$1,$D27-1,0),MATCH(U$4,'Lower SPB'!$D$10:$W$10,0))</f>
        <v>52.033460464275514</v>
      </c>
      <c r="V27" s="332">
        <f ca="1">INDEX(OFFSET('Lower SPB'!$D$1:$W$1,$D27-1,0),MATCH(V$4,'Lower SPB'!$D$10:$W$10,0))</f>
        <v>52.867337764289623</v>
      </c>
      <c r="W27" s="332">
        <f ca="1">INDEX(OFFSET('Lower SPB'!$D$1:$W$1,$D27-1,0),MATCH(W$4,'Lower SPB'!$D$10:$W$10,0))</f>
        <v>53.873306990050104</v>
      </c>
      <c r="X27" s="332">
        <f ca="1">INDEX(OFFSET('Lower SPB'!$D$1:$W$1,$D27-1,0),MATCH(X$4,'Lower SPB'!$D$10:$W$10,0))</f>
        <v>55.063360207465635</v>
      </c>
      <c r="Y27" s="271"/>
    </row>
    <row r="28" spans="1:25" x14ac:dyDescent="0.2">
      <c r="A28" s="271"/>
      <c r="B28" s="339">
        <v>5</v>
      </c>
      <c r="C28" s="343" t="s">
        <v>40</v>
      </c>
      <c r="D28" s="344">
        <v>12</v>
      </c>
      <c r="E28" s="345" t="s">
        <v>223</v>
      </c>
      <c r="F28" s="332">
        <f ca="1">INDEX(OFFSET('Lower SPB'!$D$1:$W$1,$D28-1,0),MATCH(F$4,'Lower SPB'!$D$10:$W$10,0))</f>
        <v>-3.790994</v>
      </c>
      <c r="G28" s="332">
        <f ca="1">INDEX(OFFSET('Lower SPB'!$D$1:$W$1,$D28-1,0),MATCH(G$4,'Lower SPB'!$D$10:$W$10,0))</f>
        <v>-2.897243</v>
      </c>
      <c r="H28" s="332">
        <f ca="1">INDEX(OFFSET('Lower SPB'!$D$1:$W$1,$D28-1,0),MATCH(H$4,'Lower SPB'!$D$10:$W$10,0))</f>
        <v>-2.4572430000000001</v>
      </c>
      <c r="I28" s="332">
        <f ca="1">INDEX(OFFSET('Lower SPB'!$D$1:$W$1,$D28-1,0),MATCH(I$4,'Lower SPB'!$D$10:$W$10,0))</f>
        <v>-2.0172430000000001</v>
      </c>
      <c r="J28" s="332">
        <f ca="1">INDEX(OFFSET('Lower SPB'!$D$1:$W$1,$D28-1,0),MATCH(J$4,'Lower SPB'!$D$10:$W$10,0))</f>
        <v>-1.5772430000000002</v>
      </c>
      <c r="K28" s="332">
        <f ca="1">INDEX(OFFSET('Lower SPB'!$D$1:$W$1,$D28-1,0),MATCH(K$4,'Lower SPB'!$D$10:$W$10,0))</f>
        <v>-1.1372430000000002</v>
      </c>
      <c r="L28" s="332">
        <f ca="1">INDEX(OFFSET('Lower SPB'!$D$1:$W$1,$D28-1,0),MATCH(L$4,'Lower SPB'!$D$10:$W$10,0))</f>
        <v>-1.3872430000000002</v>
      </c>
      <c r="M28" s="332">
        <f ca="1">INDEX(OFFSET('Lower SPB'!$D$1:$W$1,$D28-1,0),MATCH(M$4,'Lower SPB'!$D$10:$W$10,0))</f>
        <v>-1.6372430000000002</v>
      </c>
      <c r="N28" s="332">
        <f ca="1">INDEX(OFFSET('Lower SPB'!$D$1:$W$1,$D28-1,0),MATCH(N$4,'Lower SPB'!$D$10:$W$10,0))</f>
        <v>-1.6372430000000002</v>
      </c>
      <c r="O28" s="332">
        <f ca="1">INDEX(OFFSET('Lower SPB'!$D$1:$W$1,$D28-1,0),MATCH(O$4,'Lower SPB'!$D$10:$W$10,0))</f>
        <v>-1.6372430000000002</v>
      </c>
      <c r="P28" s="332">
        <f ca="1">INDEX(OFFSET('Lower SPB'!$D$1:$W$1,$D28-1,0),MATCH(P$4,'Lower SPB'!$D$10:$W$10,0))</f>
        <v>-1.6372430000000002</v>
      </c>
      <c r="Q28" s="332">
        <f ca="1">INDEX(OFFSET('Lower SPB'!$D$1:$W$1,$D28-1,0),MATCH(Q$4,'Lower SPB'!$D$10:$W$10,0))</f>
        <v>-1.6372430000000002</v>
      </c>
      <c r="R28" s="332">
        <f ca="1">INDEX(OFFSET('Lower SPB'!$D$1:$W$1,$D28-1,0),MATCH(R$4,'Lower SPB'!$D$10:$W$10,0))</f>
        <v>-1.6372430000000002</v>
      </c>
      <c r="S28" s="332">
        <f ca="1">INDEX(OFFSET('Lower SPB'!$D$1:$W$1,$D28-1,0),MATCH(S$4,'Lower SPB'!$D$10:$W$10,0))</f>
        <v>-1.6372430000000002</v>
      </c>
      <c r="T28" s="332">
        <f ca="1">INDEX(OFFSET('Lower SPB'!$D$1:$W$1,$D28-1,0),MATCH(T$4,'Lower SPB'!$D$10:$W$10,0))</f>
        <v>-1.6372430000000002</v>
      </c>
      <c r="U28" s="332">
        <f ca="1">INDEX(OFFSET('Lower SPB'!$D$1:$W$1,$D28-1,0),MATCH(U$4,'Lower SPB'!$D$10:$W$10,0))</f>
        <v>-1.6372430000000002</v>
      </c>
      <c r="V28" s="332">
        <f ca="1">INDEX(OFFSET('Lower SPB'!$D$1:$W$1,$D28-1,0),MATCH(V$4,'Lower SPB'!$D$10:$W$10,0))</f>
        <v>-1.6372430000000002</v>
      </c>
      <c r="W28" s="332">
        <f ca="1">INDEX(OFFSET('Lower SPB'!$D$1:$W$1,$D28-1,0),MATCH(W$4,'Lower SPB'!$D$10:$W$10,0))</f>
        <v>-1.6372430000000002</v>
      </c>
      <c r="X28" s="332">
        <f ca="1">INDEX(OFFSET('Lower SPB'!$D$1:$W$1,$D28-1,0),MATCH(X$4,'Lower SPB'!$D$10:$W$10,0))</f>
        <v>-1.6372430000000002</v>
      </c>
      <c r="Y28" s="271"/>
    </row>
    <row r="29" spans="1:25" x14ac:dyDescent="0.2">
      <c r="A29" s="271"/>
      <c r="B29" s="339"/>
      <c r="C29" s="337" t="s">
        <v>235</v>
      </c>
      <c r="D29" s="337"/>
      <c r="E29" s="341">
        <f>F29-1</f>
        <v>2022</v>
      </c>
      <c r="F29" s="342">
        <f>'Input data'!$C$5-1</f>
        <v>2023</v>
      </c>
      <c r="G29" s="342">
        <f>F29+1</f>
        <v>2024</v>
      </c>
      <c r="H29" s="342">
        <f t="shared" ref="H29:X29" si="3">G29+1</f>
        <v>2025</v>
      </c>
      <c r="I29" s="342">
        <f t="shared" si="3"/>
        <v>2026</v>
      </c>
      <c r="J29" s="342">
        <f t="shared" si="3"/>
        <v>2027</v>
      </c>
      <c r="K29" s="342">
        <f t="shared" si="3"/>
        <v>2028</v>
      </c>
      <c r="L29" s="342">
        <f t="shared" si="3"/>
        <v>2029</v>
      </c>
      <c r="M29" s="342">
        <f t="shared" si="3"/>
        <v>2030</v>
      </c>
      <c r="N29" s="342">
        <f t="shared" si="3"/>
        <v>2031</v>
      </c>
      <c r="O29" s="342">
        <f t="shared" si="3"/>
        <v>2032</v>
      </c>
      <c r="P29" s="342">
        <f t="shared" si="3"/>
        <v>2033</v>
      </c>
      <c r="Q29" s="342">
        <f t="shared" si="3"/>
        <v>2034</v>
      </c>
      <c r="R29" s="342">
        <f t="shared" si="3"/>
        <v>2035</v>
      </c>
      <c r="S29" s="342">
        <f t="shared" si="3"/>
        <v>2036</v>
      </c>
      <c r="T29" s="342">
        <f t="shared" si="3"/>
        <v>2037</v>
      </c>
      <c r="U29" s="342">
        <f t="shared" si="3"/>
        <v>2038</v>
      </c>
      <c r="V29" s="342">
        <f t="shared" si="3"/>
        <v>2039</v>
      </c>
      <c r="W29" s="342">
        <f t="shared" si="3"/>
        <v>2040</v>
      </c>
      <c r="X29" s="342">
        <f t="shared" si="3"/>
        <v>2041</v>
      </c>
      <c r="Y29" s="271"/>
    </row>
    <row r="30" spans="1:25" x14ac:dyDescent="0.2">
      <c r="A30" s="271"/>
      <c r="B30" s="339">
        <v>6</v>
      </c>
      <c r="C30" s="343" t="s">
        <v>220</v>
      </c>
      <c r="D30" s="344">
        <v>57</v>
      </c>
      <c r="E30" s="345" t="s">
        <v>221</v>
      </c>
      <c r="F30" s="332">
        <f ca="1">INDEX(OFFSET('Adverse (r-g)'!$D$1:$W$1,$D30-1,0),MATCH(F$4,'Adverse (r-g)'!$D$10:$W$10,0))</f>
        <v>50.396658431512243</v>
      </c>
      <c r="G30" s="332">
        <f ca="1">INDEX(OFFSET('Adverse (r-g)'!$D$1:$W$1,$D30-1,0),MATCH(G$4,'Adverse (r-g)'!$D$10:$W$10,0))</f>
        <v>52.027240532489337</v>
      </c>
      <c r="H30" s="332">
        <f ca="1">INDEX(OFFSET('Adverse (r-g)'!$D$1:$W$1,$D30-1,0),MATCH(H$4,'Adverse (r-g)'!$D$10:$W$10,0))</f>
        <v>52.730907877542279</v>
      </c>
      <c r="I30" s="332">
        <f ca="1">INDEX(OFFSET('Adverse (r-g)'!$D$1:$W$1,$D30-1,0),MATCH(I$4,'Adverse (r-g)'!$D$10:$W$10,0))</f>
        <v>52.947955578274673</v>
      </c>
      <c r="J30" s="332">
        <f ca="1">INDEX(OFFSET('Adverse (r-g)'!$D$1:$W$1,$D30-1,0),MATCH(J$4,'Adverse (r-g)'!$D$10:$W$10,0))</f>
        <v>52.754005449493576</v>
      </c>
      <c r="K30" s="332">
        <f ca="1">INDEX(OFFSET('Adverse (r-g)'!$D$1:$W$1,$D30-1,0),MATCH(K$4,'Adverse (r-g)'!$D$10:$W$10,0))</f>
        <v>52.204191928643532</v>
      </c>
      <c r="L30" s="332">
        <f ca="1">INDEX(OFFSET('Adverse (r-g)'!$D$1:$W$1,$D30-1,0),MATCH(L$4,'Adverse (r-g)'!$D$10:$W$10,0))</f>
        <v>51.669079435309612</v>
      </c>
      <c r="M30" s="332">
        <f ca="1">INDEX(OFFSET('Adverse (r-g)'!$D$1:$W$1,$D30-1,0),MATCH(M$4,'Adverse (r-g)'!$D$10:$W$10,0))</f>
        <v>51.058652212082194</v>
      </c>
      <c r="N30" s="332">
        <f ca="1">INDEX(OFFSET('Adverse (r-g)'!$D$1:$W$1,$D30-1,0),MATCH(N$4,'Adverse (r-g)'!$D$10:$W$10,0))</f>
        <v>50.406964561151554</v>
      </c>
      <c r="O30" s="332">
        <f ca="1">INDEX(OFFSET('Adverse (r-g)'!$D$1:$W$1,$D30-1,0),MATCH(O$4,'Adverse (r-g)'!$D$10:$W$10,0))</f>
        <v>50.010013113971276</v>
      </c>
      <c r="P30" s="332">
        <f ca="1">INDEX(OFFSET('Adverse (r-g)'!$D$1:$W$1,$D30-1,0),MATCH(P$4,'Adverse (r-g)'!$D$10:$W$10,0))</f>
        <v>49.674306160238665</v>
      </c>
      <c r="Q30" s="332">
        <f ca="1">INDEX(OFFSET('Adverse (r-g)'!$D$1:$W$1,$D30-1,0),MATCH(Q$4,'Adverse (r-g)'!$D$10:$W$10,0))</f>
        <v>49.554351408670577</v>
      </c>
      <c r="R30" s="332">
        <f ca="1">INDEX(OFFSET('Adverse (r-g)'!$D$1:$W$1,$D30-1,0),MATCH(R$4,'Adverse (r-g)'!$D$10:$W$10,0))</f>
        <v>49.655935052977966</v>
      </c>
      <c r="S30" s="332">
        <f ca="1">INDEX(OFFSET('Adverse (r-g)'!$D$1:$W$1,$D30-1,0),MATCH(S$4,'Adverse (r-g)'!$D$10:$W$10,0))</f>
        <v>49.986685711695259</v>
      </c>
      <c r="T30" s="332">
        <f ca="1">INDEX(OFFSET('Adverse (r-g)'!$D$1:$W$1,$D30-1,0),MATCH(T$4,'Adverse (r-g)'!$D$10:$W$10,0))</f>
        <v>50.442862664699746</v>
      </c>
      <c r="U30" s="332">
        <f ca="1">INDEX(OFFSET('Adverse (r-g)'!$D$1:$W$1,$D30-1,0),MATCH(U$4,'Adverse (r-g)'!$D$10:$W$10,0))</f>
        <v>51.042959543932817</v>
      </c>
      <c r="V30" s="332">
        <f ca="1">INDEX(OFFSET('Adverse (r-g)'!$D$1:$W$1,$D30-1,0),MATCH(V$4,'Adverse (r-g)'!$D$10:$W$10,0))</f>
        <v>51.814019057283893</v>
      </c>
      <c r="W30" s="332">
        <f ca="1">INDEX(OFFSET('Adverse (r-g)'!$D$1:$W$1,$D30-1,0),MATCH(W$4,'Adverse (r-g)'!$D$10:$W$10,0))</f>
        <v>52.770784731040486</v>
      </c>
      <c r="X30" s="332">
        <f ca="1">INDEX(OFFSET('Adverse (r-g)'!$D$1:$W$1,$D30-1,0),MATCH(X$4,'Adverse (r-g)'!$D$10:$W$10,0))</f>
        <v>53.926159062264638</v>
      </c>
      <c r="Y30" s="271"/>
    </row>
    <row r="31" spans="1:25" x14ac:dyDescent="0.2">
      <c r="A31" s="271"/>
      <c r="B31" s="339">
        <v>7</v>
      </c>
      <c r="C31" s="343" t="s">
        <v>94</v>
      </c>
      <c r="D31" s="344">
        <v>37</v>
      </c>
      <c r="E31" s="345" t="s">
        <v>227</v>
      </c>
      <c r="F31" s="332">
        <f ca="1">INDEX(OFFSET('Adverse (r-g)'!$D$1:$W$1,$D31-1,0),MATCH(F$4,'Adverse (r-g)'!$D$10:$W$10,0))</f>
        <v>3.71</v>
      </c>
      <c r="G31" s="332">
        <f ca="1">INDEX(OFFSET('Adverse (r-g)'!$D$1:$W$1,$D31-1,0),MATCH(G$4,'Adverse (r-g)'!$D$10:$W$10,0))</f>
        <v>3.4970020000000002</v>
      </c>
      <c r="H31" s="332">
        <f ca="1">INDEX(OFFSET('Adverse (r-g)'!$D$1:$W$1,$D31-1,0),MATCH(H$4,'Adverse (r-g)'!$D$10:$W$10,0))</f>
        <v>3.5053580000000002</v>
      </c>
      <c r="I31" s="332">
        <f ca="1">INDEX(OFFSET('Adverse (r-g)'!$D$1:$W$1,$D31-1,0),MATCH(I$4,'Adverse (r-g)'!$D$10:$W$10,0))</f>
        <v>3.5849320000000002</v>
      </c>
      <c r="J31" s="332">
        <f ca="1">INDEX(OFFSET('Adverse (r-g)'!$D$1:$W$1,$D31-1,0),MATCH(J$4,'Adverse (r-g)'!$D$10:$W$10,0))</f>
        <v>3.6645060000000003</v>
      </c>
      <c r="K31" s="332">
        <f ca="1">INDEX(OFFSET('Adverse (r-g)'!$D$1:$W$1,$D31-1,0),MATCH(K$4,'Adverse (r-g)'!$D$10:$W$10,0))</f>
        <v>3.7440799999999999</v>
      </c>
      <c r="L31" s="332">
        <f ca="1">INDEX(OFFSET('Adverse (r-g)'!$D$1:$W$1,$D31-1,0),MATCH(L$4,'Adverse (r-g)'!$D$10:$W$10,0))</f>
        <v>4.3236539999999994</v>
      </c>
      <c r="M31" s="332">
        <f ca="1">INDEX(OFFSET('Adverse (r-g)'!$D$1:$W$1,$D31-1,0),MATCH(M$4,'Adverse (r-g)'!$D$10:$W$10,0))</f>
        <v>4.4032280000000004</v>
      </c>
      <c r="N31" s="332">
        <f ca="1">INDEX(OFFSET('Adverse (r-g)'!$D$1:$W$1,$D31-1,0),MATCH(N$4,'Adverse (r-g)'!$D$10:$W$10,0))</f>
        <v>4.4828019999999995</v>
      </c>
      <c r="O31" s="332">
        <f ca="1">INDEX(OFFSET('Adverse (r-g)'!$D$1:$W$1,$D31-1,0),MATCH(O$4,'Adverse (r-g)'!$D$10:$W$10,0))</f>
        <v>4.5623759999999995</v>
      </c>
      <c r="P31" s="332">
        <f ca="1">INDEX(OFFSET('Adverse (r-g)'!$D$1:$W$1,$D31-1,0),MATCH(P$4,'Adverse (r-g)'!$D$10:$W$10,0))</f>
        <v>4.6419499999999996</v>
      </c>
      <c r="Q31" s="332">
        <f ca="1">INDEX(OFFSET('Adverse (r-g)'!$D$1:$W$1,$D31-1,0),MATCH(Q$4,'Adverse (r-g)'!$D$10:$W$10,0))</f>
        <v>4.6348524999999992</v>
      </c>
      <c r="R31" s="332">
        <f ca="1">INDEX(OFFSET('Adverse (r-g)'!$D$1:$W$1,$D31-1,0),MATCH(R$4,'Adverse (r-g)'!$D$10:$W$10,0))</f>
        <v>4.6277549999999996</v>
      </c>
      <c r="S31" s="332">
        <f ca="1">INDEX(OFFSET('Adverse (r-g)'!$D$1:$W$1,$D31-1,0),MATCH(S$4,'Adverse (r-g)'!$D$10:$W$10,0))</f>
        <v>4.6206575000000001</v>
      </c>
      <c r="T31" s="332">
        <f ca="1">INDEX(OFFSET('Adverse (r-g)'!$D$1:$W$1,$D31-1,0),MATCH(T$4,'Adverse (r-g)'!$D$10:$W$10,0))</f>
        <v>4.6135599999999997</v>
      </c>
      <c r="U31" s="332">
        <f ca="1">INDEX(OFFSET('Adverse (r-g)'!$D$1:$W$1,$D31-1,0),MATCH(U$4,'Adverse (r-g)'!$D$10:$W$10,0))</f>
        <v>4.6064624999999992</v>
      </c>
      <c r="V31" s="332">
        <f ca="1">INDEX(OFFSET('Adverse (r-g)'!$D$1:$W$1,$D31-1,0),MATCH(V$4,'Adverse (r-g)'!$D$10:$W$10,0))</f>
        <v>4.5993649999999997</v>
      </c>
      <c r="W31" s="332">
        <f ca="1">INDEX(OFFSET('Adverse (r-g)'!$D$1:$W$1,$D31-1,0),MATCH(W$4,'Adverse (r-g)'!$D$10:$W$10,0))</f>
        <v>4.5922675000000002</v>
      </c>
      <c r="X31" s="332">
        <f ca="1">INDEX(OFFSET('Adverse (r-g)'!$D$1:$W$1,$D31-1,0),MATCH(X$4,'Adverse (r-g)'!$D$10:$W$10,0))</f>
        <v>4.5851699999999997</v>
      </c>
      <c r="Y31" s="271"/>
    </row>
    <row r="32" spans="1:25" x14ac:dyDescent="0.2">
      <c r="A32" s="271"/>
      <c r="B32" s="339">
        <v>8</v>
      </c>
      <c r="C32" s="343" t="s">
        <v>95</v>
      </c>
      <c r="D32" s="344">
        <v>38</v>
      </c>
      <c r="E32" s="345" t="s">
        <v>227</v>
      </c>
      <c r="F32" s="332">
        <f ca="1">INDEX(OFFSET('Adverse (r-g)'!$D$1:$W$1,$D32-1,0),MATCH(F$4,'Adverse (r-g)'!$D$10:$W$10,0))</f>
        <v>3.43</v>
      </c>
      <c r="G32" s="332">
        <f ca="1">INDEX(OFFSET('Adverse (r-g)'!$D$1:$W$1,$D32-1,0),MATCH(G$4,'Adverse (r-g)'!$D$10:$W$10,0))</f>
        <v>3.5642079999999998</v>
      </c>
      <c r="H32" s="332">
        <f ca="1">INDEX(OFFSET('Adverse (r-g)'!$D$1:$W$1,$D32-1,0),MATCH(H$4,'Adverse (r-g)'!$D$10:$W$10,0))</f>
        <v>2.8163749999999999</v>
      </c>
      <c r="I32" s="332">
        <f ca="1">INDEX(OFFSET('Adverse (r-g)'!$D$1:$W$1,$D32-1,0),MATCH(I$4,'Adverse (r-g)'!$D$10:$W$10,0))</f>
        <v>2.8050893749999997</v>
      </c>
      <c r="J32" s="332">
        <f ca="1">INDEX(OFFSET('Adverse (r-g)'!$D$1:$W$1,$D32-1,0),MATCH(J$4,'Adverse (r-g)'!$D$10:$W$10,0))</f>
        <v>2.7938037499999999</v>
      </c>
      <c r="K32" s="332">
        <f ca="1">INDEX(OFFSET('Adverse (r-g)'!$D$1:$W$1,$D32-1,0),MATCH(K$4,'Adverse (r-g)'!$D$10:$W$10,0))</f>
        <v>2.7825181250000002</v>
      </c>
      <c r="L32" s="332">
        <f ca="1">INDEX(OFFSET('Adverse (r-g)'!$D$1:$W$1,$D32-1,0),MATCH(L$4,'Adverse (r-g)'!$D$10:$W$10,0))</f>
        <v>3.2712325</v>
      </c>
      <c r="M32" s="332">
        <f ca="1">INDEX(OFFSET('Adverse (r-g)'!$D$1:$W$1,$D32-1,0),MATCH(M$4,'Adverse (r-g)'!$D$10:$W$10,0))</f>
        <v>3.2599468749999998</v>
      </c>
      <c r="N32" s="332">
        <f ca="1">INDEX(OFFSET('Adverse (r-g)'!$D$1:$W$1,$D32-1,0),MATCH(N$4,'Adverse (r-g)'!$D$10:$W$10,0))</f>
        <v>3.2486612500000001</v>
      </c>
      <c r="O32" s="332">
        <f ca="1">INDEX(OFFSET('Adverse (r-g)'!$D$1:$W$1,$D32-1,0),MATCH(O$4,'Adverse (r-g)'!$D$10:$W$10,0))</f>
        <v>3.2373756250000003</v>
      </c>
      <c r="P32" s="332">
        <f ca="1">INDEX(OFFSET('Adverse (r-g)'!$D$1:$W$1,$D32-1,0),MATCH(P$4,'Adverse (r-g)'!$D$10:$W$10,0))</f>
        <v>3.2260900000000001</v>
      </c>
      <c r="Q32" s="332">
        <f ca="1">INDEX(OFFSET('Adverse (r-g)'!$D$1:$W$1,$D32-1,0),MATCH(Q$4,'Adverse (r-g)'!$D$10:$W$10,0))</f>
        <v>3.1897855000000002</v>
      </c>
      <c r="R32" s="332">
        <f ca="1">INDEX(OFFSET('Adverse (r-g)'!$D$1:$W$1,$D32-1,0),MATCH(R$4,'Adverse (r-g)'!$D$10:$W$10,0))</f>
        <v>3.1534810000000002</v>
      </c>
      <c r="S32" s="332">
        <f ca="1">INDEX(OFFSET('Adverse (r-g)'!$D$1:$W$1,$D32-1,0),MATCH(S$4,'Adverse (r-g)'!$D$10:$W$10,0))</f>
        <v>3.1171765000000002</v>
      </c>
      <c r="T32" s="332">
        <f ca="1">INDEX(OFFSET('Adverse (r-g)'!$D$1:$W$1,$D32-1,0),MATCH(T$4,'Adverse (r-g)'!$D$10:$W$10,0))</f>
        <v>3.0808720000000003</v>
      </c>
      <c r="U32" s="332">
        <f ca="1">INDEX(OFFSET('Adverse (r-g)'!$D$1:$W$1,$D32-1,0),MATCH(U$4,'Adverse (r-g)'!$D$10:$W$10,0))</f>
        <v>3.0445675000000003</v>
      </c>
      <c r="V32" s="332">
        <f ca="1">INDEX(OFFSET('Adverse (r-g)'!$D$1:$W$1,$D32-1,0),MATCH(V$4,'Adverse (r-g)'!$D$10:$W$10,0))</f>
        <v>3.0082629999999999</v>
      </c>
      <c r="W32" s="332">
        <f ca="1">INDEX(OFFSET('Adverse (r-g)'!$D$1:$W$1,$D32-1,0),MATCH(W$4,'Adverse (r-g)'!$D$10:$W$10,0))</f>
        <v>2.9719584999999999</v>
      </c>
      <c r="X32" s="332">
        <f ca="1">INDEX(OFFSET('Adverse (r-g)'!$D$1:$W$1,$D32-1,0),MATCH(X$4,'Adverse (r-g)'!$D$10:$W$10,0))</f>
        <v>2.935654</v>
      </c>
      <c r="Y32" s="271"/>
    </row>
    <row r="33" spans="1:25" x14ac:dyDescent="0.2">
      <c r="A33" s="271"/>
      <c r="B33" s="339">
        <v>9</v>
      </c>
      <c r="C33" s="335" t="s">
        <v>231</v>
      </c>
      <c r="D33" s="344">
        <v>23</v>
      </c>
      <c r="E33" s="345" t="s">
        <v>230</v>
      </c>
      <c r="F33" s="332">
        <f ca="1">INDEX(OFFSET('Adverse (r-g)'!$D$1:$W$1,$D33-1,0),MATCH(F$4,'Adverse (r-g)'!$D$10:$W$10,0))</f>
        <v>5.6139259999999913</v>
      </c>
      <c r="G33" s="332">
        <f ca="1">INDEX(OFFSET('Adverse (r-g)'!$D$1:$W$1,$D33-1,0),MATCH(G$4,'Adverse (r-g)'!$D$10:$W$10,0))</f>
        <v>4.5722800000000063</v>
      </c>
      <c r="H33" s="332">
        <f ca="1">INDEX(OFFSET('Adverse (r-g)'!$D$1:$W$1,$D33-1,0),MATCH(H$4,'Adverse (r-g)'!$D$10:$W$10,0))</f>
        <v>4.515197999999998</v>
      </c>
      <c r="I33" s="332">
        <f ca="1">INDEX(OFFSET('Adverse (r-g)'!$D$1:$W$1,$D33-1,0),MATCH(I$4,'Adverse (r-g)'!$D$10:$W$10,0))</f>
        <v>4.5879578676851773</v>
      </c>
      <c r="J33" s="332">
        <f ca="1">INDEX(OFFSET('Adverse (r-g)'!$D$1:$W$1,$D33-1,0),MATCH(J$4,'Adverse (r-g)'!$D$10:$W$10,0))</f>
        <v>4.6481695004620516</v>
      </c>
      <c r="K33" s="332">
        <f ca="1">INDEX(OFFSET('Adverse (r-g)'!$D$1:$W$1,$D33-1,0),MATCH(K$4,'Adverse (r-g)'!$D$10:$W$10,0))</f>
        <v>4.6051556333416954</v>
      </c>
      <c r="L33" s="332">
        <f ca="1">INDEX(OFFSET('Adverse (r-g)'!$D$1:$W$1,$D33-1,0),MATCH(L$4,'Adverse (r-g)'!$D$10:$W$10,0))</f>
        <v>4.4003640838561786</v>
      </c>
      <c r="M33" s="332">
        <f ca="1">INDEX(OFFSET('Adverse (r-g)'!$D$1:$W$1,$D33-1,0),MATCH(M$4,'Adverse (r-g)'!$D$10:$W$10,0))</f>
        <v>4.3052995902610247</v>
      </c>
      <c r="N33" s="332">
        <f ca="1">INDEX(OFFSET('Adverse (r-g)'!$D$1:$W$1,$D33-1,0),MATCH(N$4,'Adverse (r-g)'!$D$10:$W$10,0))</f>
        <v>4.1479544645200761</v>
      </c>
      <c r="O33" s="332">
        <f ca="1">INDEX(OFFSET('Adverse (r-g)'!$D$1:$W$1,$D33-1,0),MATCH(O$4,'Adverse (r-g)'!$D$10:$W$10,0))</f>
        <v>3.6701290000000109</v>
      </c>
      <c r="P33" s="332">
        <f ca="1">INDEX(OFFSET('Adverse (r-g)'!$D$1:$W$1,$D33-1,0),MATCH(P$4,'Adverse (r-g)'!$D$10:$W$10,0))</f>
        <v>3.6159239999999926</v>
      </c>
      <c r="Q33" s="332">
        <f ca="1">INDEX(OFFSET('Adverse (r-g)'!$D$1:$W$1,$D33-1,0),MATCH(Q$4,'Adverse (r-g)'!$D$10:$W$10,0))</f>
        <v>3.2767259999999965</v>
      </c>
      <c r="R33" s="332">
        <f ca="1">INDEX(OFFSET('Adverse (r-g)'!$D$1:$W$1,$D33-1,0),MATCH(R$4,'Adverse (r-g)'!$D$10:$W$10,0))</f>
        <v>2.9375259999999903</v>
      </c>
      <c r="S33" s="332">
        <f ca="1">INDEX(OFFSET('Adverse (r-g)'!$D$1:$W$1,$D33-1,0),MATCH(S$4,'Adverse (r-g)'!$D$10:$W$10,0))</f>
        <v>2.5983319999999921</v>
      </c>
      <c r="T33" s="332">
        <f ca="1">INDEX(OFFSET('Adverse (r-g)'!$D$1:$W$1,$D33-1,0),MATCH(T$4,'Adverse (r-g)'!$D$10:$W$10,0))</f>
        <v>2.4864269999999911</v>
      </c>
      <c r="U33" s="332">
        <f ca="1">INDEX(OFFSET('Adverse (r-g)'!$D$1:$W$1,$D33-1,0),MATCH(U$4,'Adverse (r-g)'!$D$10:$W$10,0))</f>
        <v>2.345796</v>
      </c>
      <c r="V33" s="332">
        <f ca="1">INDEX(OFFSET('Adverse (r-g)'!$D$1:$W$1,$D33-1,0),MATCH(V$4,'Adverse (r-g)'!$D$10:$W$10,0))</f>
        <v>2.1784660000000011</v>
      </c>
      <c r="W33" s="332">
        <f ca="1">INDEX(OFFSET('Adverse (r-g)'!$D$1:$W$1,$D33-1,0),MATCH(W$4,'Adverse (r-g)'!$D$10:$W$10,0))</f>
        <v>2.0182219999999917</v>
      </c>
      <c r="X33" s="332">
        <f ca="1">INDEX(OFFSET('Adverse (r-g)'!$D$1:$W$1,$D33-1,0),MATCH(X$4,'Adverse (r-g)'!$D$10:$W$10,0))</f>
        <v>1.8694350000000082</v>
      </c>
      <c r="Y33" s="271"/>
    </row>
    <row r="34" spans="1:25" x14ac:dyDescent="0.2">
      <c r="A34" s="271"/>
      <c r="B34" s="339">
        <v>10</v>
      </c>
      <c r="C34" s="347" t="s">
        <v>62</v>
      </c>
      <c r="D34" s="344">
        <v>27</v>
      </c>
      <c r="E34" s="345" t="s">
        <v>230</v>
      </c>
      <c r="F34" s="332">
        <f ca="1">(INDEX(OFFSET('Adverse (r-g)'!$D$1:$W$1,$D34-1,0),MATCH(F$4,'Adverse (r-g)'!$D$10:$W$10,0))/INDEX(OFFSET('Adverse (r-g)'!$D$1:$W$1,$D34-1,0),MATCH(E$4,'Adverse (r-g)'!$D$10:$W$10,0))-1)*100</f>
        <v>5.1062909999999961</v>
      </c>
      <c r="G34" s="332">
        <f ca="1">(INDEX(OFFSET('Adverse (r-g)'!$D$1:$W$1,$D34-1,0),MATCH(G$4,'Adverse (r-g)'!$D$10:$W$10,0))/INDEX(OFFSET('Adverse (r-g)'!$D$1:$W$1,$D34-1,0),MATCH(F$4,'Adverse (r-g)'!$D$10:$W$10,0))-1)*100</f>
        <v>4.9185440000000025</v>
      </c>
      <c r="H34" s="332">
        <f ca="1">(INDEX(OFFSET('Adverse (r-g)'!$D$1:$W$1,$D34-1,0),MATCH(H$4,'Adverse (r-g)'!$D$10:$W$10,0))/INDEX(OFFSET('Adverse (r-g)'!$D$1:$W$1,$D34-1,0),MATCH(G$4,'Adverse (r-g)'!$D$10:$W$10,0))-1)*100</f>
        <v>4.8690640000000007</v>
      </c>
      <c r="I34" s="332">
        <f ca="1">(INDEX(OFFSET('Adverse (r-g)'!$D$1:$W$1,$D34-1,0),MATCH(I$4,'Adverse (r-g)'!$D$10:$W$10,0))/INDEX(OFFSET('Adverse (r-g)'!$D$1:$W$1,$D34-1,0),MATCH(H$4,'Adverse (r-g)'!$D$10:$W$10,0))-1)*100</f>
        <v>4.677317999999997</v>
      </c>
      <c r="J34" s="332">
        <f ca="1">(INDEX(OFFSET('Adverse (r-g)'!$D$1:$W$1,$D34-1,0),MATCH(J$4,'Adverse (r-g)'!$D$10:$W$10,0))/INDEX(OFFSET('Adverse (r-g)'!$D$1:$W$1,$D34-1,0),MATCH(I$4,'Adverse (r-g)'!$D$10:$W$10,0))-1)*100</f>
        <v>4.7074339999999992</v>
      </c>
      <c r="K34" s="332">
        <f ca="1">(INDEX(OFFSET('Adverse (r-g)'!$D$1:$W$1,$D34-1,0),MATCH(K$4,'Adverse (r-g)'!$D$10:$W$10,0))/INDEX(OFFSET('Adverse (r-g)'!$D$1:$W$1,$D34-1,0),MATCH(J$4,'Adverse (r-g)'!$D$10:$W$10,0))-1)*100</f>
        <v>4.6446750000000092</v>
      </c>
      <c r="L34" s="332">
        <f ca="1">(INDEX(OFFSET('Adverse (r-g)'!$D$1:$W$1,$D34-1,0),MATCH(L$4,'Adverse (r-g)'!$D$10:$W$10,0))/INDEX(OFFSET('Adverse (r-g)'!$D$1:$W$1,$D34-1,0),MATCH(K$4,'Adverse (r-g)'!$D$10:$W$10,0))-1)*100</f>
        <v>4.0981820000000058</v>
      </c>
      <c r="M34" s="332">
        <f ca="1">(INDEX(OFFSET('Adverse (r-g)'!$D$1:$W$1,$D34-1,0),MATCH(M$4,'Adverse (r-g)'!$D$10:$W$10,0))/INDEX(OFFSET('Adverse (r-g)'!$D$1:$W$1,$D34-1,0),MATCH(L$4,'Adverse (r-g)'!$D$10:$W$10,0))-1)*100</f>
        <v>4.0042640000000018</v>
      </c>
      <c r="N34" s="332">
        <f ca="1">(INDEX(OFFSET('Adverse (r-g)'!$D$1:$W$1,$D34-1,0),MATCH(N$4,'Adverse (r-g)'!$D$10:$W$10,0))/INDEX(OFFSET('Adverse (r-g)'!$D$1:$W$1,$D34-1,0),MATCH(M$4,'Adverse (r-g)'!$D$10:$W$10,0))-1)*100</f>
        <v>3.8482380000000038</v>
      </c>
      <c r="O34" s="332">
        <f ca="1">(INDEX(OFFSET('Adverse (r-g)'!$D$1:$W$1,$D34-1,0),MATCH(O$4,'Adverse (r-g)'!$D$10:$W$10,0))/INDEX(OFFSET('Adverse (r-g)'!$D$1:$W$1,$D34-1,0),MATCH(N$4,'Adverse (r-g)'!$D$10:$W$10,0))-1)*100</f>
        <v>3.670125000000013</v>
      </c>
      <c r="P34" s="332">
        <f ca="1">(INDEX(OFFSET('Adverse (r-g)'!$D$1:$W$1,$D34-1,0),MATCH(P$4,'Adverse (r-g)'!$D$10:$W$10,0))/INDEX(OFFSET('Adverse (r-g)'!$D$1:$W$1,$D34-1,0),MATCH(O$4,'Adverse (r-g)'!$D$10:$W$10,0))-1)*100</f>
        <v>3.6159220000000047</v>
      </c>
      <c r="Q34" s="332">
        <f ca="1">(INDEX(OFFSET('Adverse (r-g)'!$D$1:$W$1,$D34-1,0),MATCH(Q$4,'Adverse (r-g)'!$D$10:$W$10,0))/INDEX(OFFSET('Adverse (r-g)'!$D$1:$W$1,$D34-1,0),MATCH(P$4,'Adverse (r-g)'!$D$10:$W$10,0))-1)*100</f>
        <v>3.2767240000000086</v>
      </c>
      <c r="R34" s="332">
        <f ca="1">(INDEX(OFFSET('Adverse (r-g)'!$D$1:$W$1,$D34-1,0),MATCH(R$4,'Adverse (r-g)'!$D$10:$W$10,0))/INDEX(OFFSET('Adverse (r-g)'!$D$1:$W$1,$D34-1,0),MATCH(Q$4,'Adverse (r-g)'!$D$10:$W$10,0))-1)*100</f>
        <v>2.9375260000000125</v>
      </c>
      <c r="S34" s="332">
        <f ca="1">(INDEX(OFFSET('Adverse (r-g)'!$D$1:$W$1,$D34-1,0),MATCH(S$4,'Adverse (r-g)'!$D$10:$W$10,0))/INDEX(OFFSET('Adverse (r-g)'!$D$1:$W$1,$D34-1,0),MATCH(R$4,'Adverse (r-g)'!$D$10:$W$10,0))-1)*100</f>
        <v>2.5983290000000103</v>
      </c>
      <c r="T34" s="332">
        <f ca="1">(INDEX(OFFSET('Adverse (r-g)'!$D$1:$W$1,$D34-1,0),MATCH(T$4,'Adverse (r-g)'!$D$10:$W$10,0))/INDEX(OFFSET('Adverse (r-g)'!$D$1:$W$1,$D34-1,0),MATCH(S$4,'Adverse (r-g)'!$D$10:$W$10,0))-1)*100</f>
        <v>2.4864240000000093</v>
      </c>
      <c r="U34" s="332">
        <f ca="1">(INDEX(OFFSET('Adverse (r-g)'!$D$1:$W$1,$D34-1,0),MATCH(U$4,'Adverse (r-g)'!$D$10:$W$10,0))/INDEX(OFFSET('Adverse (r-g)'!$D$1:$W$1,$D34-1,0),MATCH(T$4,'Adverse (r-g)'!$D$10:$W$10,0))-1)*100</f>
        <v>2.3457970000000161</v>
      </c>
      <c r="V34" s="332">
        <f ca="1">(INDEX(OFFSET('Adverse (r-g)'!$D$1:$W$1,$D34-1,0),MATCH(V$4,'Adverse (r-g)'!$D$10:$W$10,0))/INDEX(OFFSET('Adverse (r-g)'!$D$1:$W$1,$D34-1,0),MATCH(U$4,'Adverse (r-g)'!$D$10:$W$10,0))-1)*100</f>
        <v>2.1784680000000112</v>
      </c>
      <c r="W34" s="332">
        <f ca="1">(INDEX(OFFSET('Adverse (r-g)'!$D$1:$W$1,$D34-1,0),MATCH(W$4,'Adverse (r-g)'!$D$10:$W$10,0))/INDEX(OFFSET('Adverse (r-g)'!$D$1:$W$1,$D34-1,0),MATCH(V$4,'Adverse (r-g)'!$D$10:$W$10,0))-1)*100</f>
        <v>2.0182250000000179</v>
      </c>
      <c r="X34" s="332">
        <f ca="1">(INDEX(OFFSET('Adverse (r-g)'!$D$1:$W$1,$D34-1,0),MATCH(X$4,'Adverse (r-g)'!$D$10:$W$10,0))/INDEX(OFFSET('Adverse (r-g)'!$D$1:$W$1,$D34-1,0),MATCH(W$4,'Adverse (r-g)'!$D$10:$W$10,0))-1)*100</f>
        <v>1.8694370000000182</v>
      </c>
      <c r="Y34" s="271"/>
    </row>
    <row r="35" spans="1:25" x14ac:dyDescent="0.2">
      <c r="A35" s="271"/>
      <c r="B35" s="339"/>
      <c r="C35" s="337" t="s">
        <v>236</v>
      </c>
      <c r="D35" s="337"/>
      <c r="E35" s="341">
        <f>F35-1</f>
        <v>2032</v>
      </c>
      <c r="F35" s="350">
        <f>'Input data'!$C$6+5</f>
        <v>2033</v>
      </c>
      <c r="G35" s="271"/>
      <c r="H35" s="271"/>
      <c r="I35" s="271"/>
      <c r="J35" s="271"/>
      <c r="K35" s="271"/>
      <c r="L35" s="271"/>
      <c r="M35" s="271"/>
      <c r="N35" s="271"/>
      <c r="O35" s="271"/>
      <c r="P35" s="271"/>
      <c r="Q35" s="271"/>
      <c r="R35" s="271"/>
      <c r="S35" s="271"/>
      <c r="T35" s="271"/>
      <c r="U35" s="271"/>
      <c r="V35" s="271"/>
      <c r="W35" s="271"/>
      <c r="X35" s="271"/>
      <c r="Y35" s="271"/>
    </row>
    <row r="36" spans="1:25" x14ac:dyDescent="0.2">
      <c r="A36" s="271"/>
      <c r="B36" s="339">
        <v>11</v>
      </c>
      <c r="C36" s="343" t="s">
        <v>237</v>
      </c>
      <c r="D36" s="356" t="s">
        <v>241</v>
      </c>
      <c r="E36" s="345" t="s">
        <v>227</v>
      </c>
      <c r="F36" s="332">
        <f ca="1">IF(ISERROR(I36),"&lt;10",IF(I36=5,"90&lt;",V36+(H36-W36)*$T$36))</f>
        <v>59.988513227994844</v>
      </c>
      <c r="G36" s="362"/>
      <c r="H36" s="352">
        <f>INDEX(Stochastic!$C$11:$W$11,MATCH('Input data'!$C$6,Stochastic!$C$10:$W$10,0))</f>
        <v>52.204191928643532</v>
      </c>
      <c r="I36" s="353">
        <f ca="1">MATCH($H$36,OFFSET(Stochastic!$F$14:$F$18,0,'Input data'!$C$6-'Input data'!$C$5+5),1)</f>
        <v>3</v>
      </c>
      <c r="J36" s="353" t="str" cm="1">
        <f t="array" aca="1" ref="J36" ca="1">MID(INDEX(Stochastic!$B$14:$B$18,$I$36),2,2)</f>
        <v>50</v>
      </c>
      <c r="K36" s="352" cm="1">
        <f t="array" aca="1" ref="K36" ca="1">INDEX(OFFSET(Stochastic!$F$14:$F$18,0,'Input data'!$C$6-'Input data'!$C$5+5),$I$36)</f>
        <v>48.137985261657484</v>
      </c>
      <c r="L36" s="353" t="str" cm="1">
        <f t="array" aca="1" ref="L36" ca="1">MID(INDEX(Stochastic!$B$14:$B$18,$I$36+1),2,2)</f>
        <v>70</v>
      </c>
      <c r="M36" s="352" cm="1">
        <f t="array" aca="1" ref="M36" ca="1">INDEX(OFFSET(Stochastic!$F$14:$F$18,0,'Input data'!$C$6-'Input data'!$C$5+5),$I$36+1)</f>
        <v>56.279750856139906</v>
      </c>
      <c r="N36" s="352"/>
      <c r="O36" s="353">
        <f ca="1">IF(ISERROR($I$36),1,4)</f>
        <v>4</v>
      </c>
      <c r="P36" s="353">
        <f ca="1">IF(ISERROR($I$36),10,70)</f>
        <v>70</v>
      </c>
      <c r="Q36" s="352" cm="1">
        <f t="array" aca="1" ref="Q36" ca="1">INDEX(OFFSET(Stochastic!$F$14:$F$18,0,'Input data'!$C$6-'Input data'!$C$5+5),$O$36)</f>
        <v>56.279750856139906</v>
      </c>
      <c r="R36" s="353">
        <f ca="1">P36+20</f>
        <v>90</v>
      </c>
      <c r="S36" s="352" cm="1">
        <f t="array" aca="1" ref="S36" ca="1">INDEX(OFFSET(Stochastic!$F$14:$F$18,0,'Input data'!$C$6-'Input data'!$C$5+5),$O$36+1)</f>
        <v>67.683574708678975</v>
      </c>
      <c r="T36" s="357">
        <f ca="1">IF($I$36=5,20/(S36-Q36),IF(ISERROR($I$36),20/(S36-Q36),20/(M36-K36)))</f>
        <v>2.4564696401421533</v>
      </c>
      <c r="U36" s="109"/>
      <c r="V36" s="363" t="str">
        <f ca="1">IFERROR($J$36,10)</f>
        <v>50</v>
      </c>
      <c r="W36" s="364">
        <f ca="1">IF($V$36=10,$Q$36,$K$36)</f>
        <v>48.137985261657484</v>
      </c>
      <c r="X36" s="363"/>
      <c r="Y36" s="109"/>
    </row>
    <row r="37" spans="1:25" x14ac:dyDescent="0.2">
      <c r="A37" s="271"/>
      <c r="B37" s="333"/>
      <c r="C37" s="354"/>
      <c r="D37" s="354"/>
      <c r="E37" s="354"/>
      <c r="F37" s="354"/>
      <c r="G37" s="354"/>
      <c r="H37" s="354"/>
      <c r="I37" s="354"/>
      <c r="J37" s="354"/>
      <c r="K37" s="271"/>
      <c r="L37" s="271"/>
      <c r="M37" s="271"/>
      <c r="N37" s="271"/>
      <c r="O37" s="271"/>
      <c r="P37" s="271"/>
      <c r="Q37" s="362"/>
      <c r="R37" s="362"/>
      <c r="S37" s="362"/>
      <c r="T37" s="362"/>
      <c r="U37" s="362"/>
      <c r="V37" s="362"/>
      <c r="W37" s="271"/>
      <c r="X37" s="271"/>
      <c r="Y37" s="271"/>
    </row>
    <row r="38" spans="1:25" x14ac:dyDescent="0.2">
      <c r="A38" s="271"/>
      <c r="B38" s="355"/>
      <c r="C38" s="337" t="s">
        <v>238</v>
      </c>
      <c r="D38" s="338"/>
      <c r="E38" s="338"/>
      <c r="F38" s="349"/>
      <c r="G38" s="271"/>
      <c r="H38" s="271"/>
      <c r="I38" s="271"/>
      <c r="J38" s="271"/>
      <c r="K38" s="271"/>
      <c r="L38" s="271"/>
      <c r="M38" s="271"/>
      <c r="N38" s="271"/>
      <c r="O38" s="271"/>
      <c r="P38" s="271"/>
      <c r="Q38" s="271"/>
      <c r="R38" s="271"/>
      <c r="S38" s="271"/>
      <c r="T38" s="271"/>
      <c r="U38" s="271"/>
      <c r="V38" s="271"/>
      <c r="W38" s="271"/>
      <c r="X38" s="271"/>
      <c r="Y38" s="271"/>
    </row>
    <row r="39" spans="1:25" x14ac:dyDescent="0.2">
      <c r="A39" s="271"/>
      <c r="B39" s="333"/>
      <c r="C39" s="354"/>
      <c r="D39" s="354"/>
      <c r="E39" s="354"/>
      <c r="F39" s="354"/>
      <c r="G39" s="354"/>
      <c r="H39" s="354"/>
      <c r="I39" s="354"/>
      <c r="J39" s="354"/>
      <c r="K39" s="271"/>
      <c r="L39" s="271"/>
      <c r="M39" s="271"/>
      <c r="N39" s="271"/>
      <c r="O39" s="271"/>
      <c r="P39" s="271"/>
      <c r="Q39" s="271"/>
      <c r="R39" s="271"/>
      <c r="S39" s="271"/>
      <c r="T39" s="271"/>
      <c r="U39" s="271"/>
      <c r="V39" s="271"/>
      <c r="W39" s="271"/>
      <c r="X39" s="271"/>
      <c r="Y39" s="271"/>
    </row>
    <row r="40" spans="1:25" x14ac:dyDescent="0.2">
      <c r="A40" s="271"/>
      <c r="B40" s="339"/>
      <c r="C40" s="337"/>
      <c r="D40" s="337"/>
      <c r="E40" s="342"/>
      <c r="F40" s="342">
        <f>'Input data'!$C$5-1</f>
        <v>2023</v>
      </c>
      <c r="G40" s="342">
        <f>F40+1</f>
        <v>2024</v>
      </c>
      <c r="H40" s="342">
        <f t="shared" ref="H40:X40" si="4">G40+1</f>
        <v>2025</v>
      </c>
      <c r="I40" s="342">
        <f t="shared" si="4"/>
        <v>2026</v>
      </c>
      <c r="J40" s="342">
        <f t="shared" si="4"/>
        <v>2027</v>
      </c>
      <c r="K40" s="342">
        <f t="shared" si="4"/>
        <v>2028</v>
      </c>
      <c r="L40" s="342">
        <f t="shared" si="4"/>
        <v>2029</v>
      </c>
      <c r="M40" s="342">
        <f t="shared" si="4"/>
        <v>2030</v>
      </c>
      <c r="N40" s="342">
        <f t="shared" si="4"/>
        <v>2031</v>
      </c>
      <c r="O40" s="342">
        <f t="shared" si="4"/>
        <v>2032</v>
      </c>
      <c r="P40" s="342">
        <f t="shared" si="4"/>
        <v>2033</v>
      </c>
      <c r="Q40" s="342">
        <f t="shared" si="4"/>
        <v>2034</v>
      </c>
      <c r="R40" s="342">
        <f t="shared" si="4"/>
        <v>2035</v>
      </c>
      <c r="S40" s="342">
        <f t="shared" si="4"/>
        <v>2036</v>
      </c>
      <c r="T40" s="342">
        <f t="shared" si="4"/>
        <v>2037</v>
      </c>
      <c r="U40" s="342">
        <f t="shared" si="4"/>
        <v>2038</v>
      </c>
      <c r="V40" s="342">
        <f t="shared" si="4"/>
        <v>2039</v>
      </c>
      <c r="W40" s="342">
        <f t="shared" si="4"/>
        <v>2040</v>
      </c>
      <c r="X40" s="342">
        <f t="shared" si="4"/>
        <v>2041</v>
      </c>
      <c r="Y40" s="271"/>
    </row>
    <row r="41" spans="1:25" x14ac:dyDescent="0.2">
      <c r="A41" s="271"/>
      <c r="B41" s="339">
        <v>1</v>
      </c>
      <c r="C41" s="343" t="s">
        <v>220</v>
      </c>
      <c r="D41" s="344">
        <v>56</v>
      </c>
      <c r="E41" s="345" t="s">
        <v>221</v>
      </c>
      <c r="F41" s="332">
        <f ca="1">INDEX(OFFSET('Baseline NFPC'!$D$1:$W$1,$D41-1,0),MATCH(F$4,'Baseline NFPC'!$D$10:$W$10,0))</f>
        <v>50.396658431512243</v>
      </c>
      <c r="G41" s="332">
        <f ca="1">INDEX(OFFSET('Baseline NFPC'!$D$1:$W$1,$D41-1,0),MATCH(G$4,'Baseline NFPC'!$D$10:$W$10,0))</f>
        <v>52.027240532489337</v>
      </c>
      <c r="H41" s="332">
        <f ca="1">INDEX(OFFSET('Baseline NFPC'!$D$1:$W$1,$D41-1,0),MATCH(H$4,'Baseline NFPC'!$D$10:$W$10,0))</f>
        <v>52.801992659476348</v>
      </c>
      <c r="I41" s="332">
        <f ca="1">INDEX(OFFSET('Baseline NFPC'!$D$1:$W$1,$D41-1,0),MATCH(I$4,'Baseline NFPC'!$D$10:$W$10,0))</f>
        <v>53.227583574358363</v>
      </c>
      <c r="J41" s="332">
        <f ca="1">INDEX(OFFSET('Baseline NFPC'!$D$1:$W$1,$D41-1,0),MATCH(J$4,'Baseline NFPC'!$D$10:$W$10,0))</f>
        <v>53.467451996246375</v>
      </c>
      <c r="K41" s="332">
        <f ca="1">INDEX(OFFSET('Baseline NFPC'!$D$1:$W$1,$D41-1,0),MATCH(K$4,'Baseline NFPC'!$D$10:$W$10,0))</f>
        <v>53.690445771267157</v>
      </c>
      <c r="L41" s="332">
        <f ca="1">INDEX(OFFSET('Baseline NFPC'!$D$1:$W$1,$D41-1,0),MATCH(L$4,'Baseline NFPC'!$D$10:$W$10,0))</f>
        <v>53.949710495800389</v>
      </c>
      <c r="M41" s="332">
        <f ca="1">INDEX(OFFSET('Baseline NFPC'!$D$1:$W$1,$D41-1,0),MATCH(M$4,'Baseline NFPC'!$D$10:$W$10,0))</f>
        <v>54.227759556144662</v>
      </c>
      <c r="N41" s="332">
        <f ca="1">INDEX(OFFSET('Baseline NFPC'!$D$1:$W$1,$D41-1,0),MATCH(N$4,'Baseline NFPC'!$D$10:$W$10,0))</f>
        <v>54.562378447319823</v>
      </c>
      <c r="O41" s="332">
        <f ca="1">INDEX(OFFSET('Baseline NFPC'!$D$1:$W$1,$D41-1,0),MATCH(O$4,'Baseline NFPC'!$D$10:$W$10,0))</f>
        <v>54.974854739263044</v>
      </c>
      <c r="P41" s="332">
        <f ca="1">INDEX(OFFSET('Baseline NFPC'!$D$1:$W$1,$D41-1,0),MATCH(P$4,'Baseline NFPC'!$D$10:$W$10,0))</f>
        <v>55.418735814265816</v>
      </c>
      <c r="Q41" s="332">
        <f ca="1">INDEX(OFFSET('Baseline NFPC'!$D$1:$W$1,$D41-1,0),MATCH(Q$4,'Baseline NFPC'!$D$10:$W$10,0))</f>
        <v>56.065800193733736</v>
      </c>
      <c r="R41" s="332">
        <f ca="1">INDEX(OFFSET('Baseline NFPC'!$D$1:$W$1,$D41-1,0),MATCH(R$4,'Baseline NFPC'!$D$10:$W$10,0))</f>
        <v>56.926988176898625</v>
      </c>
      <c r="S41" s="332">
        <f ca="1">INDEX(OFFSET('Baseline NFPC'!$D$1:$W$1,$D41-1,0),MATCH(S$4,'Baseline NFPC'!$D$10:$W$10,0))</f>
        <v>58.014611873127798</v>
      </c>
      <c r="T41" s="332">
        <f ca="1">INDEX(OFFSET('Baseline NFPC'!$D$1:$W$1,$D41-1,0),MATCH(T$4,'Baseline NFPC'!$D$10:$W$10,0))</f>
        <v>59.213163117121717</v>
      </c>
      <c r="U41" s="332">
        <f ca="1">INDEX(OFFSET('Baseline NFPC'!$D$1:$W$1,$D41-1,0),MATCH(U$4,'Baseline NFPC'!$D$10:$W$10,0))</f>
        <v>60.545122848965129</v>
      </c>
      <c r="V41" s="332">
        <f ca="1">INDEX(OFFSET('Baseline NFPC'!$D$1:$W$1,$D41-1,0),MATCH(V$4,'Baseline NFPC'!$D$10:$W$10,0))</f>
        <v>62.041598366521043</v>
      </c>
      <c r="W41" s="332">
        <f ca="1">INDEX(OFFSET('Baseline NFPC'!$D$1:$W$1,$D41-1,0),MATCH(W$4,'Baseline NFPC'!$D$10:$W$10,0))</f>
        <v>63.71843126149777</v>
      </c>
      <c r="X41" s="332">
        <f ca="1">INDEX(OFFSET('Baseline NFPC'!$D$1:$W$1,$D41-1,0),MATCH(X$4,'Baseline NFPC'!$D$10:$W$10,0))</f>
        <v>65.588764050669113</v>
      </c>
      <c r="Y41" s="271"/>
    </row>
    <row r="42" spans="1:25" x14ac:dyDescent="0.2">
      <c r="A42" s="271"/>
      <c r="B42" s="339">
        <v>2</v>
      </c>
      <c r="C42" s="343" t="s">
        <v>222</v>
      </c>
      <c r="D42" s="344">
        <v>76</v>
      </c>
      <c r="E42" s="345" t="s">
        <v>221</v>
      </c>
      <c r="F42" s="332">
        <f ca="1">INDEX(OFFSET('Baseline NFPC'!$D$1:$W$1,$D42-1,0),MATCH(F$4,'Baseline NFPC'!$D$10:$W$10,0))</f>
        <v>-4.9035648381670391</v>
      </c>
      <c r="G42" s="332">
        <f ca="1">INDEX(OFFSET('Baseline NFPC'!$D$1:$W$1,$D42-1,0),MATCH(G$4,'Baseline NFPC'!$D$10:$W$10,0))</f>
        <v>-4.3425745264584314</v>
      </c>
      <c r="H42" s="332">
        <f ca="1">INDEX(OFFSET('Baseline NFPC'!$D$1:$W$1,$D42-1,0),MATCH(H$4,'Baseline NFPC'!$D$10:$W$10,0))</f>
        <v>-4.3386799571341594</v>
      </c>
      <c r="I42" s="332">
        <f ca="1">INDEX(OFFSET('Baseline NFPC'!$D$1:$W$1,$D42-1,0),MATCH(I$4,'Baseline NFPC'!$D$10:$W$10,0))</f>
        <v>-4.0935433713056169</v>
      </c>
      <c r="J42" s="332">
        <f ca="1">INDEX(OFFSET('Baseline NFPC'!$D$1:$W$1,$D42-1,0),MATCH(J$4,'Baseline NFPC'!$D$10:$W$10,0))</f>
        <v>-3.9729817855863221</v>
      </c>
      <c r="K42" s="332">
        <f ca="1">INDEX(OFFSET('Baseline NFPC'!$D$1:$W$1,$D42-1,0),MATCH(K$4,'Baseline NFPC'!$D$10:$W$10,0))</f>
        <v>-3.9028945268346424</v>
      </c>
      <c r="L42" s="332">
        <f ca="1">INDEX(OFFSET('Baseline NFPC'!$D$1:$W$1,$D42-1,0),MATCH(L$4,'Baseline NFPC'!$D$10:$W$10,0))</f>
        <v>-3.8919649262980043</v>
      </c>
      <c r="M42" s="332">
        <f ca="1">INDEX(OFFSET('Baseline NFPC'!$D$1:$W$1,$D42-1,0),MATCH(M$4,'Baseline NFPC'!$D$10:$W$10,0))</f>
        <v>-3.8840729245816514</v>
      </c>
      <c r="N42" s="332">
        <f ca="1">INDEX(OFFSET('Baseline NFPC'!$D$1:$W$1,$D42-1,0),MATCH(N$4,'Baseline NFPC'!$D$10:$W$10,0))</f>
        <v>-3.88455999850768</v>
      </c>
      <c r="O42" s="332">
        <f ca="1">INDEX(OFFSET('Baseline NFPC'!$D$1:$W$1,$D42-1,0),MATCH(O$4,'Baseline NFPC'!$D$10:$W$10,0))</f>
        <v>-3.8981413698507579</v>
      </c>
      <c r="P42" s="332">
        <f ca="1">INDEX(OFFSET('Baseline NFPC'!$D$1:$W$1,$D42-1,0),MATCH(P$4,'Baseline NFPC'!$D$10:$W$10,0))</f>
        <v>-3.9301139097351996</v>
      </c>
      <c r="Q42" s="332">
        <f ca="1">INDEX(OFFSET('Baseline NFPC'!$D$1:$W$1,$D42-1,0),MATCH(Q$4,'Baseline NFPC'!$D$10:$W$10,0))</f>
        <v>-3.9778266756680001</v>
      </c>
      <c r="R42" s="332">
        <f ca="1">INDEX(OFFSET('Baseline NFPC'!$D$1:$W$1,$D42-1,0),MATCH(R$4,'Baseline NFPC'!$D$10:$W$10,0))</f>
        <v>-4.0438498133862355</v>
      </c>
      <c r="S42" s="332">
        <f ca="1">INDEX(OFFSET('Baseline NFPC'!$D$1:$W$1,$D42-1,0),MATCH(S$4,'Baseline NFPC'!$D$10:$W$10,0))</f>
        <v>-4.1280558692664338</v>
      </c>
      <c r="T42" s="332">
        <f ca="1">INDEX(OFFSET('Baseline NFPC'!$D$1:$W$1,$D42-1,0),MATCH(T$4,'Baseline NFPC'!$D$10:$W$10,0))</f>
        <v>-4.2226426374678816</v>
      </c>
      <c r="U42" s="332">
        <f ca="1">INDEX(OFFSET('Baseline NFPC'!$D$1:$W$1,$D42-1,0),MATCH(U$4,'Baseline NFPC'!$D$10:$W$10,0))</f>
        <v>-4.3266881070951815</v>
      </c>
      <c r="V42" s="332">
        <f ca="1">INDEX(OFFSET('Baseline NFPC'!$D$1:$W$1,$D42-1,0),MATCH(V$4,'Baseline NFPC'!$D$10:$W$10,0))</f>
        <v>-4.4494262645503273</v>
      </c>
      <c r="W42" s="332">
        <f ca="1">INDEX(OFFSET('Baseline NFPC'!$D$1:$W$1,$D42-1,0),MATCH(W$4,'Baseline NFPC'!$D$10:$W$10,0))</f>
        <v>-4.594644444045322</v>
      </c>
      <c r="X42" s="332">
        <f ca="1">INDEX(OFFSET('Baseline NFPC'!$D$1:$W$1,$D42-1,0),MATCH(X$4,'Baseline NFPC'!$D$10:$W$10,0))</f>
        <v>-4.7624087343160966</v>
      </c>
      <c r="Y42" s="271"/>
    </row>
    <row r="43" spans="1:25" x14ac:dyDescent="0.2">
      <c r="A43" s="271"/>
      <c r="B43" s="339">
        <v>3</v>
      </c>
      <c r="C43" s="343" t="s">
        <v>40</v>
      </c>
      <c r="D43" s="344">
        <v>12</v>
      </c>
      <c r="E43" s="345" t="s">
        <v>223</v>
      </c>
      <c r="F43" s="332">
        <f ca="1">INDEX(OFFSET('Baseline NFPC'!$D$1:$W$1,$D43-1,0),MATCH(F$4,'Baseline NFPC'!$D$10:$W$10,0))</f>
        <v>-3.790994</v>
      </c>
      <c r="G43" s="332">
        <f ca="1">INDEX(OFFSET('Baseline NFPC'!$D$1:$W$1,$D43-1,0),MATCH(G$4,'Baseline NFPC'!$D$10:$W$10,0))</f>
        <v>-2.897243</v>
      </c>
      <c r="H43" s="332">
        <f ca="1">INDEX(OFFSET('Baseline NFPC'!$D$1:$W$1,$D43-1,0),MATCH(H$4,'Baseline NFPC'!$D$10:$W$10,0))</f>
        <v>-2.897243</v>
      </c>
      <c r="I43" s="332">
        <f ca="1">INDEX(OFFSET('Baseline NFPC'!$D$1:$W$1,$D43-1,0),MATCH(I$4,'Baseline NFPC'!$D$10:$W$10,0))</f>
        <v>-2.897243</v>
      </c>
      <c r="J43" s="332">
        <f ca="1">INDEX(OFFSET('Baseline NFPC'!$D$1:$W$1,$D43-1,0),MATCH(J$4,'Baseline NFPC'!$D$10:$W$10,0))</f>
        <v>-2.897243</v>
      </c>
      <c r="K43" s="332">
        <f ca="1">INDEX(OFFSET('Baseline NFPC'!$D$1:$W$1,$D43-1,0),MATCH(K$4,'Baseline NFPC'!$D$10:$W$10,0))</f>
        <v>-2.897243</v>
      </c>
      <c r="L43" s="332">
        <f ca="1">INDEX(OFFSET('Baseline NFPC'!$D$1:$W$1,$D43-1,0),MATCH(L$4,'Baseline NFPC'!$D$10:$W$10,0))</f>
        <v>-2.897243</v>
      </c>
      <c r="M43" s="332">
        <f ca="1">INDEX(OFFSET('Baseline NFPC'!$D$1:$W$1,$D43-1,0),MATCH(M$4,'Baseline NFPC'!$D$10:$W$10,0))</f>
        <v>-2.897243</v>
      </c>
      <c r="N43" s="332">
        <f ca="1">INDEX(OFFSET('Baseline NFPC'!$D$1:$W$1,$D43-1,0),MATCH(N$4,'Baseline NFPC'!$D$10:$W$10,0))</f>
        <v>-2.897243</v>
      </c>
      <c r="O43" s="332">
        <f ca="1">INDEX(OFFSET('Baseline NFPC'!$D$1:$W$1,$D43-1,0),MATCH(O$4,'Baseline NFPC'!$D$10:$W$10,0))</f>
        <v>-2.897243</v>
      </c>
      <c r="P43" s="332">
        <f ca="1">INDEX(OFFSET('Baseline NFPC'!$D$1:$W$1,$D43-1,0),MATCH(P$4,'Baseline NFPC'!$D$10:$W$10,0))</f>
        <v>-2.897243</v>
      </c>
      <c r="Q43" s="332">
        <f ca="1">INDEX(OFFSET('Baseline NFPC'!$D$1:$W$1,$D43-1,0),MATCH(Q$4,'Baseline NFPC'!$D$10:$W$10,0))</f>
        <v>-2.897243</v>
      </c>
      <c r="R43" s="332">
        <f ca="1">INDEX(OFFSET('Baseline NFPC'!$D$1:$W$1,$D43-1,0),MATCH(R$4,'Baseline NFPC'!$D$10:$W$10,0))</f>
        <v>-2.897243</v>
      </c>
      <c r="S43" s="332">
        <f ca="1">INDEX(OFFSET('Baseline NFPC'!$D$1:$W$1,$D43-1,0),MATCH(S$4,'Baseline NFPC'!$D$10:$W$10,0))</f>
        <v>-2.897243</v>
      </c>
      <c r="T43" s="332">
        <f ca="1">INDEX(OFFSET('Baseline NFPC'!$D$1:$W$1,$D43-1,0),MATCH(T$4,'Baseline NFPC'!$D$10:$W$10,0))</f>
        <v>-2.897243</v>
      </c>
      <c r="U43" s="332">
        <f ca="1">INDEX(OFFSET('Baseline NFPC'!$D$1:$W$1,$D43-1,0),MATCH(U$4,'Baseline NFPC'!$D$10:$W$10,0))</f>
        <v>-2.897243</v>
      </c>
      <c r="V43" s="332">
        <f ca="1">INDEX(OFFSET('Baseline NFPC'!$D$1:$W$1,$D43-1,0),MATCH(V$4,'Baseline NFPC'!$D$10:$W$10,0))</f>
        <v>-2.897243</v>
      </c>
      <c r="W43" s="332">
        <f ca="1">INDEX(OFFSET('Baseline NFPC'!$D$1:$W$1,$D43-1,0),MATCH(W$4,'Baseline NFPC'!$D$10:$W$10,0))</f>
        <v>-2.897243</v>
      </c>
      <c r="X43" s="332">
        <f ca="1">INDEX(OFFSET('Baseline NFPC'!$D$1:$W$1,$D43-1,0),MATCH(X$4,'Baseline NFPC'!$D$10:$W$10,0))</f>
        <v>-2.897243</v>
      </c>
      <c r="Y43" s="271"/>
    </row>
    <row r="44" spans="1:25" x14ac:dyDescent="0.2">
      <c r="A44" s="271"/>
      <c r="B44" s="339">
        <v>4</v>
      </c>
      <c r="C44" s="343" t="s">
        <v>224</v>
      </c>
      <c r="D44" s="344">
        <v>61</v>
      </c>
      <c r="E44" s="345" t="s">
        <v>223</v>
      </c>
      <c r="F44" s="332">
        <f ca="1">INDEX(OFFSET('Baseline NFPC'!$D$1:$W$1,$D44-1,0),MATCH(F$4,'Baseline NFPC'!$D$10:$W$10,0))</f>
        <v>8.9617005349547311E-3</v>
      </c>
      <c r="G44" s="332">
        <f ca="1">INDEX(OFFSET('Baseline NFPC'!$D$1:$W$1,$D44-1,0),MATCH(G$4,'Baseline NFPC'!$D$10:$W$10,0))</f>
        <v>0.16701710097709546</v>
      </c>
      <c r="H44" s="332">
        <f ca="1">INDEX(OFFSET('Baseline NFPC'!$D$1:$W$1,$D44-1,0),MATCH(H$4,'Baseline NFPC'!$D$10:$W$10,0))</f>
        <v>0.17788012698701336</v>
      </c>
      <c r="I44" s="332">
        <f ca="1">INDEX(OFFSET('Baseline NFPC'!$D$1:$W$1,$D44-1,0),MATCH(I$4,'Baseline NFPC'!$D$10:$W$10,0))</f>
        <v>0.11859294617783318</v>
      </c>
      <c r="J44" s="332">
        <f ca="1">INDEX(OFFSET('Baseline NFPC'!$D$1:$W$1,$D44-1,0),MATCH(J$4,'Baseline NFPC'!$D$10:$W$10,0))</f>
        <v>3.9533337362714548E-2</v>
      </c>
      <c r="K44" s="332">
        <f ca="1">INDEX(OFFSET('Baseline NFPC'!$D$1:$W$1,$D44-1,0),MATCH(K$4,'Baseline NFPC'!$D$10:$W$10,0))</f>
        <v>8.1390763747801739E-6</v>
      </c>
      <c r="L44" s="332">
        <f ca="1">INDEX(OFFSET('Baseline NFPC'!$D$1:$W$1,$D44-1,0),MATCH(L$4,'Baseline NFPC'!$D$10:$W$10,0))</f>
        <v>9.0549621070912242E-6</v>
      </c>
      <c r="M44" s="332">
        <f ca="1">INDEX(OFFSET('Baseline NFPC'!$D$1:$W$1,$D44-1,0),MATCH(M$4,'Baseline NFPC'!$D$10:$W$10,0))</f>
        <v>1.1346734185813112E-5</v>
      </c>
      <c r="N44" s="332">
        <f ca="1">INDEX(OFFSET('Baseline NFPC'!$D$1:$W$1,$D44-1,0),MATCH(N$4,'Baseline NFPC'!$D$10:$W$10,0))</f>
        <v>1.1346734191131079E-5</v>
      </c>
      <c r="O44" s="332">
        <f ca="1">INDEX(OFFSET('Baseline NFPC'!$D$1:$W$1,$D44-1,0),MATCH(O$4,'Baseline NFPC'!$D$10:$W$10,0))</f>
        <v>9.5074356848301449E-6</v>
      </c>
      <c r="P44" s="332">
        <f ca="1">INDEX(OFFSET('Baseline NFPC'!$D$1:$W$1,$D44-1,0),MATCH(P$4,'Baseline NFPC'!$D$10:$W$10,0))</f>
        <v>8.5873076284048725E-6</v>
      </c>
      <c r="Q44" s="332">
        <f ca="1">INDEX(OFFSET('Baseline NFPC'!$D$1:$W$1,$D44-1,0),MATCH(Q$4,'Baseline NFPC'!$D$10:$W$10,0))</f>
        <v>7.6641720801018377E-6</v>
      </c>
      <c r="R44" s="332">
        <f ca="1">INDEX(OFFSET('Baseline NFPC'!$D$1:$W$1,$D44-1,0),MATCH(R$4,'Baseline NFPC'!$D$10:$W$10,0))</f>
        <v>7.6641720801018377E-6</v>
      </c>
      <c r="S44" s="332">
        <f ca="1">INDEX(OFFSET('Baseline NFPC'!$D$1:$W$1,$D44-1,0),MATCH(S$4,'Baseline NFPC'!$D$10:$W$10,0))</f>
        <v>6.2703572725197887E-6</v>
      </c>
      <c r="T44" s="332">
        <f ca="1">INDEX(OFFSET('Baseline NFPC'!$D$1:$W$1,$D44-1,0),MATCH(T$4,'Baseline NFPC'!$D$10:$W$10,0))</f>
        <v>4.875027912887297E-6</v>
      </c>
      <c r="U44" s="332">
        <f ca="1">INDEX(OFFSET('Baseline NFPC'!$D$1:$W$1,$D44-1,0),MATCH(U$4,'Baseline NFPC'!$D$10:$W$10,0))</f>
        <v>5.3407736929855784E-6</v>
      </c>
      <c r="V44" s="332">
        <f ca="1">INDEX(OFFSET('Baseline NFPC'!$D$1:$W$1,$D44-1,0),MATCH(V$4,'Baseline NFPC'!$D$10:$W$10,0))</f>
        <v>6.2737832300041593E-6</v>
      </c>
      <c r="W44" s="332">
        <f ca="1">INDEX(OFFSET('Baseline NFPC'!$D$1:$W$1,$D44-1,0),MATCH(W$4,'Baseline NFPC'!$D$10:$W$10,0))</f>
        <v>7.675485036584551E-6</v>
      </c>
      <c r="X44" s="332">
        <f ca="1">INDEX(OFFSET('Baseline NFPC'!$D$1:$W$1,$D44-1,0),MATCH(X$4,'Baseline NFPC'!$D$10:$W$10,0))</f>
        <v>8.6113110812857659E-6</v>
      </c>
      <c r="Y44" s="271"/>
    </row>
    <row r="45" spans="1:25" x14ac:dyDescent="0.2">
      <c r="A45" s="271"/>
      <c r="B45" s="339">
        <v>5</v>
      </c>
      <c r="C45" s="343" t="s">
        <v>226</v>
      </c>
      <c r="D45" s="344">
        <v>67</v>
      </c>
      <c r="E45" s="345" t="s">
        <v>221</v>
      </c>
      <c r="F45" s="332">
        <f ca="1">INDEX(OFFSET('Baseline NFPC'!$D$1:$W$1,$D45-1,0),MATCH(F$4,'Baseline NFPC'!$D$10:$W$10,0))</f>
        <v>1.1036091376320842</v>
      </c>
      <c r="G45" s="332">
        <f ca="1">INDEX(OFFSET('Baseline NFPC'!$D$1:$W$1,$D45-1,0),MATCH(G$4,'Baseline NFPC'!$D$10:$W$10,0))</f>
        <v>1.2783144254813359</v>
      </c>
      <c r="H45" s="332">
        <f ca="1">INDEX(OFFSET('Baseline NFPC'!$D$1:$W$1,$D45-1,0),MATCH(H$4,'Baseline NFPC'!$D$10:$W$10,0))</f>
        <v>1.3252732301471464</v>
      </c>
      <c r="I45" s="332">
        <f ca="1">INDEX(OFFSET('Baseline NFPC'!$D$1:$W$1,$D45-1,0),MATCH(I$4,'Baseline NFPC'!$D$10:$W$10,0))</f>
        <v>1.4023503251277842</v>
      </c>
      <c r="J45" s="332">
        <f ca="1">INDEX(OFFSET('Baseline NFPC'!$D$1:$W$1,$D45-1,0),MATCH(J$4,'Baseline NFPC'!$D$10:$W$10,0))</f>
        <v>1.4543747482236078</v>
      </c>
      <c r="K45" s="332">
        <f ca="1">INDEX(OFFSET('Baseline NFPC'!$D$1:$W$1,$D45-1,0),MATCH(K$4,'Baseline NFPC'!$D$10:$W$10,0))</f>
        <v>1.5035790877582706</v>
      </c>
      <c r="L45" s="332">
        <f ca="1">INDEX(OFFSET('Baseline NFPC'!$D$1:$W$1,$D45-1,0),MATCH(L$4,'Baseline NFPC'!$D$10:$W$10,0))</f>
        <v>1.5516550713358959</v>
      </c>
      <c r="M45" s="332">
        <f ca="1">INDEX(OFFSET('Baseline NFPC'!$D$1:$W$1,$D45-1,0),MATCH(M$4,'Baseline NFPC'!$D$10:$W$10,0))</f>
        <v>1.6002072778474652</v>
      </c>
      <c r="N45" s="332">
        <f ca="1">INDEX(OFFSET('Baseline NFPC'!$D$1:$W$1,$D45-1,0),MATCH(N$4,'Baseline NFPC'!$D$10:$W$10,0))</f>
        <v>1.6503807517734912</v>
      </c>
      <c r="O45" s="332">
        <f ca="1">INDEX(OFFSET('Baseline NFPC'!$D$1:$W$1,$D45-1,0),MATCH(O$4,'Baseline NFPC'!$D$10:$W$10,0))</f>
        <v>1.7029003624150729</v>
      </c>
      <c r="P45" s="332">
        <f ca="1">INDEX(OFFSET('Baseline NFPC'!$D$1:$W$1,$D45-1,0),MATCH(P$4,'Baseline NFPC'!$D$10:$W$10,0))</f>
        <v>1.7562203224275719</v>
      </c>
      <c r="Q45" s="332">
        <f ca="1">INDEX(OFFSET('Baseline NFPC'!$D$1:$W$1,$D45-1,0),MATCH(Q$4,'Baseline NFPC'!$D$10:$W$10,0))</f>
        <v>1.809800511495921</v>
      </c>
      <c r="R45" s="332">
        <f ca="1">INDEX(OFFSET('Baseline NFPC'!$D$1:$W$1,$D45-1,0),MATCH(R$4,'Baseline NFPC'!$D$10:$W$10,0))</f>
        <v>1.8660700492141558</v>
      </c>
      <c r="S45" s="332">
        <f ca="1">INDEX(OFFSET('Baseline NFPC'!$D$1:$W$1,$D45-1,0),MATCH(S$4,'Baseline NFPC'!$D$10:$W$10,0))</f>
        <v>1.926223998909163</v>
      </c>
      <c r="T45" s="332">
        <f ca="1">INDEX(OFFSET('Baseline NFPC'!$D$1:$W$1,$D45-1,0),MATCH(T$4,'Baseline NFPC'!$D$10:$W$10,0))</f>
        <v>1.9869885624399686</v>
      </c>
      <c r="U45" s="332">
        <f ca="1">INDEX(OFFSET('Baseline NFPC'!$D$1:$W$1,$D45-1,0),MATCH(U$4,'Baseline NFPC'!$D$10:$W$10,0))</f>
        <v>2.0496100663214896</v>
      </c>
      <c r="V45" s="332">
        <f ca="1">INDEX(OFFSET('Baseline NFPC'!$D$1:$W$1,$D45-1,0),MATCH(V$4,'Baseline NFPC'!$D$10:$W$10,0))</f>
        <v>2.1152336907670994</v>
      </c>
      <c r="W45" s="332">
        <f ca="1">INDEX(OFFSET('Baseline NFPC'!$D$1:$W$1,$D45-1,0),MATCH(W$4,'Baseline NFPC'!$D$10:$W$10,0))</f>
        <v>2.1846169685602868</v>
      </c>
      <c r="X45" s="332">
        <f ca="1">INDEX(OFFSET('Baseline NFPC'!$D$1:$W$1,$D45-1,0),MATCH(X$4,'Baseline NFPC'!$D$10:$W$10,0))</f>
        <v>2.2585068230050172</v>
      </c>
      <c r="Y45" s="271"/>
    </row>
    <row r="46" spans="1:25" x14ac:dyDescent="0.2">
      <c r="A46" s="271"/>
      <c r="B46" s="339">
        <v>6</v>
      </c>
      <c r="C46" s="346" t="s">
        <v>94</v>
      </c>
      <c r="D46" s="344">
        <v>36</v>
      </c>
      <c r="E46" s="345" t="s">
        <v>227</v>
      </c>
      <c r="F46" s="332">
        <f ca="1">INDEX(OFFSET('Baseline NFPC'!$D$1:$W$1,$D46-1,0),MATCH(F$4,'Baseline NFPC'!$D$10:$W$10,0))</f>
        <v>3.71</v>
      </c>
      <c r="G46" s="332">
        <f ca="1">INDEX(OFFSET('Baseline NFPC'!$D$1:$W$1,$D46-1,0),MATCH(G$4,'Baseline NFPC'!$D$10:$W$10,0))</f>
        <v>3.4970020000000002</v>
      </c>
      <c r="H46" s="332">
        <f ca="1">INDEX(OFFSET('Baseline NFPC'!$D$1:$W$1,$D46-1,0),MATCH(H$4,'Baseline NFPC'!$D$10:$W$10,0))</f>
        <v>3.5053580000000002</v>
      </c>
      <c r="I46" s="332">
        <f ca="1">INDEX(OFFSET('Baseline NFPC'!$D$1:$W$1,$D46-1,0),MATCH(I$4,'Baseline NFPC'!$D$10:$W$10,0))</f>
        <v>3.5849320000000002</v>
      </c>
      <c r="J46" s="332">
        <f ca="1">INDEX(OFFSET('Baseline NFPC'!$D$1:$W$1,$D46-1,0),MATCH(J$4,'Baseline NFPC'!$D$10:$W$10,0))</f>
        <v>3.6645060000000003</v>
      </c>
      <c r="K46" s="332">
        <f ca="1">INDEX(OFFSET('Baseline NFPC'!$D$1:$W$1,$D46-1,0),MATCH(K$4,'Baseline NFPC'!$D$10:$W$10,0))</f>
        <v>3.7440800000000003</v>
      </c>
      <c r="L46" s="332">
        <f ca="1">INDEX(OFFSET('Baseline NFPC'!$D$1:$W$1,$D46-1,0),MATCH(L$4,'Baseline NFPC'!$D$10:$W$10,0))</f>
        <v>3.8236540000000003</v>
      </c>
      <c r="M46" s="332">
        <f ca="1">INDEX(OFFSET('Baseline NFPC'!$D$1:$W$1,$D46-1,0),MATCH(M$4,'Baseline NFPC'!$D$10:$W$10,0))</f>
        <v>3.9032280000000004</v>
      </c>
      <c r="N46" s="332">
        <f ca="1">INDEX(OFFSET('Baseline NFPC'!$D$1:$W$1,$D46-1,0),MATCH(N$4,'Baseline NFPC'!$D$10:$W$10,0))</f>
        <v>3.9828020000000004</v>
      </c>
      <c r="O46" s="332">
        <f ca="1">INDEX(OFFSET('Baseline NFPC'!$D$1:$W$1,$D46-1,0),MATCH(O$4,'Baseline NFPC'!$D$10:$W$10,0))</f>
        <v>4.0623760000000004</v>
      </c>
      <c r="P46" s="332">
        <f ca="1">INDEX(OFFSET('Baseline NFPC'!$D$1:$W$1,$D46-1,0),MATCH(P$4,'Baseline NFPC'!$D$10:$W$10,0))</f>
        <v>4.1419499999999996</v>
      </c>
      <c r="Q46" s="332">
        <f ca="1">INDEX(OFFSET('Baseline NFPC'!$D$1:$W$1,$D46-1,0),MATCH(Q$4,'Baseline NFPC'!$D$10:$W$10,0))</f>
        <v>4.1348524999999992</v>
      </c>
      <c r="R46" s="332">
        <f ca="1">INDEX(OFFSET('Baseline NFPC'!$D$1:$W$1,$D46-1,0),MATCH(R$4,'Baseline NFPC'!$D$10:$W$10,0))</f>
        <v>4.1277549999999996</v>
      </c>
      <c r="S46" s="332">
        <f ca="1">INDEX(OFFSET('Baseline NFPC'!$D$1:$W$1,$D46-1,0),MATCH(S$4,'Baseline NFPC'!$D$10:$W$10,0))</f>
        <v>4.1206575000000001</v>
      </c>
      <c r="T46" s="332">
        <f ca="1">INDEX(OFFSET('Baseline NFPC'!$D$1:$W$1,$D46-1,0),MATCH(T$4,'Baseline NFPC'!$D$10:$W$10,0))</f>
        <v>4.1135599999999997</v>
      </c>
      <c r="U46" s="332">
        <f ca="1">INDEX(OFFSET('Baseline NFPC'!$D$1:$W$1,$D46-1,0),MATCH(U$4,'Baseline NFPC'!$D$10:$W$10,0))</f>
        <v>4.1064624999999992</v>
      </c>
      <c r="V46" s="332">
        <f ca="1">INDEX(OFFSET('Baseline NFPC'!$D$1:$W$1,$D46-1,0),MATCH(V$4,'Baseline NFPC'!$D$10:$W$10,0))</f>
        <v>4.0993649999999997</v>
      </c>
      <c r="W46" s="332">
        <f ca="1">INDEX(OFFSET('Baseline NFPC'!$D$1:$W$1,$D46-1,0),MATCH(W$4,'Baseline NFPC'!$D$10:$W$10,0))</f>
        <v>4.0922675000000002</v>
      </c>
      <c r="X46" s="332">
        <f ca="1">INDEX(OFFSET('Baseline NFPC'!$D$1:$W$1,$D46-1,0),MATCH(X$4,'Baseline NFPC'!$D$10:$W$10,0))</f>
        <v>4.0851699999999997</v>
      </c>
      <c r="Y46" s="271"/>
    </row>
    <row r="47" spans="1:25" x14ac:dyDescent="0.2">
      <c r="A47" s="271"/>
      <c r="B47" s="339">
        <v>7</v>
      </c>
      <c r="C47" s="346" t="s">
        <v>95</v>
      </c>
      <c r="D47" s="344">
        <v>37</v>
      </c>
      <c r="E47" s="345" t="s">
        <v>227</v>
      </c>
      <c r="F47" s="332">
        <f ca="1">INDEX(OFFSET('Baseline NFPC'!$D$1:$W$1,$D47-1,0),MATCH(F$4,'Baseline NFPC'!$D$10:$W$10,0))</f>
        <v>3.43</v>
      </c>
      <c r="G47" s="332">
        <f ca="1">INDEX(OFFSET('Baseline NFPC'!$D$1:$W$1,$D47-1,0),MATCH(G$4,'Baseline NFPC'!$D$10:$W$10,0))</f>
        <v>3.5642079999999998</v>
      </c>
      <c r="H47" s="332">
        <f ca="1">INDEX(OFFSET('Baseline NFPC'!$D$1:$W$1,$D47-1,0),MATCH(H$4,'Baseline NFPC'!$D$10:$W$10,0))</f>
        <v>2.8163749999999999</v>
      </c>
      <c r="I47" s="332">
        <f ca="1">INDEX(OFFSET('Baseline NFPC'!$D$1:$W$1,$D47-1,0),MATCH(I$4,'Baseline NFPC'!$D$10:$W$10,0))</f>
        <v>2.8050893749999997</v>
      </c>
      <c r="J47" s="332">
        <f ca="1">INDEX(OFFSET('Baseline NFPC'!$D$1:$W$1,$D47-1,0),MATCH(J$4,'Baseline NFPC'!$D$10:$W$10,0))</f>
        <v>2.7938037499999995</v>
      </c>
      <c r="K47" s="332">
        <f ca="1">INDEX(OFFSET('Baseline NFPC'!$D$1:$W$1,$D47-1,0),MATCH(K$4,'Baseline NFPC'!$D$10:$W$10,0))</f>
        <v>2.7825181249999993</v>
      </c>
      <c r="L47" s="332">
        <f ca="1">INDEX(OFFSET('Baseline NFPC'!$D$1:$W$1,$D47-1,0),MATCH(L$4,'Baseline NFPC'!$D$10:$W$10,0))</f>
        <v>2.7712324999999991</v>
      </c>
      <c r="M47" s="332">
        <f ca="1">INDEX(OFFSET('Baseline NFPC'!$D$1:$W$1,$D47-1,0),MATCH(M$4,'Baseline NFPC'!$D$10:$W$10,0))</f>
        <v>2.7599468749999989</v>
      </c>
      <c r="N47" s="332">
        <f ca="1">INDEX(OFFSET('Baseline NFPC'!$D$1:$W$1,$D47-1,0),MATCH(N$4,'Baseline NFPC'!$D$10:$W$10,0))</f>
        <v>2.7486612499999987</v>
      </c>
      <c r="O47" s="332">
        <f ca="1">INDEX(OFFSET('Baseline NFPC'!$D$1:$W$1,$D47-1,0),MATCH(O$4,'Baseline NFPC'!$D$10:$W$10,0))</f>
        <v>2.7373756249999985</v>
      </c>
      <c r="P47" s="332">
        <f ca="1">INDEX(OFFSET('Baseline NFPC'!$D$1:$W$1,$D47-1,0),MATCH(P$4,'Baseline NFPC'!$D$10:$W$10,0))</f>
        <v>2.7260900000000001</v>
      </c>
      <c r="Q47" s="332">
        <f ca="1">INDEX(OFFSET('Baseline NFPC'!$D$1:$W$1,$D47-1,0),MATCH(Q$4,'Baseline NFPC'!$D$10:$W$10,0))</f>
        <v>2.6897855000000002</v>
      </c>
      <c r="R47" s="332">
        <f ca="1">INDEX(OFFSET('Baseline NFPC'!$D$1:$W$1,$D47-1,0),MATCH(R$4,'Baseline NFPC'!$D$10:$W$10,0))</f>
        <v>2.6534810000000002</v>
      </c>
      <c r="S47" s="332">
        <f ca="1">INDEX(OFFSET('Baseline NFPC'!$D$1:$W$1,$D47-1,0),MATCH(S$4,'Baseline NFPC'!$D$10:$W$10,0))</f>
        <v>2.6171765000000002</v>
      </c>
      <c r="T47" s="332">
        <f ca="1">INDEX(OFFSET('Baseline NFPC'!$D$1:$W$1,$D47-1,0),MATCH(T$4,'Baseline NFPC'!$D$10:$W$10,0))</f>
        <v>2.5808720000000003</v>
      </c>
      <c r="U47" s="332">
        <f ca="1">INDEX(OFFSET('Baseline NFPC'!$D$1:$W$1,$D47-1,0),MATCH(U$4,'Baseline NFPC'!$D$10:$W$10,0))</f>
        <v>2.5445675000000003</v>
      </c>
      <c r="V47" s="332">
        <f ca="1">INDEX(OFFSET('Baseline NFPC'!$D$1:$W$1,$D47-1,0),MATCH(V$4,'Baseline NFPC'!$D$10:$W$10,0))</f>
        <v>2.5082629999999999</v>
      </c>
      <c r="W47" s="332">
        <f ca="1">INDEX(OFFSET('Baseline NFPC'!$D$1:$W$1,$D47-1,0),MATCH(W$4,'Baseline NFPC'!$D$10:$W$10,0))</f>
        <v>2.4719584999999999</v>
      </c>
      <c r="X47" s="332">
        <f ca="1">INDEX(OFFSET('Baseline NFPC'!$D$1:$W$1,$D47-1,0),MATCH(X$4,'Baseline NFPC'!$D$10:$W$10,0))</f>
        <v>2.435654</v>
      </c>
      <c r="Y47" s="271"/>
    </row>
    <row r="48" spans="1:25" x14ac:dyDescent="0.2">
      <c r="A48" s="271"/>
      <c r="B48" s="339">
        <v>8</v>
      </c>
      <c r="C48" s="343" t="s">
        <v>228</v>
      </c>
      <c r="D48" s="344">
        <v>35</v>
      </c>
      <c r="E48" s="345" t="s">
        <v>227</v>
      </c>
      <c r="F48" s="332">
        <f ca="1">INDEX(OFFSET('Baseline NFPC'!$D$1:$W$1,$D48-1,0),MATCH(F$4,'Baseline NFPC'!$D$10:$W$10,0))</f>
        <v>2.3767499999999999</v>
      </c>
      <c r="G48" s="332">
        <f ca="1">INDEX(OFFSET('Baseline NFPC'!$D$1:$W$1,$D48-1,0),MATCH(G$4,'Baseline NFPC'!$D$10:$W$10,0))</f>
        <v>2.7490950000000001</v>
      </c>
      <c r="H48" s="332">
        <f ca="1">INDEX(OFFSET('Baseline NFPC'!$D$1:$W$1,$D48-1,0),MATCH(H$4,'Baseline NFPC'!$D$10:$W$10,0))</f>
        <v>2.7383609999999998</v>
      </c>
      <c r="I48" s="332">
        <f ca="1">INDEX(OFFSET('Baseline NFPC'!$D$1:$W$1,$D48-1,0),MATCH(I$4,'Baseline NFPC'!$D$10:$W$10,0))</f>
        <v>2.8541319202174122</v>
      </c>
      <c r="J48" s="332">
        <f ca="1">INDEX(OFFSET('Baseline NFPC'!$D$1:$W$1,$D48-1,0),MATCH(J$4,'Baseline NFPC'!$D$10:$W$10,0))</f>
        <v>2.9384590683230836</v>
      </c>
      <c r="K48" s="332">
        <f ca="1">INDEX(OFFSET('Baseline NFPC'!$D$1:$W$1,$D48-1,0),MATCH(K$4,'Baseline NFPC'!$D$10:$W$10,0))</f>
        <v>3.0199900380246318</v>
      </c>
      <c r="L48" s="332">
        <f ca="1">INDEX(OFFSET('Baseline NFPC'!$D$1:$W$1,$D48-1,0),MATCH(L$4,'Baseline NFPC'!$D$10:$W$10,0))</f>
        <v>3.099730228924332</v>
      </c>
      <c r="M48" s="332">
        <f ca="1">INDEX(OFFSET('Baseline NFPC'!$D$1:$W$1,$D48-1,0),MATCH(M$4,'Baseline NFPC'!$D$10:$W$10,0))</f>
        <v>3.1785659432501996</v>
      </c>
      <c r="N48" s="332">
        <f ca="1">INDEX(OFFSET('Baseline NFPC'!$D$1:$W$1,$D48-1,0),MATCH(N$4,'Baseline NFPC'!$D$10:$W$10,0))</f>
        <v>3.2566136473306999</v>
      </c>
      <c r="O48" s="332">
        <f ca="1">INDEX(OFFSET('Baseline NFPC'!$D$1:$W$1,$D48-1,0),MATCH(O$4,'Baseline NFPC'!$D$10:$W$10,0))</f>
        <v>3.3340053618932908</v>
      </c>
      <c r="P48" s="332">
        <f ca="1">INDEX(OFFSET('Baseline NFPC'!$D$1:$W$1,$D48-1,0),MATCH(P$4,'Baseline NFPC'!$D$10:$W$10,0))</f>
        <v>3.4108901296366563</v>
      </c>
      <c r="Q48" s="332">
        <f ca="1">INDEX(OFFSET('Baseline NFPC'!$D$1:$W$1,$D48-1,0),MATCH(Q$4,'Baseline NFPC'!$D$10:$W$10,0))</f>
        <v>3.4745074328303929</v>
      </c>
      <c r="R48" s="332">
        <f ca="1">INDEX(OFFSET('Baseline NFPC'!$D$1:$W$1,$D48-1,0),MATCH(R$4,'Baseline NFPC'!$D$10:$W$10,0))</f>
        <v>3.5286673729289912</v>
      </c>
      <c r="S48" s="332">
        <f ca="1">INDEX(OFFSET('Baseline NFPC'!$D$1:$W$1,$D48-1,0),MATCH(S$4,'Baseline NFPC'!$D$10:$W$10,0))</f>
        <v>3.5745910330048454</v>
      </c>
      <c r="T48" s="332">
        <f ca="1">INDEX(OFFSET('Baseline NFPC'!$D$1:$W$1,$D48-1,0),MATCH(T$4,'Baseline NFPC'!$D$10:$W$10,0))</f>
        <v>3.6133292522211033</v>
      </c>
      <c r="U48" s="332">
        <f ca="1">INDEX(OFFSET('Baseline NFPC'!$D$1:$W$1,$D48-1,0),MATCH(U$4,'Baseline NFPC'!$D$10:$W$10,0))</f>
        <v>3.6457971050463915</v>
      </c>
      <c r="V48" s="332">
        <f ca="1">INDEX(OFFSET('Baseline NFPC'!$D$1:$W$1,$D48-1,0),MATCH(V$4,'Baseline NFPC'!$D$10:$W$10,0))</f>
        <v>3.6727798476187692</v>
      </c>
      <c r="W48" s="332">
        <f ca="1">INDEX(OFFSET('Baseline NFPC'!$D$1:$W$1,$D48-1,0),MATCH(W$4,'Baseline NFPC'!$D$10:$W$10,0))</f>
        <v>3.6949882376536483</v>
      </c>
      <c r="X48" s="332">
        <f ca="1">INDEX(OFFSET('Baseline NFPC'!$D$1:$W$1,$D48-1,0),MATCH(X$4,'Baseline NFPC'!$D$10:$W$10,0))</f>
        <v>3.7130398677657137</v>
      </c>
      <c r="Y48" s="271"/>
    </row>
    <row r="49" spans="1:25" x14ac:dyDescent="0.2">
      <c r="A49" s="271"/>
      <c r="B49" s="339">
        <v>9</v>
      </c>
      <c r="C49" s="347" t="s">
        <v>62</v>
      </c>
      <c r="D49" s="344">
        <v>26</v>
      </c>
      <c r="E49" s="345" t="s">
        <v>230</v>
      </c>
      <c r="F49" s="332">
        <f ca="1">(INDEX(OFFSET('Baseline NFPC'!$D$1:$W$1,$D49-1,0),MATCH(F$4,'Baseline NFPC'!$D$10:$W$10,0))/INDEX(OFFSET('Baseline NFPC'!$D$1:$W$1,$D49-1,0),MATCH(E$4,'Baseline NFPC'!$D$10:$W$10,0))-1)*100</f>
        <v>5.1062909999999961</v>
      </c>
      <c r="G49" s="332">
        <f ca="1">(INDEX(OFFSET('Baseline NFPC'!$D$1:$W$1,$D49-1,0),MATCH(G$4,'Baseline NFPC'!$D$10:$W$10,0))/INDEX(OFFSET('Baseline NFPC'!$D$1:$W$1,$D49-1,0),MATCH(F$4,'Baseline NFPC'!$D$10:$W$10,0))-1)*100</f>
        <v>4.9185440000000025</v>
      </c>
      <c r="H49" s="332">
        <f ca="1">(INDEX(OFFSET('Baseline NFPC'!$D$1:$W$1,$D49-1,0),MATCH(H$4,'Baseline NFPC'!$D$10:$W$10,0))/INDEX(OFFSET('Baseline NFPC'!$D$1:$W$1,$D49-1,0),MATCH(G$4,'Baseline NFPC'!$D$10:$W$10,0))-1)*100</f>
        <v>4.8690640000000007</v>
      </c>
      <c r="I49" s="332">
        <f ca="1">(INDEX(OFFSET('Baseline NFPC'!$D$1:$W$1,$D49-1,0),MATCH(I$4,'Baseline NFPC'!$D$10:$W$10,0))/INDEX(OFFSET('Baseline NFPC'!$D$1:$W$1,$D49-1,0),MATCH(H$4,'Baseline NFPC'!$D$10:$W$10,0))-1)*100</f>
        <v>4.677317999999997</v>
      </c>
      <c r="J49" s="332">
        <f ca="1">(INDEX(OFFSET('Baseline NFPC'!$D$1:$W$1,$D49-1,0),MATCH(J$4,'Baseline NFPC'!$D$10:$W$10,0))/INDEX(OFFSET('Baseline NFPC'!$D$1:$W$1,$D49-1,0),MATCH(I$4,'Baseline NFPC'!$D$10:$W$10,0))-1)*100</f>
        <v>4.7074339999999992</v>
      </c>
      <c r="K49" s="332">
        <f ca="1">(INDEX(OFFSET('Baseline NFPC'!$D$1:$W$1,$D49-1,0),MATCH(K$4,'Baseline NFPC'!$D$10:$W$10,0))/INDEX(OFFSET('Baseline NFPC'!$D$1:$W$1,$D49-1,0),MATCH(J$4,'Baseline NFPC'!$D$10:$W$10,0))-1)*100</f>
        <v>4.6446750000000092</v>
      </c>
      <c r="L49" s="332">
        <f ca="1">(INDEX(OFFSET('Baseline NFPC'!$D$1:$W$1,$D49-1,0),MATCH(L$4,'Baseline NFPC'!$D$10:$W$10,0))/INDEX(OFFSET('Baseline NFPC'!$D$1:$W$1,$D49-1,0),MATCH(K$4,'Baseline NFPC'!$D$10:$W$10,0))-1)*100</f>
        <v>4.5981819999999951</v>
      </c>
      <c r="M49" s="332">
        <f ca="1">(INDEX(OFFSET('Baseline NFPC'!$D$1:$W$1,$D49-1,0),MATCH(M$4,'Baseline NFPC'!$D$10:$W$10,0))/INDEX(OFFSET('Baseline NFPC'!$D$1:$W$1,$D49-1,0),MATCH(L$4,'Baseline NFPC'!$D$10:$W$10,0))-1)*100</f>
        <v>4.5042639999999912</v>
      </c>
      <c r="N49" s="332">
        <f ca="1">(INDEX(OFFSET('Baseline NFPC'!$D$1:$W$1,$D49-1,0),MATCH(N$4,'Baseline NFPC'!$D$10:$W$10,0))/INDEX(OFFSET('Baseline NFPC'!$D$1:$W$1,$D49-1,0),MATCH(M$4,'Baseline NFPC'!$D$10:$W$10,0))-1)*100</f>
        <v>4.3482379999999932</v>
      </c>
      <c r="O49" s="332">
        <f ca="1">(INDEX(OFFSET('Baseline NFPC'!$D$1:$W$1,$D49-1,0),MATCH(O$4,'Baseline NFPC'!$D$10:$W$10,0))/INDEX(OFFSET('Baseline NFPC'!$D$1:$W$1,$D49-1,0),MATCH(N$4,'Baseline NFPC'!$D$10:$W$10,0))-1)*100</f>
        <v>4.1701250000000023</v>
      </c>
      <c r="P49" s="332">
        <f ca="1">(INDEX(OFFSET('Baseline NFPC'!$D$1:$W$1,$D49-1,0),MATCH(P$4,'Baseline NFPC'!$D$10:$W$10,0))/INDEX(OFFSET('Baseline NFPC'!$D$1:$W$1,$D49-1,0),MATCH(O$4,'Baseline NFPC'!$D$10:$W$10,0))-1)*100</f>
        <v>4.1159219999999941</v>
      </c>
      <c r="Q49" s="332">
        <f ca="1">(INDEX(OFFSET('Baseline NFPC'!$D$1:$W$1,$D49-1,0),MATCH(Q$4,'Baseline NFPC'!$D$10:$W$10,0))/INDEX(OFFSET('Baseline NFPC'!$D$1:$W$1,$D49-1,0),MATCH(P$4,'Baseline NFPC'!$D$10:$W$10,0))-1)*100</f>
        <v>3.776723999999998</v>
      </c>
      <c r="R49" s="332">
        <f ca="1">(INDEX(OFFSET('Baseline NFPC'!$D$1:$W$1,$D49-1,0),MATCH(R$4,'Baseline NFPC'!$D$10:$W$10,0))/INDEX(OFFSET('Baseline NFPC'!$D$1:$W$1,$D49-1,0),MATCH(Q$4,'Baseline NFPC'!$D$10:$W$10,0))-1)*100</f>
        <v>3.4375260000000019</v>
      </c>
      <c r="S49" s="332">
        <f ca="1">(INDEX(OFFSET('Baseline NFPC'!$D$1:$W$1,$D49-1,0),MATCH(S$4,'Baseline NFPC'!$D$10:$W$10,0))/INDEX(OFFSET('Baseline NFPC'!$D$1:$W$1,$D49-1,0),MATCH(R$4,'Baseline NFPC'!$D$10:$W$10,0))-1)*100</f>
        <v>3.0983289999999997</v>
      </c>
      <c r="T49" s="332">
        <f ca="1">(INDEX(OFFSET('Baseline NFPC'!$D$1:$W$1,$D49-1,0),MATCH(T$4,'Baseline NFPC'!$D$10:$W$10,0))/INDEX(OFFSET('Baseline NFPC'!$D$1:$W$1,$D49-1,0),MATCH(S$4,'Baseline NFPC'!$D$10:$W$10,0))-1)*100</f>
        <v>2.9864239999999986</v>
      </c>
      <c r="U49" s="332">
        <f ca="1">(INDEX(OFFSET('Baseline NFPC'!$D$1:$W$1,$D49-1,0),MATCH(U$4,'Baseline NFPC'!$D$10:$W$10,0))/INDEX(OFFSET('Baseline NFPC'!$D$1:$W$1,$D49-1,0),MATCH(T$4,'Baseline NFPC'!$D$10:$W$10,0))-1)*100</f>
        <v>2.8457970000000055</v>
      </c>
      <c r="V49" s="332">
        <f ca="1">(INDEX(OFFSET('Baseline NFPC'!$D$1:$W$1,$D49-1,0),MATCH(V$4,'Baseline NFPC'!$D$10:$W$10,0))/INDEX(OFFSET('Baseline NFPC'!$D$1:$W$1,$D49-1,0),MATCH(U$4,'Baseline NFPC'!$D$10:$W$10,0))-1)*100</f>
        <v>2.6784680000000005</v>
      </c>
      <c r="W49" s="332">
        <f ca="1">(INDEX(OFFSET('Baseline NFPC'!$D$1:$W$1,$D49-1,0),MATCH(W$4,'Baseline NFPC'!$D$10:$W$10,0))/INDEX(OFFSET('Baseline NFPC'!$D$1:$W$1,$D49-1,0),MATCH(V$4,'Baseline NFPC'!$D$10:$W$10,0))-1)*100</f>
        <v>2.5182250000000073</v>
      </c>
      <c r="X49" s="332">
        <f ca="1">(INDEX(OFFSET('Baseline NFPC'!$D$1:$W$1,$D49-1,0),MATCH(X$4,'Baseline NFPC'!$D$10:$W$10,0))/INDEX(OFFSET('Baseline NFPC'!$D$1:$W$1,$D49-1,0),MATCH(W$4,'Baseline NFPC'!$D$10:$W$10,0))-1)*100</f>
        <v>2.3694370000000076</v>
      </c>
      <c r="Y49" s="271"/>
    </row>
    <row r="50" spans="1:25" x14ac:dyDescent="0.2">
      <c r="A50" s="271"/>
      <c r="B50" s="339">
        <v>10</v>
      </c>
      <c r="C50" s="335" t="s">
        <v>231</v>
      </c>
      <c r="D50" s="344">
        <v>23</v>
      </c>
      <c r="E50" s="345" t="s">
        <v>230</v>
      </c>
      <c r="F50" s="332">
        <f ca="1">INDEX(OFFSET('Baseline NFPC'!$D$1:$W$1,$D50-1,0),MATCH(F$4,'Baseline NFPC'!$D$10:$W$10,0))</f>
        <v>5.6139260000000002</v>
      </c>
      <c r="G50" s="332">
        <f ca="1">INDEX(OFFSET('Baseline NFPC'!$D$1:$W$1,$D50-1,0),MATCH(G$4,'Baseline NFPC'!$D$10:$W$10,0))</f>
        <v>4.5722800000000001</v>
      </c>
      <c r="H50" s="332">
        <f ca="1">INDEX(OFFSET('Baseline NFPC'!$D$1:$W$1,$D50-1,0),MATCH(H$4,'Baseline NFPC'!$D$10:$W$10,0))</f>
        <v>4.8451979999999999</v>
      </c>
      <c r="I50" s="332">
        <f ca="1">INDEX(OFFSET('Baseline NFPC'!$D$1:$W$1,$D50-1,0),MATCH(I$4,'Baseline NFPC'!$D$10:$W$10,0))</f>
        <v>4.8073629999999978</v>
      </c>
      <c r="J50" s="332">
        <f ca="1">INDEX(OFFSET('Baseline NFPC'!$D$1:$W$1,$D50-1,0),MATCH(J$4,'Baseline NFPC'!$D$10:$W$10,0))</f>
        <v>4.8806839999999907</v>
      </c>
      <c r="K50" s="332">
        <f ca="1">INDEX(OFFSET('Baseline NFPC'!$D$1:$W$1,$D50-1,0),MATCH(K$4,'Baseline NFPC'!$D$10:$W$10,0))</f>
        <v>4.7310949999999963</v>
      </c>
      <c r="L50" s="332">
        <f ca="1">INDEX(OFFSET('Baseline NFPC'!$D$1:$W$1,$D50-1,0),MATCH(L$4,'Baseline NFPC'!$D$10:$W$10,0))</f>
        <v>4.5981800000000073</v>
      </c>
      <c r="M50" s="332">
        <f ca="1">INDEX(OFFSET('Baseline NFPC'!$D$1:$W$1,$D50-1,0),MATCH(M$4,'Baseline NFPC'!$D$10:$W$10,0))</f>
        <v>4.5042589999999993</v>
      </c>
      <c r="N50" s="332">
        <f ca="1">INDEX(OFFSET('Baseline NFPC'!$D$1:$W$1,$D50-1,0),MATCH(N$4,'Baseline NFPC'!$D$10:$W$10,0))</f>
        <v>4.3482379999999932</v>
      </c>
      <c r="O50" s="332">
        <f ca="1">INDEX(OFFSET('Baseline NFPC'!$D$1:$W$1,$D50-1,0),MATCH(O$4,'Baseline NFPC'!$D$10:$W$10,0))</f>
        <v>4.1701290000000002</v>
      </c>
      <c r="P50" s="332">
        <f ca="1">INDEX(OFFSET('Baseline NFPC'!$D$1:$W$1,$D50-1,0),MATCH(P$4,'Baseline NFPC'!$D$10:$W$10,0))</f>
        <v>4.1159240000000041</v>
      </c>
      <c r="Q50" s="332">
        <f ca="1">INDEX(OFFSET('Baseline NFPC'!$D$1:$W$1,$D50-1,0),MATCH(Q$4,'Baseline NFPC'!$D$10:$W$10,0))</f>
        <v>3.776726000000008</v>
      </c>
      <c r="R50" s="332">
        <f ca="1">INDEX(OFFSET('Baseline NFPC'!$D$1:$W$1,$D50-1,0),MATCH(R$4,'Baseline NFPC'!$D$10:$W$10,0))</f>
        <v>3.4375260000000019</v>
      </c>
      <c r="S50" s="332">
        <f ca="1">INDEX(OFFSET('Baseline NFPC'!$D$1:$W$1,$D50-1,0),MATCH(S$4,'Baseline NFPC'!$D$10:$W$10,0))</f>
        <v>3.0983320000000036</v>
      </c>
      <c r="T50" s="332">
        <f ca="1">INDEX(OFFSET('Baseline NFPC'!$D$1:$W$1,$D50-1,0),MATCH(T$4,'Baseline NFPC'!$D$10:$W$10,0))</f>
        <v>2.9864270000000026</v>
      </c>
      <c r="U50" s="332">
        <f ca="1">INDEX(OFFSET('Baseline NFPC'!$D$1:$W$1,$D50-1,0),MATCH(U$4,'Baseline NFPC'!$D$10:$W$10,0))</f>
        <v>2.8457959999999893</v>
      </c>
      <c r="V50" s="332">
        <f ca="1">INDEX(OFFSET('Baseline NFPC'!$D$1:$W$1,$D50-1,0),MATCH(V$4,'Baseline NFPC'!$D$10:$W$10,0))</f>
        <v>2.6784659999999905</v>
      </c>
      <c r="W50" s="332">
        <f ca="1">INDEX(OFFSET('Baseline NFPC'!$D$1:$W$1,$D50-1,0),MATCH(W$4,'Baseline NFPC'!$D$10:$W$10,0))</f>
        <v>2.5182220000000033</v>
      </c>
      <c r="X50" s="332">
        <f ca="1">INDEX(OFFSET('Baseline NFPC'!$D$1:$W$1,$D50-1,0),MATCH(X$4,'Baseline NFPC'!$D$10:$W$10,0))</f>
        <v>2.3694349999999975</v>
      </c>
      <c r="Y50" s="271"/>
    </row>
    <row r="51" spans="1:25" x14ac:dyDescent="0.2">
      <c r="A51" s="271"/>
      <c r="B51" s="339">
        <v>11</v>
      </c>
      <c r="C51" s="348" t="s">
        <v>232</v>
      </c>
      <c r="D51" s="344">
        <v>41</v>
      </c>
      <c r="E51" s="345" t="s">
        <v>230</v>
      </c>
      <c r="F51" s="332">
        <f ca="1">INDEX(OFFSET('Baseline NFPC'!$D$1:$W$1,$D51-1,0),MATCH(F$4,'Baseline NFPC'!$D$10:$W$10,0))</f>
        <v>5.2736159999999996</v>
      </c>
      <c r="G51" s="332">
        <f ca="1">INDEX(OFFSET('Baseline NFPC'!$D$1:$W$1,$D51-1,0),MATCH(G$4,'Baseline NFPC'!$D$10:$W$10,0))</f>
        <v>3.6423429999999999</v>
      </c>
      <c r="H51" s="332">
        <f ca="1">INDEX(OFFSET('Baseline NFPC'!$D$1:$W$1,$D51-1,0),MATCH(H$4,'Baseline NFPC'!$D$10:$W$10,0))</f>
        <v>2.5339109999999998</v>
      </c>
      <c r="I51" s="332">
        <f ca="1">INDEX(OFFSET('Baseline NFPC'!$D$1:$W$1,$D51-1,0),MATCH(I$4,'Baseline NFPC'!$D$10:$W$10,0))</f>
        <v>2.5359221249999999</v>
      </c>
      <c r="J51" s="332">
        <f ca="1">INDEX(OFFSET('Baseline NFPC'!$D$1:$W$1,$D51-1,0),MATCH(J$4,'Baseline NFPC'!$D$10:$W$10,0))</f>
        <v>2.53793325</v>
      </c>
      <c r="K51" s="332">
        <f ca="1">INDEX(OFFSET('Baseline NFPC'!$D$1:$W$1,$D51-1,0),MATCH(K$4,'Baseline NFPC'!$D$10:$W$10,0))</f>
        <v>2.5399443749999997</v>
      </c>
      <c r="L51" s="332">
        <f ca="1">INDEX(OFFSET('Baseline NFPC'!$D$1:$W$1,$D51-1,0),MATCH(L$4,'Baseline NFPC'!$D$10:$W$10,0))</f>
        <v>2.5419554999999998</v>
      </c>
      <c r="M51" s="332">
        <f ca="1">INDEX(OFFSET('Baseline NFPC'!$D$1:$W$1,$D51-1,0),MATCH(M$4,'Baseline NFPC'!$D$10:$W$10,0))</f>
        <v>2.5439666249999999</v>
      </c>
      <c r="N51" s="332">
        <f ca="1">INDEX(OFFSET('Baseline NFPC'!$D$1:$W$1,$D51-1,0),MATCH(N$4,'Baseline NFPC'!$D$10:$W$10,0))</f>
        <v>2.5459777499999996</v>
      </c>
      <c r="O51" s="332">
        <f ca="1">INDEX(OFFSET('Baseline NFPC'!$D$1:$W$1,$D51-1,0),MATCH(O$4,'Baseline NFPC'!$D$10:$W$10,0))</f>
        <v>2.5479888749999997</v>
      </c>
      <c r="P51" s="332">
        <f ca="1">INDEX(OFFSET('Baseline NFPC'!$D$1:$W$1,$D51-1,0),MATCH(P$4,'Baseline NFPC'!$D$10:$W$10,0))</f>
        <v>2.5499999999999998</v>
      </c>
      <c r="Q51" s="332">
        <f ca="1">INDEX(OFFSET('Baseline NFPC'!$D$1:$W$1,$D51-1,0),MATCH(Q$4,'Baseline NFPC'!$D$10:$W$10,0))</f>
        <v>2.5225</v>
      </c>
      <c r="R51" s="332">
        <f ca="1">INDEX(OFFSET('Baseline NFPC'!$D$1:$W$1,$D51-1,0),MATCH(R$4,'Baseline NFPC'!$D$10:$W$10,0))</f>
        <v>2.4949999999999997</v>
      </c>
      <c r="S51" s="332">
        <f ca="1">INDEX(OFFSET('Baseline NFPC'!$D$1:$W$1,$D51-1,0),MATCH(S$4,'Baseline NFPC'!$D$10:$W$10,0))</f>
        <v>2.4674999999999998</v>
      </c>
      <c r="T51" s="332">
        <f ca="1">INDEX(OFFSET('Baseline NFPC'!$D$1:$W$1,$D51-1,0),MATCH(T$4,'Baseline NFPC'!$D$10:$W$10,0))</f>
        <v>2.44</v>
      </c>
      <c r="U51" s="332">
        <f ca="1">INDEX(OFFSET('Baseline NFPC'!$D$1:$W$1,$D51-1,0),MATCH(U$4,'Baseline NFPC'!$D$10:$W$10,0))</f>
        <v>2.4124999999999996</v>
      </c>
      <c r="V51" s="332">
        <f ca="1">INDEX(OFFSET('Baseline NFPC'!$D$1:$W$1,$D51-1,0),MATCH(V$4,'Baseline NFPC'!$D$10:$W$10,0))</f>
        <v>2.3849999999999998</v>
      </c>
      <c r="W51" s="332">
        <f ca="1">INDEX(OFFSET('Baseline NFPC'!$D$1:$W$1,$D51-1,0),MATCH(W$4,'Baseline NFPC'!$D$10:$W$10,0))</f>
        <v>2.3574999999999999</v>
      </c>
      <c r="X51" s="332">
        <f ca="1">INDEX(OFFSET('Baseline NFPC'!$D$1:$W$1,$D51-1,0),MATCH(X$4,'Baseline NFPC'!$D$10:$W$10,0))</f>
        <v>2.33</v>
      </c>
      <c r="Y51" s="271"/>
    </row>
    <row r="52" spans="1:25" x14ac:dyDescent="0.2">
      <c r="A52" s="271"/>
      <c r="B52" s="339">
        <v>12</v>
      </c>
      <c r="C52" s="335" t="s">
        <v>233</v>
      </c>
      <c r="D52" s="344">
        <v>32</v>
      </c>
      <c r="E52" s="345" t="s">
        <v>230</v>
      </c>
      <c r="F52" s="332">
        <f ca="1">INDEX(OFFSET('Baseline NFPC'!$D$1:$W$1,$D52-1,0),MATCH(F$4,'Baseline NFPC'!$D$10:$W$10,0))</f>
        <v>11.183598899764146</v>
      </c>
      <c r="G52" s="332">
        <f ca="1">INDEX(OFFSET('Baseline NFPC'!$D$1:$W$1,$D52-1,0),MATCH(G$4,'Baseline NFPC'!$D$10:$W$10,0))</f>
        <v>8.3811611205204084</v>
      </c>
      <c r="H52" s="332">
        <f ca="1">INDEX(OFFSET('Baseline NFPC'!$D$1:$W$1,$D52-1,0),MATCH(H$4,'Baseline NFPC'!$D$10:$W$10,0))</f>
        <v>7.5018820050937851</v>
      </c>
      <c r="I52" s="332">
        <f ca="1">INDEX(OFFSET('Baseline NFPC'!$D$1:$W$1,$D52-1,0),MATCH(I$4,'Baseline NFPC'!$D$10:$W$10,0))</f>
        <v>7.4651961069460704</v>
      </c>
      <c r="J52" s="332">
        <f ca="1">INDEX(OFFSET('Baseline NFPC'!$D$1:$W$1,$D52-1,0),MATCH(J$4,'Baseline NFPC'!$D$10:$W$10,0))</f>
        <v>7.5424857520634214</v>
      </c>
      <c r="K52" s="332">
        <f ca="1">INDEX(OFFSET('Baseline NFPC'!$D$1:$W$1,$D52-1,0),MATCH(K$4,'Baseline NFPC'!$D$10:$W$10,0))</f>
        <v>7.3912065563284113</v>
      </c>
      <c r="L52" s="332">
        <f ca="1">INDEX(OFFSET('Baseline NFPC'!$D$1:$W$1,$D52-1,0),MATCH(L$4,'Baseline NFPC'!$D$10:$W$10,0))</f>
        <v>7.2570191894099079</v>
      </c>
      <c r="M52" s="332">
        <f ca="1">INDEX(OFFSET('Baseline NFPC'!$D$1:$W$1,$D52-1,0),MATCH(M$4,'Baseline NFPC'!$D$10:$W$10,0))</f>
        <v>7.162812470663571</v>
      </c>
      <c r="N52" s="332">
        <f ca="1">INDEX(OFFSET('Baseline NFPC'!$D$1:$W$1,$D52-1,0),MATCH(N$4,'Baseline NFPC'!$D$10:$W$10,0))</f>
        <v>7.0049209219970487</v>
      </c>
      <c r="O52" s="332">
        <f ca="1">INDEX(OFFSET('Baseline NFPC'!$D$1:$W$1,$D52-1,0),MATCH(O$4,'Baseline NFPC'!$D$10:$W$10,0))</f>
        <v>6.8243722979931531</v>
      </c>
      <c r="P52" s="332">
        <f ca="1">INDEX(OFFSET('Baseline NFPC'!$D$1:$W$1,$D52-1,0),MATCH(P$4,'Baseline NFPC'!$D$10:$W$10,0))</f>
        <v>6.7708800620000176</v>
      </c>
      <c r="Q52" s="332">
        <f ca="1">INDEX(OFFSET('Baseline NFPC'!$D$1:$W$1,$D52-1,0),MATCH(Q$4,'Baseline NFPC'!$D$10:$W$10,0))</f>
        <v>6.3944939133500078</v>
      </c>
      <c r="R52" s="332">
        <f ca="1">INDEX(OFFSET('Baseline NFPC'!$D$1:$W$1,$D52-1,0),MATCH(R$4,'Baseline NFPC'!$D$10:$W$10,0))</f>
        <v>6.01829227370001</v>
      </c>
      <c r="S52" s="332">
        <f ca="1">INDEX(OFFSET('Baseline NFPC'!$D$1:$W$1,$D52-1,0),MATCH(S$4,'Baseline NFPC'!$D$10:$W$10,0))</f>
        <v>5.6422833420999963</v>
      </c>
      <c r="T52" s="332">
        <f ca="1">INDEX(OFFSET('Baseline NFPC'!$D$1:$W$1,$D52-1,0),MATCH(T$4,'Baseline NFPC'!$D$10:$W$10,0))</f>
        <v>5.4992958187999985</v>
      </c>
      <c r="U52" s="332">
        <f ca="1">INDEX(OFFSET('Baseline NFPC'!$D$1:$W$1,$D52-1,0),MATCH(U$4,'Baseline NFPC'!$D$10:$W$10,0))</f>
        <v>5.3269508284999878</v>
      </c>
      <c r="V52" s="332">
        <f ca="1">INDEX(OFFSET('Baseline NFPC'!$D$1:$W$1,$D52-1,0),MATCH(V$4,'Baseline NFPC'!$D$10:$W$10,0))</f>
        <v>5.127347414099992</v>
      </c>
      <c r="W52" s="332">
        <f ca="1">INDEX(OFFSET('Baseline NFPC'!$D$1:$W$1,$D52-1,0),MATCH(W$4,'Baseline NFPC'!$D$10:$W$10,0))</f>
        <v>4.9350890836499905</v>
      </c>
      <c r="X52" s="332">
        <f ca="1">INDEX(OFFSET('Baseline NFPC'!$D$1:$W$1,$D52-1,0),MATCH(X$4,'Baseline NFPC'!$D$10:$W$10,0))</f>
        <v>4.7546428355000003</v>
      </c>
      <c r="Y52" s="271"/>
    </row>
    <row r="53" spans="1:25" x14ac:dyDescent="0.2">
      <c r="A53" s="271"/>
      <c r="B53" s="339">
        <v>13</v>
      </c>
      <c r="C53" s="335" t="s">
        <v>68</v>
      </c>
      <c r="D53" s="334"/>
      <c r="E53" s="345" t="s">
        <v>227</v>
      </c>
      <c r="F53" s="351">
        <f>'Input data'!$C$49</f>
        <v>0.75</v>
      </c>
      <c r="G53" s="271"/>
      <c r="H53" s="271"/>
      <c r="I53" s="271"/>
      <c r="J53" s="271"/>
      <c r="K53" s="271"/>
      <c r="L53" s="271"/>
      <c r="M53" s="271"/>
      <c r="N53" s="271"/>
      <c r="O53" s="271"/>
      <c r="P53" s="271"/>
      <c r="Q53" s="271"/>
      <c r="R53" s="271"/>
      <c r="S53" s="271"/>
      <c r="T53" s="271"/>
      <c r="U53" s="271"/>
      <c r="V53" s="271"/>
      <c r="W53" s="271"/>
      <c r="X53" s="271"/>
      <c r="Y53" s="271"/>
    </row>
    <row r="54" spans="1:25" x14ac:dyDescent="0.2">
      <c r="A54" s="271"/>
      <c r="B54" s="333"/>
      <c r="C54" s="354"/>
      <c r="D54" s="354"/>
      <c r="E54" s="354"/>
      <c r="F54" s="354"/>
      <c r="G54" s="354"/>
      <c r="H54" s="354"/>
      <c r="I54" s="354"/>
      <c r="J54" s="354"/>
      <c r="K54" s="271"/>
      <c r="L54" s="271"/>
      <c r="M54" s="271"/>
      <c r="N54" s="271"/>
      <c r="O54" s="271"/>
      <c r="P54" s="271"/>
      <c r="Q54" s="271"/>
      <c r="R54" s="271"/>
      <c r="S54" s="271"/>
      <c r="T54" s="271"/>
      <c r="U54" s="271"/>
      <c r="V54" s="271"/>
      <c r="W54" s="271"/>
      <c r="X54" s="271"/>
      <c r="Y54" s="271"/>
    </row>
    <row r="55" spans="1:25" x14ac:dyDescent="0.2">
      <c r="A55" s="271"/>
      <c r="B55" s="355"/>
      <c r="C55" s="337" t="s">
        <v>239</v>
      </c>
      <c r="D55" s="338"/>
      <c r="E55" s="338"/>
      <c r="F55" s="338"/>
      <c r="G55" s="354"/>
      <c r="H55" s="354"/>
      <c r="I55" s="354"/>
      <c r="J55" s="354"/>
      <c r="K55" s="271"/>
      <c r="L55" s="271"/>
      <c r="M55" s="271"/>
      <c r="N55" s="271"/>
      <c r="O55" s="271"/>
      <c r="P55" s="271"/>
      <c r="Q55" s="271"/>
      <c r="R55" s="271"/>
      <c r="S55" s="271"/>
      <c r="T55" s="271"/>
      <c r="U55" s="271"/>
      <c r="V55" s="271"/>
      <c r="W55" s="271"/>
      <c r="X55" s="271"/>
      <c r="Y55" s="271"/>
    </row>
    <row r="56" spans="1:25" x14ac:dyDescent="0.2">
      <c r="A56" s="271"/>
      <c r="B56" s="333"/>
      <c r="C56" s="354"/>
      <c r="D56" s="354"/>
      <c r="E56" s="354"/>
      <c r="F56" s="354"/>
      <c r="G56" s="354"/>
      <c r="H56" s="354"/>
      <c r="I56" s="354"/>
      <c r="J56" s="354"/>
      <c r="K56" s="271"/>
      <c r="L56" s="271"/>
      <c r="M56" s="271"/>
      <c r="N56" s="271"/>
      <c r="O56" s="271"/>
      <c r="P56" s="271"/>
      <c r="Q56" s="271"/>
      <c r="R56" s="271"/>
      <c r="S56" s="271"/>
      <c r="T56" s="271"/>
      <c r="U56" s="271"/>
      <c r="V56" s="271"/>
      <c r="W56" s="271"/>
      <c r="X56" s="271"/>
      <c r="Y56" s="271"/>
    </row>
    <row r="57" spans="1:25" x14ac:dyDescent="0.2">
      <c r="A57" s="271"/>
      <c r="B57" s="339"/>
      <c r="C57" s="337"/>
      <c r="D57" s="337"/>
      <c r="E57" s="342"/>
      <c r="F57" s="342">
        <f>'Input data'!$C$5-1</f>
        <v>2023</v>
      </c>
      <c r="G57" s="342">
        <f>F57+1</f>
        <v>2024</v>
      </c>
      <c r="H57" s="342">
        <f t="shared" ref="H57:X57" si="5">G57+1</f>
        <v>2025</v>
      </c>
      <c r="I57" s="342">
        <f t="shared" si="5"/>
        <v>2026</v>
      </c>
      <c r="J57" s="342">
        <f t="shared" si="5"/>
        <v>2027</v>
      </c>
      <c r="K57" s="342">
        <f t="shared" si="5"/>
        <v>2028</v>
      </c>
      <c r="L57" s="342">
        <f t="shared" si="5"/>
        <v>2029</v>
      </c>
      <c r="M57" s="342">
        <f t="shared" si="5"/>
        <v>2030</v>
      </c>
      <c r="N57" s="342">
        <f t="shared" si="5"/>
        <v>2031</v>
      </c>
      <c r="O57" s="342">
        <f t="shared" si="5"/>
        <v>2032</v>
      </c>
      <c r="P57" s="342">
        <f t="shared" si="5"/>
        <v>2033</v>
      </c>
      <c r="Q57" s="342">
        <f t="shared" si="5"/>
        <v>2034</v>
      </c>
      <c r="R57" s="342">
        <f t="shared" si="5"/>
        <v>2035</v>
      </c>
      <c r="S57" s="342">
        <f t="shared" si="5"/>
        <v>2036</v>
      </c>
      <c r="T57" s="342">
        <f t="shared" si="5"/>
        <v>2037</v>
      </c>
      <c r="U57" s="342">
        <f t="shared" si="5"/>
        <v>2038</v>
      </c>
      <c r="V57" s="342">
        <f t="shared" si="5"/>
        <v>2039</v>
      </c>
      <c r="W57" s="342">
        <f t="shared" si="5"/>
        <v>2040</v>
      </c>
      <c r="X57" s="342">
        <f t="shared" si="5"/>
        <v>2041</v>
      </c>
      <c r="Y57" s="271"/>
    </row>
    <row r="58" spans="1:25" x14ac:dyDescent="0.2">
      <c r="A58" s="271"/>
      <c r="B58" s="339">
        <v>1</v>
      </c>
      <c r="C58" s="343" t="s">
        <v>220</v>
      </c>
      <c r="D58" s="344">
        <v>100</v>
      </c>
      <c r="E58" s="345" t="s">
        <v>221</v>
      </c>
      <c r="F58" s="332">
        <f ca="1">INDEX(OFFSET('Adjustment scenario'!$D$1:$W$1,$D58-1,0),MATCH(F$4,'Adjustment scenario'!$D$10:$W$10,0))</f>
        <v>50.396658431512243</v>
      </c>
      <c r="G58" s="332">
        <f ca="1">INDEX(OFFSET('Adjustment scenario'!$D$1:$W$1,$D58-1,0),MATCH(G$4,'Adjustment scenario'!$D$10:$W$10,0))</f>
        <v>52.027240532489337</v>
      </c>
      <c r="H58" s="332">
        <f ca="1">INDEX(OFFSET('Adjustment scenario'!$D$1:$W$1,$D58-1,0),MATCH(H$4,'Adjustment scenario'!$D$10:$W$10,0))</f>
        <v>52.712875471107772</v>
      </c>
      <c r="I58" s="332">
        <f ca="1">INDEX(OFFSET('Adjustment scenario'!$D$1:$W$1,$D58-1,0),MATCH(I$4,'Adjustment scenario'!$D$10:$W$10,0))</f>
        <v>52.858886626374172</v>
      </c>
      <c r="J58" s="332">
        <f ca="1">INDEX(OFFSET('Adjustment scenario'!$D$1:$W$1,$D58-1,0),MATCH(J$4,'Adjustment scenario'!$D$10:$W$10,0))</f>
        <v>52.540435718456841</v>
      </c>
      <c r="K58" s="332">
        <f ca="1">INDEX(OFFSET('Adjustment scenario'!$D$1:$W$1,$D58-1,0),MATCH(K$4,'Adjustment scenario'!$D$10:$W$10,0))</f>
        <v>51.80374973951259</v>
      </c>
      <c r="L58" s="332">
        <f ca="1">INDEX(OFFSET('Adjustment scenario'!$D$1:$W$1,$D58-1,0),MATCH(L$4,'Adjustment scenario'!$D$10:$W$10,0))</f>
        <v>50.734076487913782</v>
      </c>
      <c r="M58" s="332">
        <f ca="1">INDEX(OFFSET('Adjustment scenario'!$D$1:$W$1,$D58-1,0),MATCH(M$4,'Adjustment scenario'!$D$10:$W$10,0))</f>
        <v>49.571815456563641</v>
      </c>
      <c r="N58" s="332">
        <f ca="1">INDEX(OFFSET('Adjustment scenario'!$D$1:$W$1,$D58-1,0),MATCH(N$4,'Adjustment scenario'!$D$10:$W$10,0))</f>
        <v>48.352047922230078</v>
      </c>
      <c r="O58" s="332">
        <f ca="1">INDEX(OFFSET('Adjustment scenario'!$D$1:$W$1,$D58-1,0),MATCH(O$4,'Adjustment scenario'!$D$10:$W$10,0))</f>
        <v>47.403497063712429</v>
      </c>
      <c r="P58" s="332">
        <f ca="1">INDEX(OFFSET('Adjustment scenario'!$D$1:$W$1,$D58-1,0),MATCH(P$4,'Adjustment scenario'!$D$10:$W$10,0))</f>
        <v>46.51862699116414</v>
      </c>
      <c r="Q58" s="332">
        <f ca="1">INDEX(OFFSET('Adjustment scenario'!$D$1:$W$1,$D58-1,0),MATCH(Q$4,'Adjustment scenario'!$D$10:$W$10,0))</f>
        <v>45.841262491702309</v>
      </c>
      <c r="R58" s="332">
        <f ca="1">INDEX(OFFSET('Adjustment scenario'!$D$1:$W$1,$D58-1,0),MATCH(R$4,'Adjustment scenario'!$D$10:$W$10,0))</f>
        <v>45.373204130216422</v>
      </c>
      <c r="S58" s="332">
        <f ca="1">INDEX(OFFSET('Adjustment scenario'!$D$1:$W$1,$D58-1,0),MATCH(S$4,'Adjustment scenario'!$D$10:$W$10,0))</f>
        <v>45.117714957075847</v>
      </c>
      <c r="T58" s="332">
        <f ca="1">INDEX(OFFSET('Adjustment scenario'!$D$1:$W$1,$D58-1,0),MATCH(T$4,'Adjustment scenario'!$D$10:$W$10,0))</f>
        <v>44.97829679635273</v>
      </c>
      <c r="U58" s="332">
        <f ca="1">INDEX(OFFSET('Adjustment scenario'!$D$1:$W$1,$D58-1,0),MATCH(U$4,'Adjustment scenario'!$D$10:$W$10,0))</f>
        <v>44.97011606241562</v>
      </c>
      <c r="V58" s="332">
        <f ca="1">INDEX(OFFSET('Adjustment scenario'!$D$1:$W$1,$D58-1,0),MATCH(V$4,'Adjustment scenario'!$D$10:$W$10,0))</f>
        <v>45.116219090555163</v>
      </c>
      <c r="W58" s="332">
        <f ca="1">INDEX(OFFSET('Adjustment scenario'!$D$1:$W$1,$D58-1,0),MATCH(W$4,'Adjustment scenario'!$D$10:$W$10,0))</f>
        <v>45.428876893164308</v>
      </c>
      <c r="X58" s="332">
        <f ca="1">INDEX(OFFSET('Adjustment scenario'!$D$1:$W$1,$D58-1,0),MATCH(X$4,'Adjustment scenario'!$D$10:$W$10,0))</f>
        <v>45.918674194930738</v>
      </c>
      <c r="Y58" s="271"/>
    </row>
    <row r="59" spans="1:25" x14ac:dyDescent="0.2">
      <c r="A59" s="271"/>
      <c r="B59" s="339">
        <f>B58+1</f>
        <v>2</v>
      </c>
      <c r="C59" s="346" t="s">
        <v>128</v>
      </c>
      <c r="D59" s="344">
        <v>102</v>
      </c>
      <c r="E59" s="345" t="s">
        <v>221</v>
      </c>
      <c r="F59" s="332">
        <f ca="1">INDEX(OFFSET('Adjustment scenario'!$D$1:$W$1,$D59-1,0),MATCH(F$4,'Adjustment scenario'!$D$10:$W$10,0))</f>
        <v>1.9515624310289765</v>
      </c>
      <c r="G59" s="332">
        <f ca="1">INDEX(OFFSET('Adjustment scenario'!$D$1:$W$1,$D59-1,0),MATCH(G$4,'Adjustment scenario'!$D$10:$W$10,0))</f>
        <v>1.8951143607196621</v>
      </c>
      <c r="H59" s="332">
        <f ca="1">INDEX(OFFSET('Adjustment scenario'!$D$1:$W$1,$D59-1,0),MATCH(H$4,'Adjustment scenario'!$D$10:$W$10,0))</f>
        <v>2.0450271871761223</v>
      </c>
      <c r="I59" s="332">
        <f ca="1">INDEX(OFFSET('Adjustment scenario'!$D$1:$W$1,$D59-1,0),MATCH(I$4,'Adjustment scenario'!$D$10:$W$10,0))</f>
        <v>2.1356735277025036</v>
      </c>
      <c r="J59" s="332">
        <f ca="1">INDEX(OFFSET('Adjustment scenario'!$D$1:$W$1,$D59-1,0),MATCH(J$4,'Adjustment scenario'!$D$10:$W$10,0))</f>
        <v>2.2054688900791515</v>
      </c>
      <c r="K59" s="332">
        <f ca="1">INDEX(OFFSET('Adjustment scenario'!$D$1:$W$1,$D59-1,0),MATCH(K$4,'Adjustment scenario'!$D$10:$W$10,0))</f>
        <v>2.258191824220285</v>
      </c>
      <c r="L59" s="332">
        <f ca="1">INDEX(OFFSET('Adjustment scenario'!$D$1:$W$1,$D59-1,0),MATCH(L$4,'Adjustment scenario'!$D$10:$W$10,0))</f>
        <v>2.281962935874235</v>
      </c>
      <c r="M59" s="332">
        <f ca="1">INDEX(OFFSET('Adjustment scenario'!$D$1:$W$1,$D59-1,0),MATCH(M$4,'Adjustment scenario'!$D$10:$W$10,0))</f>
        <v>2.2989925125160018</v>
      </c>
      <c r="N59" s="332">
        <f ca="1">INDEX(OFFSET('Adjustment scenario'!$D$1:$W$1,$D59-1,0),MATCH(N$4,'Adjustment scenario'!$D$10:$W$10,0))</f>
        <v>2.3104310121268421</v>
      </c>
      <c r="O59" s="332">
        <f ca="1">INDEX(OFFSET('Adjustment scenario'!$D$1:$W$1,$D59-1,0),MATCH(O$4,'Adjustment scenario'!$D$10:$W$10,0))</f>
        <v>2.324355926525552</v>
      </c>
      <c r="P59" s="332">
        <f ca="1">INDEX(OFFSET('Adjustment scenario'!$D$1:$W$1,$D59-1,0),MATCH(P$4,'Adjustment scenario'!$D$10:$W$10,0))</f>
        <v>2.3382785171178537</v>
      </c>
      <c r="Q59" s="332">
        <f ca="1">INDEX(OFFSET('Adjustment scenario'!$D$1:$W$1,$D59-1,0),MATCH(Q$4,'Adjustment scenario'!$D$10:$W$10,0))</f>
        <v>2.3035260268293514</v>
      </c>
      <c r="R59" s="332">
        <f ca="1">INDEX(OFFSET('Adjustment scenario'!$D$1:$W$1,$D59-1,0),MATCH(R$4,'Adjustment scenario'!$D$10:$W$10,0))</f>
        <v>2.278783211111798</v>
      </c>
      <c r="S59" s="332">
        <f ca="1">INDEX(OFFSET('Adjustment scenario'!$D$1:$W$1,$D59-1,0),MATCH(S$4,'Adjustment scenario'!$D$10:$W$10,0))</f>
        <v>2.2642614962717822</v>
      </c>
      <c r="T59" s="332">
        <f ca="1">INDEX(OFFSET('Adjustment scenario'!$D$1:$W$1,$D59-1,0),MATCH(T$4,'Adjustment scenario'!$D$10:$W$10,0))</f>
        <v>2.2552589786842119</v>
      </c>
      <c r="U59" s="332">
        <f ca="1">INDEX(OFFSET('Adjustment scenario'!$D$1:$W$1,$D59-1,0),MATCH(U$4,'Adjustment scenario'!$D$10:$W$10,0))</f>
        <v>2.2526457466775871</v>
      </c>
      <c r="V59" s="332">
        <f ca="1">INDEX(OFFSET('Adjustment scenario'!$D$1:$W$1,$D59-1,0),MATCH(V$4,'Adjustment scenario'!$D$10:$W$10,0))</f>
        <v>2.2571729323343734</v>
      </c>
      <c r="W59" s="332">
        <f ca="1">INDEX(OFFSET('Adjustment scenario'!$D$1:$W$1,$D59-1,0),MATCH(W$4,'Adjustment scenario'!$D$10:$W$10,0))</f>
        <v>2.2693038496781077</v>
      </c>
      <c r="X59" s="332">
        <f ca="1">INDEX(OFFSET('Adjustment scenario'!$D$1:$W$1,$D59-1,0),MATCH(X$4,'Adjustment scenario'!$D$10:$W$10,0))</f>
        <v>2.2896074659127059</v>
      </c>
      <c r="Y59" s="271"/>
    </row>
    <row r="60" spans="1:25" x14ac:dyDescent="0.2">
      <c r="A60" s="271"/>
      <c r="B60" s="339">
        <f t="shared" ref="B60:B62" si="6">B59+1</f>
        <v>3</v>
      </c>
      <c r="C60" s="346" t="s">
        <v>129</v>
      </c>
      <c r="D60" s="344">
        <v>103</v>
      </c>
      <c r="E60" s="345" t="s">
        <v>221</v>
      </c>
      <c r="F60" s="332">
        <f ca="1">INDEX(OFFSET('Adjustment scenario'!$D$1:$W$1,$D60-1,0),MATCH(F$4,'Adjustment scenario'!$D$10:$W$10,0))</f>
        <v>6.6210823702360049</v>
      </c>
      <c r="G60" s="332">
        <f ca="1">INDEX(OFFSET('Adjustment scenario'!$D$1:$W$1,$D60-1,0),MATCH(G$4,'Adjustment scenario'!$D$10:$W$10,0))</f>
        <v>6.5851096523336512</v>
      </c>
      <c r="H60" s="332">
        <f ca="1">INDEX(OFFSET('Adjustment scenario'!$D$1:$W$1,$D60-1,0),MATCH(H$4,'Adjustment scenario'!$D$10:$W$10,0))</f>
        <v>6.8193776951370317</v>
      </c>
      <c r="I60" s="332">
        <f ca="1">INDEX(OFFSET('Adjustment scenario'!$D$1:$W$1,$D60-1,0),MATCH(I$4,'Adjustment scenario'!$D$10:$W$10,0))</f>
        <v>6.8638213931160177</v>
      </c>
      <c r="J60" s="332">
        <f ca="1">INDEX(OFFSET('Adjustment scenario'!$D$1:$W$1,$D60-1,0),MATCH(J$4,'Adjustment scenario'!$D$10:$W$10,0))</f>
        <v>6.8456858586059468</v>
      </c>
      <c r="K60" s="332">
        <f ca="1">INDEX(OFFSET('Adjustment scenario'!$D$1:$W$1,$D60-1,0),MATCH(K$4,'Adjustment scenario'!$D$10:$W$10,0))</f>
        <v>6.7814750729193385</v>
      </c>
      <c r="L60" s="332">
        <f ca="1">INDEX(OFFSET('Adjustment scenario'!$D$1:$W$1,$D60-1,0),MATCH(L$4,'Adjustment scenario'!$D$10:$W$10,0))</f>
        <v>6.640839992136625</v>
      </c>
      <c r="M60" s="332">
        <f ca="1">INDEX(OFFSET('Adjustment scenario'!$D$1:$W$1,$D60-1,0),MATCH(M$4,'Adjustment scenario'!$D$10:$W$10,0))</f>
        <v>6.4907534779993963</v>
      </c>
      <c r="N60" s="332">
        <f ca="1">INDEX(OFFSET('Adjustment scenario'!$D$1:$W$1,$D60-1,0),MATCH(N$4,'Adjustment scenario'!$D$10:$W$10,0))</f>
        <v>6.3351099412225009</v>
      </c>
      <c r="O60" s="332">
        <f ca="1">INDEX(OFFSET('Adjustment scenario'!$D$1:$W$1,$D60-1,0),MATCH(O$4,'Adjustment scenario'!$D$10:$W$10,0))</f>
        <v>6.1958087036224523</v>
      </c>
      <c r="P60" s="332">
        <f ca="1">INDEX(OFFSET('Adjustment scenario'!$D$1:$W$1,$D60-1,0),MATCH(P$4,'Adjustment scenario'!$D$10:$W$10,0))</f>
        <v>6.0638740544355345</v>
      </c>
      <c r="Q60" s="332">
        <f ca="1">INDEX(OFFSET('Adjustment scenario'!$D$1:$W$1,$D60-1,0),MATCH(Q$4,'Adjustment scenario'!$D$10:$W$10,0))</f>
        <v>5.9589777483664212</v>
      </c>
      <c r="R60" s="332">
        <f ca="1">INDEX(OFFSET('Adjustment scenario'!$D$1:$W$1,$D60-1,0),MATCH(R$4,'Adjustment scenario'!$D$10:$W$10,0))</f>
        <v>5.8808449041715418</v>
      </c>
      <c r="S60" s="332">
        <f ca="1">INDEX(OFFSET('Adjustment scenario'!$D$1:$W$1,$D60-1,0),MATCH(S$4,'Adjustment scenario'!$D$10:$W$10,0))</f>
        <v>5.829752038706717</v>
      </c>
      <c r="T60" s="332">
        <f ca="1">INDEX(OFFSET('Adjustment scenario'!$D$1:$W$1,$D60-1,0),MATCH(T$4,'Adjustment scenario'!$D$10:$W$10,0))</f>
        <v>5.793378751282896</v>
      </c>
      <c r="U60" s="332">
        <f ca="1">INDEX(OFFSET('Adjustment scenario'!$D$1:$W$1,$D60-1,0),MATCH(U$4,'Adjustment scenario'!$D$10:$W$10,0))</f>
        <v>5.7738300287296074</v>
      </c>
      <c r="V60" s="332">
        <f ca="1">INDEX(OFFSET('Adjustment scenario'!$D$1:$W$1,$D60-1,0),MATCH(V$4,'Adjustment scenario'!$D$10:$W$10,0))</f>
        <v>5.7729103921017764</v>
      </c>
      <c r="W60" s="332">
        <f ca="1">INDEX(OFFSET('Adjustment scenario'!$D$1:$W$1,$D60-1,0),MATCH(W$4,'Adjustment scenario'!$D$10:$W$10,0))</f>
        <v>5.7916431660049454</v>
      </c>
      <c r="X60" s="332">
        <f ca="1">INDEX(OFFSET('Adjustment scenario'!$D$1:$W$1,$D60-1,0),MATCH(X$4,'Adjustment scenario'!$D$10:$W$10,0))</f>
        <v>5.8313147597778343</v>
      </c>
      <c r="Y60" s="271"/>
    </row>
    <row r="61" spans="1:25" x14ac:dyDescent="0.2">
      <c r="A61" s="271"/>
      <c r="B61" s="339">
        <f t="shared" si="6"/>
        <v>4</v>
      </c>
      <c r="C61" s="346" t="s">
        <v>130</v>
      </c>
      <c r="D61" s="344">
        <v>104</v>
      </c>
      <c r="E61" s="345" t="s">
        <v>221</v>
      </c>
      <c r="F61" s="332">
        <f ca="1">INDEX(OFFSET('Adjustment scenario'!$D$1:$W$1,$D61-1,0),MATCH(F$4,'Adjustment scenario'!$D$10:$W$10,0))</f>
        <v>3.4471835226479048</v>
      </c>
      <c r="G61" s="332">
        <f ca="1">INDEX(OFFSET('Adjustment scenario'!$D$1:$W$1,$D61-1,0),MATCH(G$4,'Adjustment scenario'!$D$10:$W$10,0))</f>
        <v>4.8081472687016928</v>
      </c>
      <c r="H61" s="332">
        <f ca="1">INDEX(OFFSET('Adjustment scenario'!$D$1:$W$1,$D61-1,0),MATCH(H$4,'Adjustment scenario'!$D$10:$W$10,0))</f>
        <v>3.6032750801515765</v>
      </c>
      <c r="I61" s="332">
        <f ca="1">INDEX(OFFSET('Adjustment scenario'!$D$1:$W$1,$D61-1,0),MATCH(I$4,'Adjustment scenario'!$D$10:$W$10,0))</f>
        <v>3.2103441970186841</v>
      </c>
      <c r="J61" s="332">
        <f ca="1">INDEX(OFFSET('Adjustment scenario'!$D$1:$W$1,$D61-1,0),MATCH(J$4,'Adjustment scenario'!$D$10:$W$10,0))</f>
        <v>2.8445358847886468</v>
      </c>
      <c r="K61" s="332">
        <f ca="1">INDEX(OFFSET('Adjustment scenario'!$D$1:$W$1,$D61-1,0),MATCH(K$4,'Adjustment scenario'!$D$10:$W$10,0))</f>
        <v>2.4385220609448468</v>
      </c>
      <c r="L61" s="332">
        <f ca="1">INDEX(OFFSET('Adjustment scenario'!$D$1:$W$1,$D61-1,0),MATCH(L$4,'Adjustment scenario'!$D$10:$W$10,0))</f>
        <v>2.2575233736946752</v>
      </c>
      <c r="M61" s="332">
        <f ca="1">INDEX(OFFSET('Adjustment scenario'!$D$1:$W$1,$D61-1,0),MATCH(M$4,'Adjustment scenario'!$D$10:$W$10,0))</f>
        <v>2.0746638522754965</v>
      </c>
      <c r="N61" s="332">
        <f ca="1">INDEX(OFFSET('Adjustment scenario'!$D$1:$W$1,$D61-1,0),MATCH(N$4,'Adjustment scenario'!$D$10:$W$10,0))</f>
        <v>1.8943410671687042</v>
      </c>
      <c r="O61" s="332">
        <f ca="1">INDEX(OFFSET('Adjustment scenario'!$D$1:$W$1,$D61-1,0),MATCH(O$4,'Adjustment scenario'!$D$10:$W$10,0))</f>
        <v>1.8617302357282142</v>
      </c>
      <c r="P61" s="332">
        <f ca="1">INDEX(OFFSET('Adjustment scenario'!$D$1:$W$1,$D61-1,0),MATCH(P$4,'Adjustment scenario'!$D$10:$W$10,0))</f>
        <v>1.8450746183503239</v>
      </c>
      <c r="Q61" s="332">
        <f ca="1">INDEX(OFFSET('Adjustment scenario'!$D$1:$W$1,$D61-1,0),MATCH(Q$4,'Adjustment scenario'!$D$10:$W$10,0))</f>
        <v>1.8426922048458587</v>
      </c>
      <c r="R61" s="332">
        <f ca="1">INDEX(OFFSET('Adjustment scenario'!$D$1:$W$1,$D61-1,0),MATCH(R$4,'Adjustment scenario'!$D$10:$W$10,0))</f>
        <v>1.8563535154234052</v>
      </c>
      <c r="S61" s="332">
        <f ca="1">INDEX(OFFSET('Adjustment scenario'!$D$1:$W$1,$D61-1,0),MATCH(S$4,'Adjustment scenario'!$D$10:$W$10,0))</f>
        <v>1.885641412235719</v>
      </c>
      <c r="T61" s="332">
        <f ca="1">INDEX(OFFSET('Adjustment scenario'!$D$1:$W$1,$D61-1,0),MATCH(T$4,'Adjustment scenario'!$D$10:$W$10,0))</f>
        <v>1.9243843883282312</v>
      </c>
      <c r="U61" s="332">
        <f ca="1">INDEX(OFFSET('Adjustment scenario'!$D$1:$W$1,$D61-1,0),MATCH(U$4,'Adjustment scenario'!$D$10:$W$10,0))</f>
        <v>1.9715362968484367</v>
      </c>
      <c r="V61" s="332">
        <f ca="1">INDEX(OFFSET('Adjustment scenario'!$D$1:$W$1,$D61-1,0),MATCH(V$4,'Adjustment scenario'!$D$10:$W$10,0))</f>
        <v>2.0348626977892175</v>
      </c>
      <c r="W61" s="332">
        <f ca="1">INDEX(OFFSET('Adjustment scenario'!$D$1:$W$1,$D61-1,0),MATCH(W$4,'Adjustment scenario'!$D$10:$W$10,0))</f>
        <v>2.1175402966197616</v>
      </c>
      <c r="X61" s="332">
        <f ca="1">INDEX(OFFSET('Adjustment scenario'!$D$1:$W$1,$D61-1,0),MATCH(X$4,'Adjustment scenario'!$D$10:$W$10,0))</f>
        <v>2.2195436234588044</v>
      </c>
      <c r="Y61" s="271"/>
    </row>
    <row r="62" spans="1:25" x14ac:dyDescent="0.2">
      <c r="A62" s="271"/>
      <c r="B62" s="339">
        <f t="shared" si="6"/>
        <v>5</v>
      </c>
      <c r="C62" s="346" t="s">
        <v>131</v>
      </c>
      <c r="D62" s="344">
        <v>105</v>
      </c>
      <c r="E62" s="345" t="s">
        <v>221</v>
      </c>
      <c r="F62" s="332">
        <f ca="1">INDEX(OFFSET('Adjustment scenario'!$D$1:$W$1,$D62-1,0),MATCH(F$4,'Adjustment scenario'!$D$10:$W$10,0))</f>
        <v>0.51593593202267063</v>
      </c>
      <c r="G62" s="332">
        <f ca="1">INDEX(OFFSET('Adjustment scenario'!$D$1:$W$1,$D62-1,0),MATCH(G$4,'Adjustment scenario'!$D$10:$W$10,0))</f>
        <v>0.71962978648562193</v>
      </c>
      <c r="H62" s="332">
        <f ca="1">INDEX(OFFSET('Adjustment scenario'!$D$1:$W$1,$D62-1,0),MATCH(H$4,'Adjustment scenario'!$D$10:$W$10,0))</f>
        <v>0.53929797314187</v>
      </c>
      <c r="I62" s="332">
        <f ca="1">INDEX(OFFSET('Adjustment scenario'!$D$1:$W$1,$D62-1,0),MATCH(I$4,'Adjustment scenario'!$D$10:$W$10,0))</f>
        <v>0.4804884667498408</v>
      </c>
      <c r="J62" s="332">
        <f ca="1">INDEX(OFFSET('Adjustment scenario'!$D$1:$W$1,$D62-1,0),MATCH(J$4,'Adjustment scenario'!$D$10:$W$10,0))</f>
        <v>0.42573836386959979</v>
      </c>
      <c r="K62" s="332">
        <f ca="1">INDEX(OFFSET('Adjustment scenario'!$D$1:$W$1,$D62-1,0),MATCH(K$4,'Adjustment scenario'!$D$10:$W$10,0))</f>
        <v>0.36497074902035248</v>
      </c>
      <c r="L62" s="332">
        <f ca="1">INDEX(OFFSET('Adjustment scenario'!$D$1:$W$1,$D62-1,0),MATCH(L$4,'Adjustment scenario'!$D$10:$W$10,0))</f>
        <v>0.33788088687992152</v>
      </c>
      <c r="M62" s="332">
        <f ca="1">INDEX(OFFSET('Adjustment scenario'!$D$1:$W$1,$D62-1,0),MATCH(M$4,'Adjustment scenario'!$D$10:$W$10,0))</f>
        <v>0.31051251586260048</v>
      </c>
      <c r="N62" s="332">
        <f ca="1">INDEX(OFFSET('Adjustment scenario'!$D$1:$W$1,$D62-1,0),MATCH(N$4,'Adjustment scenario'!$D$10:$W$10,0))</f>
        <v>0.28352381520661302</v>
      </c>
      <c r="O62" s="332">
        <f ca="1">INDEX(OFFSET('Adjustment scenario'!$D$1:$W$1,$D62-1,0),MATCH(O$4,'Adjustment scenario'!$D$10:$W$10,0))</f>
        <v>0.27864299014965188</v>
      </c>
      <c r="P62" s="332">
        <f ca="1">INDEX(OFFSET('Adjustment scenario'!$D$1:$W$1,$D62-1,0),MATCH(P$4,'Adjustment scenario'!$D$10:$W$10,0))</f>
        <v>0.27615016334805648</v>
      </c>
      <c r="Q62" s="332">
        <f ca="1">INDEX(OFFSET('Adjustment scenario'!$D$1:$W$1,$D62-1,0),MATCH(Q$4,'Adjustment scenario'!$D$10:$W$10,0))</f>
        <v>0.27579359030115774</v>
      </c>
      <c r="R62" s="332">
        <f ca="1">INDEX(OFFSET('Adjustment scenario'!$D$1:$W$1,$D62-1,0),MATCH(R$4,'Adjustment scenario'!$D$10:$W$10,0))</f>
        <v>0.2778382627008632</v>
      </c>
      <c r="S62" s="332">
        <f ca="1">INDEX(OFFSET('Adjustment scenario'!$D$1:$W$1,$D62-1,0),MATCH(S$4,'Adjustment scenario'!$D$10:$W$10,0))</f>
        <v>0.28222174801273248</v>
      </c>
      <c r="T62" s="332">
        <f ca="1">INDEX(OFFSET('Adjustment scenario'!$D$1:$W$1,$D62-1,0),MATCH(T$4,'Adjustment scenario'!$D$10:$W$10,0))</f>
        <v>0.28802036399830327</v>
      </c>
      <c r="U62" s="332">
        <f ca="1">INDEX(OFFSET('Adjustment scenario'!$D$1:$W$1,$D62-1,0),MATCH(U$4,'Adjustment scenario'!$D$10:$W$10,0))</f>
        <v>0.29507753507990941</v>
      </c>
      <c r="V62" s="332">
        <f ca="1">INDEX(OFFSET('Adjustment scenario'!$D$1:$W$1,$D62-1,0),MATCH(V$4,'Adjustment scenario'!$D$10:$W$10,0))</f>
        <v>0.30455552355263404</v>
      </c>
      <c r="W62" s="332">
        <f ca="1">INDEX(OFFSET('Adjustment scenario'!$D$1:$W$1,$D62-1,0),MATCH(W$4,'Adjustment scenario'!$D$10:$W$10,0))</f>
        <v>0.31692978321411769</v>
      </c>
      <c r="X62" s="332">
        <f ca="1">INDEX(OFFSET('Adjustment scenario'!$D$1:$W$1,$D62-1,0),MATCH(X$4,'Adjustment scenario'!$D$10:$W$10,0))</f>
        <v>0.33219650201697676</v>
      </c>
      <c r="Y62" s="271"/>
    </row>
    <row r="63" spans="1:25" x14ac:dyDescent="0.2">
      <c r="A63" s="271"/>
      <c r="B63" s="271"/>
      <c r="C63" s="271"/>
      <c r="D63" s="271"/>
      <c r="E63" s="271"/>
      <c r="F63" s="271"/>
      <c r="G63" s="271"/>
      <c r="H63" s="271"/>
      <c r="I63" s="271"/>
      <c r="J63" s="271"/>
      <c r="K63" s="271"/>
      <c r="L63" s="271"/>
      <c r="M63" s="271"/>
      <c r="N63" s="271"/>
      <c r="O63" s="271"/>
      <c r="P63" s="271"/>
      <c r="Q63" s="271"/>
      <c r="R63" s="271"/>
      <c r="S63" s="271"/>
      <c r="T63" s="271"/>
      <c r="U63" s="271"/>
      <c r="V63" s="271"/>
      <c r="W63" s="271"/>
      <c r="X63" s="271"/>
      <c r="Y63" s="271"/>
    </row>
  </sheetData>
  <conditionalFormatting sqref="V4:X63">
    <cfRule type="expression" dxfId="0" priority="2">
      <formula>#REF!=4</formula>
    </cfRule>
  </conditionalFormatting>
  <pageMargins left="0.7" right="0.7" top="0.75" bottom="0.75" header="0.3" footer="0.3"/>
  <pageSetup paperSize="9" orientation="portrait" verticalDpi="0" r:id="rId1"/>
  <extLst>
    <ext xmlns:x14="http://schemas.microsoft.com/office/spreadsheetml/2009/9/main" uri="{78C0D931-6437-407d-A8EE-F0AAD7539E65}">
      <x14:conditionalFormattings>
        <x14:conditionalFormatting xmlns:xm="http://schemas.microsoft.com/office/excel/2006/main">
          <x14:cfRule type="expression" priority="1" id="{D4889C7C-2BC4-4F4B-831C-552B8B76840F}">
            <xm:f>'Criteria results'!$F$5=4</xm:f>
            <x14:dxf>
              <font>
                <color theme="0"/>
              </font>
              <fill>
                <patternFill>
                  <bgColor theme="0"/>
                </patternFill>
              </fill>
            </x14:dxf>
          </x14:cfRule>
          <xm:sqref>V4:X63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3268F-3CB2-413A-8DD9-4FF4DFCEE105}">
  <sheetPr codeName="Sheet21"/>
  <dimension ref="A1:N23"/>
  <sheetViews>
    <sheetView workbookViewId="0"/>
  </sheetViews>
  <sheetFormatPr defaultRowHeight="12.75" x14ac:dyDescent="0.2"/>
  <cols>
    <col min="13" max="13" width="9.85546875" customWidth="1"/>
  </cols>
  <sheetData>
    <row r="1" spans="1:14" x14ac:dyDescent="0.2">
      <c r="A1" t="s">
        <v>206</v>
      </c>
      <c r="B1" t="s">
        <v>207</v>
      </c>
      <c r="C1" t="s">
        <v>208</v>
      </c>
      <c r="D1" t="s">
        <v>209</v>
      </c>
      <c r="E1" t="s">
        <v>210</v>
      </c>
      <c r="F1" t="s">
        <v>211</v>
      </c>
      <c r="G1" t="s">
        <v>212</v>
      </c>
      <c r="H1" t="s">
        <v>213</v>
      </c>
      <c r="I1" t="s">
        <v>214</v>
      </c>
      <c r="J1" t="s">
        <v>215</v>
      </c>
      <c r="K1" t="s">
        <v>216</v>
      </c>
      <c r="L1" t="s">
        <v>217</v>
      </c>
    </row>
    <row r="2" spans="1:14" x14ac:dyDescent="0.2">
      <c r="A2" t="str">
        <f>'Adjustment scenario'!C$3</f>
        <v>MT</v>
      </c>
      <c r="B2">
        <v>2021</v>
      </c>
      <c r="C2" s="7" cm="1">
        <f t="array" ref="C2:C22">TRANSPOSE('Adjust. no safeguard'!C12:W12)</f>
        <v>-5.6509479999999996</v>
      </c>
      <c r="D2" s="7">
        <v>1</v>
      </c>
      <c r="E2" s="7" cm="1">
        <f t="array" ref="E2:E22">TRANSPOSE('Adjust. no safeguard'!C62:W62)</f>
        <v>0</v>
      </c>
      <c r="F2" s="7" cm="1">
        <f t="array" ref="F2:F22">TRANSPOSE('Adjust. no safeguard'!C24:W24)</f>
        <v>12.513949999999999</v>
      </c>
      <c r="G2" s="7" cm="1">
        <f t="array" ref="G2:G22">TRANSPOSE('Adjust. no safeguard'!C42:W42)</f>
        <v>2.0052530000000002</v>
      </c>
      <c r="H2" s="7" cm="1">
        <f t="array" ref="H2:H22">TRANSPOSE('Adjust. no safeguard'!C14:W14)</f>
        <v>0</v>
      </c>
      <c r="I2" s="7" cm="1">
        <f t="array" ref="I2:I22">TRANSPOSE('Adjust. no safeguard'!C15:W15)</f>
        <v>0.80446119999999999</v>
      </c>
      <c r="J2" s="7" cm="1">
        <f t="array" ref="J2:J22">TRANSPOSE('Adjust. no safeguard'!C64:W64)+TRANSPOSE('Adjust. no safeguard'!C65:W65)+TRANSPOSE('Adjust. no safeguard'!C66:W66)</f>
        <v>0</v>
      </c>
      <c r="K2" s="7" cm="1">
        <f t="array" ref="K2:K22">TRANSPOSE('Adjust. no safeguard'!C57:W57)</f>
        <v>53.925649999999997</v>
      </c>
      <c r="L2" s="7" cm="1">
        <f t="array" ref="L2:L22">TRANSPOSE('Adjust. no safeguard'!C36:W36)</f>
        <v>2.4089399999999999</v>
      </c>
      <c r="M2" s="7"/>
      <c r="N2" s="7"/>
    </row>
    <row r="3" spans="1:14" x14ac:dyDescent="0.2">
      <c r="A3" t="str">
        <f>'Adjustment scenario'!C$3</f>
        <v>MT</v>
      </c>
      <c r="B3">
        <v>2022</v>
      </c>
      <c r="C3" s="7">
        <v>-4.3552039999999996</v>
      </c>
      <c r="D3" s="7">
        <v>1</v>
      </c>
      <c r="E3" s="7">
        <v>0.23915073097729053</v>
      </c>
      <c r="F3" s="7">
        <v>8.0755689999999998</v>
      </c>
      <c r="G3" s="7">
        <v>5.2614710000000002</v>
      </c>
      <c r="H3" s="7">
        <v>0</v>
      </c>
      <c r="I3" s="7">
        <v>-1.3102750000000001</v>
      </c>
      <c r="J3" s="7">
        <v>0</v>
      </c>
      <c r="K3" s="7">
        <v>51.626479730977287</v>
      </c>
      <c r="L3" s="7">
        <v>1.9834700000000001</v>
      </c>
      <c r="M3" s="7"/>
      <c r="N3" s="7"/>
    </row>
    <row r="4" spans="1:14" x14ac:dyDescent="0.2">
      <c r="A4" t="str">
        <f>'Adjustment scenario'!C$3</f>
        <v>MT</v>
      </c>
      <c r="B4">
        <v>2023</v>
      </c>
      <c r="C4" s="7">
        <v>-3.790994</v>
      </c>
      <c r="D4" s="7">
        <v>1</v>
      </c>
      <c r="E4" s="7">
        <v>8.9617005349547311E-3</v>
      </c>
      <c r="F4" s="7">
        <v>5.6139260000000002</v>
      </c>
      <c r="G4" s="7">
        <v>5.2736159999999996</v>
      </c>
      <c r="H4" s="7">
        <v>0</v>
      </c>
      <c r="I4" s="7">
        <v>-0.94044729999999999</v>
      </c>
      <c r="J4" s="7">
        <v>0</v>
      </c>
      <c r="K4" s="7">
        <v>50.396658431512243</v>
      </c>
      <c r="L4" s="7">
        <v>2.3767499999999999</v>
      </c>
      <c r="M4" s="7"/>
      <c r="N4" s="7"/>
    </row>
    <row r="5" spans="1:14" x14ac:dyDescent="0.2">
      <c r="A5" t="str">
        <f>'Adjustment scenario'!C$3</f>
        <v>MT</v>
      </c>
      <c r="B5">
        <v>2024</v>
      </c>
      <c r="C5" s="7">
        <v>-2.897243</v>
      </c>
      <c r="D5" s="7">
        <v>1</v>
      </c>
      <c r="E5" s="7">
        <v>0.16701710097709546</v>
      </c>
      <c r="F5" s="7">
        <v>4.5722800000000001</v>
      </c>
      <c r="G5" s="7">
        <v>3.6423429999999999</v>
      </c>
      <c r="H5" s="7">
        <v>0</v>
      </c>
      <c r="I5" s="7">
        <v>1.1851970000000001</v>
      </c>
      <c r="J5" s="7">
        <v>0</v>
      </c>
      <c r="K5" s="7">
        <v>52.027240532489337</v>
      </c>
      <c r="L5" s="7">
        <v>2.7490950000000001</v>
      </c>
      <c r="M5" s="7"/>
      <c r="N5" s="7"/>
    </row>
    <row r="6" spans="1:14" x14ac:dyDescent="0.2">
      <c r="A6" t="str">
        <f>'Adjustment scenario'!C$3</f>
        <v>MT</v>
      </c>
      <c r="B6">
        <v>2025</v>
      </c>
      <c r="C6" s="7">
        <v>-2.4572430000000001</v>
      </c>
      <c r="D6" s="7">
        <v>1</v>
      </c>
      <c r="E6" s="7">
        <v>0.32808538062289133</v>
      </c>
      <c r="F6" s="7">
        <v>4.515197999999998</v>
      </c>
      <c r="G6" s="7">
        <v>2.5339109999999998</v>
      </c>
      <c r="H6" s="7">
        <v>0</v>
      </c>
      <c r="I6" s="7">
        <v>6.6727599999999998E-2</v>
      </c>
      <c r="J6" s="7">
        <v>0</v>
      </c>
      <c r="K6" s="7">
        <v>52.730907877542279</v>
      </c>
      <c r="L6" s="7">
        <v>2.7383609999999998</v>
      </c>
      <c r="M6" s="7"/>
      <c r="N6" s="7"/>
    </row>
    <row r="7" spans="1:14" x14ac:dyDescent="0.2">
      <c r="A7" t="str">
        <f>'Adjustment scenario'!C$3</f>
        <v>MT</v>
      </c>
      <c r="B7">
        <v>2026</v>
      </c>
      <c r="C7" s="7">
        <v>-2.0172430000000001</v>
      </c>
      <c r="D7" s="7">
        <v>1</v>
      </c>
      <c r="E7" s="7">
        <v>0.36869620889093274</v>
      </c>
      <c r="F7" s="7">
        <v>4.5879578676851773</v>
      </c>
      <c r="G7" s="7">
        <v>2.5359221249999999</v>
      </c>
      <c r="H7" s="7">
        <v>0</v>
      </c>
      <c r="I7" s="7">
        <v>0</v>
      </c>
      <c r="J7" s="7">
        <v>0</v>
      </c>
      <c r="K7" s="7">
        <v>52.947955578274673</v>
      </c>
      <c r="L7" s="7">
        <v>2.8292956231126509</v>
      </c>
      <c r="M7" s="7"/>
      <c r="N7" s="7"/>
    </row>
    <row r="8" spans="1:14" x14ac:dyDescent="0.2">
      <c r="A8" t="str">
        <f>'Adjustment scenario'!C$3</f>
        <v>MT</v>
      </c>
      <c r="B8">
        <v>2027</v>
      </c>
      <c r="C8" s="7">
        <v>-1.5772430000000002</v>
      </c>
      <c r="D8" s="7">
        <v>1</v>
      </c>
      <c r="E8" s="7">
        <v>0.39559896855139481</v>
      </c>
      <c r="F8" s="7">
        <v>4.6481695004620516</v>
      </c>
      <c r="G8" s="7">
        <v>2.53793325</v>
      </c>
      <c r="H8" s="7">
        <v>0</v>
      </c>
      <c r="I8" s="7">
        <v>0</v>
      </c>
      <c r="J8" s="7">
        <v>0</v>
      </c>
      <c r="K8" s="7">
        <v>52.754005449493576</v>
      </c>
      <c r="L8" s="7">
        <v>2.9128598255268852</v>
      </c>
      <c r="M8" s="7"/>
      <c r="N8" s="7"/>
    </row>
    <row r="9" spans="1:14" x14ac:dyDescent="0.2">
      <c r="A9" t="str">
        <f>'Adjustment scenario'!C$3</f>
        <v>MT</v>
      </c>
      <c r="B9">
        <v>2028</v>
      </c>
      <c r="C9" s="7">
        <v>-1.1372430000000002</v>
      </c>
      <c r="D9" s="7">
        <v>1</v>
      </c>
      <c r="E9" s="7">
        <v>0.41353914412407133</v>
      </c>
      <c r="F9" s="7">
        <v>4.6051556333416954</v>
      </c>
      <c r="G9" s="7">
        <v>2.5399443749999997</v>
      </c>
      <c r="H9" s="7">
        <v>0</v>
      </c>
      <c r="I9" s="7">
        <v>0</v>
      </c>
      <c r="J9" s="7">
        <v>0</v>
      </c>
      <c r="K9" s="7">
        <v>52.204191928643532</v>
      </c>
      <c r="L9" s="7">
        <v>2.9910327888273525</v>
      </c>
      <c r="M9" s="7"/>
      <c r="N9" s="7"/>
    </row>
    <row r="10" spans="1:14" x14ac:dyDescent="0.2">
      <c r="A10" t="str">
        <f>'Adjustment scenario'!C$3</f>
        <v>MT</v>
      </c>
      <c r="B10">
        <v>2029</v>
      </c>
      <c r="C10" s="7">
        <v>-1.1372430000000002</v>
      </c>
      <c r="D10" s="7">
        <v>1</v>
      </c>
      <c r="E10" s="7">
        <v>0.27569276274936849</v>
      </c>
      <c r="F10" s="7">
        <v>4.9018155121042906</v>
      </c>
      <c r="G10" s="7">
        <v>2.5419554999999998</v>
      </c>
      <c r="H10" s="7">
        <v>0</v>
      </c>
      <c r="I10" s="7">
        <v>0</v>
      </c>
      <c r="J10" s="7">
        <v>-5.9006499999996187E-2</v>
      </c>
      <c r="K10" s="7">
        <v>51.372351329919553</v>
      </c>
      <c r="L10" s="7">
        <v>3.0645257032705233</v>
      </c>
      <c r="M10" s="7"/>
      <c r="N10" s="7"/>
    </row>
    <row r="11" spans="1:14" x14ac:dyDescent="0.2">
      <c r="A11" t="str">
        <f>'Adjustment scenario'!C$3</f>
        <v>MT</v>
      </c>
      <c r="B11">
        <v>2030</v>
      </c>
      <c r="C11" s="7">
        <v>-1.1372430000000002</v>
      </c>
      <c r="D11" s="7">
        <v>1</v>
      </c>
      <c r="E11" s="7">
        <v>0.13784638137469754</v>
      </c>
      <c r="F11" s="7">
        <v>4.8067468174162853</v>
      </c>
      <c r="G11" s="7">
        <v>2.5439666249999999</v>
      </c>
      <c r="H11" s="7">
        <v>0</v>
      </c>
      <c r="I11" s="7">
        <v>0</v>
      </c>
      <c r="J11" s="7">
        <v>-0.11545299999999692</v>
      </c>
      <c r="K11" s="7">
        <v>50.459213782499226</v>
      </c>
      <c r="L11" s="7">
        <v>3.1366702495687528</v>
      </c>
      <c r="M11" s="7"/>
      <c r="N11" s="7"/>
    </row>
    <row r="12" spans="1:14" x14ac:dyDescent="0.2">
      <c r="A12" t="str">
        <f>'Adjustment scenario'!C$3</f>
        <v>MT</v>
      </c>
      <c r="B12">
        <v>2031</v>
      </c>
      <c r="C12" s="7">
        <v>-1.1372430000000002</v>
      </c>
      <c r="D12" s="7">
        <v>1</v>
      </c>
      <c r="E12" s="7">
        <v>0</v>
      </c>
      <c r="F12" s="7">
        <v>4.6493975148321764</v>
      </c>
      <c r="G12" s="7">
        <v>2.5459777499999996</v>
      </c>
      <c r="H12" s="7">
        <v>0</v>
      </c>
      <c r="I12" s="7">
        <v>0</v>
      </c>
      <c r="J12" s="7">
        <v>-0.16513939999999955</v>
      </c>
      <c r="K12" s="7">
        <v>49.500598925154414</v>
      </c>
      <c r="L12" s="7">
        <v>3.2076071439453773</v>
      </c>
      <c r="M12" s="7"/>
      <c r="N12" s="7"/>
    </row>
    <row r="13" spans="1:14" x14ac:dyDescent="0.2">
      <c r="A13" t="str">
        <f>'Adjustment scenario'!C$3</f>
        <v>MT</v>
      </c>
      <c r="B13">
        <v>2032</v>
      </c>
      <c r="C13" s="7">
        <v>-1.1372430000000002</v>
      </c>
      <c r="D13" s="7">
        <v>1</v>
      </c>
      <c r="E13" s="7">
        <v>-1.8392989423743344E-6</v>
      </c>
      <c r="F13" s="7">
        <v>4.1701290000000002</v>
      </c>
      <c r="G13" s="7">
        <v>2.5479888749999997</v>
      </c>
      <c r="H13" s="7">
        <v>0</v>
      </c>
      <c r="I13" s="7">
        <v>0</v>
      </c>
      <c r="J13" s="7">
        <v>-0.20407579999999703</v>
      </c>
      <c r="K13" s="7">
        <v>48.790200251788782</v>
      </c>
      <c r="L13" s="7">
        <v>3.2774920564792938</v>
      </c>
      <c r="M13" s="7"/>
      <c r="N13" s="7"/>
    </row>
    <row r="14" spans="1:14" x14ac:dyDescent="0.2">
      <c r="A14" t="str">
        <f>'Adjustment scenario'!C$3</f>
        <v>MT</v>
      </c>
      <c r="B14">
        <v>2033</v>
      </c>
      <c r="C14" s="7">
        <v>-1.1372430000000002</v>
      </c>
      <c r="D14" s="7">
        <v>1</v>
      </c>
      <c r="E14" s="7">
        <v>-2.7594272168363077E-6</v>
      </c>
      <c r="F14" s="7">
        <v>4.1159240000000041</v>
      </c>
      <c r="G14" s="7">
        <v>2.5499999999999998</v>
      </c>
      <c r="H14" s="7">
        <v>0</v>
      </c>
      <c r="I14" s="7">
        <v>0</v>
      </c>
      <c r="J14" s="7">
        <v>-0.22542229999999785</v>
      </c>
      <c r="K14" s="7">
        <v>48.137985261657484</v>
      </c>
      <c r="L14" s="7">
        <v>3.3482014995954259</v>
      </c>
      <c r="M14" s="7"/>
      <c r="N14" s="7"/>
    </row>
    <row r="15" spans="1:14" x14ac:dyDescent="0.2">
      <c r="A15" t="str">
        <f>'Adjustment scenario'!C$3</f>
        <v>MT</v>
      </c>
      <c r="B15">
        <v>2034</v>
      </c>
      <c r="C15" s="7">
        <v>-1.1372430000000002</v>
      </c>
      <c r="D15" s="7">
        <v>1</v>
      </c>
      <c r="E15" s="7">
        <v>-3.6825629831760407E-6</v>
      </c>
      <c r="F15" s="7">
        <v>3.776726000000008</v>
      </c>
      <c r="G15" s="7">
        <v>2.5225</v>
      </c>
      <c r="H15" s="7">
        <v>0</v>
      </c>
      <c r="I15" s="7">
        <v>0</v>
      </c>
      <c r="J15" s="7">
        <v>-0.23128879999999852</v>
      </c>
      <c r="K15" s="7">
        <v>47.692831253694074</v>
      </c>
      <c r="L15" s="7">
        <v>3.4082849679059493</v>
      </c>
      <c r="M15" s="7"/>
      <c r="N15" s="7"/>
    </row>
    <row r="16" spans="1:14" x14ac:dyDescent="0.2">
      <c r="A16" t="str">
        <f>'Adjustment scenario'!C$3</f>
        <v>MT</v>
      </c>
      <c r="B16">
        <v>2035</v>
      </c>
      <c r="C16" s="7">
        <v>-1.1372430000000002</v>
      </c>
      <c r="D16" s="7">
        <v>1</v>
      </c>
      <c r="E16" s="7">
        <v>-3.6825629938119772E-6</v>
      </c>
      <c r="F16" s="7">
        <v>3.4375260000000019</v>
      </c>
      <c r="G16" s="7">
        <v>2.4949999999999997</v>
      </c>
      <c r="H16" s="7">
        <v>0</v>
      </c>
      <c r="I16" s="7">
        <v>0</v>
      </c>
      <c r="J16" s="7">
        <v>-0.22153519999999721</v>
      </c>
      <c r="K16" s="7">
        <v>47.458119144471006</v>
      </c>
      <c r="L16" s="7">
        <v>3.460986268827237</v>
      </c>
      <c r="M16" s="7"/>
      <c r="N16" s="7"/>
    </row>
    <row r="17" spans="1:14" x14ac:dyDescent="0.2">
      <c r="A17" t="str">
        <f>'Adjustment scenario'!C$3</f>
        <v>MT</v>
      </c>
      <c r="B17">
        <v>2036</v>
      </c>
      <c r="C17" s="7">
        <v>-1.1372430000000002</v>
      </c>
      <c r="D17" s="7">
        <v>1</v>
      </c>
      <c r="E17" s="7">
        <v>-5.0763781257900932E-6</v>
      </c>
      <c r="F17" s="7">
        <v>3.0983320000000036</v>
      </c>
      <c r="G17" s="7">
        <v>2.4674999999999998</v>
      </c>
      <c r="H17" s="7">
        <v>0</v>
      </c>
      <c r="I17" s="7">
        <v>0</v>
      </c>
      <c r="J17" s="7">
        <v>-0.19748169999999904</v>
      </c>
      <c r="K17" s="7">
        <v>47.438682330101329</v>
      </c>
      <c r="L17" s="7">
        <v>3.507109329181314</v>
      </c>
      <c r="M17" s="7"/>
      <c r="N17" s="7"/>
    </row>
    <row r="18" spans="1:14" x14ac:dyDescent="0.2">
      <c r="A18" t="str">
        <f>'Adjustment scenario'!C$3</f>
        <v>MT</v>
      </c>
      <c r="B18">
        <v>2037</v>
      </c>
      <c r="C18" s="7">
        <v>-1.1372430000000002</v>
      </c>
      <c r="D18" s="7">
        <v>1</v>
      </c>
      <c r="E18" s="7">
        <v>-6.4717078257725543E-6</v>
      </c>
      <c r="F18" s="7">
        <v>2.9864270000000026</v>
      </c>
      <c r="G18" s="7">
        <v>2.44</v>
      </c>
      <c r="H18" s="7">
        <v>0</v>
      </c>
      <c r="I18" s="7">
        <v>0</v>
      </c>
      <c r="J18" s="7">
        <v>-0.1636580999999977</v>
      </c>
      <c r="K18" s="7">
        <v>47.534549576967095</v>
      </c>
      <c r="L18" s="7">
        <v>3.5473463331791315</v>
      </c>
      <c r="M18" s="7"/>
      <c r="N18" s="7"/>
    </row>
    <row r="19" spans="1:14" x14ac:dyDescent="0.2">
      <c r="A19" t="str">
        <f>'Adjustment scenario'!C$3</f>
        <v>MT</v>
      </c>
      <c r="B19">
        <v>2038</v>
      </c>
      <c r="C19" s="7">
        <v>-1.1372430000000002</v>
      </c>
      <c r="D19" s="7">
        <v>1</v>
      </c>
      <c r="E19" s="7">
        <v>-6.0059619286789712E-6</v>
      </c>
      <c r="F19" s="7">
        <v>2.8457959999999893</v>
      </c>
      <c r="G19" s="7">
        <v>2.4124999999999996</v>
      </c>
      <c r="H19" s="7">
        <v>0</v>
      </c>
      <c r="I19" s="7">
        <v>0</v>
      </c>
      <c r="J19" s="7">
        <v>-0.12223459999999808</v>
      </c>
      <c r="K19" s="7">
        <v>47.762177596110192</v>
      </c>
      <c r="L19" s="7">
        <v>3.5822884133465078</v>
      </c>
      <c r="M19" s="7"/>
      <c r="N19" s="7"/>
    </row>
    <row r="20" spans="1:14" x14ac:dyDescent="0.2">
      <c r="A20" t="str">
        <f>'Adjustment scenario'!C$3</f>
        <v>MT</v>
      </c>
      <c r="B20">
        <v>2039</v>
      </c>
      <c r="C20" s="7">
        <v>-1.1372430000000002</v>
      </c>
      <c r="D20" s="7">
        <v>1</v>
      </c>
      <c r="E20" s="7">
        <v>-5.0729521736236903E-6</v>
      </c>
      <c r="F20" s="7">
        <v>2.6784659999999905</v>
      </c>
      <c r="G20" s="7">
        <v>2.3849999999999998</v>
      </c>
      <c r="H20" s="7">
        <v>0</v>
      </c>
      <c r="I20" s="7">
        <v>0</v>
      </c>
      <c r="J20" s="7">
        <v>-6.5120999999999152E-2</v>
      </c>
      <c r="K20" s="7">
        <v>48.146034957105734</v>
      </c>
      <c r="L20" s="7">
        <v>3.6124478397273756</v>
      </c>
      <c r="M20" s="7"/>
      <c r="N20" s="7"/>
    </row>
    <row r="21" spans="1:14" x14ac:dyDescent="0.2">
      <c r="A21" t="str">
        <f>'Adjustment scenario'!C$3</f>
        <v>MT</v>
      </c>
      <c r="B21">
        <v>2040</v>
      </c>
      <c r="C21" s="7">
        <v>-1.1372430000000002</v>
      </c>
      <c r="D21" s="7">
        <v>1</v>
      </c>
      <c r="E21" s="7">
        <v>-3.6712500373292652E-6</v>
      </c>
      <c r="F21" s="7">
        <v>2.5182220000000033</v>
      </c>
      <c r="G21" s="7">
        <v>2.3574999999999999</v>
      </c>
      <c r="H21" s="7">
        <v>0</v>
      </c>
      <c r="I21" s="7">
        <v>0</v>
      </c>
      <c r="J21" s="7">
        <v>1.0712500000001624E-2</v>
      </c>
      <c r="K21" s="7">
        <v>48.699009806069576</v>
      </c>
      <c r="L21" s="7">
        <v>3.6383267971563913</v>
      </c>
      <c r="M21" s="7"/>
      <c r="N21" s="7"/>
    </row>
    <row r="22" spans="1:14" x14ac:dyDescent="0.2">
      <c r="A22" t="str">
        <f>'Adjustment scenario'!C$3</f>
        <v>MT</v>
      </c>
      <c r="B22">
        <v>2041</v>
      </c>
      <c r="C22" s="7">
        <v>-1.1372430000000002</v>
      </c>
      <c r="D22" s="7">
        <v>1</v>
      </c>
      <c r="E22" s="7">
        <v>-2.7354237692733818E-6</v>
      </c>
      <c r="F22" s="7">
        <v>2.3694349999999975</v>
      </c>
      <c r="G22" s="7">
        <v>2.33</v>
      </c>
      <c r="H22" s="7">
        <v>0</v>
      </c>
      <c r="I22" s="7">
        <v>0</v>
      </c>
      <c r="J22" s="7">
        <v>0.10458600000000157</v>
      </c>
      <c r="K22" s="7">
        <v>49.432125258886146</v>
      </c>
      <c r="L22" s="7">
        <v>3.6603737814750277</v>
      </c>
      <c r="M22" s="7"/>
      <c r="N22" s="7"/>
    </row>
    <row r="23" spans="1:14" x14ac:dyDescent="0.2">
      <c r="N23" s="7"/>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1D7CDCA61137D46922835CA98C0641D" ma:contentTypeVersion="8" ma:contentTypeDescription="Create a new document." ma:contentTypeScope="" ma:versionID="6659297bf1036fa7eae64cf0e7c2fac9">
  <xsd:schema xmlns:xsd="http://www.w3.org/2001/XMLSchema" xmlns:xs="http://www.w3.org/2001/XMLSchema" xmlns:p="http://schemas.microsoft.com/office/2006/metadata/properties" xmlns:ns2="b29b9b01-a41b-4cdd-ba34-21bb9c415350" xmlns:ns3="150bf796-665d-42d8-bec5-8541ade97521" targetNamespace="http://schemas.microsoft.com/office/2006/metadata/properties" ma:root="true" ma:fieldsID="9a4b96746bcdbed031cdc5f86c6e749b" ns2:_="" ns3:_="">
    <xsd:import namespace="b29b9b01-a41b-4cdd-ba34-21bb9c415350"/>
    <xsd:import namespace="150bf796-665d-42d8-bec5-8541ade9752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9b9b01-a41b-4cdd-ba34-21bb9c4153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50bf796-665d-42d8-bec5-8541ade9752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D5379F7-D4E7-4A0C-87B7-761C7833B493}">
  <ds:schemaRefs>
    <ds:schemaRef ds:uri="http://schemas.microsoft.com/sharepoint/v3/contenttype/forms"/>
  </ds:schemaRefs>
</ds:datastoreItem>
</file>

<file path=customXml/itemProps2.xml><?xml version="1.0" encoding="utf-8"?>
<ds:datastoreItem xmlns:ds="http://schemas.openxmlformats.org/officeDocument/2006/customXml" ds:itemID="{C69BE971-F562-4B09-A9E1-668BAAF544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9b9b01-a41b-4cdd-ba34-21bb9c415350"/>
    <ds:schemaRef ds:uri="150bf796-665d-42d8-bec5-8541ade975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DE1AD19-26CE-486A-AEF9-44A7210D2685}">
  <ds:schemaRefs>
    <ds:schemaRef ds:uri="http://schemas.microsoft.com/office/2006/metadata/properties"/>
    <ds:schemaRef ds:uri="b29b9b01-a41b-4cdd-ba34-21bb9c415350"/>
    <ds:schemaRef ds:uri="http://purl.org/dc/terms/"/>
    <ds:schemaRef ds:uri="http://purl.org/dc/elements/1.1/"/>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150bf796-665d-42d8-bec5-8541ade9752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 me</vt:lpstr>
      <vt:lpstr>Criteria results</vt:lpstr>
      <vt:lpstr>Input data</vt:lpstr>
      <vt:lpstr>Baseline NFPC</vt:lpstr>
      <vt:lpstr>Adjustment scenario</vt:lpstr>
      <vt:lpstr>Adjust. no safeguard</vt:lpstr>
      <vt:lpstr>Financial stress</vt:lpstr>
      <vt:lpstr>Lower SPB</vt:lpstr>
      <vt:lpstr>Adverse (r-g)</vt:lpstr>
      <vt:lpstr>Stochastic</vt:lpstr>
      <vt:lpstr>FASTOP reporting</vt:lpstr>
      <vt:lpstr>Data_stochastic</vt:lpstr>
    </vt:vector>
  </TitlesOfParts>
  <Manager/>
  <Company>European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SAIL Etienne (ECFIN)</dc:creator>
  <cp:keywords/>
  <dc:description/>
  <cp:lastModifiedBy>ERDEI Miklos (ECFIN)</cp:lastModifiedBy>
  <cp:revision/>
  <dcterms:created xsi:type="dcterms:W3CDTF">2013-04-12T08:50:12Z</dcterms:created>
  <dcterms:modified xsi:type="dcterms:W3CDTF">2024-06-20T11:23:11Z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2023-01-31T12:59:42Z</vt:lpwstr>
  </property>
  <property fmtid="{D5CDD505-2E9C-101B-9397-08002B2CF9AE}" pid="4" name="MSIP_Label_6bd9ddd1-4d20-43f6-abfa-fc3c07406f94_Method">
    <vt:lpwstr>Privileged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b0fa60c5-7b78-4404-9a0b-188770adde17</vt:lpwstr>
  </property>
  <property fmtid="{D5CDD505-2E9C-101B-9397-08002B2CF9AE}" pid="8" name="MSIP_Label_6bd9ddd1-4d20-43f6-abfa-fc3c07406f94_ContentBits">
    <vt:lpwstr>0</vt:lpwstr>
  </property>
  <property fmtid="{D5CDD505-2E9C-101B-9397-08002B2CF9AE}" pid="9" name="ContentTypeId">
    <vt:lpwstr>0x01010021D7CDCA61137D46922835CA98C0641D</vt:lpwstr>
  </property>
</Properties>
</file>