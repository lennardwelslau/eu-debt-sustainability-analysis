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24226"/>
  <mc:AlternateContent xmlns:mc="http://schemas.openxmlformats.org/markup-compatibility/2006">
    <mc:Choice Requires="x15">
      <x15ac:absPath xmlns:x15ac="http://schemas.microsoft.com/office/spreadsheetml/2010/11/ac" url="U:\SUSTAINABILITY\EU Fiscal Framework - Technical guidance\Outputs\SF25_24anchor\2025 05 27 prior guidance\"/>
    </mc:Choice>
  </mc:AlternateContent>
  <xr:revisionPtr revIDLastSave="0" documentId="8_{83E09CF9-5C47-46F5-AD5E-0DC61B5B0B14}" xr6:coauthVersionLast="47" xr6:coauthVersionMax="47" xr10:uidLastSave="{00000000-0000-0000-0000-000000000000}"/>
  <bookViews>
    <workbookView xWindow="28680" yWindow="-120" windowWidth="29040" windowHeight="15990" tabRatio="788" activeTab="1" xr2:uid="{00000000-000D-0000-FFFF-FFFF00000000}"/>
  </bookViews>
  <sheets>
    <sheet name="Read me" sheetId="32" r:id="rId1"/>
    <sheet name="Criteria results" sheetId="20" r:id="rId2"/>
    <sheet name="Input data" sheetId="8" r:id="rId3"/>
    <sheet name="Baseline NFPC" sheetId="9" r:id="rId4"/>
    <sheet name="Adjustment scenario" sheetId="21" r:id="rId5"/>
    <sheet name="Adjust. no safeguard" sheetId="40" r:id="rId6"/>
    <sheet name="Financial stress" sheetId="17" r:id="rId7"/>
    <sheet name="Lower SPB" sheetId="18" r:id="rId8"/>
    <sheet name="Adverse (r-g)" sheetId="19" r:id="rId9"/>
    <sheet name="Stochastic" sheetId="22" r:id="rId10"/>
    <sheet name="FASTOP reporting" sheetId="44" r:id="rId11"/>
    <sheet name="Data_stochastic" sheetId="43" r:id="rId12"/>
  </sheets>
  <calcPr calcId="191028"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95" i="17" l="1"/>
  <c r="T95" i="17"/>
  <c r="S95" i="17"/>
  <c r="R95" i="17"/>
  <c r="Q95" i="17"/>
  <c r="P95" i="17"/>
  <c r="O95" i="17"/>
  <c r="N95" i="17"/>
  <c r="M95" i="17"/>
  <c r="L95" i="17"/>
  <c r="K95" i="17"/>
  <c r="J95" i="17"/>
  <c r="I95" i="17"/>
  <c r="H95" i="17"/>
  <c r="G95" i="17"/>
  <c r="F95" i="17"/>
  <c r="E95" i="17"/>
  <c r="U95" i="18"/>
  <c r="T95" i="18"/>
  <c r="S95" i="18"/>
  <c r="R95" i="18"/>
  <c r="Q95" i="18"/>
  <c r="P95" i="18"/>
  <c r="O95" i="18"/>
  <c r="N95" i="18"/>
  <c r="M95" i="18"/>
  <c r="L95" i="18"/>
  <c r="K95" i="18"/>
  <c r="J95" i="18"/>
  <c r="I95" i="18"/>
  <c r="H95" i="18"/>
  <c r="G95" i="18"/>
  <c r="F95" i="18"/>
  <c r="E95" i="18"/>
  <c r="F45" i="44" l="1"/>
  <c r="F44" i="44"/>
  <c r="F14" i="44"/>
  <c r="F10" i="44"/>
  <c r="F8" i="44"/>
  <c r="C10" i="22" l="1"/>
  <c r="D10" i="22" s="1"/>
  <c r="E10" i="22" s="1"/>
  <c r="F10" i="22" s="1"/>
  <c r="G10" i="22" s="1"/>
  <c r="H10" i="22" s="1"/>
  <c r="I10" i="22" s="1"/>
  <c r="J10" i="22" s="1"/>
  <c r="K10" i="22" s="1"/>
  <c r="L10" i="22" s="1"/>
  <c r="M10" i="22" s="1"/>
  <c r="N10" i="22" s="1"/>
  <c r="O10" i="22" s="1"/>
  <c r="P10" i="22" s="1"/>
  <c r="Q10" i="22" s="1"/>
  <c r="R10" i="22" s="1"/>
  <c r="S10" i="22" s="1"/>
  <c r="T10" i="22" s="1"/>
  <c r="U10" i="22" s="1"/>
  <c r="C83" i="19"/>
  <c r="D83" i="19" s="1"/>
  <c r="E83" i="19" s="1"/>
  <c r="F83" i="19" s="1"/>
  <c r="G83" i="19" s="1"/>
  <c r="H83" i="19" s="1"/>
  <c r="I83" i="19" s="1"/>
  <c r="J83" i="19" s="1"/>
  <c r="K83" i="19" s="1"/>
  <c r="L83" i="19" s="1"/>
  <c r="M83" i="19" s="1"/>
  <c r="N83" i="19" s="1"/>
  <c r="O83" i="19" s="1"/>
  <c r="P83" i="19" s="1"/>
  <c r="Q83" i="19" s="1"/>
  <c r="R83" i="19" s="1"/>
  <c r="S83" i="19" s="1"/>
  <c r="T83" i="19" s="1"/>
  <c r="U83" i="19" s="1"/>
  <c r="C56" i="19"/>
  <c r="D56" i="19" s="1"/>
  <c r="E56" i="19" s="1"/>
  <c r="F56" i="19" s="1"/>
  <c r="G56" i="19" s="1"/>
  <c r="H56" i="19" s="1"/>
  <c r="I56" i="19" s="1"/>
  <c r="J56" i="19" s="1"/>
  <c r="K56" i="19" s="1"/>
  <c r="L56" i="19" s="1"/>
  <c r="M56" i="19" s="1"/>
  <c r="N56" i="19" s="1"/>
  <c r="O56" i="19" s="1"/>
  <c r="P56" i="19" s="1"/>
  <c r="Q56" i="19" s="1"/>
  <c r="R56" i="19" s="1"/>
  <c r="S56" i="19" s="1"/>
  <c r="T56" i="19" s="1"/>
  <c r="U56" i="19" s="1"/>
  <c r="C10" i="19"/>
  <c r="D10" i="19" s="1"/>
  <c r="E10" i="19" s="1"/>
  <c r="F10" i="19" s="1"/>
  <c r="G10" i="19" s="1"/>
  <c r="H10" i="19" s="1"/>
  <c r="I10" i="19" s="1"/>
  <c r="J10" i="19" s="1"/>
  <c r="K10" i="19" s="1"/>
  <c r="L10" i="19" s="1"/>
  <c r="M10" i="19" s="1"/>
  <c r="N10" i="19" s="1"/>
  <c r="O10" i="19" s="1"/>
  <c r="P10" i="19" s="1"/>
  <c r="Q10" i="19" s="1"/>
  <c r="R10" i="19" s="1"/>
  <c r="S10" i="19" s="1"/>
  <c r="T10" i="19" s="1"/>
  <c r="U10" i="19" s="1"/>
  <c r="C82" i="18"/>
  <c r="D82" i="18" s="1"/>
  <c r="E82" i="18" s="1"/>
  <c r="F82" i="18" s="1"/>
  <c r="G82" i="18" s="1"/>
  <c r="H82" i="18" s="1"/>
  <c r="I82" i="18" s="1"/>
  <c r="J82" i="18" s="1"/>
  <c r="K82" i="18" s="1"/>
  <c r="L82" i="18" s="1"/>
  <c r="M82" i="18" s="1"/>
  <c r="N82" i="18" s="1"/>
  <c r="O82" i="18" s="1"/>
  <c r="P82" i="18" s="1"/>
  <c r="Q82" i="18" s="1"/>
  <c r="R82" i="18" s="1"/>
  <c r="S82" i="18" s="1"/>
  <c r="T82" i="18" s="1"/>
  <c r="U82" i="18" s="1"/>
  <c r="C55" i="18"/>
  <c r="D55" i="18" s="1"/>
  <c r="E55" i="18" s="1"/>
  <c r="F55" i="18" s="1"/>
  <c r="G55" i="18" s="1"/>
  <c r="H55" i="18" s="1"/>
  <c r="I55" i="18" s="1"/>
  <c r="J55" i="18" s="1"/>
  <c r="K55" i="18" s="1"/>
  <c r="L55" i="18" s="1"/>
  <c r="M55" i="18" s="1"/>
  <c r="N55" i="18" s="1"/>
  <c r="O55" i="18" s="1"/>
  <c r="P55" i="18" s="1"/>
  <c r="Q55" i="18" s="1"/>
  <c r="R55" i="18" s="1"/>
  <c r="S55" i="18" s="1"/>
  <c r="T55" i="18" s="1"/>
  <c r="U55" i="18" s="1"/>
  <c r="C10" i="18"/>
  <c r="D10" i="18" s="1"/>
  <c r="E10" i="18" s="1"/>
  <c r="F10" i="18" s="1"/>
  <c r="G10" i="18" s="1"/>
  <c r="H10" i="18" s="1"/>
  <c r="I10" i="18" s="1"/>
  <c r="J10" i="18" s="1"/>
  <c r="K10" i="18" s="1"/>
  <c r="L10" i="18" s="1"/>
  <c r="M10" i="18" s="1"/>
  <c r="N10" i="18" s="1"/>
  <c r="O10" i="18" s="1"/>
  <c r="P10" i="18" s="1"/>
  <c r="Q10" i="18" s="1"/>
  <c r="R10" i="18" s="1"/>
  <c r="S10" i="18" s="1"/>
  <c r="T10" i="18" s="1"/>
  <c r="U10" i="18" s="1"/>
  <c r="C82" i="17"/>
  <c r="D82" i="17" s="1"/>
  <c r="E82" i="17" s="1"/>
  <c r="F82" i="17" s="1"/>
  <c r="G82" i="17" s="1"/>
  <c r="H82" i="17" s="1"/>
  <c r="I82" i="17" s="1"/>
  <c r="J82" i="17" s="1"/>
  <c r="K82" i="17" s="1"/>
  <c r="L82" i="17" s="1"/>
  <c r="M82" i="17" s="1"/>
  <c r="N82" i="17" s="1"/>
  <c r="O82" i="17" s="1"/>
  <c r="P82" i="17" s="1"/>
  <c r="Q82" i="17" s="1"/>
  <c r="R82" i="17" s="1"/>
  <c r="S82" i="17" s="1"/>
  <c r="T82" i="17" s="1"/>
  <c r="U82" i="17" s="1"/>
  <c r="C55" i="17"/>
  <c r="D55" i="17" s="1"/>
  <c r="E55" i="17" s="1"/>
  <c r="F55" i="17" s="1"/>
  <c r="G55" i="17" s="1"/>
  <c r="H55" i="17" s="1"/>
  <c r="I55" i="17" s="1"/>
  <c r="J55" i="17" s="1"/>
  <c r="K55" i="17" s="1"/>
  <c r="L55" i="17" s="1"/>
  <c r="M55" i="17" s="1"/>
  <c r="N55" i="17" s="1"/>
  <c r="O55" i="17" s="1"/>
  <c r="P55" i="17" s="1"/>
  <c r="Q55" i="17" s="1"/>
  <c r="R55" i="17" s="1"/>
  <c r="S55" i="17" s="1"/>
  <c r="T55" i="17" s="1"/>
  <c r="U55" i="17" s="1"/>
  <c r="D10" i="17"/>
  <c r="E10" i="17" s="1"/>
  <c r="F10" i="17" s="1"/>
  <c r="G10" i="17" s="1"/>
  <c r="H10" i="17" s="1"/>
  <c r="I10" i="17" s="1"/>
  <c r="J10" i="17" s="1"/>
  <c r="K10" i="17" s="1"/>
  <c r="L10" i="17" s="1"/>
  <c r="M10" i="17" s="1"/>
  <c r="N10" i="17" s="1"/>
  <c r="O10" i="17" s="1"/>
  <c r="P10" i="17" s="1"/>
  <c r="Q10" i="17" s="1"/>
  <c r="R10" i="17" s="1"/>
  <c r="S10" i="17" s="1"/>
  <c r="T10" i="17" s="1"/>
  <c r="U10" i="17" s="1"/>
  <c r="C10" i="17"/>
  <c r="C91" i="40"/>
  <c r="D91" i="40" s="1"/>
  <c r="E91" i="40" s="1"/>
  <c r="F91" i="40" s="1"/>
  <c r="G91" i="40" s="1"/>
  <c r="H91" i="40" s="1"/>
  <c r="I91" i="40" s="1"/>
  <c r="J91" i="40" s="1"/>
  <c r="K91" i="40" s="1"/>
  <c r="L91" i="40" s="1"/>
  <c r="M91" i="40" s="1"/>
  <c r="N91" i="40" s="1"/>
  <c r="O91" i="40" s="1"/>
  <c r="P91" i="40" s="1"/>
  <c r="Q91" i="40" s="1"/>
  <c r="R91" i="40" s="1"/>
  <c r="S91" i="40" s="1"/>
  <c r="T91" i="40" s="1"/>
  <c r="U91" i="40" s="1"/>
  <c r="C56" i="40"/>
  <c r="D56" i="40" s="1"/>
  <c r="E56" i="40" s="1"/>
  <c r="F56" i="40" s="1"/>
  <c r="G56" i="40" s="1"/>
  <c r="H56" i="40" s="1"/>
  <c r="I56" i="40" s="1"/>
  <c r="J56" i="40" s="1"/>
  <c r="K56" i="40" s="1"/>
  <c r="L56" i="40" s="1"/>
  <c r="M56" i="40" s="1"/>
  <c r="N56" i="40" s="1"/>
  <c r="O56" i="40" s="1"/>
  <c r="P56" i="40" s="1"/>
  <c r="Q56" i="40" s="1"/>
  <c r="R56" i="40" s="1"/>
  <c r="S56" i="40" s="1"/>
  <c r="T56" i="40" s="1"/>
  <c r="U56" i="40" s="1"/>
  <c r="C10" i="40"/>
  <c r="D10" i="40" s="1"/>
  <c r="E10" i="40" s="1"/>
  <c r="F10" i="40" s="1"/>
  <c r="G10" i="40" s="1"/>
  <c r="H10" i="40" s="1"/>
  <c r="I10" i="40" s="1"/>
  <c r="J10" i="40" s="1"/>
  <c r="K10" i="40" s="1"/>
  <c r="L10" i="40" s="1"/>
  <c r="M10" i="40" s="1"/>
  <c r="N10" i="40" s="1"/>
  <c r="O10" i="40" s="1"/>
  <c r="P10" i="40" s="1"/>
  <c r="Q10" i="40" s="1"/>
  <c r="R10" i="40" s="1"/>
  <c r="S10" i="40" s="1"/>
  <c r="T10" i="40" s="1"/>
  <c r="U10" i="40" s="1"/>
  <c r="C99" i="21"/>
  <c r="D99" i="21" s="1"/>
  <c r="E99" i="21" s="1"/>
  <c r="F99" i="21" s="1"/>
  <c r="G99" i="21" s="1"/>
  <c r="H99" i="21" s="1"/>
  <c r="I99" i="21" s="1"/>
  <c r="J99" i="21" s="1"/>
  <c r="K99" i="21" s="1"/>
  <c r="L99" i="21" s="1"/>
  <c r="M99" i="21" s="1"/>
  <c r="N99" i="21" s="1"/>
  <c r="O99" i="21" s="1"/>
  <c r="P99" i="21" s="1"/>
  <c r="Q99" i="21" s="1"/>
  <c r="R99" i="21" s="1"/>
  <c r="S99" i="21" s="1"/>
  <c r="T99" i="21" s="1"/>
  <c r="U99" i="21" s="1"/>
  <c r="C56" i="21"/>
  <c r="D56" i="21" s="1"/>
  <c r="E56" i="21" s="1"/>
  <c r="F56" i="21" s="1"/>
  <c r="G56" i="21" s="1"/>
  <c r="H56" i="21" s="1"/>
  <c r="I56" i="21" s="1"/>
  <c r="J56" i="21" s="1"/>
  <c r="K56" i="21" s="1"/>
  <c r="L56" i="21" s="1"/>
  <c r="M56" i="21" s="1"/>
  <c r="N56" i="21" s="1"/>
  <c r="O56" i="21" s="1"/>
  <c r="P56" i="21" s="1"/>
  <c r="Q56" i="21" s="1"/>
  <c r="R56" i="21" s="1"/>
  <c r="S56" i="21" s="1"/>
  <c r="T56" i="21" s="1"/>
  <c r="U56" i="21" s="1"/>
  <c r="F10" i="21"/>
  <c r="G10" i="21" s="1"/>
  <c r="H10" i="21" s="1"/>
  <c r="I10" i="21" s="1"/>
  <c r="J10" i="21" s="1"/>
  <c r="K10" i="21" s="1"/>
  <c r="L10" i="21" s="1"/>
  <c r="M10" i="21" s="1"/>
  <c r="N10" i="21" s="1"/>
  <c r="O10" i="21" s="1"/>
  <c r="P10" i="21" s="1"/>
  <c r="Q10" i="21" s="1"/>
  <c r="R10" i="21" s="1"/>
  <c r="S10" i="21" s="1"/>
  <c r="T10" i="21" s="1"/>
  <c r="U10" i="21" s="1"/>
  <c r="E10" i="21"/>
  <c r="D10" i="21"/>
  <c r="C10" i="21"/>
  <c r="C86" i="9"/>
  <c r="D86" i="9" s="1"/>
  <c r="E86" i="9" s="1"/>
  <c r="F86" i="9" s="1"/>
  <c r="G86" i="9" s="1"/>
  <c r="H86" i="9" s="1"/>
  <c r="I86" i="9" s="1"/>
  <c r="J86" i="9" s="1"/>
  <c r="K86" i="9" s="1"/>
  <c r="L86" i="9" s="1"/>
  <c r="M86" i="9" s="1"/>
  <c r="N86" i="9" s="1"/>
  <c r="O86" i="9" s="1"/>
  <c r="P86" i="9" s="1"/>
  <c r="Q86" i="9" s="1"/>
  <c r="R86" i="9" s="1"/>
  <c r="S86" i="9" s="1"/>
  <c r="T86" i="9" s="1"/>
  <c r="U86" i="9" s="1"/>
  <c r="F55" i="9"/>
  <c r="G55" i="9" s="1"/>
  <c r="H55" i="9" s="1"/>
  <c r="I55" i="9" s="1"/>
  <c r="J55" i="9" s="1"/>
  <c r="K55" i="9" s="1"/>
  <c r="L55" i="9" s="1"/>
  <c r="M55" i="9" s="1"/>
  <c r="N55" i="9" s="1"/>
  <c r="O55" i="9" s="1"/>
  <c r="P55" i="9" s="1"/>
  <c r="Q55" i="9" s="1"/>
  <c r="R55" i="9" s="1"/>
  <c r="S55" i="9" s="1"/>
  <c r="T55" i="9" s="1"/>
  <c r="U55" i="9" s="1"/>
  <c r="E55" i="9"/>
  <c r="D55" i="9"/>
  <c r="C55" i="9"/>
  <c r="F10" i="9"/>
  <c r="G10" i="9" s="1"/>
  <c r="H10" i="9" s="1"/>
  <c r="I10" i="9" s="1"/>
  <c r="J10" i="9" s="1"/>
  <c r="K10" i="9" s="1"/>
  <c r="L10" i="9" s="1"/>
  <c r="M10" i="9" s="1"/>
  <c r="N10" i="9" s="1"/>
  <c r="O10" i="9" s="1"/>
  <c r="P10" i="9" s="1"/>
  <c r="Q10" i="9" s="1"/>
  <c r="R10" i="9" s="1"/>
  <c r="S10" i="9" s="1"/>
  <c r="T10" i="9" s="1"/>
  <c r="U10" i="9" s="1"/>
  <c r="E10" i="9"/>
  <c r="D10" i="9"/>
  <c r="C10" i="9"/>
  <c r="G18" i="20"/>
  <c r="H18" i="20" l="1"/>
  <c r="I18" i="20" s="1"/>
  <c r="J18" i="20" s="1"/>
  <c r="K18" i="20" s="1"/>
  <c r="L18" i="20" s="1"/>
  <c r="M18" i="20" s="1"/>
  <c r="U104" i="40" l="1"/>
  <c r="T104" i="40"/>
  <c r="S104" i="40"/>
  <c r="R104" i="40"/>
  <c r="Q104" i="40"/>
  <c r="P104" i="40"/>
  <c r="O104" i="40"/>
  <c r="N104" i="40"/>
  <c r="M104" i="40"/>
  <c r="L104" i="40"/>
  <c r="K104" i="40"/>
  <c r="J104" i="40"/>
  <c r="I104" i="40"/>
  <c r="H104" i="40"/>
  <c r="G104" i="40"/>
  <c r="F104" i="40"/>
  <c r="E104" i="40"/>
  <c r="F53" i="44" l="1"/>
  <c r="F57" i="44"/>
  <c r="G57" i="44" s="1"/>
  <c r="H57" i="44" s="1"/>
  <c r="I57" i="44" s="1"/>
  <c r="J57" i="44" s="1"/>
  <c r="K57" i="44" s="1"/>
  <c r="L57" i="44" s="1"/>
  <c r="M57" i="44" s="1"/>
  <c r="N57" i="44" s="1"/>
  <c r="O57" i="44" s="1"/>
  <c r="P57" i="44" s="1"/>
  <c r="Q57" i="44" s="1"/>
  <c r="R57" i="44" s="1"/>
  <c r="S57" i="44" s="1"/>
  <c r="T57" i="44" s="1"/>
  <c r="U57" i="44" s="1"/>
  <c r="V57" i="44" s="1"/>
  <c r="W57" i="44" s="1"/>
  <c r="X57" i="44" s="1"/>
  <c r="F40" i="44"/>
  <c r="G40" i="44" s="1"/>
  <c r="H40" i="44" s="1"/>
  <c r="I40" i="44" s="1"/>
  <c r="J40" i="44" s="1"/>
  <c r="K40" i="44" s="1"/>
  <c r="L40" i="44" s="1"/>
  <c r="M40" i="44" s="1"/>
  <c r="N40" i="44" s="1"/>
  <c r="O40" i="44" s="1"/>
  <c r="P40" i="44" s="1"/>
  <c r="Q40" i="44" s="1"/>
  <c r="R40" i="44" s="1"/>
  <c r="S40" i="44" s="1"/>
  <c r="T40" i="44" s="1"/>
  <c r="U40" i="44" s="1"/>
  <c r="V40" i="44" s="1"/>
  <c r="W40" i="44" s="1"/>
  <c r="X40" i="44" s="1"/>
  <c r="F29" i="44"/>
  <c r="G29" i="44" s="1"/>
  <c r="H29" i="44" s="1"/>
  <c r="I29" i="44" s="1"/>
  <c r="J29" i="44" s="1"/>
  <c r="K29" i="44" s="1"/>
  <c r="L29" i="44" s="1"/>
  <c r="M29" i="44" s="1"/>
  <c r="N29" i="44" s="1"/>
  <c r="O29" i="44" s="1"/>
  <c r="P29" i="44" s="1"/>
  <c r="Q29" i="44" s="1"/>
  <c r="R29" i="44" s="1"/>
  <c r="S29" i="44" s="1"/>
  <c r="T29" i="44" s="1"/>
  <c r="U29" i="44" s="1"/>
  <c r="V29" i="44" s="1"/>
  <c r="W29" i="44" s="1"/>
  <c r="X29" i="44" s="1"/>
  <c r="F26" i="44"/>
  <c r="G26" i="44" s="1"/>
  <c r="H26" i="44" s="1"/>
  <c r="I26" i="44" s="1"/>
  <c r="J26" i="44" s="1"/>
  <c r="K26" i="44" s="1"/>
  <c r="L26" i="44" s="1"/>
  <c r="M26" i="44" s="1"/>
  <c r="N26" i="44" s="1"/>
  <c r="O26" i="44" s="1"/>
  <c r="P26" i="44" s="1"/>
  <c r="Q26" i="44" s="1"/>
  <c r="R26" i="44" s="1"/>
  <c r="S26" i="44" s="1"/>
  <c r="T26" i="44" s="1"/>
  <c r="U26" i="44" s="1"/>
  <c r="V26" i="44" s="1"/>
  <c r="W26" i="44" s="1"/>
  <c r="X26" i="44" s="1"/>
  <c r="F22" i="44"/>
  <c r="G22" i="44" s="1"/>
  <c r="H22" i="44" s="1"/>
  <c r="I22" i="44" s="1"/>
  <c r="J22" i="44" s="1"/>
  <c r="K22" i="44" s="1"/>
  <c r="L22" i="44" s="1"/>
  <c r="M22" i="44" s="1"/>
  <c r="N22" i="44" s="1"/>
  <c r="O22" i="44" s="1"/>
  <c r="P22" i="44" s="1"/>
  <c r="Q22" i="44" s="1"/>
  <c r="R22" i="44" s="1"/>
  <c r="S22" i="44" s="1"/>
  <c r="T22" i="44" s="1"/>
  <c r="U22" i="44" s="1"/>
  <c r="V22" i="44" s="1"/>
  <c r="W22" i="44" s="1"/>
  <c r="X22" i="44" s="1"/>
  <c r="F4" i="44"/>
  <c r="G4" i="44" s="1"/>
  <c r="H4" i="44" s="1"/>
  <c r="I4" i="44" s="1"/>
  <c r="J4" i="44" s="1"/>
  <c r="K4" i="44" s="1"/>
  <c r="L4" i="44" s="1"/>
  <c r="M4" i="44" s="1"/>
  <c r="N4" i="44" s="1"/>
  <c r="O4" i="44" s="1"/>
  <c r="P4" i="44" s="1"/>
  <c r="Q4" i="44" s="1"/>
  <c r="R4" i="44" s="1"/>
  <c r="S4" i="44" s="1"/>
  <c r="T4" i="44" s="1"/>
  <c r="U4" i="44" s="1"/>
  <c r="V4" i="44" s="1"/>
  <c r="W4" i="44" s="1"/>
  <c r="X4" i="44" s="1"/>
  <c r="B59" i="44"/>
  <c r="B60" i="44" s="1"/>
  <c r="B61" i="44" s="1"/>
  <c r="B62" i="44" s="1"/>
  <c r="E4" i="44" l="1"/>
  <c r="E22" i="44"/>
  <c r="E26" i="44"/>
  <c r="E29" i="44"/>
  <c r="C6" i="8" l="1"/>
  <c r="F35" i="44" l="1"/>
  <c r="E35" i="44" s="1"/>
  <c r="C47" i="40"/>
  <c r="B17" i="40"/>
  <c r="C5" i="40"/>
  <c r="B5" i="40"/>
  <c r="O112" i="21" l="1"/>
  <c r="S112" i="21"/>
  <c r="H112" i="21"/>
  <c r="T112" i="21"/>
  <c r="G112" i="21"/>
  <c r="I112" i="21"/>
  <c r="J112" i="21"/>
  <c r="L112" i="21"/>
  <c r="M112" i="21"/>
  <c r="N112" i="21"/>
  <c r="P112" i="21"/>
  <c r="U112" i="21"/>
  <c r="K112" i="21"/>
  <c r="Q112" i="21"/>
  <c r="R112" i="21"/>
  <c r="E112" i="21"/>
  <c r="F112" i="21"/>
  <c r="C7" i="40"/>
  <c r="C6" i="40"/>
  <c r="H64" i="40" s="1"/>
  <c r="D65" i="40"/>
  <c r="H65" i="40" l="1"/>
  <c r="G65" i="40"/>
  <c r="F65" i="40"/>
  <c r="E65" i="40"/>
  <c r="G64" i="40"/>
  <c r="F64" i="40"/>
  <c r="E64" i="40"/>
  <c r="D64" i="40"/>
  <c r="B5" i="22" l="1"/>
  <c r="B5" i="19"/>
  <c r="B5" i="18"/>
  <c r="B5" i="17"/>
  <c r="B5" i="21"/>
  <c r="B5" i="9"/>
  <c r="G99" i="9" l="1"/>
  <c r="H99" i="9"/>
  <c r="I99" i="9"/>
  <c r="J99" i="9"/>
  <c r="K99" i="9"/>
  <c r="L99" i="9"/>
  <c r="M99" i="9"/>
  <c r="N99" i="9"/>
  <c r="O99" i="9"/>
  <c r="P99" i="9"/>
  <c r="Q99" i="9"/>
  <c r="R99" i="9"/>
  <c r="S99" i="9"/>
  <c r="T99" i="9"/>
  <c r="U99" i="9"/>
  <c r="F99" i="9"/>
  <c r="E99" i="9" l="1"/>
  <c r="B17" i="21" l="1"/>
  <c r="B16" i="19"/>
  <c r="B16" i="18"/>
  <c r="B16" i="17"/>
  <c r="B16" i="9"/>
  <c r="E96" i="19" l="1"/>
  <c r="C48" i="40" l="1"/>
  <c r="F36" i="18"/>
  <c r="F35" i="9"/>
  <c r="N36" i="18"/>
  <c r="F37" i="18"/>
  <c r="O23" i="9"/>
  <c r="P23" i="9"/>
  <c r="Q23" i="9"/>
  <c r="R23" i="9"/>
  <c r="S23" i="9"/>
  <c r="T23" i="9"/>
  <c r="U23" i="9"/>
  <c r="G23" i="9"/>
  <c r="H23" i="9"/>
  <c r="I23" i="9"/>
  <c r="J23" i="9"/>
  <c r="L23" i="9"/>
  <c r="N23" i="9"/>
  <c r="K23" i="9"/>
  <c r="M23" i="9"/>
  <c r="D87" i="21"/>
  <c r="C42" i="40"/>
  <c r="O72" i="40"/>
  <c r="D15" i="40"/>
  <c r="D73" i="40" s="1"/>
  <c r="N72" i="40"/>
  <c r="S15" i="40"/>
  <c r="S73" i="40" s="1"/>
  <c r="C15" i="40"/>
  <c r="M72" i="40"/>
  <c r="L72" i="40"/>
  <c r="K72" i="40"/>
  <c r="O15" i="40"/>
  <c r="O73" i="40" s="1"/>
  <c r="D14" i="40"/>
  <c r="M15" i="40"/>
  <c r="M73" i="40" s="1"/>
  <c r="L15" i="40"/>
  <c r="L73" i="40" s="1"/>
  <c r="G19" i="40"/>
  <c r="D36" i="40"/>
  <c r="S72" i="40"/>
  <c r="C36" i="40"/>
  <c r="R15" i="40"/>
  <c r="R73" i="40" s="1"/>
  <c r="E37" i="40"/>
  <c r="Q15" i="40"/>
  <c r="Q73" i="40" s="1"/>
  <c r="D37" i="40"/>
  <c r="P15" i="40"/>
  <c r="P73" i="40" s="1"/>
  <c r="E14" i="40"/>
  <c r="C37" i="40"/>
  <c r="J72" i="40"/>
  <c r="H19" i="40"/>
  <c r="K15" i="40"/>
  <c r="K73" i="40" s="1"/>
  <c r="J15" i="40"/>
  <c r="J73" i="40" s="1"/>
  <c r="T72" i="40"/>
  <c r="E19" i="40"/>
  <c r="H15" i="40"/>
  <c r="H73" i="40" s="1"/>
  <c r="D19" i="40"/>
  <c r="I72" i="40"/>
  <c r="N15" i="40"/>
  <c r="N73" i="40" s="1"/>
  <c r="C14" i="40"/>
  <c r="H72" i="40"/>
  <c r="G72" i="40"/>
  <c r="F72" i="40"/>
  <c r="U72" i="40"/>
  <c r="I15" i="40"/>
  <c r="I73" i="40" s="1"/>
  <c r="D42" i="40"/>
  <c r="C19" i="40"/>
  <c r="P72" i="40"/>
  <c r="U15" i="40"/>
  <c r="U73" i="40" s="1"/>
  <c r="G15" i="40"/>
  <c r="G73" i="40" s="1"/>
  <c r="R72" i="40"/>
  <c r="Q72" i="40"/>
  <c r="F15" i="40"/>
  <c r="F73" i="40" s="1"/>
  <c r="C3" i="40"/>
  <c r="F98" i="9" l="1"/>
  <c r="W50" i="44"/>
  <c r="V50" i="44"/>
  <c r="I48" i="44"/>
  <c r="U50" i="44"/>
  <c r="T50" i="44"/>
  <c r="S50" i="44"/>
  <c r="P50" i="44"/>
  <c r="R50" i="44"/>
  <c r="N50" i="44"/>
  <c r="Q50" i="44"/>
  <c r="O50" i="44"/>
  <c r="M50" i="44"/>
  <c r="L50" i="44"/>
  <c r="K50" i="44"/>
  <c r="J50" i="44"/>
  <c r="X50" i="44"/>
  <c r="F19" i="40"/>
  <c r="F64" i="9"/>
  <c r="F34" i="44"/>
  <c r="F49" i="44"/>
  <c r="F15" i="44"/>
  <c r="C56" i="9"/>
  <c r="C57" i="21"/>
  <c r="F5" i="44" s="1"/>
  <c r="C57" i="19"/>
  <c r="C56" i="18"/>
  <c r="C57" i="40"/>
  <c r="C56" i="17"/>
  <c r="C22" i="19"/>
  <c r="C22" i="9"/>
  <c r="C22" i="18"/>
  <c r="C27" i="21"/>
  <c r="C27" i="40"/>
  <c r="C26" i="9"/>
  <c r="C26" i="17"/>
  <c r="C26" i="18"/>
  <c r="C27" i="19"/>
  <c r="N13" i="9"/>
  <c r="N13" i="19"/>
  <c r="N13" i="18"/>
  <c r="N13" i="17"/>
  <c r="N14" i="40"/>
  <c r="N14" i="21"/>
  <c r="Q9" i="44" s="1"/>
  <c r="U13" i="9"/>
  <c r="U13" i="19"/>
  <c r="U13" i="18"/>
  <c r="U13" i="17"/>
  <c r="U14" i="40"/>
  <c r="U14" i="21"/>
  <c r="X9" i="44" s="1"/>
  <c r="R13" i="9"/>
  <c r="R13" i="19"/>
  <c r="R13" i="18"/>
  <c r="R13" i="17"/>
  <c r="R14" i="40"/>
  <c r="R14" i="21"/>
  <c r="U9" i="44" s="1"/>
  <c r="F13" i="9"/>
  <c r="F62" i="9" s="1"/>
  <c r="F13" i="19"/>
  <c r="F13" i="18"/>
  <c r="F13" i="17"/>
  <c r="F14" i="40"/>
  <c r="F14" i="21"/>
  <c r="I9" i="44" s="1"/>
  <c r="H13" i="9"/>
  <c r="H13" i="18"/>
  <c r="H14" i="21"/>
  <c r="K9" i="44" s="1"/>
  <c r="H13" i="17"/>
  <c r="H14" i="40"/>
  <c r="H13" i="19"/>
  <c r="I13" i="9"/>
  <c r="I14" i="40"/>
  <c r="I14" i="21"/>
  <c r="L9" i="44" s="1"/>
  <c r="I13" i="18"/>
  <c r="I13" i="17"/>
  <c r="I13" i="19"/>
  <c r="O13" i="9"/>
  <c r="O13" i="17"/>
  <c r="O14" i="21"/>
  <c r="R9" i="44" s="1"/>
  <c r="O14" i="40"/>
  <c r="O13" i="19"/>
  <c r="O13" i="18"/>
  <c r="T13" i="9"/>
  <c r="T14" i="21"/>
  <c r="W9" i="44" s="1"/>
  <c r="T13" i="19"/>
  <c r="T13" i="18"/>
  <c r="T13" i="17"/>
  <c r="T14" i="40"/>
  <c r="P13" i="9"/>
  <c r="P14" i="21"/>
  <c r="S9" i="44" s="1"/>
  <c r="P13" i="19"/>
  <c r="P13" i="18"/>
  <c r="P13" i="17"/>
  <c r="P14" i="40"/>
  <c r="M13" i="9"/>
  <c r="M14" i="40"/>
  <c r="M13" i="19"/>
  <c r="M13" i="18"/>
  <c r="M13" i="17"/>
  <c r="M14" i="21"/>
  <c r="P9" i="44" s="1"/>
  <c r="J13" i="9"/>
  <c r="J13" i="17"/>
  <c r="J13" i="18"/>
  <c r="J14" i="40"/>
  <c r="J14" i="21"/>
  <c r="M9" i="44" s="1"/>
  <c r="J13" i="19"/>
  <c r="S13" i="9"/>
  <c r="S13" i="19"/>
  <c r="S13" i="18"/>
  <c r="S13" i="17"/>
  <c r="S14" i="40"/>
  <c r="S14" i="21"/>
  <c r="V9" i="44" s="1"/>
  <c r="G13" i="9"/>
  <c r="G13" i="18"/>
  <c r="G14" i="21"/>
  <c r="J9" i="44" s="1"/>
  <c r="G13" i="19"/>
  <c r="G13" i="17"/>
  <c r="G14" i="40"/>
  <c r="K13" i="9"/>
  <c r="K13" i="17"/>
  <c r="K14" i="21"/>
  <c r="N9" i="44" s="1"/>
  <c r="K14" i="40"/>
  <c r="K13" i="18"/>
  <c r="K13" i="19"/>
  <c r="Q13" i="9"/>
  <c r="Q13" i="19"/>
  <c r="Q13" i="18"/>
  <c r="Q13" i="17"/>
  <c r="Q14" i="40"/>
  <c r="Q14" i="21"/>
  <c r="T9" i="44" s="1"/>
  <c r="L13" i="9"/>
  <c r="L14" i="40"/>
  <c r="L14" i="21"/>
  <c r="O9" i="44" s="1"/>
  <c r="L13" i="17"/>
  <c r="L13" i="19"/>
  <c r="L13" i="18"/>
  <c r="F23" i="9"/>
  <c r="D63" i="40"/>
  <c r="E63" i="40"/>
  <c r="N37" i="9"/>
  <c r="N37" i="18"/>
  <c r="G37" i="18" s="1"/>
  <c r="H37" i="18" s="1"/>
  <c r="I37" i="18" s="1"/>
  <c r="J37" i="18" s="1"/>
  <c r="K37" i="18" s="1"/>
  <c r="L37" i="18" s="1"/>
  <c r="M37" i="18" s="1"/>
  <c r="G36" i="18"/>
  <c r="H36" i="18" s="1"/>
  <c r="I36" i="18" s="1"/>
  <c r="J36" i="18" s="1"/>
  <c r="K36" i="18" s="1"/>
  <c r="L36" i="18" s="1"/>
  <c r="M36" i="18" s="1"/>
  <c r="F41" i="17"/>
  <c r="F42" i="19"/>
  <c r="F38" i="19"/>
  <c r="F38" i="40"/>
  <c r="F37" i="17"/>
  <c r="F37" i="40"/>
  <c r="F37" i="19"/>
  <c r="F36" i="17"/>
  <c r="F41" i="9"/>
  <c r="F42" i="21"/>
  <c r="I17" i="44" s="1"/>
  <c r="F42" i="40"/>
  <c r="F37" i="9"/>
  <c r="F38" i="21"/>
  <c r="I12" i="44" s="1"/>
  <c r="F36" i="9"/>
  <c r="F37" i="21"/>
  <c r="I11" i="44" s="1"/>
  <c r="N41" i="9"/>
  <c r="N36" i="9"/>
  <c r="D79" i="40"/>
  <c r="C79" i="40"/>
  <c r="T15" i="40"/>
  <c r="T73" i="40" s="1"/>
  <c r="T74" i="40" s="1"/>
  <c r="C12" i="40"/>
  <c r="J74" i="40"/>
  <c r="D79" i="21"/>
  <c r="D78" i="9"/>
  <c r="C79" i="21"/>
  <c r="C78" i="9"/>
  <c r="U74" i="40"/>
  <c r="I19" i="40"/>
  <c r="I65" i="40"/>
  <c r="J19" i="40"/>
  <c r="J65" i="40"/>
  <c r="K19" i="40"/>
  <c r="K65" i="40"/>
  <c r="P74" i="40"/>
  <c r="S74" i="40"/>
  <c r="F74" i="40"/>
  <c r="G74" i="40"/>
  <c r="Q74" i="40"/>
  <c r="N19" i="40"/>
  <c r="N65" i="40"/>
  <c r="E14" i="9"/>
  <c r="E15" i="40"/>
  <c r="E73" i="40" s="1"/>
  <c r="E36" i="19"/>
  <c r="E36" i="40"/>
  <c r="K74" i="40"/>
  <c r="D12" i="21"/>
  <c r="D12" i="40"/>
  <c r="P19" i="40"/>
  <c r="P65" i="40"/>
  <c r="U19" i="40"/>
  <c r="U65" i="40"/>
  <c r="D71" i="9"/>
  <c r="D72" i="40"/>
  <c r="I74" i="40"/>
  <c r="Q19" i="40"/>
  <c r="Q65" i="40"/>
  <c r="E23" i="9"/>
  <c r="L19" i="40"/>
  <c r="L65" i="40"/>
  <c r="S19" i="40"/>
  <c r="S65" i="40"/>
  <c r="N74" i="40"/>
  <c r="T19" i="40"/>
  <c r="T65" i="40"/>
  <c r="C37" i="9"/>
  <c r="C38" i="40"/>
  <c r="D37" i="9"/>
  <c r="D38" i="40"/>
  <c r="O19" i="40"/>
  <c r="O65" i="40"/>
  <c r="E71" i="9"/>
  <c r="E72" i="40"/>
  <c r="E37" i="9"/>
  <c r="E38" i="40"/>
  <c r="O74" i="40"/>
  <c r="H74" i="40"/>
  <c r="R19" i="40"/>
  <c r="R65" i="40"/>
  <c r="E42" i="19"/>
  <c r="E42" i="40"/>
  <c r="M19" i="40"/>
  <c r="M65" i="40"/>
  <c r="R74" i="40"/>
  <c r="M74" i="40"/>
  <c r="L74" i="40"/>
  <c r="C58" i="8"/>
  <c r="T14" i="9"/>
  <c r="T14" i="19"/>
  <c r="T14" i="18"/>
  <c r="T14" i="17"/>
  <c r="T15" i="21"/>
  <c r="J14" i="9"/>
  <c r="J14" i="19"/>
  <c r="J14" i="18"/>
  <c r="J15" i="21"/>
  <c r="J14" i="17"/>
  <c r="U14" i="9"/>
  <c r="U14" i="19"/>
  <c r="U14" i="18"/>
  <c r="U14" i="17"/>
  <c r="U15" i="21"/>
  <c r="K14" i="9"/>
  <c r="K14" i="19"/>
  <c r="K14" i="18"/>
  <c r="K14" i="17"/>
  <c r="K15" i="21"/>
  <c r="L14" i="9"/>
  <c r="L14" i="18"/>
  <c r="L14" i="17"/>
  <c r="L15" i="21"/>
  <c r="L14" i="19"/>
  <c r="O14" i="9"/>
  <c r="O14" i="19"/>
  <c r="O14" i="18"/>
  <c r="O14" i="17"/>
  <c r="O15" i="21"/>
  <c r="R14" i="9"/>
  <c r="R15" i="21"/>
  <c r="R14" i="18"/>
  <c r="R14" i="17"/>
  <c r="R14" i="19"/>
  <c r="I14" i="9"/>
  <c r="I14" i="19"/>
  <c r="I15" i="21"/>
  <c r="I14" i="17"/>
  <c r="I14" i="18"/>
  <c r="H14" i="9"/>
  <c r="H14" i="19"/>
  <c r="H14" i="17"/>
  <c r="H14" i="18"/>
  <c r="H15" i="21"/>
  <c r="Q14" i="9"/>
  <c r="Q14" i="19"/>
  <c r="Q15" i="21"/>
  <c r="Q14" i="18"/>
  <c r="Q14" i="17"/>
  <c r="S14" i="9"/>
  <c r="S14" i="19"/>
  <c r="S14" i="18"/>
  <c r="S14" i="17"/>
  <c r="S15" i="21"/>
  <c r="P14" i="9"/>
  <c r="P14" i="18"/>
  <c r="P14" i="17"/>
  <c r="P14" i="19"/>
  <c r="P15" i="21"/>
  <c r="F14" i="9"/>
  <c r="F72" i="9" s="1"/>
  <c r="F14" i="19"/>
  <c r="F14" i="17"/>
  <c r="F14" i="18"/>
  <c r="F15" i="21"/>
  <c r="N14" i="9"/>
  <c r="N14" i="19"/>
  <c r="N14" i="18"/>
  <c r="N14" i="17"/>
  <c r="N15" i="21"/>
  <c r="G14" i="9"/>
  <c r="G14" i="19"/>
  <c r="G14" i="18"/>
  <c r="G15" i="21"/>
  <c r="G14" i="17"/>
  <c r="M14" i="9"/>
  <c r="M14" i="19"/>
  <c r="M14" i="18"/>
  <c r="M14" i="17"/>
  <c r="M15" i="21"/>
  <c r="D37" i="19"/>
  <c r="D36" i="18"/>
  <c r="E37" i="18"/>
  <c r="E38" i="19"/>
  <c r="C37" i="19"/>
  <c r="C36" i="18"/>
  <c r="D37" i="18"/>
  <c r="D38" i="19"/>
  <c r="C38" i="19"/>
  <c r="C37" i="18"/>
  <c r="E37" i="19"/>
  <c r="E36" i="18"/>
  <c r="D37" i="21"/>
  <c r="G11" i="44" s="1"/>
  <c r="D36" i="17"/>
  <c r="D36" i="9"/>
  <c r="E38" i="21"/>
  <c r="H12" i="44" s="1"/>
  <c r="E37" i="17"/>
  <c r="C36" i="17"/>
  <c r="C37" i="21"/>
  <c r="F11" i="44" s="1"/>
  <c r="C36" i="9"/>
  <c r="C38" i="21"/>
  <c r="F12" i="44" s="1"/>
  <c r="C37" i="17"/>
  <c r="D37" i="17"/>
  <c r="D38" i="21"/>
  <c r="G12" i="44" s="1"/>
  <c r="E36" i="17"/>
  <c r="E36" i="9"/>
  <c r="E37" i="21"/>
  <c r="H11" i="44" s="1"/>
  <c r="E13" i="17"/>
  <c r="E13" i="18"/>
  <c r="E13" i="19"/>
  <c r="E14" i="17"/>
  <c r="E14" i="18"/>
  <c r="E14" i="19"/>
  <c r="E35" i="9"/>
  <c r="E35" i="18"/>
  <c r="E35" i="17"/>
  <c r="E41" i="17"/>
  <c r="E41" i="18"/>
  <c r="E42" i="21"/>
  <c r="H17" i="44" s="1"/>
  <c r="E41" i="9"/>
  <c r="E15" i="21"/>
  <c r="E14" i="21"/>
  <c r="H9" i="44" s="1"/>
  <c r="E13" i="9"/>
  <c r="E36" i="21"/>
  <c r="C5" i="9"/>
  <c r="C6" i="9" s="1"/>
  <c r="C29" i="18" l="1"/>
  <c r="F25" i="44"/>
  <c r="G7" i="44"/>
  <c r="I47" i="44"/>
  <c r="F31" i="44"/>
  <c r="F41" i="44"/>
  <c r="I51" i="44"/>
  <c r="H48" i="44"/>
  <c r="F24" i="44"/>
  <c r="I24" i="44"/>
  <c r="F30" i="44"/>
  <c r="G31" i="44"/>
  <c r="H47" i="44"/>
  <c r="H50" i="44"/>
  <c r="I31" i="44"/>
  <c r="F46" i="44"/>
  <c r="I50" i="44"/>
  <c r="H32" i="44"/>
  <c r="H25" i="44"/>
  <c r="G46" i="44"/>
  <c r="I25" i="44"/>
  <c r="G24" i="44"/>
  <c r="I32" i="44"/>
  <c r="G25" i="44"/>
  <c r="H13" i="44"/>
  <c r="Q46" i="44"/>
  <c r="C30" i="19"/>
  <c r="H46" i="44"/>
  <c r="Q51" i="44"/>
  <c r="F23" i="44"/>
  <c r="H24" i="44"/>
  <c r="F32" i="44"/>
  <c r="F47" i="44"/>
  <c r="C11" i="22"/>
  <c r="C15" i="22" s="1"/>
  <c r="H31" i="44"/>
  <c r="G47" i="44"/>
  <c r="H51" i="44"/>
  <c r="G32" i="44"/>
  <c r="I46" i="44"/>
  <c r="Q47" i="44"/>
  <c r="F27" i="44"/>
  <c r="H2" i="43" a="1"/>
  <c r="H2" i="43" s="1"/>
  <c r="J63" i="40"/>
  <c r="T63" i="40"/>
  <c r="I63" i="40"/>
  <c r="G63" i="40"/>
  <c r="H63" i="40"/>
  <c r="L63" i="40"/>
  <c r="U63" i="40"/>
  <c r="Q63" i="40"/>
  <c r="M63" i="40"/>
  <c r="O63" i="40"/>
  <c r="S63" i="40"/>
  <c r="F63" i="40"/>
  <c r="P63" i="40"/>
  <c r="N63" i="40"/>
  <c r="K63" i="40"/>
  <c r="R63" i="40"/>
  <c r="O41" i="9"/>
  <c r="U41" i="9"/>
  <c r="T41" i="9"/>
  <c r="S41" i="9"/>
  <c r="R41" i="9"/>
  <c r="Q41" i="9"/>
  <c r="P41" i="9"/>
  <c r="F32" i="9"/>
  <c r="N41" i="18"/>
  <c r="D27" i="40"/>
  <c r="M36" i="17"/>
  <c r="G37" i="9"/>
  <c r="N36" i="17"/>
  <c r="U36" i="9"/>
  <c r="T36" i="9"/>
  <c r="S36" i="9"/>
  <c r="R36" i="9"/>
  <c r="Q36" i="9"/>
  <c r="P36" i="9"/>
  <c r="N37" i="17"/>
  <c r="U37" i="9"/>
  <c r="T37" i="9"/>
  <c r="S37" i="9"/>
  <c r="R37" i="9"/>
  <c r="Q37" i="9"/>
  <c r="P37" i="9"/>
  <c r="L37" i="19"/>
  <c r="M37" i="19"/>
  <c r="J37" i="19"/>
  <c r="H37" i="19"/>
  <c r="G37" i="19"/>
  <c r="I37" i="19"/>
  <c r="K37" i="19"/>
  <c r="K37" i="17"/>
  <c r="M37" i="17"/>
  <c r="J37" i="17"/>
  <c r="K38" i="19"/>
  <c r="M38" i="19"/>
  <c r="L38" i="19"/>
  <c r="H38" i="19"/>
  <c r="I38" i="19"/>
  <c r="G38" i="19"/>
  <c r="J38" i="19"/>
  <c r="N42" i="40"/>
  <c r="N41" i="17"/>
  <c r="N42" i="19"/>
  <c r="H41" i="9"/>
  <c r="N42" i="21"/>
  <c r="Q17" i="44" s="1"/>
  <c r="M41" i="9"/>
  <c r="J41" i="9"/>
  <c r="K41" i="9"/>
  <c r="I41" i="9"/>
  <c r="L41" i="9"/>
  <c r="D74" i="40"/>
  <c r="G41" i="9"/>
  <c r="I2" i="43" a="1"/>
  <c r="I2" i="43" s="1"/>
  <c r="D12" i="18"/>
  <c r="D60" i="40"/>
  <c r="D52" i="40"/>
  <c r="E74" i="40"/>
  <c r="E98" i="9"/>
  <c r="D63" i="9"/>
  <c r="D64" i="9"/>
  <c r="O37" i="9"/>
  <c r="O36" i="9"/>
  <c r="E32" i="9"/>
  <c r="D41" i="17"/>
  <c r="C23" i="9"/>
  <c r="D23" i="9"/>
  <c r="C3" i="9"/>
  <c r="O51" i="44" l="1"/>
  <c r="X47" i="44"/>
  <c r="T51" i="44"/>
  <c r="V51" i="44"/>
  <c r="P32" i="44"/>
  <c r="R46" i="44"/>
  <c r="N25" i="44"/>
  <c r="T46" i="44"/>
  <c r="W51" i="44"/>
  <c r="P25" i="44"/>
  <c r="S46" i="44"/>
  <c r="M51" i="44"/>
  <c r="R47" i="44"/>
  <c r="P51" i="44"/>
  <c r="U46" i="44"/>
  <c r="X51" i="44"/>
  <c r="U51" i="44"/>
  <c r="H52" i="44"/>
  <c r="N51" i="44"/>
  <c r="V46" i="44"/>
  <c r="R51" i="44"/>
  <c r="K51" i="44"/>
  <c r="J31" i="44"/>
  <c r="W46" i="44"/>
  <c r="L51" i="44"/>
  <c r="K31" i="44"/>
  <c r="C16" i="22"/>
  <c r="Q24" i="44"/>
  <c r="C17" i="22"/>
  <c r="S51" i="44"/>
  <c r="X46" i="44"/>
  <c r="P31" i="44"/>
  <c r="H37" i="9"/>
  <c r="I37" i="9" s="1"/>
  <c r="J47" i="44"/>
  <c r="C18" i="22"/>
  <c r="O31" i="44"/>
  <c r="P24" i="44"/>
  <c r="C14" i="22"/>
  <c r="W47" i="44"/>
  <c r="M25" i="44"/>
  <c r="J32" i="44"/>
  <c r="S47" i="44"/>
  <c r="G50" i="44"/>
  <c r="G28" i="44"/>
  <c r="T47" i="44"/>
  <c r="C23" i="19"/>
  <c r="C23" i="18"/>
  <c r="F50" i="44"/>
  <c r="Q25" i="44"/>
  <c r="K32" i="44"/>
  <c r="U47" i="44"/>
  <c r="J51" i="44"/>
  <c r="O32" i="44"/>
  <c r="V47" i="44"/>
  <c r="I52" i="44"/>
  <c r="L31" i="44"/>
  <c r="M31" i="44"/>
  <c r="N32" i="44"/>
  <c r="N31" i="44"/>
  <c r="L32" i="44"/>
  <c r="M32" i="44"/>
  <c r="G38" i="9"/>
  <c r="O42" i="40"/>
  <c r="G38" i="21"/>
  <c r="J12" i="44" s="1"/>
  <c r="M41" i="18"/>
  <c r="G37" i="17"/>
  <c r="G38" i="40"/>
  <c r="E27" i="40"/>
  <c r="D50" i="40"/>
  <c r="E51" i="40" s="1"/>
  <c r="D51" i="40"/>
  <c r="M41" i="17"/>
  <c r="M42" i="19"/>
  <c r="M42" i="21"/>
  <c r="M42" i="40"/>
  <c r="N38" i="9"/>
  <c r="N39" i="40" s="1"/>
  <c r="E43" i="40"/>
  <c r="C43" i="40"/>
  <c r="D43" i="40"/>
  <c r="N37" i="40"/>
  <c r="N38" i="40"/>
  <c r="O38" i="40"/>
  <c r="G42" i="40"/>
  <c r="D24" i="40"/>
  <c r="K42" i="40"/>
  <c r="J42" i="40"/>
  <c r="I42" i="40"/>
  <c r="C24" i="40"/>
  <c r="H42" i="40"/>
  <c r="L42" i="40"/>
  <c r="O37" i="21"/>
  <c r="R11" i="44" s="1"/>
  <c r="O37" i="40"/>
  <c r="E96" i="9"/>
  <c r="T38" i="9"/>
  <c r="T39" i="40" s="1"/>
  <c r="U38" i="9"/>
  <c r="U39" i="40" s="1"/>
  <c r="S38" i="9"/>
  <c r="L41" i="17"/>
  <c r="N37" i="21"/>
  <c r="Q11" i="44" s="1"/>
  <c r="L42" i="21"/>
  <c r="O17" i="44" s="1"/>
  <c r="C24" i="21"/>
  <c r="F16" i="44" s="1"/>
  <c r="C23" i="17"/>
  <c r="D23" i="17"/>
  <c r="D24" i="21"/>
  <c r="H38" i="21" l="1"/>
  <c r="K12" i="44" s="1"/>
  <c r="K47" i="44"/>
  <c r="C77" i="21"/>
  <c r="F6" i="44" s="1"/>
  <c r="C77" i="40"/>
  <c r="F42" i="44"/>
  <c r="L47" i="44"/>
  <c r="C78" i="21"/>
  <c r="C78" i="40"/>
  <c r="G16" i="44"/>
  <c r="P17" i="44"/>
  <c r="F33" i="44"/>
  <c r="H38" i="40"/>
  <c r="J25" i="44"/>
  <c r="M38" i="9"/>
  <c r="L38" i="9"/>
  <c r="J38" i="9"/>
  <c r="J39" i="40" s="1"/>
  <c r="F38" i="9"/>
  <c r="F39" i="40" s="1"/>
  <c r="K38" i="9"/>
  <c r="K39" i="40" s="1"/>
  <c r="I38" i="9"/>
  <c r="I39" i="40" s="1"/>
  <c r="H38" i="9"/>
  <c r="C33" i="40"/>
  <c r="D33" i="40"/>
  <c r="I38" i="40"/>
  <c r="H37" i="17"/>
  <c r="F27" i="40"/>
  <c r="J37" i="9"/>
  <c r="I38" i="21"/>
  <c r="L12" i="44" s="1"/>
  <c r="U42" i="40"/>
  <c r="Q42" i="40"/>
  <c r="P42" i="40"/>
  <c r="S42" i="40"/>
  <c r="R42" i="40"/>
  <c r="T42" i="40"/>
  <c r="G39" i="40"/>
  <c r="E39" i="40"/>
  <c r="E101" i="40"/>
  <c r="E101" i="9"/>
  <c r="F43" i="21"/>
  <c r="F43" i="40"/>
  <c r="C39" i="40"/>
  <c r="S39" i="21"/>
  <c r="S39" i="40"/>
  <c r="S43" i="21"/>
  <c r="S43" i="40"/>
  <c r="G43" i="21"/>
  <c r="G43" i="40"/>
  <c r="P43" i="21"/>
  <c r="P43" i="40"/>
  <c r="O43" i="21"/>
  <c r="O43" i="40"/>
  <c r="T43" i="21"/>
  <c r="T43" i="40"/>
  <c r="I43" i="21"/>
  <c r="I43" i="40"/>
  <c r="Q43" i="21"/>
  <c r="Q43" i="40"/>
  <c r="J43" i="21"/>
  <c r="J43" i="40"/>
  <c r="H43" i="21"/>
  <c r="H43" i="40"/>
  <c r="K43" i="21"/>
  <c r="K43" i="40"/>
  <c r="L43" i="21"/>
  <c r="L43" i="40"/>
  <c r="R43" i="21"/>
  <c r="R43" i="40"/>
  <c r="U43" i="21"/>
  <c r="U43" i="40"/>
  <c r="M43" i="21"/>
  <c r="M43" i="40"/>
  <c r="N43" i="21"/>
  <c r="N43" i="40"/>
  <c r="D39" i="40"/>
  <c r="D43" i="21"/>
  <c r="D42" i="17"/>
  <c r="E43" i="21"/>
  <c r="E42" i="17"/>
  <c r="C43" i="21"/>
  <c r="C42" i="17"/>
  <c r="J11" i="20"/>
  <c r="C5" i="22"/>
  <c r="C5" i="19"/>
  <c r="C6" i="19" s="1"/>
  <c r="C5" i="18"/>
  <c r="C6" i="18" s="1"/>
  <c r="C5" i="17"/>
  <c r="C6" i="17" s="1"/>
  <c r="K25" i="44" l="1"/>
  <c r="M47" i="44"/>
  <c r="L39" i="40"/>
  <c r="M39" i="40"/>
  <c r="J38" i="40"/>
  <c r="G27" i="40"/>
  <c r="K37" i="9"/>
  <c r="J38" i="21"/>
  <c r="M12" i="44" s="1"/>
  <c r="G2" i="43" a="1"/>
  <c r="G2" i="43" s="1"/>
  <c r="H39" i="21"/>
  <c r="H39" i="40"/>
  <c r="C3" i="22"/>
  <c r="C3" i="17"/>
  <c r="C3" i="18"/>
  <c r="C3" i="19"/>
  <c r="S70" i="17"/>
  <c r="S71" i="19"/>
  <c r="T71" i="19"/>
  <c r="U71" i="19"/>
  <c r="S70" i="18"/>
  <c r="T70" i="18"/>
  <c r="U70" i="18"/>
  <c r="T70" i="17"/>
  <c r="U70" i="17"/>
  <c r="L24" i="19"/>
  <c r="N47" i="44" l="1"/>
  <c r="D92" i="18"/>
  <c r="C92" i="18"/>
  <c r="C92" i="17"/>
  <c r="D92" i="17"/>
  <c r="D93" i="19"/>
  <c r="C93" i="19"/>
  <c r="K38" i="40"/>
  <c r="H27" i="40"/>
  <c r="L37" i="9"/>
  <c r="K38" i="21"/>
  <c r="N12" i="44" s="1"/>
  <c r="Q38" i="9"/>
  <c r="Q39" i="40" s="1"/>
  <c r="O38" i="9"/>
  <c r="O39" i="40" s="1"/>
  <c r="P38" i="9"/>
  <c r="P39" i="40" s="1"/>
  <c r="R38" i="9"/>
  <c r="C36" i="19"/>
  <c r="C35" i="17"/>
  <c r="C36" i="21"/>
  <c r="F13" i="44" s="1"/>
  <c r="C35" i="18"/>
  <c r="D35" i="18"/>
  <c r="D36" i="21"/>
  <c r="G13" i="44" s="1"/>
  <c r="D36" i="19"/>
  <c r="D35" i="17"/>
  <c r="C12" i="19"/>
  <c r="C12" i="21"/>
  <c r="F7" i="44" s="1"/>
  <c r="C12" i="9"/>
  <c r="C12" i="17"/>
  <c r="D12" i="19"/>
  <c r="D12" i="17"/>
  <c r="D12" i="9"/>
  <c r="Q70" i="17"/>
  <c r="F43" i="44" l="1"/>
  <c r="G43" i="44"/>
  <c r="O47" i="44"/>
  <c r="L38" i="40"/>
  <c r="I27" i="40"/>
  <c r="M37" i="9"/>
  <c r="L38" i="21"/>
  <c r="O12" i="44" s="1"/>
  <c r="D49" i="9"/>
  <c r="R39" i="21"/>
  <c r="R39" i="40"/>
  <c r="E12" i="9"/>
  <c r="F96" i="19"/>
  <c r="N96" i="19"/>
  <c r="M96" i="19"/>
  <c r="G96" i="19"/>
  <c r="O96" i="19"/>
  <c r="H96" i="19"/>
  <c r="P96" i="19"/>
  <c r="I96" i="19"/>
  <c r="Q96" i="19"/>
  <c r="J96" i="19"/>
  <c r="R96" i="19"/>
  <c r="K96" i="19"/>
  <c r="S96" i="19"/>
  <c r="L96" i="19"/>
  <c r="T96" i="19"/>
  <c r="U96" i="19"/>
  <c r="C6" i="22"/>
  <c r="C7" i="22" s="1"/>
  <c r="E25" i="22"/>
  <c r="G25" i="22"/>
  <c r="I25" i="22"/>
  <c r="F25" i="22"/>
  <c r="H25" i="22"/>
  <c r="T24" i="19"/>
  <c r="U24" i="19"/>
  <c r="S24" i="19"/>
  <c r="P47" i="44" l="1"/>
  <c r="H43" i="44"/>
  <c r="M38" i="40"/>
  <c r="J27" i="40"/>
  <c r="M38" i="21"/>
  <c r="P12" i="44" s="1"/>
  <c r="E78" i="9"/>
  <c r="E49" i="9"/>
  <c r="F12" i="9"/>
  <c r="E26" i="22"/>
  <c r="F26" i="22"/>
  <c r="G26" i="22"/>
  <c r="H26" i="22"/>
  <c r="F24" i="22"/>
  <c r="F23" i="22"/>
  <c r="H23" i="22"/>
  <c r="H24" i="22"/>
  <c r="G23" i="22"/>
  <c r="G24" i="22"/>
  <c r="I26" i="22"/>
  <c r="E23" i="22"/>
  <c r="E24" i="22"/>
  <c r="I23" i="22"/>
  <c r="I24" i="22"/>
  <c r="I43" i="44" l="1"/>
  <c r="K27" i="40"/>
  <c r="D49" i="17"/>
  <c r="D50" i="17"/>
  <c r="P38" i="40"/>
  <c r="R38" i="40"/>
  <c r="Q38" i="40"/>
  <c r="S38" i="40"/>
  <c r="U38" i="40"/>
  <c r="T38" i="40"/>
  <c r="F78" i="9"/>
  <c r="F49" i="9"/>
  <c r="F59" i="9"/>
  <c r="G12" i="9"/>
  <c r="C46" i="17"/>
  <c r="C46" i="18"/>
  <c r="C47" i="19"/>
  <c r="C47" i="21"/>
  <c r="C46" i="9"/>
  <c r="J43" i="44" l="1"/>
  <c r="E50" i="17"/>
  <c r="E51" i="19"/>
  <c r="L27" i="40"/>
  <c r="G78" i="9"/>
  <c r="G49" i="9"/>
  <c r="H12" i="9"/>
  <c r="D51" i="9"/>
  <c r="E51" i="9"/>
  <c r="F51" i="9"/>
  <c r="C7" i="18"/>
  <c r="C7" i="17"/>
  <c r="C7" i="19"/>
  <c r="C21" i="22"/>
  <c r="E21" i="22"/>
  <c r="H21" i="22"/>
  <c r="G21" i="22"/>
  <c r="F21" i="22"/>
  <c r="I21" i="22"/>
  <c r="D21" i="22"/>
  <c r="I24" i="19"/>
  <c r="J24" i="19"/>
  <c r="K24" i="19"/>
  <c r="R70" i="18"/>
  <c r="Q70" i="18"/>
  <c r="P70" i="18"/>
  <c r="O70" i="18"/>
  <c r="N70" i="18"/>
  <c r="M70" i="18"/>
  <c r="L70" i="18"/>
  <c r="K70" i="18"/>
  <c r="J70" i="18"/>
  <c r="I70" i="18"/>
  <c r="H70" i="18"/>
  <c r="G70" i="18"/>
  <c r="B18" i="9"/>
  <c r="K43" i="44" l="1"/>
  <c r="M27" i="40"/>
  <c r="H49" i="9"/>
  <c r="H78" i="9"/>
  <c r="I12" i="9"/>
  <c r="E63" i="17"/>
  <c r="H63" i="17"/>
  <c r="F63" i="17"/>
  <c r="G63" i="17"/>
  <c r="B21" i="22"/>
  <c r="D64" i="18"/>
  <c r="L43" i="44" l="1"/>
  <c r="N27" i="40"/>
  <c r="I78" i="9"/>
  <c r="I49" i="9"/>
  <c r="J12" i="9"/>
  <c r="C5" i="21"/>
  <c r="M43" i="44" l="1"/>
  <c r="O27" i="40"/>
  <c r="J78" i="9"/>
  <c r="J49" i="9"/>
  <c r="K12" i="9"/>
  <c r="C6" i="21"/>
  <c r="C7" i="21"/>
  <c r="D65" i="21"/>
  <c r="R71" i="19"/>
  <c r="Q71" i="19"/>
  <c r="P71" i="19"/>
  <c r="O71" i="19"/>
  <c r="N71" i="19"/>
  <c r="M71" i="19"/>
  <c r="L71" i="19"/>
  <c r="K71" i="19"/>
  <c r="J71" i="19"/>
  <c r="I71" i="19"/>
  <c r="H71" i="19"/>
  <c r="G71" i="19"/>
  <c r="R70" i="17"/>
  <c r="P70" i="17"/>
  <c r="O70" i="17"/>
  <c r="N70" i="17"/>
  <c r="M70" i="17"/>
  <c r="L70" i="17"/>
  <c r="K70" i="17"/>
  <c r="J70" i="17"/>
  <c r="I70" i="17"/>
  <c r="H70" i="17"/>
  <c r="G70" i="17"/>
  <c r="D64" i="17"/>
  <c r="N43" i="44" l="1"/>
  <c r="P27" i="40"/>
  <c r="D51" i="21"/>
  <c r="K49" i="9"/>
  <c r="K78" i="9"/>
  <c r="L12" i="9"/>
  <c r="G64" i="21"/>
  <c r="E64" i="21"/>
  <c r="F64" i="21"/>
  <c r="H64" i="21"/>
  <c r="D64" i="21"/>
  <c r="D65" i="19"/>
  <c r="O43" i="44" l="1"/>
  <c r="Q27" i="40"/>
  <c r="D50" i="21"/>
  <c r="E51" i="21" s="1"/>
  <c r="L49" i="9"/>
  <c r="L78" i="9"/>
  <c r="M12" i="9"/>
  <c r="C47" i="18"/>
  <c r="C48" i="19"/>
  <c r="C48" i="21"/>
  <c r="C47" i="17"/>
  <c r="C47" i="9"/>
  <c r="C35" i="9"/>
  <c r="D35" i="9"/>
  <c r="D96" i="9" s="1"/>
  <c r="C3" i="21"/>
  <c r="O24" i="19"/>
  <c r="F48" i="44" l="1"/>
  <c r="G48" i="44"/>
  <c r="P43" i="44"/>
  <c r="C96" i="9"/>
  <c r="R27" i="40"/>
  <c r="M49" i="9"/>
  <c r="M78" i="9"/>
  <c r="N12" i="9"/>
  <c r="A7" i="43"/>
  <c r="A12" i="43"/>
  <c r="A8" i="43"/>
  <c r="A6" i="43"/>
  <c r="A5" i="43"/>
  <c r="A20" i="43"/>
  <c r="A4" i="43"/>
  <c r="A19" i="43"/>
  <c r="A3" i="43"/>
  <c r="A13" i="43"/>
  <c r="A9" i="43"/>
  <c r="A18" i="43"/>
  <c r="A2" i="43"/>
  <c r="A11" i="43"/>
  <c r="A17" i="43"/>
  <c r="A15" i="43"/>
  <c r="A16" i="43"/>
  <c r="A14" i="43"/>
  <c r="A10" i="43"/>
  <c r="D26" i="17"/>
  <c r="E26" i="17" s="1"/>
  <c r="F26" i="17" s="1"/>
  <c r="D26" i="18"/>
  <c r="E26" i="18" s="1"/>
  <c r="F26" i="18" s="1"/>
  <c r="E59" i="9"/>
  <c r="M24" i="19"/>
  <c r="M51" i="9"/>
  <c r="H59" i="9"/>
  <c r="Q24" i="19"/>
  <c r="G59" i="9"/>
  <c r="J51" i="9"/>
  <c r="J59" i="9"/>
  <c r="L59" i="9"/>
  <c r="P24" i="19"/>
  <c r="D59" i="9"/>
  <c r="K59" i="9"/>
  <c r="H51" i="9"/>
  <c r="I51" i="9"/>
  <c r="K51" i="9"/>
  <c r="M59" i="9"/>
  <c r="I59" i="9"/>
  <c r="G51" i="9"/>
  <c r="L51" i="9"/>
  <c r="N24" i="19"/>
  <c r="R24" i="19"/>
  <c r="C12" i="18"/>
  <c r="F28" i="44" l="1"/>
  <c r="Q43" i="44"/>
  <c r="S27" i="40"/>
  <c r="G26" i="18"/>
  <c r="H26" i="18" s="1"/>
  <c r="I26" i="18" s="1"/>
  <c r="J26" i="18" s="1"/>
  <c r="K26" i="18" s="1"/>
  <c r="L26" i="18" s="1"/>
  <c r="M26" i="18" s="1"/>
  <c r="N26" i="18" s="1"/>
  <c r="O26" i="18" s="1"/>
  <c r="P26" i="18" s="1"/>
  <c r="Q26" i="18" s="1"/>
  <c r="R26" i="18" s="1"/>
  <c r="S26" i="18" s="1"/>
  <c r="T26" i="18" s="1"/>
  <c r="U26" i="18" s="1"/>
  <c r="G26" i="17"/>
  <c r="N49" i="9"/>
  <c r="N78" i="9"/>
  <c r="N51" i="9"/>
  <c r="N59" i="9"/>
  <c r="O12" i="9"/>
  <c r="D27" i="21"/>
  <c r="G15" i="44" s="1"/>
  <c r="C101" i="40"/>
  <c r="C106" i="40" s="1"/>
  <c r="C23" i="40"/>
  <c r="C30" i="40" s="1"/>
  <c r="F38" i="17"/>
  <c r="K39" i="21"/>
  <c r="K38" i="18"/>
  <c r="K38" i="17"/>
  <c r="K39" i="19"/>
  <c r="D52" i="19"/>
  <c r="D51" i="17"/>
  <c r="D52" i="21"/>
  <c r="D50" i="9"/>
  <c r="E50" i="9"/>
  <c r="D60" i="21"/>
  <c r="D59" i="17"/>
  <c r="D60" i="19"/>
  <c r="R43" i="44" l="1"/>
  <c r="H26" i="17"/>
  <c r="T27" i="40"/>
  <c r="O49" i="9"/>
  <c r="O78" i="9"/>
  <c r="D26" i="9"/>
  <c r="P12" i="9"/>
  <c r="O51" i="9"/>
  <c r="O59" i="9"/>
  <c r="E27" i="21"/>
  <c r="H15" i="44" s="1"/>
  <c r="D101" i="40"/>
  <c r="D106" i="40" s="1"/>
  <c r="D59" i="18"/>
  <c r="D27" i="19"/>
  <c r="D22" i="9"/>
  <c r="D23" i="40" s="1"/>
  <c r="C22" i="17"/>
  <c r="C23" i="21"/>
  <c r="F38" i="18"/>
  <c r="F39" i="21"/>
  <c r="F39" i="19"/>
  <c r="T39" i="19"/>
  <c r="T39" i="21"/>
  <c r="T38" i="18"/>
  <c r="T38" i="17"/>
  <c r="Q38" i="18"/>
  <c r="Q38" i="17"/>
  <c r="Q39" i="19"/>
  <c r="Q39" i="21"/>
  <c r="J38" i="18"/>
  <c r="J38" i="17"/>
  <c r="J39" i="19"/>
  <c r="J39" i="21"/>
  <c r="U39" i="21"/>
  <c r="U39" i="19"/>
  <c r="U38" i="18"/>
  <c r="U38" i="17"/>
  <c r="C38" i="17"/>
  <c r="C39" i="19"/>
  <c r="C39" i="21"/>
  <c r="C38" i="18"/>
  <c r="P38" i="17"/>
  <c r="P39" i="19"/>
  <c r="P39" i="21"/>
  <c r="P38" i="18"/>
  <c r="O38" i="17"/>
  <c r="O39" i="19"/>
  <c r="O39" i="21"/>
  <c r="O38" i="18"/>
  <c r="N38" i="17"/>
  <c r="N39" i="19"/>
  <c r="N39" i="21"/>
  <c r="N38" i="18"/>
  <c r="L39" i="19"/>
  <c r="L39" i="21"/>
  <c r="L38" i="18"/>
  <c r="L38" i="17"/>
  <c r="R38" i="18"/>
  <c r="R38" i="17"/>
  <c r="R39" i="19"/>
  <c r="E39" i="21"/>
  <c r="E39" i="19"/>
  <c r="E38" i="18"/>
  <c r="E38" i="17"/>
  <c r="D39" i="19"/>
  <c r="D39" i="21"/>
  <c r="D38" i="18"/>
  <c r="D38" i="17"/>
  <c r="I38" i="18"/>
  <c r="I38" i="17"/>
  <c r="I39" i="19"/>
  <c r="I39" i="21"/>
  <c r="G38" i="17"/>
  <c r="G39" i="19"/>
  <c r="G39" i="21"/>
  <c r="G38" i="18"/>
  <c r="M39" i="19"/>
  <c r="M39" i="21"/>
  <c r="M38" i="18"/>
  <c r="M38" i="17"/>
  <c r="H38" i="17"/>
  <c r="H39" i="19"/>
  <c r="H38" i="18"/>
  <c r="S38" i="18"/>
  <c r="S38" i="17"/>
  <c r="S39" i="19"/>
  <c r="D51" i="18"/>
  <c r="G64" i="19"/>
  <c r="E63" i="18"/>
  <c r="G64" i="17"/>
  <c r="F65" i="21"/>
  <c r="G65" i="21"/>
  <c r="D63" i="18"/>
  <c r="H63" i="18"/>
  <c r="E64" i="17"/>
  <c r="F64" i="17"/>
  <c r="F64" i="19"/>
  <c r="E64" i="19"/>
  <c r="H64" i="17"/>
  <c r="F64" i="18"/>
  <c r="H64" i="19"/>
  <c r="E64" i="18"/>
  <c r="D63" i="17"/>
  <c r="F63" i="18"/>
  <c r="G63" i="18"/>
  <c r="G65" i="19"/>
  <c r="G64" i="18"/>
  <c r="H64" i="18"/>
  <c r="E65" i="19"/>
  <c r="F65" i="19"/>
  <c r="H65" i="19"/>
  <c r="D64" i="19"/>
  <c r="E65" i="21"/>
  <c r="H65" i="21"/>
  <c r="C29" i="9"/>
  <c r="F50" i="9"/>
  <c r="G34" i="44" l="1"/>
  <c r="S43" i="44"/>
  <c r="G49" i="44"/>
  <c r="I26" i="17"/>
  <c r="J26" i="17" s="1"/>
  <c r="K26" i="17" s="1"/>
  <c r="U27" i="40"/>
  <c r="D49" i="18"/>
  <c r="D50" i="18"/>
  <c r="P49" i="9"/>
  <c r="P78" i="9"/>
  <c r="Q12" i="9"/>
  <c r="P59" i="9"/>
  <c r="P51" i="9"/>
  <c r="E26" i="9"/>
  <c r="F27" i="21"/>
  <c r="I15" i="44" s="1"/>
  <c r="E27" i="19"/>
  <c r="D30" i="40"/>
  <c r="D62" i="40" s="1"/>
  <c r="E22" i="9"/>
  <c r="F22" i="9" s="1"/>
  <c r="D22" i="17"/>
  <c r="D23" i="21"/>
  <c r="G50" i="9"/>
  <c r="D29" i="9"/>
  <c r="D61" i="9" s="1"/>
  <c r="C30" i="21"/>
  <c r="H49" i="44" l="1"/>
  <c r="T43" i="44"/>
  <c r="G44" i="44"/>
  <c r="H34" i="44"/>
  <c r="L26" i="17"/>
  <c r="M26" i="17" s="1"/>
  <c r="N26" i="17" s="1"/>
  <c r="O26" i="17" s="1"/>
  <c r="P26" i="17" s="1"/>
  <c r="Q26" i="17" s="1"/>
  <c r="R26" i="17" s="1"/>
  <c r="S26" i="17" s="1"/>
  <c r="T26" i="17" s="1"/>
  <c r="U26" i="17" s="1"/>
  <c r="F26" i="9"/>
  <c r="G22" i="9"/>
  <c r="H22" i="9" s="1"/>
  <c r="I22" i="9" s="1"/>
  <c r="J22" i="9" s="1"/>
  <c r="K22" i="9" s="1"/>
  <c r="L22" i="9" s="1"/>
  <c r="M22" i="9" s="1"/>
  <c r="N22" i="9" s="1"/>
  <c r="O22" i="9" s="1"/>
  <c r="P22" i="9" s="1"/>
  <c r="Q22" i="9" s="1"/>
  <c r="R22" i="9" s="1"/>
  <c r="S22" i="9" s="1"/>
  <c r="T22" i="9" s="1"/>
  <c r="U22" i="9" s="1"/>
  <c r="D22" i="18"/>
  <c r="D29" i="18" s="1"/>
  <c r="D61" i="18" s="1"/>
  <c r="E50" i="18"/>
  <c r="Q49" i="9"/>
  <c r="Q78" i="9"/>
  <c r="R12" i="9"/>
  <c r="Q59" i="9"/>
  <c r="Q51" i="9"/>
  <c r="G27" i="21"/>
  <c r="J15" i="44" s="1"/>
  <c r="D59" i="40"/>
  <c r="F27" i="19"/>
  <c r="E29" i="9"/>
  <c r="H50" i="9"/>
  <c r="C29" i="17"/>
  <c r="D22" i="19"/>
  <c r="D30" i="21"/>
  <c r="D62" i="21" s="1"/>
  <c r="G8" i="44" s="1"/>
  <c r="I49" i="44" l="1"/>
  <c r="I34" i="44"/>
  <c r="U43" i="44"/>
  <c r="D23" i="18"/>
  <c r="F29" i="9"/>
  <c r="R49" i="9"/>
  <c r="E61" i="9"/>
  <c r="R78" i="9"/>
  <c r="S12" i="9"/>
  <c r="R51" i="9"/>
  <c r="R59" i="9"/>
  <c r="G26" i="9"/>
  <c r="H27" i="21"/>
  <c r="K15" i="44" s="1"/>
  <c r="G27" i="19"/>
  <c r="D29" i="17"/>
  <c r="D61" i="17" s="1"/>
  <c r="I50" i="9"/>
  <c r="D30" i="19"/>
  <c r="D62" i="19" s="1"/>
  <c r="D23" i="19"/>
  <c r="V43" i="44" l="1"/>
  <c r="G33" i="44"/>
  <c r="J34" i="44"/>
  <c r="H44" i="44"/>
  <c r="J49" i="44"/>
  <c r="S49" i="9"/>
  <c r="S78" i="9"/>
  <c r="T12" i="9"/>
  <c r="S59" i="9"/>
  <c r="S51" i="9"/>
  <c r="H26" i="9"/>
  <c r="I27" i="21"/>
  <c r="L15" i="44" s="1"/>
  <c r="H27" i="19"/>
  <c r="J50" i="9"/>
  <c r="K49" i="44" l="1"/>
  <c r="K34" i="44"/>
  <c r="W43" i="44"/>
  <c r="T49" i="9"/>
  <c r="T78" i="9"/>
  <c r="I26" i="9"/>
  <c r="T51" i="9"/>
  <c r="U12" i="9"/>
  <c r="T59" i="9"/>
  <c r="J27" i="21"/>
  <c r="M15" i="44" s="1"/>
  <c r="I27" i="19"/>
  <c r="K50" i="9"/>
  <c r="L49" i="44" l="1"/>
  <c r="X43" i="44"/>
  <c r="L34" i="44"/>
  <c r="U49" i="9"/>
  <c r="U78" i="9"/>
  <c r="U51" i="9"/>
  <c r="U59" i="9"/>
  <c r="J26" i="9"/>
  <c r="K27" i="21"/>
  <c r="N15" i="44" s="1"/>
  <c r="J27" i="19"/>
  <c r="L50" i="9"/>
  <c r="M49" i="44" l="1"/>
  <c r="M34" i="44"/>
  <c r="K26" i="9"/>
  <c r="L27" i="21"/>
  <c r="O15" i="44" s="1"/>
  <c r="K27" i="19"/>
  <c r="M50" i="9"/>
  <c r="N49" i="44" l="1"/>
  <c r="N34" i="44"/>
  <c r="L26" i="9"/>
  <c r="M27" i="21"/>
  <c r="P15" i="44" s="1"/>
  <c r="L27" i="19"/>
  <c r="N50" i="9"/>
  <c r="O49" i="44" l="1"/>
  <c r="O34" i="44"/>
  <c r="M26" i="9"/>
  <c r="N27" i="21"/>
  <c r="Q15" i="44" s="1"/>
  <c r="M27" i="19"/>
  <c r="O50" i="9"/>
  <c r="P49" i="44" l="1"/>
  <c r="P34" i="44"/>
  <c r="N26" i="9"/>
  <c r="O27" i="21"/>
  <c r="R15" i="44" s="1"/>
  <c r="N27" i="19"/>
  <c r="P50" i="9"/>
  <c r="Q49" i="44" l="1"/>
  <c r="Q34" i="44"/>
  <c r="O26" i="9"/>
  <c r="P27" i="21"/>
  <c r="S15" i="44" s="1"/>
  <c r="O27" i="19"/>
  <c r="Q50" i="9"/>
  <c r="R49" i="44" l="1"/>
  <c r="R34" i="44"/>
  <c r="P26" i="9"/>
  <c r="Q27" i="21"/>
  <c r="T15" i="44" s="1"/>
  <c r="P27" i="19"/>
  <c r="R50" i="9"/>
  <c r="S49" i="44" l="1"/>
  <c r="S34" i="44"/>
  <c r="Q26" i="9"/>
  <c r="R27" i="21"/>
  <c r="U15" i="44" s="1"/>
  <c r="Q27" i="19"/>
  <c r="S50" i="9"/>
  <c r="T49" i="44" l="1"/>
  <c r="T34" i="44"/>
  <c r="R26" i="9"/>
  <c r="S27" i="21"/>
  <c r="V15" i="44" s="1"/>
  <c r="R27" i="19"/>
  <c r="T50" i="9"/>
  <c r="U49" i="44" l="1"/>
  <c r="U34" i="44"/>
  <c r="S26" i="9"/>
  <c r="T27" i="21"/>
  <c r="W15" i="44" s="1"/>
  <c r="S27" i="19"/>
  <c r="U50" i="9"/>
  <c r="V49" i="44" l="1"/>
  <c r="V34" i="44"/>
  <c r="T26" i="9"/>
  <c r="U27" i="21"/>
  <c r="X15" i="44" s="1"/>
  <c r="T27" i="19"/>
  <c r="W49" i="44" l="1"/>
  <c r="W34" i="44"/>
  <c r="U26" i="9"/>
  <c r="U27" i="19"/>
  <c r="X49" i="44" l="1"/>
  <c r="X34" i="44"/>
  <c r="K71" i="17"/>
  <c r="K72" i="21"/>
  <c r="N14" i="44" s="1"/>
  <c r="K71" i="9"/>
  <c r="K71" i="18"/>
  <c r="K72" i="19"/>
  <c r="P71" i="18"/>
  <c r="P71" i="9"/>
  <c r="P72" i="21"/>
  <c r="S14" i="44" s="1"/>
  <c r="P71" i="17"/>
  <c r="P72" i="19"/>
  <c r="O72" i="21"/>
  <c r="R14" i="44" s="1"/>
  <c r="O71" i="17"/>
  <c r="O71" i="9"/>
  <c r="O71" i="18"/>
  <c r="O72" i="19"/>
  <c r="H72" i="21"/>
  <c r="K14" i="44" s="1"/>
  <c r="H71" i="17"/>
  <c r="H71" i="9"/>
  <c r="H72" i="19"/>
  <c r="H71" i="18"/>
  <c r="Q72" i="21"/>
  <c r="T14" i="44" s="1"/>
  <c r="Q72" i="19"/>
  <c r="Q71" i="9"/>
  <c r="Q71" i="17"/>
  <c r="Q71" i="18"/>
  <c r="N72" i="19"/>
  <c r="N71" i="17"/>
  <c r="N71" i="18"/>
  <c r="N71" i="9"/>
  <c r="N72" i="21"/>
  <c r="Q14" i="44" s="1"/>
  <c r="E71" i="18"/>
  <c r="E71" i="17"/>
  <c r="E72" i="21"/>
  <c r="H14" i="44" s="1"/>
  <c r="E72" i="19"/>
  <c r="I71" i="9"/>
  <c r="I72" i="21"/>
  <c r="L14" i="44" s="1"/>
  <c r="I71" i="17"/>
  <c r="I71" i="18"/>
  <c r="I72" i="19"/>
  <c r="F71" i="9"/>
  <c r="F72" i="21"/>
  <c r="I14" i="44" s="1"/>
  <c r="F71" i="18"/>
  <c r="F72" i="19"/>
  <c r="F71" i="17"/>
  <c r="S71" i="9"/>
  <c r="S72" i="21"/>
  <c r="V14" i="44" s="1"/>
  <c r="S71" i="18"/>
  <c r="S72" i="19"/>
  <c r="S71" i="17"/>
  <c r="T71" i="17"/>
  <c r="T72" i="19"/>
  <c r="T71" i="9"/>
  <c r="T72" i="21"/>
  <c r="W14" i="44" s="1"/>
  <c r="T71" i="18"/>
  <c r="G72" i="19"/>
  <c r="G71" i="17"/>
  <c r="G71" i="9"/>
  <c r="G72" i="21"/>
  <c r="J14" i="44" s="1"/>
  <c r="G71" i="18"/>
  <c r="R72" i="21"/>
  <c r="U14" i="44" s="1"/>
  <c r="R71" i="17"/>
  <c r="R72" i="19"/>
  <c r="R71" i="18"/>
  <c r="R71" i="9"/>
  <c r="L71" i="18"/>
  <c r="L72" i="19"/>
  <c r="L71" i="9"/>
  <c r="L71" i="17"/>
  <c r="L72" i="21"/>
  <c r="O14" i="44" s="1"/>
  <c r="U72" i="19"/>
  <c r="U71" i="17"/>
  <c r="U72" i="21"/>
  <c r="X14" i="44" s="1"/>
  <c r="U71" i="9"/>
  <c r="U71" i="18"/>
  <c r="M72" i="19"/>
  <c r="M72" i="21"/>
  <c r="P14" i="44" s="1"/>
  <c r="M71" i="18"/>
  <c r="M71" i="17"/>
  <c r="M71" i="9"/>
  <c r="J71" i="17"/>
  <c r="J72" i="19"/>
  <c r="J72" i="21"/>
  <c r="M14" i="44" s="1"/>
  <c r="J71" i="9"/>
  <c r="J71" i="18"/>
  <c r="O72" i="17" l="1"/>
  <c r="O73" i="17" s="1"/>
  <c r="O73" i="21"/>
  <c r="O74" i="21" s="1"/>
  <c r="O72" i="18"/>
  <c r="O73" i="18" s="1"/>
  <c r="O72" i="9"/>
  <c r="O73" i="9" s="1"/>
  <c r="O73" i="19"/>
  <c r="O74" i="19" s="1"/>
  <c r="J73" i="21"/>
  <c r="J74" i="21" s="1"/>
  <c r="J72" i="9"/>
  <c r="J73" i="9" s="1"/>
  <c r="J73" i="19"/>
  <c r="J74" i="19" s="1"/>
  <c r="J72" i="18"/>
  <c r="J73" i="18" s="1"/>
  <c r="J72" i="17"/>
  <c r="J73" i="17" s="1"/>
  <c r="G63" i="19"/>
  <c r="G63" i="21"/>
  <c r="G62" i="18"/>
  <c r="G62" i="17"/>
  <c r="G62" i="9"/>
  <c r="I73" i="19"/>
  <c r="I74" i="19" s="1"/>
  <c r="I73" i="21"/>
  <c r="I74" i="21" s="1"/>
  <c r="I72" i="9"/>
  <c r="I73" i="9" s="1"/>
  <c r="I72" i="18"/>
  <c r="I73" i="18" s="1"/>
  <c r="I72" i="17"/>
  <c r="I73" i="17" s="1"/>
  <c r="E72" i="9"/>
  <c r="E73" i="9" s="1"/>
  <c r="E73" i="19"/>
  <c r="E74" i="19" s="1"/>
  <c r="E73" i="21"/>
  <c r="E74" i="21" s="1"/>
  <c r="E72" i="17"/>
  <c r="E73" i="17" s="1"/>
  <c r="E72" i="18"/>
  <c r="E73" i="18" s="1"/>
  <c r="M73" i="19"/>
  <c r="M74" i="19" s="1"/>
  <c r="M72" i="17"/>
  <c r="M73" i="17" s="1"/>
  <c r="M72" i="18"/>
  <c r="M73" i="18" s="1"/>
  <c r="M72" i="9"/>
  <c r="M73" i="9" s="1"/>
  <c r="M73" i="21"/>
  <c r="M74" i="21" s="1"/>
  <c r="O63" i="21"/>
  <c r="O62" i="18"/>
  <c r="O62" i="17"/>
  <c r="O63" i="19"/>
  <c r="O62" i="9"/>
  <c r="I63" i="21"/>
  <c r="I62" i="17"/>
  <c r="I62" i="18"/>
  <c r="I62" i="9"/>
  <c r="I63" i="19"/>
  <c r="U62" i="17"/>
  <c r="U63" i="21"/>
  <c r="U63" i="19"/>
  <c r="U62" i="9"/>
  <c r="U62" i="18"/>
  <c r="L62" i="17"/>
  <c r="L62" i="18"/>
  <c r="L62" i="9"/>
  <c r="L63" i="21"/>
  <c r="L63" i="19"/>
  <c r="H73" i="19"/>
  <c r="H74" i="19" s="1"/>
  <c r="H72" i="17"/>
  <c r="H73" i="17" s="1"/>
  <c r="H72" i="9"/>
  <c r="H73" i="9" s="1"/>
  <c r="H73" i="21"/>
  <c r="H74" i="21" s="1"/>
  <c r="H72" i="18"/>
  <c r="H73" i="18" s="1"/>
  <c r="U73" i="21"/>
  <c r="U74" i="21" s="1"/>
  <c r="U72" i="18"/>
  <c r="U73" i="18" s="1"/>
  <c r="U72" i="9"/>
  <c r="U73" i="9" s="1"/>
  <c r="U73" i="19"/>
  <c r="U74" i="19" s="1"/>
  <c r="U72" i="17"/>
  <c r="U73" i="17" s="1"/>
  <c r="N73" i="19"/>
  <c r="N74" i="19" s="1"/>
  <c r="N72" i="9"/>
  <c r="N73" i="9" s="1"/>
  <c r="N72" i="18"/>
  <c r="N73" i="18" s="1"/>
  <c r="N73" i="21"/>
  <c r="N74" i="21" s="1"/>
  <c r="N72" i="17"/>
  <c r="N73" i="17" s="1"/>
  <c r="K72" i="17"/>
  <c r="K73" i="17" s="1"/>
  <c r="K72" i="18"/>
  <c r="K73" i="18" s="1"/>
  <c r="K72" i="9"/>
  <c r="K73" i="9" s="1"/>
  <c r="K73" i="21"/>
  <c r="K74" i="21" s="1"/>
  <c r="K73" i="19"/>
  <c r="K74" i="19" s="1"/>
  <c r="S62" i="18"/>
  <c r="S63" i="19"/>
  <c r="S62" i="17"/>
  <c r="S62" i="9"/>
  <c r="S63" i="21"/>
  <c r="M62" i="18"/>
  <c r="M63" i="19"/>
  <c r="M63" i="21"/>
  <c r="M62" i="9"/>
  <c r="M62" i="17"/>
  <c r="J63" i="19"/>
  <c r="J62" i="17"/>
  <c r="J62" i="9"/>
  <c r="J63" i="21"/>
  <c r="J62" i="18"/>
  <c r="L72" i="9"/>
  <c r="L73" i="9" s="1"/>
  <c r="L73" i="19"/>
  <c r="L74" i="19" s="1"/>
  <c r="L72" i="17"/>
  <c r="L73" i="17" s="1"/>
  <c r="L72" i="18"/>
  <c r="L73" i="18" s="1"/>
  <c r="L73" i="21"/>
  <c r="L74" i="21" s="1"/>
  <c r="Q72" i="9"/>
  <c r="Q73" i="9" s="1"/>
  <c r="Q72" i="17"/>
  <c r="Q73" i="17" s="1"/>
  <c r="Q73" i="19"/>
  <c r="Q74" i="19" s="1"/>
  <c r="Q72" i="18"/>
  <c r="Q73" i="18" s="1"/>
  <c r="Q73" i="21"/>
  <c r="Q74" i="21" s="1"/>
  <c r="T73" i="21"/>
  <c r="T74" i="21" s="1"/>
  <c r="T72" i="9"/>
  <c r="T73" i="9" s="1"/>
  <c r="T72" i="18"/>
  <c r="T73" i="18" s="1"/>
  <c r="T73" i="19"/>
  <c r="T74" i="19" s="1"/>
  <c r="T72" i="17"/>
  <c r="T73" i="17" s="1"/>
  <c r="Q62" i="18"/>
  <c r="Q63" i="21"/>
  <c r="Q62" i="17"/>
  <c r="Q63" i="19"/>
  <c r="Q62" i="9"/>
  <c r="K62" i="18"/>
  <c r="K63" i="21"/>
  <c r="K62" i="9"/>
  <c r="K62" i="17"/>
  <c r="K63" i="19"/>
  <c r="R72" i="9"/>
  <c r="R73" i="9" s="1"/>
  <c r="R73" i="21"/>
  <c r="R74" i="21" s="1"/>
  <c r="R72" i="17"/>
  <c r="R73" i="17" s="1"/>
  <c r="R73" i="19"/>
  <c r="R74" i="19" s="1"/>
  <c r="R72" i="18"/>
  <c r="R73" i="18" s="1"/>
  <c r="P63" i="21"/>
  <c r="P63" i="19"/>
  <c r="P62" i="17"/>
  <c r="P62" i="18"/>
  <c r="P62" i="9"/>
  <c r="H63" i="19"/>
  <c r="H62" i="17"/>
  <c r="H62" i="18"/>
  <c r="H62" i="9"/>
  <c r="H63" i="21"/>
  <c r="F63" i="21"/>
  <c r="F62" i="17"/>
  <c r="F63" i="19"/>
  <c r="F62" i="18"/>
  <c r="E62" i="18"/>
  <c r="E62" i="9"/>
  <c r="E63" i="21"/>
  <c r="E62" i="17"/>
  <c r="E63" i="19"/>
  <c r="S72" i="9"/>
  <c r="S73" i="9" s="1"/>
  <c r="S72" i="18"/>
  <c r="S73" i="18" s="1"/>
  <c r="S73" i="19"/>
  <c r="S74" i="19" s="1"/>
  <c r="S72" i="17"/>
  <c r="S73" i="17" s="1"/>
  <c r="S73" i="21"/>
  <c r="S74" i="21" s="1"/>
  <c r="R63" i="19"/>
  <c r="R62" i="18"/>
  <c r="R63" i="21"/>
  <c r="R62" i="9"/>
  <c r="R62" i="17"/>
  <c r="T62" i="9"/>
  <c r="T62" i="17"/>
  <c r="T62" i="18"/>
  <c r="T63" i="21"/>
  <c r="T63" i="19"/>
  <c r="F73" i="19"/>
  <c r="F74" i="19" s="1"/>
  <c r="F73" i="9"/>
  <c r="F72" i="18"/>
  <c r="F73" i="18" s="1"/>
  <c r="F73" i="21"/>
  <c r="F74" i="21" s="1"/>
  <c r="F72" i="17"/>
  <c r="F73" i="17" s="1"/>
  <c r="P72" i="9"/>
  <c r="P73" i="9" s="1"/>
  <c r="P73" i="19"/>
  <c r="P74" i="19" s="1"/>
  <c r="P73" i="21"/>
  <c r="P74" i="21" s="1"/>
  <c r="P72" i="18"/>
  <c r="P73" i="18" s="1"/>
  <c r="P72" i="17"/>
  <c r="P73" i="17" s="1"/>
  <c r="G73" i="21"/>
  <c r="G74" i="21" s="1"/>
  <c r="G73" i="19"/>
  <c r="G74" i="19" s="1"/>
  <c r="G72" i="17"/>
  <c r="G73" i="17" s="1"/>
  <c r="G72" i="18"/>
  <c r="G73" i="18" s="1"/>
  <c r="G72" i="9"/>
  <c r="G73" i="9" s="1"/>
  <c r="N62" i="17"/>
  <c r="N62" i="18"/>
  <c r="N62" i="9"/>
  <c r="N63" i="19"/>
  <c r="N63" i="21"/>
  <c r="D71" i="18" l="1"/>
  <c r="D72" i="19"/>
  <c r="D72" i="21"/>
  <c r="G14" i="44" s="1"/>
  <c r="D71" i="17"/>
  <c r="U20" i="8" l="1"/>
  <c r="S20" i="8"/>
  <c r="H20" i="8"/>
  <c r="R20" i="8"/>
  <c r="Q20" i="8"/>
  <c r="F42" i="18"/>
  <c r="F43" i="19"/>
  <c r="F42" i="17"/>
  <c r="C42" i="18"/>
  <c r="C43" i="19"/>
  <c r="O20" i="8"/>
  <c r="H18" i="9"/>
  <c r="H18" i="19"/>
  <c r="H18" i="17"/>
  <c r="H64" i="9"/>
  <c r="H18" i="18"/>
  <c r="H19" i="21"/>
  <c r="S42" i="17"/>
  <c r="S42" i="18"/>
  <c r="S43" i="19"/>
  <c r="L20" i="8"/>
  <c r="K20" i="8"/>
  <c r="L42" i="19"/>
  <c r="L41" i="18"/>
  <c r="C20" i="8"/>
  <c r="C18" i="40" s="1"/>
  <c r="J18" i="19"/>
  <c r="J18" i="9"/>
  <c r="J64" i="9"/>
  <c r="J19" i="21"/>
  <c r="J64" i="17"/>
  <c r="J18" i="17"/>
  <c r="J65" i="19"/>
  <c r="J64" i="18"/>
  <c r="J18" i="18"/>
  <c r="J65" i="21"/>
  <c r="O18" i="19"/>
  <c r="O18" i="17"/>
  <c r="O65" i="21"/>
  <c r="O18" i="9"/>
  <c r="O64" i="18"/>
  <c r="O19" i="21"/>
  <c r="O18" i="18"/>
  <c r="O64" i="17"/>
  <c r="O64" i="9"/>
  <c r="O65" i="19"/>
  <c r="T20" i="8"/>
  <c r="I43" i="19"/>
  <c r="I42" i="17"/>
  <c r="I42" i="18"/>
  <c r="M42" i="17"/>
  <c r="M43" i="19"/>
  <c r="M42" i="18"/>
  <c r="I20" i="8"/>
  <c r="S18" i="9"/>
  <c r="S64" i="18"/>
  <c r="S18" i="18"/>
  <c r="S18" i="17"/>
  <c r="S19" i="21"/>
  <c r="S64" i="9"/>
  <c r="S65" i="21"/>
  <c r="S64" i="17"/>
  <c r="S18" i="19"/>
  <c r="S65" i="19"/>
  <c r="E20" i="8"/>
  <c r="E18" i="40" s="1"/>
  <c r="P20" i="8"/>
  <c r="F18" i="9"/>
  <c r="F18" i="17"/>
  <c r="F18" i="19"/>
  <c r="F19" i="21"/>
  <c r="F18" i="18"/>
  <c r="P65" i="21"/>
  <c r="P64" i="9"/>
  <c r="P65" i="19"/>
  <c r="P64" i="18"/>
  <c r="P18" i="19"/>
  <c r="P18" i="9"/>
  <c r="P18" i="17"/>
  <c r="P64" i="17"/>
  <c r="P18" i="18"/>
  <c r="P19" i="21"/>
  <c r="Q42" i="18"/>
  <c r="Q43" i="19"/>
  <c r="Q42" i="17"/>
  <c r="E18" i="18"/>
  <c r="E18" i="17"/>
  <c r="E19" i="21"/>
  <c r="E64" i="9"/>
  <c r="E18" i="19"/>
  <c r="E18" i="9"/>
  <c r="J20" i="8"/>
  <c r="N64" i="9"/>
  <c r="N19" i="21"/>
  <c r="N65" i="21"/>
  <c r="N64" i="17"/>
  <c r="N18" i="9"/>
  <c r="N65" i="19"/>
  <c r="N18" i="19"/>
  <c r="N64" i="18"/>
  <c r="N18" i="18"/>
  <c r="N18" i="17"/>
  <c r="L42" i="17"/>
  <c r="L43" i="19"/>
  <c r="L42" i="18"/>
  <c r="Q64" i="17"/>
  <c r="Q64" i="18"/>
  <c r="Q65" i="19"/>
  <c r="Q18" i="19"/>
  <c r="Q18" i="9"/>
  <c r="Q18" i="18"/>
  <c r="Q18" i="17"/>
  <c r="Q19" i="21"/>
  <c r="Q64" i="9"/>
  <c r="Q65" i="21"/>
  <c r="I18" i="18"/>
  <c r="I19" i="21"/>
  <c r="I64" i="18"/>
  <c r="I18" i="19"/>
  <c r="I65" i="19"/>
  <c r="I65" i="21"/>
  <c r="I18" i="9"/>
  <c r="I64" i="17"/>
  <c r="I64" i="9"/>
  <c r="I18" i="17"/>
  <c r="F20" i="8"/>
  <c r="F18" i="40" s="1"/>
  <c r="G20" i="8"/>
  <c r="G18" i="40" s="1"/>
  <c r="N42" i="17"/>
  <c r="N43" i="19"/>
  <c r="N42" i="18"/>
  <c r="O43" i="19"/>
  <c r="O42" i="18"/>
  <c r="O42" i="17"/>
  <c r="D42" i="18"/>
  <c r="D43" i="19"/>
  <c r="G18" i="9"/>
  <c r="G64" i="9"/>
  <c r="G19" i="21"/>
  <c r="G18" i="17"/>
  <c r="G18" i="19"/>
  <c r="G18" i="18"/>
  <c r="K64" i="17"/>
  <c r="K18" i="17"/>
  <c r="K18" i="9"/>
  <c r="K65" i="19"/>
  <c r="K64" i="9"/>
  <c r="K65" i="21"/>
  <c r="K19" i="21"/>
  <c r="K18" i="19"/>
  <c r="K64" i="18"/>
  <c r="K18" i="18"/>
  <c r="L64" i="9"/>
  <c r="L65" i="21"/>
  <c r="L18" i="9"/>
  <c r="L64" i="17"/>
  <c r="L18" i="18"/>
  <c r="L65" i="19"/>
  <c r="L18" i="17"/>
  <c r="L18" i="19"/>
  <c r="L64" i="18"/>
  <c r="L19" i="21"/>
  <c r="D32" i="17"/>
  <c r="D41" i="9"/>
  <c r="D42" i="21"/>
  <c r="G17" i="44" s="1"/>
  <c r="D41" i="18"/>
  <c r="D42" i="19"/>
  <c r="P42" i="17"/>
  <c r="P43" i="19"/>
  <c r="P42" i="18"/>
  <c r="T42" i="18"/>
  <c r="T42" i="17"/>
  <c r="T43" i="19"/>
  <c r="D13" i="19"/>
  <c r="D63" i="19" s="1"/>
  <c r="D59" i="19" s="1"/>
  <c r="D14" i="21"/>
  <c r="G9" i="44" s="1"/>
  <c r="D13" i="18"/>
  <c r="D62" i="18" s="1"/>
  <c r="D58" i="18" s="1"/>
  <c r="D13" i="17"/>
  <c r="D62" i="17" s="1"/>
  <c r="D58" i="17" s="1"/>
  <c r="D13" i="9"/>
  <c r="D62" i="9" s="1"/>
  <c r="D58" i="9" s="1"/>
  <c r="U42" i="18"/>
  <c r="U42" i="17"/>
  <c r="U43" i="19"/>
  <c r="U65" i="19"/>
  <c r="U64" i="9"/>
  <c r="U18" i="18"/>
  <c r="U18" i="19"/>
  <c r="U19" i="21"/>
  <c r="U18" i="17"/>
  <c r="U65" i="21"/>
  <c r="U64" i="18"/>
  <c r="U18" i="9"/>
  <c r="U64" i="17"/>
  <c r="C14" i="19"/>
  <c r="C14" i="17"/>
  <c r="C15" i="21"/>
  <c r="C14" i="9"/>
  <c r="C14" i="18"/>
  <c r="D15" i="21"/>
  <c r="D73" i="21" s="1"/>
  <c r="D74" i="21" s="1"/>
  <c r="D14" i="9"/>
  <c r="D72" i="9" s="1"/>
  <c r="D73" i="9" s="1"/>
  <c r="D14" i="17"/>
  <c r="D72" i="17" s="1"/>
  <c r="D73" i="17" s="1"/>
  <c r="D14" i="18"/>
  <c r="D72" i="18" s="1"/>
  <c r="D73" i="18" s="1"/>
  <c r="D14" i="19"/>
  <c r="D73" i="19" s="1"/>
  <c r="D74" i="19" s="1"/>
  <c r="N20" i="8"/>
  <c r="G42" i="17"/>
  <c r="G43" i="19"/>
  <c r="G42" i="18"/>
  <c r="D20" i="8"/>
  <c r="D18" i="40" s="1"/>
  <c r="K43" i="19"/>
  <c r="K42" i="18"/>
  <c r="K42" i="17"/>
  <c r="D18" i="17"/>
  <c r="D18" i="9"/>
  <c r="D18" i="19"/>
  <c r="D19" i="21"/>
  <c r="D18" i="18"/>
  <c r="C13" i="17"/>
  <c r="C13" i="19"/>
  <c r="C14" i="21"/>
  <c r="F9" i="44" s="1"/>
  <c r="C13" i="9"/>
  <c r="C13" i="18"/>
  <c r="R18" i="19"/>
  <c r="R19" i="21"/>
  <c r="R18" i="17"/>
  <c r="R64" i="18"/>
  <c r="R65" i="19"/>
  <c r="R18" i="18"/>
  <c r="R65" i="21"/>
  <c r="R18" i="9"/>
  <c r="R64" i="17"/>
  <c r="R64" i="9"/>
  <c r="C18" i="18"/>
  <c r="C19" i="21"/>
  <c r="C18" i="9"/>
  <c r="C18" i="17"/>
  <c r="C18" i="19"/>
  <c r="J42" i="18"/>
  <c r="J42" i="17"/>
  <c r="J43" i="19"/>
  <c r="R43" i="19"/>
  <c r="R42" i="17"/>
  <c r="R42" i="18"/>
  <c r="M65" i="21"/>
  <c r="M18" i="18"/>
  <c r="M64" i="18"/>
  <c r="M18" i="17"/>
  <c r="M19" i="21"/>
  <c r="M65" i="19"/>
  <c r="M18" i="9"/>
  <c r="M64" i="9"/>
  <c r="M18" i="19"/>
  <c r="M64" i="17"/>
  <c r="H43" i="19"/>
  <c r="H42" i="18"/>
  <c r="H42" i="17"/>
  <c r="E42" i="18"/>
  <c r="E43" i="19"/>
  <c r="C41" i="17"/>
  <c r="C32" i="17" s="1"/>
  <c r="C41" i="9"/>
  <c r="C41" i="18"/>
  <c r="C32" i="18" s="1"/>
  <c r="C42" i="21"/>
  <c r="F17" i="44" s="1"/>
  <c r="C42" i="19"/>
  <c r="C33" i="19" s="1"/>
  <c r="M20" i="8"/>
  <c r="T65" i="19"/>
  <c r="T18" i="19"/>
  <c r="T65" i="21"/>
  <c r="T64" i="9"/>
  <c r="T19" i="21"/>
  <c r="T64" i="17"/>
  <c r="T18" i="18"/>
  <c r="T18" i="9"/>
  <c r="T18" i="17"/>
  <c r="T64" i="18"/>
  <c r="F51" i="44" l="1"/>
  <c r="G51" i="44"/>
  <c r="D101" i="9"/>
  <c r="C101" i="9"/>
  <c r="D33" i="21"/>
  <c r="G18" i="44" s="1"/>
  <c r="D63" i="21"/>
  <c r="J18" i="40"/>
  <c r="J64" i="40"/>
  <c r="I18" i="40"/>
  <c r="I64" i="40"/>
  <c r="K18" i="40"/>
  <c r="K64" i="40"/>
  <c r="L18" i="40"/>
  <c r="L64" i="40"/>
  <c r="P18" i="40"/>
  <c r="P64" i="40"/>
  <c r="T18" i="40"/>
  <c r="T64" i="40"/>
  <c r="Q18" i="40"/>
  <c r="Q64" i="40"/>
  <c r="R18" i="40"/>
  <c r="R64" i="40"/>
  <c r="H18" i="21"/>
  <c r="H18" i="40"/>
  <c r="S18" i="40"/>
  <c r="S64" i="40"/>
  <c r="N18" i="40"/>
  <c r="N64" i="40"/>
  <c r="M18" i="40"/>
  <c r="M64" i="40"/>
  <c r="O18" i="40"/>
  <c r="O64" i="40"/>
  <c r="U18" i="40"/>
  <c r="U64" i="40"/>
  <c r="F63" i="9"/>
  <c r="I63" i="17"/>
  <c r="I64" i="21"/>
  <c r="K64" i="21"/>
  <c r="K63" i="17"/>
  <c r="L63" i="17"/>
  <c r="L64" i="21"/>
  <c r="P63" i="17"/>
  <c r="P64" i="21"/>
  <c r="J64" i="21"/>
  <c r="J63" i="17"/>
  <c r="T63" i="17"/>
  <c r="T64" i="21"/>
  <c r="Q18" i="21"/>
  <c r="Q63" i="17"/>
  <c r="Q64" i="21"/>
  <c r="R63" i="17"/>
  <c r="R64" i="21"/>
  <c r="S63" i="17"/>
  <c r="S64" i="21"/>
  <c r="N64" i="21"/>
  <c r="N63" i="17"/>
  <c r="M63" i="17"/>
  <c r="M64" i="21"/>
  <c r="O63" i="17"/>
  <c r="O64" i="21"/>
  <c r="U17" i="17"/>
  <c r="U64" i="21"/>
  <c r="U63" i="17"/>
  <c r="R17" i="18"/>
  <c r="S17" i="9"/>
  <c r="E63" i="9"/>
  <c r="E58" i="9" s="1"/>
  <c r="S17" i="19"/>
  <c r="R63" i="18"/>
  <c r="U17" i="9"/>
  <c r="R17" i="17"/>
  <c r="R17" i="9"/>
  <c r="R17" i="19"/>
  <c r="Q63" i="9"/>
  <c r="Q17" i="18"/>
  <c r="R18" i="21"/>
  <c r="S17" i="18"/>
  <c r="H17" i="19"/>
  <c r="Q17" i="9"/>
  <c r="H17" i="9"/>
  <c r="H17" i="17"/>
  <c r="H17" i="18"/>
  <c r="Q17" i="17"/>
  <c r="S17" i="17"/>
  <c r="S18" i="21"/>
  <c r="Q63" i="18"/>
  <c r="R64" i="19"/>
  <c r="Q64" i="19"/>
  <c r="Q17" i="19"/>
  <c r="U17" i="18"/>
  <c r="U64" i="19"/>
  <c r="U18" i="21"/>
  <c r="U63" i="18"/>
  <c r="U17" i="19"/>
  <c r="U63" i="9"/>
  <c r="S63" i="18"/>
  <c r="S64" i="19"/>
  <c r="R63" i="9"/>
  <c r="C32" i="9"/>
  <c r="M63" i="9"/>
  <c r="D17" i="19"/>
  <c r="D17" i="17"/>
  <c r="D17" i="9"/>
  <c r="D17" i="18"/>
  <c r="D18" i="21"/>
  <c r="D33" i="19"/>
  <c r="J17" i="18"/>
  <c r="J18" i="21"/>
  <c r="J17" i="9"/>
  <c r="J63" i="18"/>
  <c r="J64" i="19"/>
  <c r="J17" i="19"/>
  <c r="J17" i="17"/>
  <c r="J63" i="9"/>
  <c r="T42" i="21"/>
  <c r="W17" i="44" s="1"/>
  <c r="T42" i="19"/>
  <c r="T41" i="18"/>
  <c r="T41" i="17"/>
  <c r="D32" i="18"/>
  <c r="P41" i="18"/>
  <c r="P42" i="21"/>
  <c r="S17" i="44" s="1"/>
  <c r="P41" i="17"/>
  <c r="P42" i="19"/>
  <c r="U42" i="21"/>
  <c r="U41" i="17"/>
  <c r="U41" i="18"/>
  <c r="U42" i="19"/>
  <c r="T63" i="18"/>
  <c r="T18" i="21"/>
  <c r="T17" i="9"/>
  <c r="T17" i="19"/>
  <c r="T64" i="19"/>
  <c r="T17" i="17"/>
  <c r="T17" i="18"/>
  <c r="T63" i="9"/>
  <c r="D32" i="9"/>
  <c r="Q41" i="17"/>
  <c r="Q42" i="21"/>
  <c r="T17" i="44" s="1"/>
  <c r="Q42" i="19"/>
  <c r="Q41" i="18"/>
  <c r="N18" i="21"/>
  <c r="N63" i="9"/>
  <c r="N63" i="18"/>
  <c r="N17" i="19"/>
  <c r="N17" i="18"/>
  <c r="N17" i="17"/>
  <c r="N17" i="9"/>
  <c r="N64" i="19"/>
  <c r="G17" i="19"/>
  <c r="G17" i="17"/>
  <c r="G18" i="21"/>
  <c r="G17" i="9"/>
  <c r="G17" i="18"/>
  <c r="G63" i="9"/>
  <c r="S42" i="21"/>
  <c r="V17" i="44" s="1"/>
  <c r="S41" i="17"/>
  <c r="S41" i="18"/>
  <c r="S42" i="19"/>
  <c r="K63" i="18"/>
  <c r="K17" i="9"/>
  <c r="K17" i="18"/>
  <c r="K17" i="19"/>
  <c r="K17" i="17"/>
  <c r="K64" i="19"/>
  <c r="K63" i="9"/>
  <c r="K18" i="21"/>
  <c r="H63" i="9"/>
  <c r="P63" i="18"/>
  <c r="P18" i="21"/>
  <c r="P17" i="19"/>
  <c r="P17" i="9"/>
  <c r="P63" i="9"/>
  <c r="P64" i="19"/>
  <c r="P17" i="18"/>
  <c r="P17" i="17"/>
  <c r="O41" i="17"/>
  <c r="O42" i="19"/>
  <c r="O41" i="18"/>
  <c r="O42" i="21"/>
  <c r="L17" i="19"/>
  <c r="L63" i="9"/>
  <c r="L17" i="18"/>
  <c r="L17" i="9"/>
  <c r="L18" i="21"/>
  <c r="L17" i="17"/>
  <c r="L64" i="19"/>
  <c r="L63" i="18"/>
  <c r="S63" i="9"/>
  <c r="O63" i="9"/>
  <c r="O17" i="18"/>
  <c r="O17" i="9"/>
  <c r="O18" i="21"/>
  <c r="O64" i="19"/>
  <c r="O63" i="18"/>
  <c r="O17" i="17"/>
  <c r="O17" i="19"/>
  <c r="M17" i="17"/>
  <c r="M17" i="9"/>
  <c r="M18" i="21"/>
  <c r="M17" i="19"/>
  <c r="M17" i="18"/>
  <c r="M63" i="18"/>
  <c r="M64" i="19"/>
  <c r="C33" i="21"/>
  <c r="F18" i="44" s="1"/>
  <c r="F17" i="9"/>
  <c r="F17" i="17"/>
  <c r="F17" i="18"/>
  <c r="F17" i="19"/>
  <c r="F18" i="21"/>
  <c r="E17" i="9"/>
  <c r="E17" i="19"/>
  <c r="E17" i="18"/>
  <c r="E17" i="17"/>
  <c r="E18" i="21"/>
  <c r="I17" i="18"/>
  <c r="I17" i="17"/>
  <c r="I63" i="18"/>
  <c r="I63" i="9"/>
  <c r="I17" i="19"/>
  <c r="I17" i="9"/>
  <c r="I64" i="19"/>
  <c r="I18" i="21"/>
  <c r="C18" i="21"/>
  <c r="C17" i="18"/>
  <c r="C17" i="19"/>
  <c r="C17" i="17"/>
  <c r="C17" i="9"/>
  <c r="R41" i="17"/>
  <c r="R41" i="18"/>
  <c r="R42" i="21"/>
  <c r="U17" i="44" s="1"/>
  <c r="R42" i="19"/>
  <c r="R17" i="44" l="1"/>
  <c r="F52" i="44"/>
  <c r="G52" i="44"/>
  <c r="X17" i="44"/>
  <c r="J2" i="43" a="1"/>
  <c r="J2" i="43" s="1"/>
  <c r="J41" i="18"/>
  <c r="J42" i="19"/>
  <c r="J41" i="17"/>
  <c r="J42" i="21"/>
  <c r="M17" i="44" s="1"/>
  <c r="O37" i="17"/>
  <c r="O38" i="19"/>
  <c r="O38" i="21"/>
  <c r="R12" i="44" s="1"/>
  <c r="O37" i="18"/>
  <c r="I42" i="21"/>
  <c r="L17" i="44" s="1"/>
  <c r="I41" i="17"/>
  <c r="I41" i="18"/>
  <c r="I42" i="19"/>
  <c r="H42" i="21"/>
  <c r="H41" i="18"/>
  <c r="H42" i="19"/>
  <c r="H41" i="17"/>
  <c r="U38" i="21"/>
  <c r="X12" i="44" s="1"/>
  <c r="U38" i="19"/>
  <c r="U37" i="17"/>
  <c r="U37" i="18"/>
  <c r="T37" i="17"/>
  <c r="T38" i="19"/>
  <c r="T38" i="21"/>
  <c r="W12" i="44" s="1"/>
  <c r="T37" i="18"/>
  <c r="S38" i="19"/>
  <c r="S37" i="18"/>
  <c r="S38" i="21"/>
  <c r="V12" i="44" s="1"/>
  <c r="S37" i="17"/>
  <c r="K41" i="17"/>
  <c r="K42" i="21"/>
  <c r="N17" i="44" s="1"/>
  <c r="K41" i="18"/>
  <c r="K42" i="19"/>
  <c r="R37" i="17"/>
  <c r="R38" i="21"/>
  <c r="U12" i="44" s="1"/>
  <c r="R38" i="19"/>
  <c r="R37" i="18"/>
  <c r="P37" i="18"/>
  <c r="P38" i="19"/>
  <c r="P38" i="21"/>
  <c r="S12" i="44" s="1"/>
  <c r="P37" i="17"/>
  <c r="G42" i="19"/>
  <c r="G41" i="18"/>
  <c r="G42" i="21"/>
  <c r="J17" i="44" s="1"/>
  <c r="G41" i="17"/>
  <c r="Q37" i="17"/>
  <c r="Q38" i="19"/>
  <c r="Q37" i="18"/>
  <c r="Q38" i="21"/>
  <c r="T12" i="44" s="1"/>
  <c r="O36" i="17"/>
  <c r="O36" i="18"/>
  <c r="O37" i="19"/>
  <c r="N37" i="19"/>
  <c r="F41" i="18"/>
  <c r="N38" i="21"/>
  <c r="Q12" i="44" s="1"/>
  <c r="N38" i="19"/>
  <c r="X32" i="44" l="1"/>
  <c r="Q31" i="44"/>
  <c r="R31" i="44"/>
  <c r="R24" i="44"/>
  <c r="U25" i="44"/>
  <c r="U32" i="44"/>
  <c r="X25" i="44"/>
  <c r="K17" i="44"/>
  <c r="T32" i="44"/>
  <c r="T25" i="44"/>
  <c r="V25" i="44"/>
  <c r="R25" i="44"/>
  <c r="W25" i="44"/>
  <c r="V32" i="44"/>
  <c r="S25" i="44"/>
  <c r="Q32" i="44"/>
  <c r="S32" i="44"/>
  <c r="W32" i="44"/>
  <c r="R32" i="44"/>
  <c r="C97" i="17" l="1"/>
  <c r="C98" i="19" l="1"/>
  <c r="D69" i="19" l="1"/>
  <c r="C87" i="9"/>
  <c r="D70" i="19"/>
  <c r="D68" i="19"/>
  <c r="C84" i="19"/>
  <c r="D67" i="9"/>
  <c r="D68" i="9"/>
  <c r="D69" i="9"/>
  <c r="D68" i="40"/>
  <c r="D69" i="40"/>
  <c r="D70" i="40"/>
  <c r="C92" i="40"/>
  <c r="D67" i="17"/>
  <c r="D69" i="17"/>
  <c r="C83" i="17"/>
  <c r="D68" i="17"/>
  <c r="D69" i="18"/>
  <c r="D67" i="18"/>
  <c r="D68" i="18"/>
  <c r="C83" i="18"/>
  <c r="D68" i="21"/>
  <c r="D69" i="21"/>
  <c r="D70" i="21"/>
  <c r="D90" i="21"/>
  <c r="C100" i="21"/>
  <c r="F58" i="44" s="1"/>
  <c r="G45" i="44" l="1"/>
  <c r="G10" i="44"/>
  <c r="F59" i="44"/>
  <c r="F62" i="44"/>
  <c r="F61" i="44"/>
  <c r="F60" i="44"/>
  <c r="D70" i="17"/>
  <c r="D66" i="17" s="1"/>
  <c r="D57" i="17" s="1"/>
  <c r="D56" i="17" s="1"/>
  <c r="D76" i="9" l="1"/>
  <c r="D77" i="9"/>
  <c r="G23" i="44"/>
  <c r="D71" i="40"/>
  <c r="D71" i="21"/>
  <c r="D71" i="19"/>
  <c r="D67" i="19" s="1"/>
  <c r="D58" i="19" s="1"/>
  <c r="D57" i="19" s="1"/>
  <c r="D70" i="18"/>
  <c r="D66" i="18" s="1"/>
  <c r="D57" i="18" s="1"/>
  <c r="D56" i="18" s="1"/>
  <c r="D66" i="9"/>
  <c r="D57" i="9" s="1"/>
  <c r="D56" i="9" s="1"/>
  <c r="E69" i="17"/>
  <c r="D83" i="17"/>
  <c r="D109" i="21"/>
  <c r="D86" i="17" l="1"/>
  <c r="D84" i="17"/>
  <c r="D87" i="17"/>
  <c r="D88" i="17"/>
  <c r="D85" i="17"/>
  <c r="D67" i="40"/>
  <c r="D58" i="40" s="1"/>
  <c r="D57" i="40" s="1"/>
  <c r="D78" i="40"/>
  <c r="D77" i="40"/>
  <c r="D67" i="21"/>
  <c r="D78" i="21"/>
  <c r="G41" i="44"/>
  <c r="G42" i="44"/>
  <c r="G27" i="44"/>
  <c r="G30" i="44"/>
  <c r="E69" i="18"/>
  <c r="E70" i="19"/>
  <c r="D83" i="18"/>
  <c r="E67" i="9"/>
  <c r="E69" i="9"/>
  <c r="E68" i="9"/>
  <c r="D87" i="9"/>
  <c r="D84" i="19"/>
  <c r="D97" i="17"/>
  <c r="D114" i="21"/>
  <c r="D79" i="17"/>
  <c r="D98" i="19"/>
  <c r="E87" i="9" l="1"/>
  <c r="D90" i="9"/>
  <c r="D88" i="9"/>
  <c r="D92" i="9"/>
  <c r="D91" i="9"/>
  <c r="D89" i="9"/>
  <c r="D85" i="18"/>
  <c r="D86" i="18"/>
  <c r="D87" i="18"/>
  <c r="D84" i="18"/>
  <c r="D88" i="18"/>
  <c r="D11" i="22"/>
  <c r="D15" i="22" s="1"/>
  <c r="D87" i="19"/>
  <c r="D85" i="19"/>
  <c r="D88" i="19"/>
  <c r="D89" i="19"/>
  <c r="D86" i="19"/>
  <c r="D92" i="40"/>
  <c r="E70" i="40"/>
  <c r="H45" i="44"/>
  <c r="D80" i="19"/>
  <c r="D79" i="18"/>
  <c r="E71" i="40"/>
  <c r="D97" i="18"/>
  <c r="D95" i="40" l="1"/>
  <c r="D93" i="40"/>
  <c r="D96" i="40"/>
  <c r="D97" i="40"/>
  <c r="D94" i="40"/>
  <c r="D16" i="22"/>
  <c r="D17" i="22"/>
  <c r="D18" i="22"/>
  <c r="D87" i="40"/>
  <c r="D88" i="40" s="1"/>
  <c r="D14" i="22"/>
  <c r="E76" i="9"/>
  <c r="E77" i="9"/>
  <c r="D81" i="19"/>
  <c r="D80" i="18"/>
  <c r="D80" i="17"/>
  <c r="E71" i="19"/>
  <c r="E70" i="18"/>
  <c r="E70" i="17"/>
  <c r="E71" i="21"/>
  <c r="E66" i="9"/>
  <c r="E57" i="9" s="1"/>
  <c r="E56" i="9" s="1"/>
  <c r="H41" i="44" l="1"/>
  <c r="H42" i="44"/>
  <c r="D99" i="40"/>
  <c r="D90" i="18"/>
  <c r="D91" i="19"/>
  <c r="F69" i="9"/>
  <c r="E93" i="17" l="1"/>
  <c r="E94" i="17" s="1"/>
  <c r="E92" i="17" s="1"/>
  <c r="E93" i="18"/>
  <c r="E94" i="18" s="1"/>
  <c r="E92" i="18" s="1"/>
  <c r="E102" i="40"/>
  <c r="D98" i="40"/>
  <c r="D90" i="19"/>
  <c r="E94" i="19"/>
  <c r="E95" i="19" s="1"/>
  <c r="E93" i="19" s="1"/>
  <c r="D89" i="18"/>
  <c r="E97" i="9"/>
  <c r="D90" i="17"/>
  <c r="D89" i="17"/>
  <c r="E109" i="21"/>
  <c r="E103" i="40" l="1"/>
  <c r="D94" i="9"/>
  <c r="D93" i="9"/>
  <c r="E83" i="9"/>
  <c r="E91" i="9" s="1"/>
  <c r="E92" i="9" l="1"/>
  <c r="E84" i="9"/>
  <c r="E90" i="9" s="1"/>
  <c r="C109" i="21"/>
  <c r="C114" i="21" s="1"/>
  <c r="E89" i="9" l="1"/>
  <c r="E88" i="9" l="1"/>
  <c r="F97" i="9" s="1"/>
  <c r="D59" i="21"/>
  <c r="D77" i="21" l="1"/>
  <c r="E87" i="21" s="1"/>
  <c r="D88" i="21"/>
  <c r="E93" i="9"/>
  <c r="E94" i="9"/>
  <c r="D58" i="21"/>
  <c r="D57" i="21" s="1"/>
  <c r="G5" i="44" s="1"/>
  <c r="G6" i="44" l="1"/>
  <c r="E90" i="21"/>
  <c r="E91" i="21" s="1"/>
  <c r="D86" i="21"/>
  <c r="D100" i="21"/>
  <c r="D85" i="21"/>
  <c r="E70" i="21"/>
  <c r="D84" i="21"/>
  <c r="G58" i="44" l="1"/>
  <c r="D102" i="21"/>
  <c r="D103" i="21"/>
  <c r="D104" i="21"/>
  <c r="D101" i="21"/>
  <c r="D105" i="21"/>
  <c r="D95" i="21"/>
  <c r="D96" i="21" s="1"/>
  <c r="G59" i="44" l="1"/>
  <c r="G60" i="44"/>
  <c r="G62" i="44"/>
  <c r="G61" i="44"/>
  <c r="E110" i="21" l="1"/>
  <c r="E111" i="21" s="1"/>
  <c r="D107" i="21"/>
  <c r="D106" i="21"/>
  <c r="G36" i="9" l="1"/>
  <c r="J46" i="44" l="1"/>
  <c r="F96" i="9"/>
  <c r="G37" i="40"/>
  <c r="H36" i="9"/>
  <c r="G37" i="21"/>
  <c r="J11" i="44" s="1"/>
  <c r="K46" i="44" l="1"/>
  <c r="H37" i="40"/>
  <c r="I36" i="9"/>
  <c r="H37" i="21"/>
  <c r="K11" i="44" s="1"/>
  <c r="L46" i="44" l="1"/>
  <c r="I37" i="40"/>
  <c r="J36" i="9"/>
  <c r="I37" i="21"/>
  <c r="L11" i="44" s="1"/>
  <c r="M46" i="44" l="1"/>
  <c r="J37" i="40"/>
  <c r="K36" i="9"/>
  <c r="J37" i="21"/>
  <c r="M11" i="44" s="1"/>
  <c r="N46" i="44" l="1"/>
  <c r="K37" i="40"/>
  <c r="L36" i="9"/>
  <c r="K37" i="21"/>
  <c r="N11" i="44" s="1"/>
  <c r="O46" i="44" l="1"/>
  <c r="L37" i="40"/>
  <c r="M36" i="9"/>
  <c r="L37" i="21"/>
  <c r="O11" i="44" s="1"/>
  <c r="P46" i="44" l="1"/>
  <c r="M37" i="40"/>
  <c r="M37" i="21"/>
  <c r="P11" i="44" s="1"/>
  <c r="Q37" i="19" l="1"/>
  <c r="Q36" i="17"/>
  <c r="Q37" i="40"/>
  <c r="Q37" i="21"/>
  <c r="T11" i="44" s="1"/>
  <c r="Q36" i="18"/>
  <c r="P37" i="19"/>
  <c r="P37" i="21"/>
  <c r="S11" i="44" s="1"/>
  <c r="P37" i="40"/>
  <c r="P36" i="17"/>
  <c r="P36" i="18"/>
  <c r="T37" i="19"/>
  <c r="T37" i="21"/>
  <c r="W11" i="44" s="1"/>
  <c r="T36" i="17"/>
  <c r="T37" i="40"/>
  <c r="T36" i="18"/>
  <c r="S36" i="17"/>
  <c r="S37" i="40"/>
  <c r="S37" i="21"/>
  <c r="V11" i="44" s="1"/>
  <c r="S36" i="18"/>
  <c r="S37" i="19"/>
  <c r="U37" i="19"/>
  <c r="U37" i="40"/>
  <c r="U36" i="17"/>
  <c r="U37" i="21"/>
  <c r="X11" i="44" s="1"/>
  <c r="U36" i="18"/>
  <c r="R37" i="19"/>
  <c r="R37" i="21"/>
  <c r="U11" i="44" s="1"/>
  <c r="R36" i="18"/>
  <c r="R37" i="40"/>
  <c r="R36" i="17"/>
  <c r="U31" i="44" l="1"/>
  <c r="S31" i="44"/>
  <c r="X31" i="44"/>
  <c r="T24" i="44"/>
  <c r="W31" i="44"/>
  <c r="X24" i="44"/>
  <c r="T31" i="44"/>
  <c r="V24" i="44"/>
  <c r="S24" i="44"/>
  <c r="V31" i="44"/>
  <c r="U24" i="44"/>
  <c r="W24" i="44"/>
  <c r="G36" i="17" l="1"/>
  <c r="K36" i="17"/>
  <c r="N24" i="44" l="1"/>
  <c r="J24" i="44"/>
  <c r="H36" i="17"/>
  <c r="J36" i="17"/>
  <c r="M24" i="44" l="1"/>
  <c r="K24" i="44"/>
  <c r="R29" i="9" l="1"/>
  <c r="R61" i="9" s="1"/>
  <c r="U29" i="9"/>
  <c r="U61" i="9" s="1"/>
  <c r="S32" i="9"/>
  <c r="R32" i="9"/>
  <c r="L32" i="9"/>
  <c r="I29" i="9"/>
  <c r="J29" i="9"/>
  <c r="H29" i="9"/>
  <c r="N32" i="9"/>
  <c r="S29" i="9"/>
  <c r="S61" i="9" s="1"/>
  <c r="G29" i="9"/>
  <c r="Q29" i="9"/>
  <c r="Q61" i="9" s="1"/>
  <c r="O29" i="9"/>
  <c r="O61" i="9" s="1"/>
  <c r="M29" i="9"/>
  <c r="M61" i="9" s="1"/>
  <c r="K32" i="9"/>
  <c r="Q32" i="9"/>
  <c r="P32" i="9"/>
  <c r="T29" i="9"/>
  <c r="T61" i="9" s="1"/>
  <c r="P29" i="9"/>
  <c r="P61" i="9" s="1"/>
  <c r="N29" i="9"/>
  <c r="N61" i="9" s="1"/>
  <c r="L29" i="9"/>
  <c r="L61" i="9" s="1"/>
  <c r="K29" i="9"/>
  <c r="K61" i="9" s="1"/>
  <c r="G32" i="9"/>
  <c r="I32" i="9"/>
  <c r="F101" i="9"/>
  <c r="O32" i="9"/>
  <c r="O52" i="44" l="1"/>
  <c r="T52" i="44"/>
  <c r="R44" i="44"/>
  <c r="V44" i="44"/>
  <c r="U52" i="44"/>
  <c r="T44" i="44"/>
  <c r="L52" i="44"/>
  <c r="V52" i="44"/>
  <c r="N52" i="44"/>
  <c r="R52" i="44"/>
  <c r="J52" i="44"/>
  <c r="N44" i="44"/>
  <c r="Q44" i="44"/>
  <c r="X44" i="44"/>
  <c r="P44" i="44"/>
  <c r="Q52" i="44"/>
  <c r="O44" i="44"/>
  <c r="S44" i="44"/>
  <c r="W44" i="44"/>
  <c r="S52" i="44"/>
  <c r="U44" i="44"/>
  <c r="L58" i="9"/>
  <c r="K58" i="9"/>
  <c r="S58" i="9"/>
  <c r="H61" i="9"/>
  <c r="J61" i="9"/>
  <c r="I61" i="9"/>
  <c r="G61" i="9"/>
  <c r="F61" i="9"/>
  <c r="T32" i="9"/>
  <c r="M32" i="9"/>
  <c r="U32" i="9"/>
  <c r="M58" i="9"/>
  <c r="P58" i="9"/>
  <c r="Q58" i="9"/>
  <c r="N58" i="9"/>
  <c r="T58" i="9"/>
  <c r="U58" i="9"/>
  <c r="H32" i="9"/>
  <c r="R58" i="9"/>
  <c r="O58" i="9"/>
  <c r="J32" i="9"/>
  <c r="K52" i="44" l="1"/>
  <c r="K44" i="44"/>
  <c r="L44" i="44"/>
  <c r="M44" i="44"/>
  <c r="X52" i="44"/>
  <c r="P52" i="44"/>
  <c r="W52" i="44"/>
  <c r="I44" i="44"/>
  <c r="M52" i="44"/>
  <c r="J44" i="44"/>
  <c r="F58" i="9"/>
  <c r="H58" i="9"/>
  <c r="I58" i="9"/>
  <c r="J58" i="9"/>
  <c r="G58" i="9"/>
  <c r="F87" i="9"/>
  <c r="F67" i="9"/>
  <c r="F68" i="9"/>
  <c r="I45" i="44" l="1"/>
  <c r="F83" i="9"/>
  <c r="F92" i="9" s="1"/>
  <c r="F71" i="40" l="1"/>
  <c r="F71" i="21"/>
  <c r="F70" i="18"/>
  <c r="F71" i="19"/>
  <c r="F70" i="17"/>
  <c r="F77" i="9"/>
  <c r="F66" i="9"/>
  <c r="F57" i="9" s="1"/>
  <c r="F56" i="9" s="1"/>
  <c r="F76" i="9"/>
  <c r="F91" i="9"/>
  <c r="F84" i="9"/>
  <c r="F89" i="9" s="1"/>
  <c r="I42" i="44" l="1"/>
  <c r="G69" i="9"/>
  <c r="I41" i="44"/>
  <c r="G68" i="9"/>
  <c r="F90" i="9"/>
  <c r="F88" i="9" s="1"/>
  <c r="G97" i="9" l="1"/>
  <c r="G98" i="9" s="1"/>
  <c r="G96" i="9" s="1"/>
  <c r="F94" i="9"/>
  <c r="F93" i="9"/>
  <c r="G35" i="9" l="1"/>
  <c r="G101" i="9"/>
  <c r="G87" i="9" s="1"/>
  <c r="J48" i="44" l="1"/>
  <c r="G83" i="9"/>
  <c r="G84" i="9" s="1"/>
  <c r="G67" i="9"/>
  <c r="J45" i="44" l="1"/>
  <c r="G77" i="9"/>
  <c r="G76" i="9"/>
  <c r="G91" i="9"/>
  <c r="G89" i="9"/>
  <c r="G92" i="9"/>
  <c r="G90" i="9"/>
  <c r="G66" i="9"/>
  <c r="G57" i="9" s="1"/>
  <c r="G56" i="9" s="1"/>
  <c r="J42" i="44" l="1"/>
  <c r="J41" i="44"/>
  <c r="G88" i="9"/>
  <c r="G94" i="9" s="1"/>
  <c r="H69" i="9"/>
  <c r="H68" i="9"/>
  <c r="H97" i="9" l="1"/>
  <c r="H98" i="9" s="1"/>
  <c r="H96" i="9" s="1"/>
  <c r="H101" i="9" s="1"/>
  <c r="H87" i="9" s="1"/>
  <c r="G93" i="9"/>
  <c r="H35" i="9" l="1"/>
  <c r="H83" i="9"/>
  <c r="H84" i="9" s="1"/>
  <c r="H67" i="9" l="1"/>
  <c r="H77" i="9" s="1"/>
  <c r="K48" i="44"/>
  <c r="H92" i="9"/>
  <c r="H90" i="9"/>
  <c r="H89" i="9"/>
  <c r="H91" i="9"/>
  <c r="H66" i="9"/>
  <c r="H57" i="9" s="1"/>
  <c r="H56" i="9" s="1"/>
  <c r="H76" i="9" l="1"/>
  <c r="K41" i="44"/>
  <c r="K45" i="44"/>
  <c r="H88" i="9"/>
  <c r="I97" i="9" s="1"/>
  <c r="I98" i="9" s="1"/>
  <c r="I96" i="9" s="1"/>
  <c r="I35" i="9" s="1"/>
  <c r="I69" i="9"/>
  <c r="I68" i="9"/>
  <c r="K42" i="44" l="1"/>
  <c r="L48" i="44"/>
  <c r="H94" i="9"/>
  <c r="H93" i="9"/>
  <c r="I67" i="9"/>
  <c r="I101" i="9"/>
  <c r="I87" i="9" s="1"/>
  <c r="L45" i="44" l="1"/>
  <c r="I77" i="9"/>
  <c r="I76" i="9"/>
  <c r="I66" i="9"/>
  <c r="I57" i="9" s="1"/>
  <c r="I56" i="9" s="1"/>
  <c r="I83" i="9"/>
  <c r="L42" i="44" l="1"/>
  <c r="L41" i="44"/>
  <c r="J69" i="9"/>
  <c r="J68" i="9"/>
  <c r="I92" i="9"/>
  <c r="I84" i="9"/>
  <c r="I89" i="9" s="1"/>
  <c r="I91" i="9"/>
  <c r="I90" i="9" l="1"/>
  <c r="I88" i="9" s="1"/>
  <c r="J97" i="9" s="1"/>
  <c r="J98" i="9" s="1"/>
  <c r="J96" i="9" s="1"/>
  <c r="I94" i="9" l="1"/>
  <c r="I93" i="9"/>
  <c r="J35" i="9"/>
  <c r="J101" i="9"/>
  <c r="J87" i="9" s="1"/>
  <c r="M48" i="44" l="1"/>
  <c r="J83" i="9"/>
  <c r="J92" i="9" s="1"/>
  <c r="J67" i="9"/>
  <c r="M45" i="44" l="1"/>
  <c r="J77" i="9"/>
  <c r="J76" i="9"/>
  <c r="J91" i="9"/>
  <c r="J66" i="9"/>
  <c r="J57" i="9" s="1"/>
  <c r="J56" i="9" s="1"/>
  <c r="J84" i="9"/>
  <c r="J90" i="9" s="1"/>
  <c r="M41" i="44" l="1"/>
  <c r="M42" i="44"/>
  <c r="J89" i="9"/>
  <c r="J88" i="9" s="1"/>
  <c r="J93" i="9" s="1"/>
  <c r="K68" i="9"/>
  <c r="K69" i="9"/>
  <c r="K97" i="9" l="1"/>
  <c r="K98" i="9" s="1"/>
  <c r="K96" i="9" s="1"/>
  <c r="K101" i="9" s="1"/>
  <c r="K87" i="9" s="1"/>
  <c r="J94" i="9"/>
  <c r="K35" i="9" l="1"/>
  <c r="K83" i="9"/>
  <c r="N48" i="44" l="1"/>
  <c r="K67" i="9"/>
  <c r="K84" i="9"/>
  <c r="K90" i="9" s="1"/>
  <c r="K92" i="9"/>
  <c r="K91" i="9"/>
  <c r="N45" i="44" l="1"/>
  <c r="K66" i="9"/>
  <c r="K57" i="9" s="1"/>
  <c r="K56" i="9" s="1"/>
  <c r="L69" i="9" s="1"/>
  <c r="K77" i="9"/>
  <c r="K76" i="9"/>
  <c r="K89" i="9"/>
  <c r="K88" i="9" s="1"/>
  <c r="L68" i="9"/>
  <c r="N42" i="44" l="1"/>
  <c r="N41" i="44"/>
  <c r="K94" i="9"/>
  <c r="K93" i="9"/>
  <c r="L97" i="9"/>
  <c r="L98" i="9" s="1"/>
  <c r="L96" i="9" s="1"/>
  <c r="L101" i="9" s="1"/>
  <c r="L87" i="9" s="1"/>
  <c r="L35" i="9" l="1"/>
  <c r="L83" i="9"/>
  <c r="L91" i="9" s="1"/>
  <c r="O48" i="44" l="1"/>
  <c r="L67" i="9"/>
  <c r="L92" i="9"/>
  <c r="L84" i="9"/>
  <c r="L89" i="9" s="1"/>
  <c r="O45" i="44" l="1"/>
  <c r="L77" i="9"/>
  <c r="L76" i="9"/>
  <c r="L66" i="9"/>
  <c r="L57" i="9" s="1"/>
  <c r="L56" i="9" s="1"/>
  <c r="L90" i="9"/>
  <c r="L88" i="9" s="1"/>
  <c r="O41" i="44" l="1"/>
  <c r="O42" i="44"/>
  <c r="M69" i="9"/>
  <c r="M68" i="9"/>
  <c r="L93" i="9"/>
  <c r="M97" i="9"/>
  <c r="M98" i="9" s="1"/>
  <c r="M96" i="9" s="1"/>
  <c r="L94" i="9"/>
  <c r="M101" i="9" l="1"/>
  <c r="M87" i="9" s="1"/>
  <c r="M35" i="9"/>
  <c r="P48" i="44" l="1"/>
  <c r="M67" i="9"/>
  <c r="M83" i="9"/>
  <c r="P45" i="44" l="1"/>
  <c r="M77" i="9"/>
  <c r="M76" i="9"/>
  <c r="M84" i="9"/>
  <c r="M89" i="9" s="1"/>
  <c r="M91" i="9"/>
  <c r="M92" i="9"/>
  <c r="M66" i="9"/>
  <c r="M57" i="9" s="1"/>
  <c r="M56" i="9" s="1"/>
  <c r="P42" i="44" l="1"/>
  <c r="P41" i="44"/>
  <c r="M90" i="9"/>
  <c r="M88" i="9" s="1"/>
  <c r="N69" i="9"/>
  <c r="N68" i="9"/>
  <c r="M93" i="9" l="1"/>
  <c r="M94" i="9"/>
  <c r="N97" i="9"/>
  <c r="N98" i="9" s="1"/>
  <c r="N96" i="9" s="1"/>
  <c r="N35" i="9" l="1"/>
  <c r="N101" i="9"/>
  <c r="N87" i="9" s="1"/>
  <c r="Q48" i="44" l="1"/>
  <c r="N83" i="9"/>
  <c r="N67" i="9"/>
  <c r="Q45" i="44" l="1"/>
  <c r="N77" i="9"/>
  <c r="N76" i="9"/>
  <c r="N66" i="9"/>
  <c r="N57" i="9" s="1"/>
  <c r="N56" i="9" s="1"/>
  <c r="N84" i="9"/>
  <c r="N89" i="9" s="1"/>
  <c r="N91" i="9"/>
  <c r="N92" i="9"/>
  <c r="Q42" i="44" l="1"/>
  <c r="Q41" i="44"/>
  <c r="N90" i="9"/>
  <c r="N88" i="9" s="1"/>
  <c r="O68" i="9"/>
  <c r="O69" i="9"/>
  <c r="O97" i="9" l="1"/>
  <c r="O98" i="9" s="1"/>
  <c r="O96" i="9" s="1"/>
  <c r="O101" i="9" s="1"/>
  <c r="O87" i="9" s="1"/>
  <c r="N94" i="9"/>
  <c r="N93" i="9"/>
  <c r="O35" i="9" l="1"/>
  <c r="O83" i="9"/>
  <c r="R48" i="44" l="1"/>
  <c r="O67" i="9"/>
  <c r="O92" i="9"/>
  <c r="O91" i="9"/>
  <c r="O84" i="9"/>
  <c r="O90" i="9" s="1"/>
  <c r="R45" i="44" l="1"/>
  <c r="O66" i="9"/>
  <c r="O57" i="9" s="1"/>
  <c r="O56" i="9" s="1"/>
  <c r="O77" i="9"/>
  <c r="O76" i="9"/>
  <c r="O89" i="9"/>
  <c r="O88" i="9" s="1"/>
  <c r="P97" i="9" s="1"/>
  <c r="P98" i="9" s="1"/>
  <c r="P96" i="9" s="1"/>
  <c r="P68" i="9" l="1"/>
  <c r="P69" i="9"/>
  <c r="R42" i="44"/>
  <c r="R41" i="44"/>
  <c r="O94" i="9"/>
  <c r="O93" i="9"/>
  <c r="P35" i="9"/>
  <c r="P101" i="9"/>
  <c r="P87" i="9" s="1"/>
  <c r="S48" i="44" l="1"/>
  <c r="P67" i="9"/>
  <c r="P83" i="9"/>
  <c r="P91" i="9" s="1"/>
  <c r="S45" i="44" l="1"/>
  <c r="P77" i="9"/>
  <c r="P76" i="9"/>
  <c r="P66" i="9"/>
  <c r="P57" i="9" s="1"/>
  <c r="P56" i="9" s="1"/>
  <c r="P84" i="9"/>
  <c r="P89" i="9" s="1"/>
  <c r="P92" i="9"/>
  <c r="S42" i="44" l="1"/>
  <c r="S41" i="44"/>
  <c r="P90" i="9"/>
  <c r="P88" i="9" s="1"/>
  <c r="Q68" i="9"/>
  <c r="Q69" i="9"/>
  <c r="P93" i="9" l="1"/>
  <c r="Q97" i="9"/>
  <c r="Q98" i="9" s="1"/>
  <c r="Q96" i="9" s="1"/>
  <c r="Q35" i="9" s="1"/>
  <c r="P94" i="9"/>
  <c r="T48" i="44" l="1"/>
  <c r="Q101" i="9"/>
  <c r="Q87" i="9" s="1"/>
  <c r="Q67" i="9"/>
  <c r="T45" i="44" l="1"/>
  <c r="Q77" i="9"/>
  <c r="Q76" i="9"/>
  <c r="Q83" i="9"/>
  <c r="Q92" i="9" s="1"/>
  <c r="Q66" i="9"/>
  <c r="Q57" i="9" s="1"/>
  <c r="Q56" i="9" s="1"/>
  <c r="T42" i="44" l="1"/>
  <c r="T41" i="44"/>
  <c r="Q91" i="9"/>
  <c r="Q84" i="9"/>
  <c r="Q89" i="9" s="1"/>
  <c r="R68" i="9"/>
  <c r="R69" i="9"/>
  <c r="Q90" i="9" l="1"/>
  <c r="Q88" i="9" s="1"/>
  <c r="Q93" i="9" l="1"/>
  <c r="Q94" i="9"/>
  <c r="R97" i="9"/>
  <c r="R98" i="9" s="1"/>
  <c r="R96" i="9" s="1"/>
  <c r="R35" i="9" s="1"/>
  <c r="R67" i="9" l="1"/>
  <c r="U48" i="44"/>
  <c r="R77" i="9"/>
  <c r="R76" i="9"/>
  <c r="R101" i="9"/>
  <c r="R87" i="9" s="1"/>
  <c r="R66" i="9"/>
  <c r="R57" i="9" s="1"/>
  <c r="R56" i="9" s="1"/>
  <c r="U42" i="44" l="1"/>
  <c r="U41" i="44"/>
  <c r="U45" i="44"/>
  <c r="R83" i="9"/>
  <c r="R92" i="9" s="1"/>
  <c r="S69" i="9"/>
  <c r="S68" i="9"/>
  <c r="R91" i="9" l="1"/>
  <c r="R84" i="9"/>
  <c r="R89" i="9" s="1"/>
  <c r="R90" i="9" l="1"/>
  <c r="R88" i="9" s="1"/>
  <c r="R93" i="9" l="1"/>
  <c r="R94" i="9"/>
  <c r="S97" i="9"/>
  <c r="S98" i="9" s="1"/>
  <c r="S96" i="9" s="1"/>
  <c r="S101" i="9" l="1"/>
  <c r="S87" i="9" s="1"/>
  <c r="S35" i="9"/>
  <c r="S67" i="9" l="1"/>
  <c r="V48" i="44"/>
  <c r="S83" i="9"/>
  <c r="S92" i="9" s="1"/>
  <c r="S91" i="9" l="1"/>
  <c r="S84" i="9"/>
  <c r="S90" i="9" s="1"/>
  <c r="S76" i="9"/>
  <c r="S77" i="9"/>
  <c r="S66" i="9"/>
  <c r="S57" i="9" s="1"/>
  <c r="S56" i="9" s="1"/>
  <c r="V45" i="44"/>
  <c r="S89" i="9" l="1"/>
  <c r="S88" i="9" s="1"/>
  <c r="T69" i="9"/>
  <c r="V41" i="44"/>
  <c r="T68" i="9"/>
  <c r="V42" i="44"/>
  <c r="S94" i="9"/>
  <c r="T97" i="9"/>
  <c r="T98" i="9" s="1"/>
  <c r="T96" i="9" s="1"/>
  <c r="S93" i="9"/>
  <c r="T35" i="9" l="1"/>
  <c r="T101" i="9"/>
  <c r="T87" i="9" s="1"/>
  <c r="T83" i="9" l="1"/>
  <c r="T67" i="9"/>
  <c r="W48" i="44"/>
  <c r="T77" i="9" l="1"/>
  <c r="W45" i="44"/>
  <c r="T76" i="9"/>
  <c r="T66" i="9"/>
  <c r="T57" i="9" s="1"/>
  <c r="T56" i="9" s="1"/>
  <c r="T84" i="9"/>
  <c r="T90" i="9" s="1"/>
  <c r="T92" i="9"/>
  <c r="T91" i="9"/>
  <c r="T89" i="9" l="1"/>
  <c r="T88" i="9" s="1"/>
  <c r="U97" i="9" s="1"/>
  <c r="U98" i="9" s="1"/>
  <c r="U96" i="9" s="1"/>
  <c r="U69" i="9"/>
  <c r="U68" i="9"/>
  <c r="W41" i="44"/>
  <c r="W42" i="44"/>
  <c r="T93" i="9" l="1"/>
  <c r="T94" i="9"/>
  <c r="U101" i="9"/>
  <c r="U87" i="9" s="1"/>
  <c r="U35" i="9"/>
  <c r="X48" i="44" l="1"/>
  <c r="U67" i="9"/>
  <c r="U83" i="9"/>
  <c r="U92" i="9" l="1"/>
  <c r="U91" i="9"/>
  <c r="U84" i="9"/>
  <c r="U89" i="9" s="1"/>
  <c r="U66" i="9"/>
  <c r="U57" i="9" s="1"/>
  <c r="U56" i="9" s="1"/>
  <c r="X45" i="44"/>
  <c r="U76" i="9"/>
  <c r="U77" i="9"/>
  <c r="U90" i="9" l="1"/>
  <c r="X42" i="44"/>
  <c r="X41" i="44"/>
  <c r="U88" i="9" l="1"/>
  <c r="U94" i="9" s="1"/>
  <c r="U93" i="9" l="1"/>
  <c r="E12" i="21" l="1"/>
  <c r="E60" i="21" s="1"/>
  <c r="E12" i="40" l="1"/>
  <c r="E50" i="21"/>
  <c r="H7" i="44"/>
  <c r="E52" i="21"/>
  <c r="G19" i="20"/>
  <c r="E79" i="21"/>
  <c r="E13" i="21"/>
  <c r="G20" i="20" l="1"/>
  <c r="E23" i="21"/>
  <c r="E52" i="40"/>
  <c r="E13" i="40"/>
  <c r="E79" i="40"/>
  <c r="F12" i="40"/>
  <c r="E12" i="17"/>
  <c r="E12" i="18"/>
  <c r="E12" i="19"/>
  <c r="E50" i="40"/>
  <c r="E60" i="40"/>
  <c r="E23" i="40" l="1"/>
  <c r="E51" i="17"/>
  <c r="E49" i="17"/>
  <c r="E59" i="17"/>
  <c r="E30" i="21"/>
  <c r="E24" i="21"/>
  <c r="E52" i="19"/>
  <c r="E50" i="19"/>
  <c r="E60" i="19"/>
  <c r="H28" i="44"/>
  <c r="E51" i="18"/>
  <c r="E59" i="18"/>
  <c r="E49" i="18"/>
  <c r="F12" i="18"/>
  <c r="F52" i="40"/>
  <c r="F60" i="40"/>
  <c r="F79" i="40"/>
  <c r="F13" i="40"/>
  <c r="F50" i="40"/>
  <c r="F12" i="17"/>
  <c r="F12" i="19"/>
  <c r="G12" i="40"/>
  <c r="E30" i="40" l="1"/>
  <c r="E24" i="40"/>
  <c r="E22" i="17"/>
  <c r="E33" i="21"/>
  <c r="H16" i="44"/>
  <c r="E69" i="21"/>
  <c r="E114" i="21"/>
  <c r="E22" i="18"/>
  <c r="G50" i="40"/>
  <c r="G52" i="40"/>
  <c r="G79" i="40"/>
  <c r="G13" i="40"/>
  <c r="G12" i="17"/>
  <c r="G12" i="18"/>
  <c r="G12" i="19"/>
  <c r="G60" i="40"/>
  <c r="H12" i="40"/>
  <c r="F52" i="19"/>
  <c r="F50" i="19"/>
  <c r="F60" i="19"/>
  <c r="E62" i="21"/>
  <c r="F51" i="21"/>
  <c r="F59" i="18"/>
  <c r="I28" i="44"/>
  <c r="F51" i="18"/>
  <c r="F49" i="18"/>
  <c r="F49" i="17"/>
  <c r="F51" i="17"/>
  <c r="F59" i="17"/>
  <c r="E22" i="19"/>
  <c r="E100" i="21" l="1"/>
  <c r="E68" i="21"/>
  <c r="H18" i="44"/>
  <c r="E30" i="19"/>
  <c r="E23" i="19"/>
  <c r="H58" i="44"/>
  <c r="E95" i="21"/>
  <c r="E96" i="21" s="1"/>
  <c r="E29" i="17"/>
  <c r="E23" i="17"/>
  <c r="H12" i="19"/>
  <c r="H12" i="18"/>
  <c r="H50" i="40"/>
  <c r="H12" i="17"/>
  <c r="H13" i="40"/>
  <c r="H52" i="40"/>
  <c r="H79" i="40"/>
  <c r="H60" i="40"/>
  <c r="I12" i="40"/>
  <c r="G50" i="19"/>
  <c r="G60" i="19"/>
  <c r="G52" i="19"/>
  <c r="J28" i="44"/>
  <c r="G51" i="18"/>
  <c r="G49" i="18"/>
  <c r="G59" i="18"/>
  <c r="G59" i="17"/>
  <c r="G49" i="17"/>
  <c r="G51" i="17"/>
  <c r="E29" i="18"/>
  <c r="E23" i="18"/>
  <c r="E33" i="40"/>
  <c r="E106" i="40"/>
  <c r="H8" i="44"/>
  <c r="E59" i="21"/>
  <c r="E62" i="40"/>
  <c r="F51" i="40"/>
  <c r="F23" i="40" s="1"/>
  <c r="E102" i="21" l="1"/>
  <c r="H59" i="44" s="1"/>
  <c r="E105" i="21"/>
  <c r="H62" i="44" s="1"/>
  <c r="E103" i="21"/>
  <c r="H60" i="44" s="1"/>
  <c r="E104" i="21"/>
  <c r="H61" i="44" s="1"/>
  <c r="E77" i="21"/>
  <c r="E59" i="40"/>
  <c r="E68" i="40"/>
  <c r="E32" i="18"/>
  <c r="E67" i="18" s="1"/>
  <c r="E97" i="18"/>
  <c r="E32" i="17"/>
  <c r="E67" i="17" s="1"/>
  <c r="E97" i="17"/>
  <c r="E61" i="18"/>
  <c r="E58" i="18" s="1"/>
  <c r="F50" i="18"/>
  <c r="F22" i="18" s="1"/>
  <c r="E61" i="17"/>
  <c r="E58" i="17" s="1"/>
  <c r="F50" i="17"/>
  <c r="F22" i="17" s="1"/>
  <c r="E33" i="19"/>
  <c r="E68" i="19" s="1"/>
  <c r="H33" i="44"/>
  <c r="E98" i="19"/>
  <c r="H59" i="18"/>
  <c r="H49" i="18"/>
  <c r="K28" i="44"/>
  <c r="H51" i="18"/>
  <c r="H50" i="19"/>
  <c r="H52" i="19"/>
  <c r="H60" i="19"/>
  <c r="E62" i="19"/>
  <c r="E59" i="19" s="1"/>
  <c r="F51" i="19"/>
  <c r="F22" i="19" s="1"/>
  <c r="H51" i="17"/>
  <c r="H49" i="17"/>
  <c r="H59" i="17"/>
  <c r="E92" i="40"/>
  <c r="I12" i="17"/>
  <c r="I79" i="40"/>
  <c r="I52" i="40"/>
  <c r="I13" i="40"/>
  <c r="I60" i="40"/>
  <c r="I50" i="40"/>
  <c r="I12" i="18"/>
  <c r="I12" i="19"/>
  <c r="J12" i="40"/>
  <c r="H10" i="44"/>
  <c r="E67" i="21"/>
  <c r="E58" i="21" s="1"/>
  <c r="E57" i="21" s="1"/>
  <c r="E78" i="21"/>
  <c r="E69" i="40"/>
  <c r="F30" i="40"/>
  <c r="F24" i="40"/>
  <c r="E83" i="17" l="1"/>
  <c r="E84" i="19"/>
  <c r="E83" i="18"/>
  <c r="E101" i="21"/>
  <c r="E85" i="21"/>
  <c r="H5" i="44"/>
  <c r="G23" i="20"/>
  <c r="E86" i="21"/>
  <c r="F70" i="21"/>
  <c r="E84" i="21"/>
  <c r="E79" i="17"/>
  <c r="E80" i="17" s="1"/>
  <c r="E68" i="17"/>
  <c r="E66" i="17" s="1"/>
  <c r="E57" i="17" s="1"/>
  <c r="E56" i="17" s="1"/>
  <c r="E79" i="18"/>
  <c r="E80" i="18" s="1"/>
  <c r="I49" i="17"/>
  <c r="I51" i="17"/>
  <c r="I59" i="17"/>
  <c r="E68" i="18"/>
  <c r="E66" i="18" s="1"/>
  <c r="E57" i="18" s="1"/>
  <c r="E56" i="18" s="1"/>
  <c r="E87" i="40"/>
  <c r="E88" i="40" s="1"/>
  <c r="E80" i="19"/>
  <c r="E81" i="19" s="1"/>
  <c r="E67" i="40"/>
  <c r="E58" i="40" s="1"/>
  <c r="E57" i="40" s="1"/>
  <c r="E78" i="40"/>
  <c r="F30" i="19"/>
  <c r="F23" i="19"/>
  <c r="E69" i="19"/>
  <c r="E67" i="19" s="1"/>
  <c r="E58" i="19" s="1"/>
  <c r="E57" i="19" s="1"/>
  <c r="E77" i="40"/>
  <c r="F33" i="40"/>
  <c r="F23" i="17"/>
  <c r="F32" i="17" s="1"/>
  <c r="F29" i="17"/>
  <c r="J13" i="40"/>
  <c r="J79" i="40"/>
  <c r="J52" i="40"/>
  <c r="J50" i="40"/>
  <c r="J12" i="18"/>
  <c r="J12" i="17"/>
  <c r="J12" i="19"/>
  <c r="J60" i="40"/>
  <c r="K12" i="40"/>
  <c r="I49" i="18"/>
  <c r="L28" i="44"/>
  <c r="I51" i="18"/>
  <c r="I59" i="18"/>
  <c r="G22" i="20"/>
  <c r="E88" i="21"/>
  <c r="F62" i="40"/>
  <c r="G51" i="40"/>
  <c r="G23" i="40" s="1"/>
  <c r="F23" i="18"/>
  <c r="F32" i="18" s="1"/>
  <c r="F29" i="18"/>
  <c r="H6" i="44"/>
  <c r="G21" i="20"/>
  <c r="F12" i="21"/>
  <c r="F87" i="21"/>
  <c r="I52" i="19"/>
  <c r="I50" i="19"/>
  <c r="I60" i="19"/>
  <c r="E87" i="19" l="1"/>
  <c r="E88" i="19"/>
  <c r="E89" i="19"/>
  <c r="E86" i="19"/>
  <c r="E88" i="18"/>
  <c r="E107" i="21"/>
  <c r="E106" i="21"/>
  <c r="F110" i="21"/>
  <c r="F111" i="21" s="1"/>
  <c r="F109" i="21" s="1"/>
  <c r="F69" i="18"/>
  <c r="H27" i="44"/>
  <c r="F68" i="18"/>
  <c r="H23" i="44"/>
  <c r="F69" i="17"/>
  <c r="F68" i="17"/>
  <c r="F70" i="19"/>
  <c r="H30" i="44"/>
  <c r="F70" i="40"/>
  <c r="F69" i="40"/>
  <c r="E11" i="22"/>
  <c r="E87" i="18"/>
  <c r="J51" i="17"/>
  <c r="J49" i="17"/>
  <c r="J59" i="17"/>
  <c r="I7" i="44"/>
  <c r="F52" i="21"/>
  <c r="F60" i="21"/>
  <c r="F50" i="21"/>
  <c r="H19" i="20"/>
  <c r="F79" i="21"/>
  <c r="F13" i="21"/>
  <c r="E97" i="40"/>
  <c r="J49" i="18"/>
  <c r="M28" i="44"/>
  <c r="J51" i="18"/>
  <c r="J59" i="18"/>
  <c r="J60" i="19"/>
  <c r="J50" i="19"/>
  <c r="J52" i="19"/>
  <c r="I33" i="44"/>
  <c r="F33" i="19"/>
  <c r="F69" i="19" s="1"/>
  <c r="E85" i="17"/>
  <c r="F61" i="18"/>
  <c r="F58" i="18" s="1"/>
  <c r="G50" i="18"/>
  <c r="G22" i="18" s="1"/>
  <c r="G30" i="40"/>
  <c r="G24" i="40"/>
  <c r="E87" i="17"/>
  <c r="F61" i="17"/>
  <c r="F58" i="17" s="1"/>
  <c r="G50" i="17"/>
  <c r="G22" i="17" s="1"/>
  <c r="F59" i="40"/>
  <c r="E95" i="40"/>
  <c r="E86" i="17"/>
  <c r="F62" i="19"/>
  <c r="F59" i="19" s="1"/>
  <c r="G51" i="19"/>
  <c r="G22" i="19" s="1"/>
  <c r="E94" i="40"/>
  <c r="E85" i="18"/>
  <c r="E88" i="17"/>
  <c r="K13" i="40"/>
  <c r="K79" i="40"/>
  <c r="K52" i="40"/>
  <c r="K12" i="18"/>
  <c r="K50" i="40"/>
  <c r="K12" i="17"/>
  <c r="K12" i="19"/>
  <c r="K60" i="40"/>
  <c r="L12" i="40"/>
  <c r="E96" i="40"/>
  <c r="E86" i="18"/>
  <c r="E85" i="19" l="1"/>
  <c r="E84" i="17"/>
  <c r="E84" i="18"/>
  <c r="E90" i="18" s="1"/>
  <c r="F94" i="19"/>
  <c r="F95" i="19" s="1"/>
  <c r="F93" i="19" s="1"/>
  <c r="E91" i="19"/>
  <c r="F36" i="21"/>
  <c r="E90" i="19"/>
  <c r="E90" i="17"/>
  <c r="F93" i="17"/>
  <c r="F94" i="17" s="1"/>
  <c r="F92" i="17" s="1"/>
  <c r="N28" i="44"/>
  <c r="K51" i="18"/>
  <c r="K49" i="18"/>
  <c r="K59" i="18"/>
  <c r="G30" i="19"/>
  <c r="G23" i="19"/>
  <c r="H20" i="20"/>
  <c r="G29" i="17"/>
  <c r="G23" i="17"/>
  <c r="G32" i="17" s="1"/>
  <c r="E89" i="17"/>
  <c r="E89" i="18"/>
  <c r="K52" i="19"/>
  <c r="K50" i="19"/>
  <c r="K60" i="19"/>
  <c r="L12" i="19"/>
  <c r="G33" i="40"/>
  <c r="F23" i="21"/>
  <c r="L79" i="40"/>
  <c r="L52" i="40"/>
  <c r="L13" i="40"/>
  <c r="L50" i="40"/>
  <c r="L12" i="18"/>
  <c r="L60" i="40"/>
  <c r="M12" i="40"/>
  <c r="E93" i="40"/>
  <c r="E98" i="40" s="1"/>
  <c r="K49" i="17"/>
  <c r="K51" i="17"/>
  <c r="K59" i="17"/>
  <c r="L12" i="17"/>
  <c r="G62" i="40"/>
  <c r="H51" i="40"/>
  <c r="H23" i="40" s="1"/>
  <c r="G23" i="18"/>
  <c r="G32" i="18" s="1"/>
  <c r="G29" i="18"/>
  <c r="E17" i="22"/>
  <c r="E18" i="22"/>
  <c r="E14" i="22"/>
  <c r="E16" i="22"/>
  <c r="E15" i="22"/>
  <c r="F93" i="18" l="1"/>
  <c r="F94" i="18" s="1"/>
  <c r="F92" i="18" s="1"/>
  <c r="I13" i="44"/>
  <c r="F90" i="21"/>
  <c r="F91" i="21" s="1"/>
  <c r="F98" i="19"/>
  <c r="F84" i="19" s="1"/>
  <c r="F36" i="19"/>
  <c r="F68" i="19" s="1"/>
  <c r="F67" i="19" s="1"/>
  <c r="F58" i="19" s="1"/>
  <c r="F57" i="19" s="1"/>
  <c r="G33" i="19"/>
  <c r="J33" i="44"/>
  <c r="O28" i="44"/>
  <c r="L51" i="18"/>
  <c r="L49" i="18"/>
  <c r="L59" i="18"/>
  <c r="F97" i="18"/>
  <c r="F83" i="18" s="1"/>
  <c r="F35" i="18"/>
  <c r="F67" i="18" s="1"/>
  <c r="F66" i="18" s="1"/>
  <c r="F57" i="18" s="1"/>
  <c r="F56" i="18" s="1"/>
  <c r="G62" i="19"/>
  <c r="G59" i="19" s="1"/>
  <c r="H51" i="19"/>
  <c r="H22" i="19" s="1"/>
  <c r="G59" i="40"/>
  <c r="F30" i="21"/>
  <c r="F24" i="21"/>
  <c r="M13" i="40"/>
  <c r="M52" i="40"/>
  <c r="M79" i="40"/>
  <c r="M50" i="40"/>
  <c r="M12" i="18"/>
  <c r="M60" i="40"/>
  <c r="N12" i="40"/>
  <c r="L51" i="17"/>
  <c r="L49" i="17"/>
  <c r="L59" i="17"/>
  <c r="M12" i="17"/>
  <c r="G61" i="17"/>
  <c r="G58" i="17" s="1"/>
  <c r="H50" i="17"/>
  <c r="H22" i="17" s="1"/>
  <c r="F80" i="19"/>
  <c r="F81" i="19" s="1"/>
  <c r="H24" i="40"/>
  <c r="H30" i="40"/>
  <c r="L50" i="19"/>
  <c r="L52" i="19"/>
  <c r="L60" i="19"/>
  <c r="M12" i="19"/>
  <c r="F35" i="17"/>
  <c r="F67" i="17" s="1"/>
  <c r="F66" i="17" s="1"/>
  <c r="F57" i="17" s="1"/>
  <c r="F56" i="17" s="1"/>
  <c r="F97" i="17"/>
  <c r="F83" i="17" s="1"/>
  <c r="G61" i="18"/>
  <c r="G58" i="18" s="1"/>
  <c r="H50" i="18"/>
  <c r="H22" i="18" s="1"/>
  <c r="E99" i="40"/>
  <c r="F102" i="40"/>
  <c r="G69" i="19" l="1"/>
  <c r="I30" i="44"/>
  <c r="G70" i="19"/>
  <c r="M51" i="17"/>
  <c r="M49" i="17"/>
  <c r="M59" i="17"/>
  <c r="N12" i="17"/>
  <c r="F62" i="21"/>
  <c r="G51" i="21"/>
  <c r="F103" i="40"/>
  <c r="I16" i="44"/>
  <c r="F33" i="21"/>
  <c r="F69" i="21" s="1"/>
  <c r="F114" i="21"/>
  <c r="H33" i="40"/>
  <c r="N13" i="40"/>
  <c r="N79" i="40"/>
  <c r="N52" i="40"/>
  <c r="N50" i="40"/>
  <c r="N12" i="18"/>
  <c r="N60" i="40"/>
  <c r="O12" i="40"/>
  <c r="F79" i="17"/>
  <c r="F80" i="17" s="1"/>
  <c r="G68" i="17"/>
  <c r="I23" i="44"/>
  <c r="G69" i="17"/>
  <c r="F86" i="19"/>
  <c r="P28" i="44"/>
  <c r="M51" i="18"/>
  <c r="M59" i="18"/>
  <c r="M49" i="18"/>
  <c r="H23" i="18"/>
  <c r="H32" i="18" s="1"/>
  <c r="H29" i="18"/>
  <c r="M52" i="19"/>
  <c r="M50" i="19"/>
  <c r="M60" i="19"/>
  <c r="N12" i="19"/>
  <c r="F89" i="19"/>
  <c r="N51" i="40"/>
  <c r="H30" i="19"/>
  <c r="H23" i="19"/>
  <c r="F88" i="19"/>
  <c r="F87" i="19"/>
  <c r="G68" i="18"/>
  <c r="G69" i="18"/>
  <c r="I27" i="44"/>
  <c r="F79" i="18"/>
  <c r="F80" i="18" s="1"/>
  <c r="H62" i="40"/>
  <c r="I51" i="40"/>
  <c r="I23" i="40" s="1"/>
  <c r="H23" i="17"/>
  <c r="H32" i="17" s="1"/>
  <c r="H29" i="17"/>
  <c r="F88" i="18" l="1"/>
  <c r="F88" i="17"/>
  <c r="F87" i="18"/>
  <c r="N52" i="19"/>
  <c r="N50" i="19"/>
  <c r="N60" i="19"/>
  <c r="O12" i="19"/>
  <c r="I18" i="44"/>
  <c r="F68" i="21"/>
  <c r="H61" i="18"/>
  <c r="H58" i="18" s="1"/>
  <c r="I50" i="18"/>
  <c r="I22" i="18" s="1"/>
  <c r="Q28" i="44"/>
  <c r="N51" i="18"/>
  <c r="N49" i="18"/>
  <c r="N59" i="18"/>
  <c r="O51" i="40"/>
  <c r="F101" i="40"/>
  <c r="F85" i="18"/>
  <c r="H59" i="40"/>
  <c r="F86" i="18"/>
  <c r="I8" i="44"/>
  <c r="F59" i="21"/>
  <c r="N49" i="17"/>
  <c r="N51" i="17"/>
  <c r="N59" i="17"/>
  <c r="O12" i="17"/>
  <c r="N51" i="19"/>
  <c r="H33" i="19"/>
  <c r="K33" i="44"/>
  <c r="H61" i="17"/>
  <c r="H58" i="17" s="1"/>
  <c r="I50" i="17"/>
  <c r="I22" i="17" s="1"/>
  <c r="H62" i="19"/>
  <c r="H59" i="19" s="1"/>
  <c r="I51" i="19"/>
  <c r="I22" i="19" s="1"/>
  <c r="F85" i="19"/>
  <c r="F90" i="19" s="1"/>
  <c r="F87" i="17"/>
  <c r="N50" i="17"/>
  <c r="O52" i="40"/>
  <c r="O13" i="40"/>
  <c r="O79" i="40"/>
  <c r="O60" i="40"/>
  <c r="O12" i="18"/>
  <c r="O50" i="40"/>
  <c r="P12" i="40"/>
  <c r="F86" i="17"/>
  <c r="I30" i="40"/>
  <c r="I24" i="40"/>
  <c r="F85" i="17"/>
  <c r="F100" i="21"/>
  <c r="F84" i="18" l="1"/>
  <c r="G93" i="18" s="1"/>
  <c r="G94" i="18" s="1"/>
  <c r="G92" i="18" s="1"/>
  <c r="I62" i="40"/>
  <c r="J51" i="40"/>
  <c r="J23" i="40" s="1"/>
  <c r="I29" i="18"/>
  <c r="I23" i="18"/>
  <c r="I32" i="18" s="1"/>
  <c r="P51" i="40"/>
  <c r="O51" i="18"/>
  <c r="R28" i="44"/>
  <c r="O49" i="18"/>
  <c r="O59" i="18"/>
  <c r="F84" i="17"/>
  <c r="F89" i="17" s="1"/>
  <c r="F106" i="40"/>
  <c r="F92" i="40" s="1"/>
  <c r="F36" i="40"/>
  <c r="I10" i="44"/>
  <c r="F67" i="21"/>
  <c r="F58" i="21" s="1"/>
  <c r="F57" i="21" s="1"/>
  <c r="F78" i="21"/>
  <c r="O51" i="17"/>
  <c r="O59" i="17"/>
  <c r="O49" i="17"/>
  <c r="P12" i="17"/>
  <c r="I33" i="40"/>
  <c r="P52" i="40"/>
  <c r="P79" i="40"/>
  <c r="P13" i="40"/>
  <c r="P50" i="40"/>
  <c r="P12" i="18"/>
  <c r="P60" i="40"/>
  <c r="Q12" i="40"/>
  <c r="O52" i="19"/>
  <c r="O50" i="19"/>
  <c r="P12" i="19"/>
  <c r="O60" i="19"/>
  <c r="I23" i="17"/>
  <c r="I32" i="17" s="1"/>
  <c r="I29" i="17"/>
  <c r="O50" i="17"/>
  <c r="O51" i="19"/>
  <c r="I58" i="44"/>
  <c r="F95" i="21"/>
  <c r="F96" i="21" s="1"/>
  <c r="F102" i="21" s="1"/>
  <c r="I59" i="44" s="1"/>
  <c r="G94" i="19"/>
  <c r="G95" i="19" s="1"/>
  <c r="G93" i="19" s="1"/>
  <c r="F91" i="19"/>
  <c r="I23" i="19"/>
  <c r="I30" i="19"/>
  <c r="F77" i="21"/>
  <c r="F89" i="18" l="1"/>
  <c r="F90" i="18"/>
  <c r="F103" i="21"/>
  <c r="I60" i="44" s="1"/>
  <c r="P50" i="17"/>
  <c r="I6" i="44"/>
  <c r="H21" i="20"/>
  <c r="G12" i="21"/>
  <c r="G87" i="21"/>
  <c r="P51" i="17"/>
  <c r="P49" i="17"/>
  <c r="P59" i="17"/>
  <c r="Q12" i="17"/>
  <c r="I5" i="44"/>
  <c r="F84" i="21"/>
  <c r="F85" i="21"/>
  <c r="H23" i="20"/>
  <c r="G70" i="21"/>
  <c r="F86" i="21"/>
  <c r="P51" i="19"/>
  <c r="F88" i="21"/>
  <c r="H22" i="20"/>
  <c r="Q52" i="40"/>
  <c r="Q79" i="40"/>
  <c r="Q13" i="40"/>
  <c r="Q50" i="40"/>
  <c r="Q12" i="18"/>
  <c r="Q60" i="40"/>
  <c r="R12" i="40"/>
  <c r="I61" i="18"/>
  <c r="I58" i="18" s="1"/>
  <c r="J50" i="18"/>
  <c r="J22" i="18" s="1"/>
  <c r="S28" i="44"/>
  <c r="P51" i="18"/>
  <c r="P49" i="18"/>
  <c r="P59" i="18"/>
  <c r="F68" i="40"/>
  <c r="G98" i="19"/>
  <c r="G84" i="19" s="1"/>
  <c r="G36" i="19"/>
  <c r="G68" i="19" s="1"/>
  <c r="G67" i="19" s="1"/>
  <c r="G58" i="19" s="1"/>
  <c r="G57" i="19" s="1"/>
  <c r="Q51" i="40"/>
  <c r="F87" i="40"/>
  <c r="F88" i="40" s="1"/>
  <c r="J30" i="40"/>
  <c r="J24" i="40"/>
  <c r="I62" i="19"/>
  <c r="I59" i="19" s="1"/>
  <c r="J51" i="19"/>
  <c r="J22" i="19" s="1"/>
  <c r="F104" i="21"/>
  <c r="I61" i="44" s="1"/>
  <c r="F90" i="17"/>
  <c r="G93" i="17"/>
  <c r="G94" i="17" s="1"/>
  <c r="G92" i="17" s="1"/>
  <c r="I59" i="40"/>
  <c r="I33" i="19"/>
  <c r="L33" i="44"/>
  <c r="F105" i="21"/>
  <c r="I62" i="44" s="1"/>
  <c r="I61" i="17"/>
  <c r="I58" i="17" s="1"/>
  <c r="J50" i="17"/>
  <c r="J22" i="17" s="1"/>
  <c r="P50" i="18"/>
  <c r="P52" i="19"/>
  <c r="P50" i="19"/>
  <c r="P60" i="19"/>
  <c r="Q12" i="19"/>
  <c r="G97" i="18"/>
  <c r="G83" i="18" s="1"/>
  <c r="G35" i="18"/>
  <c r="G67" i="18" s="1"/>
  <c r="G66" i="18" s="1"/>
  <c r="G57" i="18" s="1"/>
  <c r="G56" i="18" s="1"/>
  <c r="F96" i="40" l="1"/>
  <c r="F94" i="40"/>
  <c r="F95" i="40"/>
  <c r="F93" i="40" s="1"/>
  <c r="G102" i="40" s="1"/>
  <c r="F97" i="40"/>
  <c r="F101" i="21"/>
  <c r="H70" i="19"/>
  <c r="H69" i="19"/>
  <c r="J30" i="44"/>
  <c r="J33" i="40"/>
  <c r="G80" i="19"/>
  <c r="G81" i="19" s="1"/>
  <c r="T28" i="44"/>
  <c r="Q51" i="18"/>
  <c r="Q49" i="18"/>
  <c r="Q59" i="18"/>
  <c r="Q50" i="17"/>
  <c r="G79" i="18"/>
  <c r="G80" i="18" s="1"/>
  <c r="J62" i="40"/>
  <c r="K51" i="40"/>
  <c r="K23" i="40" s="1"/>
  <c r="F67" i="40"/>
  <c r="F58" i="40" s="1"/>
  <c r="F57" i="40" s="1"/>
  <c r="F78" i="40"/>
  <c r="F77" i="40"/>
  <c r="R51" i="40"/>
  <c r="G50" i="21"/>
  <c r="J7" i="44"/>
  <c r="I19" i="20"/>
  <c r="G79" i="21"/>
  <c r="G52" i="21"/>
  <c r="G13" i="21"/>
  <c r="G60" i="21"/>
  <c r="Q52" i="19"/>
  <c r="Q50" i="19"/>
  <c r="Q60" i="19"/>
  <c r="R12" i="19"/>
  <c r="Q50" i="18"/>
  <c r="H68" i="18"/>
  <c r="H69" i="18"/>
  <c r="J27" i="44"/>
  <c r="Q51" i="19"/>
  <c r="G35" i="17"/>
  <c r="G67" i="17" s="1"/>
  <c r="G66" i="17" s="1"/>
  <c r="G57" i="17" s="1"/>
  <c r="G56" i="17" s="1"/>
  <c r="G97" i="17"/>
  <c r="G83" i="17" s="1"/>
  <c r="J23" i="18"/>
  <c r="J32" i="18" s="1"/>
  <c r="J29" i="18"/>
  <c r="F106" i="21"/>
  <c r="J23" i="17"/>
  <c r="J32" i="17" s="1"/>
  <c r="J29" i="17"/>
  <c r="F107" i="21"/>
  <c r="J23" i="19"/>
  <c r="J30" i="19"/>
  <c r="R13" i="40"/>
  <c r="R79" i="40"/>
  <c r="R52" i="40"/>
  <c r="R50" i="40"/>
  <c r="R12" i="18"/>
  <c r="R60" i="40"/>
  <c r="S12" i="40"/>
  <c r="Q51" i="17"/>
  <c r="Q49" i="17"/>
  <c r="Q59" i="17"/>
  <c r="R12" i="17"/>
  <c r="G110" i="21"/>
  <c r="G111" i="21" s="1"/>
  <c r="G109" i="21" s="1"/>
  <c r="G85" i="18" l="1"/>
  <c r="F98" i="40"/>
  <c r="G88" i="18"/>
  <c r="G87" i="18"/>
  <c r="F99" i="40"/>
  <c r="G88" i="19"/>
  <c r="G89" i="19"/>
  <c r="G86" i="18"/>
  <c r="G84" i="18" s="1"/>
  <c r="G87" i="19"/>
  <c r="J59" i="40"/>
  <c r="R50" i="18"/>
  <c r="S52" i="40"/>
  <c r="S13" i="40"/>
  <c r="S79" i="40"/>
  <c r="S50" i="40"/>
  <c r="S12" i="18"/>
  <c r="T12" i="40"/>
  <c r="S60" i="40"/>
  <c r="R52" i="19"/>
  <c r="R50" i="19"/>
  <c r="R60" i="19"/>
  <c r="S12" i="19"/>
  <c r="R51" i="19"/>
  <c r="G23" i="21"/>
  <c r="U28" i="44"/>
  <c r="R51" i="18"/>
  <c r="R49" i="18"/>
  <c r="R59" i="18"/>
  <c r="S51" i="40"/>
  <c r="J61" i="18"/>
  <c r="J58" i="18" s="1"/>
  <c r="K50" i="18"/>
  <c r="K22" i="18" s="1"/>
  <c r="I20" i="20"/>
  <c r="J61" i="17"/>
  <c r="J58" i="17" s="1"/>
  <c r="K50" i="17"/>
  <c r="K22" i="17" s="1"/>
  <c r="G79" i="17"/>
  <c r="G80" i="17" s="1"/>
  <c r="G69" i="40"/>
  <c r="G70" i="40"/>
  <c r="F11" i="22"/>
  <c r="R50" i="17"/>
  <c r="G36" i="21"/>
  <c r="M33" i="44"/>
  <c r="J33" i="19"/>
  <c r="H68" i="17"/>
  <c r="H69" i="17"/>
  <c r="J23" i="44"/>
  <c r="J62" i="19"/>
  <c r="J59" i="19" s="1"/>
  <c r="K51" i="19"/>
  <c r="K22" i="19" s="1"/>
  <c r="R51" i="17"/>
  <c r="R49" i="17"/>
  <c r="R59" i="17"/>
  <c r="S12" i="17"/>
  <c r="K30" i="40"/>
  <c r="K24" i="40"/>
  <c r="G86" i="19"/>
  <c r="G85" i="19" s="1"/>
  <c r="G103" i="40"/>
  <c r="G89" i="18" l="1"/>
  <c r="H93" i="18"/>
  <c r="H94" i="18" s="1"/>
  <c r="H92" i="18" s="1"/>
  <c r="G90" i="18"/>
  <c r="G87" i="17"/>
  <c r="G30" i="21"/>
  <c r="G24" i="21"/>
  <c r="G101" i="40"/>
  <c r="F16" i="22"/>
  <c r="F18" i="22"/>
  <c r="F17" i="22"/>
  <c r="F15" i="22"/>
  <c r="F14" i="22"/>
  <c r="S52" i="19"/>
  <c r="S50" i="19"/>
  <c r="T12" i="19"/>
  <c r="S60" i="19"/>
  <c r="G88" i="17"/>
  <c r="K29" i="17"/>
  <c r="K23" i="17"/>
  <c r="K32" i="17" s="1"/>
  <c r="S51" i="19"/>
  <c r="K29" i="18"/>
  <c r="K23" i="18"/>
  <c r="K32" i="18" s="1"/>
  <c r="K23" i="19"/>
  <c r="K30" i="19"/>
  <c r="S50" i="18"/>
  <c r="G90" i="19"/>
  <c r="G91" i="19"/>
  <c r="H94" i="19"/>
  <c r="H95" i="19" s="1"/>
  <c r="H93" i="19" s="1"/>
  <c r="T79" i="40"/>
  <c r="T52" i="40"/>
  <c r="T13" i="40"/>
  <c r="T50" i="40"/>
  <c r="T12" i="18"/>
  <c r="U12" i="40"/>
  <c r="T60" i="40"/>
  <c r="S51" i="18"/>
  <c r="V28" i="44"/>
  <c r="S49" i="18"/>
  <c r="S59" i="18"/>
  <c r="K33" i="40"/>
  <c r="S50" i="17"/>
  <c r="G85" i="17"/>
  <c r="T51" i="40"/>
  <c r="H35" i="18"/>
  <c r="H67" i="18" s="1"/>
  <c r="H66" i="18" s="1"/>
  <c r="H57" i="18" s="1"/>
  <c r="H56" i="18" s="1"/>
  <c r="H97" i="18"/>
  <c r="H83" i="18" s="1"/>
  <c r="K62" i="40"/>
  <c r="L51" i="40"/>
  <c r="L23" i="40" s="1"/>
  <c r="M51" i="40"/>
  <c r="S51" i="17"/>
  <c r="S49" i="17"/>
  <c r="S59" i="17"/>
  <c r="T12" i="17"/>
  <c r="J13" i="44"/>
  <c r="G90" i="21"/>
  <c r="G91" i="21" s="1"/>
  <c r="G86" i="17"/>
  <c r="G84" i="17" l="1"/>
  <c r="H93" i="17" s="1"/>
  <c r="H94" i="17" s="1"/>
  <c r="H92" i="17" s="1"/>
  <c r="K62" i="19"/>
  <c r="K59" i="19" s="1"/>
  <c r="L51" i="19"/>
  <c r="L22" i="19" s="1"/>
  <c r="M51" i="19"/>
  <c r="T51" i="18"/>
  <c r="W28" i="44"/>
  <c r="T49" i="18"/>
  <c r="T59" i="18"/>
  <c r="T51" i="17"/>
  <c r="T49" i="17"/>
  <c r="T59" i="17"/>
  <c r="U12" i="17"/>
  <c r="K33" i="19"/>
  <c r="N33" i="44"/>
  <c r="U51" i="40"/>
  <c r="G106" i="40"/>
  <c r="G92" i="40" s="1"/>
  <c r="G36" i="40"/>
  <c r="U79" i="40"/>
  <c r="U52" i="40"/>
  <c r="U13" i="40"/>
  <c r="U50" i="40"/>
  <c r="U60" i="40"/>
  <c r="U12" i="18"/>
  <c r="C2" i="43" a="1"/>
  <c r="C2" i="43" s="1"/>
  <c r="T50" i="18"/>
  <c r="K61" i="17"/>
  <c r="K58" i="17" s="1"/>
  <c r="L50" i="17"/>
  <c r="L22" i="17" s="1"/>
  <c r="M50" i="17"/>
  <c r="L30" i="40"/>
  <c r="L62" i="40" s="1"/>
  <c r="L24" i="40"/>
  <c r="H36" i="19"/>
  <c r="H68" i="19" s="1"/>
  <c r="H67" i="19" s="1"/>
  <c r="H58" i="19" s="1"/>
  <c r="H57" i="19" s="1"/>
  <c r="H98" i="19"/>
  <c r="H84" i="19" s="1"/>
  <c r="K61" i="18"/>
  <c r="K58" i="18" s="1"/>
  <c r="L50" i="18"/>
  <c r="L22" i="18" s="1"/>
  <c r="T50" i="17"/>
  <c r="K59" i="40"/>
  <c r="T52" i="19"/>
  <c r="T50" i="19"/>
  <c r="T60" i="19"/>
  <c r="U12" i="19"/>
  <c r="T51" i="19"/>
  <c r="M23" i="40"/>
  <c r="N23" i="40" s="1"/>
  <c r="H79" i="18"/>
  <c r="H80" i="18" s="1"/>
  <c r="J16" i="44"/>
  <c r="G33" i="21"/>
  <c r="G69" i="21" s="1"/>
  <c r="G114" i="21"/>
  <c r="G89" i="17"/>
  <c r="I68" i="18"/>
  <c r="K27" i="44"/>
  <c r="I69" i="18"/>
  <c r="G62" i="21"/>
  <c r="H51" i="21"/>
  <c r="H85" i="18" l="1"/>
  <c r="G100" i="21"/>
  <c r="G90" i="17"/>
  <c r="M22" i="19"/>
  <c r="N22" i="19" s="1"/>
  <c r="N30" i="19" s="1"/>
  <c r="N62" i="19" s="1"/>
  <c r="N59" i="19" s="1"/>
  <c r="M22" i="17"/>
  <c r="N22" i="17" s="1"/>
  <c r="N23" i="17" s="1"/>
  <c r="N32" i="17" s="1"/>
  <c r="H86" i="18"/>
  <c r="H84" i="18" s="1"/>
  <c r="O23" i="40"/>
  <c r="N30" i="40"/>
  <c r="N62" i="40" s="1"/>
  <c r="L33" i="40"/>
  <c r="U50" i="17"/>
  <c r="U51" i="19"/>
  <c r="L59" i="40"/>
  <c r="U50" i="18"/>
  <c r="G68" i="40"/>
  <c r="J8" i="44"/>
  <c r="G59" i="21"/>
  <c r="G87" i="40"/>
  <c r="G88" i="40" s="1"/>
  <c r="L29" i="17"/>
  <c r="L61" i="17" s="1"/>
  <c r="L58" i="17" s="1"/>
  <c r="L23" i="17"/>
  <c r="L32" i="17" s="1"/>
  <c r="L29" i="18"/>
  <c r="L23" i="18"/>
  <c r="L32" i="18" s="1"/>
  <c r="J18" i="44"/>
  <c r="G68" i="21"/>
  <c r="M30" i="19"/>
  <c r="M62" i="19" s="1"/>
  <c r="M59" i="19" s="1"/>
  <c r="M23" i="19"/>
  <c r="L30" i="19"/>
  <c r="L62" i="19" s="1"/>
  <c r="L59" i="19" s="1"/>
  <c r="L23" i="19"/>
  <c r="J58" i="44"/>
  <c r="G95" i="21"/>
  <c r="G96" i="21" s="1"/>
  <c r="G103" i="21" s="1"/>
  <c r="J60" i="44" s="1"/>
  <c r="K30" i="44"/>
  <c r="I69" i="19"/>
  <c r="I70" i="19"/>
  <c r="M24" i="40"/>
  <c r="M30" i="40"/>
  <c r="M62" i="40" s="1"/>
  <c r="N24" i="40"/>
  <c r="U51" i="17"/>
  <c r="U49" i="17"/>
  <c r="U59" i="17"/>
  <c r="H87" i="18"/>
  <c r="H80" i="19"/>
  <c r="H81" i="19" s="1"/>
  <c r="H88" i="18"/>
  <c r="U52" i="19"/>
  <c r="U50" i="19"/>
  <c r="U60" i="19"/>
  <c r="U51" i="18"/>
  <c r="X28" i="44"/>
  <c r="U49" i="18"/>
  <c r="U59" i="18"/>
  <c r="H97" i="17"/>
  <c r="H83" i="17" s="1"/>
  <c r="H35" i="17"/>
  <c r="H67" i="17" s="1"/>
  <c r="H66" i="17" s="1"/>
  <c r="H57" i="17" s="1"/>
  <c r="H56" i="17" s="1"/>
  <c r="M23" i="17" l="1"/>
  <c r="M32" i="17" s="1"/>
  <c r="M29" i="17"/>
  <c r="M61" i="17" s="1"/>
  <c r="M58" i="17" s="1"/>
  <c r="O22" i="19"/>
  <c r="O23" i="19" s="1"/>
  <c r="H89" i="18"/>
  <c r="G104" i="21"/>
  <c r="J61" i="44" s="1"/>
  <c r="G102" i="21"/>
  <c r="J59" i="44" s="1"/>
  <c r="N23" i="19"/>
  <c r="G95" i="40"/>
  <c r="G94" i="40"/>
  <c r="G96" i="40"/>
  <c r="N59" i="40"/>
  <c r="O30" i="40"/>
  <c r="O62" i="40" s="1"/>
  <c r="O24" i="40"/>
  <c r="P23" i="40"/>
  <c r="P22" i="19"/>
  <c r="O30" i="19"/>
  <c r="O62" i="19" s="1"/>
  <c r="O59" i="19" s="1"/>
  <c r="I36" i="17"/>
  <c r="I37" i="17"/>
  <c r="G105" i="21"/>
  <c r="J62" i="44" s="1"/>
  <c r="O22" i="17"/>
  <c r="N29" i="17"/>
  <c r="N61" i="17" s="1"/>
  <c r="N58" i="17" s="1"/>
  <c r="O33" i="44"/>
  <c r="L33" i="19"/>
  <c r="I93" i="18"/>
  <c r="I94" i="18" s="1"/>
  <c r="I92" i="18" s="1"/>
  <c r="H90" i="18"/>
  <c r="N33" i="19"/>
  <c r="P33" i="44"/>
  <c r="M33" i="19"/>
  <c r="H87" i="19"/>
  <c r="G67" i="21"/>
  <c r="G58" i="21" s="1"/>
  <c r="G57" i="21" s="1"/>
  <c r="J10" i="44"/>
  <c r="G78" i="21"/>
  <c r="G77" i="21"/>
  <c r="I68" i="17"/>
  <c r="I69" i="17"/>
  <c r="K23" i="44"/>
  <c r="M59" i="40"/>
  <c r="G101" i="21"/>
  <c r="H79" i="17"/>
  <c r="H80" i="17" s="1"/>
  <c r="H89" i="19"/>
  <c r="N33" i="40"/>
  <c r="M33" i="40"/>
  <c r="G97" i="40"/>
  <c r="G67" i="40"/>
  <c r="G58" i="40" s="1"/>
  <c r="G57" i="40" s="1"/>
  <c r="G78" i="40"/>
  <c r="G77" i="40"/>
  <c r="H86" i="19"/>
  <c r="H85" i="19" s="1"/>
  <c r="H88" i="19"/>
  <c r="L61" i="18"/>
  <c r="L58" i="18" s="1"/>
  <c r="M50" i="18"/>
  <c r="M22" i="18" s="1"/>
  <c r="Q33" i="44" l="1"/>
  <c r="G106" i="21"/>
  <c r="G93" i="40"/>
  <c r="G98" i="40" s="1"/>
  <c r="H88" i="17"/>
  <c r="L25" i="44"/>
  <c r="L24" i="44"/>
  <c r="R33" i="44"/>
  <c r="O33" i="19"/>
  <c r="Q22" i="19"/>
  <c r="P23" i="19"/>
  <c r="P30" i="19"/>
  <c r="P62" i="19" s="1"/>
  <c r="P59" i="19" s="1"/>
  <c r="P30" i="40"/>
  <c r="P62" i="40" s="1"/>
  <c r="P24" i="40"/>
  <c r="Q23" i="40"/>
  <c r="H87" i="17"/>
  <c r="O33" i="40"/>
  <c r="O59" i="40"/>
  <c r="P22" i="17"/>
  <c r="O23" i="17"/>
  <c r="O32" i="17" s="1"/>
  <c r="O29" i="17"/>
  <c r="O61" i="17" s="1"/>
  <c r="O58" i="17" s="1"/>
  <c r="G85" i="21"/>
  <c r="G86" i="21"/>
  <c r="J5" i="44"/>
  <c r="G84" i="21"/>
  <c r="I23" i="20"/>
  <c r="H70" i="21"/>
  <c r="I94" i="19"/>
  <c r="I95" i="19" s="1"/>
  <c r="I93" i="19" s="1"/>
  <c r="H91" i="19"/>
  <c r="I22" i="20"/>
  <c r="G88" i="21"/>
  <c r="H90" i="19"/>
  <c r="M23" i="18"/>
  <c r="M32" i="18" s="1"/>
  <c r="M29" i="18"/>
  <c r="H86" i="17"/>
  <c r="I97" i="18"/>
  <c r="I83" i="18" s="1"/>
  <c r="I35" i="18"/>
  <c r="I67" i="18" s="1"/>
  <c r="I66" i="18" s="1"/>
  <c r="I57" i="18" s="1"/>
  <c r="I56" i="18" s="1"/>
  <c r="H70" i="40"/>
  <c r="G11" i="22"/>
  <c r="H69" i="40"/>
  <c r="H85" i="17"/>
  <c r="G99" i="40"/>
  <c r="I21" i="20"/>
  <c r="J6" i="44"/>
  <c r="H87" i="21"/>
  <c r="G107" i="21"/>
  <c r="H110" i="21"/>
  <c r="H111" i="21" s="1"/>
  <c r="H109" i="21" s="1"/>
  <c r="H102" i="40" l="1"/>
  <c r="H84" i="17"/>
  <c r="Q30" i="40"/>
  <c r="Q62" i="40" s="1"/>
  <c r="Q24" i="40"/>
  <c r="R23" i="40"/>
  <c r="P33" i="40"/>
  <c r="P59" i="40"/>
  <c r="P33" i="19"/>
  <c r="S33" i="44"/>
  <c r="Q30" i="19"/>
  <c r="Q62" i="19" s="1"/>
  <c r="Q59" i="19" s="1"/>
  <c r="Q23" i="19"/>
  <c r="R22" i="19"/>
  <c r="Q22" i="17"/>
  <c r="P23" i="17"/>
  <c r="P32" i="17" s="1"/>
  <c r="P29" i="17"/>
  <c r="P61" i="17" s="1"/>
  <c r="P58" i="17" s="1"/>
  <c r="I98" i="19"/>
  <c r="I84" i="19" s="1"/>
  <c r="I36" i="19"/>
  <c r="I68" i="19" s="1"/>
  <c r="I67" i="19" s="1"/>
  <c r="I58" i="19" s="1"/>
  <c r="I57" i="19" s="1"/>
  <c r="H36" i="21"/>
  <c r="I79" i="18"/>
  <c r="I80" i="18" s="1"/>
  <c r="I86" i="18" s="1"/>
  <c r="H89" i="17"/>
  <c r="I93" i="17"/>
  <c r="I94" i="17" s="1"/>
  <c r="I92" i="17" s="1"/>
  <c r="H90" i="17"/>
  <c r="M61" i="18"/>
  <c r="M58" i="18" s="1"/>
  <c r="N50" i="18"/>
  <c r="N22" i="18" s="1"/>
  <c r="O50" i="18"/>
  <c r="I75" i="18"/>
  <c r="J68" i="18"/>
  <c r="J69" i="18"/>
  <c r="L27" i="44"/>
  <c r="G14" i="22"/>
  <c r="G18" i="22"/>
  <c r="G16" i="22"/>
  <c r="G17" i="22"/>
  <c r="G15" i="22"/>
  <c r="H103" i="40" l="1"/>
  <c r="I88" i="18"/>
  <c r="I87" i="18"/>
  <c r="R23" i="19"/>
  <c r="S22" i="19"/>
  <c r="R30" i="19"/>
  <c r="R62" i="19" s="1"/>
  <c r="R59" i="19" s="1"/>
  <c r="Q23" i="17"/>
  <c r="Q32" i="17" s="1"/>
  <c r="Q29" i="17"/>
  <c r="Q61" i="17" s="1"/>
  <c r="Q58" i="17" s="1"/>
  <c r="R22" i="17"/>
  <c r="Q33" i="19"/>
  <c r="T33" i="44"/>
  <c r="R30" i="40"/>
  <c r="R62" i="40" s="1"/>
  <c r="R24" i="40"/>
  <c r="S23" i="40"/>
  <c r="Q33" i="40"/>
  <c r="Q59" i="40"/>
  <c r="I85" i="18"/>
  <c r="I84" i="18" s="1"/>
  <c r="N23" i="18"/>
  <c r="N32" i="18" s="1"/>
  <c r="N29" i="18"/>
  <c r="N61" i="18" s="1"/>
  <c r="N58" i="18" s="1"/>
  <c r="I97" i="17"/>
  <c r="I83" i="17" s="1"/>
  <c r="I35" i="17"/>
  <c r="I67" i="17" s="1"/>
  <c r="I66" i="17" s="1"/>
  <c r="I57" i="17" s="1"/>
  <c r="I56" i="17" s="1"/>
  <c r="O22" i="18"/>
  <c r="P22" i="18" s="1"/>
  <c r="K13" i="44"/>
  <c r="H90" i="21"/>
  <c r="H91" i="21" s="1"/>
  <c r="H12" i="21" s="1"/>
  <c r="J70" i="19"/>
  <c r="L30" i="44"/>
  <c r="I76" i="19"/>
  <c r="J69" i="19"/>
  <c r="I80" i="19"/>
  <c r="I81" i="19" s="1"/>
  <c r="H101" i="40" l="1"/>
  <c r="I86" i="19"/>
  <c r="I87" i="19"/>
  <c r="I88" i="19"/>
  <c r="R59" i="40"/>
  <c r="P29" i="18"/>
  <c r="P61" i="18" s="1"/>
  <c r="P58" i="18" s="1"/>
  <c r="Q22" i="18"/>
  <c r="S22" i="17"/>
  <c r="R29" i="17"/>
  <c r="R61" i="17" s="1"/>
  <c r="R58" i="17" s="1"/>
  <c r="R23" i="17"/>
  <c r="R32" i="17" s="1"/>
  <c r="S24" i="40"/>
  <c r="T23" i="40"/>
  <c r="S30" i="40"/>
  <c r="S62" i="40" s="1"/>
  <c r="R33" i="40"/>
  <c r="S23" i="19"/>
  <c r="S30" i="19"/>
  <c r="S62" i="19" s="1"/>
  <c r="S59" i="19" s="1"/>
  <c r="T22" i="19"/>
  <c r="R33" i="19"/>
  <c r="U33" i="44"/>
  <c r="I85" i="19"/>
  <c r="I75" i="17"/>
  <c r="L23" i="44"/>
  <c r="J68" i="17"/>
  <c r="J69" i="17"/>
  <c r="I79" i="17"/>
  <c r="I80" i="17" s="1"/>
  <c r="I90" i="18"/>
  <c r="J93" i="18"/>
  <c r="J94" i="18" s="1"/>
  <c r="J92" i="18" s="1"/>
  <c r="O29" i="18"/>
  <c r="O61" i="18" s="1"/>
  <c r="O58" i="18" s="1"/>
  <c r="O23" i="18"/>
  <c r="O32" i="18" s="1"/>
  <c r="P23" i="18"/>
  <c r="P32" i="18" s="1"/>
  <c r="I89" i="19"/>
  <c r="K7" i="44"/>
  <c r="H50" i="21"/>
  <c r="J19" i="20"/>
  <c r="H13" i="21"/>
  <c r="Q12" i="20" s="1"/>
  <c r="P12" i="20" s="1"/>
  <c r="H79" i="21"/>
  <c r="H60" i="21"/>
  <c r="H52" i="21"/>
  <c r="I89" i="18"/>
  <c r="H36" i="40" l="1"/>
  <c r="H106" i="40"/>
  <c r="H92" i="40" s="1"/>
  <c r="I90" i="19"/>
  <c r="I87" i="17"/>
  <c r="I85" i="17"/>
  <c r="V33" i="44"/>
  <c r="S33" i="19"/>
  <c r="S59" i="40"/>
  <c r="T24" i="40"/>
  <c r="T30" i="40"/>
  <c r="T62" i="40" s="1"/>
  <c r="U23" i="40"/>
  <c r="S33" i="40"/>
  <c r="T22" i="17"/>
  <c r="S23" i="17"/>
  <c r="S32" i="17" s="1"/>
  <c r="S29" i="17"/>
  <c r="S61" i="17" s="1"/>
  <c r="S58" i="17" s="1"/>
  <c r="R22" i="18"/>
  <c r="Q29" i="18"/>
  <c r="Q61" i="18" s="1"/>
  <c r="Q58" i="18" s="1"/>
  <c r="Q23" i="18"/>
  <c r="Q32" i="18" s="1"/>
  <c r="I88" i="17"/>
  <c r="T30" i="19"/>
  <c r="T62" i="19" s="1"/>
  <c r="T59" i="19" s="1"/>
  <c r="T23" i="19"/>
  <c r="U22" i="19"/>
  <c r="I91" i="19"/>
  <c r="J94" i="19"/>
  <c r="J95" i="19" s="1"/>
  <c r="J93" i="19" s="1"/>
  <c r="I86" i="17"/>
  <c r="J20" i="20"/>
  <c r="G24" i="20"/>
  <c r="J97" i="18"/>
  <c r="J83" i="18" s="1"/>
  <c r="J35" i="18"/>
  <c r="J67" i="18" s="1"/>
  <c r="J66" i="18" s="1"/>
  <c r="J57" i="18" s="1"/>
  <c r="J56" i="18" s="1"/>
  <c r="H23" i="21"/>
  <c r="H87" i="40" l="1"/>
  <c r="H68" i="40"/>
  <c r="U22" i="17"/>
  <c r="T23" i="17"/>
  <c r="T32" i="17" s="1"/>
  <c r="T29" i="17"/>
  <c r="T61" i="17" s="1"/>
  <c r="T58" i="17" s="1"/>
  <c r="R23" i="18"/>
  <c r="R32" i="18" s="1"/>
  <c r="R29" i="18"/>
  <c r="R61" i="18" s="1"/>
  <c r="R58" i="18" s="1"/>
  <c r="S22" i="18"/>
  <c r="U30" i="40"/>
  <c r="U62" i="40" s="1"/>
  <c r="E2" i="43" s="1" a="1"/>
  <c r="E2" i="43" s="1"/>
  <c r="U24" i="40"/>
  <c r="F2" i="43" s="1" a="1"/>
  <c r="F2" i="43" s="1"/>
  <c r="T59" i="40"/>
  <c r="T33" i="40"/>
  <c r="U23" i="19"/>
  <c r="U30" i="19"/>
  <c r="U62" i="19" s="1"/>
  <c r="U59" i="19" s="1"/>
  <c r="T33" i="19"/>
  <c r="W33" i="44"/>
  <c r="K69" i="18"/>
  <c r="J75" i="18"/>
  <c r="M27" i="44"/>
  <c r="K68" i="18"/>
  <c r="G26" i="20"/>
  <c r="J79" i="18"/>
  <c r="J80" i="18" s="1"/>
  <c r="J98" i="19"/>
  <c r="J84" i="19" s="1"/>
  <c r="J36" i="19"/>
  <c r="J68" i="19" s="1"/>
  <c r="J67" i="19" s="1"/>
  <c r="J58" i="19" s="1"/>
  <c r="J57" i="19" s="1"/>
  <c r="H30" i="21"/>
  <c r="H24" i="21"/>
  <c r="I84" i="17"/>
  <c r="H78" i="40" l="1"/>
  <c r="H67" i="40"/>
  <c r="H58" i="40" s="1"/>
  <c r="H57" i="40" s="1"/>
  <c r="H77" i="40"/>
  <c r="H88" i="40"/>
  <c r="H95" i="40" s="1"/>
  <c r="H97" i="40"/>
  <c r="H96" i="40"/>
  <c r="J86" i="18"/>
  <c r="U33" i="40"/>
  <c r="U59" i="40"/>
  <c r="T22" i="18"/>
  <c r="S23" i="18"/>
  <c r="S32" i="18" s="1"/>
  <c r="S29" i="18"/>
  <c r="S61" i="18" s="1"/>
  <c r="S58" i="18" s="1"/>
  <c r="J85" i="18"/>
  <c r="U33" i="19"/>
  <c r="X33" i="44"/>
  <c r="J88" i="18"/>
  <c r="J87" i="18"/>
  <c r="U29" i="17"/>
  <c r="U61" i="17" s="1"/>
  <c r="U58" i="17" s="1"/>
  <c r="U23" i="17"/>
  <c r="U32" i="17" s="1"/>
  <c r="I90" i="17"/>
  <c r="J93" i="17"/>
  <c r="J94" i="17" s="1"/>
  <c r="J92" i="17" s="1"/>
  <c r="I89" i="17"/>
  <c r="J80" i="19"/>
  <c r="J81" i="19" s="1"/>
  <c r="K16" i="44"/>
  <c r="H33" i="21"/>
  <c r="H69" i="21" s="1"/>
  <c r="H114" i="21"/>
  <c r="H62" i="21"/>
  <c r="I51" i="21"/>
  <c r="K70" i="19"/>
  <c r="K69" i="19"/>
  <c r="J76" i="19"/>
  <c r="M30" i="44"/>
  <c r="H94" i="40" l="1"/>
  <c r="H93" i="40" s="1"/>
  <c r="H99" i="40" s="1"/>
  <c r="J84" i="18"/>
  <c r="I69" i="40"/>
  <c r="H11" i="22"/>
  <c r="I70" i="40"/>
  <c r="J90" i="18"/>
  <c r="H100" i="21"/>
  <c r="K58" i="44" s="1"/>
  <c r="J89" i="18"/>
  <c r="K93" i="18"/>
  <c r="K94" i="18" s="1"/>
  <c r="K92" i="18" s="1"/>
  <c r="K35" i="18" s="1"/>
  <c r="K67" i="18" s="1"/>
  <c r="K66" i="18" s="1"/>
  <c r="K57" i="18" s="1"/>
  <c r="K56" i="18" s="1"/>
  <c r="T23" i="18"/>
  <c r="T32" i="18" s="1"/>
  <c r="T29" i="18"/>
  <c r="T61" i="18" s="1"/>
  <c r="T58" i="18" s="1"/>
  <c r="U22" i="18"/>
  <c r="J89" i="19"/>
  <c r="K8" i="44"/>
  <c r="H59" i="21"/>
  <c r="J88" i="19"/>
  <c r="J97" i="17"/>
  <c r="J83" i="17" s="1"/>
  <c r="J35" i="17"/>
  <c r="J67" i="17" s="1"/>
  <c r="J66" i="17" s="1"/>
  <c r="J57" i="17" s="1"/>
  <c r="J56" i="17" s="1"/>
  <c r="J87" i="19"/>
  <c r="K18" i="44"/>
  <c r="H68" i="21"/>
  <c r="J86" i="19"/>
  <c r="H98" i="40" l="1"/>
  <c r="I102" i="40"/>
  <c r="H95" i="21"/>
  <c r="H96" i="21" s="1"/>
  <c r="H103" i="21" s="1"/>
  <c r="K60" i="44" s="1"/>
  <c r="H14" i="22"/>
  <c r="H16" i="22"/>
  <c r="H15" i="22"/>
  <c r="H17" i="22"/>
  <c r="H18" i="22"/>
  <c r="I103" i="40"/>
  <c r="K97" i="18"/>
  <c r="K83" i="18" s="1"/>
  <c r="H102" i="21"/>
  <c r="K59" i="44" s="1"/>
  <c r="H104" i="21"/>
  <c r="K61" i="44" s="1"/>
  <c r="H105" i="21"/>
  <c r="K62" i="44" s="1"/>
  <c r="J85" i="19"/>
  <c r="J90" i="19" s="1"/>
  <c r="U23" i="18"/>
  <c r="U32" i="18" s="1"/>
  <c r="U29" i="18"/>
  <c r="U61" i="18" s="1"/>
  <c r="U58" i="18" s="1"/>
  <c r="J75" i="17"/>
  <c r="M23" i="44"/>
  <c r="K68" i="17"/>
  <c r="K69" i="17"/>
  <c r="K10" i="44"/>
  <c r="H67" i="21"/>
  <c r="H58" i="21" s="1"/>
  <c r="H57" i="21" s="1"/>
  <c r="H78" i="21"/>
  <c r="J79" i="17"/>
  <c r="J80" i="17" s="1"/>
  <c r="J85" i="17" s="1"/>
  <c r="L69" i="18"/>
  <c r="L68" i="18"/>
  <c r="N27" i="44"/>
  <c r="K75" i="18"/>
  <c r="H77" i="21"/>
  <c r="I87" i="21" s="1"/>
  <c r="K94" i="19" l="1"/>
  <c r="K95" i="19" s="1"/>
  <c r="K93" i="19" s="1"/>
  <c r="J91" i="19"/>
  <c r="I101" i="40"/>
  <c r="K79" i="18"/>
  <c r="K80" i="18" s="1"/>
  <c r="K85" i="18" s="1"/>
  <c r="H101" i="21"/>
  <c r="H106" i="21" s="1"/>
  <c r="J87" i="17"/>
  <c r="K87" i="18"/>
  <c r="K88" i="18"/>
  <c r="J86" i="17"/>
  <c r="J84" i="17" s="1"/>
  <c r="I70" i="21"/>
  <c r="K5" i="44"/>
  <c r="J23" i="20"/>
  <c r="H85" i="21"/>
  <c r="H86" i="21"/>
  <c r="H84" i="21"/>
  <c r="J88" i="17"/>
  <c r="J22" i="20"/>
  <c r="H88" i="21"/>
  <c r="K6" i="44"/>
  <c r="J21" i="20"/>
  <c r="K98" i="19"/>
  <c r="K84" i="19" s="1"/>
  <c r="K36" i="19"/>
  <c r="K68" i="19" s="1"/>
  <c r="K67" i="19" s="1"/>
  <c r="K58" i="19" s="1"/>
  <c r="K57" i="19" s="1"/>
  <c r="K86" i="18" l="1"/>
  <c r="H107" i="21"/>
  <c r="I110" i="21"/>
  <c r="I111" i="21" s="1"/>
  <c r="I109" i="21" s="1"/>
  <c r="I36" i="40"/>
  <c r="I106" i="40"/>
  <c r="I92" i="40" s="1"/>
  <c r="J89" i="17"/>
  <c r="K84" i="18"/>
  <c r="K89" i="18" s="1"/>
  <c r="I36" i="21"/>
  <c r="K80" i="19"/>
  <c r="K81" i="19" s="1"/>
  <c r="K76" i="19"/>
  <c r="N30" i="44"/>
  <c r="L69" i="19"/>
  <c r="L70" i="19"/>
  <c r="K93" i="17"/>
  <c r="K94" i="17" s="1"/>
  <c r="K92" i="17" s="1"/>
  <c r="J90" i="17"/>
  <c r="L93" i="18" l="1"/>
  <c r="L94" i="18" s="1"/>
  <c r="L92" i="18" s="1"/>
  <c r="K90" i="18"/>
  <c r="I87" i="40"/>
  <c r="I68" i="40"/>
  <c r="K87" i="19"/>
  <c r="L13" i="44"/>
  <c r="I90" i="21"/>
  <c r="I91" i="21" s="1"/>
  <c r="I12" i="21" s="1"/>
  <c r="K88" i="19"/>
  <c r="L97" i="18"/>
  <c r="L83" i="18" s="1"/>
  <c r="L35" i="18"/>
  <c r="L67" i="18" s="1"/>
  <c r="L66" i="18" s="1"/>
  <c r="L57" i="18" s="1"/>
  <c r="L56" i="18" s="1"/>
  <c r="K86" i="19"/>
  <c r="K85" i="19" s="1"/>
  <c r="K97" i="17"/>
  <c r="K83" i="17" s="1"/>
  <c r="K35" i="17"/>
  <c r="K67" i="17" s="1"/>
  <c r="K66" i="17" s="1"/>
  <c r="K57" i="17" s="1"/>
  <c r="K56" i="17" s="1"/>
  <c r="K89" i="19"/>
  <c r="I67" i="40" l="1"/>
  <c r="I58" i="40" s="1"/>
  <c r="I57" i="40" s="1"/>
  <c r="I78" i="40"/>
  <c r="I77" i="40"/>
  <c r="I88" i="40"/>
  <c r="I94" i="40" s="1"/>
  <c r="I96" i="40"/>
  <c r="I95" i="40"/>
  <c r="I97" i="40"/>
  <c r="N23" i="44"/>
  <c r="L37" i="17"/>
  <c r="L69" i="17"/>
  <c r="L68" i="17"/>
  <c r="L36" i="17"/>
  <c r="K75" i="17"/>
  <c r="I79" i="21"/>
  <c r="I13" i="21"/>
  <c r="I50" i="21"/>
  <c r="L7" i="44"/>
  <c r="I52" i="21"/>
  <c r="I60" i="21"/>
  <c r="K19" i="20"/>
  <c r="K79" i="17"/>
  <c r="K80" i="17" s="1"/>
  <c r="O27" i="44"/>
  <c r="M69" i="18"/>
  <c r="M68" i="18"/>
  <c r="L75" i="18"/>
  <c r="L79" i="18"/>
  <c r="L80" i="18" s="1"/>
  <c r="L94" i="19"/>
  <c r="L95" i="19" s="1"/>
  <c r="L93" i="19" s="1"/>
  <c r="K91" i="19"/>
  <c r="K90" i="19"/>
  <c r="I93" i="40" l="1"/>
  <c r="J70" i="40"/>
  <c r="I11" i="22"/>
  <c r="I83" i="40"/>
  <c r="J69" i="40"/>
  <c r="K86" i="17"/>
  <c r="L86" i="18"/>
  <c r="L87" i="18"/>
  <c r="L85" i="18"/>
  <c r="L84" i="18" s="1"/>
  <c r="L88" i="18"/>
  <c r="K20" i="20"/>
  <c r="K87" i="17"/>
  <c r="K85" i="17"/>
  <c r="L98" i="19"/>
  <c r="L84" i="19" s="1"/>
  <c r="L36" i="19"/>
  <c r="L68" i="19" s="1"/>
  <c r="L67" i="19" s="1"/>
  <c r="L58" i="19" s="1"/>
  <c r="L57" i="19" s="1"/>
  <c r="K88" i="17"/>
  <c r="O24" i="44"/>
  <c r="O25" i="44"/>
  <c r="I23" i="21"/>
  <c r="K84" i="17" l="1"/>
  <c r="I17" i="22"/>
  <c r="I14" i="22"/>
  <c r="I16" i="22"/>
  <c r="I18" i="22"/>
  <c r="I15" i="22"/>
  <c r="J102" i="40"/>
  <c r="I99" i="40"/>
  <c r="I98" i="40"/>
  <c r="M70" i="19"/>
  <c r="O30" i="44"/>
  <c r="M69" i="19"/>
  <c r="L76" i="19"/>
  <c r="K90" i="17"/>
  <c r="L93" i="17"/>
  <c r="L94" i="17" s="1"/>
  <c r="L92" i="17" s="1"/>
  <c r="L80" i="19"/>
  <c r="L81" i="19" s="1"/>
  <c r="K89" i="17"/>
  <c r="L90" i="18"/>
  <c r="M93" i="18"/>
  <c r="M94" i="18" s="1"/>
  <c r="M92" i="18" s="1"/>
  <c r="I30" i="21"/>
  <c r="I24" i="21"/>
  <c r="L89" i="18"/>
  <c r="J103" i="40" l="1"/>
  <c r="L86" i="19"/>
  <c r="L89" i="19"/>
  <c r="L88" i="19"/>
  <c r="M35" i="18"/>
  <c r="M67" i="18" s="1"/>
  <c r="M66" i="18" s="1"/>
  <c r="M57" i="18" s="1"/>
  <c r="M56" i="18" s="1"/>
  <c r="M97" i="18"/>
  <c r="M83" i="18" s="1"/>
  <c r="L16" i="44"/>
  <c r="I33" i="21"/>
  <c r="I69" i="21" s="1"/>
  <c r="I114" i="21"/>
  <c r="I62" i="21"/>
  <c r="J51" i="21"/>
  <c r="L35" i="17"/>
  <c r="L67" i="17" s="1"/>
  <c r="L66" i="17" s="1"/>
  <c r="L57" i="17" s="1"/>
  <c r="L56" i="17" s="1"/>
  <c r="L97" i="17"/>
  <c r="L83" i="17" s="1"/>
  <c r="L87" i="19"/>
  <c r="L85" i="19" s="1"/>
  <c r="J101" i="40" l="1"/>
  <c r="I100" i="21"/>
  <c r="L79" i="17"/>
  <c r="L80" i="17" s="1"/>
  <c r="L85" i="17" s="1"/>
  <c r="L88" i="17"/>
  <c r="L87" i="17"/>
  <c r="L18" i="44"/>
  <c r="I68" i="21"/>
  <c r="O23" i="44"/>
  <c r="M69" i="17"/>
  <c r="M68" i="17"/>
  <c r="L75" i="17"/>
  <c r="L8" i="44"/>
  <c r="I59" i="21"/>
  <c r="L58" i="44"/>
  <c r="I95" i="21"/>
  <c r="I96" i="21" s="1"/>
  <c r="M94" i="19"/>
  <c r="M95" i="19" s="1"/>
  <c r="M93" i="19" s="1"/>
  <c r="L91" i="19"/>
  <c r="M79" i="18"/>
  <c r="M80" i="18" s="1"/>
  <c r="L90" i="19"/>
  <c r="P27" i="44"/>
  <c r="N69" i="18"/>
  <c r="N68" i="18"/>
  <c r="M75" i="18"/>
  <c r="L86" i="17" l="1"/>
  <c r="J36" i="40"/>
  <c r="J106" i="40"/>
  <c r="J92" i="40" s="1"/>
  <c r="L84" i="17"/>
  <c r="M93" i="17" s="1"/>
  <c r="M94" i="17" s="1"/>
  <c r="M92" i="17" s="1"/>
  <c r="M97" i="17" s="1"/>
  <c r="M83" i="17" s="1"/>
  <c r="M87" i="18"/>
  <c r="I102" i="21"/>
  <c r="L59" i="44" s="1"/>
  <c r="I104" i="21"/>
  <c r="L61" i="44" s="1"/>
  <c r="M88" i="18"/>
  <c r="M86" i="18"/>
  <c r="I105" i="21"/>
  <c r="L62" i="44" s="1"/>
  <c r="M35" i="17"/>
  <c r="M67" i="17" s="1"/>
  <c r="M66" i="17" s="1"/>
  <c r="M57" i="17" s="1"/>
  <c r="M56" i="17" s="1"/>
  <c r="I67" i="21"/>
  <c r="I58" i="21" s="1"/>
  <c r="I57" i="21" s="1"/>
  <c r="L10" i="44"/>
  <c r="I78" i="21"/>
  <c r="M98" i="19"/>
  <c r="M84" i="19" s="1"/>
  <c r="M36" i="19"/>
  <c r="M68" i="19" s="1"/>
  <c r="M67" i="19" s="1"/>
  <c r="M58" i="19" s="1"/>
  <c r="M57" i="19" s="1"/>
  <c r="I77" i="21"/>
  <c r="J87" i="21" s="1"/>
  <c r="K87" i="21" s="1"/>
  <c r="L87" i="21" s="1"/>
  <c r="M87" i="21" s="1"/>
  <c r="N87" i="21" s="1"/>
  <c r="O87" i="21" s="1"/>
  <c r="P87" i="21" s="1"/>
  <c r="Q87" i="21" s="1"/>
  <c r="R87" i="21" s="1"/>
  <c r="S87" i="21" s="1"/>
  <c r="T87" i="21" s="1"/>
  <c r="U87" i="21" s="1"/>
  <c r="M85" i="18"/>
  <c r="I103" i="21"/>
  <c r="L90" i="17" l="1"/>
  <c r="J87" i="40"/>
  <c r="J88" i="40" s="1"/>
  <c r="J94" i="40" s="1"/>
  <c r="J96" i="40"/>
  <c r="J95" i="40"/>
  <c r="J97" i="40"/>
  <c r="J68" i="40"/>
  <c r="M84" i="18"/>
  <c r="M89" i="18" s="1"/>
  <c r="L89" i="17"/>
  <c r="J70" i="21"/>
  <c r="I83" i="21"/>
  <c r="I86" i="21"/>
  <c r="I85" i="21"/>
  <c r="K23" i="20"/>
  <c r="L5" i="44"/>
  <c r="I84" i="21"/>
  <c r="L60" i="44"/>
  <c r="C22" i="22"/>
  <c r="C31" i="22"/>
  <c r="C27" i="22"/>
  <c r="C29" i="22"/>
  <c r="C28" i="22"/>
  <c r="C30" i="22"/>
  <c r="M80" i="19"/>
  <c r="M81" i="19" s="1"/>
  <c r="M75" i="17"/>
  <c r="N69" i="17"/>
  <c r="N68" i="17"/>
  <c r="P23" i="44"/>
  <c r="M79" i="17"/>
  <c r="M76" i="19"/>
  <c r="P30" i="44"/>
  <c r="N70" i="19"/>
  <c r="N69" i="19"/>
  <c r="I101" i="21"/>
  <c r="I106" i="21" s="1"/>
  <c r="K22" i="20"/>
  <c r="I88" i="21"/>
  <c r="L6" i="44"/>
  <c r="K21" i="20"/>
  <c r="M90" i="18" l="1"/>
  <c r="N93" i="18"/>
  <c r="N94" i="18" s="1"/>
  <c r="N92" i="18" s="1"/>
  <c r="N97" i="18" s="1"/>
  <c r="N83" i="18" s="1"/>
  <c r="M80" i="17"/>
  <c r="M86" i="17" s="1"/>
  <c r="J93" i="40"/>
  <c r="J99" i="40" s="1"/>
  <c r="J77" i="40"/>
  <c r="J67" i="40"/>
  <c r="J58" i="40" s="1"/>
  <c r="J57" i="40" s="1"/>
  <c r="J78" i="40"/>
  <c r="J98" i="40"/>
  <c r="K102" i="40"/>
  <c r="M88" i="19"/>
  <c r="M89" i="19"/>
  <c r="M87" i="19"/>
  <c r="M86" i="19"/>
  <c r="N35" i="18"/>
  <c r="N67" i="18" s="1"/>
  <c r="N66" i="18" s="1"/>
  <c r="N57" i="18" s="1"/>
  <c r="N56" i="18" s="1"/>
  <c r="M88" i="17"/>
  <c r="M87" i="17"/>
  <c r="J110" i="21"/>
  <c r="J111" i="21" s="1"/>
  <c r="J109" i="21" s="1"/>
  <c r="I107" i="21"/>
  <c r="M85" i="17"/>
  <c r="K103" i="40" l="1"/>
  <c r="M84" i="17"/>
  <c r="M89" i="17" s="1"/>
  <c r="K69" i="40"/>
  <c r="K70" i="40"/>
  <c r="J11" i="22"/>
  <c r="J83" i="40"/>
  <c r="M85" i="19"/>
  <c r="M91" i="19" s="1"/>
  <c r="N93" i="17"/>
  <c r="N94" i="17" s="1"/>
  <c r="N92" i="17" s="1"/>
  <c r="M90" i="17"/>
  <c r="N79" i="18"/>
  <c r="N80" i="18" s="1"/>
  <c r="J36" i="21"/>
  <c r="O68" i="18"/>
  <c r="N75" i="18"/>
  <c r="Q27" i="44"/>
  <c r="O69" i="18"/>
  <c r="M90" i="19" l="1"/>
  <c r="N94" i="19"/>
  <c r="N95" i="19" s="1"/>
  <c r="N93" i="19" s="1"/>
  <c r="J15" i="22"/>
  <c r="J14" i="22"/>
  <c r="J18" i="22"/>
  <c r="J17" i="22"/>
  <c r="J16" i="22"/>
  <c r="K101" i="40"/>
  <c r="N87" i="18"/>
  <c r="N85" i="18"/>
  <c r="N88" i="18"/>
  <c r="M13" i="44"/>
  <c r="J90" i="21"/>
  <c r="J91" i="21" s="1"/>
  <c r="J12" i="21" s="1"/>
  <c r="N86" i="18"/>
  <c r="N97" i="17"/>
  <c r="N83" i="17" s="1"/>
  <c r="N35" i="17"/>
  <c r="N67" i="17" s="1"/>
  <c r="N66" i="17" s="1"/>
  <c r="N57" i="17" s="1"/>
  <c r="N56" i="17" s="1"/>
  <c r="K36" i="40" l="1"/>
  <c r="K106" i="40"/>
  <c r="K92" i="40" s="1"/>
  <c r="N36" i="19"/>
  <c r="N68" i="19" s="1"/>
  <c r="N67" i="19" s="1"/>
  <c r="N58" i="19" s="1"/>
  <c r="N57" i="19" s="1"/>
  <c r="N98" i="19"/>
  <c r="N84" i="19" s="1"/>
  <c r="J79" i="21"/>
  <c r="J52" i="21"/>
  <c r="J50" i="21"/>
  <c r="L19" i="20"/>
  <c r="J13" i="21"/>
  <c r="M7" i="44"/>
  <c r="J60" i="21"/>
  <c r="N84" i="18"/>
  <c r="N79" i="17"/>
  <c r="N80" i="17" s="1"/>
  <c r="O68" i="17"/>
  <c r="Q23" i="44"/>
  <c r="O69" i="17"/>
  <c r="N75" i="17"/>
  <c r="N80" i="19" l="1"/>
  <c r="N81" i="19" s="1"/>
  <c r="N86" i="19" s="1"/>
  <c r="O70" i="19"/>
  <c r="O69" i="19"/>
  <c r="N76" i="19"/>
  <c r="Q30" i="44"/>
  <c r="K87" i="40"/>
  <c r="K68" i="40"/>
  <c r="N87" i="17"/>
  <c r="N88" i="17"/>
  <c r="J23" i="21"/>
  <c r="L20" i="20"/>
  <c r="N85" i="17"/>
  <c r="N86" i="17"/>
  <c r="N90" i="18"/>
  <c r="O93" i="18"/>
  <c r="O94" i="18" s="1"/>
  <c r="O92" i="18" s="1"/>
  <c r="N89" i="18"/>
  <c r="K67" i="40" l="1"/>
  <c r="K58" i="40" s="1"/>
  <c r="K57" i="40" s="1"/>
  <c r="K78" i="40"/>
  <c r="K77" i="40"/>
  <c r="K88" i="40"/>
  <c r="K94" i="40" s="1"/>
  <c r="K96" i="40"/>
  <c r="K97" i="40"/>
  <c r="N87" i="19"/>
  <c r="N89" i="19"/>
  <c r="N88" i="19"/>
  <c r="D27" i="22"/>
  <c r="D29" i="22"/>
  <c r="D22" i="22"/>
  <c r="D31" i="22"/>
  <c r="D28" i="22"/>
  <c r="D30" i="22"/>
  <c r="H36" i="44"/>
  <c r="O35" i="18"/>
  <c r="O67" i="18" s="1"/>
  <c r="O66" i="18" s="1"/>
  <c r="O57" i="18" s="1"/>
  <c r="O56" i="18" s="1"/>
  <c r="O97" i="18"/>
  <c r="O83" i="18" s="1"/>
  <c r="J24" i="21"/>
  <c r="J30" i="21"/>
  <c r="N84" i="17"/>
  <c r="K95" i="40" l="1"/>
  <c r="K93" i="40" s="1"/>
  <c r="N85" i="19"/>
  <c r="O94" i="19" s="1"/>
  <c r="O95" i="19" s="1"/>
  <c r="O93" i="19" s="1"/>
  <c r="K83" i="40"/>
  <c r="K11" i="22"/>
  <c r="L69" i="40"/>
  <c r="L70" i="40"/>
  <c r="O93" i="17"/>
  <c r="O94" i="17" s="1"/>
  <c r="O92" i="17" s="1"/>
  <c r="N90" i="17"/>
  <c r="J33" i="21"/>
  <c r="J69" i="21" s="1"/>
  <c r="M16" i="44"/>
  <c r="J114" i="21"/>
  <c r="P69" i="18"/>
  <c r="O75" i="18"/>
  <c r="R27" i="44"/>
  <c r="P68" i="18"/>
  <c r="J62" i="21"/>
  <c r="K51" i="21"/>
  <c r="O79" i="18"/>
  <c r="O80" i="18" s="1"/>
  <c r="N89" i="17"/>
  <c r="L102" i="40" l="1"/>
  <c r="K98" i="40"/>
  <c r="K99" i="40"/>
  <c r="N91" i="19"/>
  <c r="N90" i="19"/>
  <c r="L103" i="40"/>
  <c r="K18" i="22"/>
  <c r="K16" i="22"/>
  <c r="K15" i="22"/>
  <c r="K14" i="22"/>
  <c r="K17" i="22"/>
  <c r="J100" i="21"/>
  <c r="J95" i="21" s="1"/>
  <c r="J96" i="21" s="1"/>
  <c r="O36" i="19"/>
  <c r="O68" i="19" s="1"/>
  <c r="O67" i="19" s="1"/>
  <c r="O58" i="19" s="1"/>
  <c r="O57" i="19" s="1"/>
  <c r="O98" i="19"/>
  <c r="O84" i="19" s="1"/>
  <c r="O86" i="18"/>
  <c r="O87" i="18"/>
  <c r="M18" i="44"/>
  <c r="J68" i="21"/>
  <c r="O88" i="18"/>
  <c r="M8" i="44"/>
  <c r="J59" i="21"/>
  <c r="O85" i="18"/>
  <c r="O35" i="17"/>
  <c r="O67" i="17" s="1"/>
  <c r="O66" i="17" s="1"/>
  <c r="O57" i="17" s="1"/>
  <c r="O56" i="17" s="1"/>
  <c r="O97" i="17"/>
  <c r="O83" i="17" s="1"/>
  <c r="M58" i="44" l="1"/>
  <c r="L101" i="40"/>
  <c r="O80" i="19"/>
  <c r="P69" i="19"/>
  <c r="R30" i="44"/>
  <c r="O76" i="19"/>
  <c r="P70" i="19"/>
  <c r="O88" i="19"/>
  <c r="O89" i="19"/>
  <c r="O84" i="18"/>
  <c r="O90" i="18" s="1"/>
  <c r="J104" i="21"/>
  <c r="M61" i="44" s="1"/>
  <c r="J105" i="21"/>
  <c r="M62" i="44" s="1"/>
  <c r="J102" i="21"/>
  <c r="M59" i="44" s="1"/>
  <c r="J103" i="21"/>
  <c r="M60" i="44" s="1"/>
  <c r="J77" i="21"/>
  <c r="O79" i="17"/>
  <c r="O80" i="17" s="1"/>
  <c r="J67" i="21"/>
  <c r="J58" i="21" s="1"/>
  <c r="J57" i="21" s="1"/>
  <c r="M10" i="44"/>
  <c r="J78" i="21"/>
  <c r="R23" i="44"/>
  <c r="P68" i="17"/>
  <c r="O75" i="17"/>
  <c r="P69" i="17"/>
  <c r="L36" i="40" l="1"/>
  <c r="L106" i="40"/>
  <c r="L92" i="40" s="1"/>
  <c r="O89" i="18"/>
  <c r="P93" i="18"/>
  <c r="P94" i="18" s="1"/>
  <c r="P92" i="18" s="1"/>
  <c r="P97" i="18" s="1"/>
  <c r="P83" i="18" s="1"/>
  <c r="O81" i="19"/>
  <c r="O87" i="19" s="1"/>
  <c r="J101" i="21"/>
  <c r="K110" i="21" s="1"/>
  <c r="K111" i="21" s="1"/>
  <c r="K109" i="21" s="1"/>
  <c r="O88" i="17"/>
  <c r="O85" i="17"/>
  <c r="O87" i="17"/>
  <c r="M5" i="44"/>
  <c r="J86" i="21"/>
  <c r="K70" i="21"/>
  <c r="J85" i="21"/>
  <c r="J83" i="21"/>
  <c r="L23" i="20"/>
  <c r="J84" i="21"/>
  <c r="M6" i="44"/>
  <c r="L21" i="20"/>
  <c r="J88" i="21"/>
  <c r="L22" i="20"/>
  <c r="O86" i="17"/>
  <c r="P35" i="18"/>
  <c r="P67" i="18" s="1"/>
  <c r="P66" i="18" s="1"/>
  <c r="P57" i="18" s="1"/>
  <c r="P56" i="18" s="1"/>
  <c r="J106" i="21" l="1"/>
  <c r="O86" i="19"/>
  <c r="O85" i="19" s="1"/>
  <c r="O91" i="19" s="1"/>
  <c r="J107" i="21"/>
  <c r="L87" i="40"/>
  <c r="L68" i="40"/>
  <c r="P79" i="18"/>
  <c r="P80" i="18" s="1"/>
  <c r="P75" i="18"/>
  <c r="Q68" i="18"/>
  <c r="Q69" i="18"/>
  <c r="S27" i="44"/>
  <c r="O84" i="17"/>
  <c r="O89" i="17" s="1"/>
  <c r="K36" i="21"/>
  <c r="O90" i="19" l="1"/>
  <c r="P94" i="19"/>
  <c r="P95" i="19" s="1"/>
  <c r="P93" i="19" s="1"/>
  <c r="L67" i="40"/>
  <c r="L58" i="40" s="1"/>
  <c r="L57" i="40" s="1"/>
  <c r="L78" i="40"/>
  <c r="L77" i="40"/>
  <c r="L88" i="40"/>
  <c r="L95" i="40" s="1"/>
  <c r="L96" i="40"/>
  <c r="L97" i="40"/>
  <c r="P88" i="18"/>
  <c r="P86" i="18"/>
  <c r="N13" i="44"/>
  <c r="K90" i="21"/>
  <c r="K91" i="21" s="1"/>
  <c r="K12" i="21" s="1"/>
  <c r="P85" i="18"/>
  <c r="P87" i="18"/>
  <c r="O90" i="17"/>
  <c r="P93" i="17"/>
  <c r="P94" i="17" s="1"/>
  <c r="P92" i="17" s="1"/>
  <c r="E27" i="22"/>
  <c r="E22" i="22"/>
  <c r="E31" i="22"/>
  <c r="E28" i="22"/>
  <c r="E30" i="22"/>
  <c r="E29" i="22"/>
  <c r="L94" i="40" l="1"/>
  <c r="L93" i="40" s="1"/>
  <c r="M102" i="40" s="1"/>
  <c r="M103" i="40" s="1"/>
  <c r="P36" i="19"/>
  <c r="P68" i="19" s="1"/>
  <c r="P67" i="19" s="1"/>
  <c r="P58" i="19" s="1"/>
  <c r="P57" i="19" s="1"/>
  <c r="P98" i="19"/>
  <c r="P84" i="19" s="1"/>
  <c r="L98" i="40"/>
  <c r="L99" i="40"/>
  <c r="M70" i="40"/>
  <c r="M69" i="40"/>
  <c r="L11" i="22"/>
  <c r="L83" i="40"/>
  <c r="P84" i="18"/>
  <c r="P90" i="18" s="1"/>
  <c r="M101" i="40"/>
  <c r="K79" i="21"/>
  <c r="K52" i="21"/>
  <c r="N7" i="44"/>
  <c r="K13" i="21"/>
  <c r="K50" i="21"/>
  <c r="M19" i="20"/>
  <c r="K60" i="21"/>
  <c r="L12" i="21"/>
  <c r="P35" i="17"/>
  <c r="P67" i="17" s="1"/>
  <c r="P66" i="17" s="1"/>
  <c r="P57" i="17" s="1"/>
  <c r="P56" i="17" s="1"/>
  <c r="P97" i="17"/>
  <c r="P83" i="17" s="1"/>
  <c r="P89" i="18" l="1"/>
  <c r="P80" i="19"/>
  <c r="Q93" i="18"/>
  <c r="Q94" i="18" s="1"/>
  <c r="Q92" i="18" s="1"/>
  <c r="Q97" i="18" s="1"/>
  <c r="Q83" i="18" s="1"/>
  <c r="S30" i="44"/>
  <c r="Q69" i="19"/>
  <c r="Q70" i="19"/>
  <c r="P76" i="19"/>
  <c r="L15" i="22"/>
  <c r="L14" i="22"/>
  <c r="L17" i="22"/>
  <c r="L16" i="22"/>
  <c r="L18" i="22"/>
  <c r="P79" i="17"/>
  <c r="P80" i="17" s="1"/>
  <c r="M106" i="40"/>
  <c r="M92" i="40" s="1"/>
  <c r="M36" i="40"/>
  <c r="M20" i="20"/>
  <c r="G27" i="20" s="1"/>
  <c r="L50" i="21"/>
  <c r="O7" i="44"/>
  <c r="L13" i="21"/>
  <c r="L79" i="21"/>
  <c r="L52" i="21"/>
  <c r="L60" i="21"/>
  <c r="M12" i="21"/>
  <c r="Q35" i="18"/>
  <c r="Q67" i="18" s="1"/>
  <c r="Q66" i="18" s="1"/>
  <c r="Q57" i="18" s="1"/>
  <c r="Q56" i="18" s="1"/>
  <c r="K23" i="21"/>
  <c r="P75" i="17"/>
  <c r="Q68" i="17"/>
  <c r="S23" i="44"/>
  <c r="Q69" i="17"/>
  <c r="G25" i="20"/>
  <c r="O12" i="20"/>
  <c r="N12" i="20" s="1"/>
  <c r="P81" i="19" l="1"/>
  <c r="P88" i="19"/>
  <c r="P89" i="19"/>
  <c r="P87" i="19"/>
  <c r="P86" i="19"/>
  <c r="P87" i="17"/>
  <c r="P85" i="17"/>
  <c r="P86" i="17"/>
  <c r="P88" i="17"/>
  <c r="R69" i="18"/>
  <c r="Q75" i="18"/>
  <c r="T27" i="44"/>
  <c r="R68" i="18"/>
  <c r="M87" i="40"/>
  <c r="M88" i="40" s="1"/>
  <c r="P7" i="44"/>
  <c r="M13" i="21"/>
  <c r="M50" i="21"/>
  <c r="N12" i="21"/>
  <c r="M60" i="21"/>
  <c r="M52" i="21"/>
  <c r="M79" i="21"/>
  <c r="M51" i="21"/>
  <c r="M68" i="40"/>
  <c r="K24" i="21"/>
  <c r="K30" i="21"/>
  <c r="Q79" i="18"/>
  <c r="Q80" i="18" s="1"/>
  <c r="P85" i="19" l="1"/>
  <c r="Q94" i="19" s="1"/>
  <c r="Q95" i="19" s="1"/>
  <c r="Q93" i="19" s="1"/>
  <c r="P90" i="19"/>
  <c r="P84" i="17"/>
  <c r="P89" i="17" s="1"/>
  <c r="M97" i="40"/>
  <c r="M94" i="40"/>
  <c r="M96" i="40"/>
  <c r="Q85" i="18"/>
  <c r="M95" i="40"/>
  <c r="Q88" i="18"/>
  <c r="K62" i="21"/>
  <c r="L51" i="21"/>
  <c r="L23" i="21" s="1"/>
  <c r="M67" i="40"/>
  <c r="M58" i="40" s="1"/>
  <c r="M57" i="40" s="1"/>
  <c r="M78" i="40"/>
  <c r="M77" i="40"/>
  <c r="Q7" i="44"/>
  <c r="N79" i="21"/>
  <c r="N50" i="21"/>
  <c r="N13" i="21"/>
  <c r="N52" i="21"/>
  <c r="N60" i="21"/>
  <c r="O12" i="21"/>
  <c r="Q87" i="18"/>
  <c r="N51" i="21"/>
  <c r="Q86" i="18"/>
  <c r="N16" i="44"/>
  <c r="K33" i="21"/>
  <c r="K69" i="21" s="1"/>
  <c r="K114" i="21"/>
  <c r="P91" i="19" l="1"/>
  <c r="Q36" i="19"/>
  <c r="Q68" i="19" s="1"/>
  <c r="Q67" i="19" s="1"/>
  <c r="Q58" i="19" s="1"/>
  <c r="Q57" i="19" s="1"/>
  <c r="Q98" i="19"/>
  <c r="Q84" i="19" s="1"/>
  <c r="P90" i="17"/>
  <c r="Q93" i="17"/>
  <c r="Q94" i="17" s="1"/>
  <c r="Q92" i="17" s="1"/>
  <c r="L24" i="21"/>
  <c r="L30" i="21"/>
  <c r="L62" i="21" s="1"/>
  <c r="M23" i="21"/>
  <c r="N23" i="21" s="1"/>
  <c r="N8" i="44"/>
  <c r="K59" i="21"/>
  <c r="M11" i="22"/>
  <c r="N70" i="40"/>
  <c r="N69" i="40"/>
  <c r="M83" i="40"/>
  <c r="O51" i="21"/>
  <c r="M93" i="40"/>
  <c r="M98" i="40" s="1"/>
  <c r="O79" i="21"/>
  <c r="O52" i="21"/>
  <c r="R7" i="44"/>
  <c r="O50" i="21"/>
  <c r="P12" i="21"/>
  <c r="O13" i="21"/>
  <c r="O60" i="21"/>
  <c r="Q84" i="18"/>
  <c r="Q89" i="18" s="1"/>
  <c r="K100" i="21"/>
  <c r="N18" i="44"/>
  <c r="K68" i="21"/>
  <c r="Q80" i="19" l="1"/>
  <c r="Q89" i="19"/>
  <c r="R69" i="19"/>
  <c r="Q76" i="19"/>
  <c r="R70" i="19"/>
  <c r="T30" i="44"/>
  <c r="Q97" i="17"/>
  <c r="Q83" i="17" s="1"/>
  <c r="Q35" i="17"/>
  <c r="Q67" i="17" s="1"/>
  <c r="Q66" i="17" s="1"/>
  <c r="Q57" i="17" s="1"/>
  <c r="Q56" i="17" s="1"/>
  <c r="O8" i="44"/>
  <c r="L59" i="21"/>
  <c r="L33" i="21"/>
  <c r="O18" i="44" s="1"/>
  <c r="O16" i="44"/>
  <c r="M30" i="21"/>
  <c r="M62" i="21" s="1"/>
  <c r="M24" i="21"/>
  <c r="S7" i="44"/>
  <c r="P79" i="21"/>
  <c r="P50" i="21"/>
  <c r="P52" i="21"/>
  <c r="P60" i="21"/>
  <c r="P13" i="21"/>
  <c r="Q12" i="21"/>
  <c r="M99" i="40"/>
  <c r="N102" i="40"/>
  <c r="O23" i="21"/>
  <c r="P51" i="21"/>
  <c r="K77" i="21"/>
  <c r="M16" i="22"/>
  <c r="M17" i="22"/>
  <c r="F31" i="22"/>
  <c r="F27" i="22"/>
  <c r="F28" i="22"/>
  <c r="M15" i="22"/>
  <c r="F29" i="22"/>
  <c r="F30" i="22"/>
  <c r="M18" i="22"/>
  <c r="F22" i="22"/>
  <c r="M14" i="22"/>
  <c r="N24" i="21"/>
  <c r="N30" i="21"/>
  <c r="N62" i="21" s="1"/>
  <c r="N58" i="44"/>
  <c r="K95" i="21"/>
  <c r="K96" i="21" s="1"/>
  <c r="R93" i="18"/>
  <c r="R94" i="18" s="1"/>
  <c r="R92" i="18" s="1"/>
  <c r="Q90" i="18"/>
  <c r="N10" i="44"/>
  <c r="K67" i="21"/>
  <c r="K58" i="21" s="1"/>
  <c r="K57" i="21" s="1"/>
  <c r="K78" i="21"/>
  <c r="Q81" i="19" l="1"/>
  <c r="Q88" i="19"/>
  <c r="T23" i="44"/>
  <c r="Q75" i="17"/>
  <c r="R68" i="17"/>
  <c r="R69" i="17"/>
  <c r="Q79" i="17"/>
  <c r="Q50" i="21"/>
  <c r="T7" i="44"/>
  <c r="Q52" i="21"/>
  <c r="Q13" i="21"/>
  <c r="Q79" i="21"/>
  <c r="R12" i="21"/>
  <c r="Q60" i="21"/>
  <c r="Q51" i="21"/>
  <c r="P23" i="21"/>
  <c r="M33" i="21"/>
  <c r="P18" i="44" s="1"/>
  <c r="P16" i="44"/>
  <c r="K88" i="21"/>
  <c r="M22" i="20"/>
  <c r="K104" i="21"/>
  <c r="N61" i="44" s="1"/>
  <c r="K105" i="21"/>
  <c r="N62" i="44" s="1"/>
  <c r="N6" i="44"/>
  <c r="M21" i="20"/>
  <c r="P8" i="44"/>
  <c r="M59" i="21"/>
  <c r="L69" i="21"/>
  <c r="K86" i="21"/>
  <c r="M23" i="20"/>
  <c r="L70" i="21"/>
  <c r="K83" i="21"/>
  <c r="K84" i="21"/>
  <c r="N5" i="44"/>
  <c r="K85" i="21"/>
  <c r="K103" i="21"/>
  <c r="K102" i="21"/>
  <c r="N59" i="44" s="1"/>
  <c r="Q8" i="44"/>
  <c r="N59" i="21"/>
  <c r="O24" i="21"/>
  <c r="O30" i="21"/>
  <c r="O62" i="21" s="1"/>
  <c r="Q16" i="44"/>
  <c r="N33" i="21"/>
  <c r="Q18" i="44" s="1"/>
  <c r="R35" i="18"/>
  <c r="R67" i="18" s="1"/>
  <c r="R66" i="18" s="1"/>
  <c r="R57" i="18" s="1"/>
  <c r="R56" i="18" s="1"/>
  <c r="R97" i="18"/>
  <c r="R83" i="18" s="1"/>
  <c r="N103" i="40"/>
  <c r="Q87" i="19" l="1"/>
  <c r="Q86" i="19"/>
  <c r="K101" i="21"/>
  <c r="K107" i="21" s="1"/>
  <c r="Q80" i="17"/>
  <c r="Q86" i="17" s="1"/>
  <c r="Q87" i="17"/>
  <c r="Q88" i="17"/>
  <c r="P30" i="21"/>
  <c r="P62" i="21" s="1"/>
  <c r="P24" i="21"/>
  <c r="R8" i="44"/>
  <c r="O59" i="21"/>
  <c r="U7" i="44"/>
  <c r="R13" i="21"/>
  <c r="R79" i="21"/>
  <c r="R50" i="21"/>
  <c r="R60" i="21"/>
  <c r="R52" i="21"/>
  <c r="S12" i="21"/>
  <c r="N60" i="44"/>
  <c r="K106" i="21"/>
  <c r="R79" i="18"/>
  <c r="R80" i="18" s="1"/>
  <c r="L12" i="20"/>
  <c r="M12" i="20"/>
  <c r="R16" i="44"/>
  <c r="O33" i="21"/>
  <c r="R18" i="44" s="1"/>
  <c r="R51" i="21"/>
  <c r="Q23" i="21"/>
  <c r="S68" i="18"/>
  <c r="U27" i="44"/>
  <c r="R75" i="18"/>
  <c r="S69" i="18"/>
  <c r="N101" i="40"/>
  <c r="Q85" i="19" l="1"/>
  <c r="Q91" i="19" s="1"/>
  <c r="Q85" i="17"/>
  <c r="Q90" i="19"/>
  <c r="R94" i="19"/>
  <c r="R95" i="19" s="1"/>
  <c r="R93" i="19" s="1"/>
  <c r="Q84" i="17"/>
  <c r="L110" i="21"/>
  <c r="L111" i="21" s="1"/>
  <c r="L109" i="21" s="1"/>
  <c r="L114" i="21" s="1"/>
  <c r="L100" i="21" s="1"/>
  <c r="R86" i="18"/>
  <c r="R93" i="17"/>
  <c r="R94" i="17" s="1"/>
  <c r="R92" i="17" s="1"/>
  <c r="Q90" i="17"/>
  <c r="Q89" i="17"/>
  <c r="R23" i="21"/>
  <c r="S51" i="21"/>
  <c r="Q30" i="21"/>
  <c r="Q62" i="21" s="1"/>
  <c r="Q24" i="21"/>
  <c r="R85" i="18"/>
  <c r="R84" i="18" s="1"/>
  <c r="R87" i="18"/>
  <c r="S79" i="21"/>
  <c r="S50" i="21"/>
  <c r="S60" i="21"/>
  <c r="T12" i="21"/>
  <c r="V7" i="44"/>
  <c r="S13" i="21"/>
  <c r="S52" i="21"/>
  <c r="R88" i="18"/>
  <c r="N106" i="40"/>
  <c r="N92" i="40" s="1"/>
  <c r="N36" i="40"/>
  <c r="P33" i="21"/>
  <c r="S18" i="44" s="1"/>
  <c r="S16" i="44"/>
  <c r="S8" i="44"/>
  <c r="P59" i="21"/>
  <c r="R98" i="19" l="1"/>
  <c r="R84" i="19" s="1"/>
  <c r="R36" i="19"/>
  <c r="R68" i="19" s="1"/>
  <c r="R67" i="19" s="1"/>
  <c r="R58" i="19" s="1"/>
  <c r="R57" i="19" s="1"/>
  <c r="L36" i="21"/>
  <c r="R35" i="17"/>
  <c r="R67" i="17" s="1"/>
  <c r="R66" i="17" s="1"/>
  <c r="R57" i="17" s="1"/>
  <c r="R56" i="17" s="1"/>
  <c r="R97" i="17"/>
  <c r="R83" i="17" s="1"/>
  <c r="R89" i="18"/>
  <c r="W7" i="44"/>
  <c r="T52" i="21"/>
  <c r="T13" i="21"/>
  <c r="T50" i="21"/>
  <c r="T79" i="21"/>
  <c r="T60" i="21"/>
  <c r="U12" i="21"/>
  <c r="S23" i="21"/>
  <c r="T51" i="21"/>
  <c r="S93" i="18"/>
  <c r="S94" i="18" s="1"/>
  <c r="S92" i="18" s="1"/>
  <c r="R90" i="18"/>
  <c r="T16" i="44"/>
  <c r="Q33" i="21"/>
  <c r="T18" i="44" s="1"/>
  <c r="T8" i="44"/>
  <c r="Q59" i="21"/>
  <c r="R30" i="21"/>
  <c r="R62" i="21" s="1"/>
  <c r="R24" i="21"/>
  <c r="N87" i="40"/>
  <c r="N88" i="40" s="1"/>
  <c r="O58" i="44"/>
  <c r="L95" i="21"/>
  <c r="L96" i="21" s="1"/>
  <c r="N68" i="40"/>
  <c r="O13" i="44"/>
  <c r="L90" i="21"/>
  <c r="L91" i="21" s="1"/>
  <c r="L68" i="21"/>
  <c r="R76" i="19" l="1"/>
  <c r="S70" i="19"/>
  <c r="S69" i="19"/>
  <c r="U30" i="44"/>
  <c r="R80" i="19"/>
  <c r="R88" i="19" s="1"/>
  <c r="R79" i="17"/>
  <c r="S69" i="17"/>
  <c r="R75" i="17"/>
  <c r="S68" i="17"/>
  <c r="U23" i="44"/>
  <c r="L105" i="21"/>
  <c r="O62" i="44" s="1"/>
  <c r="L103" i="21"/>
  <c r="O60" i="44" s="1"/>
  <c r="L102" i="21"/>
  <c r="O59" i="44" s="1"/>
  <c r="S30" i="21"/>
  <c r="S62" i="21" s="1"/>
  <c r="S24" i="21"/>
  <c r="R33" i="21"/>
  <c r="U18" i="44" s="1"/>
  <c r="U16" i="44"/>
  <c r="U13" i="21"/>
  <c r="X7" i="44"/>
  <c r="U79" i="21"/>
  <c r="U50" i="21"/>
  <c r="U52" i="21"/>
  <c r="U60" i="21"/>
  <c r="S97" i="18"/>
  <c r="S83" i="18" s="1"/>
  <c r="S35" i="18"/>
  <c r="S67" i="18" s="1"/>
  <c r="S66" i="18" s="1"/>
  <c r="S57" i="18" s="1"/>
  <c r="S56" i="18" s="1"/>
  <c r="L67" i="21"/>
  <c r="L58" i="21" s="1"/>
  <c r="L57" i="21" s="1"/>
  <c r="O10" i="44"/>
  <c r="L78" i="21"/>
  <c r="L77" i="21"/>
  <c r="U8" i="44"/>
  <c r="R59" i="21"/>
  <c r="U51" i="21"/>
  <c r="T23" i="21"/>
  <c r="N97" i="40"/>
  <c r="N96" i="40"/>
  <c r="L104" i="21"/>
  <c r="O61" i="44" s="1"/>
  <c r="N95" i="40"/>
  <c r="N67" i="40"/>
  <c r="N58" i="40" s="1"/>
  <c r="N57" i="40" s="1"/>
  <c r="N78" i="40"/>
  <c r="N77" i="40"/>
  <c r="N94" i="40"/>
  <c r="R89" i="19" l="1"/>
  <c r="R81" i="19"/>
  <c r="L101" i="21"/>
  <c r="M110" i="21" s="1"/>
  <c r="M111" i="21" s="1"/>
  <c r="M109" i="21" s="1"/>
  <c r="R80" i="17"/>
  <c r="R86" i="17" s="1"/>
  <c r="R87" i="17"/>
  <c r="R88" i="17"/>
  <c r="U23" i="21"/>
  <c r="U30" i="21" s="1"/>
  <c r="U62" i="21" s="1"/>
  <c r="X8" i="44" s="1"/>
  <c r="N93" i="40"/>
  <c r="N99" i="40" s="1"/>
  <c r="L83" i="21"/>
  <c r="L85" i="21"/>
  <c r="M69" i="21"/>
  <c r="M70" i="21"/>
  <c r="O5" i="44"/>
  <c r="L84" i="21"/>
  <c r="L86" i="21"/>
  <c r="S79" i="18"/>
  <c r="S80" i="18" s="1"/>
  <c r="T30" i="21"/>
  <c r="T62" i="21" s="1"/>
  <c r="T24" i="21"/>
  <c r="S75" i="18"/>
  <c r="T69" i="18"/>
  <c r="V27" i="44"/>
  <c r="T68" i="18"/>
  <c r="O6" i="44"/>
  <c r="O69" i="40"/>
  <c r="N83" i="40"/>
  <c r="O70" i="40"/>
  <c r="N11" i="22"/>
  <c r="L88" i="21"/>
  <c r="S33" i="21"/>
  <c r="V18" i="44" s="1"/>
  <c r="V16" i="44"/>
  <c r="V8" i="44"/>
  <c r="S59" i="21"/>
  <c r="L107" i="21" l="1"/>
  <c r="L106" i="21"/>
  <c r="R85" i="17"/>
  <c r="R87" i="19"/>
  <c r="R86" i="19"/>
  <c r="R85" i="19" s="1"/>
  <c r="N98" i="40"/>
  <c r="R84" i="17"/>
  <c r="R89" i="17" s="1"/>
  <c r="O102" i="40"/>
  <c r="O103" i="40" s="1"/>
  <c r="U24" i="21"/>
  <c r="X16" i="44"/>
  <c r="G29" i="22"/>
  <c r="G27" i="22"/>
  <c r="G30" i="22"/>
  <c r="N14" i="22"/>
  <c r="N17" i="22"/>
  <c r="G22" i="22"/>
  <c r="N18" i="22"/>
  <c r="N16" i="22"/>
  <c r="N15" i="22"/>
  <c r="G31" i="22"/>
  <c r="G28" i="22"/>
  <c r="U59" i="21"/>
  <c r="M114" i="21"/>
  <c r="M100" i="21" s="1"/>
  <c r="M36" i="21"/>
  <c r="S86" i="18"/>
  <c r="S85" i="18"/>
  <c r="T33" i="21"/>
  <c r="W18" i="44" s="1"/>
  <c r="W16" i="44"/>
  <c r="S88" i="18"/>
  <c r="W8" i="44"/>
  <c r="T59" i="21"/>
  <c r="S87" i="18"/>
  <c r="U33" i="21" l="1"/>
  <c r="X18" i="44" s="1"/>
  <c r="R90" i="17"/>
  <c r="S94" i="19"/>
  <c r="S95" i="19" s="1"/>
  <c r="S93" i="19" s="1"/>
  <c r="R91" i="19"/>
  <c r="R90" i="19"/>
  <c r="S93" i="17"/>
  <c r="S94" i="17" s="1"/>
  <c r="S92" i="17" s="1"/>
  <c r="S97" i="17" s="1"/>
  <c r="S83" i="17" s="1"/>
  <c r="S79" i="17" s="1"/>
  <c r="S87" i="17" s="1"/>
  <c r="S84" i="18"/>
  <c r="S89" i="18" s="1"/>
  <c r="P58" i="44"/>
  <c r="M95" i="21"/>
  <c r="M96" i="21" s="1"/>
  <c r="P13" i="44"/>
  <c r="M90" i="21"/>
  <c r="M91" i="21" s="1"/>
  <c r="M68" i="21"/>
  <c r="O101" i="40"/>
  <c r="S98" i="19" l="1"/>
  <c r="S84" i="19" s="1"/>
  <c r="S36" i="19"/>
  <c r="S68" i="19" s="1"/>
  <c r="S67" i="19" s="1"/>
  <c r="S58" i="19" s="1"/>
  <c r="S57" i="19" s="1"/>
  <c r="S35" i="17"/>
  <c r="S67" i="17" s="1"/>
  <c r="S66" i="17" s="1"/>
  <c r="S57" i="17" s="1"/>
  <c r="S56" i="17" s="1"/>
  <c r="T93" i="18"/>
  <c r="T94" i="18" s="1"/>
  <c r="T92" i="18" s="1"/>
  <c r="T35" i="18" s="1"/>
  <c r="T67" i="18" s="1"/>
  <c r="T66" i="18" s="1"/>
  <c r="T57" i="18" s="1"/>
  <c r="T56" i="18" s="1"/>
  <c r="S90" i="18"/>
  <c r="S80" i="17"/>
  <c r="S86" i="17" s="1"/>
  <c r="S88" i="17"/>
  <c r="M103" i="21"/>
  <c r="P60" i="44" s="1"/>
  <c r="M105" i="21"/>
  <c r="P62" i="44" s="1"/>
  <c r="M102" i="21"/>
  <c r="P59" i="44" s="1"/>
  <c r="M104" i="21"/>
  <c r="P61" i="44" s="1"/>
  <c r="P10" i="44"/>
  <c r="M67" i="21"/>
  <c r="M58" i="21" s="1"/>
  <c r="M57" i="21" s="1"/>
  <c r="M78" i="21"/>
  <c r="M77" i="21"/>
  <c r="O106" i="40"/>
  <c r="O92" i="40" s="1"/>
  <c r="O36" i="40"/>
  <c r="S85" i="17" l="1"/>
  <c r="T97" i="18"/>
  <c r="T83" i="18" s="1"/>
  <c r="T69" i="19"/>
  <c r="T70" i="19"/>
  <c r="V30" i="44"/>
  <c r="S76" i="19"/>
  <c r="S80" i="19"/>
  <c r="S89" i="19" s="1"/>
  <c r="T68" i="17"/>
  <c r="T69" i="17"/>
  <c r="S75" i="17"/>
  <c r="V23" i="44"/>
  <c r="S84" i="17"/>
  <c r="S90" i="17" s="1"/>
  <c r="M101" i="21"/>
  <c r="N110" i="21" s="1"/>
  <c r="N111" i="21" s="1"/>
  <c r="N109" i="21" s="1"/>
  <c r="P6" i="44"/>
  <c r="M84" i="21"/>
  <c r="N70" i="21"/>
  <c r="M86" i="21"/>
  <c r="P5" i="44"/>
  <c r="M85" i="21"/>
  <c r="M83" i="21"/>
  <c r="N69" i="21"/>
  <c r="O68" i="40"/>
  <c r="O87" i="40"/>
  <c r="O88" i="40" s="1"/>
  <c r="U68" i="18"/>
  <c r="U69" i="18"/>
  <c r="T75" i="18"/>
  <c r="W27" i="44"/>
  <c r="M88" i="21"/>
  <c r="T79" i="18"/>
  <c r="T80" i="18" s="1"/>
  <c r="J15" i="20"/>
  <c r="S88" i="19" l="1"/>
  <c r="S81" i="19"/>
  <c r="S89" i="17"/>
  <c r="T93" i="17"/>
  <c r="T94" i="17" s="1"/>
  <c r="T92" i="17" s="1"/>
  <c r="T35" i="17" s="1"/>
  <c r="T67" i="17" s="1"/>
  <c r="T66" i="17" s="1"/>
  <c r="T57" i="17" s="1"/>
  <c r="T56" i="17" s="1"/>
  <c r="M106" i="21"/>
  <c r="O97" i="40"/>
  <c r="M107" i="21"/>
  <c r="T86" i="18"/>
  <c r="O96" i="40"/>
  <c r="T85" i="18"/>
  <c r="T87" i="18"/>
  <c r="O67" i="40"/>
  <c r="O58" i="40" s="1"/>
  <c r="O57" i="40" s="1"/>
  <c r="O78" i="40"/>
  <c r="O77" i="40"/>
  <c r="T88" i="18"/>
  <c r="O94" i="40"/>
  <c r="O95" i="40"/>
  <c r="N36" i="21"/>
  <c r="N114" i="21"/>
  <c r="N100" i="21" s="1"/>
  <c r="T97" i="17" l="1"/>
  <c r="T83" i="17" s="1"/>
  <c r="S86" i="19"/>
  <c r="S87" i="19"/>
  <c r="S85" i="19"/>
  <c r="T79" i="17"/>
  <c r="T88" i="17" s="1"/>
  <c r="U68" i="17"/>
  <c r="W23" i="44"/>
  <c r="U69" i="17"/>
  <c r="T75" i="17"/>
  <c r="O93" i="40"/>
  <c r="O98" i="40" s="1"/>
  <c r="T84" i="18"/>
  <c r="U93" i="18" s="1"/>
  <c r="U94" i="18" s="1"/>
  <c r="U92" i="18" s="1"/>
  <c r="Q13" i="44"/>
  <c r="N90" i="21"/>
  <c r="N91" i="21" s="1"/>
  <c r="N68" i="21"/>
  <c r="N95" i="21"/>
  <c r="N96" i="21" s="1"/>
  <c r="N103" i="21" s="1"/>
  <c r="Q60" i="44" s="1"/>
  <c r="Q58" i="44"/>
  <c r="O83" i="40"/>
  <c r="P69" i="40"/>
  <c r="P70" i="40"/>
  <c r="O11" i="22"/>
  <c r="T94" i="19" l="1"/>
  <c r="T95" i="19" s="1"/>
  <c r="T93" i="19" s="1"/>
  <c r="S91" i="19"/>
  <c r="S90" i="19"/>
  <c r="P102" i="40"/>
  <c r="P103" i="40" s="1"/>
  <c r="N105" i="21"/>
  <c r="Q62" i="44" s="1"/>
  <c r="O99" i="40"/>
  <c r="T80" i="17"/>
  <c r="T85" i="17" s="1"/>
  <c r="T87" i="17"/>
  <c r="T90" i="18"/>
  <c r="T89" i="18"/>
  <c r="H31" i="22"/>
  <c r="H30" i="22"/>
  <c r="H28" i="22"/>
  <c r="H29" i="22"/>
  <c r="O17" i="22"/>
  <c r="O16" i="22"/>
  <c r="O18" i="22"/>
  <c r="H27" i="22"/>
  <c r="O15" i="22"/>
  <c r="O14" i="22"/>
  <c r="H22" i="22"/>
  <c r="Q10" i="44"/>
  <c r="N67" i="21"/>
  <c r="N58" i="21" s="1"/>
  <c r="N57" i="21" s="1"/>
  <c r="N78" i="21"/>
  <c r="N77" i="21"/>
  <c r="U97" i="18"/>
  <c r="U83" i="18" s="1"/>
  <c r="U35" i="18"/>
  <c r="U67" i="18" s="1"/>
  <c r="U66" i="18" s="1"/>
  <c r="U57" i="18" s="1"/>
  <c r="U56" i="18" s="1"/>
  <c r="N102" i="21"/>
  <c r="Q59" i="44" s="1"/>
  <c r="N104" i="21"/>
  <c r="Q61" i="44" s="1"/>
  <c r="T86" i="17" l="1"/>
  <c r="T84" i="17" s="1"/>
  <c r="T98" i="19"/>
  <c r="T84" i="19" s="1"/>
  <c r="T36" i="19"/>
  <c r="T68" i="19" s="1"/>
  <c r="T67" i="19" s="1"/>
  <c r="T58" i="19" s="1"/>
  <c r="T57" i="19" s="1"/>
  <c r="N101" i="21"/>
  <c r="N107" i="21" s="1"/>
  <c r="U79" i="18"/>
  <c r="U80" i="18" s="1"/>
  <c r="O70" i="21"/>
  <c r="N83" i="21"/>
  <c r="N86" i="21"/>
  <c r="Q5" i="44"/>
  <c r="N84" i="21"/>
  <c r="O69" i="21"/>
  <c r="N85" i="21"/>
  <c r="N88" i="21"/>
  <c r="N106" i="21"/>
  <c r="Q6" i="44"/>
  <c r="P101" i="40"/>
  <c r="J13" i="20"/>
  <c r="J14" i="20"/>
  <c r="U75" i="18"/>
  <c r="G14" i="20" s="1"/>
  <c r="X27" i="44"/>
  <c r="O110" i="21" l="1"/>
  <c r="O111" i="21" s="1"/>
  <c r="O109" i="21" s="1"/>
  <c r="T89" i="17"/>
  <c r="U93" i="17"/>
  <c r="U94" i="17" s="1"/>
  <c r="U92" i="17" s="1"/>
  <c r="T90" i="17"/>
  <c r="U69" i="19"/>
  <c r="U70" i="19"/>
  <c r="W30" i="44"/>
  <c r="T76" i="19"/>
  <c r="T80" i="19"/>
  <c r="T88" i="19" s="1"/>
  <c r="U87" i="18"/>
  <c r="U86" i="18"/>
  <c r="U88" i="18"/>
  <c r="U35" i="17"/>
  <c r="U67" i="17" s="1"/>
  <c r="U66" i="17" s="1"/>
  <c r="U57" i="17" s="1"/>
  <c r="U56" i="17" s="1"/>
  <c r="U97" i="17"/>
  <c r="U83" i="17" s="1"/>
  <c r="P36" i="40"/>
  <c r="P106" i="40"/>
  <c r="P92" i="40" s="1"/>
  <c r="O36" i="21"/>
  <c r="O114" i="21"/>
  <c r="O100" i="21" s="1"/>
  <c r="U85" i="18"/>
  <c r="U84" i="18" l="1"/>
  <c r="T89" i="19"/>
  <c r="T81" i="19"/>
  <c r="U79" i="17"/>
  <c r="U75" i="17"/>
  <c r="G13" i="20" s="1"/>
  <c r="X23" i="44"/>
  <c r="U90" i="18"/>
  <c r="U89" i="18"/>
  <c r="R13" i="44"/>
  <c r="O68" i="21"/>
  <c r="O90" i="21"/>
  <c r="O91" i="21" s="1"/>
  <c r="P87" i="40"/>
  <c r="P88" i="40" s="1"/>
  <c r="O95" i="21"/>
  <c r="O96" i="21" s="1"/>
  <c r="R58" i="44"/>
  <c r="P68" i="40"/>
  <c r="T87" i="19" l="1"/>
  <c r="T86" i="19"/>
  <c r="T85" i="19" s="1"/>
  <c r="O105" i="21"/>
  <c r="R62" i="44" s="1"/>
  <c r="O102" i="21"/>
  <c r="R59" i="44" s="1"/>
  <c r="O104" i="21"/>
  <c r="R61" i="44" s="1"/>
  <c r="U80" i="17"/>
  <c r="U86" i="17" s="1"/>
  <c r="U87" i="17"/>
  <c r="P97" i="40"/>
  <c r="U88" i="17"/>
  <c r="P67" i="40"/>
  <c r="P58" i="40" s="1"/>
  <c r="P57" i="40" s="1"/>
  <c r="P78" i="40"/>
  <c r="P77" i="40"/>
  <c r="P94" i="40"/>
  <c r="P93" i="40" s="1"/>
  <c r="O67" i="21"/>
  <c r="O58" i="21" s="1"/>
  <c r="O57" i="21" s="1"/>
  <c r="R10" i="44"/>
  <c r="O78" i="21"/>
  <c r="O77" i="21"/>
  <c r="O103" i="21"/>
  <c r="P95" i="40"/>
  <c r="P96" i="40"/>
  <c r="O101" i="21" l="1"/>
  <c r="U85" i="17"/>
  <c r="T91" i="19"/>
  <c r="U94" i="19"/>
  <c r="U95" i="19" s="1"/>
  <c r="U93" i="19" s="1"/>
  <c r="T90" i="19"/>
  <c r="U84" i="17"/>
  <c r="U90" i="17" s="1"/>
  <c r="P99" i="40"/>
  <c r="Q102" i="40"/>
  <c r="P98" i="40"/>
  <c r="O88" i="21"/>
  <c r="O107" i="21"/>
  <c r="P110" i="21"/>
  <c r="P111" i="21" s="1"/>
  <c r="P109" i="21" s="1"/>
  <c r="P69" i="21"/>
  <c r="R5" i="44"/>
  <c r="O86" i="21"/>
  <c r="O83" i="21"/>
  <c r="O84" i="21"/>
  <c r="P70" i="21"/>
  <c r="O85" i="21"/>
  <c r="R60" i="44"/>
  <c r="O106" i="21"/>
  <c r="R6" i="44"/>
  <c r="Q70" i="40"/>
  <c r="P11" i="22"/>
  <c r="Q69" i="40"/>
  <c r="P83" i="40"/>
  <c r="U36" i="19" l="1"/>
  <c r="U68" i="19" s="1"/>
  <c r="U67" i="19" s="1"/>
  <c r="U58" i="19" s="1"/>
  <c r="U57" i="19" s="1"/>
  <c r="U98" i="19"/>
  <c r="U84" i="19" s="1"/>
  <c r="U89" i="17"/>
  <c r="P16" i="22"/>
  <c r="I29" i="22"/>
  <c r="P17" i="22"/>
  <c r="H12" i="20" s="1"/>
  <c r="P14" i="22"/>
  <c r="I30" i="22"/>
  <c r="I27" i="22"/>
  <c r="I22" i="22"/>
  <c r="I31" i="22"/>
  <c r="P18" i="22"/>
  <c r="P15" i="22"/>
  <c r="I28" i="22"/>
  <c r="P36" i="21"/>
  <c r="P114" i="21"/>
  <c r="P100" i="21" s="1"/>
  <c r="Q103" i="40"/>
  <c r="U80" i="19" l="1"/>
  <c r="U81" i="19" s="1"/>
  <c r="U88" i="19"/>
  <c r="U86" i="19"/>
  <c r="U89" i="19"/>
  <c r="U87" i="19"/>
  <c r="U76" i="19"/>
  <c r="G15" i="20" s="1"/>
  <c r="X30" i="44"/>
  <c r="S13" i="44"/>
  <c r="P68" i="21"/>
  <c r="P90" i="21"/>
  <c r="P91" i="21" s="1"/>
  <c r="S58" i="44"/>
  <c r="P95" i="21"/>
  <c r="P96" i="21" s="1"/>
  <c r="Q101" i="40"/>
  <c r="I36" i="44"/>
  <c r="U85" i="19" l="1"/>
  <c r="U90" i="19" s="1"/>
  <c r="P103" i="21"/>
  <c r="Q36" i="40"/>
  <c r="Q106" i="40"/>
  <c r="Q92" i="40" s="1"/>
  <c r="P102" i="21"/>
  <c r="P105" i="21"/>
  <c r="S62" i="44" s="1"/>
  <c r="K36" i="44" a="1"/>
  <c r="K36" i="44" s="1"/>
  <c r="O36" i="44"/>
  <c r="P36" i="44"/>
  <c r="R36" i="44" s="1"/>
  <c r="L36" i="44" a="1"/>
  <c r="L36" i="44" s="1"/>
  <c r="M36" i="44" a="1"/>
  <c r="M36" i="44" s="1"/>
  <c r="J36" i="44" a="1"/>
  <c r="J36" i="44" s="1"/>
  <c r="V36" i="44" s="1"/>
  <c r="W36" i="44" s="1"/>
  <c r="S10" i="44"/>
  <c r="P67" i="21"/>
  <c r="P58" i="21" s="1"/>
  <c r="P57" i="21" s="1"/>
  <c r="P78" i="21"/>
  <c r="P77" i="21"/>
  <c r="P104" i="21"/>
  <c r="S61" i="44" s="1"/>
  <c r="U91" i="19" l="1"/>
  <c r="P88" i="21"/>
  <c r="S36" i="44" a="1"/>
  <c r="S36" i="44" s="1"/>
  <c r="Q36" i="44" a="1"/>
  <c r="Q36" i="44" s="1"/>
  <c r="S59" i="44"/>
  <c r="P101" i="21"/>
  <c r="P106" i="21" s="1"/>
  <c r="Q87" i="40"/>
  <c r="Q88" i="40" s="1"/>
  <c r="Q68" i="40"/>
  <c r="S5" i="44"/>
  <c r="Q70" i="21"/>
  <c r="P83" i="21"/>
  <c r="P86" i="21"/>
  <c r="P85" i="21"/>
  <c r="P84" i="21"/>
  <c r="Q69" i="21"/>
  <c r="S6" i="44"/>
  <c r="S60" i="44"/>
  <c r="T36" i="44" l="1"/>
  <c r="F36" i="44" s="1"/>
  <c r="Q97" i="40"/>
  <c r="Q95" i="40"/>
  <c r="Q96" i="40"/>
  <c r="Q67" i="40"/>
  <c r="Q58" i="40" s="1"/>
  <c r="Q57" i="40" s="1"/>
  <c r="Q78" i="40"/>
  <c r="Q77" i="40"/>
  <c r="Q110" i="21"/>
  <c r="Q111" i="21" s="1"/>
  <c r="Q109" i="21" s="1"/>
  <c r="P107" i="21"/>
  <c r="Q94" i="40"/>
  <c r="Q93" i="40" s="1"/>
  <c r="Q99" i="40" l="1"/>
  <c r="R102" i="40"/>
  <c r="Q36" i="21"/>
  <c r="Q114" i="21"/>
  <c r="Q100" i="21" s="1"/>
  <c r="R69" i="40"/>
  <c r="Q11" i="22"/>
  <c r="Q83" i="40"/>
  <c r="R70" i="40"/>
  <c r="Q98" i="40"/>
  <c r="T13" i="44" l="1"/>
  <c r="Q90" i="21"/>
  <c r="Q91" i="21" s="1"/>
  <c r="Q68" i="21"/>
  <c r="T58" i="44"/>
  <c r="Q95" i="21"/>
  <c r="Q96" i="21" s="1"/>
  <c r="R103" i="40"/>
  <c r="Q105" i="21" l="1"/>
  <c r="T62" i="44" s="1"/>
  <c r="R101" i="40"/>
  <c r="Q103" i="21"/>
  <c r="Q67" i="21"/>
  <c r="Q58" i="21" s="1"/>
  <c r="Q57" i="21" s="1"/>
  <c r="T10" i="44"/>
  <c r="Q78" i="21"/>
  <c r="Q77" i="21"/>
  <c r="Q104" i="21"/>
  <c r="T61" i="44" s="1"/>
  <c r="Q102" i="21"/>
  <c r="T59" i="44" s="1"/>
  <c r="Q101" i="21" l="1"/>
  <c r="R110" i="21" s="1"/>
  <c r="R111" i="21" s="1"/>
  <c r="R109" i="21" s="1"/>
  <c r="T5" i="44"/>
  <c r="R70" i="21"/>
  <c r="Q86" i="21"/>
  <c r="R69" i="21"/>
  <c r="Q84" i="21"/>
  <c r="Q85" i="21"/>
  <c r="Q83" i="21"/>
  <c r="Q88" i="21"/>
  <c r="T60" i="44"/>
  <c r="Q106" i="21"/>
  <c r="R36" i="40"/>
  <c r="R106" i="40"/>
  <c r="R92" i="40" s="1"/>
  <c r="T6" i="44"/>
  <c r="Q107" i="21" l="1"/>
  <c r="R87" i="40"/>
  <c r="R88" i="40" s="1"/>
  <c r="R68" i="40"/>
  <c r="R114" i="21"/>
  <c r="R100" i="21" s="1"/>
  <c r="R36" i="21"/>
  <c r="R95" i="21" l="1"/>
  <c r="R96" i="21" s="1"/>
  <c r="R102" i="21" s="1"/>
  <c r="U59" i="44" s="1"/>
  <c r="U58" i="44"/>
  <c r="R97" i="40"/>
  <c r="R96" i="40"/>
  <c r="R95" i="40"/>
  <c r="U13" i="44"/>
  <c r="R68" i="21"/>
  <c r="R90" i="21"/>
  <c r="R91" i="21" s="1"/>
  <c r="R67" i="40"/>
  <c r="R58" i="40" s="1"/>
  <c r="R57" i="40" s="1"/>
  <c r="R78" i="40"/>
  <c r="R77" i="40"/>
  <c r="R94" i="40"/>
  <c r="R104" i="21" l="1"/>
  <c r="U61" i="44" s="1"/>
  <c r="R105" i="21"/>
  <c r="U62" i="44" s="1"/>
  <c r="R93" i="40"/>
  <c r="R99" i="40" s="1"/>
  <c r="S69" i="40"/>
  <c r="R83" i="40"/>
  <c r="R11" i="22"/>
  <c r="S70" i="40"/>
  <c r="R98" i="40"/>
  <c r="U10" i="44"/>
  <c r="R67" i="21"/>
  <c r="R58" i="21" s="1"/>
  <c r="R57" i="21" s="1"/>
  <c r="R78" i="21"/>
  <c r="R77" i="21"/>
  <c r="R103" i="21"/>
  <c r="S102" i="40" l="1"/>
  <c r="U5" i="44"/>
  <c r="R83" i="21"/>
  <c r="S69" i="21"/>
  <c r="R85" i="21"/>
  <c r="R86" i="21"/>
  <c r="R84" i="21"/>
  <c r="S70" i="21"/>
  <c r="U60" i="44"/>
  <c r="R101" i="21"/>
  <c r="R106" i="21" s="1"/>
  <c r="U6" i="44"/>
  <c r="R88" i="21"/>
  <c r="S103" i="40"/>
  <c r="S101" i="40" l="1"/>
  <c r="S110" i="21"/>
  <c r="S111" i="21" s="1"/>
  <c r="S109" i="21" s="1"/>
  <c r="R107" i="21"/>
  <c r="S36" i="21" l="1"/>
  <c r="S114" i="21"/>
  <c r="S100" i="21" s="1"/>
  <c r="S106" i="40"/>
  <c r="S92" i="40" s="1"/>
  <c r="S36" i="40"/>
  <c r="S68" i="40" l="1"/>
  <c r="S87" i="40"/>
  <c r="S88" i="40" s="1"/>
  <c r="V58" i="44"/>
  <c r="S95" i="21"/>
  <c r="S96" i="21" s="1"/>
  <c r="V13" i="44"/>
  <c r="S68" i="21"/>
  <c r="S90" i="21"/>
  <c r="S91" i="21" s="1"/>
  <c r="S94" i="40" l="1"/>
  <c r="S104" i="21"/>
  <c r="V61" i="44" s="1"/>
  <c r="S97" i="40"/>
  <c r="S96" i="40"/>
  <c r="S95" i="40"/>
  <c r="S93" i="40" s="1"/>
  <c r="V10" i="44"/>
  <c r="S67" i="21"/>
  <c r="S58" i="21" s="1"/>
  <c r="S57" i="21" s="1"/>
  <c r="S78" i="21"/>
  <c r="S77" i="21"/>
  <c r="S105" i="21"/>
  <c r="V62" i="44" s="1"/>
  <c r="S103" i="21"/>
  <c r="S67" i="40"/>
  <c r="S58" i="40" s="1"/>
  <c r="S57" i="40" s="1"/>
  <c r="S78" i="40"/>
  <c r="S77" i="40"/>
  <c r="S102" i="21"/>
  <c r="V59" i="44" s="1"/>
  <c r="T69" i="40" l="1"/>
  <c r="S11" i="22"/>
  <c r="S83" i="40"/>
  <c r="T70" i="40"/>
  <c r="S99" i="40"/>
  <c r="T102" i="40"/>
  <c r="S88" i="21"/>
  <c r="V6" i="44"/>
  <c r="T69" i="21"/>
  <c r="S86" i="21"/>
  <c r="T70" i="21"/>
  <c r="S84" i="21"/>
  <c r="S85" i="21"/>
  <c r="S83" i="21"/>
  <c r="V5" i="44"/>
  <c r="V60" i="44"/>
  <c r="S98" i="40"/>
  <c r="S101" i="21"/>
  <c r="T103" i="40" l="1"/>
  <c r="S107" i="21"/>
  <c r="T110" i="21"/>
  <c r="T111" i="21" s="1"/>
  <c r="T109" i="21" s="1"/>
  <c r="S106" i="21"/>
  <c r="T36" i="21" l="1"/>
  <c r="T114" i="21"/>
  <c r="T100" i="21" s="1"/>
  <c r="T101" i="40"/>
  <c r="T36" i="40" l="1"/>
  <c r="T106" i="40"/>
  <c r="T92" i="40" s="1"/>
  <c r="T95" i="21"/>
  <c r="T96" i="21" s="1"/>
  <c r="W58" i="44"/>
  <c r="W13" i="44"/>
  <c r="T90" i="21"/>
  <c r="T91" i="21" s="1"/>
  <c r="T68" i="21"/>
  <c r="T103" i="21" l="1"/>
  <c r="W60" i="44" s="1"/>
  <c r="T87" i="40"/>
  <c r="T88" i="40" s="1"/>
  <c r="T105" i="21"/>
  <c r="W62" i="44" s="1"/>
  <c r="T102" i="21"/>
  <c r="W59" i="44" s="1"/>
  <c r="T104" i="21"/>
  <c r="W61" i="44" s="1"/>
  <c r="T67" i="21"/>
  <c r="T58" i="21" s="1"/>
  <c r="T57" i="21" s="1"/>
  <c r="W10" i="44"/>
  <c r="T78" i="21"/>
  <c r="T77" i="21"/>
  <c r="T68" i="40"/>
  <c r="T101" i="21" l="1"/>
  <c r="U110" i="21" s="1"/>
  <c r="U111" i="21" s="1"/>
  <c r="U109" i="21" s="1"/>
  <c r="T67" i="40"/>
  <c r="T58" i="40" s="1"/>
  <c r="T57" i="40" s="1"/>
  <c r="T78" i="40"/>
  <c r="T77" i="40"/>
  <c r="T95" i="40"/>
  <c r="T97" i="40"/>
  <c r="T94" i="40"/>
  <c r="W6" i="44"/>
  <c r="T88" i="21"/>
  <c r="T86" i="21"/>
  <c r="T84" i="21"/>
  <c r="U70" i="21"/>
  <c r="T83" i="21"/>
  <c r="T85" i="21"/>
  <c r="W5" i="44"/>
  <c r="U69" i="21"/>
  <c r="T96" i="40"/>
  <c r="T106" i="21" l="1"/>
  <c r="T107" i="21"/>
  <c r="T93" i="40"/>
  <c r="T99" i="40" s="1"/>
  <c r="T11" i="22"/>
  <c r="T83" i="40"/>
  <c r="U69" i="40"/>
  <c r="U70" i="40"/>
  <c r="U114" i="21"/>
  <c r="U100" i="21" s="1"/>
  <c r="U36" i="21"/>
  <c r="T98" i="40" l="1"/>
  <c r="U102" i="40"/>
  <c r="X13" i="44"/>
  <c r="U90" i="21"/>
  <c r="U91" i="21" s="1"/>
  <c r="U68" i="21"/>
  <c r="X58" i="44"/>
  <c r="U95" i="21"/>
  <c r="U96" i="21" s="1"/>
  <c r="U103" i="40"/>
  <c r="U105" i="21" l="1"/>
  <c r="X62" i="44" s="1"/>
  <c r="U103" i="21"/>
  <c r="X60" i="44" s="1"/>
  <c r="U101" i="40"/>
  <c r="U102" i="21"/>
  <c r="X59" i="44" s="1"/>
  <c r="U104" i="21"/>
  <c r="X61" i="44" s="1"/>
  <c r="X10" i="44"/>
  <c r="U67" i="21"/>
  <c r="U58" i="21" s="1"/>
  <c r="U57" i="21" s="1"/>
  <c r="U78" i="21"/>
  <c r="U77" i="21"/>
  <c r="U101" i="21" l="1"/>
  <c r="U107" i="21" s="1"/>
  <c r="U88" i="21"/>
  <c r="U84" i="21"/>
  <c r="U86" i="21"/>
  <c r="U85" i="21"/>
  <c r="X5" i="44"/>
  <c r="U83" i="21"/>
  <c r="U106" i="21"/>
  <c r="X6" i="44"/>
  <c r="U106" i="40"/>
  <c r="U92" i="40" s="1"/>
  <c r="U36" i="40"/>
  <c r="L2" i="43" l="1" a="1"/>
  <c r="L2" i="43" s="1"/>
  <c r="U68" i="40"/>
  <c r="U87" i="40"/>
  <c r="U88" i="40" s="1"/>
  <c r="U94" i="40" l="1"/>
  <c r="U96" i="40"/>
  <c r="U95" i="40"/>
  <c r="U93" i="40" s="1"/>
  <c r="U97" i="40"/>
  <c r="U67" i="40"/>
  <c r="U58" i="40" s="1"/>
  <c r="U57" i="40" s="1"/>
  <c r="U78" i="40"/>
  <c r="U77" i="40"/>
  <c r="U99" i="40" l="1"/>
  <c r="U98" i="40"/>
  <c r="I12" i="20"/>
  <c r="J12" i="20"/>
  <c r="U11" i="22"/>
  <c r="U83" i="40"/>
  <c r="G12" i="20" s="1"/>
  <c r="K2" i="43" a="1"/>
  <c r="K2" i="43" s="1"/>
  <c r="H3" i="20"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<sst xmlns="http://schemas.openxmlformats.org/spreadsheetml/2006/main" count="816" uniqueCount="296">
  <si>
    <t>European Commission</t>
  </si>
  <si>
    <t>Directorate-General for Economic and Financial Affairs</t>
  </si>
  <si>
    <t>Unit C2  - Sustainability of public finances</t>
  </si>
  <si>
    <t>ECFIN-Secretariat-C2@ec.europa.eu</t>
  </si>
  <si>
    <t>FILE DESCRIPTION</t>
  </si>
  <si>
    <t>HOW TO USE THIS TOOL TO CALCULATE NEW DEBT PROJECTIONS</t>
  </si>
  <si>
    <t>The spreadsheet is composed of the following elements:</t>
  </si>
  <si>
    <t>Coloured cells indicate data sources as follows (this colour-coding holds in the other spreadsheets):</t>
  </si>
  <si>
    <r>
      <t xml:space="preserve">Cells in </t>
    </r>
    <r>
      <rPr>
        <i/>
        <sz val="11"/>
        <color rgb="FF0070C0"/>
        <rFont val="Calibri"/>
        <family val="2"/>
        <scheme val="minor"/>
      </rPr>
      <t>light orange</t>
    </r>
    <r>
      <rPr>
        <sz val="11"/>
        <color rgb="FF0070C0"/>
        <rFont val="Calibri"/>
        <family val="2"/>
        <scheme val="minor"/>
      </rPr>
      <t xml:space="preserve"> provide parameters needed to compute the decomposition of government debt according to its maturity structure (i.e. short-term and long-term debt, maturing, rolled-over and non-maturing debt). </t>
    </r>
    <r>
      <rPr>
        <b/>
        <u/>
        <sz val="11"/>
        <color rgb="FF0070C0"/>
        <rFont val="Calibri"/>
        <family val="2"/>
        <scheme val="minor"/>
      </rPr>
      <t>These are fixed shares which the user cannot change.</t>
    </r>
  </si>
  <si>
    <r>
      <t xml:space="preserve">Cells in </t>
    </r>
    <r>
      <rPr>
        <i/>
        <sz val="11"/>
        <color rgb="FF0070C0"/>
        <rFont val="Calibri"/>
        <family val="2"/>
        <scheme val="minor"/>
      </rPr>
      <t>dark orange</t>
    </r>
    <r>
      <rPr>
        <sz val="11"/>
        <color rgb="FF0070C0"/>
        <rFont val="Calibri"/>
        <family val="2"/>
        <scheme val="minor"/>
      </rPr>
      <t xml:space="preserve"> indicate financial market prices.</t>
    </r>
  </si>
  <si>
    <t>· Financial stress scenario</t>
  </si>
  <si>
    <t>· Lower SPB scenario</t>
  </si>
  <si>
    <t>· Adverse 'r-g' scenario</t>
  </si>
  <si>
    <r>
      <t>In the sheets associated with the stress-test scenarios, i.e. "</t>
    </r>
    <r>
      <rPr>
        <b/>
        <sz val="11"/>
        <color rgb="FF0070C0"/>
        <rFont val="Calibri"/>
        <family val="2"/>
        <scheme val="minor"/>
      </rPr>
      <t>Financial stress</t>
    </r>
    <r>
      <rPr>
        <sz val="11"/>
        <color rgb="FF0070C0"/>
        <rFont val="Calibri"/>
        <family val="2"/>
        <scheme val="minor"/>
      </rPr>
      <t>", "</t>
    </r>
    <r>
      <rPr>
        <b/>
        <sz val="11"/>
        <color rgb="FF0070C0"/>
        <rFont val="Calibri"/>
        <family val="2"/>
        <scheme val="minor"/>
      </rPr>
      <t>Lower SPB</t>
    </r>
    <r>
      <rPr>
        <sz val="11"/>
        <color rgb="FF0070C0"/>
        <rFont val="Calibri"/>
        <family val="2"/>
        <scheme val="minor"/>
      </rPr>
      <t>" and "</t>
    </r>
    <r>
      <rPr>
        <b/>
        <sz val="11"/>
        <color rgb="FF0070C0"/>
        <rFont val="Calibri"/>
        <family val="2"/>
        <scheme val="minor"/>
      </rPr>
      <t>Adverse (r-g)</t>
    </r>
    <r>
      <rPr>
        <sz val="11"/>
        <color rgb="FF0070C0"/>
        <rFont val="Calibri"/>
        <family val="2"/>
        <scheme val="minor"/>
      </rPr>
      <t>", initial shocks are identified as follows:</t>
    </r>
  </si>
  <si>
    <t>WHERE ARE THE MAIN RESULTS LOCATED?</t>
  </si>
  <si>
    <t>Country</t>
  </si>
  <si>
    <t>Annual adjustment (when benchmark not binding)</t>
  </si>
  <si>
    <t>Deficit resilience safeguard</t>
  </si>
  <si>
    <t>Criterion 1 
(Debt decreasing under deterministic scenarios)</t>
  </si>
  <si>
    <t>Criterion 2 *
(Debt declining with sufficient probability)</t>
  </si>
  <si>
    <t>Criterion 3 
(Deficit below 
3% of GDP)</t>
  </si>
  <si>
    <t>0.5 pp. of GDP adjustment if deficit in previous year &gt; 3% of GDP</t>
  </si>
  <si>
    <t>Number of years the benchmark applies</t>
  </si>
  <si>
    <t>0.40 pp. (0.25 pp.) of GDP adjustment under plan without (with) extension if structural deficit in previous year 
&gt; 1.5% of GDP</t>
  </si>
  <si>
    <t>Number of years the deficit resilience safeguard applies 
(over the adjustment horizon)</t>
  </si>
  <si>
    <t>Adjustment scenario</t>
  </si>
  <si>
    <t>Financial stress scenario</t>
  </si>
  <si>
    <t>Lower SPB scenario</t>
  </si>
  <si>
    <t>Adverse r-g scenario</t>
  </si>
  <si>
    <r>
      <t xml:space="preserve">Annual adjustment </t>
    </r>
    <r>
      <rPr>
        <sz val="10"/>
        <rFont val="Arial"/>
        <family val="2"/>
      </rPr>
      <t>(change in SPB)</t>
    </r>
  </si>
  <si>
    <t>Net primary expenditure growth</t>
  </si>
  <si>
    <t>Average annual adjustment over the plan period</t>
  </si>
  <si>
    <t>Average annual adjustment over the adjustment period</t>
  </si>
  <si>
    <t>Average net primary expenditure growth over the plan period</t>
  </si>
  <si>
    <t>Average net primary expenditure growth over the adjustment period</t>
  </si>
  <si>
    <t>No extension</t>
  </si>
  <si>
    <t>Extension</t>
  </si>
  <si>
    <t>Annual adjustment</t>
  </si>
  <si>
    <t>Key years</t>
  </si>
  <si>
    <t>Last year of no-fiscal-policy-change projections</t>
  </si>
  <si>
    <t>Structural primary balance</t>
  </si>
  <si>
    <t>Headline balance</t>
  </si>
  <si>
    <t>Structural balance</t>
  </si>
  <si>
    <t>Debt</t>
  </si>
  <si>
    <t>Last year of adjustment</t>
  </si>
  <si>
    <t>Key assumptions</t>
  </si>
  <si>
    <t>Fiscal assumptions (% of GDP)</t>
  </si>
  <si>
    <t/>
  </si>
  <si>
    <t>Structural primary balance ('+' means 'surplus')</t>
  </si>
  <si>
    <t>One-off and other temporary measures</t>
  </si>
  <si>
    <t>Stock-flow adjustments (without exchange rate effect)</t>
  </si>
  <si>
    <t>Stock-flow adjustment (total)</t>
  </si>
  <si>
    <t>Total ageing cost (net of taxes on pensions)</t>
  </si>
  <si>
    <t>of which: Public pensions expenditure</t>
  </si>
  <si>
    <t xml:space="preserve">            Health care expenditure</t>
  </si>
  <si>
    <t xml:space="preserve">            Long-term care expenditure</t>
  </si>
  <si>
    <t xml:space="preserve">            Education &amp; unemployment benefits expenditure</t>
  </si>
  <si>
    <t xml:space="preserve">           Taxes on pensions</t>
  </si>
  <si>
    <t>Property income</t>
  </si>
  <si>
    <t>Actual GDP</t>
  </si>
  <si>
    <t>Growth rate</t>
  </si>
  <si>
    <t>Level</t>
  </si>
  <si>
    <t>Potential GDP</t>
  </si>
  <si>
    <t>Nominal implicit interest rate on debt</t>
  </si>
  <si>
    <t>Short-term nominal interest rate</t>
  </si>
  <si>
    <t>Long-term nominal interest rate</t>
  </si>
  <si>
    <t>GDP deflator (national currency)</t>
  </si>
  <si>
    <t>Additional parameters</t>
  </si>
  <si>
    <t>Fiscal multiplier</t>
  </si>
  <si>
    <t xml:space="preserve">Carnot, N. and de Castro, F. (2015), “The Discretionary Fiscal Effort: an Assessment of Fiscal Policy and its Output Effect”, European Economy, Economic Papers, No. 543. </t>
  </si>
  <si>
    <t>Mourre, G. et al. (2019), "The Semi-Elasticities Underlying the Cyclically-Adjusted Budget Balance: An Update and Further Analysis", European Economy, Discussion Paper, No. 098.</t>
  </si>
  <si>
    <t>Bloomberg data, country-specific forward market rates.</t>
  </si>
  <si>
    <t>DSM 2023</t>
  </si>
  <si>
    <t>Share of short-term debt in total government debt</t>
  </si>
  <si>
    <t>Share of long-term debt in total government debt</t>
  </si>
  <si>
    <t>Bloomberg data, inflation swaps.</t>
  </si>
  <si>
    <t>Central bank inflation target</t>
  </si>
  <si>
    <t>Derived from the model and made consistent with the short-term forecast.</t>
  </si>
  <si>
    <t>Stochastic projections: ranges around adjustment scenario</t>
  </si>
  <si>
    <t>T+1</t>
  </si>
  <si>
    <t>T+2</t>
  </si>
  <si>
    <t>T+3</t>
  </si>
  <si>
    <t>T+4</t>
  </si>
  <si>
    <t>T+5</t>
  </si>
  <si>
    <t>Stock flow adjustments (without exchange rate effect)</t>
  </si>
  <si>
    <t>GDP growth assumptions</t>
  </si>
  <si>
    <t>Actual GDP (real)</t>
  </si>
  <si>
    <t xml:space="preserve">Potential GDP (real) </t>
  </si>
  <si>
    <t>Output gap</t>
  </si>
  <si>
    <t>Actual GDP (nominal, national currency)</t>
  </si>
  <si>
    <t>Interest rate</t>
  </si>
  <si>
    <t>Long-term interest rate</t>
  </si>
  <si>
    <t>Short-term interest rate</t>
  </si>
  <si>
    <t>Share of long-term debt that matures every year</t>
  </si>
  <si>
    <t>Inflation and exchange rate</t>
  </si>
  <si>
    <t>Exchange rate composite change (weighted by share of debt in each currency)</t>
  </si>
  <si>
    <t>Intermediate calculations (growth rate equation)</t>
  </si>
  <si>
    <t>Auxiliary variable to control the closure of the output gap</t>
  </si>
  <si>
    <t>OG intermediate auxiliary value</t>
  </si>
  <si>
    <t>GDP intermediate growth rate - only feedback effect and no closure of the OG</t>
  </si>
  <si>
    <t>Debt projections</t>
  </si>
  <si>
    <t xml:space="preserve">Gross debt </t>
  </si>
  <si>
    <t>Change in debt (-1+2+3)</t>
  </si>
  <si>
    <t>(1) Primary balance (1.1 + 1.2 - 1.3 -1.4 -1.5 - 1.6 -1.7)</t>
  </si>
  <si>
    <t>(1.1) Structural primary balance (before ageing cost)</t>
  </si>
  <si>
    <t>(1.2) Cumulated budgetary effort (in terms of primary balance)</t>
  </si>
  <si>
    <t>(1.3) Cyclical component</t>
  </si>
  <si>
    <t>(1.4) One-off and other temporary measures</t>
  </si>
  <si>
    <t>(1.5) Cost of ageing</t>
  </si>
  <si>
    <t>(1.6) Property incomes</t>
  </si>
  <si>
    <t>(1.7) Revenues</t>
  </si>
  <si>
    <t>(2) Snowball effect (2.1 + 2.2 + 2.3)</t>
  </si>
  <si>
    <t>(2.1) Interest expenditure</t>
  </si>
  <si>
    <t>(2.2) Growth effect</t>
  </si>
  <si>
    <t>(2.3) Inflation effect</t>
  </si>
  <si>
    <t>(2.4) Exchange rate effect linked to the interest rate</t>
  </si>
  <si>
    <t>(3 ) Stock flow adjustments (3.1 + 3.2)</t>
  </si>
  <si>
    <t>(3.1) Base</t>
  </si>
  <si>
    <t>(3.2) Adjustment due to the exchange rate effect linked to debt value</t>
  </si>
  <si>
    <t>Other budgetary variables</t>
  </si>
  <si>
    <t>Net expenditure growth</t>
  </si>
  <si>
    <t>Debt decomposition and IIR</t>
  </si>
  <si>
    <t>Auxiliary variable identifying whether debt is increasing</t>
  </si>
  <si>
    <t>Auxiliary variable identifying whether some debt is rolled over even though debt is decreasing</t>
  </si>
  <si>
    <r>
      <rPr>
        <i/>
        <sz val="8"/>
        <color theme="1"/>
        <rFont val="Arial"/>
        <family val="2"/>
      </rPr>
      <t>Of which</t>
    </r>
    <r>
      <rPr>
        <sz val="8"/>
        <color theme="1"/>
        <rFont val="Arial"/>
        <family val="2"/>
      </rPr>
      <t xml:space="preserve"> Outstanding debt</t>
    </r>
  </si>
  <si>
    <t>Rolled over long-term debt</t>
  </si>
  <si>
    <t>Rolled over short-term debt</t>
  </si>
  <si>
    <t>New long-term debt</t>
  </si>
  <si>
    <t>New short-term debt</t>
  </si>
  <si>
    <t>IIR</t>
  </si>
  <si>
    <t>Long-term implicit interest rate</t>
  </si>
  <si>
    <r>
      <t>Nominal implicit interest rate on debt (</t>
    </r>
    <r>
      <rPr>
        <b/>
        <sz val="8"/>
        <color theme="1"/>
        <rFont val="Arial"/>
        <family val="2"/>
      </rPr>
      <t>Excel approximation</t>
    </r>
    <r>
      <rPr>
        <sz val="8"/>
        <color theme="1"/>
        <rFont val="Arial"/>
        <family val="2"/>
      </rPr>
      <t>)</t>
    </r>
  </si>
  <si>
    <t>Diff. STATA</t>
  </si>
  <si>
    <t>Per memo - STATA results</t>
  </si>
  <si>
    <t>CY</t>
  </si>
  <si>
    <t>EL</t>
  </si>
  <si>
    <t>IE</t>
  </si>
  <si>
    <t>PT</t>
  </si>
  <si>
    <t>Interest rates</t>
  </si>
  <si>
    <t>GDP deflator (National currency)</t>
  </si>
  <si>
    <t>Average net primary expenditure growth</t>
  </si>
  <si>
    <t>Approximation of interest payments in % GDP</t>
  </si>
  <si>
    <t>Growth rate (including feedback and output-gap closure effect)</t>
  </si>
  <si>
    <t>per memo: initial shock (GDP growth rate in baseline scenario - 0.5)</t>
  </si>
  <si>
    <t>Potential GDP (real)</t>
  </si>
  <si>
    <t>Interest rates and inflation</t>
  </si>
  <si>
    <t>First year of stochastic projections</t>
  </si>
  <si>
    <t>Last year of stochastic projections</t>
  </si>
  <si>
    <t>Baseline assumptions</t>
  </si>
  <si>
    <t>Distribution of debt paths</t>
  </si>
  <si>
    <t>p10</t>
  </si>
  <si>
    <t>p30</t>
  </si>
  <si>
    <t>p70</t>
  </si>
  <si>
    <t>p90</t>
  </si>
  <si>
    <t>Graph</t>
  </si>
  <si>
    <t>p30_p10</t>
  </si>
  <si>
    <t>p50_p30</t>
  </si>
  <si>
    <t>p70_p50</t>
  </si>
  <si>
    <t>p90_p70</t>
  </si>
  <si>
    <t>p50</t>
  </si>
  <si>
    <t>DE</t>
  </si>
  <si>
    <r>
      <rPr>
        <i/>
        <sz val="11"/>
        <color rgb="FF0070C0"/>
        <rFont val="Calibri"/>
        <family val="2"/>
        <scheme val="minor"/>
      </rPr>
      <t>Dark grey</t>
    </r>
    <r>
      <rPr>
        <sz val="11"/>
        <color rgb="FF0070C0"/>
        <rFont val="Calibri"/>
        <family val="2"/>
        <scheme val="minor"/>
      </rPr>
      <t xml:space="preserve"> indicates the period in which the SPB, net of changes in cost of ageing, remains constant at its value of end of adjustment.</t>
    </r>
  </si>
  <si>
    <t>Additionally, for the lower SPB scenario, the cells get thick black borders in the years when the SPB is gradually reduced.</t>
  </si>
  <si>
    <r>
      <t xml:space="preserve">All variables that are shocked turn </t>
    </r>
    <r>
      <rPr>
        <i/>
        <sz val="11"/>
        <color rgb="FF0070C0"/>
        <rFont val="Calibri"/>
        <family val="2"/>
        <scheme val="minor"/>
      </rPr>
      <t>very dark grey</t>
    </r>
    <r>
      <rPr>
        <sz val="11"/>
        <color rgb="FF0070C0"/>
        <rFont val="Calibri"/>
        <family val="2"/>
        <scheme val="minor"/>
      </rPr>
      <t>.</t>
    </r>
  </si>
  <si>
    <t>Table 1 - Adjustment input data</t>
  </si>
  <si>
    <t>Table 2 - DSA-based criteria</t>
  </si>
  <si>
    <t>Table 3 - Safeguards and benchmark</t>
  </si>
  <si>
    <t>Last year before the adjustment</t>
  </si>
  <si>
    <t>Table 4 - Main fiscal variables</t>
  </si>
  <si>
    <r>
      <rPr>
        <i/>
        <sz val="11"/>
        <color rgb="FF0070C0"/>
        <rFont val="Calibri"/>
        <family val="2"/>
        <scheme val="minor"/>
      </rPr>
      <t>Light grey</t>
    </r>
    <r>
      <rPr>
        <sz val="11"/>
        <color rgb="FF0070C0"/>
        <rFont val="Calibri"/>
        <family val="2"/>
        <scheme val="minor"/>
      </rPr>
      <t xml:space="preserve"> indicates the pre-plan period, corresponding to the EC forecast</t>
    </r>
  </si>
  <si>
    <t>Sources</t>
  </si>
  <si>
    <t>Eurostat, average shares over the 3 last available years.</t>
  </si>
  <si>
    <t>ECB, country-specific historical average shares over the 6 last available years. For post-programme countries (CY, El , IE and PT), the redemption profile of official loans has been taken into account for the computation of the share of long-term debt that matures every year. For these countries, changing this parameter would not affect debt projections.</t>
  </si>
  <si>
    <t>Difference between debt level in 50th and 10th percentiles of the distribution</t>
  </si>
  <si>
    <t>Difference between debt level in 50th and 30th percentiles of the distribution</t>
  </si>
  <si>
    <t>Difference between debt level in 70th and 50th percentiles of the distribution</t>
  </si>
  <si>
    <t>Difference between debt level in 90th and 50th percentiles of the distribution</t>
  </si>
  <si>
    <r>
      <t xml:space="preserve">The sheet "Input data" in light blue presents the </t>
    </r>
    <r>
      <rPr>
        <b/>
        <sz val="11"/>
        <color rgb="FF0070C0"/>
        <rFont val="Calibri"/>
        <family val="2"/>
        <scheme val="minor"/>
      </rPr>
      <t>input data</t>
    </r>
    <r>
      <rPr>
        <sz val="11"/>
        <color rgb="FF0070C0"/>
        <rFont val="Calibri"/>
        <family val="2"/>
        <scheme val="minor"/>
      </rPr>
      <t>, including fiscal and GDP growth assumptions as well as  additional fiscal parameters. Unless stated otherwise below,</t>
    </r>
    <r>
      <rPr>
        <b/>
        <u/>
        <sz val="11"/>
        <color rgb="FF0070C0"/>
        <rFont val="Calibri"/>
        <family val="2"/>
        <scheme val="minor"/>
      </rPr>
      <t xml:space="preserve"> the user can change all values in this tab.</t>
    </r>
  </si>
  <si>
    <r>
      <rPr>
        <i/>
        <sz val="11"/>
        <color rgb="FF0070C0"/>
        <rFont val="Calibri"/>
        <family val="2"/>
        <scheme val="minor"/>
      </rPr>
      <t>Mild grey</t>
    </r>
    <r>
      <rPr>
        <sz val="11"/>
        <color rgb="FF0070C0"/>
        <rFont val="Calibri"/>
        <family val="2"/>
        <scheme val="minor"/>
      </rPr>
      <t xml:space="preserve"> indicates the period during which the SPB adjusts  according to the path set in sheet "</t>
    </r>
    <r>
      <rPr>
        <b/>
        <sz val="11"/>
        <color rgb="FF0070C0"/>
        <rFont val="Calibri"/>
        <family val="2"/>
        <scheme val="minor"/>
      </rPr>
      <t>Criteria results</t>
    </r>
    <r>
      <rPr>
        <sz val="11"/>
        <color rgb="FF0070C0"/>
        <rFont val="Calibri"/>
        <family val="2"/>
        <scheme val="minor"/>
      </rPr>
      <t>"</t>
    </r>
  </si>
  <si>
    <t>IIR difference STATA - Excel</t>
  </si>
  <si>
    <t>(i - g)</t>
  </si>
  <si>
    <t>Debt increasing? (For criterion 1)</t>
  </si>
  <si>
    <t>Gross debt ratio in the Adjust. no safeguard</t>
  </si>
  <si>
    <t>p50 - Adjust. no safeguard</t>
  </si>
  <si>
    <t xml:space="preserve">· Adjustment scenario without safeguard and benchmark </t>
  </si>
  <si>
    <t>Annual change in SPB</t>
  </si>
  <si>
    <t>Debt declines by 1pp (0.5pp) of GDP on average as long as debt exceeds 90% (60%) of GDP</t>
  </si>
  <si>
    <t>Average change in debt</t>
  </si>
  <si>
    <t>Debt sustainability safeguard *</t>
  </si>
  <si>
    <t>Deficit benchmark **</t>
  </si>
  <si>
    <t>Each scenario is computed automatically based on the yearly adjustment path set in "Criteria results" (see above).</t>
  </si>
  <si>
    <t xml:space="preserve">The next spreadsheets present the deterministic and stochastic projections. Each deterministic projection provides a single path for debt until 2038 or 2041 under certain assumptions for budgetary, macroeconomic and financial variables, while the outcome of the stochastic projections is a distribution of debt paths resulting from a wide set of shocks. 
The sheets are grouped in four blocs, identified by their colour coding:
</t>
  </si>
  <si>
    <t>Within the orange sheet and each green sheet, the background of the SPB line has three colours. Each colour corresponds to a specific period of the projections:</t>
  </si>
  <si>
    <r>
      <t xml:space="preserve">The sheet in dark green presents the </t>
    </r>
    <r>
      <rPr>
        <u/>
        <sz val="11"/>
        <color rgb="FF0070C0"/>
        <rFont val="Calibri"/>
        <family val="2"/>
        <scheme val="minor"/>
      </rPr>
      <t>stochastic projections</t>
    </r>
    <r>
      <rPr>
        <sz val="11"/>
        <color rgb="FF0070C0"/>
        <rFont val="Calibri"/>
        <family val="2"/>
        <scheme val="minor"/>
      </rPr>
      <t xml:space="preserve"> surrounding the adjustment scenario without safeguard and benchmark .</t>
    </r>
  </si>
  <si>
    <t xml:space="preserve">Adjustment in a plan without extension </t>
  </si>
  <si>
    <t xml:space="preserve">Adjustment in a plan with extension </t>
  </si>
  <si>
    <t xml:space="preserve">    </t>
  </si>
  <si>
    <t>* The average change in debt is computed from the year before the start of the reference trajectory or the year in which the excessive deficit procedure is projected to be abrogated, whichever occurs last, until the end of the adjustment period. 
** The deficit benchmark is applied in terms of change in SPB during the transitory period of 2025-2027 and in terms of change in SB thereafter.</t>
  </si>
  <si>
    <t>country</t>
  </si>
  <si>
    <t>year</t>
  </si>
  <si>
    <t>spb_gdp_DSM</t>
  </si>
  <si>
    <t>exchrate_ameco</t>
  </si>
  <si>
    <t>cyclcomp_gdp_DSM</t>
  </si>
  <si>
    <t>rGDPgr_DSM</t>
  </si>
  <si>
    <t>infl_DSM</t>
  </si>
  <si>
    <t>oneOffMeasures_DSM</t>
  </si>
  <si>
    <t>Stockflowadjustments_DSM</t>
  </si>
  <si>
    <t>AgeingCost_DSM</t>
  </si>
  <si>
    <t>gdebt_gdp_DSM</t>
  </si>
  <si>
    <t>nIIR_DSM</t>
  </si>
  <si>
    <t>Debt decreasing? (For criterion 1)</t>
  </si>
  <si>
    <t>Table 7a: Debt and headline balance projections and key underlying assumptions (under the planned fiscal path)</t>
  </si>
  <si>
    <t>Gross debt</t>
  </si>
  <si>
    <t>(% GDP)</t>
  </si>
  <si>
    <t>General government balance</t>
  </si>
  <si>
    <t>(% pot. GDP)</t>
  </si>
  <si>
    <t>Cyclical component</t>
  </si>
  <si>
    <t>One-off measures</t>
  </si>
  <si>
    <t>Interest expenditure</t>
  </si>
  <si>
    <t>(%)</t>
  </si>
  <si>
    <t>Implicit average interest rate</t>
  </si>
  <si>
    <t>Stock-flow adjustment</t>
  </si>
  <si>
    <t>(growth rate)</t>
  </si>
  <si>
    <t>Real GDP</t>
  </si>
  <si>
    <t>GDP deflator</t>
  </si>
  <si>
    <t>Nominal GDP</t>
  </si>
  <si>
    <t>Table 7b: Debt projections and key stressed variables, deterministic scenarios and stochastic simulations</t>
  </si>
  <si>
    <t>Adverse 'r-g' scenario</t>
  </si>
  <si>
    <t>Stochastic simulations</t>
  </si>
  <si>
    <t>Probability of debt being below its value in T+4/7</t>
  </si>
  <si>
    <t>Table 7c: Debt and headline balance projections and underlying assumptions (under 'no-fiscal-policy-change' baseline)</t>
  </si>
  <si>
    <t>Table 7d: Debt projections and additional assumptions (under the planned fiscal path)</t>
  </si>
  <si>
    <t>line</t>
  </si>
  <si>
    <t>approximation</t>
  </si>
  <si>
    <r>
      <t xml:space="preserve">Cells in </t>
    </r>
    <r>
      <rPr>
        <i/>
        <sz val="11"/>
        <color rgb="FF0070C0"/>
        <rFont val="Calibri"/>
        <family val="2"/>
        <scheme val="minor"/>
      </rPr>
      <t>light blue</t>
    </r>
    <r>
      <rPr>
        <sz val="11"/>
        <color rgb="FF0070C0"/>
        <rFont val="Calibri"/>
        <family val="2"/>
        <scheme val="minor"/>
      </rPr>
      <t xml:space="preserve"> indicate values from the Ageing Report 2024</t>
    </r>
  </si>
  <si>
    <t xml:space="preserve">Share of primary expenditure in GDP in 2024 </t>
  </si>
  <si>
    <t>Long-term nominal interest rate (T+10 convergence value)</t>
  </si>
  <si>
    <t>Short-term nominal interest rate (T+10 convergence value)</t>
  </si>
  <si>
    <t>Long-term nominal interest rate (T+30 convergence value)</t>
  </si>
  <si>
    <t>Short-term nominal interest rate (T+30 convergence value)</t>
  </si>
  <si>
    <t>Share of long-term debt that matures every year (T+10 convergence value)</t>
  </si>
  <si>
    <t>GDP deflator (national currency) (T+10 convergence value)</t>
  </si>
  <si>
    <t>GDP deflator (national currency) (T+30 convergence value)</t>
  </si>
  <si>
    <t>Budget balance semi-elasticity</t>
  </si>
  <si>
    <t>Structural balance ensuring safety margin (for deficit resilience safeguard)</t>
  </si>
  <si>
    <t>Change in interest payments (for deficit benchmark in SB terms from 2028 onwards)</t>
  </si>
  <si>
    <t>Debt above 90% (for debt sustainability safeguard)</t>
  </si>
  <si>
    <t>Debt between 60% and 90% (for debt sustainability safeguard)</t>
  </si>
  <si>
    <t>Debt above 60% (for debt sustainability safeguard)</t>
  </si>
  <si>
    <t>Deficit exceeding 3% / under EDP (for deficit benchmark and debt sustainability safeguard)</t>
  </si>
  <si>
    <t>Table 6 - Reference trajectory</t>
  </si>
  <si>
    <t xml:space="preserve">Table 5 "DSA-based adjustment" summarises the key characteristics of the adjustment path that complies with the DSA-based criteria before applying the safeguards and benchmark, for a plan both with and without extension. </t>
  </si>
  <si>
    <t xml:space="preserve">Table 4 "Main fiscal variables" reports the annual adjustment over the adjustment period, in terms of change in SPB (line 19) and net primary expenditure growth (line 20). The table also reports the headline balance, the structural balance and  debt (lines 21 to 23). The average annual adjustment is reported in cells G24 (average change in SPB over the 4-year plan period), G25 (average change in SPB over the 4-year or 7-year adjustment period), G26 (average net primary expenditure growth over the plan period) and G27 (average net primary expenditure growth over the adjustment period). </t>
  </si>
  <si>
    <r>
      <t>The grey sheet "</t>
    </r>
    <r>
      <rPr>
        <b/>
        <sz val="11"/>
        <color rgb="FF0070C0"/>
        <rFont val="Calibri"/>
        <family val="2"/>
        <scheme val="minor"/>
      </rPr>
      <t>Criteria results</t>
    </r>
    <r>
      <rPr>
        <sz val="11"/>
        <color rgb="FF0070C0"/>
        <rFont val="Calibri"/>
        <family val="2"/>
        <scheme val="minor"/>
      </rPr>
      <t>" contains three types of cells identified by different colours:</t>
    </r>
  </si>
  <si>
    <r>
      <t>The sheet "</t>
    </r>
    <r>
      <rPr>
        <b/>
        <sz val="11"/>
        <color rgb="FF0070C0"/>
        <rFont val="Calibri"/>
        <family val="2"/>
        <scheme val="minor"/>
      </rPr>
      <t>Criteria results</t>
    </r>
    <r>
      <rPr>
        <sz val="11"/>
        <color rgb="FF0070C0"/>
        <rFont val="Calibri"/>
        <family val="2"/>
        <scheme val="minor"/>
      </rPr>
      <t>" contains six tables:
Table 1 "Adjustment input data": the user can set the duration of the plan (4 years under no extension or 7 years under extension) and the yearly adjustment pace in cells F5 and F6 in yellow. Note that the country cell (F4) cannot be changed.</t>
    </r>
  </si>
  <si>
    <r>
      <t xml:space="preserve">Cells in </t>
    </r>
    <r>
      <rPr>
        <i/>
        <sz val="11"/>
        <color rgb="FF0070C0"/>
        <rFont val="Calibri"/>
        <family val="2"/>
        <scheme val="minor"/>
      </rPr>
      <t>light grey</t>
    </r>
    <r>
      <rPr>
        <sz val="11"/>
        <color rgb="FF0070C0"/>
        <rFont val="Calibri"/>
        <family val="2"/>
        <scheme val="minor"/>
      </rPr>
      <t xml:space="preserve"> indicate a Commission forecast (available in the AMECO database)</t>
    </r>
  </si>
  <si>
    <t>Cost of ageing and selected public revenue (based on the Commission-Council 2024 Ageing Report ("AR 2024"))</t>
  </si>
  <si>
    <t>Non-coloured parameters in cells C49:C70 were calibrated based on different data sources. The data sources are indicated in the corresponding cells of column E.
The last part of the sheet "Input data" (cells C73:G77) provides the parameters measuring the size of the cone of the fanchart that results from the stochastic analysis. For reproducibility reasons, these parameters are kept constant.</t>
  </si>
  <si>
    <t xml:space="preserve">The sheet in orange presents the scenario that automatically corrects the yearly adjustment path to account for the deficit benchmark and the deficit resillience safeguard. By contrast, the yearly adjustment profile is not automatically adjusted to ensure that the debt sustainability safeguard is met. However, the sheet "Criteria results" indicates whether that safeguard is met. </t>
  </si>
  <si>
    <r>
      <t xml:space="preserve">The sheets in green present the </t>
    </r>
    <r>
      <rPr>
        <u/>
        <sz val="11"/>
        <color rgb="FF0070C0"/>
        <rFont val="Calibri"/>
        <family val="2"/>
        <scheme val="minor"/>
      </rPr>
      <t>deterministic projections</t>
    </r>
    <r>
      <rPr>
        <sz val="11"/>
        <color rgb="FF0070C0"/>
        <rFont val="Calibri"/>
        <family val="2"/>
        <scheme val="minor"/>
      </rPr>
      <t xml:space="preserve"> that are used to compute the DSA-based requirements (in the sheet "Criteria results"). They include four scenarios:
</t>
    </r>
  </si>
  <si>
    <r>
      <rPr>
        <b/>
        <sz val="11"/>
        <color rgb="FF0070C0"/>
        <rFont val="Calibri"/>
        <family val="2"/>
        <scheme val="minor"/>
      </rPr>
      <t>Debt projections</t>
    </r>
    <r>
      <rPr>
        <sz val="11"/>
        <color rgb="FF0070C0"/>
        <rFont val="Calibri"/>
        <family val="2"/>
        <scheme val="minor"/>
      </rPr>
      <t xml:space="preserve"> can be found in line 56 or 57 of each scenario. The corresponding </t>
    </r>
    <r>
      <rPr>
        <b/>
        <sz val="11"/>
        <color rgb="FF0070C0"/>
        <rFont val="Calibri"/>
        <family val="2"/>
        <scheme val="minor"/>
      </rPr>
      <t>net expenditure growth</t>
    </r>
    <r>
      <rPr>
        <sz val="11"/>
        <color rgb="FF0070C0"/>
        <rFont val="Calibri"/>
        <family val="2"/>
        <scheme val="minor"/>
      </rPr>
      <t xml:space="preserve"> is located in line 79 or 80 in the baseline and adjustment scenario (and Adj. no safeguard) sheets. The average net expenditure growth over the adjustment period is computed in cell D81 of the sheet "Adjustment scenario". As a reminder, these numbers are also available in Table 4 in "Criteria results".</t>
    </r>
  </si>
  <si>
    <r>
      <t>This file contains a simplified version of the EC model used to calculate the general governement debt ratio dynamics for EU countries under different scenarios. A detailed description of the EC's general govern</t>
    </r>
    <r>
      <rPr>
        <strike/>
        <sz val="11"/>
        <color rgb="FF0070C0"/>
        <rFont val="Calibri"/>
        <family val="2"/>
        <scheme val="minor"/>
      </rPr>
      <t>e</t>
    </r>
    <r>
      <rPr>
        <sz val="11"/>
        <color rgb="FF0070C0"/>
        <rFont val="Calibri"/>
        <family val="2"/>
        <scheme val="minor"/>
      </rPr>
      <t>ment debt projections can be found</t>
    </r>
    <r>
      <rPr>
        <b/>
        <sz val="11"/>
        <color rgb="FF0070C0"/>
        <rFont val="Calibri"/>
        <family val="2"/>
        <scheme val="minor"/>
      </rPr>
      <t xml:space="preserve"> </t>
    </r>
    <r>
      <rPr>
        <sz val="11"/>
        <color rgb="FF0070C0"/>
        <rFont val="Calibri"/>
        <family val="2"/>
        <scheme val="minor"/>
      </rPr>
      <t xml:space="preserve">in the </t>
    </r>
    <r>
      <rPr>
        <b/>
        <sz val="11"/>
        <color rgb="FF0070C0"/>
        <rFont val="Calibri"/>
        <family val="2"/>
        <scheme val="minor"/>
      </rPr>
      <t>"</t>
    </r>
    <r>
      <rPr>
        <b/>
        <u/>
        <sz val="11"/>
        <color rgb="FF0070C0"/>
        <rFont val="Calibri"/>
        <family val="2"/>
        <scheme val="minor"/>
      </rPr>
      <t>Debt Sustainability Monitor 2023" (DSM, March 2024)</t>
    </r>
    <r>
      <rPr>
        <b/>
        <sz val="11"/>
        <color rgb="FF0070C0"/>
        <rFont val="Calibri"/>
        <family val="2"/>
        <scheme val="minor"/>
      </rPr>
      <t xml:space="preserve">. </t>
    </r>
  </si>
  <si>
    <t>Table 6 "Reference trajectory" reports the net expenditure growth and the corresponding annual change in SPB that are consistent with all requirements including the safeguards and benchmark, both without and with extension.</t>
  </si>
  <si>
    <t xml:space="preserve">Table 2 "DSA-based criteria" reports whether the chosen adjustment fulfils each of the DSA-based criteria. </t>
  </si>
  <si>
    <t>Table 3 "Safeguards and benchmark" reports whether (i) the chosen adjustment ensures that the debt sustainability safeguard is met, (ii) the 'deficit benchmark', i.e. the minimum adjustment of 0.5 pp. of GDP as a benchmark when the country is in EDP and/or the deficit exceeds 3% of GDP, is binding, and (iii) the deficit resilience safeguard is binding.</t>
  </si>
  <si>
    <t>To the right of Table 1, a message automatically signals whether the chosen adjustment is sufficient to fulfill all the requirements, summarising the results from Tables 2 and 3.</t>
  </si>
  <si>
    <t>Number of years of adjustment</t>
  </si>
  <si>
    <t>Probability that debt decreases</t>
  </si>
  <si>
    <r>
      <t xml:space="preserve">Cells with a </t>
    </r>
    <r>
      <rPr>
        <i/>
        <sz val="11"/>
        <color rgb="FF0070C0"/>
        <rFont val="Calibri"/>
        <family val="2"/>
        <scheme val="minor"/>
      </rPr>
      <t>yellow background and a red frame</t>
    </r>
    <r>
      <rPr>
        <sz val="11"/>
        <color rgb="FF0070C0"/>
        <rFont val="Calibri"/>
        <family val="2"/>
        <scheme val="minor"/>
      </rPr>
      <t xml:space="preserve"> can be modified to see the impact of a different duration or pace of adjustment.</t>
    </r>
  </si>
  <si>
    <r>
      <t xml:space="preserve">Cells with a </t>
    </r>
    <r>
      <rPr>
        <i/>
        <sz val="11"/>
        <color rgb="FF0070C0"/>
        <rFont val="Calibri"/>
        <family val="2"/>
        <scheme val="minor"/>
      </rPr>
      <t xml:space="preserve">white or grey background </t>
    </r>
    <r>
      <rPr>
        <sz val="11"/>
        <color rgb="FF0070C0"/>
        <rFont val="Calibri"/>
        <family val="2"/>
        <scheme val="minor"/>
      </rPr>
      <t>provide results obtained with the adjustment chosen in the yellow cells. To replicate the Commission's calculations, the underlying formulas should not be modified.</t>
    </r>
  </si>
  <si>
    <r>
      <t xml:space="preserve">Cells with a </t>
    </r>
    <r>
      <rPr>
        <i/>
        <sz val="11"/>
        <color rgb="FF0070C0"/>
        <rFont val="Calibri"/>
        <family val="2"/>
        <scheme val="minor"/>
      </rPr>
      <t>pale blue background</t>
    </r>
    <r>
      <rPr>
        <sz val="11"/>
        <color rgb="FF0070C0"/>
        <rFont val="Calibri"/>
        <family val="2"/>
        <scheme val="minor"/>
      </rPr>
      <t xml:space="preserve"> correspond to the Commission's prior guidance provided to the Member State. Those are hard numbers that do not depend on the adjustment chosen in the file.</t>
    </r>
  </si>
  <si>
    <t>Subject to an excessive deficit procedure (EDP) (0-no/1-yes)</t>
  </si>
  <si>
    <r>
      <t>This tool can be used to calculate debt projections under different macroeconomic and structural primary balance adjustment assumptions. Debt projections for each scenario will update automatically with changes in the macroeconomic assumptions or the adjustment parameters. The fulfilment of DSA-based criteria, the safeguards and the benchmark will be automatically calculated in the sheet "</t>
    </r>
    <r>
      <rPr>
        <b/>
        <sz val="11"/>
        <color rgb="FF0070C0"/>
        <rFont val="Calibri"/>
        <family val="2"/>
        <scheme val="minor"/>
      </rPr>
      <t>Criteria results</t>
    </r>
    <r>
      <rPr>
        <sz val="11"/>
        <color rgb="FF0070C0"/>
        <rFont val="Calibri"/>
        <family val="2"/>
        <scheme val="minor"/>
      </rPr>
      <t>".
Formulas are fully visible. To assess the impact of alternative adjustment paths compared with the reference trajectory calculated by the EC or to check its robustness to underlying macroeconomic assumptions, the user can modify the content of key cells in the sheets "</t>
    </r>
    <r>
      <rPr>
        <b/>
        <sz val="11"/>
        <color rgb="FF0070C0"/>
        <rFont val="Calibri"/>
        <family val="2"/>
        <scheme val="minor"/>
      </rPr>
      <t>Criteria results</t>
    </r>
    <r>
      <rPr>
        <sz val="11"/>
        <color rgb="FF0070C0"/>
        <rFont val="Calibri"/>
        <family val="2"/>
        <scheme val="minor"/>
      </rPr>
      <t>" and "</t>
    </r>
    <r>
      <rPr>
        <b/>
        <sz val="11"/>
        <color rgb="FF0070C0"/>
        <rFont val="Calibri"/>
        <family val="2"/>
        <scheme val="minor"/>
      </rPr>
      <t>Input data</t>
    </r>
    <r>
      <rPr>
        <sz val="11"/>
        <color rgb="FF0070C0"/>
        <rFont val="Calibri"/>
        <family val="2"/>
        <scheme val="minor"/>
      </rPr>
      <t>" (see below).
Note that, for a proper functioning of the file, you should make sure that Excel is in "Automatic" computation mode, i.e. in the File menu, Option tab, click on "Formulas", "Calculation Options" and "Automatic".</t>
    </r>
  </si>
  <si>
    <t>The 'FASTOP reporting' sheet in violet provides help for preparing reporting tables. It readily provides all the tables envisaged in the guidance notice on the "Information Requirements for the Medium-Term Fiscal-Structural Plans" once the parameters are set in the rest of this file.
Note that the probability of a declining debt ratio in table 7c derived from the stochastic simulations is only an approximation since the stochastic analysis is not an integral part of this Excel file. For a precise figure, the simulations need to be run.
This sheet is therefore only meant to provide assistance. The figures still need to be thoroughly scrutinised before submitting the tables.</t>
  </si>
  <si>
    <t>* The stochastic simulations are provided mainly for information, as the Excel worksheet only allows for an approximation of what is done in the Commission's Stata model. Indeed, in this Excel worksheet, the size of the cone of the fanchart is assumed to be constant over different adjustment paths. In ther Stata model, it is a non linear function of the level of debt, as shocks (in particular interest rate shocks) have different impacts according to the level of debt ratio. 
** In case a smaller adjustment than the one implied by criterion 1 and criterion 2 is sufficient to ensure that debt is brought (and/or remains) below 60% of GDP under the adjustment scenario and all deterministic stress tests while ensuring that the criterion 3 is met, then that smaller, 'eased-up' adjustment is chosen.</t>
  </si>
  <si>
    <t xml:space="preserve">In case of a plan with no extension, both the plan period and the adjustment period last 4 years. 
In case of a plan with extension, the plan period remains 4 years while the adjustment period lasts 7 years. Morever, in case of extension, if neither the deficit benchmark nor the deficit resilience safeguard are binding, the values in G24 and G25 (and G26 and G27) are the same. However, if the benchmark or the safeguard is binding, the values in those cells can be different. </t>
  </si>
  <si>
    <t>The sheet in blue provides, as a reference, the baseline no-fiscal-policy-change scenario. The background colour coding is the same as in the sheet "Input data".</t>
  </si>
  <si>
    <r>
      <t>Cells in</t>
    </r>
    <r>
      <rPr>
        <i/>
        <sz val="11"/>
        <color rgb="FF0070C0"/>
        <rFont val="Calibri"/>
        <family val="2"/>
        <scheme val="minor"/>
      </rPr>
      <t xml:space="preserve"> light red</t>
    </r>
    <r>
      <rPr>
        <sz val="11"/>
        <color rgb="FF0070C0"/>
        <rFont val="Calibri"/>
        <family val="2"/>
        <scheme val="minor"/>
      </rPr>
      <t xml:space="preserve"> indicate whether the country is subject to an ongoing excessive deficit procedure (EDP) or whether the Commission's November 2024 report under Art. 126(3) of the Treaty recommends opening an EDP. If neither of these conditions are met, the deficit benchmark is not relevant and therefore not applied.</t>
    </r>
  </si>
  <si>
    <t>Level (EUR bn)</t>
  </si>
  <si>
    <t>SF25</t>
  </si>
  <si>
    <t>Share of outstanding debt in total debt in 2024</t>
  </si>
  <si>
    <t>Share of rolled-over long-term debt in 2024</t>
  </si>
  <si>
    <t>Share of rolled-over short-term debt in 2024</t>
  </si>
  <si>
    <t>Share of new long-term debt in 2024</t>
  </si>
  <si>
    <t>Share of new short-term debt in 2024</t>
  </si>
  <si>
    <t>Key fiscal variables (based on the Commission 2025 spring forecast ("SF 2025")</t>
  </si>
  <si>
    <t>Real GDP growth assumptions (based on SF 2025 T+10 projections and AR 2024 projections)</t>
  </si>
  <si>
    <t>Interest rates (SF 2025, %)</t>
  </si>
  <si>
    <t>Inflation (SF 2025, %)</t>
  </si>
  <si>
    <t>Net primary expenditure growth (SF 2025, %)</t>
  </si>
  <si>
    <t xml:space="preserve">* The adjustment in this table does not account for the minimum adjustment of 0.5 pp. of GDP as a benchmark nor for the debt sustainability and deficit resillience safeguards. </t>
  </si>
  <si>
    <t>Table 5 - DSA-based adjustment *</t>
  </si>
  <si>
    <r>
      <t xml:space="preserve">Data reported in this file are based on the </t>
    </r>
    <r>
      <rPr>
        <i/>
        <sz val="11"/>
        <color rgb="FF0070C0"/>
        <rFont val="Calibri"/>
        <family val="2"/>
        <scheme val="minor"/>
      </rPr>
      <t>European Commission (EC) 2025 spring forecast (SF 2025)</t>
    </r>
    <r>
      <rPr>
        <sz val="11"/>
        <color rgb="FF0070C0"/>
        <rFont val="Calibri"/>
        <family val="2"/>
        <scheme val="minor"/>
      </rPr>
      <t xml:space="preserve"> and macroeconomic and budgetary projections from the joint </t>
    </r>
    <r>
      <rPr>
        <i/>
        <sz val="11"/>
        <color rgb="FF0070C0"/>
        <rFont val="Calibri"/>
        <family val="2"/>
        <scheme val="minor"/>
      </rPr>
      <t>EC-EPC Ageing Report 2024 (AR 2024)</t>
    </r>
    <r>
      <rPr>
        <sz val="11"/>
        <color rgb="FF0070C0"/>
        <rFont val="Calibri"/>
        <family val="2"/>
        <scheme val="minor"/>
      </rPr>
      <t>.</t>
    </r>
  </si>
  <si>
    <t>Average (2025-2028)</t>
  </si>
  <si>
    <t>No extension (annual adjustment of 0.54)</t>
  </si>
  <si>
    <t>Extension (annual adjustment of 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</si>
</sst>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0"/>
    <numFmt numFmtId="165" formatCode="0.0"/>
    <numFmt numFmtId="166" formatCode="0.000"/>
    <numFmt numFmtId="167" formatCode="0.00000"/>
    <numFmt numFmtId="168" formatCode="0.000000"/>
    <numFmt numFmtId="169" formatCode="0.0000000"/>
    <numFmt numFmtId="170" formatCode="0.00000000"/>
  </numFmts>
  <fonts count="52" x14ac:knownFonts="1">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color theme="1"/>
      <name val="Arial"/>
      <family val="2"/>
    </font>
    <font>
      <i/>
      <sz val="8"/>
      <color theme="1"/>
      <name val="Arial"/>
      <family val="2"/>
    </font>
    <font>
      <b/>
      <sz val="8"/>
      <color theme="1"/>
      <name val="Arial"/>
      <family val="2"/>
    </font>
    <font>
      <b/>
      <sz val="8"/>
      <name val="Arial"/>
      <family val="2"/>
    </font>
    <font>
      <i/>
      <sz val="8"/>
      <name val="Arial"/>
      <family val="2"/>
    </font>
    <font>
      <b/>
      <i/>
      <sz val="8"/>
      <name val="Arial"/>
      <family val="2"/>
    </font>
    <font>
      <sz val="8"/>
      <name val="Arial"/>
      <family val="2"/>
    </font>
    <font>
      <b/>
      <sz val="8"/>
      <color rgb="FF002060"/>
      <name val="Arial"/>
      <family val="2"/>
    </font>
    <font>
      <b/>
      <sz val="10"/>
      <color theme="1"/>
      <name val="Arial"/>
      <family val="2"/>
    </font>
    <font>
      <u/>
      <sz val="11"/>
      <color theme="10"/>
      <name val="Calibri"/>
      <family val="2"/>
      <scheme val="minor"/>
    </font>
    <font>
      <strike/>
      <sz val="11"/>
      <color theme="4"/>
      <name val="Calibri"/>
      <family val="2"/>
      <scheme val="minor"/>
    </font>
    <font>
      <b/>
      <sz val="9"/>
      <color theme="1"/>
      <name val="Arial"/>
      <family val="2"/>
    </font>
    <font>
      <sz val="10"/>
      <color rgb="FF000000"/>
      <name val="Arial"/>
      <family val="2"/>
    </font>
    <font>
      <b/>
      <sz val="10"/>
      <color theme="0"/>
      <name val="Arial"/>
      <family val="2"/>
    </font>
    <font>
      <b/>
      <sz val="8"/>
      <color rgb="FF0070C0"/>
      <name val="Arial"/>
      <family val="2"/>
    </font>
    <font>
      <sz val="8"/>
      <color theme="0"/>
      <name val="Arial"/>
      <family val="2"/>
    </font>
    <font>
      <sz val="10"/>
      <color theme="0"/>
      <name val="Arial"/>
      <family val="2"/>
    </font>
    <font>
      <b/>
      <sz val="8"/>
      <color theme="0"/>
      <name val="Arial"/>
      <family val="2"/>
    </font>
    <font>
      <i/>
      <sz val="10"/>
      <color theme="1"/>
      <name val="Arial"/>
      <family val="2"/>
    </font>
    <font>
      <sz val="8"/>
      <color rgb="FF002060"/>
      <name val="Arial"/>
      <family val="2"/>
    </font>
    <font>
      <b/>
      <i/>
      <sz val="10"/>
      <color theme="0"/>
      <name val="Arial"/>
      <family val="2"/>
    </font>
    <font>
      <b/>
      <sz val="10"/>
      <color rgb="FF002060"/>
      <name val="Arial"/>
      <family val="2"/>
    </font>
    <font>
      <b/>
      <i/>
      <sz val="10"/>
      <color rgb="FF002060"/>
      <name val="Arial"/>
      <family val="2"/>
    </font>
    <font>
      <b/>
      <sz val="11"/>
      <color theme="0"/>
      <name val="Calibri"/>
      <family val="2"/>
      <scheme val="minor"/>
    </font>
    <font>
      <sz val="11"/>
      <color rgb="FF0070C0"/>
      <name val="Calibri"/>
      <family val="2"/>
      <scheme val="minor"/>
    </font>
    <font>
      <b/>
      <sz val="11"/>
      <color rgb="FF0070C0"/>
      <name val="Calibri"/>
      <family val="2"/>
      <scheme val="minor"/>
    </font>
    <font>
      <u/>
      <sz val="11"/>
      <color rgb="FF0070C0"/>
      <name val="Calibri"/>
      <family val="2"/>
      <scheme val="minor"/>
    </font>
    <font>
      <i/>
      <sz val="11"/>
      <color rgb="FF0070C0"/>
      <name val="Calibri"/>
      <family val="2"/>
      <scheme val="minor"/>
    </font>
    <font>
      <strike/>
      <sz val="11"/>
      <color rgb="FF0070C0"/>
      <name val="Calibri"/>
      <family val="2"/>
      <scheme val="minor"/>
    </font>
    <font>
      <b/>
      <u/>
      <sz val="11"/>
      <color rgb="FF0070C0"/>
      <name val="Calibri"/>
      <family val="2"/>
      <scheme val="minor"/>
    </font>
    <font>
      <sz val="8"/>
      <color rgb="FF0070C0"/>
      <name val="Arial"/>
      <family val="2"/>
    </font>
    <font>
      <sz val="11"/>
      <name val="Calibri"/>
      <family val="2"/>
      <scheme val="minor"/>
    </font>
    <font>
      <sz val="11"/>
      <color rgb="FF000000"/>
      <name val="Calibri"/>
      <family val="2"/>
    </font>
    <font>
      <b/>
      <sz val="10"/>
      <color rgb="FFFF0000"/>
      <name val="Arial"/>
      <family val="2"/>
    </font>
    <font>
      <sz val="10"/>
      <name val="Arial"/>
      <family val="2"/>
    </font>
    <font>
      <b/>
      <sz val="10"/>
      <name val="Arial"/>
      <family val="2"/>
    </font>
    <font>
      <i/>
      <sz val="8"/>
      <color theme="0" tint="-0.34998626667073579"/>
      <name val="Arial"/>
      <family val="2"/>
    </font>
    <font>
      <sz val="11"/>
      <color rgb="FFFF0000"/>
      <name val="Calibri"/>
      <family val="2"/>
      <scheme val="minor"/>
    </font>
    <font>
      <i/>
      <sz val="8"/>
      <color theme="0" tint="-0.499984740745262"/>
      <name val="Arial"/>
      <family val="2"/>
    </font>
    <font>
      <b/>
      <sz val="10"/>
      <color rgb="FFFFFFFF"/>
      <name val="Arial"/>
      <family val="2"/>
    </font>
    <font>
      <b/>
      <sz val="10"/>
      <color theme="4" tint="-0.249977111117893"/>
      <name val="Arial"/>
      <family val="2"/>
    </font>
    <font>
      <sz val="11"/>
      <name val="Calibri"/>
      <family val="2"/>
    </font>
    <font>
      <b/>
      <sz val="12"/>
      <color rgb="FFFF0000"/>
      <name val="Arial"/>
      <family val="2"/>
    </font>
  </fonts>
  <fills count="23">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0" tint="-0.249977111117893"/>
        <bgColor indexed="64"/>
      </patternFill>
    </fill>
    <fill>
      <patternFill patternType="solid">
        <fgColor rgb="FF92D050"/>
        <bgColor indexed="64"/>
      </patternFill>
    </fill>
    <fill>
      <patternFill patternType="solid">
        <fgColor rgb="FF92CDDC"/>
        <bgColor indexed="64"/>
      </patternFill>
    </fill>
    <fill>
      <patternFill patternType="solid">
        <fgColor rgb="FF0070C0"/>
        <bgColor indexed="64"/>
      </patternFill>
    </fill>
    <fill>
      <patternFill patternType="solid">
        <fgColor theme="9"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0"/>
        <bgColor rgb="FF000000"/>
      </patternFill>
    </fill>
    <fill>
      <patternFill patternType="solid">
        <fgColor theme="9"/>
        <bgColor indexed="64"/>
      </patternFill>
    </fill>
    <fill>
      <patternFill patternType="solid">
        <fgColor rgb="FF00B050"/>
        <bgColor indexed="64"/>
      </patternFill>
    </fill>
    <fill>
      <patternFill patternType="solid">
        <fgColor theme="4" tint="-0.249977111117893"/>
        <bgColor indexed="64"/>
      </patternFill>
    </fill>
    <fill>
      <patternFill patternType="solid">
        <fgColor theme="3" tint="0.79998168889431442"/>
        <bgColor indexed="64"/>
      </patternFill>
    </fill>
    <fill>
      <patternFill patternType="solid">
        <fgColor rgb="FF7030A0"/>
        <bgColor indexed="64"/>
      </patternFill>
    </fill>
    <fill>
      <patternFill patternType="solid">
        <fgColor theme="5" tint="0.79998168889431442"/>
        <bgColor indexed="64"/>
      </patternFill>
    </fill>
    <fill>
      <patternFill patternType="solid">
        <fgColor rgb="FFFFFFFF"/>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ck">
        <color rgb="FFFF0000"/>
      </left>
      <right style="thick">
        <color rgb="FFFF0000"/>
      </right>
      <top style="thick">
        <color rgb="FFFF0000"/>
      </top>
      <bottom/>
      <diagonal/>
    </border>
    <border>
      <left style="thick">
        <color rgb="FFFF0000"/>
      </left>
      <right style="thick">
        <color rgb="FFFF0000"/>
      </right>
      <top/>
      <bottom style="thick">
        <color rgb="FFFF0000"/>
      </bottom>
      <diagonal/>
    </border>
    <border>
      <left style="medium">
        <color indexed="64"/>
      </left>
      <right style="medium">
        <color indexed="64"/>
      </right>
      <top style="medium">
        <color indexed="64"/>
      </top>
      <bottom style="medium">
        <color indexed="64"/>
      </bottom>
      <diagonal/>
    </border>
    <border>
      <left/>
      <right style="thick">
        <color rgb="FFFF0000"/>
      </right>
      <top/>
      <bottom style="thin">
        <color indexed="64"/>
      </bottom>
      <diagonal/>
    </border>
    <border>
      <left style="thick">
        <color rgb="FFFF0000"/>
      </left>
      <right style="thick">
        <color rgb="FFFF0000"/>
      </right>
      <top style="thick">
        <color rgb="FFFF0000"/>
      </top>
      <bottom style="thick">
        <color rgb="FFFF0000"/>
      </bottom>
      <diagonal/>
    </border>
    <border>
      <left style="medium">
        <color indexed="64"/>
      </left>
      <right/>
      <top/>
      <bottom/>
      <diagonal/>
    </border>
    <border>
      <left style="thick">
        <color rgb="FFFF0000"/>
      </left>
      <right/>
      <top/>
      <bottom/>
      <diagonal/>
    </border>
  </borders>
  <cellStyleXfs count="14">
    <xf numFmtId="0" fontId="0" fillId="0" borderId="0"/>
    <xf numFmtId="0" fontId="8" fillId="0" borderId="0"/>
    <xf numFmtId="0" fontId="8" fillId="0" borderId="0"/>
    <xf numFmtId="0" fontId="7" fillId="0" borderId="0"/>
    <xf numFmtId="0" fontId="18" fillId="0" borderId="0" applyNumberFormat="0" applyFill="0" applyBorder="0" applyAlignment="0" applyProtection="0"/>
    <xf numFmtId="0" fontId="6" fillId="0" borderId="0"/>
    <xf numFmtId="0" fontId="5" fillId="0" borderId="0"/>
    <xf numFmtId="0" fontId="4" fillId="0" borderId="0"/>
    <xf numFmtId="0" fontId="4" fillId="0" borderId="0"/>
    <xf numFmtId="0" fontId="4" fillId="0" borderId="0"/>
    <xf numFmtId="0" fontId="4" fillId="0" borderId="0"/>
    <xf numFmtId="0" fontId="4" fillId="0" borderId="0"/>
    <xf numFmtId="0" fontId="2" fillId="0" borderId="0"/>
    <xf numFmtId="0" fontId="50" fillId="0" borderId="0"/>
  </cellStyleXfs>
  <cellXfs count="479">
    <xf numFmtId="0" fontId="0" fillId="0" borderId="0" xfId="0"/>
    <xf numFmtId="165" fontId="15" fillId="2" borderId="0" xfId="0" applyNumberFormat="1" applyFont="1" applyFill="1" applyAlignment="1">
      <alignment horizontal="center"/>
    </xf>
    <xf numFmtId="165" fontId="15" fillId="3" borderId="0" xfId="0" applyNumberFormat="1" applyFont="1" applyFill="1" applyAlignment="1">
      <alignment horizontal="center"/>
    </xf>
    <xf numFmtId="165" fontId="15" fillId="4" borderId="0" xfId="0" applyNumberFormat="1" applyFont="1" applyFill="1" applyAlignment="1">
      <alignment horizontal="center"/>
    </xf>
    <xf numFmtId="165" fontId="9" fillId="4" borderId="0" xfId="0" applyNumberFormat="1" applyFont="1" applyFill="1" applyAlignment="1">
      <alignment horizontal="center"/>
    </xf>
    <xf numFmtId="0" fontId="0" fillId="2" borderId="0" xfId="0" applyFill="1"/>
    <xf numFmtId="0" fontId="0" fillId="2" borderId="6" xfId="0" applyFill="1" applyBorder="1"/>
    <xf numFmtId="165" fontId="0" fillId="0" borderId="0" xfId="0" applyNumberFormat="1"/>
    <xf numFmtId="0" fontId="0" fillId="2" borderId="8" xfId="0" applyFill="1" applyBorder="1" applyAlignment="1">
      <alignment horizontal="center"/>
    </xf>
    <xf numFmtId="0" fontId="0" fillId="2" borderId="7" xfId="0" applyFill="1" applyBorder="1" applyAlignment="1">
      <alignment horizontal="center"/>
    </xf>
    <xf numFmtId="0" fontId="0" fillId="2" borderId="5" xfId="0" applyFill="1" applyBorder="1" applyAlignment="1">
      <alignment horizontal="center"/>
    </xf>
    <xf numFmtId="0" fontId="0" fillId="2" borderId="9" xfId="0" applyFill="1" applyBorder="1" applyAlignment="1">
      <alignment horizontal="center"/>
    </xf>
    <xf numFmtId="0" fontId="0" fillId="2" borderId="13" xfId="0" applyFill="1" applyBorder="1" applyAlignment="1">
      <alignment horizontal="center"/>
    </xf>
    <xf numFmtId="0" fontId="0" fillId="2" borderId="14" xfId="0" applyFill="1" applyBorder="1" applyAlignment="1">
      <alignment horizontal="center"/>
    </xf>
    <xf numFmtId="0" fontId="17" fillId="2" borderId="5" xfId="0" applyFont="1" applyFill="1" applyBorder="1"/>
    <xf numFmtId="0" fontId="17" fillId="2" borderId="9" xfId="0" applyFont="1" applyFill="1" applyBorder="1"/>
    <xf numFmtId="0" fontId="17" fillId="2" borderId="0" xfId="0" applyFont="1" applyFill="1"/>
    <xf numFmtId="0" fontId="0" fillId="2" borderId="0" xfId="0" applyFill="1" applyAlignment="1">
      <alignment horizontal="right" vertical="center"/>
    </xf>
    <xf numFmtId="0" fontId="17" fillId="2" borderId="3" xfId="0" applyFont="1" applyFill="1" applyBorder="1"/>
    <xf numFmtId="0" fontId="11" fillId="2" borderId="2" xfId="0" applyFont="1" applyFill="1" applyBorder="1" applyAlignment="1">
      <alignment horizontal="center" vertical="center"/>
    </xf>
    <xf numFmtId="0" fontId="11" fillId="2" borderId="4" xfId="0" applyFont="1" applyFill="1" applyBorder="1" applyAlignment="1">
      <alignment horizontal="center" vertical="center"/>
    </xf>
    <xf numFmtId="0" fontId="9" fillId="2" borderId="8" xfId="0" applyFont="1" applyFill="1" applyBorder="1" applyAlignment="1">
      <alignment horizontal="center"/>
    </xf>
    <xf numFmtId="0" fontId="9" fillId="2" borderId="5" xfId="0" applyFont="1" applyFill="1" applyBorder="1" applyAlignment="1">
      <alignment horizontal="center" vertical="center" wrapText="1"/>
    </xf>
    <xf numFmtId="0" fontId="9" fillId="2" borderId="8" xfId="0" applyFont="1" applyFill="1" applyBorder="1" applyAlignment="1" applyProtection="1">
      <alignment horizontal="center"/>
      <protection locked="0"/>
    </xf>
    <xf numFmtId="0" fontId="9" fillId="2" borderId="9" xfId="0" applyFont="1" applyFill="1" applyBorder="1" applyAlignment="1">
      <alignment horizontal="center"/>
    </xf>
    <xf numFmtId="0" fontId="22" fillId="10" borderId="0" xfId="0" applyFont="1" applyFill="1"/>
    <xf numFmtId="0" fontId="9" fillId="2" borderId="0" xfId="0" applyFont="1" applyFill="1"/>
    <xf numFmtId="0" fontId="16" fillId="2" borderId="0" xfId="0" applyFont="1" applyFill="1" applyAlignment="1">
      <alignment horizontal="left" vertical="center"/>
    </xf>
    <xf numFmtId="0" fontId="11" fillId="2" borderId="0" xfId="0" applyFont="1" applyFill="1"/>
    <xf numFmtId="0" fontId="9" fillId="2" borderId="0" xfId="0" applyFont="1" applyFill="1" applyAlignment="1">
      <alignment horizontal="center"/>
    </xf>
    <xf numFmtId="0" fontId="10" fillId="2" borderId="0" xfId="0" applyFont="1" applyFill="1"/>
    <xf numFmtId="0" fontId="11" fillId="2" borderId="0" xfId="0" applyFont="1" applyFill="1" applyAlignment="1">
      <alignment horizontal="center"/>
    </xf>
    <xf numFmtId="0" fontId="9" fillId="2" borderId="0" xfId="0" applyFont="1" applyFill="1" applyAlignment="1">
      <alignment horizontal="left" indent="1"/>
    </xf>
    <xf numFmtId="0" fontId="9" fillId="2" borderId="0" xfId="0" applyFont="1" applyFill="1" applyAlignment="1">
      <alignment horizontal="left"/>
    </xf>
    <xf numFmtId="165" fontId="9" fillId="2" borderId="0" xfId="0" applyNumberFormat="1" applyFont="1" applyFill="1" applyAlignment="1">
      <alignment horizontal="center"/>
    </xf>
    <xf numFmtId="0" fontId="9" fillId="2" borderId="6" xfId="0" applyFont="1" applyFill="1" applyBorder="1"/>
    <xf numFmtId="2" fontId="9" fillId="2" borderId="0" xfId="0" applyNumberFormat="1" applyFont="1" applyFill="1" applyAlignment="1">
      <alignment horizontal="center"/>
    </xf>
    <xf numFmtId="165" fontId="15" fillId="2" borderId="6" xfId="0" applyNumberFormat="1" applyFont="1" applyFill="1" applyBorder="1" applyAlignment="1">
      <alignment horizontal="center"/>
    </xf>
    <xf numFmtId="165" fontId="9" fillId="2" borderId="0" xfId="0" applyNumberFormat="1" applyFont="1" applyFill="1"/>
    <xf numFmtId="0" fontId="23" fillId="2" borderId="0" xfId="0" applyFont="1" applyFill="1" applyAlignment="1">
      <alignment horizontal="left" vertical="center"/>
    </xf>
    <xf numFmtId="0" fontId="0" fillId="2" borderId="4" xfId="0" applyFill="1" applyBorder="1" applyAlignment="1">
      <alignment horizontal="center"/>
    </xf>
    <xf numFmtId="0" fontId="17" fillId="2" borderId="12" xfId="0" applyFont="1" applyFill="1" applyBorder="1" applyAlignment="1">
      <alignment horizontal="center" vertical="center" wrapText="1"/>
    </xf>
    <xf numFmtId="0" fontId="17" fillId="2" borderId="10" xfId="0" applyFont="1" applyFill="1" applyBorder="1" applyAlignment="1">
      <alignment horizontal="center" vertical="center" wrapText="1"/>
    </xf>
    <xf numFmtId="0" fontId="9" fillId="2" borderId="0" xfId="0" applyFont="1" applyFill="1" applyAlignment="1">
      <alignment horizontal="right"/>
    </xf>
    <xf numFmtId="164" fontId="9" fillId="2" borderId="0" xfId="0" applyNumberFormat="1" applyFont="1" applyFill="1" applyAlignment="1">
      <alignment horizontal="right"/>
    </xf>
    <xf numFmtId="165" fontId="16" fillId="2" borderId="0" xfId="0" applyNumberFormat="1" applyFont="1" applyFill="1" applyAlignment="1">
      <alignment horizontal="center"/>
    </xf>
    <xf numFmtId="165" fontId="16" fillId="2" borderId="3" xfId="0" applyNumberFormat="1" applyFont="1" applyFill="1" applyBorder="1" applyAlignment="1">
      <alignment horizontal="center"/>
    </xf>
    <xf numFmtId="165" fontId="13" fillId="2" borderId="6" xfId="0" applyNumberFormat="1" applyFont="1" applyFill="1" applyBorder="1" applyAlignment="1">
      <alignment horizontal="center"/>
    </xf>
    <xf numFmtId="165" fontId="12" fillId="2" borderId="3" xfId="0" applyNumberFormat="1" applyFont="1" applyFill="1" applyBorder="1" applyAlignment="1">
      <alignment horizontal="center"/>
    </xf>
    <xf numFmtId="165" fontId="9" fillId="2" borderId="6" xfId="0" applyNumberFormat="1" applyFont="1" applyFill="1" applyBorder="1" applyAlignment="1">
      <alignment horizontal="center"/>
    </xf>
    <xf numFmtId="165" fontId="14" fillId="2" borderId="3" xfId="0" applyNumberFormat="1" applyFont="1" applyFill="1" applyBorder="1" applyAlignment="1">
      <alignment horizontal="center"/>
    </xf>
    <xf numFmtId="0" fontId="9" fillId="2" borderId="11" xfId="0" applyFont="1" applyFill="1" applyBorder="1"/>
    <xf numFmtId="165" fontId="9" fillId="2" borderId="11" xfId="0" applyNumberFormat="1" applyFont="1" applyFill="1" applyBorder="1" applyAlignment="1">
      <alignment horizontal="center"/>
    </xf>
    <xf numFmtId="2" fontId="9" fillId="2" borderId="0" xfId="0" applyNumberFormat="1" applyFont="1" applyFill="1"/>
    <xf numFmtId="0" fontId="11" fillId="2" borderId="2" xfId="0" applyFont="1" applyFill="1" applyBorder="1"/>
    <xf numFmtId="2" fontId="9" fillId="2" borderId="4" xfId="0" applyNumberFormat="1" applyFont="1" applyFill="1" applyBorder="1" applyAlignment="1" applyProtection="1">
      <alignment horizontal="center"/>
      <protection locked="0"/>
    </xf>
    <xf numFmtId="0" fontId="11" fillId="2" borderId="9" xfId="0" applyFont="1" applyFill="1" applyBorder="1"/>
    <xf numFmtId="2" fontId="9" fillId="2" borderId="7" xfId="0" applyNumberFormat="1" applyFont="1" applyFill="1" applyBorder="1" applyAlignment="1" applyProtection="1">
      <alignment horizontal="center"/>
      <protection locked="0"/>
    </xf>
    <xf numFmtId="2" fontId="9" fillId="2" borderId="0" xfId="0" applyNumberFormat="1" applyFont="1" applyFill="1" applyAlignment="1" applyProtection="1">
      <alignment horizontal="center"/>
      <protection locked="0"/>
    </xf>
    <xf numFmtId="165" fontId="15" fillId="2" borderId="0" xfId="0" applyNumberFormat="1" applyFont="1" applyFill="1" applyAlignment="1" applyProtection="1">
      <alignment horizontal="center"/>
      <protection locked="0"/>
    </xf>
    <xf numFmtId="0" fontId="9" fillId="2" borderId="0" xfId="0" applyFont="1" applyFill="1" applyProtection="1">
      <protection locked="0"/>
    </xf>
    <xf numFmtId="164" fontId="9" fillId="2" borderId="0" xfId="0" applyNumberFormat="1" applyFont="1" applyFill="1"/>
    <xf numFmtId="0" fontId="15" fillId="2" borderId="0" xfId="0" applyFont="1" applyFill="1"/>
    <xf numFmtId="2" fontId="15" fillId="2" borderId="0" xfId="0" applyNumberFormat="1" applyFont="1" applyFill="1" applyAlignment="1" applyProtection="1">
      <alignment horizontal="center"/>
      <protection locked="0"/>
    </xf>
    <xf numFmtId="0" fontId="10" fillId="2" borderId="5" xfId="0" applyFont="1" applyFill="1" applyBorder="1" applyAlignment="1">
      <alignment horizontal="center"/>
    </xf>
    <xf numFmtId="0" fontId="9" fillId="2" borderId="5" xfId="0" applyFont="1" applyFill="1" applyBorder="1" applyAlignment="1">
      <alignment horizontal="center"/>
    </xf>
    <xf numFmtId="0" fontId="9" fillId="2" borderId="7" xfId="0" applyFont="1" applyFill="1" applyBorder="1" applyAlignment="1">
      <alignment horizontal="center"/>
    </xf>
    <xf numFmtId="0" fontId="24" fillId="10" borderId="0" xfId="0" applyFont="1" applyFill="1"/>
    <xf numFmtId="0" fontId="24" fillId="10" borderId="0" xfId="0" applyFont="1" applyFill="1" applyAlignment="1">
      <alignment horizontal="center"/>
    </xf>
    <xf numFmtId="0" fontId="24" fillId="10" borderId="0" xfId="0" applyFont="1" applyFill="1" applyAlignment="1">
      <alignment horizontal="right"/>
    </xf>
    <xf numFmtId="0" fontId="25" fillId="10" borderId="0" xfId="0" applyFont="1" applyFill="1" applyAlignment="1">
      <alignment vertical="center"/>
    </xf>
    <xf numFmtId="0" fontId="22" fillId="10" borderId="0" xfId="0" applyFont="1" applyFill="1" applyAlignment="1">
      <alignment horizontal="left" vertical="center"/>
    </xf>
    <xf numFmtId="0" fontId="25" fillId="10" borderId="0" xfId="0" applyFont="1" applyFill="1" applyAlignment="1">
      <alignment horizontal="center" vertical="center"/>
    </xf>
    <xf numFmtId="0" fontId="25" fillId="10" borderId="0" xfId="0" applyFont="1" applyFill="1" applyAlignment="1">
      <alignment horizontal="right" vertical="center"/>
    </xf>
    <xf numFmtId="0" fontId="22" fillId="10" borderId="0" xfId="0" applyFont="1" applyFill="1" applyAlignment="1">
      <alignment vertical="center"/>
    </xf>
    <xf numFmtId="0" fontId="9" fillId="2" borderId="3" xfId="0" applyFont="1" applyFill="1" applyBorder="1"/>
    <xf numFmtId="165" fontId="9" fillId="2" borderId="3" xfId="0" applyNumberFormat="1" applyFont="1" applyFill="1" applyBorder="1" applyAlignment="1">
      <alignment horizontal="center"/>
    </xf>
    <xf numFmtId="0" fontId="15" fillId="2" borderId="0" xfId="0" applyFont="1" applyFill="1" applyAlignment="1">
      <alignment horizontal="left" indent="1"/>
    </xf>
    <xf numFmtId="0" fontId="9" fillId="2" borderId="0" xfId="0" quotePrefix="1" applyFont="1" applyFill="1"/>
    <xf numFmtId="0" fontId="21" fillId="2" borderId="0" xfId="0" applyFont="1" applyFill="1" applyAlignment="1">
      <alignment horizontal="left" vertical="center" readingOrder="1"/>
    </xf>
    <xf numFmtId="0" fontId="20" fillId="2" borderId="0" xfId="0" applyFont="1" applyFill="1" applyAlignment="1">
      <alignment horizontal="center"/>
    </xf>
    <xf numFmtId="165" fontId="0" fillId="2" borderId="0" xfId="0" applyNumberFormat="1" applyFill="1"/>
    <xf numFmtId="0" fontId="12" fillId="2" borderId="3" xfId="0" applyFont="1" applyFill="1" applyBorder="1"/>
    <xf numFmtId="0" fontId="12" fillId="2" borderId="11" xfId="0" applyFont="1" applyFill="1" applyBorder="1"/>
    <xf numFmtId="0" fontId="12" fillId="2" borderId="11" xfId="0" applyFont="1" applyFill="1" applyBorder="1" applyAlignment="1">
      <alignment horizontal="center"/>
    </xf>
    <xf numFmtId="0" fontId="16" fillId="2" borderId="3" xfId="0" applyFont="1" applyFill="1" applyBorder="1"/>
    <xf numFmtId="0" fontId="13" fillId="2" borderId="0" xfId="0" applyFont="1" applyFill="1" applyAlignment="1">
      <alignment horizontal="left" indent="1"/>
    </xf>
    <xf numFmtId="0" fontId="15" fillId="2" borderId="6" xfId="0" applyFont="1" applyFill="1" applyBorder="1" applyAlignment="1">
      <alignment horizontal="left" indent="1"/>
    </xf>
    <xf numFmtId="0" fontId="26" fillId="10" borderId="0" xfId="0" applyFont="1" applyFill="1"/>
    <xf numFmtId="0" fontId="16" fillId="2" borderId="0" xfId="0" applyFont="1" applyFill="1"/>
    <xf numFmtId="0" fontId="17" fillId="2" borderId="1" xfId="0" applyFont="1" applyFill="1" applyBorder="1" applyAlignment="1">
      <alignment horizontal="center" vertical="center" wrapText="1"/>
    </xf>
    <xf numFmtId="0" fontId="25" fillId="10" borderId="0" xfId="0" applyFont="1" applyFill="1"/>
    <xf numFmtId="0" fontId="22" fillId="10" borderId="0" xfId="0" applyFont="1" applyFill="1" applyAlignment="1">
      <alignment horizontal="left"/>
    </xf>
    <xf numFmtId="0" fontId="25" fillId="10" borderId="0" xfId="0" applyFont="1" applyFill="1" applyAlignment="1">
      <alignment horizontal="center"/>
    </xf>
    <xf numFmtId="0" fontId="25" fillId="10" borderId="0" xfId="0" applyFont="1" applyFill="1" applyAlignment="1">
      <alignment horizontal="right"/>
    </xf>
    <xf numFmtId="166" fontId="9" fillId="2" borderId="0" xfId="0" applyNumberFormat="1" applyFont="1" applyFill="1" applyAlignment="1">
      <alignment horizontal="center"/>
    </xf>
    <xf numFmtId="164" fontId="9" fillId="2" borderId="0" xfId="0" applyNumberFormat="1" applyFont="1" applyFill="1" applyAlignment="1">
      <alignment horizontal="center"/>
    </xf>
    <xf numFmtId="166" fontId="15" fillId="2" borderId="0" xfId="0" applyNumberFormat="1" applyFont="1" applyFill="1" applyAlignment="1">
      <alignment horizontal="center"/>
    </xf>
    <xf numFmtId="165" fontId="9" fillId="3" borderId="0" xfId="0" applyNumberFormat="1" applyFont="1" applyFill="1" applyAlignment="1">
      <alignment horizontal="center"/>
    </xf>
    <xf numFmtId="165" fontId="15" fillId="5" borderId="0" xfId="0" applyNumberFormat="1" applyFont="1" applyFill="1" applyAlignment="1">
      <alignment horizontal="center"/>
    </xf>
    <xf numFmtId="0" fontId="22" fillId="2" borderId="0" xfId="0" applyFont="1" applyFill="1"/>
    <xf numFmtId="167" fontId="15" fillId="2" borderId="0" xfId="0" applyNumberFormat="1" applyFont="1" applyFill="1" applyAlignment="1">
      <alignment horizontal="center"/>
    </xf>
    <xf numFmtId="170" fontId="15" fillId="2" borderId="0" xfId="0" applyNumberFormat="1" applyFont="1" applyFill="1" applyAlignment="1">
      <alignment horizontal="center"/>
    </xf>
    <xf numFmtId="0" fontId="9" fillId="2" borderId="0" xfId="0" applyFont="1" applyFill="1" applyAlignment="1">
      <alignment horizontal="left" indent="3"/>
    </xf>
    <xf numFmtId="0" fontId="16" fillId="2" borderId="6" xfId="0" applyFont="1" applyFill="1" applyBorder="1"/>
    <xf numFmtId="0" fontId="9" fillId="2" borderId="6" xfId="0" applyFont="1" applyFill="1" applyBorder="1" applyAlignment="1">
      <alignment horizontal="left" indent="3"/>
    </xf>
    <xf numFmtId="2" fontId="9" fillId="2" borderId="6" xfId="0" applyNumberFormat="1" applyFont="1" applyFill="1" applyBorder="1" applyAlignment="1">
      <alignment horizontal="center"/>
    </xf>
    <xf numFmtId="0" fontId="25" fillId="2" borderId="0" xfId="0" applyFont="1" applyFill="1"/>
    <xf numFmtId="165" fontId="16" fillId="2" borderId="6" xfId="0" applyNumberFormat="1" applyFont="1" applyFill="1" applyBorder="1" applyAlignment="1">
      <alignment horizontal="center"/>
    </xf>
    <xf numFmtId="0" fontId="9" fillId="2" borderId="0" xfId="0" applyFont="1" applyFill="1" applyAlignment="1">
      <alignment vertical="center"/>
    </xf>
    <xf numFmtId="165" fontId="29" fillId="10" borderId="0" xfId="0" applyNumberFormat="1" applyFont="1" applyFill="1" applyAlignment="1">
      <alignment horizontal="center"/>
    </xf>
    <xf numFmtId="0" fontId="16" fillId="2" borderId="11" xfId="0" applyFont="1" applyFill="1" applyBorder="1"/>
    <xf numFmtId="165" fontId="16" fillId="2" borderId="11" xfId="0" applyNumberFormat="1" applyFont="1" applyFill="1" applyBorder="1" applyAlignment="1">
      <alignment horizontal="center"/>
    </xf>
    <xf numFmtId="0" fontId="28" fillId="2" borderId="0" xfId="0" applyFont="1" applyFill="1"/>
    <xf numFmtId="165" fontId="28" fillId="2" borderId="0" xfId="0" applyNumberFormat="1" applyFont="1" applyFill="1" applyAlignment="1" applyProtection="1">
      <alignment horizontal="center"/>
      <protection locked="0"/>
    </xf>
    <xf numFmtId="168" fontId="9" fillId="2" borderId="0" xfId="0" applyNumberFormat="1" applyFont="1" applyFill="1"/>
    <xf numFmtId="165" fontId="15" fillId="7" borderId="0" xfId="0" applyNumberFormat="1" applyFont="1" applyFill="1" applyAlignment="1">
      <alignment horizontal="center"/>
    </xf>
    <xf numFmtId="0" fontId="15" fillId="2" borderId="0" xfId="0" applyFont="1" applyFill="1" applyAlignment="1">
      <alignment horizontal="left"/>
    </xf>
    <xf numFmtId="166" fontId="9" fillId="2" borderId="0" xfId="0" applyNumberFormat="1" applyFont="1" applyFill="1"/>
    <xf numFmtId="166" fontId="9" fillId="2" borderId="0" xfId="0" applyNumberFormat="1" applyFont="1" applyFill="1" applyAlignment="1">
      <alignment horizontal="right"/>
    </xf>
    <xf numFmtId="2" fontId="9" fillId="2" borderId="0" xfId="0" applyNumberFormat="1" applyFont="1" applyFill="1" applyAlignment="1">
      <alignment horizontal="right"/>
    </xf>
    <xf numFmtId="165" fontId="29" fillId="2" borderId="0" xfId="0" applyNumberFormat="1" applyFont="1" applyFill="1" applyAlignment="1">
      <alignment horizontal="center"/>
    </xf>
    <xf numFmtId="165" fontId="29" fillId="2" borderId="6" xfId="0" applyNumberFormat="1" applyFont="1" applyFill="1" applyBorder="1" applyAlignment="1">
      <alignment horizontal="center"/>
    </xf>
    <xf numFmtId="165" fontId="28" fillId="2" borderId="6" xfId="0" applyNumberFormat="1" applyFont="1" applyFill="1" applyBorder="1" applyAlignment="1">
      <alignment horizontal="center"/>
    </xf>
    <xf numFmtId="0" fontId="30" fillId="2" borderId="0" xfId="0" applyFont="1" applyFill="1"/>
    <xf numFmtId="165" fontId="31" fillId="2" borderId="0" xfId="0" applyNumberFormat="1" applyFont="1" applyFill="1" applyAlignment="1">
      <alignment horizontal="center"/>
    </xf>
    <xf numFmtId="165" fontId="31" fillId="2" borderId="6" xfId="0" applyNumberFormat="1" applyFont="1" applyFill="1" applyBorder="1" applyAlignment="1">
      <alignment horizontal="center"/>
    </xf>
    <xf numFmtId="0" fontId="23" fillId="2" borderId="0" xfId="0" applyFont="1" applyFill="1" applyAlignment="1" applyProtection="1">
      <alignment horizontal="left" vertical="center"/>
      <protection locked="0"/>
    </xf>
    <xf numFmtId="0" fontId="16" fillId="2" borderId="0" xfId="0" applyFont="1" applyFill="1" applyAlignment="1" applyProtection="1">
      <alignment horizontal="left" vertical="center"/>
      <protection locked="0"/>
    </xf>
    <xf numFmtId="0" fontId="11" fillId="2" borderId="2" xfId="0" applyFont="1" applyFill="1" applyBorder="1" applyAlignment="1" applyProtection="1">
      <alignment horizontal="center" vertical="center"/>
      <protection locked="0"/>
    </xf>
    <xf numFmtId="0" fontId="11" fillId="2" borderId="4" xfId="0" applyFont="1" applyFill="1" applyBorder="1" applyAlignment="1" applyProtection="1">
      <alignment horizontal="center" vertical="center"/>
      <protection locked="0"/>
    </xf>
    <xf numFmtId="0" fontId="10" fillId="2" borderId="5" xfId="0" applyFont="1" applyFill="1" applyBorder="1" applyAlignment="1" applyProtection="1">
      <alignment horizontal="left" vertical="center"/>
      <protection locked="0"/>
    </xf>
    <xf numFmtId="0" fontId="9" fillId="2" borderId="5" xfId="0" applyFont="1" applyFill="1" applyBorder="1" applyAlignment="1" applyProtection="1">
      <alignment horizontal="center" vertical="center" wrapText="1"/>
      <protection locked="0"/>
    </xf>
    <xf numFmtId="0" fontId="9" fillId="2" borderId="9" xfId="0" applyFont="1" applyFill="1" applyBorder="1" applyAlignment="1" applyProtection="1">
      <alignment horizontal="center"/>
      <protection locked="0"/>
    </xf>
    <xf numFmtId="0" fontId="0" fillId="2" borderId="0" xfId="0" applyFill="1" applyProtection="1">
      <protection locked="0"/>
    </xf>
    <xf numFmtId="0" fontId="0" fillId="10" borderId="0" xfId="0" applyFill="1" applyProtection="1">
      <protection locked="0"/>
    </xf>
    <xf numFmtId="0" fontId="22" fillId="10" borderId="0" xfId="0" applyFont="1" applyFill="1" applyProtection="1">
      <protection locked="0"/>
    </xf>
    <xf numFmtId="0" fontId="9" fillId="10" borderId="0" xfId="0" applyFont="1" applyFill="1" applyProtection="1">
      <protection locked="0"/>
    </xf>
    <xf numFmtId="0" fontId="11" fillId="2" borderId="0" xfId="0" applyFont="1" applyFill="1" applyAlignment="1" applyProtection="1">
      <alignment horizontal="center"/>
      <protection locked="0"/>
    </xf>
    <xf numFmtId="0" fontId="0" fillId="2" borderId="6" xfId="0" applyFill="1" applyBorder="1" applyProtection="1">
      <protection locked="0"/>
    </xf>
    <xf numFmtId="0" fontId="11" fillId="2" borderId="6" xfId="0" applyFont="1" applyFill="1" applyBorder="1" applyProtection="1">
      <protection locked="0"/>
    </xf>
    <xf numFmtId="0" fontId="9" fillId="2" borderId="6" xfId="0" applyFont="1" applyFill="1" applyBorder="1" applyAlignment="1" applyProtection="1">
      <alignment horizontal="center"/>
      <protection locked="0"/>
    </xf>
    <xf numFmtId="0" fontId="10" fillId="2" borderId="0" xfId="0" applyFont="1" applyFill="1" applyProtection="1">
      <protection locked="0"/>
    </xf>
    <xf numFmtId="0" fontId="9" fillId="2" borderId="0" xfId="0" applyFont="1" applyFill="1" applyAlignment="1" applyProtection="1">
      <alignment horizontal="center"/>
      <protection locked="0"/>
    </xf>
    <xf numFmtId="165" fontId="15" fillId="3" borderId="0" xfId="0" applyNumberFormat="1" applyFont="1" applyFill="1" applyAlignment="1" applyProtection="1">
      <alignment horizontal="center"/>
      <protection locked="0"/>
    </xf>
    <xf numFmtId="165" fontId="15" fillId="5" borderId="0" xfId="0" applyNumberFormat="1" applyFont="1" applyFill="1" applyAlignment="1" applyProtection="1">
      <alignment horizontal="center"/>
      <protection locked="0"/>
    </xf>
    <xf numFmtId="0" fontId="9" fillId="2" borderId="0" xfId="0" applyFont="1" applyFill="1" applyAlignment="1" applyProtection="1">
      <alignment horizontal="left"/>
      <protection locked="0"/>
    </xf>
    <xf numFmtId="0" fontId="9" fillId="2" borderId="0" xfId="0" applyFont="1" applyFill="1" applyAlignment="1" applyProtection="1">
      <alignment horizontal="left" indent="1"/>
      <protection locked="0"/>
    </xf>
    <xf numFmtId="0" fontId="9" fillId="2" borderId="6" xfId="0" applyFont="1" applyFill="1" applyBorder="1" applyProtection="1">
      <protection locked="0"/>
    </xf>
    <xf numFmtId="165" fontId="9" fillId="2" borderId="0" xfId="0" applyNumberFormat="1" applyFont="1" applyFill="1" applyAlignment="1" applyProtection="1">
      <alignment horizontal="center"/>
      <protection locked="0"/>
    </xf>
    <xf numFmtId="165" fontId="9" fillId="3" borderId="0" xfId="0" applyNumberFormat="1" applyFont="1" applyFill="1" applyAlignment="1" applyProtection="1">
      <alignment horizontal="center"/>
      <protection locked="0"/>
    </xf>
    <xf numFmtId="165" fontId="9" fillId="5" borderId="0" xfId="0" applyNumberFormat="1" applyFont="1" applyFill="1" applyAlignment="1" applyProtection="1">
      <alignment horizontal="center"/>
      <protection locked="0"/>
    </xf>
    <xf numFmtId="169" fontId="15" fillId="2" borderId="0" xfId="0" applyNumberFormat="1" applyFont="1" applyFill="1" applyAlignment="1" applyProtection="1">
      <alignment horizontal="center"/>
      <protection locked="0"/>
    </xf>
    <xf numFmtId="0" fontId="11" fillId="2" borderId="6" xfId="0" applyFont="1" applyFill="1" applyBorder="1" applyAlignment="1" applyProtection="1">
      <alignment horizontal="left"/>
      <protection locked="0"/>
    </xf>
    <xf numFmtId="165" fontId="15" fillId="2" borderId="6" xfId="0" applyNumberFormat="1" applyFont="1" applyFill="1" applyBorder="1" applyAlignment="1" applyProtection="1">
      <alignment horizontal="center"/>
      <protection locked="0"/>
    </xf>
    <xf numFmtId="164" fontId="15" fillId="2" borderId="6" xfId="0" applyNumberFormat="1" applyFont="1" applyFill="1" applyBorder="1" applyAlignment="1" applyProtection="1">
      <alignment horizontal="center"/>
      <protection locked="0"/>
    </xf>
    <xf numFmtId="165" fontId="15" fillId="10" borderId="0" xfId="0" applyNumberFormat="1" applyFont="1" applyFill="1" applyAlignment="1" applyProtection="1">
      <alignment horizontal="center"/>
      <protection locked="0"/>
    </xf>
    <xf numFmtId="0" fontId="22" fillId="2" borderId="0" xfId="0" applyFont="1" applyFill="1" applyProtection="1">
      <protection locked="0"/>
    </xf>
    <xf numFmtId="165" fontId="15" fillId="6" borderId="0" xfId="0" applyNumberFormat="1" applyFont="1" applyFill="1" applyAlignment="1" applyProtection="1">
      <alignment horizontal="center"/>
      <protection locked="0"/>
    </xf>
    <xf numFmtId="165" fontId="9" fillId="6" borderId="0" xfId="0" applyNumberFormat="1" applyFont="1" applyFill="1" applyAlignment="1" applyProtection="1">
      <alignment horizontal="center"/>
      <protection locked="0"/>
    </xf>
    <xf numFmtId="0" fontId="11" fillId="2" borderId="0" xfId="0" applyFont="1" applyFill="1" applyProtection="1">
      <protection locked="0"/>
    </xf>
    <xf numFmtId="165" fontId="12" fillId="2" borderId="0" xfId="0" applyNumberFormat="1" applyFont="1" applyFill="1" applyAlignment="1" applyProtection="1">
      <alignment horizontal="center"/>
      <protection locked="0"/>
    </xf>
    <xf numFmtId="0" fontId="12" fillId="2" borderId="0" xfId="0" applyFont="1" applyFill="1" applyAlignment="1" applyProtection="1">
      <alignment horizontal="center"/>
      <protection locked="0"/>
    </xf>
    <xf numFmtId="165" fontId="15" fillId="11" borderId="0" xfId="0" applyNumberFormat="1" applyFont="1" applyFill="1" applyAlignment="1">
      <alignment horizontal="center"/>
    </xf>
    <xf numFmtId="0" fontId="0" fillId="12" borderId="16" xfId="0" quotePrefix="1" applyFill="1" applyBorder="1" applyAlignment="1" applyProtection="1">
      <alignment horizontal="center" vertical="center"/>
      <protection locked="0"/>
    </xf>
    <xf numFmtId="2" fontId="0" fillId="12" borderId="17" xfId="0" applyNumberFormat="1" applyFill="1" applyBorder="1" applyAlignment="1" applyProtection="1">
      <alignment horizontal="center" vertical="center"/>
      <protection locked="0"/>
    </xf>
    <xf numFmtId="0" fontId="5" fillId="2" borderId="2" xfId="6" applyFill="1" applyBorder="1"/>
    <xf numFmtId="0" fontId="5" fillId="2" borderId="3" xfId="6" applyFill="1" applyBorder="1"/>
    <xf numFmtId="0" fontId="33" fillId="2" borderId="3" xfId="6" applyFont="1" applyFill="1" applyBorder="1"/>
    <xf numFmtId="0" fontId="5" fillId="2" borderId="4" xfId="6" applyFill="1" applyBorder="1"/>
    <xf numFmtId="0" fontId="5" fillId="5" borderId="0" xfId="6" applyFill="1"/>
    <xf numFmtId="0" fontId="5" fillId="2" borderId="5" xfId="6" applyFill="1" applyBorder="1"/>
    <xf numFmtId="0" fontId="5" fillId="2" borderId="0" xfId="6" applyFill="1"/>
    <xf numFmtId="0" fontId="33" fillId="2" borderId="0" xfId="6" applyFont="1" applyFill="1"/>
    <xf numFmtId="0" fontId="5" fillId="2" borderId="8" xfId="6" applyFill="1" applyBorder="1"/>
    <xf numFmtId="0" fontId="34" fillId="2" borderId="0" xfId="6" applyFont="1" applyFill="1"/>
    <xf numFmtId="0" fontId="35" fillId="2" borderId="0" xfId="4" applyFont="1" applyFill="1" applyBorder="1"/>
    <xf numFmtId="0" fontId="5" fillId="2" borderId="9" xfId="6" applyFill="1" applyBorder="1"/>
    <xf numFmtId="0" fontId="5" fillId="2" borderId="6" xfId="6" applyFill="1" applyBorder="1"/>
    <xf numFmtId="0" fontId="5" fillId="2" borderId="7" xfId="6" applyFill="1" applyBorder="1"/>
    <xf numFmtId="0" fontId="33" fillId="2" borderId="0" xfId="6" applyFont="1" applyFill="1" applyAlignment="1">
      <alignment horizontal="left" wrapText="1"/>
    </xf>
    <xf numFmtId="0" fontId="33" fillId="7" borderId="0" xfId="6" applyFont="1" applyFill="1" applyAlignment="1">
      <alignment horizontal="justify" wrapText="1"/>
    </xf>
    <xf numFmtId="0" fontId="33" fillId="9" borderId="0" xfId="6" applyFont="1" applyFill="1" applyAlignment="1">
      <alignment horizontal="justify" wrapText="1"/>
    </xf>
    <xf numFmtId="0" fontId="33" fillId="2" borderId="0" xfId="6" applyFont="1" applyFill="1" applyAlignment="1">
      <alignment horizontal="left" vertical="center" wrapText="1"/>
    </xf>
    <xf numFmtId="165" fontId="39" fillId="3" borderId="0" xfId="6" applyNumberFormat="1" applyFont="1" applyFill="1" applyAlignment="1">
      <alignment horizontal="center"/>
    </xf>
    <xf numFmtId="165" fontId="39" fillId="5" borderId="0" xfId="6" applyNumberFormat="1" applyFont="1" applyFill="1" applyAlignment="1">
      <alignment horizontal="center"/>
    </xf>
    <xf numFmtId="165" fontId="39" fillId="13" borderId="0" xfId="6" applyNumberFormat="1" applyFont="1" applyFill="1" applyAlignment="1">
      <alignment horizontal="center"/>
    </xf>
    <xf numFmtId="165" fontId="39" fillId="4" borderId="0" xfId="6" applyNumberFormat="1" applyFont="1" applyFill="1" applyAlignment="1">
      <alignment horizontal="center"/>
    </xf>
    <xf numFmtId="165" fontId="39" fillId="2" borderId="0" xfId="6" applyNumberFormat="1" applyFont="1" applyFill="1" applyAlignment="1">
      <alignment horizontal="center"/>
    </xf>
    <xf numFmtId="165" fontId="39" fillId="14" borderId="0" xfId="6" applyNumberFormat="1" applyFont="1" applyFill="1" applyAlignment="1">
      <alignment horizontal="center"/>
    </xf>
    <xf numFmtId="165" fontId="39" fillId="2" borderId="18" xfId="6" applyNumberFormat="1" applyFont="1" applyFill="1" applyBorder="1" applyAlignment="1">
      <alignment horizontal="center"/>
    </xf>
    <xf numFmtId="0" fontId="33" fillId="2" borderId="0" xfId="6" applyFont="1" applyFill="1" applyAlignment="1">
      <alignment vertical="center" wrapText="1"/>
    </xf>
    <xf numFmtId="0" fontId="32" fillId="5" borderId="0" xfId="6" applyFont="1" applyFill="1"/>
    <xf numFmtId="0" fontId="40" fillId="5" borderId="0" xfId="6" applyFont="1" applyFill="1"/>
    <xf numFmtId="168" fontId="0" fillId="2" borderId="0" xfId="0" applyNumberFormat="1" applyFill="1" applyProtection="1">
      <protection locked="0"/>
    </xf>
    <xf numFmtId="165" fontId="39" fillId="6" borderId="0" xfId="6" applyNumberFormat="1" applyFont="1" applyFill="1" applyAlignment="1">
      <alignment horizontal="center"/>
    </xf>
    <xf numFmtId="0" fontId="0" fillId="5" borderId="10" xfId="0" applyFill="1" applyBorder="1" applyAlignment="1">
      <alignment horizontal="center"/>
    </xf>
    <xf numFmtId="0" fontId="0" fillId="5" borderId="1" xfId="0" applyFill="1" applyBorder="1" applyAlignment="1">
      <alignment horizontal="center"/>
    </xf>
    <xf numFmtId="0" fontId="0" fillId="5" borderId="13" xfId="0" quotePrefix="1" applyFill="1" applyBorder="1" applyAlignment="1">
      <alignment horizontal="center" vertical="center"/>
    </xf>
    <xf numFmtId="2" fontId="0" fillId="5" borderId="13" xfId="0" applyNumberFormat="1" applyFill="1" applyBorder="1" applyAlignment="1">
      <alignment horizontal="center" vertical="center"/>
    </xf>
    <xf numFmtId="165" fontId="0" fillId="5" borderId="14" xfId="0" applyNumberFormat="1" applyFill="1" applyBorder="1" applyAlignment="1">
      <alignment horizontal="center" vertical="center"/>
    </xf>
    <xf numFmtId="0" fontId="0" fillId="5" borderId="3" xfId="0" applyFill="1" applyBorder="1"/>
    <xf numFmtId="0" fontId="0" fillId="5" borderId="4" xfId="0" applyFill="1" applyBorder="1"/>
    <xf numFmtId="0" fontId="0" fillId="5" borderId="0" xfId="0" applyFill="1"/>
    <xf numFmtId="0" fontId="0" fillId="5" borderId="8" xfId="0" applyFill="1" applyBorder="1"/>
    <xf numFmtId="0" fontId="0" fillId="5" borderId="6" xfId="0" applyFill="1" applyBorder="1"/>
    <xf numFmtId="0" fontId="0" fillId="5" borderId="7" xfId="0" applyFill="1" applyBorder="1"/>
    <xf numFmtId="0" fontId="0" fillId="5" borderId="0" xfId="0" quotePrefix="1" applyFill="1" applyAlignment="1">
      <alignment horizontal="center" vertical="center"/>
    </xf>
    <xf numFmtId="2" fontId="0" fillId="5" borderId="0" xfId="0" applyNumberFormat="1" applyFill="1" applyAlignment="1">
      <alignment horizontal="center" vertical="center"/>
    </xf>
    <xf numFmtId="165" fontId="0" fillId="5" borderId="6" xfId="0" applyNumberFormat="1" applyFill="1" applyBorder="1" applyAlignment="1">
      <alignment horizontal="center" vertical="center"/>
    </xf>
    <xf numFmtId="0" fontId="17" fillId="2" borderId="6" xfId="0" applyFont="1" applyFill="1" applyBorder="1"/>
    <xf numFmtId="0" fontId="17" fillId="2" borderId="7" xfId="0" applyFont="1" applyFill="1" applyBorder="1"/>
    <xf numFmtId="0" fontId="27" fillId="2" borderId="13" xfId="0" applyFont="1" applyFill="1" applyBorder="1"/>
    <xf numFmtId="0" fontId="27" fillId="2" borderId="2" xfId="0" applyFont="1" applyFill="1" applyBorder="1"/>
    <xf numFmtId="0" fontId="33" fillId="2" borderId="0" xfId="6" applyFont="1" applyFill="1" applyAlignment="1">
      <alignment horizontal="justify" wrapText="1"/>
    </xf>
    <xf numFmtId="0" fontId="17" fillId="13" borderId="11" xfId="0" applyFont="1" applyFill="1" applyBorder="1" applyAlignment="1">
      <alignment horizontal="center" vertical="center" wrapText="1"/>
    </xf>
    <xf numFmtId="0" fontId="0" fillId="13" borderId="0" xfId="0" applyFill="1" applyAlignment="1">
      <alignment horizontal="center"/>
    </xf>
    <xf numFmtId="0" fontId="0" fillId="13" borderId="6" xfId="0" applyFill="1" applyBorder="1" applyAlignment="1">
      <alignment horizontal="center"/>
    </xf>
    <xf numFmtId="164" fontId="15" fillId="2" borderId="0" xfId="0" applyNumberFormat="1" applyFont="1" applyFill="1" applyAlignment="1">
      <alignment horizontal="center"/>
    </xf>
    <xf numFmtId="170" fontId="9" fillId="2" borderId="0" xfId="0" applyNumberFormat="1" applyFont="1" applyFill="1" applyAlignment="1">
      <alignment horizontal="center"/>
    </xf>
    <xf numFmtId="0" fontId="41" fillId="15" borderId="0" xfId="3" applyFont="1" applyFill="1" applyAlignment="1">
      <alignment horizontal="left" vertical="top"/>
    </xf>
    <xf numFmtId="164" fontId="15" fillId="2" borderId="6" xfId="0" applyNumberFormat="1" applyFont="1" applyFill="1" applyBorder="1" applyAlignment="1">
      <alignment horizontal="center"/>
    </xf>
    <xf numFmtId="0" fontId="17" fillId="2" borderId="14" xfId="0" applyFont="1" applyFill="1" applyBorder="1" applyAlignment="1">
      <alignment horizontal="center" vertical="center" wrapText="1"/>
    </xf>
    <xf numFmtId="0" fontId="0" fillId="2" borderId="0" xfId="0" applyFill="1" applyAlignment="1">
      <alignment horizontal="justify" vertical="top" wrapText="1"/>
    </xf>
    <xf numFmtId="0" fontId="0" fillId="2" borderId="6" xfId="0" applyFill="1" applyBorder="1" applyAlignment="1">
      <alignment horizontal="justify" vertical="top" wrapText="1"/>
    </xf>
    <xf numFmtId="0" fontId="17" fillId="2" borderId="10" xfId="0" applyFont="1" applyFill="1" applyBorder="1" applyAlignment="1">
      <alignment horizontal="center" vertical="top" wrapText="1"/>
    </xf>
    <xf numFmtId="0" fontId="17" fillId="2" borderId="11" xfId="0" applyFont="1" applyFill="1" applyBorder="1" applyAlignment="1">
      <alignment horizontal="center" vertical="top" wrapText="1"/>
    </xf>
    <xf numFmtId="2" fontId="0" fillId="2" borderId="0" xfId="0" applyNumberFormat="1" applyFill="1"/>
    <xf numFmtId="2" fontId="0" fillId="2" borderId="0" xfId="0" applyNumberFormat="1" applyFill="1" applyAlignment="1">
      <alignment horizontal="center" vertical="top" wrapText="1"/>
    </xf>
    <xf numFmtId="0" fontId="0" fillId="2" borderId="0" xfId="0" applyFill="1" applyAlignment="1">
      <alignment vertical="top" wrapText="1"/>
    </xf>
    <xf numFmtId="0" fontId="0" fillId="2" borderId="7" xfId="0" applyFill="1" applyBorder="1" applyAlignment="1">
      <alignment horizontal="justify" vertical="top" wrapText="1"/>
    </xf>
    <xf numFmtId="0" fontId="17" fillId="2" borderId="0" xfId="0" applyFont="1" applyFill="1" applyAlignment="1">
      <alignment horizontal="center" vertical="top" wrapText="1"/>
    </xf>
    <xf numFmtId="0" fontId="0" fillId="2" borderId="0" xfId="0" applyFill="1" applyAlignment="1">
      <alignment vertical="center" wrapText="1"/>
    </xf>
    <xf numFmtId="165" fontId="0" fillId="2" borderId="9" xfId="0" applyNumberFormat="1" applyFill="1" applyBorder="1" applyAlignment="1">
      <alignment horizontal="center" vertical="top" wrapText="1"/>
    </xf>
    <xf numFmtId="165" fontId="0" fillId="2" borderId="6" xfId="0" applyNumberFormat="1" applyFill="1" applyBorder="1" applyAlignment="1">
      <alignment horizontal="center" vertical="top" wrapText="1"/>
    </xf>
    <xf numFmtId="2" fontId="0" fillId="2" borderId="3" xfId="0" applyNumberFormat="1" applyFill="1" applyBorder="1" applyAlignment="1">
      <alignment horizontal="center" vertical="top" wrapText="1"/>
    </xf>
    <xf numFmtId="2" fontId="0" fillId="2" borderId="4" xfId="0" applyNumberFormat="1" applyFill="1" applyBorder="1" applyAlignment="1">
      <alignment horizontal="center" vertical="top" wrapText="1"/>
    </xf>
    <xf numFmtId="165" fontId="0" fillId="2" borderId="7" xfId="0" applyNumberFormat="1" applyFill="1" applyBorder="1" applyAlignment="1">
      <alignment horizontal="center" vertical="top" wrapText="1"/>
    </xf>
    <xf numFmtId="0" fontId="0" fillId="2" borderId="14" xfId="0" applyFill="1" applyBorder="1" applyAlignment="1">
      <alignment vertical="center"/>
    </xf>
    <xf numFmtId="165" fontId="39" fillId="11" borderId="0" xfId="6" applyNumberFormat="1" applyFont="1" applyFill="1" applyAlignment="1">
      <alignment horizontal="center"/>
    </xf>
    <xf numFmtId="0" fontId="33" fillId="8" borderId="0" xfId="6" applyFont="1" applyFill="1"/>
    <xf numFmtId="0" fontId="33" fillId="8" borderId="0" xfId="6" applyFont="1" applyFill="1" applyAlignment="1">
      <alignment horizontal="justify" wrapText="1"/>
    </xf>
    <xf numFmtId="0" fontId="42" fillId="2" borderId="0" xfId="0" applyFont="1" applyFill="1" applyAlignment="1">
      <alignment vertical="top" wrapText="1"/>
    </xf>
    <xf numFmtId="0" fontId="17" fillId="2" borderId="12" xfId="0" applyFont="1" applyFill="1" applyBorder="1" applyAlignment="1">
      <alignment horizontal="center" vertical="top" wrapText="1"/>
    </xf>
    <xf numFmtId="0" fontId="27" fillId="2" borderId="9" xfId="0" applyFont="1" applyFill="1" applyBorder="1"/>
    <xf numFmtId="0" fontId="0" fillId="2" borderId="19" xfId="0" applyFill="1" applyBorder="1"/>
    <xf numFmtId="0" fontId="0" fillId="2" borderId="8" xfId="0" applyFill="1" applyBorder="1" applyAlignment="1">
      <alignment horizontal="justify" vertical="top" wrapText="1"/>
    </xf>
    <xf numFmtId="0" fontId="27" fillId="2" borderId="0" xfId="0" applyFont="1" applyFill="1"/>
    <xf numFmtId="165" fontId="15" fillId="6" borderId="0" xfId="0" applyNumberFormat="1" applyFont="1" applyFill="1" applyAlignment="1">
      <alignment horizontal="center"/>
    </xf>
    <xf numFmtId="168" fontId="9" fillId="2" borderId="0" xfId="0" applyNumberFormat="1" applyFont="1" applyFill="1" applyAlignment="1">
      <alignment horizontal="center"/>
    </xf>
    <xf numFmtId="165" fontId="9" fillId="11" borderId="0" xfId="0" applyNumberFormat="1" applyFont="1" applyFill="1" applyAlignment="1">
      <alignment horizontal="center"/>
    </xf>
    <xf numFmtId="165" fontId="9" fillId="11" borderId="6" xfId="0" applyNumberFormat="1" applyFont="1" applyFill="1" applyBorder="1" applyAlignment="1">
      <alignment horizontal="center"/>
    </xf>
    <xf numFmtId="165" fontId="0" fillId="2" borderId="0" xfId="0" applyNumberFormat="1" applyFill="1" applyAlignment="1">
      <alignment horizontal="center" vertical="top" wrapText="1"/>
    </xf>
    <xf numFmtId="0" fontId="44" fillId="2" borderId="0" xfId="0" applyFont="1" applyFill="1" applyAlignment="1">
      <alignment vertical="center" wrapText="1"/>
    </xf>
    <xf numFmtId="0" fontId="9" fillId="2" borderId="11" xfId="0" applyFont="1" applyFill="1" applyBorder="1" applyAlignment="1">
      <alignment horizontal="center"/>
    </xf>
    <xf numFmtId="169" fontId="9" fillId="2" borderId="0" xfId="0" applyNumberFormat="1" applyFont="1" applyFill="1"/>
    <xf numFmtId="0" fontId="44" fillId="2" borderId="14" xfId="0" applyFont="1" applyFill="1" applyBorder="1" applyAlignment="1">
      <alignment horizontal="center" vertical="center" wrapText="1"/>
    </xf>
    <xf numFmtId="2" fontId="45" fillId="2" borderId="0" xfId="0" applyNumberFormat="1" applyFont="1" applyFill="1" applyAlignment="1">
      <alignment horizontal="center"/>
    </xf>
    <xf numFmtId="2" fontId="15" fillId="2" borderId="0" xfId="0" applyNumberFormat="1" applyFont="1" applyFill="1" applyAlignment="1">
      <alignment horizontal="center"/>
    </xf>
    <xf numFmtId="2" fontId="15" fillId="2" borderId="6" xfId="0" applyNumberFormat="1" applyFont="1" applyFill="1" applyBorder="1" applyAlignment="1">
      <alignment horizontal="center"/>
    </xf>
    <xf numFmtId="165" fontId="9" fillId="13" borderId="0" xfId="0" applyNumberFormat="1" applyFont="1" applyFill="1" applyAlignment="1">
      <alignment horizontal="center"/>
    </xf>
    <xf numFmtId="2" fontId="0" fillId="2" borderId="0" xfId="0" quotePrefix="1" applyNumberFormat="1" applyFill="1" applyAlignment="1" applyProtection="1">
      <alignment horizontal="center" vertical="center"/>
      <protection locked="0"/>
    </xf>
    <xf numFmtId="0" fontId="3" fillId="5" borderId="0" xfId="6" applyFont="1" applyFill="1"/>
    <xf numFmtId="0" fontId="3" fillId="5" borderId="0" xfId="6" applyFont="1" applyFill="1" applyAlignment="1">
      <alignment vertical="top"/>
    </xf>
    <xf numFmtId="0" fontId="3" fillId="5" borderId="0" xfId="6" applyFont="1" applyFill="1" applyAlignment="1">
      <alignment vertical="top" wrapText="1"/>
    </xf>
    <xf numFmtId="0" fontId="0" fillId="2" borderId="0" xfId="0" applyFont="1" applyFill="1"/>
    <xf numFmtId="2" fontId="0" fillId="2" borderId="14" xfId="0" applyNumberFormat="1" applyFill="1" applyBorder="1" applyAlignment="1">
      <alignment horizontal="center"/>
    </xf>
    <xf numFmtId="0" fontId="0" fillId="2" borderId="0" xfId="0" applyFill="1" applyBorder="1"/>
    <xf numFmtId="0" fontId="0" fillId="2" borderId="0" xfId="0" applyFill="1" applyBorder="1" applyAlignment="1">
      <alignment horizontal="left" vertical="center" wrapText="1"/>
    </xf>
    <xf numFmtId="0" fontId="0" fillId="2" borderId="8" xfId="0" applyFill="1" applyBorder="1" applyAlignment="1">
      <alignment horizontal="left" vertical="center" wrapText="1"/>
    </xf>
    <xf numFmtId="165" fontId="0" fillId="2" borderId="5" xfId="0" applyNumberFormat="1" applyFill="1" applyBorder="1" applyAlignment="1">
      <alignment horizontal="center" vertical="top" wrapText="1"/>
    </xf>
    <xf numFmtId="165" fontId="0" fillId="2" borderId="0" xfId="0" applyNumberFormat="1" applyFill="1" applyBorder="1" applyAlignment="1">
      <alignment horizontal="center" vertical="top" wrapText="1"/>
    </xf>
    <xf numFmtId="2" fontId="0" fillId="2" borderId="13" xfId="0" applyNumberFormat="1" applyFill="1" applyBorder="1" applyAlignment="1">
      <alignment horizontal="center"/>
    </xf>
    <xf numFmtId="165" fontId="0" fillId="2" borderId="2" xfId="0" applyNumberFormat="1" applyFill="1" applyBorder="1" applyAlignment="1">
      <alignment horizontal="center" vertical="top" wrapText="1"/>
    </xf>
    <xf numFmtId="165" fontId="0" fillId="2" borderId="3" xfId="0" applyNumberFormat="1" applyFill="1" applyBorder="1" applyAlignment="1">
      <alignment horizontal="center" vertical="top" wrapText="1"/>
    </xf>
    <xf numFmtId="165" fontId="0" fillId="2" borderId="4" xfId="0" applyNumberFormat="1" applyFill="1" applyBorder="1" applyAlignment="1">
      <alignment horizontal="center" vertical="top" wrapText="1"/>
    </xf>
    <xf numFmtId="165" fontId="0" fillId="2" borderId="8" xfId="0" applyNumberFormat="1" applyFill="1" applyBorder="1" applyAlignment="1">
      <alignment horizontal="center" vertical="top" wrapText="1"/>
    </xf>
    <xf numFmtId="0" fontId="0" fillId="2" borderId="5" xfId="0" applyFill="1" applyBorder="1" applyAlignment="1">
      <alignment horizontal="left" vertical="center"/>
    </xf>
    <xf numFmtId="0" fontId="0" fillId="2" borderId="0" xfId="0" applyFill="1" applyAlignment="1">
      <alignment horizontal="center" vertical="center"/>
    </xf>
    <xf numFmtId="165" fontId="9" fillId="3" borderId="6" xfId="0" applyNumberFormat="1" applyFont="1" applyFill="1" applyBorder="1" applyAlignment="1">
      <alignment horizontal="center"/>
    </xf>
    <xf numFmtId="1" fontId="9" fillId="2" borderId="7" xfId="0" applyNumberFormat="1" applyFont="1" applyFill="1" applyBorder="1" applyAlignment="1" applyProtection="1">
      <alignment horizontal="center"/>
      <protection locked="0"/>
    </xf>
    <xf numFmtId="169" fontId="15" fillId="2" borderId="0" xfId="0" applyNumberFormat="1" applyFont="1" applyFill="1" applyAlignment="1" applyProtection="1">
      <alignment horizontal="left"/>
      <protection locked="0"/>
    </xf>
    <xf numFmtId="165" fontId="15" fillId="11" borderId="2" xfId="0" applyNumberFormat="1" applyFont="1" applyFill="1" applyBorder="1" applyAlignment="1" applyProtection="1">
      <alignment horizontal="center"/>
      <protection locked="0"/>
    </xf>
    <xf numFmtId="165" fontId="15" fillId="11" borderId="4" xfId="0" applyNumberFormat="1" applyFont="1" applyFill="1" applyBorder="1" applyAlignment="1" applyProtection="1">
      <alignment horizontal="center"/>
      <protection locked="0"/>
    </xf>
    <xf numFmtId="165" fontId="15" fillId="11" borderId="9" xfId="0" applyNumberFormat="1" applyFont="1" applyFill="1" applyBorder="1" applyAlignment="1" applyProtection="1">
      <alignment horizontal="center"/>
      <protection locked="0"/>
    </xf>
    <xf numFmtId="165" fontId="15" fillId="11" borderId="7" xfId="0" applyNumberFormat="1" applyFont="1" applyFill="1" applyBorder="1" applyAlignment="1" applyProtection="1">
      <alignment horizontal="center"/>
      <protection locked="0"/>
    </xf>
    <xf numFmtId="0" fontId="1" fillId="5" borderId="0" xfId="6" applyFont="1" applyFill="1"/>
    <xf numFmtId="0" fontId="1" fillId="5" borderId="0" xfId="6" applyFont="1" applyFill="1" applyAlignment="1">
      <alignment vertical="top"/>
    </xf>
    <xf numFmtId="0" fontId="1" fillId="5" borderId="0" xfId="6" applyFont="1" applyFill="1" applyAlignment="1">
      <alignment vertical="top" wrapText="1"/>
    </xf>
    <xf numFmtId="0" fontId="1" fillId="5" borderId="0" xfId="6" applyFont="1" applyFill="1" applyAlignment="1">
      <alignment vertical="center" wrapText="1"/>
    </xf>
    <xf numFmtId="0" fontId="33" fillId="2" borderId="0" xfId="6" applyFont="1" applyFill="1" applyAlignment="1">
      <alignment horizontal="justify" vertical="top" wrapText="1"/>
    </xf>
    <xf numFmtId="0" fontId="33" fillId="2" borderId="0" xfId="6" applyFont="1" applyFill="1" applyAlignment="1">
      <alignment horizontal="justify" vertical="justify" wrapText="1"/>
    </xf>
    <xf numFmtId="0" fontId="34" fillId="2" borderId="0" xfId="6" applyFont="1" applyFill="1" applyAlignment="1">
      <alignment horizontal="justify" vertical="top" wrapText="1"/>
    </xf>
    <xf numFmtId="0" fontId="15" fillId="2" borderId="0" xfId="0" applyFont="1" applyFill="1" applyAlignment="1" applyProtection="1">
      <alignment horizontal="left"/>
      <protection locked="0"/>
    </xf>
    <xf numFmtId="0" fontId="15" fillId="2" borderId="0" xfId="0" applyFont="1" applyFill="1" applyProtection="1">
      <protection locked="0"/>
    </xf>
    <xf numFmtId="0" fontId="13" fillId="2" borderId="0" xfId="0" applyFont="1" applyFill="1" applyProtection="1">
      <protection locked="0"/>
    </xf>
    <xf numFmtId="0" fontId="33" fillId="10" borderId="0" xfId="6" applyFont="1" applyFill="1" applyAlignment="1">
      <alignment horizontal="justify" wrapText="1"/>
    </xf>
    <xf numFmtId="0" fontId="33" fillId="16" borderId="0" xfId="6" applyFont="1" applyFill="1" applyAlignment="1">
      <alignment horizontal="justify" wrapText="1"/>
    </xf>
    <xf numFmtId="0" fontId="46" fillId="5" borderId="0" xfId="6" applyFont="1" applyFill="1"/>
    <xf numFmtId="0" fontId="47" fillId="2" borderId="0" xfId="0" applyFont="1" applyFill="1" applyAlignment="1">
      <alignment horizontal="left" indent="1"/>
    </xf>
    <xf numFmtId="0" fontId="33" fillId="17" borderId="0" xfId="6" applyFont="1" applyFill="1" applyAlignment="1">
      <alignment horizontal="justify" wrapText="1"/>
    </xf>
    <xf numFmtId="0" fontId="17" fillId="5" borderId="3" xfId="0" applyFont="1" applyFill="1" applyBorder="1" applyAlignment="1">
      <alignment horizontal="center" vertical="top" wrapText="1"/>
    </xf>
    <xf numFmtId="0" fontId="17" fillId="5" borderId="4" xfId="0" applyFont="1" applyFill="1" applyBorder="1" applyAlignment="1">
      <alignment horizontal="center" vertical="top" wrapText="1"/>
    </xf>
    <xf numFmtId="0" fontId="17" fillId="5" borderId="15" xfId="0" applyFont="1" applyFill="1" applyBorder="1" applyAlignment="1">
      <alignment horizontal="center"/>
    </xf>
    <xf numFmtId="0" fontId="0" fillId="5" borderId="15" xfId="0" applyFill="1" applyBorder="1" applyAlignment="1">
      <alignment horizontal="center" vertical="center"/>
    </xf>
    <xf numFmtId="2" fontId="0" fillId="5" borderId="14" xfId="0" applyNumberFormat="1" applyFill="1" applyBorder="1" applyAlignment="1">
      <alignment horizontal="center" vertical="center"/>
    </xf>
    <xf numFmtId="2" fontId="0" fillId="5" borderId="15" xfId="0" applyNumberFormat="1" applyFill="1" applyBorder="1" applyAlignment="1">
      <alignment horizontal="center" vertical="center"/>
    </xf>
    <xf numFmtId="165" fontId="44" fillId="5" borderId="13" xfId="0" applyNumberFormat="1" applyFont="1" applyFill="1" applyBorder="1" applyAlignment="1">
      <alignment horizontal="center" vertical="center"/>
    </xf>
    <xf numFmtId="0" fontId="0" fillId="2" borderId="0" xfId="0" applyFill="1" applyAlignment="1">
      <alignment vertical="center"/>
    </xf>
    <xf numFmtId="0" fontId="17" fillId="5" borderId="3" xfId="0" applyFont="1" applyFill="1" applyBorder="1" applyAlignment="1">
      <alignment horizontal="center" vertical="center" wrapText="1"/>
    </xf>
    <xf numFmtId="0" fontId="17" fillId="5" borderId="4" xfId="0" applyFont="1" applyFill="1" applyBorder="1" applyAlignment="1">
      <alignment horizontal="center" vertical="center" wrapText="1"/>
    </xf>
    <xf numFmtId="0" fontId="17" fillId="5" borderId="0" xfId="0" applyFont="1" applyFill="1" applyBorder="1" applyAlignment="1">
      <alignment horizontal="center" vertical="center" wrapText="1"/>
    </xf>
    <xf numFmtId="0" fontId="17" fillId="5" borderId="8" xfId="0" applyFont="1" applyFill="1" applyBorder="1" applyAlignment="1">
      <alignment horizontal="center" vertical="center" wrapText="1"/>
    </xf>
    <xf numFmtId="2" fontId="0" fillId="5" borderId="0" xfId="0" applyNumberFormat="1" applyFill="1" applyBorder="1" applyAlignment="1">
      <alignment horizontal="center" vertical="center" wrapText="1"/>
    </xf>
    <xf numFmtId="2" fontId="0" fillId="5" borderId="8" xfId="0" applyNumberFormat="1" applyFill="1" applyBorder="1" applyAlignment="1">
      <alignment horizontal="center" vertical="center" wrapText="1"/>
    </xf>
    <xf numFmtId="2" fontId="0" fillId="5" borderId="3" xfId="0" applyNumberFormat="1" applyFill="1" applyBorder="1" applyAlignment="1">
      <alignment horizontal="center" vertical="center" wrapText="1"/>
    </xf>
    <xf numFmtId="2" fontId="0" fillId="5" borderId="4" xfId="0" applyNumberFormat="1" applyFill="1" applyBorder="1" applyAlignment="1">
      <alignment horizontal="center" vertical="center" wrapText="1"/>
    </xf>
    <xf numFmtId="165" fontId="17" fillId="5" borderId="0" xfId="0" applyNumberFormat="1" applyFont="1" applyFill="1" applyBorder="1" applyAlignment="1">
      <alignment horizontal="center" vertical="center" wrapText="1"/>
    </xf>
    <xf numFmtId="165" fontId="17" fillId="5" borderId="8" xfId="0" applyNumberFormat="1" applyFont="1" applyFill="1" applyBorder="1" applyAlignment="1">
      <alignment horizontal="center" vertical="center" wrapText="1"/>
    </xf>
    <xf numFmtId="2" fontId="0" fillId="5" borderId="6" xfId="0" applyNumberFormat="1" applyFill="1" applyBorder="1" applyAlignment="1">
      <alignment horizontal="center" vertical="center" wrapText="1"/>
    </xf>
    <xf numFmtId="2" fontId="0" fillId="5" borderId="7" xfId="0" applyNumberFormat="1" applyFill="1" applyBorder="1" applyAlignment="1">
      <alignment horizontal="center" vertical="center" wrapText="1"/>
    </xf>
    <xf numFmtId="0" fontId="0" fillId="5" borderId="5" xfId="0" applyFill="1" applyBorder="1" applyAlignment="1">
      <alignment horizontal="left" vertical="center" indent="2"/>
    </xf>
    <xf numFmtId="0" fontId="0" fillId="5" borderId="0" xfId="0" applyFill="1" applyBorder="1" applyAlignment="1">
      <alignment horizontal="left" vertical="center" wrapText="1" indent="2"/>
    </xf>
    <xf numFmtId="0" fontId="0" fillId="5" borderId="8" xfId="0" applyFill="1" applyBorder="1" applyAlignment="1">
      <alignment horizontal="left" vertical="center" wrapText="1" indent="2"/>
    </xf>
    <xf numFmtId="0" fontId="0" fillId="0" borderId="0" xfId="0" applyFont="1"/>
    <xf numFmtId="165" fontId="0" fillId="2" borderId="0" xfId="0" applyNumberFormat="1" applyFont="1" applyFill="1" applyAlignment="1">
      <alignment horizontal="center" vertical="center"/>
    </xf>
    <xf numFmtId="0" fontId="0" fillId="2" borderId="0" xfId="0" applyFont="1" applyFill="1" applyAlignment="1">
      <alignment horizontal="center" vertical="top"/>
    </xf>
    <xf numFmtId="0" fontId="0" fillId="19" borderId="0" xfId="0" applyFont="1" applyFill="1" applyAlignment="1">
      <alignment horizontal="center" vertical="top"/>
    </xf>
    <xf numFmtId="0" fontId="0" fillId="19" borderId="0" xfId="0" applyFont="1" applyFill="1" applyAlignment="1">
      <alignment vertical="top"/>
    </xf>
    <xf numFmtId="0" fontId="17" fillId="0" borderId="0" xfId="0" applyFont="1" applyFill="1" applyAlignment="1">
      <alignment horizontal="left" vertical="center"/>
    </xf>
    <xf numFmtId="0" fontId="48" fillId="18" borderId="0" xfId="0" applyFont="1" applyFill="1" applyAlignment="1">
      <alignment horizontal="left" vertical="center"/>
    </xf>
    <xf numFmtId="0" fontId="0" fillId="18" borderId="0" xfId="0" applyFont="1" applyFill="1" applyAlignment="1">
      <alignment vertical="top"/>
    </xf>
    <xf numFmtId="0" fontId="22" fillId="18" borderId="0" xfId="0" applyFont="1" applyFill="1" applyAlignment="1">
      <alignment horizontal="center" vertical="top"/>
    </xf>
    <xf numFmtId="0" fontId="22" fillId="18" borderId="0" xfId="0" applyFont="1" applyFill="1" applyAlignment="1">
      <alignment horizontal="center"/>
    </xf>
    <xf numFmtId="0" fontId="49" fillId="18" borderId="0" xfId="0" applyFont="1" applyFill="1" applyAlignment="1">
      <alignment horizontal="center" vertical="center" wrapText="1"/>
    </xf>
    <xf numFmtId="0" fontId="48" fillId="18" borderId="0" xfId="0" applyFont="1" applyFill="1" applyAlignment="1">
      <alignment horizontal="center" vertical="center" wrapText="1"/>
    </xf>
    <xf numFmtId="0" fontId="43" fillId="19" borderId="0" xfId="0" applyFont="1" applyFill="1" applyAlignment="1">
      <alignment horizontal="left" vertical="top" wrapText="1"/>
    </xf>
    <xf numFmtId="0" fontId="25" fillId="19" borderId="0" xfId="0" applyFont="1" applyFill="1" applyAlignment="1">
      <alignment horizontal="center"/>
    </xf>
    <xf numFmtId="0" fontId="0" fillId="19" borderId="0" xfId="0" applyFont="1" applyFill="1" applyAlignment="1">
      <alignment horizontal="left"/>
    </xf>
    <xf numFmtId="0" fontId="43" fillId="19" borderId="0" xfId="0" applyFont="1" applyFill="1" applyAlignment="1">
      <alignment horizontal="left" vertical="top" wrapText="1" indent="1"/>
    </xf>
    <xf numFmtId="0" fontId="43" fillId="19" borderId="0" xfId="0" applyFont="1" applyFill="1" applyAlignment="1">
      <alignment vertical="top"/>
    </xf>
    <xf numFmtId="0" fontId="43" fillId="19" borderId="0" xfId="0" applyFont="1" applyFill="1" applyAlignment="1">
      <alignment horizontal="left" wrapText="1"/>
    </xf>
    <xf numFmtId="0" fontId="0" fillId="18" borderId="0" xfId="0" applyFont="1" applyFill="1"/>
    <xf numFmtId="1" fontId="48" fillId="18" borderId="0" xfId="0" applyNumberFormat="1" applyFont="1" applyFill="1" applyAlignment="1">
      <alignment horizontal="center" vertical="center" wrapText="1"/>
    </xf>
    <xf numFmtId="2" fontId="0" fillId="2" borderId="0" xfId="0" applyNumberFormat="1" applyFont="1" applyFill="1" applyAlignment="1">
      <alignment horizontal="center" vertical="center"/>
    </xf>
    <xf numFmtId="165" fontId="25" fillId="2" borderId="0" xfId="0" applyNumberFormat="1" applyFont="1" applyFill="1" applyAlignment="1">
      <alignment horizontal="center" vertical="center"/>
    </xf>
    <xf numFmtId="0" fontId="25" fillId="2" borderId="0" xfId="0" applyFont="1" applyFill="1" applyAlignment="1">
      <alignment horizontal="center" vertical="center"/>
    </xf>
    <xf numFmtId="0" fontId="0" fillId="2" borderId="0" xfId="0" applyFont="1" applyFill="1" applyAlignment="1">
      <alignment vertical="top"/>
    </xf>
    <xf numFmtId="0" fontId="17" fillId="2" borderId="0" xfId="0" applyFont="1" applyFill="1" applyAlignment="1">
      <alignment horizontal="left" vertical="center"/>
    </xf>
    <xf numFmtId="0" fontId="0" fillId="19" borderId="0" xfId="0" applyFont="1" applyFill="1" applyAlignment="1">
      <alignment horizontal="center"/>
    </xf>
    <xf numFmtId="165" fontId="25" fillId="0" borderId="0" xfId="0" applyNumberFormat="1" applyFont="1" applyAlignment="1">
      <alignment horizontal="center" vertical="center"/>
    </xf>
    <xf numFmtId="165" fontId="9" fillId="2" borderId="0" xfId="0" applyNumberFormat="1" applyFont="1" applyFill="1" applyAlignment="1">
      <alignment horizontal="center" vertical="center"/>
    </xf>
    <xf numFmtId="0" fontId="33" fillId="2" borderId="0" xfId="6" applyFont="1" applyFill="1" applyAlignment="1">
      <alignment horizontal="justify" vertical="top" wrapText="1"/>
    </xf>
    <xf numFmtId="0" fontId="0" fillId="2" borderId="0" xfId="0" applyFill="1" applyAlignment="1">
      <alignment wrapText="1"/>
    </xf>
    <xf numFmtId="0" fontId="33" fillId="20" borderId="0" xfId="6" applyFont="1" applyFill="1" applyAlignment="1">
      <alignment horizontal="justify" wrapText="1"/>
    </xf>
    <xf numFmtId="0" fontId="43" fillId="2" borderId="0" xfId="0" applyFont="1" applyFill="1"/>
    <xf numFmtId="0" fontId="25" fillId="2" borderId="0" xfId="0" applyFont="1" applyFill="1" applyAlignment="1">
      <alignment horizontal="center"/>
    </xf>
    <xf numFmtId="165" fontId="25" fillId="2" borderId="0" xfId="0" applyNumberFormat="1" applyFont="1" applyFill="1" applyAlignment="1">
      <alignment horizontal="center"/>
    </xf>
    <xf numFmtId="165" fontId="15" fillId="2" borderId="0" xfId="0" applyNumberFormat="1" applyFont="1" applyFill="1" applyAlignment="1" applyProtection="1">
      <alignment horizontal="left"/>
      <protection locked="0"/>
    </xf>
    <xf numFmtId="1" fontId="9" fillId="2" borderId="0" xfId="0" applyNumberFormat="1" applyFont="1" applyFill="1" applyAlignment="1">
      <alignment horizontal="center"/>
    </xf>
    <xf numFmtId="1" fontId="15" fillId="21" borderId="0" xfId="0" applyNumberFormat="1" applyFont="1" applyFill="1" applyAlignment="1" applyProtection="1">
      <alignment horizontal="center"/>
      <protection locked="0"/>
    </xf>
    <xf numFmtId="165" fontId="39" fillId="21" borderId="0" xfId="6" applyNumberFormat="1" applyFont="1" applyFill="1" applyAlignment="1">
      <alignment horizontal="center"/>
    </xf>
    <xf numFmtId="0" fontId="0" fillId="5" borderId="2" xfId="0" applyFont="1" applyFill="1" applyBorder="1"/>
    <xf numFmtId="0" fontId="0" fillId="5" borderId="5" xfId="0" applyFont="1" applyFill="1" applyBorder="1"/>
    <xf numFmtId="0" fontId="0" fillId="5" borderId="9" xfId="0" applyFont="1" applyFill="1" applyBorder="1" applyAlignment="1">
      <alignment horizontal="left"/>
    </xf>
    <xf numFmtId="0" fontId="44" fillId="13" borderId="14" xfId="0" applyFont="1" applyFill="1" applyBorder="1" applyAlignment="1">
      <alignment horizontal="center" vertical="center" wrapText="1"/>
    </xf>
    <xf numFmtId="0" fontId="17" fillId="13" borderId="1" xfId="0" applyFont="1" applyFill="1" applyBorder="1" applyAlignment="1">
      <alignment horizontal="center" vertical="center" wrapText="1"/>
    </xf>
    <xf numFmtId="165" fontId="17" fillId="2" borderId="15" xfId="0" applyNumberFormat="1" applyFont="1" applyFill="1" applyBorder="1" applyAlignment="1">
      <alignment horizontal="center"/>
    </xf>
    <xf numFmtId="165" fontId="17" fillId="2" borderId="14" xfId="0" applyNumberFormat="1" applyFont="1" applyFill="1" applyBorder="1" applyAlignment="1">
      <alignment horizontal="center"/>
    </xf>
    <xf numFmtId="0" fontId="0" fillId="2" borderId="7" xfId="0" applyFill="1" applyBorder="1" applyAlignment="1">
      <alignment vertical="center"/>
    </xf>
    <xf numFmtId="0" fontId="0" fillId="2" borderId="9" xfId="0" applyFill="1" applyBorder="1" applyAlignment="1">
      <alignment vertical="center"/>
    </xf>
    <xf numFmtId="0" fontId="5" fillId="2" borderId="5" xfId="6" applyFill="1" applyBorder="1" applyAlignment="1">
      <alignment vertical="center"/>
    </xf>
    <xf numFmtId="0" fontId="33" fillId="7" borderId="0" xfId="6" applyFont="1" applyFill="1" applyAlignment="1">
      <alignment horizontal="justify" vertical="center" wrapText="1"/>
    </xf>
    <xf numFmtId="0" fontId="33" fillId="12" borderId="20" xfId="6" applyFont="1" applyFill="1" applyBorder="1" applyAlignment="1">
      <alignment vertical="center" wrapText="1"/>
    </xf>
    <xf numFmtId="0" fontId="5" fillId="2" borderId="8" xfId="6" applyFill="1" applyBorder="1" applyAlignment="1">
      <alignment vertical="center"/>
    </xf>
    <xf numFmtId="0" fontId="3" fillId="5" borderId="0" xfId="6" applyFont="1" applyFill="1" applyAlignment="1">
      <alignment vertical="center"/>
    </xf>
    <xf numFmtId="0" fontId="5" fillId="5" borderId="0" xfId="6" applyFill="1" applyAlignment="1">
      <alignment vertical="center"/>
    </xf>
    <xf numFmtId="0" fontId="33" fillId="2" borderId="14" xfId="6" applyFont="1" applyFill="1" applyBorder="1" applyAlignment="1">
      <alignment vertical="center" wrapText="1"/>
    </xf>
    <xf numFmtId="0" fontId="33" fillId="13" borderId="3" xfId="6" applyFont="1" applyFill="1" applyBorder="1" applyAlignment="1">
      <alignment vertical="center" wrapText="1"/>
    </xf>
    <xf numFmtId="0" fontId="33" fillId="5" borderId="0" xfId="6" applyFont="1" applyFill="1" applyBorder="1" applyAlignment="1">
      <alignment vertical="center" wrapText="1"/>
    </xf>
    <xf numFmtId="2" fontId="15" fillId="11" borderId="0" xfId="0" applyNumberFormat="1" applyFont="1" applyFill="1" applyAlignment="1">
      <alignment horizontal="center"/>
    </xf>
    <xf numFmtId="165" fontId="15" fillId="11" borderId="3" xfId="0" applyNumberFormat="1" applyFont="1" applyFill="1" applyBorder="1" applyAlignment="1" applyProtection="1">
      <alignment horizontal="center"/>
      <protection locked="0"/>
    </xf>
    <xf numFmtId="165" fontId="15" fillId="11" borderId="6" xfId="0" applyNumberFormat="1" applyFont="1" applyFill="1" applyBorder="1" applyAlignment="1" applyProtection="1">
      <alignment horizontal="center"/>
      <protection locked="0"/>
    </xf>
    <xf numFmtId="165" fontId="9" fillId="2" borderId="0" xfId="0" applyNumberFormat="1" applyFont="1" applyFill="1" applyBorder="1" applyAlignment="1">
      <alignment horizontal="center"/>
    </xf>
    <xf numFmtId="165" fontId="15" fillId="22" borderId="0" xfId="0" applyNumberFormat="1" applyFont="1" applyFill="1" applyAlignment="1" applyProtection="1">
      <alignment horizontal="center"/>
      <protection locked="0"/>
    </xf>
    <xf numFmtId="0" fontId="0" fillId="22" borderId="0" xfId="0" applyFill="1" applyProtection="1">
      <protection locked="0"/>
    </xf>
    <xf numFmtId="165" fontId="9" fillId="22" borderId="0" xfId="0" applyNumberFormat="1" applyFont="1" applyFill="1" applyAlignment="1" applyProtection="1">
      <alignment horizontal="center"/>
      <protection locked="0"/>
    </xf>
    <xf numFmtId="0" fontId="9" fillId="22" borderId="0" xfId="0" applyFont="1" applyFill="1" applyProtection="1">
      <protection locked="0"/>
    </xf>
    <xf numFmtId="165" fontId="9" fillId="22" borderId="0" xfId="0" applyNumberFormat="1" applyFont="1" applyFill="1" applyAlignment="1">
      <alignment horizontal="center"/>
    </xf>
    <xf numFmtId="2" fontId="45" fillId="22" borderId="0" xfId="0" applyNumberFormat="1" applyFont="1" applyFill="1" applyAlignment="1">
      <alignment horizontal="center"/>
    </xf>
    <xf numFmtId="2" fontId="15" fillId="22" borderId="0" xfId="0" applyNumberFormat="1" applyFont="1" applyFill="1" applyAlignment="1">
      <alignment horizontal="center"/>
    </xf>
    <xf numFmtId="0" fontId="9" fillId="22" borderId="0" xfId="0" applyFont="1" applyFill="1"/>
    <xf numFmtId="167" fontId="9" fillId="22" borderId="0" xfId="0" applyNumberFormat="1" applyFont="1" applyFill="1" applyAlignment="1">
      <alignment horizontal="center"/>
    </xf>
    <xf numFmtId="2" fontId="9" fillId="22" borderId="0" xfId="0" applyNumberFormat="1" applyFont="1" applyFill="1" applyAlignment="1">
      <alignment horizontal="center"/>
    </xf>
    <xf numFmtId="168" fontId="9" fillId="22" borderId="0" xfId="0" applyNumberFormat="1" applyFont="1" applyFill="1" applyAlignment="1">
      <alignment horizontal="center"/>
    </xf>
    <xf numFmtId="170" fontId="9" fillId="22" borderId="0" xfId="0" applyNumberFormat="1" applyFont="1" applyFill="1" applyAlignment="1">
      <alignment horizontal="center"/>
    </xf>
    <xf numFmtId="2" fontId="25" fillId="2" borderId="0" xfId="0" applyNumberFormat="1" applyFont="1" applyFill="1"/>
    <xf numFmtId="0" fontId="25" fillId="2" borderId="0" xfId="0" applyFont="1" applyFill="1" applyAlignment="1">
      <alignment vertical="center"/>
    </xf>
    <xf numFmtId="2" fontId="25" fillId="2" borderId="0" xfId="0" applyNumberFormat="1" applyFont="1" applyFill="1" applyAlignment="1">
      <alignment vertical="center"/>
    </xf>
    <xf numFmtId="0" fontId="33" fillId="2" borderId="0" xfId="6" applyFont="1" applyFill="1" applyAlignment="1">
      <alignment horizontal="justify" vertical="top" wrapText="1"/>
    </xf>
    <xf numFmtId="0" fontId="19" fillId="2" borderId="6" xfId="6" applyFont="1" applyFill="1" applyBorder="1" applyAlignment="1">
      <alignment horizontal="left" wrapText="1"/>
    </xf>
    <xf numFmtId="0" fontId="34" fillId="2" borderId="0" xfId="6" applyFont="1" applyFill="1" applyAlignment="1">
      <alignment horizontal="justify" vertical="justify" wrapText="1"/>
    </xf>
    <xf numFmtId="0" fontId="33" fillId="2" borderId="0" xfId="6" applyFont="1" applyFill="1" applyAlignment="1">
      <alignment horizontal="left" vertical="center" wrapText="1"/>
    </xf>
    <xf numFmtId="0" fontId="33" fillId="2" borderId="21" xfId="6" applyFont="1" applyFill="1" applyBorder="1" applyAlignment="1">
      <alignment horizontal="left" vertical="center" wrapText="1"/>
    </xf>
    <xf numFmtId="0" fontId="33" fillId="2" borderId="0" xfId="6" applyFont="1" applyFill="1" applyAlignment="1">
      <alignment horizontal="justify" vertical="justify" wrapText="1"/>
    </xf>
    <xf numFmtId="0" fontId="33" fillId="2" borderId="0" xfId="6" applyFont="1" applyFill="1" applyAlignment="1">
      <alignment horizontal="justify" vertical="center" wrapText="1"/>
    </xf>
    <xf numFmtId="0" fontId="33" fillId="2" borderId="0" xfId="12" applyFont="1" applyFill="1" applyAlignment="1">
      <alignment horizontal="left" vertical="top" wrapText="1"/>
    </xf>
    <xf numFmtId="0" fontId="34" fillId="2" borderId="0" xfId="6" applyFont="1" applyFill="1" applyAlignment="1">
      <alignment horizontal="justify" vertical="top"/>
    </xf>
    <xf numFmtId="0" fontId="34" fillId="2" borderId="0" xfId="6" applyFont="1" applyFill="1" applyAlignment="1">
      <alignment horizontal="justify" vertical="top" wrapText="1"/>
    </xf>
    <xf numFmtId="0" fontId="46" fillId="2" borderId="0" xfId="6" applyFont="1" applyFill="1" applyAlignment="1">
      <alignment horizontal="justify" vertical="top" wrapText="1"/>
    </xf>
    <xf numFmtId="0" fontId="33" fillId="2" borderId="0" xfId="6" applyFont="1" applyFill="1" applyBorder="1" applyAlignment="1">
      <alignment horizontal="left" vertical="center" wrapText="1"/>
    </xf>
    <xf numFmtId="0" fontId="33" fillId="2" borderId="0" xfId="6" applyFont="1" applyFill="1" applyAlignment="1">
      <alignment horizontal="left" vertical="top" wrapText="1"/>
    </xf>
    <xf numFmtId="0" fontId="33" fillId="2" borderId="8" xfId="6" applyFont="1" applyFill="1" applyBorder="1" applyAlignment="1">
      <alignment horizontal="left" vertical="top" wrapText="1"/>
    </xf>
    <xf numFmtId="0" fontId="33" fillId="2" borderId="22" xfId="6" applyFont="1" applyFill="1" applyBorder="1" applyAlignment="1">
      <alignment horizontal="left" vertical="center" wrapText="1"/>
    </xf>
    <xf numFmtId="0" fontId="17" fillId="2" borderId="10" xfId="0" applyFont="1" applyFill="1" applyBorder="1" applyAlignment="1">
      <alignment horizontal="center"/>
    </xf>
    <xf numFmtId="0" fontId="17" fillId="2" borderId="11" xfId="0" applyFont="1" applyFill="1" applyBorder="1" applyAlignment="1">
      <alignment horizontal="center"/>
    </xf>
    <xf numFmtId="0" fontId="17" fillId="2" borderId="12" xfId="0" applyFont="1" applyFill="1" applyBorder="1" applyAlignment="1">
      <alignment horizontal="center"/>
    </xf>
    <xf numFmtId="0" fontId="0" fillId="2" borderId="15" xfId="0" applyFill="1" applyBorder="1" applyAlignment="1">
      <alignment horizontal="center" vertical="center"/>
    </xf>
    <xf numFmtId="0" fontId="0" fillId="2" borderId="13" xfId="0" applyFill="1" applyBorder="1" applyAlignment="1">
      <alignment horizontal="center" vertical="center"/>
    </xf>
    <xf numFmtId="0" fontId="0" fillId="2" borderId="14" xfId="0" applyFill="1" applyBorder="1" applyAlignment="1">
      <alignment horizontal="center" vertical="center"/>
    </xf>
    <xf numFmtId="0" fontId="17" fillId="2" borderId="10" xfId="0" applyFont="1" applyFill="1" applyBorder="1" applyAlignment="1">
      <alignment horizontal="center" vertical="center" wrapText="1"/>
    </xf>
    <xf numFmtId="0" fontId="17" fillId="2" borderId="12" xfId="0" applyFont="1" applyFill="1" applyBorder="1" applyAlignment="1">
      <alignment horizontal="center" vertical="center" wrapText="1"/>
    </xf>
    <xf numFmtId="0" fontId="0" fillId="2" borderId="3" xfId="0" applyFill="1" applyBorder="1" applyAlignment="1">
      <alignment horizontal="left" vertical="top" wrapText="1"/>
    </xf>
    <xf numFmtId="0" fontId="17" fillId="2" borderId="11" xfId="0" applyFont="1" applyFill="1" applyBorder="1" applyAlignment="1">
      <alignment horizontal="center" vertical="center" wrapText="1"/>
    </xf>
    <xf numFmtId="0" fontId="17" fillId="13" borderId="10" xfId="0" applyFont="1" applyFill="1" applyBorder="1" applyAlignment="1">
      <alignment horizontal="center" vertical="center" wrapText="1"/>
    </xf>
    <xf numFmtId="0" fontId="17" fillId="13" borderId="12" xfId="0" applyFont="1" applyFill="1" applyBorder="1" applyAlignment="1">
      <alignment horizontal="center" vertical="center" wrapText="1"/>
    </xf>
    <xf numFmtId="0" fontId="0" fillId="13" borderId="15" xfId="0" applyFill="1" applyBorder="1" applyAlignment="1">
      <alignment horizontal="center" vertical="center" wrapText="1"/>
    </xf>
    <xf numFmtId="0" fontId="0" fillId="13" borderId="13" xfId="0" applyFill="1" applyBorder="1" applyAlignment="1">
      <alignment horizontal="center" vertical="center" wrapText="1"/>
    </xf>
    <xf numFmtId="0" fontId="0" fillId="13" borderId="14" xfId="0" applyFill="1" applyBorder="1" applyAlignment="1">
      <alignment horizontal="center" vertical="center" wrapText="1"/>
    </xf>
    <xf numFmtId="0" fontId="0" fillId="2" borderId="15" xfId="0" applyFill="1" applyBorder="1" applyAlignment="1">
      <alignment horizontal="center" vertical="center" wrapText="1"/>
    </xf>
    <xf numFmtId="0" fontId="0" fillId="2" borderId="13" xfId="0" applyFill="1" applyBorder="1" applyAlignment="1">
      <alignment horizontal="center" vertical="center" wrapText="1"/>
    </xf>
    <xf numFmtId="0" fontId="0" fillId="2" borderId="14" xfId="0" applyFill="1" applyBorder="1" applyAlignment="1">
      <alignment horizontal="center" vertical="center" wrapText="1"/>
    </xf>
    <xf numFmtId="0" fontId="17" fillId="2" borderId="2" xfId="0" applyFont="1" applyFill="1" applyBorder="1" applyAlignment="1">
      <alignment horizontal="center" vertical="center"/>
    </xf>
    <xf numFmtId="0" fontId="17" fillId="2" borderId="3" xfId="0" applyFont="1" applyFill="1" applyBorder="1" applyAlignment="1">
      <alignment horizontal="center" vertical="center"/>
    </xf>
    <xf numFmtId="0" fontId="17" fillId="2" borderId="4" xfId="0" applyFont="1" applyFill="1" applyBorder="1" applyAlignment="1">
      <alignment horizontal="center" vertical="center"/>
    </xf>
    <xf numFmtId="0" fontId="17" fillId="2" borderId="9" xfId="0" applyFont="1" applyFill="1" applyBorder="1" applyAlignment="1">
      <alignment horizontal="center" vertical="center"/>
    </xf>
    <xf numFmtId="0" fontId="17" fillId="2" borderId="6" xfId="0" applyFont="1" applyFill="1" applyBorder="1" applyAlignment="1">
      <alignment horizontal="center" vertical="center"/>
    </xf>
    <xf numFmtId="0" fontId="17" fillId="2" borderId="7" xfId="0" applyFont="1" applyFill="1" applyBorder="1" applyAlignment="1">
      <alignment horizontal="center" vertical="center"/>
    </xf>
    <xf numFmtId="0" fontId="17" fillId="2" borderId="10" xfId="0" applyFont="1" applyFill="1" applyBorder="1" applyAlignment="1">
      <alignment horizontal="center" vertical="center"/>
    </xf>
    <xf numFmtId="0" fontId="17" fillId="2" borderId="11" xfId="0" applyFont="1" applyFill="1" applyBorder="1" applyAlignment="1">
      <alignment horizontal="center" vertical="center"/>
    </xf>
    <xf numFmtId="0" fontId="17" fillId="2" borderId="12" xfId="0" applyFont="1" applyFill="1" applyBorder="1" applyAlignment="1">
      <alignment horizontal="center" vertical="center"/>
    </xf>
    <xf numFmtId="0" fontId="51" fillId="2" borderId="0" xfId="0" applyFont="1" applyFill="1" applyAlignment="1">
      <alignment horizontal="center" vertical="center" wrapText="1"/>
    </xf>
    <xf numFmtId="0" fontId="0" fillId="5" borderId="5" xfId="0" applyFill="1" applyBorder="1" applyAlignment="1">
      <alignment horizontal="left" vertical="center" wrapText="1" indent="2"/>
    </xf>
    <xf numFmtId="0" fontId="0" fillId="5" borderId="0" xfId="0" applyFill="1" applyBorder="1" applyAlignment="1">
      <alignment horizontal="left" vertical="center" wrapText="1" indent="2"/>
    </xf>
    <xf numFmtId="0" fontId="0" fillId="5" borderId="8" xfId="0" applyFill="1" applyBorder="1" applyAlignment="1">
      <alignment horizontal="left" vertical="center" wrapText="1" indent="2"/>
    </xf>
    <xf numFmtId="0" fontId="0" fillId="5" borderId="9" xfId="0" applyFill="1" applyBorder="1" applyAlignment="1">
      <alignment horizontal="left" vertical="center" wrapText="1" indent="2"/>
    </xf>
    <xf numFmtId="0" fontId="0" fillId="5" borderId="6" xfId="0" applyFill="1" applyBorder="1" applyAlignment="1">
      <alignment horizontal="left" vertical="center" wrapText="1" indent="2"/>
    </xf>
    <xf numFmtId="0" fontId="0" fillId="5" borderId="7" xfId="0" applyFill="1" applyBorder="1" applyAlignment="1">
      <alignment horizontal="left" vertical="center" wrapText="1" indent="2"/>
    </xf>
    <xf numFmtId="0" fontId="44" fillId="5" borderId="10" xfId="0" applyFont="1" applyFill="1" applyBorder="1" applyAlignment="1">
      <alignment horizontal="center" vertical="center" wrapText="1"/>
    </xf>
    <xf numFmtId="0" fontId="44" fillId="5" borderId="11" xfId="0" applyFont="1" applyFill="1" applyBorder="1" applyAlignment="1">
      <alignment horizontal="center" vertical="center" wrapText="1"/>
    </xf>
    <xf numFmtId="0" fontId="44" fillId="5" borderId="12" xfId="0" applyFont="1" applyFill="1" applyBorder="1" applyAlignment="1">
      <alignment horizontal="center" vertical="center" wrapText="1"/>
    </xf>
    <xf numFmtId="0" fontId="0" fillId="2" borderId="15" xfId="0" applyFill="1" applyBorder="1" applyAlignment="1">
      <alignment horizontal="left" vertical="center"/>
    </xf>
    <xf numFmtId="0" fontId="17" fillId="5" borderId="10" xfId="0" applyFont="1" applyFill="1" applyBorder="1" applyAlignment="1">
      <alignment horizontal="center" vertical="center" wrapText="1"/>
    </xf>
    <xf numFmtId="0" fontId="17" fillId="5" borderId="12" xfId="0" applyFont="1" applyFill="1" applyBorder="1" applyAlignment="1">
      <alignment horizontal="center" vertical="center" wrapText="1"/>
    </xf>
    <xf numFmtId="0" fontId="30" fillId="5" borderId="2" xfId="0" applyFont="1" applyFill="1" applyBorder="1" applyAlignment="1">
      <alignment horizontal="left" vertical="center" wrapText="1"/>
    </xf>
    <xf numFmtId="0" fontId="30" fillId="5" borderId="3" xfId="0" applyFont="1" applyFill="1" applyBorder="1" applyAlignment="1">
      <alignment horizontal="left" vertical="center" wrapText="1"/>
    </xf>
    <xf numFmtId="0" fontId="30" fillId="5" borderId="4" xfId="0" applyFont="1" applyFill="1" applyBorder="1" applyAlignment="1">
      <alignment horizontal="left" vertical="center" wrapText="1"/>
    </xf>
    <xf numFmtId="0" fontId="0" fillId="2" borderId="3" xfId="0" applyFill="1" applyBorder="1" applyAlignment="1">
      <alignment horizontal="left" wrapText="1"/>
    </xf>
    <xf numFmtId="0" fontId="0" fillId="2" borderId="9" xfId="0" applyFill="1" applyBorder="1" applyAlignment="1">
      <alignment horizontal="left" vertical="center"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17" fillId="2" borderId="2" xfId="0" applyFont="1" applyFill="1" applyBorder="1" applyAlignment="1">
      <alignment horizontal="left"/>
    </xf>
    <xf numFmtId="0" fontId="17" fillId="2" borderId="3" xfId="0" applyFont="1" applyFill="1" applyBorder="1" applyAlignment="1">
      <alignment horizontal="left"/>
    </xf>
    <xf numFmtId="0" fontId="17" fillId="2" borderId="9" xfId="0" applyFont="1" applyFill="1" applyBorder="1" applyAlignment="1">
      <alignment horizontal="left"/>
    </xf>
    <xf numFmtId="0" fontId="17" fillId="2" borderId="6" xfId="0" applyFont="1" applyFill="1" applyBorder="1" applyAlignment="1">
      <alignment horizontal="left"/>
    </xf>
    <xf numFmtId="0" fontId="0" fillId="2" borderId="0" xfId="0" applyFill="1" applyAlignment="1">
      <alignment horizontal="justify" vertical="top" wrapText="1"/>
    </xf>
    <xf numFmtId="0" fontId="0" fillId="13" borderId="15" xfId="0" applyFill="1" applyBorder="1" applyAlignment="1">
      <alignment horizontal="center" vertical="center"/>
    </xf>
    <xf numFmtId="0" fontId="0" fillId="13" borderId="13" xfId="0" applyFill="1" applyBorder="1" applyAlignment="1">
      <alignment horizontal="center" vertical="center"/>
    </xf>
    <xf numFmtId="0" fontId="0" fillId="13" borderId="14" xfId="0" applyFill="1" applyBorder="1" applyAlignment="1">
      <alignment horizontal="center" vertical="center"/>
    </xf>
    <xf numFmtId="165" fontId="0" fillId="2" borderId="15" xfId="0" applyNumberFormat="1" applyFill="1" applyBorder="1" applyAlignment="1">
      <alignment horizontal="center" vertical="center" wrapText="1"/>
    </xf>
    <xf numFmtId="165" fontId="0" fillId="2" borderId="13" xfId="0" applyNumberFormat="1" applyFill="1" applyBorder="1" applyAlignment="1">
      <alignment horizontal="center" vertical="center" wrapText="1"/>
    </xf>
    <xf numFmtId="165" fontId="0" fillId="2" borderId="14" xfId="0" applyNumberFormat="1" applyFill="1" applyBorder="1" applyAlignment="1">
      <alignment horizontal="center" vertical="center" wrapText="1"/>
    </xf>
    <xf numFmtId="0" fontId="0" fillId="2" borderId="3" xfId="0" applyFill="1" applyBorder="1" applyAlignment="1">
      <alignment horizontal="justify" vertical="top" wrapText="1"/>
    </xf>
    <xf numFmtId="0" fontId="44" fillId="2" borderId="10" xfId="0" applyFont="1" applyFill="1" applyBorder="1" applyAlignment="1">
      <alignment horizontal="center" vertical="center" wrapText="1"/>
    </xf>
    <xf numFmtId="0" fontId="44" fillId="2" borderId="11" xfId="0" applyFont="1" applyFill="1" applyBorder="1" applyAlignment="1">
      <alignment horizontal="center" vertical="center" wrapText="1"/>
    </xf>
    <xf numFmtId="0" fontId="44" fillId="2" borderId="12" xfId="0" applyFont="1" applyFill="1" applyBorder="1" applyAlignment="1">
      <alignment horizontal="center" vertical="center" wrapText="1"/>
    </xf>
    <xf numFmtId="0" fontId="0" fillId="2" borderId="2" xfId="0" applyFill="1" applyBorder="1" applyAlignment="1">
      <alignment horizontal="left" vertical="center" wrapText="1"/>
    </xf>
    <xf numFmtId="0" fontId="0" fillId="2" borderId="3" xfId="0" applyFill="1" applyBorder="1" applyAlignment="1">
      <alignment horizontal="left" vertical="center" wrapText="1"/>
    </xf>
    <xf numFmtId="0" fontId="0" fillId="2" borderId="4" xfId="0" applyFill="1" applyBorder="1" applyAlignment="1">
      <alignment horizontal="left" vertical="center" wrapText="1"/>
    </xf>
  </cellXfs>
  <cellStyles count="14">
    <cellStyle name="Hyperlink 2" xfId="4" xr:uid="{00000000-0005-0000-0000-000000000000}"/>
    <cellStyle name="Normal" xfId="0" builtinId="0"/>
    <cellStyle name="Normal 2" xfId="3" xr:uid="{00000000-0005-0000-0000-000002000000}"/>
    <cellStyle name="Normal 2 2" xfId="5" xr:uid="{00000000-0005-0000-0000-000003000000}"/>
    <cellStyle name="Normal 2 2 2" xfId="6" xr:uid="{00000000-0005-0000-0000-000004000000}"/>
    <cellStyle name="Normal 2 2 2 2" xfId="11" xr:uid="{D0E23963-54C4-40C3-A08B-C51BBEBC5911}"/>
    <cellStyle name="Normal 2 2 2 3" xfId="12" xr:uid="{E686E16B-8FF5-42A3-854C-C9783938C00C}"/>
    <cellStyle name="Normal 2 2 3" xfId="10" xr:uid="{8E0939B2-890A-4E4A-9A67-9A990C4259EA}"/>
    <cellStyle name="Normal 2 3" xfId="9" xr:uid="{6D6AF9E9-B81E-4C25-8D2A-8C5EC56A28D7}"/>
    <cellStyle name="Normal 4 5" xfId="13" xr:uid="{961F5BD5-E2A8-4CCD-93A3-2FC6DE1553AE}"/>
    <cellStyle name="Normal 5" xfId="2" xr:uid="{00000000-0005-0000-0000-000005000000}"/>
    <cellStyle name="Normal 5 2" xfId="8" xr:uid="{BE5ABAF7-F156-47EA-94C7-F5604FBB16A1}"/>
    <cellStyle name="Normal 6" xfId="1" xr:uid="{00000000-0005-0000-0000-000006000000}"/>
    <cellStyle name="Normal 6 2" xfId="7" xr:uid="{D760FB6E-0ACD-4E7B-8A23-51253FCE930B}"/>
  </cellStyles>
  <dxfs count="53">
    <dxf>
      <font>
        <color theme="0"/>
      </font>
      <fill>
        <patternFill>
          <bgColor theme="0"/>
        </patternFill>
      </fill>
    </dxf>
    <dxf>
      <font>
        <color theme="0"/>
      </font>
      <fill>
        <patternFill>
          <bgColor theme="0"/>
        </patternFill>
      </fill>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ill>
        <patternFill>
          <bgColor theme="0" tint="-0.14996795556505021"/>
        </patternFill>
      </fill>
    </dxf>
    <dxf>
      <fill>
        <patternFill>
          <bgColor theme="0" tint="-0.14996795556505021"/>
        </patternFill>
      </fill>
    </dxf>
    <dxf>
      <font>
        <color theme="0"/>
      </font>
    </dxf>
    <dxf>
      <fill>
        <patternFill>
          <bgColor theme="0" tint="-0.14996795556505021"/>
        </patternFill>
      </fill>
    </dxf>
    <dxf>
      <font>
        <color theme="0"/>
      </font>
    </dxf>
    <dxf>
      <fill>
        <patternFill>
          <bgColor theme="0"/>
        </patternFill>
      </fill>
    </dxf>
    <dxf>
      <fill>
        <patternFill>
          <bgColor theme="0"/>
        </patternFill>
      </fill>
    </dxf>
    <dxf>
      <fill>
        <patternFill>
          <bgColor theme="0" tint="-0.14996795556505021"/>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dxf>
    <dxf>
      <border>
        <left style="thin">
          <color auto="1"/>
        </left>
        <top style="thin">
          <color auto="1"/>
        </top>
        <bottom style="thin">
          <color auto="1"/>
        </bottom>
        <vertical/>
        <horizontal/>
      </border>
    </dxf>
    <dxf>
      <border>
        <right style="thin">
          <color auto="1"/>
        </right>
        <top style="thin">
          <color auto="1"/>
        </top>
        <bottom style="thin">
          <color auto="1"/>
        </bottom>
        <vertical/>
        <horizontal/>
      </border>
    </dxf>
    <dxf>
      <border>
        <left style="thin">
          <color auto="1"/>
        </left>
        <top style="thin">
          <color auto="1"/>
        </top>
        <bottom style="thin">
          <color auto="1"/>
        </bottom>
        <vertical/>
        <horizontal/>
      </border>
    </dxf>
    <dxf>
      <font>
        <color theme="0"/>
      </font>
    </dxf>
    <dxf>
      <fill>
        <patternFill>
          <bgColor theme="0" tint="-0.14996795556505021"/>
        </patternFill>
      </fill>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ill>
        <patternFill>
          <bgColor theme="0" tint="-0.14996795556505021"/>
        </patternFill>
      </fill>
    </dxf>
    <dxf>
      <fill>
        <patternFill>
          <bgColor theme="0" tint="-0.14996795556505021"/>
        </patternFill>
      </fill>
    </dxf>
    <dxf>
      <font>
        <color theme="0"/>
      </font>
    </dxf>
    <dxf>
      <fill>
        <patternFill>
          <bgColor theme="0" tint="-0.34998626667073579"/>
        </patternFill>
      </fill>
    </dxf>
    <dxf>
      <fill>
        <patternFill>
          <bgColor theme="0" tint="-0.14996795556505021"/>
        </patternFill>
      </fill>
    </dxf>
    <dxf>
      <fill>
        <patternFill>
          <bgColor theme="0" tint="-0.34998626667073579"/>
        </patternFill>
      </fill>
      <border>
        <left style="thin">
          <color auto="1"/>
        </left>
        <right style="thin">
          <color auto="1"/>
        </right>
        <bottom style="thin">
          <color auto="1"/>
        </bottom>
      </border>
    </dxf>
    <dxf>
      <fill>
        <patternFill>
          <bgColor theme="0" tint="-0.34998626667073579"/>
        </patternFill>
      </fill>
      <border>
        <left style="thin">
          <color auto="1"/>
        </left>
        <right style="thin">
          <color auto="1"/>
        </right>
        <top style="thin">
          <color auto="1"/>
        </top>
      </border>
    </dxf>
    <dxf>
      <font>
        <color theme="0"/>
      </font>
    </dxf>
    <dxf>
      <fill>
        <patternFill>
          <bgColor theme="0"/>
        </patternFill>
      </fill>
    </dxf>
    <dxf>
      <fill>
        <patternFill>
          <bgColor theme="0" tint="-0.14996795556505021"/>
        </patternFill>
      </fill>
    </dxf>
    <dxf>
      <font>
        <color theme="0"/>
      </font>
      <fill>
        <patternFill patternType="solid">
          <bgColor theme="0"/>
        </patternFill>
      </fill>
      <border>
        <left/>
        <right/>
        <top/>
        <bottom/>
        <vertical/>
        <horizontal/>
      </border>
    </dxf>
    <dxf>
      <font>
        <color theme="0"/>
      </font>
      <fill>
        <patternFill>
          <bgColor theme="0"/>
        </patternFill>
      </fill>
      <border>
        <left/>
        <right/>
        <top/>
        <bottom/>
      </border>
    </dxf>
    <dxf>
      <font>
        <color theme="0"/>
      </font>
      <fill>
        <patternFill patternType="solid">
          <bgColor theme="0"/>
        </patternFill>
      </fill>
      <border>
        <left/>
        <right/>
        <top/>
        <bottom/>
        <vertical/>
        <horizontal/>
      </border>
    </dxf>
    <dxf>
      <font>
        <color theme="0"/>
      </font>
      <fill>
        <patternFill patternType="solid">
          <bgColor theme="0"/>
        </patternFill>
      </fill>
      <border>
        <left/>
        <right/>
        <top/>
        <bottom/>
        <vertical/>
        <horizontal/>
      </border>
    </dxf>
    <dxf>
      <fill>
        <patternFill>
          <bgColor theme="0" tint="-0.14996795556505021"/>
        </patternFill>
      </fill>
    </dxf>
    <dxf>
      <font>
        <color theme="0"/>
      </font>
      <fill>
        <patternFill>
          <bgColor theme="0"/>
        </patternFill>
      </fill>
      <border>
        <left/>
        <right/>
        <top/>
        <bottom/>
      </border>
    </dxf>
    <dxf>
      <font>
        <color theme="0"/>
      </font>
      <fill>
        <patternFill>
          <bgColor theme="0"/>
        </patternFill>
      </fill>
      <border>
        <left/>
        <right/>
        <top/>
        <bottom/>
      </border>
    </dxf>
    <dxf>
      <font>
        <color theme="0"/>
      </font>
    </dxf>
    <dxf>
      <font>
        <color theme="0"/>
      </font>
    </dxf>
    <dxf>
      <fill>
        <patternFill>
          <bgColor theme="0" tint="-0.14996795556505021"/>
        </patternFill>
      </fill>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border>
        <left/>
        <right/>
        <top/>
        <bottom/>
        <vertical/>
        <horizontal/>
      </border>
    </dxf>
    <dxf>
      <border>
        <left/>
        <right/>
        <top/>
        <bottom/>
        <vertical/>
        <horizontal/>
      </border>
    </dxf>
    <dxf>
      <font>
        <strike val="0"/>
        <color theme="0"/>
      </font>
    </dxf>
    <dxf>
      <border>
        <left style="thin">
          <color auto="1"/>
        </left>
        <right/>
        <top/>
        <bottom/>
        <vertical/>
        <horizontal/>
      </border>
    </dxf>
    <dxf>
      <font>
        <b/>
        <i val="0"/>
        <color rgb="FF00B050"/>
      </font>
    </dxf>
  </dxfs>
  <tableStyles count="0" defaultTableStyle="TableStyleMedium2" defaultPivotStyle="PivotStyleLight16"/>
  <colors>
    <mruColors>
      <color rgb="FFFFFFCC"/>
      <color rgb="FFF8A8ED"/>
      <color rgb="FFFFC7CE"/>
      <color rgb="FFF2DC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Stochastic!$B$21</c:f>
          <c:strCache>
            <c:ptCount val="1"/>
            <c:pt idx="0">
              <c:v>Stochastic debt projections 2029-2033</c:v>
            </c:pt>
          </c:strCache>
        </c:strRef>
      </c:tx>
      <c:overlay val="0"/>
    </c:title>
    <c:autoTitleDeleted val="0"/>
    <c:plotArea>
      <c:layout>
        <c:manualLayout>
          <c:layoutTarget val="inner"/>
          <c:xMode val="edge"/>
          <c:yMode val="edge"/>
          <c:x val="8.6310419062785679E-2"/>
          <c:y val="0.14954234919701911"/>
          <c:w val="0.85496978555227576"/>
          <c:h val="0.75103905168930085"/>
        </c:manualLayout>
      </c:layout>
      <c:areaChart>
        <c:grouping val="stacked"/>
        <c:varyColors val="0"/>
        <c:ser>
          <c:idx val="1"/>
          <c:order val="0"/>
          <c:tx>
            <c:strRef>
              <c:f>Stochastic!$B$22</c:f>
              <c:strCache>
                <c:ptCount val="1"/>
                <c:pt idx="0">
                  <c:v>p10</c:v>
                </c:pt>
              </c:strCache>
            </c:strRef>
          </c:tx>
          <c:spPr>
            <a:noFill/>
            <a:ln w="25400">
              <a:noFill/>
            </a:ln>
          </c:spPr>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Stochastic!$C$22:$I$22</c:f>
              <c:numCache>
                <c:formatCode>0.0</c:formatCode>
                <c:ptCount val="7"/>
                <c:pt idx="0">
                  <c:v>63.836881536064524</c:v>
                </c:pt>
                <c:pt idx="1">
                  <c:v>62.913564321630858</c:v>
                </c:pt>
                <c:pt idx="2">
                  <c:v>61.635909824928312</c:v>
                </c:pt>
                <c:pt idx="3">
                  <c:v>56.786287037291146</c:v>
                </c:pt>
                <c:pt idx="4">
                  <c:v>54.058551940657857</c:v>
                </c:pt>
                <c:pt idx="5">
                  <c:v>52.227564059753064</c:v>
                </c:pt>
                <c:pt idx="6">
                  <c:v>50.574850844689571</c:v>
                </c:pt>
              </c:numCache>
            </c:numRef>
          </c:val>
          <c:extLst>
            <c:ext xmlns:c16="http://schemas.microsoft.com/office/drawing/2014/chart" uri="{C3380CC4-5D6E-409C-BE32-E72D297353CC}">
              <c16:uniqueId val="{00000000-0172-4116-9325-0285A655A4B3}"/>
            </c:ext>
          </c:extLst>
        </c:ser>
        <c:ser>
          <c:idx val="2"/>
          <c:order val="1"/>
          <c:tx>
            <c:strRef>
              <c:f>Stochastic!$B$23</c:f>
              <c:strCache>
                <c:ptCount val="1"/>
                <c:pt idx="0">
                  <c:v>p30_p10</c:v>
                </c:pt>
              </c:strCache>
            </c:strRef>
          </c:tx>
          <c:spPr>
            <a:solidFill>
              <a:srgbClr val="4F81BD">
                <a:lumMod val="60000"/>
                <a:lumOff val="40000"/>
              </a:srgbClr>
            </a:solidFill>
            <a:ln w="12700">
              <a:solidFill>
                <a:srgbClr val="000000"/>
              </a:solidFill>
              <a:prstDash val="solid"/>
            </a:ln>
          </c:spPr>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Stochastic!$C$23:$I$23</c:f>
              <c:numCache>
                <c:formatCode>0.0</c:formatCode>
                <c:ptCount val="7"/>
                <c:pt idx="0">
                  <c:v>0</c:v>
                </c:pt>
                <c:pt idx="1">
                  <c:v>0</c:v>
                </c:pt>
                <c:pt idx="2">
                  <c:v>0</c:v>
                </c:pt>
                <c:pt idx="3">
                  <c:v>2.02593994140625</c:v>
                </c:pt>
                <c:pt idx="4">
                  <c:v>2.7824592590332031</c:v>
                </c:pt>
                <c:pt idx="5">
                  <c:v>3.4491157531738281</c:v>
                </c:pt>
                <c:pt idx="6">
                  <c:v>4.1416091918945313</c:v>
                </c:pt>
              </c:numCache>
            </c:numRef>
          </c:val>
          <c:extLst>
            <c:ext xmlns:c16="http://schemas.microsoft.com/office/drawing/2014/chart" uri="{C3380CC4-5D6E-409C-BE32-E72D297353CC}">
              <c16:uniqueId val="{00000001-0172-4116-9325-0285A655A4B3}"/>
            </c:ext>
          </c:extLst>
        </c:ser>
        <c:ser>
          <c:idx val="3"/>
          <c:order val="2"/>
          <c:tx>
            <c:strRef>
              <c:f>Stochastic!$B$24</c:f>
              <c:strCache>
                <c:ptCount val="1"/>
                <c:pt idx="0">
                  <c:v>p50_p30</c:v>
                </c:pt>
              </c:strCache>
            </c:strRef>
          </c:tx>
          <c:spPr>
            <a:solidFill>
              <a:schemeClr val="accent1">
                <a:lumMod val="60000"/>
                <a:lumOff val="40000"/>
              </a:schemeClr>
            </a:solidFill>
            <a:ln w="12700">
              <a:solidFill>
                <a:srgbClr val="000000"/>
              </a:solidFill>
              <a:prstDash val="solid"/>
            </a:ln>
          </c:spPr>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Stochastic!$C$24:$I$24</c:f>
              <c:numCache>
                <c:formatCode>0.0</c:formatCode>
                <c:ptCount val="7"/>
                <c:pt idx="0">
                  <c:v>0</c:v>
                </c:pt>
                <c:pt idx="1">
                  <c:v>0</c:v>
                </c:pt>
                <c:pt idx="2">
                  <c:v>0</c:v>
                </c:pt>
                <c:pt idx="3">
                  <c:v>1.4924430847167969</c:v>
                </c:pt>
                <c:pt idx="4">
                  <c:v>2.07562255859375</c:v>
                </c:pt>
                <c:pt idx="5">
                  <c:v>2.4244575500488281</c:v>
                </c:pt>
                <c:pt idx="6">
                  <c:v>2.7306861877441406</c:v>
                </c:pt>
              </c:numCache>
            </c:numRef>
          </c:val>
          <c:extLst>
            <c:ext xmlns:c16="http://schemas.microsoft.com/office/drawing/2014/chart" uri="{C3380CC4-5D6E-409C-BE32-E72D297353CC}">
              <c16:uniqueId val="{00000002-0172-4116-9325-0285A655A4B3}"/>
            </c:ext>
          </c:extLst>
        </c:ser>
        <c:ser>
          <c:idx val="4"/>
          <c:order val="3"/>
          <c:tx>
            <c:strRef>
              <c:f>Stochastic!$B$25</c:f>
              <c:strCache>
                <c:ptCount val="1"/>
                <c:pt idx="0">
                  <c:v>p70_p50</c:v>
                </c:pt>
              </c:strCache>
            </c:strRef>
          </c:tx>
          <c:spPr>
            <a:solidFill>
              <a:srgbClr val="4F81BD">
                <a:lumMod val="60000"/>
                <a:lumOff val="40000"/>
              </a:srgbClr>
            </a:solidFill>
            <a:ln w="12700">
              <a:solidFill>
                <a:srgbClr val="000000"/>
              </a:solidFill>
              <a:prstDash val="solid"/>
            </a:ln>
          </c:spPr>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Stochastic!$C$25:$I$25</c:f>
              <c:numCache>
                <c:formatCode>0.0</c:formatCode>
                <c:ptCount val="7"/>
                <c:pt idx="0">
                  <c:v>0</c:v>
                </c:pt>
                <c:pt idx="1">
                  <c:v>0</c:v>
                </c:pt>
                <c:pt idx="2">
                  <c:v>0</c:v>
                </c:pt>
                <c:pt idx="3">
                  <c:v>1.4053764343261719</c:v>
                </c:pt>
                <c:pt idx="4">
                  <c:v>1.9895439147949219</c:v>
                </c:pt>
                <c:pt idx="5">
                  <c:v>2.435211181640625</c:v>
                </c:pt>
                <c:pt idx="6">
                  <c:v>2.8511276245117188</c:v>
                </c:pt>
              </c:numCache>
            </c:numRef>
          </c:val>
          <c:extLst>
            <c:ext xmlns:c16="http://schemas.microsoft.com/office/drawing/2014/chart" uri="{C3380CC4-5D6E-409C-BE32-E72D297353CC}">
              <c16:uniqueId val="{00000003-0172-4116-9325-0285A655A4B3}"/>
            </c:ext>
          </c:extLst>
        </c:ser>
        <c:ser>
          <c:idx val="5"/>
          <c:order val="4"/>
          <c:tx>
            <c:strRef>
              <c:f>Stochastic!$B$26</c:f>
              <c:strCache>
                <c:ptCount val="1"/>
                <c:pt idx="0">
                  <c:v>p90_p70</c:v>
                </c:pt>
              </c:strCache>
            </c:strRef>
          </c:tx>
          <c:spPr>
            <a:solidFill>
              <a:srgbClr val="4F81BD">
                <a:lumMod val="20000"/>
                <a:lumOff val="80000"/>
              </a:srgbClr>
            </a:solidFill>
            <a:ln w="12700">
              <a:solidFill>
                <a:srgbClr val="000000"/>
              </a:solidFill>
              <a:prstDash val="solid"/>
            </a:ln>
          </c:spPr>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Stochastic!$C$26:$I$26</c:f>
              <c:numCache>
                <c:formatCode>0.0</c:formatCode>
                <c:ptCount val="7"/>
                <c:pt idx="0">
                  <c:v>0</c:v>
                </c:pt>
                <c:pt idx="1">
                  <c:v>0</c:v>
                </c:pt>
                <c:pt idx="2">
                  <c:v>0</c:v>
                </c:pt>
                <c:pt idx="3">
                  <c:v>2.07635498046875</c:v>
                </c:pt>
                <c:pt idx="4">
                  <c:v>2.8600959777832031</c:v>
                </c:pt>
                <c:pt idx="5">
                  <c:v>3.5276031494140625</c:v>
                </c:pt>
                <c:pt idx="6">
                  <c:v>4.1551017761230469</c:v>
                </c:pt>
              </c:numCache>
            </c:numRef>
          </c:val>
          <c:extLst>
            <c:ext xmlns:c16="http://schemas.microsoft.com/office/drawing/2014/chart" uri="{C3380CC4-5D6E-409C-BE32-E72D297353CC}">
              <c16:uniqueId val="{00000004-0172-4116-9325-0285A655A4B3}"/>
            </c:ext>
          </c:extLst>
        </c:ser>
        <c:dLbls>
          <c:showLegendKey val="0"/>
          <c:showVal val="0"/>
          <c:showCatName val="0"/>
          <c:showSerName val="0"/>
          <c:showPercent val="0"/>
          <c:showBubbleSize val="0"/>
        </c:dLbls>
        <c:axId val="1747775104"/>
        <c:axId val="1"/>
      </c:areaChart>
      <c:lineChart>
        <c:grouping val="standard"/>
        <c:varyColors val="0"/>
        <c:ser>
          <c:idx val="0"/>
          <c:order val="5"/>
          <c:tx>
            <c:strRef>
              <c:f>Stochastic!$B$30</c:f>
              <c:strCache>
                <c:ptCount val="1"/>
                <c:pt idx="0">
                  <c:v>p70</c:v>
                </c:pt>
              </c:strCache>
            </c:strRef>
          </c:tx>
          <c:spPr>
            <a:ln w="44450">
              <a:solidFill>
                <a:srgbClr val="FF0000"/>
              </a:solidFill>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1-2026-4D35-8044-BA74213EFFB8}"/>
                </c:ext>
              </c:extLst>
            </c:dLbl>
            <c:dLbl>
              <c:idx val="1"/>
              <c:delete val="1"/>
              <c:extLst>
                <c:ext xmlns:c15="http://schemas.microsoft.com/office/drawing/2012/chart" uri="{CE6537A1-D6FC-4f65-9D91-7224C49458BB}"/>
                <c:ext xmlns:c16="http://schemas.microsoft.com/office/drawing/2014/chart" uri="{C3380CC4-5D6E-409C-BE32-E72D297353CC}">
                  <c16:uniqueId val="{00000002-2026-4D35-8044-BA74213EFFB8}"/>
                </c:ext>
              </c:extLst>
            </c:dLbl>
            <c:dLbl>
              <c:idx val="2"/>
              <c:delete val="1"/>
              <c:extLst>
                <c:ext xmlns:c15="http://schemas.microsoft.com/office/drawing/2012/chart" uri="{CE6537A1-D6FC-4f65-9D91-7224C49458BB}"/>
                <c:ext xmlns:c16="http://schemas.microsoft.com/office/drawing/2014/chart" uri="{C3380CC4-5D6E-409C-BE32-E72D297353CC}">
                  <c16:uniqueId val="{00000003-2026-4D35-8044-BA74213EFFB8}"/>
                </c:ext>
              </c:extLst>
            </c:dLbl>
            <c:dLbl>
              <c:idx val="3"/>
              <c:delete val="1"/>
              <c:extLst>
                <c:ext xmlns:c15="http://schemas.microsoft.com/office/drawing/2012/chart" uri="{CE6537A1-D6FC-4f65-9D91-7224C49458BB}"/>
                <c:ext xmlns:c16="http://schemas.microsoft.com/office/drawing/2014/chart" uri="{C3380CC4-5D6E-409C-BE32-E72D297353CC}">
                  <c16:uniqueId val="{00000004-2026-4D35-8044-BA74213EFFB8}"/>
                </c:ext>
              </c:extLst>
            </c:dLbl>
            <c:dLbl>
              <c:idx val="4"/>
              <c:delete val="1"/>
              <c:extLst>
                <c:ext xmlns:c15="http://schemas.microsoft.com/office/drawing/2012/chart" uri="{CE6537A1-D6FC-4f65-9D91-7224C49458BB}"/>
                <c:ext xmlns:c16="http://schemas.microsoft.com/office/drawing/2014/chart" uri="{C3380CC4-5D6E-409C-BE32-E72D297353CC}">
                  <c16:uniqueId val="{00000005-2026-4D35-8044-BA74213EFFB8}"/>
                </c:ext>
              </c:extLst>
            </c:dLbl>
            <c:dLbl>
              <c:idx val="5"/>
              <c:delete val="1"/>
              <c:extLst>
                <c:ext xmlns:c15="http://schemas.microsoft.com/office/drawing/2012/chart" uri="{CE6537A1-D6FC-4f65-9D91-7224C49458BB}"/>
                <c:ext xmlns:c16="http://schemas.microsoft.com/office/drawing/2014/chart" uri="{C3380CC4-5D6E-409C-BE32-E72D297353CC}">
                  <c16:uniqueId val="{00000006-2026-4D35-8044-BA74213EFFB8}"/>
                </c:ext>
              </c:extLst>
            </c:dLbl>
            <c:dLbl>
              <c:idx val="6"/>
              <c:layout>
                <c:manualLayout>
                  <c:x val="0"/>
                  <c:y val="-1.0357327809425169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27-2026-4D35-8044-BA74213EFFB8}"/>
                </c:ext>
              </c:extLst>
            </c:dLbl>
            <c:spPr>
              <a:ln>
                <a:noFill/>
              </a:ln>
              <a:effectLst/>
            </c:spPr>
            <c:txPr>
              <a:bodyPr wrap="square" lIns="38100" tIns="19050" rIns="38100" bIns="19050" anchor="ctr">
                <a:spAutoFit/>
              </a:bodyPr>
              <a:lstStyle/>
              <a:p>
                <a:pPr>
                  <a:defRPr b="1">
                    <a:solidFill>
                      <a:srgbClr val="FF0000"/>
                    </a:solidFill>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Stochastic!$C$30:$I$30</c:f>
              <c:numCache>
                <c:formatCode>0.0</c:formatCode>
                <c:ptCount val="7"/>
                <c:pt idx="0">
                  <c:v>63.836881536064524</c:v>
                </c:pt>
                <c:pt idx="1">
                  <c:v>62.913564321630858</c:v>
                </c:pt>
                <c:pt idx="2">
                  <c:v>61.635909824928312</c:v>
                </c:pt>
                <c:pt idx="3">
                  <c:v>61.710046497740365</c:v>
                </c:pt>
                <c:pt idx="4">
                  <c:v>60.906177673079732</c:v>
                </c:pt>
                <c:pt idx="5">
                  <c:v>60.536348544616345</c:v>
                </c:pt>
                <c:pt idx="6">
                  <c:v>60.298273848839962</c:v>
                </c:pt>
              </c:numCache>
            </c:numRef>
          </c:val>
          <c:smooth val="0"/>
          <c:extLst>
            <c:ext xmlns:c16="http://schemas.microsoft.com/office/drawing/2014/chart" uri="{C3380CC4-5D6E-409C-BE32-E72D297353CC}">
              <c16:uniqueId val="{00000000-2026-4D35-8044-BA74213EFFB8}"/>
            </c:ext>
          </c:extLst>
        </c:ser>
        <c:ser>
          <c:idx val="6"/>
          <c:order val="6"/>
          <c:tx>
            <c:strRef>
              <c:f>Stochastic!$B$28</c:f>
              <c:strCache>
                <c:ptCount val="1"/>
                <c:pt idx="0">
                  <c:v>p30</c:v>
                </c:pt>
              </c:strCache>
            </c:strRef>
          </c:tx>
          <c:spPr>
            <a:ln w="3175">
              <a:solidFill>
                <a:sysClr val="windowText" lastClr="000000">
                  <a:alpha val="25000"/>
                </a:sysClr>
              </a:solidFill>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1-2026-4D35-8044-BA74213EFFB8}"/>
                </c:ext>
              </c:extLst>
            </c:dLbl>
            <c:dLbl>
              <c:idx val="1"/>
              <c:delete val="1"/>
              <c:extLst>
                <c:ext xmlns:c15="http://schemas.microsoft.com/office/drawing/2012/chart" uri="{CE6537A1-D6FC-4f65-9D91-7224C49458BB}"/>
                <c:ext xmlns:c16="http://schemas.microsoft.com/office/drawing/2014/chart" uri="{C3380CC4-5D6E-409C-BE32-E72D297353CC}">
                  <c16:uniqueId val="{00000012-2026-4D35-8044-BA74213EFFB8}"/>
                </c:ext>
              </c:extLst>
            </c:dLbl>
            <c:dLbl>
              <c:idx val="2"/>
              <c:delete val="1"/>
              <c:extLst>
                <c:ext xmlns:c15="http://schemas.microsoft.com/office/drawing/2012/chart" uri="{CE6537A1-D6FC-4f65-9D91-7224C49458BB}"/>
                <c:ext xmlns:c16="http://schemas.microsoft.com/office/drawing/2014/chart" uri="{C3380CC4-5D6E-409C-BE32-E72D297353CC}">
                  <c16:uniqueId val="{00000013-2026-4D35-8044-BA74213EFFB8}"/>
                </c:ext>
              </c:extLst>
            </c:dLbl>
            <c:dLbl>
              <c:idx val="3"/>
              <c:delete val="1"/>
              <c:extLst>
                <c:ext xmlns:c15="http://schemas.microsoft.com/office/drawing/2012/chart" uri="{CE6537A1-D6FC-4f65-9D91-7224C49458BB}"/>
                <c:ext xmlns:c16="http://schemas.microsoft.com/office/drawing/2014/chart" uri="{C3380CC4-5D6E-409C-BE32-E72D297353CC}">
                  <c16:uniqueId val="{00000014-2026-4D35-8044-BA74213EFFB8}"/>
                </c:ext>
              </c:extLst>
            </c:dLbl>
            <c:dLbl>
              <c:idx val="4"/>
              <c:delete val="1"/>
              <c:extLst>
                <c:ext xmlns:c15="http://schemas.microsoft.com/office/drawing/2012/chart" uri="{CE6537A1-D6FC-4f65-9D91-7224C49458BB}"/>
                <c:ext xmlns:c16="http://schemas.microsoft.com/office/drawing/2014/chart" uri="{C3380CC4-5D6E-409C-BE32-E72D297353CC}">
                  <c16:uniqueId val="{00000015-2026-4D35-8044-BA74213EFFB8}"/>
                </c:ext>
              </c:extLst>
            </c:dLbl>
            <c:dLbl>
              <c:idx val="5"/>
              <c:delete val="1"/>
              <c:extLst>
                <c:ext xmlns:c15="http://schemas.microsoft.com/office/drawing/2012/chart" uri="{CE6537A1-D6FC-4f65-9D91-7224C49458BB}"/>
                <c:ext xmlns:c16="http://schemas.microsoft.com/office/drawing/2014/chart" uri="{C3380CC4-5D6E-409C-BE32-E72D297353CC}">
                  <c16:uniqueId val="{00000016-2026-4D35-8044-BA74213EFFB8}"/>
                </c:ext>
              </c:extLst>
            </c:dLbl>
            <c:spPr>
              <a:ln>
                <a:noFill/>
              </a:ln>
              <a:effectLst/>
            </c:sp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Stochastic!$C$28:$I$28</c:f>
              <c:numCache>
                <c:formatCode>0.0</c:formatCode>
                <c:ptCount val="7"/>
                <c:pt idx="0">
                  <c:v>63.836881536064524</c:v>
                </c:pt>
                <c:pt idx="1">
                  <c:v>62.913564321630858</c:v>
                </c:pt>
                <c:pt idx="2">
                  <c:v>61.635909824928312</c:v>
                </c:pt>
                <c:pt idx="3">
                  <c:v>58.812226978697396</c:v>
                </c:pt>
                <c:pt idx="4">
                  <c:v>56.84101119969106</c:v>
                </c:pt>
                <c:pt idx="5">
                  <c:v>55.676679812926892</c:v>
                </c:pt>
                <c:pt idx="6">
                  <c:v>54.716460036584103</c:v>
                </c:pt>
              </c:numCache>
            </c:numRef>
          </c:val>
          <c:smooth val="0"/>
          <c:extLst>
            <c:ext xmlns:c16="http://schemas.microsoft.com/office/drawing/2014/chart" uri="{C3380CC4-5D6E-409C-BE32-E72D297353CC}">
              <c16:uniqueId val="{00000007-2026-4D35-8044-BA74213EFFB8}"/>
            </c:ext>
          </c:extLst>
        </c:ser>
        <c:ser>
          <c:idx val="7"/>
          <c:order val="7"/>
          <c:tx>
            <c:strRef>
              <c:f>Stochastic!$B$31</c:f>
              <c:strCache>
                <c:ptCount val="1"/>
                <c:pt idx="0">
                  <c:v>p90</c:v>
                </c:pt>
              </c:strCache>
            </c:strRef>
          </c:tx>
          <c:spPr>
            <a:ln w="3175">
              <a:solidFill>
                <a:sysClr val="windowText" lastClr="000000">
                  <a:alpha val="25000"/>
                </a:sysClr>
              </a:solidFill>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8-2026-4D35-8044-BA74213EFFB8}"/>
                </c:ext>
              </c:extLst>
            </c:dLbl>
            <c:dLbl>
              <c:idx val="1"/>
              <c:delete val="1"/>
              <c:extLst>
                <c:ext xmlns:c15="http://schemas.microsoft.com/office/drawing/2012/chart" uri="{CE6537A1-D6FC-4f65-9D91-7224C49458BB}"/>
                <c:ext xmlns:c16="http://schemas.microsoft.com/office/drawing/2014/chart" uri="{C3380CC4-5D6E-409C-BE32-E72D297353CC}">
                  <c16:uniqueId val="{00000019-2026-4D35-8044-BA74213EFFB8}"/>
                </c:ext>
              </c:extLst>
            </c:dLbl>
            <c:dLbl>
              <c:idx val="2"/>
              <c:delete val="1"/>
              <c:extLst>
                <c:ext xmlns:c15="http://schemas.microsoft.com/office/drawing/2012/chart" uri="{CE6537A1-D6FC-4f65-9D91-7224C49458BB}"/>
                <c:ext xmlns:c16="http://schemas.microsoft.com/office/drawing/2014/chart" uri="{C3380CC4-5D6E-409C-BE32-E72D297353CC}">
                  <c16:uniqueId val="{0000001A-2026-4D35-8044-BA74213EFFB8}"/>
                </c:ext>
              </c:extLst>
            </c:dLbl>
            <c:dLbl>
              <c:idx val="3"/>
              <c:delete val="1"/>
              <c:extLst>
                <c:ext xmlns:c15="http://schemas.microsoft.com/office/drawing/2012/chart" uri="{CE6537A1-D6FC-4f65-9D91-7224C49458BB}"/>
                <c:ext xmlns:c16="http://schemas.microsoft.com/office/drawing/2014/chart" uri="{C3380CC4-5D6E-409C-BE32-E72D297353CC}">
                  <c16:uniqueId val="{0000001B-2026-4D35-8044-BA74213EFFB8}"/>
                </c:ext>
              </c:extLst>
            </c:dLbl>
            <c:dLbl>
              <c:idx val="4"/>
              <c:delete val="1"/>
              <c:extLst>
                <c:ext xmlns:c15="http://schemas.microsoft.com/office/drawing/2012/chart" uri="{CE6537A1-D6FC-4f65-9D91-7224C49458BB}"/>
                <c:ext xmlns:c16="http://schemas.microsoft.com/office/drawing/2014/chart" uri="{C3380CC4-5D6E-409C-BE32-E72D297353CC}">
                  <c16:uniqueId val="{0000001C-2026-4D35-8044-BA74213EFFB8}"/>
                </c:ext>
              </c:extLst>
            </c:dLbl>
            <c:dLbl>
              <c:idx val="5"/>
              <c:delete val="1"/>
              <c:extLst>
                <c:ext xmlns:c15="http://schemas.microsoft.com/office/drawing/2012/chart" uri="{CE6537A1-D6FC-4f65-9D91-7224C49458BB}"/>
                <c:ext xmlns:c16="http://schemas.microsoft.com/office/drawing/2014/chart" uri="{C3380CC4-5D6E-409C-BE32-E72D297353CC}">
                  <c16:uniqueId val="{0000001D-2026-4D35-8044-BA74213EFFB8}"/>
                </c:ext>
              </c:extLst>
            </c:dLbl>
            <c:spPr>
              <a:ln>
                <a:noFill/>
              </a:ln>
              <a:effectLst/>
            </c:sp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Stochastic!$C$31:$I$31</c:f>
              <c:numCache>
                <c:formatCode>0.0</c:formatCode>
                <c:ptCount val="7"/>
                <c:pt idx="0">
                  <c:v>63.836881536064524</c:v>
                </c:pt>
                <c:pt idx="1">
                  <c:v>62.913564321630858</c:v>
                </c:pt>
                <c:pt idx="2">
                  <c:v>61.635909824928312</c:v>
                </c:pt>
                <c:pt idx="3">
                  <c:v>63.786401478209115</c:v>
                </c:pt>
                <c:pt idx="4">
                  <c:v>63.766273650862935</c:v>
                </c:pt>
                <c:pt idx="5">
                  <c:v>64.063951694030408</c:v>
                </c:pt>
                <c:pt idx="6">
                  <c:v>64.453375624963002</c:v>
                </c:pt>
              </c:numCache>
            </c:numRef>
          </c:val>
          <c:smooth val="0"/>
          <c:extLst>
            <c:ext xmlns:c16="http://schemas.microsoft.com/office/drawing/2014/chart" uri="{C3380CC4-5D6E-409C-BE32-E72D297353CC}">
              <c16:uniqueId val="{00000008-2026-4D35-8044-BA74213EFFB8}"/>
            </c:ext>
          </c:extLst>
        </c:ser>
        <c:ser>
          <c:idx val="8"/>
          <c:order val="8"/>
          <c:tx>
            <c:strRef>
              <c:f>Stochastic!$B$29</c:f>
              <c:strCache>
                <c:ptCount val="1"/>
                <c:pt idx="0">
                  <c:v>p50</c:v>
                </c:pt>
              </c:strCache>
            </c:strRef>
          </c:tx>
          <c:spPr>
            <a:ln w="3175">
              <a:solidFill>
                <a:sysClr val="windowText" lastClr="000000">
                  <a:alpha val="25000"/>
                </a:sysClr>
              </a:solidFill>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A-2026-4D35-8044-BA74213EFFB8}"/>
                </c:ext>
              </c:extLst>
            </c:dLbl>
            <c:dLbl>
              <c:idx val="1"/>
              <c:delete val="1"/>
              <c:extLst>
                <c:ext xmlns:c15="http://schemas.microsoft.com/office/drawing/2012/chart" uri="{CE6537A1-D6FC-4f65-9D91-7224C49458BB}"/>
                <c:ext xmlns:c16="http://schemas.microsoft.com/office/drawing/2014/chart" uri="{C3380CC4-5D6E-409C-BE32-E72D297353CC}">
                  <c16:uniqueId val="{0000000B-2026-4D35-8044-BA74213EFFB8}"/>
                </c:ext>
              </c:extLst>
            </c:dLbl>
            <c:dLbl>
              <c:idx val="2"/>
              <c:delete val="1"/>
              <c:extLst>
                <c:ext xmlns:c15="http://schemas.microsoft.com/office/drawing/2012/chart" uri="{CE6537A1-D6FC-4f65-9D91-7224C49458BB}"/>
                <c:ext xmlns:c16="http://schemas.microsoft.com/office/drawing/2014/chart" uri="{C3380CC4-5D6E-409C-BE32-E72D297353CC}">
                  <c16:uniqueId val="{0000000C-2026-4D35-8044-BA74213EFFB8}"/>
                </c:ext>
              </c:extLst>
            </c:dLbl>
            <c:dLbl>
              <c:idx val="3"/>
              <c:delete val="1"/>
              <c:extLst>
                <c:ext xmlns:c15="http://schemas.microsoft.com/office/drawing/2012/chart" uri="{CE6537A1-D6FC-4f65-9D91-7224C49458BB}"/>
                <c:ext xmlns:c16="http://schemas.microsoft.com/office/drawing/2014/chart" uri="{C3380CC4-5D6E-409C-BE32-E72D297353CC}">
                  <c16:uniqueId val="{0000000D-2026-4D35-8044-BA74213EFFB8}"/>
                </c:ext>
              </c:extLst>
            </c:dLbl>
            <c:dLbl>
              <c:idx val="4"/>
              <c:delete val="1"/>
              <c:extLst>
                <c:ext xmlns:c15="http://schemas.microsoft.com/office/drawing/2012/chart" uri="{CE6537A1-D6FC-4f65-9D91-7224C49458BB}"/>
                <c:ext xmlns:c16="http://schemas.microsoft.com/office/drawing/2014/chart" uri="{C3380CC4-5D6E-409C-BE32-E72D297353CC}">
                  <c16:uniqueId val="{0000000E-2026-4D35-8044-BA74213EFFB8}"/>
                </c:ext>
              </c:extLst>
            </c:dLbl>
            <c:dLbl>
              <c:idx val="5"/>
              <c:delete val="1"/>
              <c:extLst>
                <c:ext xmlns:c15="http://schemas.microsoft.com/office/drawing/2012/chart" uri="{CE6537A1-D6FC-4f65-9D91-7224C49458BB}"/>
                <c:ext xmlns:c16="http://schemas.microsoft.com/office/drawing/2014/chart" uri="{C3380CC4-5D6E-409C-BE32-E72D297353CC}">
                  <c16:uniqueId val="{0000000F-2026-4D35-8044-BA74213EFFB8}"/>
                </c:ext>
              </c:extLst>
            </c:dLbl>
            <c:dLbl>
              <c:idx val="6"/>
              <c:layout>
                <c:manualLayout>
                  <c:x val="-1.0111916703481372E-2"/>
                  <c:y val="-5.184033177812338E-3"/>
                </c:manualLayout>
              </c:layout>
              <c:tx>
                <c:rich>
                  <a:bodyPr wrap="square" lIns="38100" tIns="19050" rIns="38100" bIns="19050" anchor="ctr">
                    <a:noAutofit/>
                  </a:bodyPr>
                  <a:lstStyle/>
                  <a:p>
                    <a:pPr>
                      <a:defRPr sz="1200"/>
                    </a:pPr>
                    <a:fld id="{395A9F43-309F-4036-9976-E03D2F102A6A}" type="SERIESNAME">
                      <a:rPr lang="en-US" sz="1200"/>
                      <a:pPr>
                        <a:defRPr sz="1200"/>
                      </a:pPr>
                      <a:t>[SERIES NAME]</a:t>
                    </a:fld>
                    <a:endParaRPr lang="en-GB"/>
                  </a:p>
                </c:rich>
              </c:tx>
              <c:spPr>
                <a:ln>
                  <a:noFill/>
                </a:ln>
                <a:effectLst/>
              </c:spPr>
              <c:showLegendKey val="0"/>
              <c:showVal val="0"/>
              <c:showCatName val="0"/>
              <c:showSerName val="1"/>
              <c:showPercent val="0"/>
              <c:showBubbleSize val="0"/>
              <c:extLst>
                <c:ext xmlns:c15="http://schemas.microsoft.com/office/drawing/2012/chart" uri="{CE6537A1-D6FC-4f65-9D91-7224C49458BB}">
                  <c15:layout>
                    <c:manualLayout>
                      <c:w val="7.2647564068536369E-2"/>
                      <c:h val="7.4010849732430412E-2"/>
                    </c:manualLayout>
                  </c15:layout>
                  <c15:dlblFieldTable/>
                  <c15:showDataLabelsRange val="0"/>
                </c:ext>
                <c:ext xmlns:c16="http://schemas.microsoft.com/office/drawing/2014/chart" uri="{C3380CC4-5D6E-409C-BE32-E72D297353CC}">
                  <c16:uniqueId val="{00000010-2026-4D35-8044-BA74213EFFB8}"/>
                </c:ext>
              </c:extLst>
            </c:dLbl>
            <c:spPr>
              <a:ln>
                <a:noFill/>
              </a:ln>
              <a:effectLst/>
            </c:spPr>
            <c:txPr>
              <a:bodyPr wrap="square" lIns="38100" tIns="19050" rIns="38100" bIns="19050" anchor="ctr">
                <a:spAutoFit/>
              </a:bodyPr>
              <a:lstStyle/>
              <a:p>
                <a:pPr>
                  <a:defRPr sz="1200"/>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Stochastic!$C$29:$I$29</c:f>
              <c:numCache>
                <c:formatCode>0.0</c:formatCode>
                <c:ptCount val="7"/>
                <c:pt idx="0">
                  <c:v>63.836881536064524</c:v>
                </c:pt>
                <c:pt idx="1">
                  <c:v>62.913564321630858</c:v>
                </c:pt>
                <c:pt idx="2">
                  <c:v>61.635909824928312</c:v>
                </c:pt>
                <c:pt idx="3">
                  <c:v>60.304670063414193</c:v>
                </c:pt>
                <c:pt idx="4">
                  <c:v>58.91663375828481</c:v>
                </c:pt>
                <c:pt idx="5">
                  <c:v>58.10113736297572</c:v>
                </c:pt>
                <c:pt idx="6">
                  <c:v>57.447146224328243</c:v>
                </c:pt>
              </c:numCache>
            </c:numRef>
          </c:val>
          <c:smooth val="0"/>
          <c:extLst>
            <c:ext xmlns:c16="http://schemas.microsoft.com/office/drawing/2014/chart" uri="{C3380CC4-5D6E-409C-BE32-E72D297353CC}">
              <c16:uniqueId val="{00000009-2026-4D35-8044-BA74213EFFB8}"/>
            </c:ext>
          </c:extLst>
        </c:ser>
        <c:ser>
          <c:idx val="9"/>
          <c:order val="9"/>
          <c:tx>
            <c:strRef>
              <c:f>Stochastic!$B$27</c:f>
              <c:strCache>
                <c:ptCount val="1"/>
                <c:pt idx="0">
                  <c:v>p10</c:v>
                </c:pt>
              </c:strCache>
            </c:strRef>
          </c:tx>
          <c:spPr>
            <a:ln w="3175">
              <a:solidFill>
                <a:sysClr val="windowText" lastClr="000000">
                  <a:alpha val="25000"/>
                </a:sysClr>
              </a:solidFill>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21-2026-4D35-8044-BA74213EFFB8}"/>
                </c:ext>
              </c:extLst>
            </c:dLbl>
            <c:dLbl>
              <c:idx val="1"/>
              <c:delete val="1"/>
              <c:extLst>
                <c:ext xmlns:c15="http://schemas.microsoft.com/office/drawing/2012/chart" uri="{CE6537A1-D6FC-4f65-9D91-7224C49458BB}"/>
                <c:ext xmlns:c16="http://schemas.microsoft.com/office/drawing/2014/chart" uri="{C3380CC4-5D6E-409C-BE32-E72D297353CC}">
                  <c16:uniqueId val="{00000022-2026-4D35-8044-BA74213EFFB8}"/>
                </c:ext>
              </c:extLst>
            </c:dLbl>
            <c:dLbl>
              <c:idx val="2"/>
              <c:delete val="1"/>
              <c:extLst>
                <c:ext xmlns:c15="http://schemas.microsoft.com/office/drawing/2012/chart" uri="{CE6537A1-D6FC-4f65-9D91-7224C49458BB}"/>
                <c:ext xmlns:c16="http://schemas.microsoft.com/office/drawing/2014/chart" uri="{C3380CC4-5D6E-409C-BE32-E72D297353CC}">
                  <c16:uniqueId val="{00000023-2026-4D35-8044-BA74213EFFB8}"/>
                </c:ext>
              </c:extLst>
            </c:dLbl>
            <c:dLbl>
              <c:idx val="3"/>
              <c:delete val="1"/>
              <c:extLst>
                <c:ext xmlns:c15="http://schemas.microsoft.com/office/drawing/2012/chart" uri="{CE6537A1-D6FC-4f65-9D91-7224C49458BB}"/>
                <c:ext xmlns:c16="http://schemas.microsoft.com/office/drawing/2014/chart" uri="{C3380CC4-5D6E-409C-BE32-E72D297353CC}">
                  <c16:uniqueId val="{00000024-2026-4D35-8044-BA74213EFFB8}"/>
                </c:ext>
              </c:extLst>
            </c:dLbl>
            <c:dLbl>
              <c:idx val="4"/>
              <c:delete val="1"/>
              <c:extLst>
                <c:ext xmlns:c15="http://schemas.microsoft.com/office/drawing/2012/chart" uri="{CE6537A1-D6FC-4f65-9D91-7224C49458BB}"/>
                <c:ext xmlns:c16="http://schemas.microsoft.com/office/drawing/2014/chart" uri="{C3380CC4-5D6E-409C-BE32-E72D297353CC}">
                  <c16:uniqueId val="{00000025-2026-4D35-8044-BA74213EFFB8}"/>
                </c:ext>
              </c:extLst>
            </c:dLbl>
            <c:dLbl>
              <c:idx val="5"/>
              <c:delete val="1"/>
              <c:extLst>
                <c:ext xmlns:c15="http://schemas.microsoft.com/office/drawing/2012/chart" uri="{CE6537A1-D6FC-4f65-9D91-7224C49458BB}"/>
                <c:ext xmlns:c16="http://schemas.microsoft.com/office/drawing/2014/chart" uri="{C3380CC4-5D6E-409C-BE32-E72D297353CC}">
                  <c16:uniqueId val="{00000026-2026-4D35-8044-BA74213EFFB8}"/>
                </c:ext>
              </c:extLst>
            </c:dLbl>
            <c:spPr>
              <a:ln>
                <a:noFill/>
              </a:ln>
              <a:effectLst/>
            </c:sp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Stochastic!$C$21:$I$21</c:f>
              <c:numCache>
                <c:formatCode>General</c:formatCode>
                <c:ptCount val="7"/>
                <c:pt idx="0">
                  <c:v>2027</c:v>
                </c:pt>
                <c:pt idx="1">
                  <c:v>2028</c:v>
                </c:pt>
                <c:pt idx="2">
                  <c:v>2029</c:v>
                </c:pt>
                <c:pt idx="3">
                  <c:v>2030</c:v>
                </c:pt>
                <c:pt idx="4">
                  <c:v>2031</c:v>
                </c:pt>
                <c:pt idx="5">
                  <c:v>2032</c:v>
                </c:pt>
                <c:pt idx="6">
                  <c:v>2033</c:v>
                </c:pt>
              </c:numCache>
            </c:numRef>
          </c:cat>
          <c:val>
            <c:numRef>
              <c:f>Stochastic!$C$27:$I$27</c:f>
              <c:numCache>
                <c:formatCode>0.0</c:formatCode>
                <c:ptCount val="7"/>
                <c:pt idx="0">
                  <c:v>63.836881536064524</c:v>
                </c:pt>
                <c:pt idx="1">
                  <c:v>62.913564321630858</c:v>
                </c:pt>
                <c:pt idx="2">
                  <c:v>61.635909824928312</c:v>
                </c:pt>
                <c:pt idx="3">
                  <c:v>56.786287037291146</c:v>
                </c:pt>
                <c:pt idx="4">
                  <c:v>54.058551940657857</c:v>
                </c:pt>
                <c:pt idx="5">
                  <c:v>52.227564059753064</c:v>
                </c:pt>
                <c:pt idx="6">
                  <c:v>50.574850844689571</c:v>
                </c:pt>
              </c:numCache>
            </c:numRef>
          </c:val>
          <c:smooth val="0"/>
          <c:extLst>
            <c:ext xmlns:c16="http://schemas.microsoft.com/office/drawing/2014/chart" uri="{C3380CC4-5D6E-409C-BE32-E72D297353CC}">
              <c16:uniqueId val="{00000020-2026-4D35-8044-BA74213EFFB8}"/>
            </c:ext>
          </c:extLst>
        </c:ser>
        <c:dLbls>
          <c:showLegendKey val="0"/>
          <c:showVal val="0"/>
          <c:showCatName val="0"/>
          <c:showSerName val="0"/>
          <c:showPercent val="0"/>
          <c:showBubbleSize val="0"/>
        </c:dLbls>
        <c:marker val="1"/>
        <c:smooth val="0"/>
        <c:axId val="1747775104"/>
        <c:axId val="1"/>
      </c:lineChart>
      <c:catAx>
        <c:axId val="1747775104"/>
        <c:scaling>
          <c:orientation val="minMax"/>
        </c:scaling>
        <c:delete val="0"/>
        <c:axPos val="b"/>
        <c:numFmt formatCode="General" sourceLinked="1"/>
        <c:majorTickMark val="none"/>
        <c:minorTickMark val="none"/>
        <c:tickLblPos val="nextTo"/>
        <c:spPr>
          <a:ln w="3175">
            <a:solidFill>
              <a:sysClr val="windowText" lastClr="000000"/>
            </a:solidFill>
            <a:prstDash val="solid"/>
          </a:ln>
        </c:spPr>
        <c:txPr>
          <a:bodyPr rot="0" vert="horz"/>
          <a:lstStyle/>
          <a:p>
            <a:pPr>
              <a:defRPr sz="1200" b="0" i="0" u="none" strike="noStrike" baseline="0">
                <a:solidFill>
                  <a:sysClr val="windowText" lastClr="000000"/>
                </a:solidFill>
                <a:latin typeface="+mn-lt"/>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title>
          <c:tx>
            <c:rich>
              <a:bodyPr rot="0" vert="horz" anchor="t" anchorCtr="0"/>
              <a:lstStyle/>
              <a:p>
                <a:pPr>
                  <a:defRPr/>
                </a:pPr>
                <a:r>
                  <a:rPr lang="en-IE" sz="1050"/>
                  <a:t>% GDP</a:t>
                </a:r>
              </a:p>
            </c:rich>
          </c:tx>
          <c:layout>
            <c:manualLayout>
              <c:xMode val="edge"/>
              <c:yMode val="edge"/>
              <c:x val="0"/>
              <c:y val="7.0931724514217989E-2"/>
            </c:manualLayout>
          </c:layout>
          <c:overlay val="0"/>
        </c:title>
        <c:numFmt formatCode="0" sourceLinked="0"/>
        <c:majorTickMark val="none"/>
        <c:minorTickMark val="none"/>
        <c:tickLblPos val="nextTo"/>
        <c:spPr>
          <a:ln w="3175">
            <a:solidFill>
              <a:srgbClr val="000000"/>
            </a:solidFill>
            <a:prstDash val="solid"/>
          </a:ln>
        </c:spPr>
        <c:txPr>
          <a:bodyPr rot="0" vert="horz"/>
          <a:lstStyle/>
          <a:p>
            <a:pPr>
              <a:defRPr sz="1100" b="0" i="0" u="none" strike="noStrike" baseline="0">
                <a:solidFill>
                  <a:sysClr val="windowText" lastClr="000000"/>
                </a:solidFill>
                <a:latin typeface="+mn-lt"/>
                <a:ea typeface="Arial"/>
                <a:cs typeface="Arial"/>
              </a:defRPr>
            </a:pPr>
            <a:endParaRPr lang="en-US"/>
          </a:p>
        </c:txPr>
        <c:crossAx val="1747775104"/>
        <c:crosses val="autoZero"/>
        <c:crossBetween val="between"/>
      </c:valAx>
      <c:spPr>
        <a:noFill/>
        <a:ln w="25400">
          <a:noFill/>
        </a:ln>
      </c:spPr>
    </c:plotArea>
    <c:plotVisOnly val="1"/>
    <c:dispBlanksAs val="gap"/>
    <c:showDLblsOverMax val="0"/>
  </c:chart>
  <c:spPr>
    <a:solidFill>
      <a:srgbClr val="FFFFFF"/>
    </a:solidFill>
    <a:ln w="3175">
      <a:solidFill>
        <a:sysClr val="windowText" lastClr="000000"/>
      </a:solidFill>
      <a:prstDash val="solid"/>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88354</xdr:colOff>
      <xdr:row>1</xdr:row>
      <xdr:rowOff>121091</xdr:rowOff>
    </xdr:from>
    <xdr:to>
      <xdr:col>5</xdr:col>
      <xdr:colOff>16549</xdr:colOff>
      <xdr:row>9</xdr:row>
      <xdr:rowOff>2950</xdr:rowOff>
    </xdr:to>
    <xdr:pic>
      <xdr:nvPicPr>
        <xdr:cNvPr id="2" name="Picture 1">
          <a:extLst>
            <a:ext uri="{FF2B5EF4-FFF2-40B4-BE49-F238E27FC236}">
              <a16:creationId xmlns:a16="http://schemas.microsoft.com/office/drawing/2014/main" id="{5DF9B7FF-C014-4B8E-95A6-509766BF47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0339" y="303971"/>
          <a:ext cx="2124660" cy="13277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97153</xdr:colOff>
      <xdr:row>4</xdr:row>
      <xdr:rowOff>38102</xdr:rowOff>
    </xdr:from>
    <xdr:to>
      <xdr:col>6</xdr:col>
      <xdr:colOff>600075</xdr:colOff>
      <xdr:row>5</xdr:row>
      <xdr:rowOff>137163</xdr:rowOff>
    </xdr:to>
    <xdr:sp macro="" textlink="">
      <xdr:nvSpPr>
        <xdr:cNvPr id="3" name="Arrow: Down 2">
          <a:extLst>
            <a:ext uri="{FF2B5EF4-FFF2-40B4-BE49-F238E27FC236}">
              <a16:creationId xmlns:a16="http://schemas.microsoft.com/office/drawing/2014/main" id="{870E84B9-D7D9-4AE0-8686-64A30E36AF6E}"/>
            </a:ext>
          </a:extLst>
        </xdr:cNvPr>
        <xdr:cNvSpPr/>
      </xdr:nvSpPr>
      <xdr:spPr>
        <a:xfrm rot="5400000">
          <a:off x="6010273" y="601982"/>
          <a:ext cx="274321" cy="502922"/>
        </a:xfrm>
        <a:prstGeom prst="down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E"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87630</xdr:colOff>
      <xdr:row>21</xdr:row>
      <xdr:rowOff>9525</xdr:rowOff>
    </xdr:from>
    <xdr:to>
      <xdr:col>19</xdr:col>
      <xdr:colOff>377190</xdr:colOff>
      <xdr:row>42</xdr:row>
      <xdr:rowOff>83820</xdr:rowOff>
    </xdr:to>
    <xdr:graphicFrame macro="">
      <xdr:nvGraphicFramePr>
        <xdr:cNvPr id="9" name="Chart stochastic">
          <a:extLst>
            <a:ext uri="{FF2B5EF4-FFF2-40B4-BE49-F238E27FC236}">
              <a16:creationId xmlns:a16="http://schemas.microsoft.com/office/drawing/2014/main" id="{9ECBE4A0-5C2C-8A7C-9086-251DAC5F43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03"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3B7DC54-38DF-4F97-8302-BDF605CAF2E1}">
  <we:reference id="dc57e6d2-28bf-4130-be1a-5961fe0ee311" version="1.0.0.0" store="https://eceuropaeu.sharepoint.com/sites/AppCatalog" storeType="SPCatalog"/>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ECFIN-Secretariat-C2@ec.europa.eu"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6">
    <tabColor theme="1"/>
  </sheetPr>
  <dimension ref="B2:N87"/>
  <sheetViews>
    <sheetView zoomScaleNormal="100" workbookViewId="0"/>
  </sheetViews>
  <sheetFormatPr defaultColWidth="9.28515625" defaultRowHeight="15" x14ac:dyDescent="0.25"/>
  <cols>
    <col min="1" max="3" width="9.28515625" style="170"/>
    <col min="4" max="4" width="7.28515625" style="170" customWidth="1"/>
    <col min="5" max="5" width="6.140625" style="170" customWidth="1"/>
    <col min="6" max="6" width="3.140625" style="170" customWidth="1"/>
    <col min="7" max="13" width="9.28515625" style="170"/>
    <col min="14" max="14" width="18.140625" style="170" customWidth="1"/>
    <col min="15" max="16384" width="9.28515625" style="170"/>
  </cols>
  <sheetData>
    <row r="2" spans="2:12" x14ac:dyDescent="0.25">
      <c r="B2" s="166"/>
      <c r="C2" s="167"/>
      <c r="D2" s="167"/>
      <c r="E2" s="167"/>
      <c r="F2" s="167"/>
      <c r="G2" s="168"/>
      <c r="H2" s="167"/>
      <c r="I2" s="167"/>
      <c r="J2" s="167"/>
      <c r="K2" s="167"/>
      <c r="L2" s="169"/>
    </row>
    <row r="3" spans="2:12" x14ac:dyDescent="0.25">
      <c r="B3" s="171"/>
      <c r="C3" s="172"/>
      <c r="D3" s="172"/>
      <c r="E3" s="172"/>
      <c r="F3" s="172"/>
      <c r="G3" s="173"/>
      <c r="H3" s="172"/>
      <c r="I3" s="172"/>
      <c r="J3" s="172"/>
      <c r="K3" s="172"/>
      <c r="L3" s="174"/>
    </row>
    <row r="4" spans="2:12" x14ac:dyDescent="0.25">
      <c r="B4" s="171"/>
      <c r="C4" s="172"/>
      <c r="D4" s="172"/>
      <c r="E4" s="172"/>
      <c r="F4" s="172"/>
      <c r="G4" s="175" t="s">
        <v>0</v>
      </c>
      <c r="H4" s="172"/>
      <c r="I4" s="172"/>
      <c r="J4" s="172"/>
      <c r="K4" s="172"/>
      <c r="L4" s="174"/>
    </row>
    <row r="5" spans="2:12" x14ac:dyDescent="0.25">
      <c r="B5" s="171"/>
      <c r="C5" s="172"/>
      <c r="D5" s="172"/>
      <c r="E5" s="172"/>
      <c r="F5" s="172"/>
      <c r="G5" s="173"/>
      <c r="H5" s="172"/>
      <c r="I5" s="172"/>
      <c r="J5" s="172"/>
      <c r="K5" s="172"/>
      <c r="L5" s="174"/>
    </row>
    <row r="6" spans="2:12" x14ac:dyDescent="0.25">
      <c r="B6" s="171"/>
      <c r="C6" s="172"/>
      <c r="D6" s="172"/>
      <c r="E6" s="172"/>
      <c r="F6" s="172"/>
      <c r="G6" s="173" t="s">
        <v>1</v>
      </c>
      <c r="H6" s="172"/>
      <c r="I6" s="172"/>
      <c r="J6" s="172"/>
      <c r="K6" s="172"/>
      <c r="L6" s="174"/>
    </row>
    <row r="7" spans="2:12" x14ac:dyDescent="0.25">
      <c r="B7" s="171"/>
      <c r="C7" s="172"/>
      <c r="D7" s="172"/>
      <c r="E7" s="172"/>
      <c r="F7" s="172"/>
      <c r="G7" s="173" t="s">
        <v>2</v>
      </c>
      <c r="H7" s="172"/>
      <c r="I7" s="172"/>
      <c r="J7" s="172"/>
      <c r="K7" s="172"/>
      <c r="L7" s="174"/>
    </row>
    <row r="8" spans="2:12" x14ac:dyDescent="0.25">
      <c r="B8" s="171"/>
      <c r="C8" s="172"/>
      <c r="D8" s="172"/>
      <c r="E8" s="172"/>
      <c r="F8" s="172"/>
      <c r="G8" s="176" t="s">
        <v>3</v>
      </c>
      <c r="H8" s="172"/>
      <c r="I8" s="172"/>
      <c r="J8" s="172"/>
      <c r="K8" s="172"/>
      <c r="L8" s="174"/>
    </row>
    <row r="9" spans="2:12" x14ac:dyDescent="0.25">
      <c r="B9" s="171"/>
      <c r="C9" s="172"/>
      <c r="D9" s="172"/>
      <c r="E9" s="172"/>
      <c r="F9" s="172"/>
      <c r="G9" s="173"/>
      <c r="H9" s="172"/>
      <c r="I9" s="172"/>
      <c r="J9" s="172"/>
      <c r="K9" s="172"/>
      <c r="L9" s="174"/>
    </row>
    <row r="10" spans="2:12" x14ac:dyDescent="0.25">
      <c r="B10" s="171"/>
      <c r="C10" s="172"/>
      <c r="D10" s="172"/>
      <c r="E10" s="172"/>
      <c r="F10" s="172"/>
      <c r="G10" s="173"/>
      <c r="H10" s="172"/>
      <c r="I10" s="172"/>
      <c r="J10" s="172"/>
      <c r="K10" s="172"/>
      <c r="L10" s="174"/>
    </row>
    <row r="11" spans="2:12" x14ac:dyDescent="0.25">
      <c r="B11" s="177"/>
      <c r="C11" s="178"/>
      <c r="D11" s="178"/>
      <c r="E11" s="178"/>
      <c r="F11" s="178"/>
      <c r="G11" s="178"/>
      <c r="H11" s="178"/>
      <c r="I11" s="178"/>
      <c r="J11" s="178"/>
      <c r="K11" s="178"/>
      <c r="L11" s="179"/>
    </row>
    <row r="15" spans="2:12" x14ac:dyDescent="0.25">
      <c r="B15" s="166"/>
      <c r="C15" s="167"/>
      <c r="D15" s="167"/>
      <c r="E15" s="167"/>
      <c r="F15" s="167"/>
      <c r="G15" s="167"/>
      <c r="H15" s="167"/>
      <c r="I15" s="167"/>
      <c r="J15" s="167"/>
      <c r="K15" s="167"/>
      <c r="L15" s="169"/>
    </row>
    <row r="16" spans="2:12" x14ac:dyDescent="0.25">
      <c r="B16" s="171"/>
      <c r="C16" s="175" t="s">
        <v>4</v>
      </c>
      <c r="D16" s="173"/>
      <c r="E16" s="173"/>
      <c r="F16" s="173"/>
      <c r="G16" s="173"/>
      <c r="H16" s="173"/>
      <c r="I16" s="173"/>
      <c r="J16" s="173"/>
      <c r="K16" s="173"/>
      <c r="L16" s="174"/>
    </row>
    <row r="17" spans="2:14" x14ac:dyDescent="0.25">
      <c r="B17" s="171"/>
      <c r="C17" s="173"/>
      <c r="D17" s="173"/>
      <c r="E17" s="173"/>
      <c r="F17" s="173"/>
      <c r="G17" s="175"/>
      <c r="H17" s="173"/>
      <c r="I17" s="173"/>
      <c r="J17" s="173"/>
      <c r="K17" s="173"/>
      <c r="L17" s="174"/>
    </row>
    <row r="18" spans="2:14" ht="15" customHeight="1" x14ac:dyDescent="0.25">
      <c r="B18" s="171"/>
      <c r="C18" s="399" t="s">
        <v>292</v>
      </c>
      <c r="D18" s="399"/>
      <c r="E18" s="399"/>
      <c r="F18" s="399"/>
      <c r="G18" s="399"/>
      <c r="H18" s="399"/>
      <c r="I18" s="399"/>
      <c r="J18" s="399"/>
      <c r="K18" s="399"/>
      <c r="L18" s="174"/>
      <c r="N18" s="286"/>
    </row>
    <row r="19" spans="2:14" x14ac:dyDescent="0.25">
      <c r="B19" s="171"/>
      <c r="C19" s="399"/>
      <c r="D19" s="399"/>
      <c r="E19" s="399"/>
      <c r="F19" s="399"/>
      <c r="G19" s="399"/>
      <c r="H19" s="399"/>
      <c r="I19" s="399"/>
      <c r="J19" s="399"/>
      <c r="K19" s="399"/>
      <c r="L19" s="174"/>
    </row>
    <row r="20" spans="2:14" ht="15" customHeight="1" x14ac:dyDescent="0.25">
      <c r="B20" s="171"/>
      <c r="C20" s="399"/>
      <c r="D20" s="399"/>
      <c r="E20" s="399"/>
      <c r="F20" s="399"/>
      <c r="G20" s="399"/>
      <c r="H20" s="399"/>
      <c r="I20" s="399"/>
      <c r="J20" s="399"/>
      <c r="K20" s="399"/>
      <c r="L20" s="174"/>
    </row>
    <row r="21" spans="2:14" ht="9" customHeight="1" x14ac:dyDescent="0.25">
      <c r="B21" s="171"/>
      <c r="C21" s="173"/>
      <c r="D21" s="173"/>
      <c r="E21" s="173"/>
      <c r="F21" s="173"/>
      <c r="G21" s="173"/>
      <c r="H21" s="173"/>
      <c r="I21" s="173"/>
      <c r="J21" s="173"/>
      <c r="K21" s="173"/>
      <c r="L21" s="174"/>
    </row>
    <row r="22" spans="2:14" ht="15" customHeight="1" x14ac:dyDescent="0.25">
      <c r="B22" s="171"/>
      <c r="C22" s="399" t="s">
        <v>261</v>
      </c>
      <c r="D22" s="399"/>
      <c r="E22" s="399"/>
      <c r="F22" s="399"/>
      <c r="G22" s="399"/>
      <c r="H22" s="399"/>
      <c r="I22" s="399"/>
      <c r="J22" s="399"/>
      <c r="K22" s="399"/>
      <c r="L22" s="174"/>
    </row>
    <row r="23" spans="2:14" x14ac:dyDescent="0.25">
      <c r="B23" s="171"/>
      <c r="C23" s="399"/>
      <c r="D23" s="399"/>
      <c r="E23" s="399"/>
      <c r="F23" s="399"/>
      <c r="G23" s="399"/>
      <c r="H23" s="399"/>
      <c r="I23" s="399"/>
      <c r="J23" s="399"/>
      <c r="K23" s="399"/>
      <c r="L23" s="174"/>
    </row>
    <row r="24" spans="2:14" x14ac:dyDescent="0.25">
      <c r="B24" s="171"/>
      <c r="C24" s="399"/>
      <c r="D24" s="399"/>
      <c r="E24" s="399"/>
      <c r="F24" s="399"/>
      <c r="G24" s="399"/>
      <c r="H24" s="399"/>
      <c r="I24" s="399"/>
      <c r="J24" s="399"/>
      <c r="K24" s="399"/>
      <c r="L24" s="174"/>
    </row>
    <row r="25" spans="2:14" ht="30" customHeight="1" x14ac:dyDescent="0.25">
      <c r="B25" s="171"/>
      <c r="C25" s="399"/>
      <c r="D25" s="399"/>
      <c r="E25" s="399"/>
      <c r="F25" s="399"/>
      <c r="G25" s="399"/>
      <c r="H25" s="399"/>
      <c r="I25" s="399"/>
      <c r="J25" s="399"/>
      <c r="K25" s="399"/>
      <c r="L25" s="174"/>
      <c r="N25" s="263"/>
    </row>
    <row r="26" spans="2:14" x14ac:dyDescent="0.25">
      <c r="B26" s="171"/>
      <c r="C26" s="214"/>
      <c r="D26" s="214"/>
      <c r="E26" s="214"/>
      <c r="F26" s="214"/>
      <c r="G26" s="214"/>
      <c r="H26" s="214"/>
      <c r="I26" s="214"/>
      <c r="J26" s="214"/>
      <c r="K26" s="214"/>
      <c r="L26" s="174"/>
    </row>
    <row r="27" spans="2:14" x14ac:dyDescent="0.25">
      <c r="B27" s="171"/>
      <c r="C27" s="401" t="s">
        <v>5</v>
      </c>
      <c r="D27" s="401"/>
      <c r="E27" s="401"/>
      <c r="F27" s="401"/>
      <c r="G27" s="401"/>
      <c r="H27" s="401"/>
      <c r="I27" s="401"/>
      <c r="J27" s="401"/>
      <c r="K27" s="401"/>
      <c r="L27" s="174"/>
    </row>
    <row r="28" spans="2:14" x14ac:dyDescent="0.25">
      <c r="B28" s="171"/>
      <c r="C28" s="291"/>
      <c r="D28" s="291"/>
      <c r="E28" s="291"/>
      <c r="F28" s="291"/>
      <c r="G28" s="291"/>
      <c r="H28" s="291"/>
      <c r="I28" s="291"/>
      <c r="J28" s="291"/>
      <c r="K28" s="291"/>
      <c r="L28" s="174"/>
    </row>
    <row r="29" spans="2:14" ht="230.1" customHeight="1" x14ac:dyDescent="0.25">
      <c r="B29" s="171"/>
      <c r="C29" s="399" t="s">
        <v>272</v>
      </c>
      <c r="D29" s="399"/>
      <c r="E29" s="399"/>
      <c r="F29" s="399"/>
      <c r="G29" s="399"/>
      <c r="H29" s="399"/>
      <c r="I29" s="399"/>
      <c r="J29" s="399"/>
      <c r="K29" s="399"/>
      <c r="L29" s="174"/>
      <c r="N29" s="287"/>
    </row>
    <row r="30" spans="2:14" x14ac:dyDescent="0.25">
      <c r="B30" s="171"/>
      <c r="C30" s="291"/>
      <c r="D30" s="291"/>
      <c r="E30" s="291"/>
      <c r="F30" s="291"/>
      <c r="G30" s="291"/>
      <c r="H30" s="291"/>
      <c r="I30" s="291"/>
      <c r="J30" s="291"/>
      <c r="K30" s="291"/>
      <c r="L30" s="174"/>
      <c r="N30" s="192"/>
    </row>
    <row r="31" spans="2:14" x14ac:dyDescent="0.25">
      <c r="B31" s="171"/>
      <c r="C31" s="404" t="s">
        <v>6</v>
      </c>
      <c r="D31" s="404"/>
      <c r="E31" s="404"/>
      <c r="F31" s="404"/>
      <c r="G31" s="404"/>
      <c r="H31" s="404"/>
      <c r="I31" s="404"/>
      <c r="J31" s="404"/>
      <c r="K31" s="404"/>
      <c r="L31" s="174"/>
    </row>
    <row r="32" spans="2:14" x14ac:dyDescent="0.25">
      <c r="B32" s="171"/>
      <c r="C32" s="214"/>
      <c r="D32" s="180"/>
      <c r="E32" s="180"/>
      <c r="F32" s="180"/>
      <c r="G32" s="180"/>
      <c r="H32" s="180"/>
      <c r="I32" s="180"/>
      <c r="J32" s="180"/>
      <c r="K32" s="180"/>
      <c r="L32" s="174"/>
    </row>
    <row r="33" spans="2:14" ht="36" customHeight="1" thickBot="1" x14ac:dyDescent="0.3">
      <c r="B33" s="171"/>
      <c r="C33" s="181"/>
      <c r="D33" s="399" t="s">
        <v>253</v>
      </c>
      <c r="E33" s="399"/>
      <c r="F33" s="399"/>
      <c r="G33" s="399"/>
      <c r="H33" s="399"/>
      <c r="I33" s="399"/>
      <c r="J33" s="399"/>
      <c r="K33" s="399"/>
      <c r="L33" s="174"/>
      <c r="M33" s="262"/>
      <c r="N33" s="289"/>
    </row>
    <row r="34" spans="2:14" s="376" customFormat="1" ht="50.1" customHeight="1" thickTop="1" thickBot="1" x14ac:dyDescent="0.25">
      <c r="B34" s="371"/>
      <c r="C34" s="372"/>
      <c r="D34" s="191"/>
      <c r="E34" s="373"/>
      <c r="F34" s="413" t="s">
        <v>268</v>
      </c>
      <c r="G34" s="402"/>
      <c r="H34" s="402"/>
      <c r="I34" s="402"/>
      <c r="J34" s="402"/>
      <c r="K34" s="402"/>
      <c r="L34" s="374"/>
      <c r="M34" s="375"/>
      <c r="N34" s="289"/>
    </row>
    <row r="35" spans="2:14" s="376" customFormat="1" ht="33" customHeight="1" thickTop="1" x14ac:dyDescent="0.2">
      <c r="B35" s="371"/>
      <c r="C35" s="372"/>
      <c r="D35" s="191"/>
      <c r="E35" s="377"/>
      <c r="F35" s="410" t="s">
        <v>269</v>
      </c>
      <c r="G35" s="410"/>
      <c r="H35" s="410"/>
      <c r="I35" s="410"/>
      <c r="J35" s="410"/>
      <c r="K35" s="410"/>
      <c r="L35" s="374"/>
      <c r="M35" s="375"/>
      <c r="N35" s="289"/>
    </row>
    <row r="36" spans="2:14" s="376" customFormat="1" ht="33" customHeight="1" x14ac:dyDescent="0.2">
      <c r="B36" s="371"/>
      <c r="C36" s="372"/>
      <c r="D36" s="191"/>
      <c r="E36" s="378"/>
      <c r="F36" s="410"/>
      <c r="G36" s="410"/>
      <c r="H36" s="410"/>
      <c r="I36" s="410"/>
      <c r="J36" s="410"/>
      <c r="K36" s="410"/>
      <c r="L36" s="374"/>
      <c r="M36" s="375"/>
      <c r="N36" s="289"/>
    </row>
    <row r="37" spans="2:14" s="376" customFormat="1" ht="66" customHeight="1" x14ac:dyDescent="0.2">
      <c r="B37" s="371"/>
      <c r="C37" s="372"/>
      <c r="D37" s="191"/>
      <c r="E37" s="379"/>
      <c r="F37" s="410" t="s">
        <v>270</v>
      </c>
      <c r="G37" s="402"/>
      <c r="H37" s="402"/>
      <c r="I37" s="402"/>
      <c r="J37" s="402"/>
      <c r="K37" s="402"/>
      <c r="L37" s="374"/>
      <c r="M37" s="375"/>
      <c r="N37" s="289"/>
    </row>
    <row r="38" spans="2:14" ht="9" customHeight="1" x14ac:dyDescent="0.25">
      <c r="B38" s="171"/>
      <c r="C38" s="181"/>
      <c r="D38" s="411"/>
      <c r="E38" s="411"/>
      <c r="F38" s="411"/>
      <c r="G38" s="411"/>
      <c r="H38" s="411"/>
      <c r="I38" s="411"/>
      <c r="J38" s="411"/>
      <c r="K38" s="411"/>
      <c r="L38" s="412"/>
      <c r="M38" s="262"/>
      <c r="N38" s="289"/>
    </row>
    <row r="39" spans="2:14" ht="102.75" customHeight="1" x14ac:dyDescent="0.25">
      <c r="B39" s="171"/>
      <c r="C39" s="181"/>
      <c r="D39" s="399" t="s">
        <v>254</v>
      </c>
      <c r="E39" s="399"/>
      <c r="F39" s="399"/>
      <c r="G39" s="399"/>
      <c r="H39" s="399"/>
      <c r="I39" s="399"/>
      <c r="J39" s="399"/>
      <c r="K39" s="399"/>
      <c r="L39" s="174"/>
      <c r="M39" s="262"/>
      <c r="N39" s="289"/>
    </row>
    <row r="40" spans="2:14" ht="52.5" customHeight="1" x14ac:dyDescent="0.25">
      <c r="B40" s="171"/>
      <c r="C40" s="181"/>
      <c r="D40" s="399" t="s">
        <v>265</v>
      </c>
      <c r="E40" s="399"/>
      <c r="F40" s="399"/>
      <c r="G40" s="399"/>
      <c r="H40" s="399"/>
      <c r="I40" s="399"/>
      <c r="J40" s="399"/>
      <c r="K40" s="399"/>
      <c r="L40" s="174"/>
      <c r="M40" s="262"/>
      <c r="N40" s="264"/>
    </row>
    <row r="41" spans="2:14" ht="41.25" customHeight="1" x14ac:dyDescent="0.25">
      <c r="B41" s="171"/>
      <c r="C41" s="181"/>
      <c r="D41" s="399" t="s">
        <v>263</v>
      </c>
      <c r="E41" s="399"/>
      <c r="F41" s="399"/>
      <c r="G41" s="399"/>
      <c r="H41" s="399"/>
      <c r="I41" s="399"/>
      <c r="J41" s="399"/>
      <c r="K41" s="399"/>
      <c r="L41" s="174"/>
      <c r="M41" s="262"/>
      <c r="N41" s="264"/>
    </row>
    <row r="42" spans="2:14" ht="96.75" customHeight="1" x14ac:dyDescent="0.25">
      <c r="B42" s="171"/>
      <c r="C42" s="181"/>
      <c r="D42" s="399" t="s">
        <v>264</v>
      </c>
      <c r="E42" s="399"/>
      <c r="F42" s="399"/>
      <c r="G42" s="399"/>
      <c r="H42" s="399"/>
      <c r="I42" s="399"/>
      <c r="J42" s="399"/>
      <c r="K42" s="399"/>
      <c r="L42" s="174"/>
      <c r="M42" s="262"/>
      <c r="N42" s="289"/>
    </row>
    <row r="43" spans="2:14" ht="144" customHeight="1" x14ac:dyDescent="0.25">
      <c r="B43" s="171"/>
      <c r="C43" s="181"/>
      <c r="D43" s="399" t="s">
        <v>252</v>
      </c>
      <c r="E43" s="399"/>
      <c r="F43" s="399"/>
      <c r="G43" s="399"/>
      <c r="H43" s="399"/>
      <c r="I43" s="399"/>
      <c r="J43" s="399"/>
      <c r="K43" s="399"/>
      <c r="L43" s="174"/>
      <c r="M43" s="262"/>
      <c r="N43" s="289"/>
    </row>
    <row r="44" spans="2:14" ht="66" customHeight="1" x14ac:dyDescent="0.25">
      <c r="B44" s="171"/>
      <c r="C44" s="181"/>
      <c r="D44" s="399" t="s">
        <v>251</v>
      </c>
      <c r="E44" s="399"/>
      <c r="F44" s="399"/>
      <c r="G44" s="399"/>
      <c r="H44" s="399"/>
      <c r="I44" s="399"/>
      <c r="J44" s="399"/>
      <c r="K44" s="399"/>
      <c r="L44" s="174"/>
      <c r="M44" s="262"/>
      <c r="N44" s="264"/>
    </row>
    <row r="45" spans="2:14" ht="68.25" customHeight="1" x14ac:dyDescent="0.25">
      <c r="B45" s="171"/>
      <c r="C45" s="181"/>
      <c r="D45" s="399" t="s">
        <v>262</v>
      </c>
      <c r="E45" s="399"/>
      <c r="F45" s="399"/>
      <c r="G45" s="399"/>
      <c r="H45" s="399"/>
      <c r="I45" s="399"/>
      <c r="J45" s="399"/>
      <c r="K45" s="399"/>
      <c r="L45" s="174"/>
      <c r="M45" s="262"/>
      <c r="N45" s="264"/>
    </row>
    <row r="46" spans="2:14" x14ac:dyDescent="0.25">
      <c r="B46" s="171"/>
      <c r="C46" s="214"/>
      <c r="D46" s="180"/>
      <c r="E46" s="180"/>
      <c r="F46" s="180"/>
      <c r="G46" s="180"/>
      <c r="H46" s="180"/>
      <c r="I46" s="180"/>
      <c r="J46" s="180"/>
      <c r="K46" s="180"/>
      <c r="L46" s="174"/>
    </row>
    <row r="47" spans="2:14" ht="61.9" customHeight="1" x14ac:dyDescent="0.25">
      <c r="B47" s="171"/>
      <c r="C47" s="182"/>
      <c r="D47" s="399" t="s">
        <v>177</v>
      </c>
      <c r="E47" s="399"/>
      <c r="F47" s="399"/>
      <c r="G47" s="399"/>
      <c r="H47" s="399"/>
      <c r="I47" s="399"/>
      <c r="J47" s="399"/>
      <c r="K47" s="399"/>
      <c r="L47" s="174"/>
      <c r="N47" s="289"/>
    </row>
    <row r="48" spans="2:14" ht="32.450000000000003" customHeight="1" x14ac:dyDescent="0.25">
      <c r="B48" s="171"/>
      <c r="C48" s="182"/>
      <c r="D48" s="399" t="s">
        <v>7</v>
      </c>
      <c r="E48" s="399"/>
      <c r="F48" s="399"/>
      <c r="G48" s="399"/>
      <c r="H48" s="399"/>
      <c r="I48" s="399"/>
      <c r="J48" s="399"/>
      <c r="K48" s="399"/>
      <c r="L48" s="174"/>
    </row>
    <row r="49" spans="2:14" ht="33.6" customHeight="1" x14ac:dyDescent="0.25">
      <c r="B49" s="171"/>
      <c r="C49" s="182"/>
      <c r="D49" s="183"/>
      <c r="E49" s="184"/>
      <c r="F49" s="399" t="s">
        <v>255</v>
      </c>
      <c r="G49" s="399"/>
      <c r="H49" s="399"/>
      <c r="I49" s="399"/>
      <c r="J49" s="399"/>
      <c r="K49" s="399"/>
      <c r="L49" s="174"/>
    </row>
    <row r="50" spans="2:14" ht="98.25" customHeight="1" x14ac:dyDescent="0.25">
      <c r="B50" s="171"/>
      <c r="C50" s="182"/>
      <c r="D50" s="183"/>
      <c r="E50" s="361"/>
      <c r="F50" s="402" t="s">
        <v>277</v>
      </c>
      <c r="G50" s="402"/>
      <c r="H50" s="402"/>
      <c r="I50" s="402"/>
      <c r="J50" s="402"/>
      <c r="K50" s="402"/>
      <c r="L50" s="174"/>
    </row>
    <row r="51" spans="2:14" ht="32.25" customHeight="1" x14ac:dyDescent="0.25">
      <c r="B51" s="171"/>
      <c r="C51" s="182"/>
      <c r="D51" s="183"/>
      <c r="E51" s="185"/>
      <c r="F51" s="405" t="s">
        <v>234</v>
      </c>
      <c r="G51" s="405"/>
      <c r="H51" s="405"/>
      <c r="I51" s="405"/>
      <c r="J51" s="405"/>
      <c r="K51" s="405"/>
      <c r="L51" s="174"/>
    </row>
    <row r="52" spans="2:14" ht="92.25" customHeight="1" x14ac:dyDescent="0.25">
      <c r="B52" s="171"/>
      <c r="C52" s="182"/>
      <c r="D52" s="183"/>
      <c r="E52" s="239"/>
      <c r="F52" s="405" t="s">
        <v>8</v>
      </c>
      <c r="G52" s="405"/>
      <c r="H52" s="405"/>
      <c r="I52" s="405"/>
      <c r="J52" s="405"/>
      <c r="K52" s="405"/>
      <c r="L52" s="174"/>
    </row>
    <row r="53" spans="2:14" ht="23.25" customHeight="1" x14ac:dyDescent="0.25">
      <c r="B53" s="171"/>
      <c r="C53" s="182"/>
      <c r="D53" s="183"/>
      <c r="E53" s="195"/>
      <c r="F53" s="405" t="s">
        <v>9</v>
      </c>
      <c r="G53" s="405"/>
      <c r="H53" s="405"/>
      <c r="I53" s="405"/>
      <c r="J53" s="405"/>
      <c r="K53" s="405"/>
      <c r="L53" s="174"/>
    </row>
    <row r="54" spans="2:14" ht="121.5" customHeight="1" x14ac:dyDescent="0.25">
      <c r="B54" s="171"/>
      <c r="C54" s="182"/>
      <c r="D54" s="399" t="s">
        <v>257</v>
      </c>
      <c r="E54" s="399"/>
      <c r="F54" s="399"/>
      <c r="G54" s="399"/>
      <c r="H54" s="399"/>
      <c r="I54" s="399"/>
      <c r="J54" s="399"/>
      <c r="K54" s="399"/>
      <c r="L54" s="174"/>
      <c r="N54" s="288"/>
    </row>
    <row r="55" spans="2:14" x14ac:dyDescent="0.25">
      <c r="B55" s="171"/>
      <c r="C55" s="214"/>
      <c r="D55" s="290"/>
      <c r="E55" s="290"/>
      <c r="F55" s="290"/>
      <c r="G55" s="290"/>
      <c r="H55" s="290"/>
      <c r="I55" s="290"/>
      <c r="J55" s="290"/>
      <c r="K55" s="290"/>
      <c r="L55" s="174"/>
      <c r="N55" s="288"/>
    </row>
    <row r="56" spans="2:14" ht="98.25" customHeight="1" x14ac:dyDescent="0.25">
      <c r="B56" s="171"/>
      <c r="C56" s="399" t="s">
        <v>191</v>
      </c>
      <c r="D56" s="399"/>
      <c r="E56" s="399"/>
      <c r="F56" s="399"/>
      <c r="G56" s="399"/>
      <c r="H56" s="399"/>
      <c r="I56" s="399"/>
      <c r="J56" s="399"/>
      <c r="K56" s="399"/>
      <c r="L56" s="174"/>
      <c r="N56" s="288"/>
    </row>
    <row r="57" spans="2:14" x14ac:dyDescent="0.25">
      <c r="B57" s="171"/>
      <c r="C57" s="214"/>
      <c r="D57" s="290"/>
      <c r="E57" s="290"/>
      <c r="F57" s="290"/>
      <c r="G57" s="290"/>
      <c r="H57" s="290"/>
      <c r="I57" s="290"/>
      <c r="J57" s="290"/>
      <c r="K57" s="290"/>
      <c r="L57" s="174"/>
      <c r="N57" s="288"/>
    </row>
    <row r="58" spans="2:14" ht="48.75" customHeight="1" x14ac:dyDescent="0.25">
      <c r="B58" s="171"/>
      <c r="C58" s="296"/>
      <c r="D58" s="399" t="s">
        <v>276</v>
      </c>
      <c r="E58" s="399"/>
      <c r="F58" s="399"/>
      <c r="G58" s="399"/>
      <c r="H58" s="399"/>
      <c r="I58" s="399"/>
      <c r="J58" s="399"/>
      <c r="K58" s="399"/>
      <c r="L58" s="174"/>
      <c r="N58" s="288"/>
    </row>
    <row r="59" spans="2:14" x14ac:dyDescent="0.25">
      <c r="B59" s="171"/>
      <c r="C59" s="214"/>
      <c r="D59" s="290"/>
      <c r="E59" s="290"/>
      <c r="F59" s="290"/>
      <c r="G59" s="290"/>
      <c r="H59" s="290"/>
      <c r="I59" s="290"/>
      <c r="J59" s="290"/>
      <c r="K59" s="290"/>
      <c r="L59" s="174"/>
      <c r="N59" s="288"/>
    </row>
    <row r="60" spans="2:14" ht="97.5" customHeight="1" x14ac:dyDescent="0.25">
      <c r="B60" s="171"/>
      <c r="C60" s="297"/>
      <c r="D60" s="399" t="s">
        <v>258</v>
      </c>
      <c r="E60" s="399"/>
      <c r="F60" s="399"/>
      <c r="G60" s="399"/>
      <c r="H60" s="399"/>
      <c r="I60" s="399"/>
      <c r="J60" s="399"/>
      <c r="K60" s="399"/>
      <c r="L60" s="174"/>
      <c r="N60" s="288"/>
    </row>
    <row r="61" spans="2:14" x14ac:dyDescent="0.25">
      <c r="B61" s="171"/>
      <c r="C61" s="214"/>
      <c r="D61" s="214"/>
      <c r="E61" s="214"/>
      <c r="F61" s="214"/>
      <c r="G61" s="214"/>
      <c r="H61" s="214"/>
      <c r="I61" s="214"/>
      <c r="J61" s="214"/>
      <c r="K61" s="214"/>
      <c r="L61" s="174"/>
    </row>
    <row r="62" spans="2:14" ht="54" customHeight="1" x14ac:dyDescent="0.25">
      <c r="B62" s="171"/>
      <c r="C62" s="240"/>
      <c r="D62" s="399" t="s">
        <v>259</v>
      </c>
      <c r="E62" s="399"/>
      <c r="F62" s="399"/>
      <c r="G62" s="399"/>
      <c r="H62" s="399"/>
      <c r="I62" s="399"/>
      <c r="J62" s="399"/>
      <c r="K62" s="399"/>
      <c r="L62" s="174"/>
    </row>
    <row r="63" spans="2:14" x14ac:dyDescent="0.25">
      <c r="B63" s="171"/>
      <c r="C63" s="241"/>
      <c r="D63" s="407" t="s">
        <v>184</v>
      </c>
      <c r="E63" s="407"/>
      <c r="F63" s="407"/>
      <c r="G63" s="407"/>
      <c r="H63" s="407"/>
      <c r="I63" s="407"/>
      <c r="J63" s="407"/>
      <c r="K63" s="407"/>
      <c r="L63" s="174"/>
    </row>
    <row r="64" spans="2:14" x14ac:dyDescent="0.25">
      <c r="B64" s="171"/>
      <c r="C64" s="241"/>
      <c r="D64" s="408" t="s">
        <v>10</v>
      </c>
      <c r="E64" s="408"/>
      <c r="F64" s="408"/>
      <c r="G64" s="408"/>
      <c r="H64" s="408"/>
      <c r="I64" s="408"/>
      <c r="J64" s="408"/>
      <c r="K64" s="408"/>
      <c r="L64" s="174"/>
    </row>
    <row r="65" spans="2:14" x14ac:dyDescent="0.25">
      <c r="B65" s="171"/>
      <c r="C65" s="241"/>
      <c r="D65" s="408" t="s">
        <v>11</v>
      </c>
      <c r="E65" s="408"/>
      <c r="F65" s="408"/>
      <c r="G65" s="408"/>
      <c r="H65" s="408"/>
      <c r="I65" s="408"/>
      <c r="J65" s="408"/>
      <c r="K65" s="408"/>
      <c r="L65" s="174"/>
    </row>
    <row r="66" spans="2:14" x14ac:dyDescent="0.25">
      <c r="B66" s="171"/>
      <c r="C66" s="241"/>
      <c r="D66" s="408" t="s">
        <v>12</v>
      </c>
      <c r="E66" s="408"/>
      <c r="F66" s="408"/>
      <c r="G66" s="408"/>
      <c r="H66" s="408"/>
      <c r="I66" s="408"/>
      <c r="J66" s="408"/>
      <c r="K66" s="408"/>
      <c r="L66" s="174"/>
    </row>
    <row r="67" spans="2:14" x14ac:dyDescent="0.25">
      <c r="B67" s="171"/>
      <c r="C67" s="241"/>
      <c r="D67" s="292"/>
      <c r="E67" s="292"/>
      <c r="F67" s="292"/>
      <c r="G67" s="292"/>
      <c r="H67" s="292"/>
      <c r="I67" s="292"/>
      <c r="J67" s="292"/>
      <c r="K67" s="292"/>
      <c r="L67" s="174"/>
    </row>
    <row r="68" spans="2:14" ht="33.75" customHeight="1" x14ac:dyDescent="0.25">
      <c r="B68" s="171"/>
      <c r="C68" s="241"/>
      <c r="D68" s="399" t="s">
        <v>190</v>
      </c>
      <c r="E68" s="409"/>
      <c r="F68" s="409"/>
      <c r="G68" s="409"/>
      <c r="H68" s="409"/>
      <c r="I68" s="409"/>
      <c r="J68" s="409"/>
      <c r="K68" s="409"/>
      <c r="L68" s="174"/>
      <c r="N68" s="193"/>
    </row>
    <row r="69" spans="2:14" x14ac:dyDescent="0.25">
      <c r="B69" s="171"/>
      <c r="C69" s="214"/>
      <c r="D69" s="291"/>
      <c r="E69" s="291"/>
      <c r="F69" s="291"/>
      <c r="G69" s="291"/>
      <c r="H69" s="291"/>
      <c r="I69" s="291"/>
      <c r="J69" s="291"/>
      <c r="K69" s="291"/>
      <c r="L69" s="174"/>
    </row>
    <row r="70" spans="2:14" ht="52.5" customHeight="1" x14ac:dyDescent="0.25">
      <c r="B70" s="171"/>
      <c r="C70" s="300"/>
      <c r="D70" s="399" t="s">
        <v>193</v>
      </c>
      <c r="E70" s="399"/>
      <c r="F70" s="399"/>
      <c r="G70" s="399"/>
      <c r="H70" s="399"/>
      <c r="I70" s="399"/>
      <c r="J70" s="399"/>
      <c r="K70" s="399"/>
      <c r="L70" s="174"/>
    </row>
    <row r="71" spans="2:14" x14ac:dyDescent="0.25">
      <c r="B71" s="171"/>
      <c r="C71" s="214"/>
      <c r="D71" s="191"/>
      <c r="E71" s="191"/>
      <c r="F71" s="191"/>
      <c r="G71" s="191"/>
      <c r="H71" s="191"/>
      <c r="I71" s="191"/>
      <c r="J71" s="191"/>
      <c r="K71" s="191"/>
      <c r="L71" s="174"/>
    </row>
    <row r="72" spans="2:14" ht="46.15" customHeight="1" x14ac:dyDescent="0.25">
      <c r="B72" s="171"/>
      <c r="C72" s="406" t="s">
        <v>192</v>
      </c>
      <c r="D72" s="406"/>
      <c r="E72" s="406"/>
      <c r="F72" s="406"/>
      <c r="G72" s="406"/>
      <c r="H72" s="406"/>
      <c r="I72" s="406"/>
      <c r="J72" s="406"/>
      <c r="K72" s="406"/>
      <c r="L72" s="174"/>
    </row>
    <row r="73" spans="2:14" ht="38.25" customHeight="1" x14ac:dyDescent="0.25">
      <c r="B73" s="171"/>
      <c r="C73" s="214"/>
      <c r="D73" s="184"/>
      <c r="E73" s="402" t="s">
        <v>169</v>
      </c>
      <c r="F73" s="402"/>
      <c r="G73" s="402"/>
      <c r="H73" s="402"/>
      <c r="I73" s="402"/>
      <c r="J73" s="402"/>
      <c r="K73" s="402"/>
      <c r="L73" s="174"/>
      <c r="N73" s="262"/>
    </row>
    <row r="74" spans="2:14" ht="45.6" customHeight="1" x14ac:dyDescent="0.25">
      <c r="B74" s="171"/>
      <c r="C74" s="214"/>
      <c r="D74" s="186"/>
      <c r="E74" s="402" t="s">
        <v>178</v>
      </c>
      <c r="F74" s="402"/>
      <c r="G74" s="402"/>
      <c r="H74" s="402"/>
      <c r="I74" s="402"/>
      <c r="J74" s="402"/>
      <c r="K74" s="402"/>
      <c r="L74" s="174"/>
      <c r="N74" s="289"/>
    </row>
    <row r="75" spans="2:14" ht="45" customHeight="1" x14ac:dyDescent="0.25">
      <c r="B75" s="171"/>
      <c r="C75" s="214"/>
      <c r="D75" s="187"/>
      <c r="E75" s="402" t="s">
        <v>161</v>
      </c>
      <c r="F75" s="402"/>
      <c r="G75" s="402"/>
      <c r="H75" s="402"/>
      <c r="I75" s="402"/>
      <c r="J75" s="402"/>
      <c r="K75" s="402"/>
      <c r="L75" s="174"/>
    </row>
    <row r="76" spans="2:14" x14ac:dyDescent="0.25">
      <c r="B76" s="171"/>
      <c r="C76" s="214"/>
      <c r="D76" s="291"/>
      <c r="E76" s="188"/>
      <c r="F76" s="290"/>
      <c r="G76" s="290"/>
      <c r="H76" s="290"/>
      <c r="I76" s="290"/>
      <c r="J76" s="290"/>
      <c r="K76" s="290"/>
      <c r="L76" s="174"/>
    </row>
    <row r="77" spans="2:14" ht="48" customHeight="1" x14ac:dyDescent="0.25">
      <c r="B77" s="171"/>
      <c r="C77" s="214"/>
      <c r="D77" s="399" t="s">
        <v>13</v>
      </c>
      <c r="E77" s="399"/>
      <c r="F77" s="399"/>
      <c r="G77" s="399"/>
      <c r="H77" s="399"/>
      <c r="I77" s="399"/>
      <c r="J77" s="399"/>
      <c r="K77" s="399"/>
      <c r="L77" s="174"/>
    </row>
    <row r="78" spans="2:14" ht="33" customHeight="1" thickBot="1" x14ac:dyDescent="0.3">
      <c r="B78" s="171"/>
      <c r="C78" s="214"/>
      <c r="D78" s="189"/>
      <c r="E78" s="402" t="s">
        <v>163</v>
      </c>
      <c r="F78" s="402"/>
      <c r="G78" s="402"/>
      <c r="H78" s="402"/>
      <c r="I78" s="402"/>
      <c r="J78" s="402"/>
      <c r="K78" s="402"/>
      <c r="L78" s="174"/>
    </row>
    <row r="79" spans="2:14" ht="33" customHeight="1" thickBot="1" x14ac:dyDescent="0.3">
      <c r="B79" s="171"/>
      <c r="C79" s="214"/>
      <c r="D79" s="190"/>
      <c r="E79" s="403" t="s">
        <v>162</v>
      </c>
      <c r="F79" s="402"/>
      <c r="G79" s="402"/>
      <c r="H79" s="402"/>
      <c r="I79" s="402"/>
      <c r="J79" s="402"/>
      <c r="K79" s="402"/>
      <c r="L79" s="174"/>
    </row>
    <row r="80" spans="2:14" x14ac:dyDescent="0.25">
      <c r="B80" s="171"/>
      <c r="C80" s="214"/>
      <c r="D80" s="291"/>
      <c r="E80" s="291"/>
      <c r="F80" s="291"/>
      <c r="G80" s="291"/>
      <c r="H80" s="291"/>
      <c r="I80" s="291"/>
      <c r="J80" s="291"/>
      <c r="K80" s="291"/>
      <c r="L80" s="174"/>
    </row>
    <row r="81" spans="2:14" ht="17.45" customHeight="1" x14ac:dyDescent="0.25">
      <c r="B81" s="171"/>
      <c r="C81" s="401" t="s">
        <v>14</v>
      </c>
      <c r="D81" s="401"/>
      <c r="E81" s="401"/>
      <c r="F81" s="401"/>
      <c r="G81" s="401"/>
      <c r="H81" s="401"/>
      <c r="I81" s="401"/>
      <c r="J81" s="401"/>
      <c r="K81" s="401"/>
      <c r="L81" s="174"/>
    </row>
    <row r="82" spans="2:14" ht="90" customHeight="1" x14ac:dyDescent="0.25">
      <c r="B82" s="171"/>
      <c r="C82" s="399" t="s">
        <v>260</v>
      </c>
      <c r="D82" s="399"/>
      <c r="E82" s="399"/>
      <c r="F82" s="399"/>
      <c r="G82" s="399"/>
      <c r="H82" s="399"/>
      <c r="I82" s="399"/>
      <c r="J82" s="399"/>
      <c r="K82" s="399"/>
      <c r="L82" s="174"/>
      <c r="N82" s="263"/>
    </row>
    <row r="83" spans="2:14" ht="15" customHeight="1" x14ac:dyDescent="0.25">
      <c r="B83" s="171"/>
      <c r="C83" s="352"/>
      <c r="D83" s="352"/>
      <c r="E83" s="352"/>
      <c r="F83" s="352"/>
      <c r="G83" s="352"/>
      <c r="H83" s="352"/>
      <c r="I83" s="352"/>
      <c r="J83" s="352"/>
      <c r="K83" s="352"/>
      <c r="L83" s="174"/>
      <c r="N83" s="263"/>
    </row>
    <row r="84" spans="2:14" ht="165" customHeight="1" x14ac:dyDescent="0.25">
      <c r="B84" s="171"/>
      <c r="C84" s="354"/>
      <c r="D84" s="399" t="s">
        <v>273</v>
      </c>
      <c r="E84" s="399"/>
      <c r="F84" s="399"/>
      <c r="G84" s="399"/>
      <c r="H84" s="399"/>
      <c r="I84" s="399"/>
      <c r="J84" s="399"/>
      <c r="K84" s="399"/>
      <c r="L84" s="174"/>
      <c r="N84" s="263"/>
    </row>
    <row r="85" spans="2:14" x14ac:dyDescent="0.25">
      <c r="B85" s="177"/>
      <c r="C85" s="400"/>
      <c r="D85" s="400"/>
      <c r="E85" s="400"/>
      <c r="F85" s="400"/>
      <c r="G85" s="400"/>
      <c r="H85" s="400"/>
      <c r="I85" s="400"/>
      <c r="J85" s="400"/>
      <c r="K85" s="400"/>
      <c r="L85" s="179"/>
    </row>
    <row r="87" spans="2:14" x14ac:dyDescent="0.25">
      <c r="C87" s="298"/>
    </row>
  </sheetData>
  <mergeCells count="46">
    <mergeCell ref="F37:K37"/>
    <mergeCell ref="D38:L38"/>
    <mergeCell ref="F50:K50"/>
    <mergeCell ref="D40:K40"/>
    <mergeCell ref="D33:K33"/>
    <mergeCell ref="F34:K34"/>
    <mergeCell ref="F35:K36"/>
    <mergeCell ref="D39:K39"/>
    <mergeCell ref="D47:K47"/>
    <mergeCell ref="D48:K48"/>
    <mergeCell ref="F49:K49"/>
    <mergeCell ref="F53:K53"/>
    <mergeCell ref="F52:K52"/>
    <mergeCell ref="C72:K72"/>
    <mergeCell ref="E73:K73"/>
    <mergeCell ref="E74:K74"/>
    <mergeCell ref="D54:K54"/>
    <mergeCell ref="D62:K62"/>
    <mergeCell ref="D63:K63"/>
    <mergeCell ref="D64:K64"/>
    <mergeCell ref="D65:K65"/>
    <mergeCell ref="D66:K66"/>
    <mergeCell ref="D68:K68"/>
    <mergeCell ref="C56:K56"/>
    <mergeCell ref="D58:K58"/>
    <mergeCell ref="D60:K60"/>
    <mergeCell ref="F51:K51"/>
    <mergeCell ref="D44:K44"/>
    <mergeCell ref="D43:K43"/>
    <mergeCell ref="D41:K41"/>
    <mergeCell ref="D42:K42"/>
    <mergeCell ref="D45:K45"/>
    <mergeCell ref="C18:K20"/>
    <mergeCell ref="C22:K25"/>
    <mergeCell ref="C27:K27"/>
    <mergeCell ref="C29:K29"/>
    <mergeCell ref="C31:K31"/>
    <mergeCell ref="C82:K82"/>
    <mergeCell ref="C85:K85"/>
    <mergeCell ref="D77:K77"/>
    <mergeCell ref="D70:K70"/>
    <mergeCell ref="C81:K81"/>
    <mergeCell ref="E75:K75"/>
    <mergeCell ref="E78:K78"/>
    <mergeCell ref="E79:K79"/>
    <mergeCell ref="D84:K84"/>
  </mergeCells>
  <hyperlinks>
    <hyperlink ref="G8" r:id="rId1" xr:uid="{00000000-0004-0000-0000-000000000000}"/>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theme="0" tint="-0.14999847407452621"/>
  </sheetPr>
  <dimension ref="A2:V82"/>
  <sheetViews>
    <sheetView tabSelected="1" zoomScale="80" zoomScaleNormal="80" workbookViewId="0"/>
  </sheetViews>
  <sheetFormatPr defaultColWidth="8.7109375" defaultRowHeight="12.75" x14ac:dyDescent="0.2"/>
  <cols>
    <col min="1" max="3" width="8.7109375" style="5"/>
    <col min="4" max="4" width="11.42578125" style="5" customWidth="1"/>
    <col min="5" max="5" width="38.28515625" style="5" customWidth="1"/>
    <col min="6" max="6" width="16.42578125" style="5" customWidth="1"/>
    <col min="7" max="7" width="22.140625" style="5" customWidth="1"/>
    <col min="8" max="8" width="21.140625" style="5" customWidth="1"/>
    <col min="9" max="9" width="18.5703125" style="5" customWidth="1"/>
    <col min="10" max="10" width="19" style="5" customWidth="1"/>
    <col min="11" max="11" width="16.28515625" style="5" customWidth="1"/>
    <col min="12" max="12" width="20.5703125" style="5" customWidth="1"/>
    <col min="13" max="13" width="20.140625" style="5" customWidth="1"/>
    <col min="14" max="14" width="18.5703125" style="5" customWidth="1"/>
    <col min="15" max="15" width="18.140625" style="5" customWidth="1"/>
    <col min="16" max="16" width="24.7109375" style="5" customWidth="1"/>
    <col min="17" max="17" width="21.42578125" style="5" customWidth="1"/>
    <col min="18" max="20" width="8.7109375" style="5"/>
    <col min="21" max="21" width="8.7109375" style="107"/>
    <col min="22" max="22" width="8.7109375" style="396"/>
    <col min="23" max="16384" width="8.7109375" style="5"/>
  </cols>
  <sheetData>
    <row r="2" spans="1:22" x14ac:dyDescent="0.2">
      <c r="U2" s="107">
        <v>4</v>
      </c>
      <c r="V2" s="396">
        <v>0</v>
      </c>
    </row>
    <row r="3" spans="1:22" ht="12.75" customHeight="1" x14ac:dyDescent="0.2">
      <c r="D3" s="414" t="s">
        <v>164</v>
      </c>
      <c r="E3" s="415"/>
      <c r="F3" s="416"/>
      <c r="H3" s="441" t="str">
        <f ca="1">IF(OR(AND($G$12="ok",$G$13="ok",$G$14="ok",$G$15="ok",$H$12="ok",$I$12="ok",$L$12&lt;&gt;"Not met"),
AND($I$12="ok",$J$12="ok",$J$13="ok",$J$14="ok",$J$15="ok",$L$12&lt;&gt;"Not met")),
"OK"&amp;CHAR(10)&amp;"adjustment"&amp;CHAR(10)&amp;"complies with all requirements",
"NOT OK"&amp;CHAR(10)&amp;"adjustment does not"&amp;CHAR(10)&amp;"comply with all requirements")</f>
        <v>NOT OK
adjustment does not
comply with all requirements</v>
      </c>
      <c r="I3" s="441"/>
      <c r="U3" s="107">
        <v>7</v>
      </c>
      <c r="V3" s="396">
        <v>0.02</v>
      </c>
    </row>
    <row r="4" spans="1:22" ht="13.5" thickBot="1" x14ac:dyDescent="0.25">
      <c r="D4" s="213" t="s">
        <v>15</v>
      </c>
      <c r="E4" s="18"/>
      <c r="F4" s="40" t="s">
        <v>160</v>
      </c>
      <c r="H4" s="441"/>
      <c r="I4" s="441"/>
      <c r="V4" s="396">
        <v>0.04</v>
      </c>
    </row>
    <row r="5" spans="1:22" ht="13.5" thickTop="1" x14ac:dyDescent="0.2">
      <c r="D5" s="212" t="s">
        <v>266</v>
      </c>
      <c r="F5" s="164">
        <v>4</v>
      </c>
      <c r="H5" s="441"/>
      <c r="I5" s="441"/>
      <c r="V5" s="396">
        <v>0.06</v>
      </c>
    </row>
    <row r="6" spans="1:22" ht="13.5" thickBot="1" x14ac:dyDescent="0.25">
      <c r="D6" s="244" t="s">
        <v>16</v>
      </c>
      <c r="E6" s="245"/>
      <c r="F6" s="165">
        <v>0.54</v>
      </c>
      <c r="H6" s="441"/>
      <c r="I6" s="441"/>
      <c r="V6" s="396">
        <v>0.08</v>
      </c>
    </row>
    <row r="7" spans="1:22" ht="13.5" thickTop="1" x14ac:dyDescent="0.2">
      <c r="D7" s="247"/>
      <c r="F7" s="261"/>
      <c r="V7" s="396">
        <v>0.1</v>
      </c>
    </row>
    <row r="8" spans="1:22" x14ac:dyDescent="0.2">
      <c r="D8" s="16"/>
      <c r="F8" s="17"/>
      <c r="V8" s="396">
        <v>0.12</v>
      </c>
    </row>
    <row r="9" spans="1:22" ht="18.75" customHeight="1" x14ac:dyDescent="0.2">
      <c r="D9" s="16"/>
      <c r="F9" s="17"/>
      <c r="G9" s="432" t="s">
        <v>165</v>
      </c>
      <c r="H9" s="433"/>
      <c r="I9" s="433"/>
      <c r="J9" s="434"/>
      <c r="L9" s="438" t="s">
        <v>166</v>
      </c>
      <c r="M9" s="439"/>
      <c r="N9" s="439"/>
      <c r="O9" s="439"/>
      <c r="P9" s="439"/>
      <c r="Q9" s="440"/>
      <c r="V9" s="396">
        <v>0.14000000000000001</v>
      </c>
    </row>
    <row r="10" spans="1:22" ht="18.75" customHeight="1" x14ac:dyDescent="0.2">
      <c r="A10" s="278"/>
      <c r="F10" s="267"/>
      <c r="G10" s="435"/>
      <c r="H10" s="436"/>
      <c r="I10" s="436"/>
      <c r="J10" s="437"/>
      <c r="L10" s="420" t="s">
        <v>188</v>
      </c>
      <c r="M10" s="423"/>
      <c r="N10" s="424" t="s">
        <v>189</v>
      </c>
      <c r="O10" s="425"/>
      <c r="P10" s="420" t="s">
        <v>17</v>
      </c>
      <c r="Q10" s="421"/>
      <c r="V10" s="396">
        <v>0.16</v>
      </c>
    </row>
    <row r="11" spans="1:22" ht="107.25" customHeight="1" x14ac:dyDescent="0.2">
      <c r="A11" s="353"/>
      <c r="D11" s="210"/>
      <c r="E11" s="210"/>
      <c r="F11" s="211" t="s">
        <v>196</v>
      </c>
      <c r="G11" s="42" t="s">
        <v>18</v>
      </c>
      <c r="H11" s="215" t="s">
        <v>19</v>
      </c>
      <c r="I11" s="41" t="s">
        <v>20</v>
      </c>
      <c r="J11" s="90" t="str">
        <f>"Debt below 60% of GDP in T+"&amp;10+F5&amp;" **"</f>
        <v>Debt below 60% of GDP in T+14 **</v>
      </c>
      <c r="L11" s="90" t="s">
        <v>186</v>
      </c>
      <c r="M11" s="222" t="s">
        <v>187</v>
      </c>
      <c r="N11" s="365" t="s">
        <v>21</v>
      </c>
      <c r="O11" s="366" t="s">
        <v>22</v>
      </c>
      <c r="P11" s="256" t="s">
        <v>23</v>
      </c>
      <c r="Q11" s="90" t="s">
        <v>24</v>
      </c>
      <c r="V11" s="396">
        <v>0.18</v>
      </c>
    </row>
    <row r="12" spans="1:22" x14ac:dyDescent="0.2">
      <c r="D12" s="14" t="s">
        <v>25</v>
      </c>
      <c r="G12" s="10" t="str">
        <f ca="1">IF(OR('Adjust. no safeguard'!D57&gt;60,'Adjust. no safeguard'!D77&lt;-3),IF(SUM(OFFSET('Adjust. no safeguard'!$D$83,0,$F$5+1,1,10))=0,"ok","Not met"),"")</f>
        <v>ok</v>
      </c>
      <c r="H12" s="216" t="str">
        <f>IF(OR('Adjust. no safeguard'!D57&gt;60,'Adjust. no safeguard'!D77&lt;-3),IF($F$5=4,IF(Stochastic!$M$17&lt;Stochastic!$H$17,"ok","Not met"),IF(Stochastic!$P$17&lt;Stochastic!$K$17,"ok","Not met")),"")</f>
        <v>ok</v>
      </c>
      <c r="I12" s="8" t="str">
        <f ca="1">IF(MIN(OFFSET('Adjust. no safeguard'!$D$77,0,$F$5,1,11))&gt;-3.05,"ok","Not met")</f>
        <v>ok</v>
      </c>
      <c r="J12" s="12" t="str">
        <f ca="1">IF(OFFSET('Adjust. no safeguard'!$D$57,0,$F$5+10,1,1)&lt;60,"ok","Not met")</f>
        <v>ok</v>
      </c>
      <c r="L12" s="429" t="str">
        <f ca="1">_xlfn.LET(_xlpm.debtChange,OFFSET('Adjustment scenario'!D58,0,1,1,$F$5),
_xlpm.debt6090,OFFSET('Adjustment scenario'!D85,0,1,1,$F$5),
_xlpm.debt90,OFFSET('Adjustment scenario'!D84,0,1,1,$F$5),
_xlpm.EDP,OFFSET('Adjustment scenario'!D87,0,1,1,$F$5),
IF(AND(MAX(_xlpm.debt90)=0,MAX(_xlpm.debt6090)=0),"Debt below 60% of GDP over the adjustment period",
IF(MIN(_xlpm.EDP)=1,"Not applicable, reference year is the last year of adjustment",
IFERROR(IF(AND(_xlfn.MAXIFS(_xlpm.debt90,_xlpm.EDP,0)=0,_xlfn.MAXIFS(_xlpm.debt6090,_xlpm.EDP,0)=1),IF(AVERAGEIFS(_xlpm.debtChange,_xlpm.EDP,0)&lt;-0.5,"ok","Not met"),
IF(AND(_xlfn.MAXIFS(_xlpm.debt90,_xlpm.EDP,0)=1,_xlfn.MAXIFS(_xlpm.debt6090,_xlpm.EDP,0)=0),IF(AVERAGEIFS(_xlpm.debtChange,_xlpm.EDP,0)&lt;-1,"ok","Not met"),
IF(AND(_xlfn.MAXIFS(_xlpm.debt90,_xlpm.EDP,0)=1,_xlfn.MAXIFS(_xlpm.debt6090,_xlpm.EDP,0)=1),IF(AND(AVERAGEIFS(_xlpm.debtChange,_xlpm.debt90,1,_xlpm.EDP,0)&lt;-1,AVERAGEIFS(_xlpm.debtChange,_xlpm.debt6090,1,_xlpm.EDP,0)&lt;-0.5),"ok","Not met")))),
"Not applicable, debt below 60% of GDP by EDP correction"))))</f>
        <v>Not met</v>
      </c>
      <c r="M12" s="469">
        <f ca="1">_xlfn.LET(_xlpm.debtChange,OFFSET('Adjustment scenario'!D58,0,1,1,$F$5),
_xlpm.debt6090,OFFSET('Adjustment scenario'!D85,0,1,1,$F$5),
_xlpm.debt90,OFFSET('Adjustment scenario'!D84,0,1,1,$F$5),
_xlpm.EDP,OFFSET('Adjustment scenario'!D87,0,1,1,$F$5),
IF(AND(MAX(_xlpm.debt90)=0,MAX(_xlpm.debt6090)=0),"Debt below 60% of GDP over the adjustment period",
IF(MIN(_xlpm.EDP)=1,"Not applicable, reference year is the last year of adjustment",
IFERROR(IF(OR(_xlfn.MAXIFS(_xlpm.debt90,_xlpm.EDP,0)=1,_xlfn.MAXIFS(_xlpm.debt6090,_xlpm.EDP,0)=1),AVERAGEIFS(_xlpm.debtChange,_xlpm.EDP,0)),
"Not applicable, debt below 60% of GDP by EDP correction"))))</f>
        <v>0.1144713016190741</v>
      </c>
      <c r="N12" s="426" t="str">
        <f>IF(AND(O12=0,F6&lt;0.5),"not relevant","ok")</f>
        <v>ok</v>
      </c>
      <c r="O12" s="466">
        <f>IF(AND('Input data'!$D$17=1,F6&lt;0.5),COUNTIFS('Adjustment scenario'!D77:F77,"&lt;="&amp;-3.05),0)+IF(AND(F5=4,J19&gt;0.4,J19&gt;F6),1,COUNTIFS(J19:M19,"&gt;" &amp; F6,J19:M19,"&gt;"&amp;0.4))</f>
        <v>0</v>
      </c>
      <c r="P12" s="429" t="str">
        <f>IF(OR(AND(F5=4,Q12=0,F6&lt;0.4),AND(F5=7,Q12=0,F6&lt;0.25)),"not relevant, 
(over the adjustment horizon)","ok")</f>
        <v>ok</v>
      </c>
      <c r="Q12" s="417">
        <f>IF(AND('Criteria results'!$F$5=4,'Criteria results'!$F$6&lt;=0.4),COUNTIFS('Adjustment scenario'!E13:H13,0.4,'Adjustment scenario'!D88:G88,0),IF(AND('Criteria results'!$F$5=7,'Criteria results'!$F$6&lt;=0.25),COUNTIFS('Adjustment scenario'!E13:K13,0.25,'Adjustment scenario'!D88:J88,0),0))</f>
        <v>0</v>
      </c>
      <c r="V12" s="396">
        <v>0.2</v>
      </c>
    </row>
    <row r="13" spans="1:22" x14ac:dyDescent="0.2">
      <c r="D13" s="14" t="s">
        <v>26</v>
      </c>
      <c r="G13" s="10" t="str">
        <f ca="1">IF(OR('Adjustment scenario'!D57&gt;60,'Adjustment scenario'!D77&lt;-3),IF(SUM(OFFSET('Financial stress'!$D$75,0,$F$5+1,1,10))=0,"ok","Not met"),"")</f>
        <v>ok</v>
      </c>
      <c r="H13" s="216"/>
      <c r="I13" s="8"/>
      <c r="J13" s="12" t="str">
        <f ca="1">IF(OR('Adjustment scenario'!D57&gt;60,'Adjustment scenario'!D77&lt;-3),IF(OFFSET('Financial stress'!$D$56,0,$F$5+10,1,1)&lt;60,"ok","Not met"),"")</f>
        <v>ok</v>
      </c>
      <c r="L13" s="430"/>
      <c r="M13" s="470"/>
      <c r="N13" s="427"/>
      <c r="O13" s="467"/>
      <c r="P13" s="430"/>
      <c r="Q13" s="418"/>
      <c r="V13" s="396">
        <v>0.22</v>
      </c>
    </row>
    <row r="14" spans="1:22" x14ac:dyDescent="0.2">
      <c r="D14" s="14" t="s">
        <v>27</v>
      </c>
      <c r="G14" s="10" t="str">
        <f ca="1">IF(OR('Adjustment scenario'!D57&gt;60,'Adjustment scenario'!D77&lt;-3),IF(SUM(OFFSET('Lower SPB'!$D$75,0,$F$5+1,1,10))=0,"ok","Not met"),"")</f>
        <v>ok</v>
      </c>
      <c r="H14" s="216"/>
      <c r="I14" s="8"/>
      <c r="J14" s="12" t="str">
        <f ca="1">IF(OR('Adjustment scenario'!D57&gt;60,'Adjustment scenario'!D77&lt;-3),IF(OFFSET('Lower SPB'!$D$56,0,$F$5+10,1,1)&lt;60,"ok","Not met"),"")</f>
        <v>ok</v>
      </c>
      <c r="L14" s="430"/>
      <c r="M14" s="470"/>
      <c r="N14" s="427"/>
      <c r="O14" s="467"/>
      <c r="P14" s="430"/>
      <c r="Q14" s="418"/>
      <c r="V14" s="396">
        <v>0.24</v>
      </c>
    </row>
    <row r="15" spans="1:22" x14ac:dyDescent="0.2">
      <c r="D15" s="15" t="s">
        <v>28</v>
      </c>
      <c r="E15" s="6"/>
      <c r="F15" s="6"/>
      <c r="G15" s="11" t="str">
        <f ca="1">IF(OR('Adjustment scenario'!D57&gt;60,'Adjustment scenario'!D77&lt;-3),IF(SUM(OFFSET('Adverse (r-g)'!$D$76,0,$F$5+1,1,10))=0,"ok","Not met"),"")</f>
        <v>ok</v>
      </c>
      <c r="H15" s="217"/>
      <c r="I15" s="9"/>
      <c r="J15" s="13" t="str">
        <f ca="1">IF(OR('Adjustment scenario'!D57&gt;60,'Adjustment scenario'!D77&lt;-3),IF(OFFSET('Adverse (r-g)'!$D$57,0,$F$5+10,1,1)&lt;60,"ok","Not met"),"")</f>
        <v>ok</v>
      </c>
      <c r="L15" s="431"/>
      <c r="M15" s="471"/>
      <c r="N15" s="428"/>
      <c r="O15" s="468"/>
      <c r="P15" s="431"/>
      <c r="Q15" s="419"/>
      <c r="V15" s="396">
        <v>0.26</v>
      </c>
    </row>
    <row r="16" spans="1:22" ht="102" customHeight="1" x14ac:dyDescent="0.2">
      <c r="D16" s="472" t="s">
        <v>274</v>
      </c>
      <c r="E16" s="472"/>
      <c r="F16" s="472"/>
      <c r="G16" s="472"/>
      <c r="H16" s="472"/>
      <c r="I16" s="472"/>
      <c r="J16" s="472"/>
      <c r="L16" s="422" t="s">
        <v>197</v>
      </c>
      <c r="M16" s="422"/>
      <c r="N16" s="422"/>
      <c r="O16" s="422"/>
      <c r="P16" s="422"/>
      <c r="Q16" s="422"/>
      <c r="V16" s="396">
        <v>0.28000000000000003</v>
      </c>
    </row>
    <row r="17" spans="4:22" ht="15.75" customHeight="1" x14ac:dyDescent="0.2">
      <c r="D17" s="223"/>
      <c r="E17" s="223"/>
      <c r="F17" s="223"/>
      <c r="G17" s="473" t="s">
        <v>168</v>
      </c>
      <c r="H17" s="474"/>
      <c r="I17" s="474"/>
      <c r="J17" s="475"/>
      <c r="K17" s="242"/>
      <c r="L17" s="242"/>
      <c r="M17" s="242"/>
      <c r="N17" s="242"/>
      <c r="O17" s="242"/>
      <c r="P17" s="229"/>
      <c r="V17" s="396">
        <v>0.3</v>
      </c>
    </row>
    <row r="18" spans="4:22" ht="13.5" customHeight="1" x14ac:dyDescent="0.2">
      <c r="D18" s="223"/>
      <c r="E18" s="224"/>
      <c r="F18" s="230"/>
      <c r="G18" s="225">
        <f>'Input data'!$C$5+1</f>
        <v>2025</v>
      </c>
      <c r="H18" s="226">
        <f>G18+1</f>
        <v>2026</v>
      </c>
      <c r="I18" s="226">
        <f t="shared" ref="I18:M18" si="0">H18+1</f>
        <v>2027</v>
      </c>
      <c r="J18" s="226">
        <f t="shared" si="0"/>
        <v>2028</v>
      </c>
      <c r="K18" s="226">
        <f t="shared" si="0"/>
        <v>2029</v>
      </c>
      <c r="L18" s="226">
        <f t="shared" si="0"/>
        <v>2030</v>
      </c>
      <c r="M18" s="243">
        <f t="shared" si="0"/>
        <v>2031</v>
      </c>
      <c r="N18" s="231"/>
      <c r="P18" s="231"/>
      <c r="V18" s="396">
        <v>0.32</v>
      </c>
    </row>
    <row r="19" spans="4:22" ht="15" customHeight="1" x14ac:dyDescent="0.2">
      <c r="D19" s="476" t="s">
        <v>29</v>
      </c>
      <c r="E19" s="477"/>
      <c r="F19" s="478"/>
      <c r="G19" s="228">
        <f>'Adjustment scenario'!E12-'Adjustment scenario'!D12</f>
        <v>0.54</v>
      </c>
      <c r="H19" s="235">
        <f>'Adjustment scenario'!F12-'Adjustment scenario'!E12</f>
        <v>0.54</v>
      </c>
      <c r="I19" s="235">
        <f>'Adjustment scenario'!G12-'Adjustment scenario'!F12</f>
        <v>0.54</v>
      </c>
      <c r="J19" s="235">
        <f>'Adjustment scenario'!H12-'Adjustment scenario'!G12</f>
        <v>0.54</v>
      </c>
      <c r="K19" s="235">
        <f>'Adjustment scenario'!I12-'Adjustment scenario'!H12</f>
        <v>0</v>
      </c>
      <c r="L19" s="235">
        <f>'Adjustment scenario'!J12-'Adjustment scenario'!I12</f>
        <v>0</v>
      </c>
      <c r="M19" s="236">
        <f>'Adjustment scenario'!K12-'Adjustment scenario'!J12</f>
        <v>0</v>
      </c>
      <c r="N19" s="228"/>
      <c r="P19" s="228"/>
      <c r="V19" s="396">
        <v>0.34</v>
      </c>
    </row>
    <row r="20" spans="4:22" ht="15" customHeight="1" x14ac:dyDescent="0.2">
      <c r="D20" s="458" t="s">
        <v>30</v>
      </c>
      <c r="E20" s="459"/>
      <c r="F20" s="460"/>
      <c r="G20" s="233">
        <f>'Adjustment scenario'!E79</f>
        <v>1.5922608844910699</v>
      </c>
      <c r="H20" s="234">
        <f>'Adjustment scenario'!F79</f>
        <v>1.3993319844910699</v>
      </c>
      <c r="I20" s="234">
        <f>'Adjustment scenario'!G79</f>
        <v>1.5162552344910696</v>
      </c>
      <c r="J20" s="234">
        <f>'Adjustment scenario'!H79</f>
        <v>1.6324231844910699</v>
      </c>
      <c r="K20" s="234">
        <f>'Adjustment scenario'!I79</f>
        <v>2.8591299499999998</v>
      </c>
      <c r="L20" s="234">
        <f>'Adjustment scenario'!J79</f>
        <v>2.8467242999999995</v>
      </c>
      <c r="M20" s="237">
        <f>'Adjustment scenario'!K79</f>
        <v>2.83183915</v>
      </c>
      <c r="N20" s="252"/>
      <c r="P20" s="228"/>
      <c r="V20" s="396">
        <v>0.36</v>
      </c>
    </row>
    <row r="21" spans="4:22" ht="15" customHeight="1" x14ac:dyDescent="0.2">
      <c r="D21" s="277" t="s">
        <v>41</v>
      </c>
      <c r="E21" s="268"/>
      <c r="F21" s="269"/>
      <c r="G21" s="273">
        <f>'Adjustment scenario'!E77</f>
        <v>-2.511665620922173</v>
      </c>
      <c r="H21" s="274">
        <f>'Adjustment scenario'!F77</f>
        <v>-1.9842799144370495</v>
      </c>
      <c r="I21" s="274">
        <f>'Adjustment scenario'!G77</f>
        <v>-1.42613460941749</v>
      </c>
      <c r="J21" s="274">
        <f>'Adjustment scenario'!H77</f>
        <v>-0.88301954686313189</v>
      </c>
      <c r="K21" s="274">
        <f>'Adjustment scenario'!I77</f>
        <v>-0.78476588842230144</v>
      </c>
      <c r="L21" s="274">
        <f>'Adjustment scenario'!J77</f>
        <v>-0.68035836272148631</v>
      </c>
      <c r="M21" s="275">
        <f>'Adjustment scenario'!K77</f>
        <v>-0.5699400290194947</v>
      </c>
      <c r="N21" s="252"/>
      <c r="P21" s="228"/>
      <c r="V21" s="396">
        <v>0.38</v>
      </c>
    </row>
    <row r="22" spans="4:22" ht="15" customHeight="1" x14ac:dyDescent="0.2">
      <c r="D22" s="277" t="s">
        <v>42</v>
      </c>
      <c r="E22" s="268"/>
      <c r="F22" s="269"/>
      <c r="G22" s="270">
        <f>'Adjustment scenario'!E78</f>
        <v>-1.5749913495556913</v>
      </c>
      <c r="H22" s="271">
        <f>'Adjustment scenario'!F78</f>
        <v>-1.0526772420108292</v>
      </c>
      <c r="I22" s="271">
        <f>'Adjustment scenario'!G78</f>
        <v>-0.60562266509855189</v>
      </c>
      <c r="J22" s="271">
        <f>'Adjustment scenario'!H78</f>
        <v>-0.13632772871449417</v>
      </c>
      <c r="K22" s="271">
        <f>'Adjustment scenario'!I78</f>
        <v>-0.28697134298987448</v>
      </c>
      <c r="L22" s="271">
        <f>'Adjustment scenario'!J78</f>
        <v>-0.43146109000527566</v>
      </c>
      <c r="M22" s="276">
        <f>'Adjustment scenario'!K78</f>
        <v>-0.5699400290194947</v>
      </c>
      <c r="N22" s="252"/>
      <c r="P22" s="228"/>
      <c r="V22" s="396">
        <v>0.4</v>
      </c>
    </row>
    <row r="23" spans="4:22" ht="15" customHeight="1" x14ac:dyDescent="0.2">
      <c r="D23" s="277" t="s">
        <v>43</v>
      </c>
      <c r="E23" s="268"/>
      <c r="F23" s="269"/>
      <c r="G23" s="233">
        <f>'Adjustment scenario'!E57</f>
        <v>63.692130003522081</v>
      </c>
      <c r="H23" s="234">
        <f>'Adjustment scenario'!F57</f>
        <v>64.202561464572838</v>
      </c>
      <c r="I23" s="234">
        <f>'Adjustment scenario'!G57</f>
        <v>63.836881536064524</v>
      </c>
      <c r="J23" s="234">
        <f>'Adjustment scenario'!H57</f>
        <v>62.913564321630858</v>
      </c>
      <c r="K23" s="234">
        <f>'Adjustment scenario'!I57</f>
        <v>61.635909824928312</v>
      </c>
      <c r="L23" s="234">
        <f>'Adjustment scenario'!J57</f>
        <v>60.304670063414193</v>
      </c>
      <c r="M23" s="237">
        <f>'Adjustment scenario'!K57</f>
        <v>58.91663375828481</v>
      </c>
      <c r="N23" s="252"/>
      <c r="P23" s="228"/>
      <c r="V23" s="396">
        <v>0.42</v>
      </c>
    </row>
    <row r="24" spans="4:22" ht="15" customHeight="1" x14ac:dyDescent="0.2">
      <c r="D24" s="451" t="s">
        <v>31</v>
      </c>
      <c r="E24" s="451"/>
      <c r="F24" s="451"/>
      <c r="G24" s="272">
        <f>AVERAGE(G19:J19)</f>
        <v>0.54</v>
      </c>
      <c r="I24" s="228"/>
      <c r="J24" s="228"/>
      <c r="K24" s="228"/>
      <c r="L24" s="228"/>
      <c r="M24" s="228"/>
      <c r="N24" s="228"/>
      <c r="P24" s="232"/>
      <c r="V24" s="396">
        <v>0.44</v>
      </c>
    </row>
    <row r="25" spans="4:22" x14ac:dyDescent="0.2">
      <c r="D25" s="238" t="s">
        <v>32</v>
      </c>
      <c r="E25" s="370"/>
      <c r="F25" s="369"/>
      <c r="G25" s="266">
        <f>IF(F5=4,AVERAGE(G19:J19),AVERAGE(G19:M19))</f>
        <v>0.54</v>
      </c>
      <c r="H25" s="228"/>
      <c r="Q25" s="227"/>
      <c r="V25" s="396">
        <v>0.46</v>
      </c>
    </row>
    <row r="26" spans="4:22" x14ac:dyDescent="0.2">
      <c r="D26" s="461" t="s">
        <v>33</v>
      </c>
      <c r="E26" s="462"/>
      <c r="F26" s="462"/>
      <c r="G26" s="367">
        <f>AVERAGE(G20:J20)</f>
        <v>1.5350678219910698</v>
      </c>
      <c r="Q26" s="227"/>
      <c r="V26" s="396">
        <v>0.48</v>
      </c>
    </row>
    <row r="27" spans="4:22" ht="15" customHeight="1" x14ac:dyDescent="0.2">
      <c r="D27" s="463" t="s">
        <v>34</v>
      </c>
      <c r="E27" s="464"/>
      <c r="F27" s="464"/>
      <c r="G27" s="368">
        <f>IF(F5=4,AVERAGE(G20:J20),AVERAGE(G20:M20))</f>
        <v>1.5350678219910698</v>
      </c>
      <c r="H27" s="228"/>
      <c r="I27" s="228"/>
      <c r="J27" s="228"/>
      <c r="K27" s="228"/>
      <c r="L27" s="228"/>
      <c r="M27" s="228"/>
      <c r="N27" s="228"/>
      <c r="O27" s="228"/>
      <c r="P27" s="228"/>
      <c r="V27" s="396">
        <v>0.5</v>
      </c>
    </row>
    <row r="28" spans="4:22" ht="53.25" customHeight="1" x14ac:dyDescent="0.2">
      <c r="D28" s="465" t="s">
        <v>275</v>
      </c>
      <c r="E28" s="465"/>
      <c r="F28" s="465"/>
      <c r="G28" s="465"/>
      <c r="H28" s="465"/>
      <c r="I28" s="465"/>
      <c r="J28" s="465"/>
      <c r="K28" s="229"/>
      <c r="L28" s="229"/>
      <c r="M28" s="229"/>
      <c r="N28" s="229"/>
      <c r="O28" s="229"/>
      <c r="V28" s="396">
        <v>0.52</v>
      </c>
    </row>
    <row r="29" spans="4:22" x14ac:dyDescent="0.2">
      <c r="V29" s="396">
        <v>0.54</v>
      </c>
    </row>
    <row r="30" spans="4:22" ht="15.75" customHeight="1" x14ac:dyDescent="0.2">
      <c r="G30" s="452" t="s">
        <v>291</v>
      </c>
      <c r="H30" s="453"/>
      <c r="V30" s="396">
        <v>0.56000000000000005</v>
      </c>
    </row>
    <row r="31" spans="4:22" x14ac:dyDescent="0.2">
      <c r="G31" s="196" t="s">
        <v>35</v>
      </c>
      <c r="H31" s="197" t="s">
        <v>36</v>
      </c>
      <c r="V31" s="396">
        <v>0.57999999999999996</v>
      </c>
    </row>
    <row r="32" spans="4:22" x14ac:dyDescent="0.2">
      <c r="D32" s="362" t="s">
        <v>266</v>
      </c>
      <c r="E32" s="201"/>
      <c r="F32" s="202"/>
      <c r="G32" s="207">
        <v>4</v>
      </c>
      <c r="H32" s="198">
        <v>7</v>
      </c>
      <c r="M32" s="265"/>
      <c r="V32" s="396">
        <v>0.6</v>
      </c>
    </row>
    <row r="33" spans="4:22" x14ac:dyDescent="0.2">
      <c r="D33" s="363" t="s">
        <v>37</v>
      </c>
      <c r="E33" s="203"/>
      <c r="F33" s="204"/>
      <c r="G33" s="208">
        <v>0.54</v>
      </c>
      <c r="H33" s="199">
        <v>0.26</v>
      </c>
      <c r="V33" s="396">
        <v>0.62</v>
      </c>
    </row>
    <row r="34" spans="4:22" x14ac:dyDescent="0.2">
      <c r="D34" s="364" t="s">
        <v>267</v>
      </c>
      <c r="E34" s="205"/>
      <c r="F34" s="206"/>
      <c r="G34" s="209">
        <v>84.210000038146973</v>
      </c>
      <c r="H34" s="200">
        <v>72.409999847412109</v>
      </c>
      <c r="V34" s="396">
        <v>0.64</v>
      </c>
    </row>
    <row r="35" spans="4:22" ht="30" customHeight="1" x14ac:dyDescent="0.2">
      <c r="D35" s="457" t="s">
        <v>290</v>
      </c>
      <c r="E35" s="457"/>
      <c r="F35" s="457"/>
      <c r="G35" s="457"/>
      <c r="H35" s="457"/>
      <c r="V35" s="396">
        <v>0.66</v>
      </c>
    </row>
    <row r="36" spans="4:22" x14ac:dyDescent="0.2">
      <c r="V36" s="396">
        <v>0.68</v>
      </c>
    </row>
    <row r="37" spans="4:22" ht="19.899999999999999" customHeight="1" x14ac:dyDescent="0.2">
      <c r="D37" s="223"/>
      <c r="E37" s="223"/>
      <c r="F37" s="223"/>
      <c r="H37" s="448" t="s">
        <v>250</v>
      </c>
      <c r="I37" s="449"/>
      <c r="J37" s="449"/>
      <c r="K37" s="449"/>
      <c r="L37" s="449"/>
      <c r="M37" s="449"/>
      <c r="N37" s="450"/>
      <c r="O37" s="253"/>
      <c r="V37" s="396">
        <v>0.7</v>
      </c>
    </row>
    <row r="38" spans="4:22" x14ac:dyDescent="0.2">
      <c r="D38" s="223"/>
      <c r="E38" s="223"/>
      <c r="F38" s="246"/>
      <c r="G38" s="303" t="s">
        <v>293</v>
      </c>
      <c r="H38" s="301">
        <v>2025</v>
      </c>
      <c r="I38" s="301">
        <v>2026</v>
      </c>
      <c r="J38" s="301">
        <v>2027</v>
      </c>
      <c r="K38" s="301">
        <v>2028</v>
      </c>
      <c r="L38" s="301">
        <v>2029</v>
      </c>
      <c r="M38" s="301">
        <v>2030</v>
      </c>
      <c r="N38" s="302">
        <v>2031</v>
      </c>
      <c r="V38" s="396">
        <v>0.72</v>
      </c>
    </row>
    <row r="39" spans="4:22" s="308" customFormat="1" ht="15" customHeight="1" x14ac:dyDescent="0.2">
      <c r="D39" s="454" t="s">
        <v>194</v>
      </c>
      <c r="E39" s="455"/>
      <c r="F39" s="456"/>
      <c r="G39" s="304"/>
      <c r="H39" s="309"/>
      <c r="I39" s="309"/>
      <c r="J39" s="309"/>
      <c r="K39" s="309"/>
      <c r="L39" s="309"/>
      <c r="M39" s="309"/>
      <c r="N39" s="310"/>
      <c r="U39" s="397"/>
      <c r="V39" s="398">
        <v>0.74</v>
      </c>
    </row>
    <row r="40" spans="4:22" s="308" customFormat="1" ht="15" customHeight="1" x14ac:dyDescent="0.2">
      <c r="D40" s="321" t="s">
        <v>30</v>
      </c>
      <c r="E40" s="322"/>
      <c r="F40" s="323"/>
      <c r="G40" s="307">
        <v>0.70959810679926982</v>
      </c>
      <c r="H40" s="317">
        <v>0.76679116929927016</v>
      </c>
      <c r="I40" s="317">
        <v>0.57386226929927009</v>
      </c>
      <c r="J40" s="317">
        <v>0.69078551929926979</v>
      </c>
      <c r="K40" s="317">
        <v>0.80695346929926948</v>
      </c>
      <c r="L40" s="311"/>
      <c r="M40" s="311"/>
      <c r="N40" s="312"/>
      <c r="U40" s="397"/>
      <c r="V40" s="398">
        <v>0.76</v>
      </c>
    </row>
    <row r="41" spans="4:22" s="308" customFormat="1" ht="15" customHeight="1" x14ac:dyDescent="0.2">
      <c r="D41" s="442" t="s">
        <v>185</v>
      </c>
      <c r="E41" s="443"/>
      <c r="F41" s="444"/>
      <c r="G41" s="199">
        <v>0.9399995000000001</v>
      </c>
      <c r="H41" s="313">
        <v>0.93999940000000004</v>
      </c>
      <c r="I41" s="313">
        <v>0.93999960000000005</v>
      </c>
      <c r="J41" s="313">
        <v>0.94000000000000006</v>
      </c>
      <c r="K41" s="313">
        <v>0.93999900000000003</v>
      </c>
      <c r="L41" s="313"/>
      <c r="M41" s="313"/>
      <c r="N41" s="314"/>
      <c r="U41" s="397"/>
      <c r="V41" s="398">
        <v>0.78</v>
      </c>
    </row>
    <row r="42" spans="4:22" s="308" customFormat="1" ht="15" customHeight="1" x14ac:dyDescent="0.2">
      <c r="D42" s="454" t="s">
        <v>195</v>
      </c>
      <c r="E42" s="455"/>
      <c r="F42" s="456"/>
      <c r="G42" s="306"/>
      <c r="H42" s="315"/>
      <c r="I42" s="315"/>
      <c r="J42" s="315"/>
      <c r="K42" s="315"/>
      <c r="L42" s="315"/>
      <c r="M42" s="315"/>
      <c r="N42" s="316"/>
      <c r="U42" s="397"/>
      <c r="V42" s="398">
        <v>0.8</v>
      </c>
    </row>
    <row r="43" spans="4:22" s="308" customFormat="1" ht="15" customHeight="1" x14ac:dyDescent="0.2">
      <c r="D43" s="321" t="s">
        <v>30</v>
      </c>
      <c r="E43" s="322"/>
      <c r="F43" s="323"/>
      <c r="G43" s="307">
        <v>1.7001617650294298</v>
      </c>
      <c r="H43" s="317">
        <v>1.75735482752943</v>
      </c>
      <c r="I43" s="317">
        <v>1.5644259275294299</v>
      </c>
      <c r="J43" s="317">
        <v>1.6813491775294296</v>
      </c>
      <c r="K43" s="317">
        <v>1.7975171275294297</v>
      </c>
      <c r="L43" s="317">
        <v>1.9098397775294298</v>
      </c>
      <c r="M43" s="317">
        <v>1.8974341275294295</v>
      </c>
      <c r="N43" s="318">
        <v>1.88254897752943</v>
      </c>
      <c r="U43" s="397"/>
      <c r="V43" s="398">
        <v>0.82</v>
      </c>
    </row>
    <row r="44" spans="4:22" s="308" customFormat="1" ht="15" customHeight="1" x14ac:dyDescent="0.2">
      <c r="D44" s="445" t="s">
        <v>185</v>
      </c>
      <c r="E44" s="446"/>
      <c r="F44" s="447"/>
      <c r="G44" s="305">
        <v>0.46000002500000003</v>
      </c>
      <c r="H44" s="319">
        <v>0.45999980000000007</v>
      </c>
      <c r="I44" s="319">
        <v>0.46000009999999997</v>
      </c>
      <c r="J44" s="319">
        <v>0.46000010000000002</v>
      </c>
      <c r="K44" s="319">
        <v>0.46000009999999997</v>
      </c>
      <c r="L44" s="319">
        <v>0.45999990000000002</v>
      </c>
      <c r="M44" s="319">
        <v>0.45999999999999996</v>
      </c>
      <c r="N44" s="320">
        <v>0.45999999999999996</v>
      </c>
      <c r="U44" s="397"/>
      <c r="V44" s="398">
        <v>0.84</v>
      </c>
    </row>
    <row r="45" spans="4:22" x14ac:dyDescent="0.2">
      <c r="V45" s="396">
        <v>0.86</v>
      </c>
    </row>
    <row r="46" spans="4:22" x14ac:dyDescent="0.2">
      <c r="V46" s="396">
        <v>0.88</v>
      </c>
    </row>
    <row r="47" spans="4:22" x14ac:dyDescent="0.2">
      <c r="V47" s="396">
        <v>0.9</v>
      </c>
    </row>
    <row r="48" spans="4:22" x14ac:dyDescent="0.2">
      <c r="V48" s="396">
        <v>0.92</v>
      </c>
    </row>
    <row r="49" spans="22:22" x14ac:dyDescent="0.2">
      <c r="V49" s="396">
        <v>0.94</v>
      </c>
    </row>
    <row r="50" spans="22:22" x14ac:dyDescent="0.2">
      <c r="V50" s="396">
        <v>0.96</v>
      </c>
    </row>
    <row r="51" spans="22:22" x14ac:dyDescent="0.2">
      <c r="V51" s="396">
        <v>0.98</v>
      </c>
    </row>
    <row r="52" spans="22:22" x14ac:dyDescent="0.2">
      <c r="V52" s="396">
        <v>1</v>
      </c>
    </row>
    <row r="53" spans="22:22" x14ac:dyDescent="0.2">
      <c r="V53" s="396">
        <v>1.02</v>
      </c>
    </row>
    <row r="54" spans="22:22" x14ac:dyDescent="0.2">
      <c r="V54" s="396">
        <v>1.04</v>
      </c>
    </row>
    <row r="55" spans="22:22" x14ac:dyDescent="0.2">
      <c r="V55" s="396">
        <v>1.06</v>
      </c>
    </row>
    <row r="56" spans="22:22" x14ac:dyDescent="0.2">
      <c r="V56" s="396">
        <v>1.08</v>
      </c>
    </row>
    <row r="57" spans="22:22" x14ac:dyDescent="0.2">
      <c r="V57" s="396">
        <v>1.1000000000000001</v>
      </c>
    </row>
    <row r="58" spans="22:22" x14ac:dyDescent="0.2">
      <c r="V58" s="396">
        <v>1.1200000000000001</v>
      </c>
    </row>
    <row r="59" spans="22:22" x14ac:dyDescent="0.2">
      <c r="V59" s="396">
        <v>1.1399999999999999</v>
      </c>
    </row>
    <row r="60" spans="22:22" x14ac:dyDescent="0.2">
      <c r="V60" s="396">
        <v>1.1599999999999999</v>
      </c>
    </row>
    <row r="61" spans="22:22" x14ac:dyDescent="0.2">
      <c r="V61" s="396">
        <v>1.18</v>
      </c>
    </row>
    <row r="62" spans="22:22" x14ac:dyDescent="0.2">
      <c r="V62" s="396">
        <v>1.2</v>
      </c>
    </row>
    <row r="63" spans="22:22" x14ac:dyDescent="0.2">
      <c r="V63" s="396">
        <v>1.22</v>
      </c>
    </row>
    <row r="64" spans="22:22" x14ac:dyDescent="0.2">
      <c r="V64" s="396">
        <v>1.24</v>
      </c>
    </row>
    <row r="65" spans="22:22" x14ac:dyDescent="0.2">
      <c r="V65" s="396">
        <v>1.26</v>
      </c>
    </row>
    <row r="66" spans="22:22" x14ac:dyDescent="0.2">
      <c r="V66" s="396">
        <v>1.28</v>
      </c>
    </row>
    <row r="67" spans="22:22" x14ac:dyDescent="0.2">
      <c r="V67" s="396">
        <v>1.3</v>
      </c>
    </row>
    <row r="68" spans="22:22" x14ac:dyDescent="0.2">
      <c r="V68" s="396">
        <v>1.32</v>
      </c>
    </row>
    <row r="69" spans="22:22" x14ac:dyDescent="0.2">
      <c r="V69" s="396">
        <v>1.34</v>
      </c>
    </row>
    <row r="70" spans="22:22" x14ac:dyDescent="0.2">
      <c r="V70" s="396">
        <v>1.36</v>
      </c>
    </row>
    <row r="71" spans="22:22" x14ac:dyDescent="0.2">
      <c r="V71" s="396">
        <v>1.38</v>
      </c>
    </row>
    <row r="72" spans="22:22" x14ac:dyDescent="0.2">
      <c r="V72" s="396">
        <v>1.4</v>
      </c>
    </row>
    <row r="73" spans="22:22" x14ac:dyDescent="0.2">
      <c r="V73" s="396">
        <v>1.42</v>
      </c>
    </row>
    <row r="74" spans="22:22" x14ac:dyDescent="0.2">
      <c r="V74" s="396">
        <v>1.44</v>
      </c>
    </row>
    <row r="75" spans="22:22" x14ac:dyDescent="0.2">
      <c r="V75" s="396">
        <v>1.46</v>
      </c>
    </row>
    <row r="76" spans="22:22" x14ac:dyDescent="0.2">
      <c r="V76" s="396">
        <v>1.48</v>
      </c>
    </row>
    <row r="77" spans="22:22" x14ac:dyDescent="0.2">
      <c r="V77" s="396">
        <v>1.5</v>
      </c>
    </row>
    <row r="78" spans="22:22" x14ac:dyDescent="0.2">
      <c r="V78" s="396">
        <v>1.52</v>
      </c>
    </row>
    <row r="79" spans="22:22" x14ac:dyDescent="0.2">
      <c r="V79" s="396">
        <v>1.54</v>
      </c>
    </row>
    <row r="80" spans="22:22" x14ac:dyDescent="0.2">
      <c r="V80" s="396">
        <v>1.56</v>
      </c>
    </row>
    <row r="81" spans="22:22" x14ac:dyDescent="0.2">
      <c r="V81" s="396">
        <v>1.58</v>
      </c>
    </row>
    <row r="82" spans="22:22" x14ac:dyDescent="0.2">
      <c r="V82" s="396">
        <v>1.6</v>
      </c>
    </row>
  </sheetData>
  <mergeCells count="29">
    <mergeCell ref="D20:F20"/>
    <mergeCell ref="D26:F26"/>
    <mergeCell ref="D27:F27"/>
    <mergeCell ref="D28:J28"/>
    <mergeCell ref="O12:O15"/>
    <mergeCell ref="L12:L15"/>
    <mergeCell ref="M12:M15"/>
    <mergeCell ref="D16:J16"/>
    <mergeCell ref="G17:J17"/>
    <mergeCell ref="D19:F19"/>
    <mergeCell ref="D41:F41"/>
    <mergeCell ref="D44:F44"/>
    <mergeCell ref="H37:N37"/>
    <mergeCell ref="D24:F24"/>
    <mergeCell ref="G30:H30"/>
    <mergeCell ref="D39:F39"/>
    <mergeCell ref="D42:F42"/>
    <mergeCell ref="D35:H35"/>
    <mergeCell ref="D3:F3"/>
    <mergeCell ref="Q12:Q15"/>
    <mergeCell ref="P10:Q10"/>
    <mergeCell ref="L16:Q16"/>
    <mergeCell ref="L10:M10"/>
    <mergeCell ref="N10:O10"/>
    <mergeCell ref="N12:N15"/>
    <mergeCell ref="P12:P15"/>
    <mergeCell ref="G9:J10"/>
    <mergeCell ref="L9:Q9"/>
    <mergeCell ref="H3:I6"/>
  </mergeCells>
  <conditionalFormatting sqref="H3:I6">
    <cfRule type="expression" dxfId="52" priority="1">
      <formula>OR(AND($G$12="ok",$G$13="ok",$G$14="ok",$G$15="ok",$H$12="ok",$I$12="ok",$L$12&lt;&gt;"Not met"), AND($I$12="ok",$J$12="ok",$J$13="ok",$J$14="ok",$J$15="ok",$L$12&lt;&gt;"Not met"))</formula>
    </cfRule>
  </conditionalFormatting>
  <conditionalFormatting sqref="K18:K23">
    <cfRule type="expression" dxfId="51" priority="14">
      <formula>$F$5=4</formula>
    </cfRule>
  </conditionalFormatting>
  <conditionalFormatting sqref="K18:N23">
    <cfRule type="expression" dxfId="50" priority="12">
      <formula>$F$5=4</formula>
    </cfRule>
  </conditionalFormatting>
  <conditionalFormatting sqref="L18:N20 N21:N23">
    <cfRule type="expression" dxfId="49" priority="13">
      <formula>$F$5=4</formula>
    </cfRule>
  </conditionalFormatting>
  <conditionalFormatting sqref="L23:N23">
    <cfRule type="expression" dxfId="48" priority="4">
      <formula>$F$5=4</formula>
    </cfRule>
  </conditionalFormatting>
  <dataValidations count="2">
    <dataValidation type="list" allowBlank="1" showInputMessage="1" showErrorMessage="1" sqref="F6" xr:uid="{F61BD574-77F9-4796-8E1C-77E13D9FBD50}">
      <formula1>$V$2:$V$82</formula1>
    </dataValidation>
    <dataValidation type="list" allowBlank="1" showInputMessage="1" showErrorMessage="1" sqref="F5" xr:uid="{1FD64279-EEAD-4CB6-9D97-210B84072EF2}">
      <formula1>$U$2:$U$3</formula1>
    </dataValidation>
  </dataValidations>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tabColor theme="8" tint="0.39997558519241921"/>
  </sheetPr>
  <dimension ref="A1:BB77"/>
  <sheetViews>
    <sheetView zoomScaleNormal="100" workbookViewId="0"/>
  </sheetViews>
  <sheetFormatPr defaultColWidth="8.85546875" defaultRowHeight="12.75" x14ac:dyDescent="0.2"/>
  <cols>
    <col min="1" max="1" width="8.7109375" style="134" customWidth="1"/>
    <col min="2" max="2" width="58.42578125" style="134" customWidth="1"/>
    <col min="3" max="6" width="8.7109375" style="134" customWidth="1"/>
    <col min="7" max="16384" width="8.85546875" style="134"/>
  </cols>
  <sheetData>
    <row r="1" spans="1:54" s="60" customFormat="1" ht="24.75" customHeight="1" x14ac:dyDescent="0.2">
      <c r="B1" s="127"/>
    </row>
    <row r="2" spans="1:54" s="60" customFormat="1" ht="11.25" customHeight="1" x14ac:dyDescent="0.2">
      <c r="B2" s="128"/>
    </row>
    <row r="3" spans="1:54" s="60" customFormat="1" ht="11.25" customHeight="1" x14ac:dyDescent="0.2">
      <c r="B3" s="129" t="s">
        <v>15</v>
      </c>
      <c r="C3" s="130" t="s">
        <v>160</v>
      </c>
    </row>
    <row r="4" spans="1:54" s="60" customFormat="1" ht="11.25" customHeight="1" x14ac:dyDescent="0.2">
      <c r="B4" s="131"/>
      <c r="C4" s="23"/>
    </row>
    <row r="5" spans="1:54" s="60" customFormat="1" ht="11.25" customHeight="1" x14ac:dyDescent="0.2">
      <c r="B5" s="132" t="s">
        <v>167</v>
      </c>
      <c r="C5" s="23">
        <v>2024</v>
      </c>
    </row>
    <row r="6" spans="1:54" x14ac:dyDescent="0.2">
      <c r="A6" s="60"/>
      <c r="B6" s="133" t="s">
        <v>44</v>
      </c>
      <c r="C6" s="280">
        <f>C5+'Criteria results'!$F$5</f>
        <v>2028</v>
      </c>
    </row>
    <row r="8" spans="1:54" s="135" customFormat="1" ht="12" customHeight="1" x14ac:dyDescent="0.2">
      <c r="B8" s="136" t="s">
        <v>45</v>
      </c>
      <c r="C8" s="137"/>
      <c r="D8" s="137"/>
      <c r="E8" s="137"/>
      <c r="F8" s="137"/>
      <c r="G8" s="137"/>
      <c r="H8" s="137"/>
      <c r="I8" s="137"/>
      <c r="J8" s="137"/>
      <c r="K8" s="137"/>
      <c r="L8" s="137"/>
      <c r="M8" s="137"/>
    </row>
    <row r="9" spans="1:54" x14ac:dyDescent="0.2">
      <c r="B9" s="60"/>
      <c r="C9" s="138">
        <v>2023</v>
      </c>
      <c r="D9" s="138">
        <v>2024</v>
      </c>
      <c r="E9" s="138">
        <v>2025</v>
      </c>
      <c r="F9" s="138">
        <v>2026</v>
      </c>
      <c r="G9" s="138">
        <v>2027</v>
      </c>
      <c r="H9" s="138">
        <v>2028</v>
      </c>
      <c r="I9" s="138">
        <v>2029</v>
      </c>
      <c r="J9" s="138">
        <v>2030</v>
      </c>
      <c r="K9" s="138">
        <v>2031</v>
      </c>
      <c r="L9" s="138">
        <v>2032</v>
      </c>
      <c r="M9" s="138">
        <v>2033</v>
      </c>
      <c r="N9" s="138">
        <v>2034</v>
      </c>
      <c r="O9" s="138">
        <v>2035</v>
      </c>
      <c r="P9" s="138">
        <v>2036</v>
      </c>
      <c r="Q9" s="138">
        <v>2037</v>
      </c>
      <c r="R9" s="138">
        <v>2038</v>
      </c>
      <c r="S9" s="138">
        <v>2039</v>
      </c>
      <c r="T9" s="138">
        <v>2040</v>
      </c>
      <c r="U9" s="138">
        <v>2041</v>
      </c>
      <c r="V9" s="138"/>
      <c r="W9" s="138"/>
      <c r="X9" s="138"/>
      <c r="Y9" s="138"/>
      <c r="Z9" s="138"/>
      <c r="AA9" s="138"/>
      <c r="AB9" s="138"/>
      <c r="AC9" s="138"/>
      <c r="AD9" s="138"/>
      <c r="AE9" s="138"/>
      <c r="AF9" s="138"/>
      <c r="AG9" s="138"/>
      <c r="AH9" s="138"/>
      <c r="AI9" s="138"/>
      <c r="AJ9" s="138"/>
      <c r="AK9" s="138"/>
      <c r="AL9" s="138"/>
      <c r="AM9" s="138"/>
      <c r="AN9" s="138"/>
      <c r="AO9" s="138"/>
      <c r="AP9" s="138"/>
      <c r="AQ9" s="138"/>
      <c r="AR9" s="138"/>
      <c r="AS9" s="138"/>
      <c r="AT9" s="138"/>
      <c r="AU9" s="138"/>
      <c r="AV9" s="138"/>
      <c r="AW9" s="138"/>
      <c r="AX9" s="138"/>
      <c r="AY9" s="138"/>
      <c r="AZ9" s="138"/>
    </row>
    <row r="10" spans="1:54" s="139" customFormat="1" x14ac:dyDescent="0.2">
      <c r="B10" s="140" t="s">
        <v>46</v>
      </c>
      <c r="C10" s="141"/>
      <c r="D10" s="141"/>
      <c r="E10" s="141"/>
      <c r="F10" s="141"/>
      <c r="G10" s="141"/>
      <c r="H10" s="141"/>
      <c r="I10" s="141"/>
      <c r="J10" s="141"/>
      <c r="K10" s="141"/>
      <c r="L10" s="141"/>
      <c r="M10" s="141"/>
    </row>
    <row r="11" spans="1:54" x14ac:dyDescent="0.2">
      <c r="B11" s="142" t="s">
        <v>285</v>
      </c>
      <c r="C11" s="143"/>
      <c r="D11" s="143"/>
      <c r="E11" s="143"/>
      <c r="F11" s="143"/>
      <c r="G11" s="143"/>
      <c r="H11" s="143"/>
      <c r="I11" s="143"/>
      <c r="J11" s="143"/>
      <c r="K11" s="143"/>
      <c r="L11" s="143"/>
      <c r="M11" s="143"/>
    </row>
    <row r="12" spans="1:54" x14ac:dyDescent="0.2">
      <c r="A12" s="60"/>
      <c r="B12" s="60" t="s">
        <v>43</v>
      </c>
      <c r="C12" s="144">
        <v>62.885489999999997</v>
      </c>
      <c r="D12" s="144">
        <v>62.455680000000001</v>
      </c>
      <c r="E12" s="59" t="s">
        <v>47</v>
      </c>
      <c r="F12" s="59" t="s">
        <v>47</v>
      </c>
      <c r="G12" s="59" t="s">
        <v>47</v>
      </c>
      <c r="H12" s="59" t="s">
        <v>47</v>
      </c>
      <c r="I12" s="59" t="s">
        <v>47</v>
      </c>
      <c r="J12" s="59" t="s">
        <v>47</v>
      </c>
      <c r="K12" s="59" t="s">
        <v>47</v>
      </c>
      <c r="L12" s="59" t="s">
        <v>47</v>
      </c>
      <c r="M12" s="59" t="s">
        <v>47</v>
      </c>
    </row>
    <row r="13" spans="1:54" x14ac:dyDescent="0.2">
      <c r="A13" s="60"/>
      <c r="B13" s="60" t="s">
        <v>48</v>
      </c>
      <c r="C13" s="144">
        <v>-1.2609140000000001</v>
      </c>
      <c r="D13" s="144">
        <v>-1.0152870000000001</v>
      </c>
      <c r="E13" s="384"/>
      <c r="F13" s="384"/>
      <c r="G13" s="384"/>
      <c r="H13" s="384"/>
      <c r="I13" s="384"/>
      <c r="J13" s="384"/>
      <c r="K13" s="384"/>
      <c r="L13" s="384"/>
      <c r="M13" s="384"/>
      <c r="N13" s="384"/>
      <c r="O13" s="384"/>
      <c r="P13" s="384"/>
      <c r="Q13" s="384"/>
      <c r="R13" s="384"/>
      <c r="S13" s="384"/>
      <c r="T13" s="384"/>
      <c r="U13" s="384"/>
      <c r="V13" s="384"/>
      <c r="W13" s="384"/>
      <c r="X13" s="384"/>
      <c r="Y13" s="384"/>
      <c r="Z13" s="384"/>
      <c r="AA13" s="384"/>
      <c r="AB13" s="384"/>
      <c r="AC13" s="384"/>
      <c r="AD13" s="384"/>
      <c r="AE13" s="384"/>
      <c r="AF13" s="384"/>
      <c r="AG13" s="384"/>
      <c r="AH13" s="384"/>
      <c r="AI13" s="384"/>
      <c r="AJ13" s="384"/>
      <c r="AK13" s="384"/>
      <c r="AL13" s="384"/>
      <c r="AM13" s="384"/>
      <c r="AN13" s="384"/>
      <c r="AO13" s="384"/>
      <c r="AP13" s="384"/>
      <c r="AQ13" s="384"/>
      <c r="AR13" s="384"/>
      <c r="AS13" s="384"/>
      <c r="AT13" s="384"/>
      <c r="AU13" s="384"/>
      <c r="AV13" s="384"/>
      <c r="AW13" s="384"/>
      <c r="AX13" s="384"/>
      <c r="AY13" s="384"/>
      <c r="AZ13" s="384"/>
      <c r="BA13" s="385"/>
      <c r="BB13" s="385"/>
    </row>
    <row r="14" spans="1:54" x14ac:dyDescent="0.2">
      <c r="A14" s="60"/>
      <c r="B14" s="60" t="s">
        <v>49</v>
      </c>
      <c r="C14" s="144">
        <v>0</v>
      </c>
      <c r="D14" s="144">
        <v>0</v>
      </c>
      <c r="E14" s="144">
        <v>0</v>
      </c>
      <c r="F14" s="144">
        <v>0</v>
      </c>
      <c r="G14" s="144">
        <v>0</v>
      </c>
      <c r="H14" s="144">
        <v>0</v>
      </c>
      <c r="I14" s="144">
        <v>0</v>
      </c>
      <c r="J14" s="144">
        <v>0</v>
      </c>
      <c r="K14" s="144">
        <v>0</v>
      </c>
      <c r="L14" s="144">
        <v>0</v>
      </c>
      <c r="M14" s="144">
        <v>0</v>
      </c>
      <c r="N14" s="144">
        <v>0</v>
      </c>
      <c r="O14" s="144">
        <v>0</v>
      </c>
      <c r="P14" s="144">
        <v>0</v>
      </c>
      <c r="Q14" s="144">
        <v>0</v>
      </c>
      <c r="R14" s="144">
        <v>0</v>
      </c>
      <c r="S14" s="144">
        <v>0</v>
      </c>
      <c r="T14" s="144">
        <v>0</v>
      </c>
      <c r="U14" s="144">
        <v>0</v>
      </c>
      <c r="V14" s="59"/>
      <c r="W14" s="59"/>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59"/>
      <c r="AZ14" s="59"/>
    </row>
    <row r="15" spans="1:54" x14ac:dyDescent="0.2">
      <c r="A15" s="60"/>
      <c r="B15" s="60" t="s">
        <v>50</v>
      </c>
      <c r="C15" s="144">
        <v>-1.0004850000000001</v>
      </c>
      <c r="D15" s="144">
        <v>-1.4394560000000001</v>
      </c>
      <c r="E15" s="144">
        <v>8.5767899999999994E-2</v>
      </c>
      <c r="F15" s="144">
        <v>0.1097981</v>
      </c>
      <c r="G15" s="144">
        <v>0</v>
      </c>
      <c r="H15" s="144">
        <v>0</v>
      </c>
      <c r="I15" s="144">
        <v>0</v>
      </c>
      <c r="J15" s="144">
        <v>0</v>
      </c>
      <c r="K15" s="144">
        <v>0</v>
      </c>
      <c r="L15" s="144">
        <v>0</v>
      </c>
      <c r="M15" s="144">
        <v>0</v>
      </c>
      <c r="N15" s="144">
        <v>0</v>
      </c>
      <c r="O15" s="144">
        <v>0</v>
      </c>
      <c r="P15" s="144">
        <v>0</v>
      </c>
      <c r="Q15" s="144">
        <v>0</v>
      </c>
      <c r="R15" s="144">
        <v>0</v>
      </c>
      <c r="S15" s="144">
        <v>0</v>
      </c>
      <c r="T15" s="144">
        <v>0</v>
      </c>
      <c r="U15" s="144">
        <v>0</v>
      </c>
      <c r="V15" s="59"/>
      <c r="W15" s="59"/>
      <c r="X15" s="59"/>
      <c r="Y15" s="59"/>
      <c r="Z15" s="59"/>
      <c r="AA15" s="59"/>
      <c r="AB15" s="59"/>
      <c r="AC15" s="59"/>
      <c r="AD15" s="59"/>
      <c r="AE15" s="59"/>
      <c r="AF15" s="59"/>
      <c r="AG15" s="59"/>
      <c r="AH15" s="59"/>
      <c r="AI15" s="59"/>
      <c r="AJ15" s="59"/>
      <c r="AK15" s="59"/>
      <c r="AL15" s="59"/>
      <c r="AM15" s="59"/>
      <c r="AN15" s="59"/>
      <c r="AO15" s="59"/>
      <c r="AP15" s="59"/>
      <c r="AQ15" s="59"/>
      <c r="AR15" s="59"/>
      <c r="AS15" s="59"/>
      <c r="AT15" s="59"/>
      <c r="AU15" s="59"/>
      <c r="AV15" s="59"/>
      <c r="AW15" s="59"/>
      <c r="AX15" s="59"/>
      <c r="AY15" s="59"/>
      <c r="AZ15" s="59"/>
    </row>
    <row r="16" spans="1:54" x14ac:dyDescent="0.2">
      <c r="A16" s="60"/>
      <c r="B16" s="60" t="s">
        <v>51</v>
      </c>
      <c r="C16" s="144">
        <v>-1.016181</v>
      </c>
      <c r="D16" s="144">
        <v>-1.4401139999999999</v>
      </c>
      <c r="E16" s="144">
        <v>6.9708000000000006E-2</v>
      </c>
      <c r="F16" s="144">
        <v>9.8867300000000005E-2</v>
      </c>
      <c r="G16" s="144">
        <v>0</v>
      </c>
      <c r="H16" s="144">
        <v>0</v>
      </c>
      <c r="I16" s="144">
        <v>0</v>
      </c>
      <c r="J16" s="144">
        <v>0</v>
      </c>
      <c r="K16" s="144">
        <v>0</v>
      </c>
      <c r="L16" s="144">
        <v>0</v>
      </c>
      <c r="M16" s="144">
        <v>0</v>
      </c>
      <c r="N16" s="144">
        <v>0</v>
      </c>
      <c r="O16" s="144">
        <v>0</v>
      </c>
      <c r="P16" s="144">
        <v>0</v>
      </c>
      <c r="Q16" s="144">
        <v>0</v>
      </c>
      <c r="R16" s="144">
        <v>0</v>
      </c>
      <c r="S16" s="144">
        <v>0</v>
      </c>
      <c r="T16" s="144">
        <v>0</v>
      </c>
      <c r="U16" s="144">
        <v>0</v>
      </c>
      <c r="V16" s="59"/>
      <c r="W16" s="59"/>
      <c r="X16" s="59"/>
      <c r="Y16" s="59"/>
      <c r="Z16" s="59"/>
      <c r="AA16" s="59"/>
      <c r="AB16" s="59"/>
      <c r="AC16" s="59"/>
      <c r="AD16" s="59"/>
      <c r="AE16" s="59"/>
      <c r="AF16" s="59"/>
      <c r="AG16" s="59"/>
      <c r="AH16" s="59"/>
      <c r="AI16" s="59"/>
      <c r="AJ16" s="59"/>
      <c r="AK16" s="59"/>
      <c r="AL16" s="59"/>
      <c r="AM16" s="59"/>
      <c r="AN16" s="59"/>
      <c r="AO16" s="59"/>
      <c r="AP16" s="59"/>
      <c r="AQ16" s="59"/>
      <c r="AR16" s="59"/>
      <c r="AS16" s="59"/>
      <c r="AT16" s="59"/>
      <c r="AU16" s="59"/>
      <c r="AV16" s="59"/>
      <c r="AW16" s="59"/>
      <c r="AX16" s="59"/>
    </row>
    <row r="17" spans="1:54" x14ac:dyDescent="0.2">
      <c r="A17" s="60"/>
      <c r="B17" s="358" t="s">
        <v>271</v>
      </c>
      <c r="C17" s="360">
        <v>0</v>
      </c>
      <c r="D17" s="360">
        <v>0</v>
      </c>
      <c r="E17" s="59"/>
      <c r="F17" s="59"/>
      <c r="G17" s="59"/>
      <c r="H17" s="59"/>
      <c r="I17" s="59"/>
      <c r="J17" s="59"/>
      <c r="K17" s="59"/>
      <c r="L17" s="59"/>
      <c r="M17" s="59"/>
      <c r="N17" s="59"/>
      <c r="O17" s="59"/>
      <c r="P17" s="59"/>
      <c r="Q17" s="59"/>
      <c r="R17" s="59"/>
      <c r="S17" s="59"/>
      <c r="T17" s="59"/>
      <c r="U17" s="59"/>
      <c r="V17" s="59"/>
      <c r="W17" s="59"/>
      <c r="X17" s="59"/>
      <c r="Y17" s="59"/>
      <c r="Z17" s="59"/>
      <c r="AA17" s="59"/>
      <c r="AB17" s="59"/>
      <c r="AC17" s="59"/>
      <c r="AD17" s="59"/>
      <c r="AE17" s="59"/>
      <c r="AF17" s="59"/>
      <c r="AG17" s="59"/>
      <c r="AH17" s="59"/>
      <c r="AI17" s="59"/>
      <c r="AJ17" s="59"/>
      <c r="AK17" s="59"/>
      <c r="AL17" s="59"/>
      <c r="AM17" s="59"/>
      <c r="AN17" s="59"/>
      <c r="AO17" s="59"/>
      <c r="AP17" s="59"/>
      <c r="AQ17" s="59"/>
      <c r="AR17" s="59"/>
      <c r="AS17" s="59"/>
      <c r="AT17" s="59"/>
      <c r="AU17" s="59"/>
      <c r="AV17" s="59"/>
      <c r="AW17" s="59"/>
      <c r="AX17" s="59"/>
      <c r="AY17" s="59"/>
      <c r="AZ17" s="59"/>
    </row>
    <row r="18" spans="1:54" x14ac:dyDescent="0.2">
      <c r="A18" s="60"/>
      <c r="B18" s="60"/>
      <c r="C18" s="59"/>
      <c r="D18" s="59"/>
      <c r="E18" s="59"/>
      <c r="F18" s="59"/>
      <c r="G18" s="59"/>
      <c r="H18" s="59"/>
      <c r="I18" s="59"/>
      <c r="J18" s="59"/>
      <c r="K18" s="59"/>
      <c r="L18" s="59"/>
      <c r="M18" s="59"/>
    </row>
    <row r="19" spans="1:54" x14ac:dyDescent="0.2">
      <c r="A19" s="60"/>
      <c r="B19" s="142" t="s">
        <v>256</v>
      </c>
      <c r="C19" s="59"/>
      <c r="D19" s="59"/>
      <c r="E19" s="59"/>
      <c r="F19" s="59"/>
      <c r="G19" s="59"/>
      <c r="H19" s="59"/>
      <c r="I19" s="59"/>
      <c r="J19" s="59"/>
      <c r="K19" s="59"/>
      <c r="L19" s="59"/>
      <c r="M19" s="59"/>
    </row>
    <row r="20" spans="1:54" x14ac:dyDescent="0.2">
      <c r="A20" s="60"/>
      <c r="B20" s="60" t="s">
        <v>52</v>
      </c>
      <c r="C20" s="145">
        <f t="shared" ref="C20:R20" si="0">(C21+C22+C23+C24-C25)</f>
        <v>23.099999999999998</v>
      </c>
      <c r="D20" s="145">
        <f t="shared" si="0"/>
        <v>23.3</v>
      </c>
      <c r="E20" s="145">
        <f t="shared" si="0"/>
        <v>23.4</v>
      </c>
      <c r="F20" s="145">
        <f t="shared" si="0"/>
        <v>23.4</v>
      </c>
      <c r="G20" s="145">
        <f t="shared" si="0"/>
        <v>23.6</v>
      </c>
      <c r="H20" s="145">
        <f t="shared" si="0"/>
        <v>23.7</v>
      </c>
      <c r="I20" s="145">
        <f t="shared" si="0"/>
        <v>23.799999999999997</v>
      </c>
      <c r="J20" s="145">
        <f t="shared" si="0"/>
        <v>23.9</v>
      </c>
      <c r="K20" s="145">
        <f t="shared" si="0"/>
        <v>24</v>
      </c>
      <c r="L20" s="145">
        <f t="shared" si="0"/>
        <v>24.2</v>
      </c>
      <c r="M20" s="145">
        <f t="shared" si="0"/>
        <v>24.3</v>
      </c>
      <c r="N20" s="145">
        <f t="shared" si="0"/>
        <v>24.3</v>
      </c>
      <c r="O20" s="145">
        <f t="shared" si="0"/>
        <v>24.4</v>
      </c>
      <c r="P20" s="145">
        <f t="shared" si="0"/>
        <v>24.499999999999996</v>
      </c>
      <c r="Q20" s="145">
        <f t="shared" si="0"/>
        <v>24.499999999999996</v>
      </c>
      <c r="R20" s="145">
        <f t="shared" si="0"/>
        <v>24.499999999999996</v>
      </c>
      <c r="S20" s="145">
        <f t="shared" ref="S20:U20" si="1">(S21+S22+S23+S24-S25)</f>
        <v>24.5</v>
      </c>
      <c r="T20" s="145">
        <f t="shared" si="1"/>
        <v>24.400000000000002</v>
      </c>
      <c r="U20" s="145">
        <f t="shared" si="1"/>
        <v>24.400000000000002</v>
      </c>
      <c r="V20" s="59"/>
      <c r="W20" s="59"/>
      <c r="X20" s="59"/>
      <c r="Y20" s="59"/>
      <c r="Z20" s="59"/>
      <c r="AA20" s="59"/>
      <c r="AB20" s="59"/>
      <c r="AC20" s="59"/>
      <c r="AD20" s="59"/>
      <c r="AE20" s="59"/>
      <c r="AF20" s="59"/>
      <c r="AG20" s="59"/>
      <c r="AH20" s="59"/>
      <c r="AI20" s="59"/>
      <c r="AJ20" s="59"/>
      <c r="AK20" s="59"/>
      <c r="AL20" s="59"/>
      <c r="AM20" s="59"/>
      <c r="AN20" s="59"/>
      <c r="AO20" s="59"/>
      <c r="AP20" s="59"/>
      <c r="AQ20" s="59"/>
      <c r="AR20" s="59"/>
      <c r="AS20" s="59"/>
      <c r="AT20" s="59"/>
      <c r="AU20" s="59"/>
      <c r="AV20" s="59"/>
      <c r="AW20" s="59"/>
      <c r="AX20" s="59"/>
      <c r="AY20" s="59"/>
      <c r="AZ20" s="59"/>
    </row>
    <row r="21" spans="1:54" x14ac:dyDescent="0.2">
      <c r="A21" s="60"/>
      <c r="B21" s="146" t="s">
        <v>53</v>
      </c>
      <c r="C21" s="145">
        <v>10.199999999999999</v>
      </c>
      <c r="D21" s="145">
        <v>10.4</v>
      </c>
      <c r="E21" s="145">
        <v>10.5</v>
      </c>
      <c r="F21" s="145">
        <v>10.5</v>
      </c>
      <c r="G21" s="145">
        <v>10.6</v>
      </c>
      <c r="H21" s="145">
        <v>10.7</v>
      </c>
      <c r="I21" s="145">
        <v>10.7</v>
      </c>
      <c r="J21" s="145">
        <v>10.8</v>
      </c>
      <c r="K21" s="145">
        <v>10.9</v>
      </c>
      <c r="L21" s="145">
        <v>11</v>
      </c>
      <c r="M21" s="145">
        <v>11.1</v>
      </c>
      <c r="N21" s="145">
        <v>11.1</v>
      </c>
      <c r="O21" s="145">
        <v>11.200000000000001</v>
      </c>
      <c r="P21" s="145">
        <v>11.200000000000001</v>
      </c>
      <c r="Q21" s="145">
        <v>11.200000000000001</v>
      </c>
      <c r="R21" s="145">
        <v>11.200000000000001</v>
      </c>
      <c r="S21" s="145">
        <v>11.1</v>
      </c>
      <c r="T21" s="145">
        <v>11.1</v>
      </c>
      <c r="U21" s="145">
        <v>11.1</v>
      </c>
      <c r="V21" s="59"/>
      <c r="W21" s="59"/>
      <c r="X21" s="59"/>
      <c r="Y21" s="59"/>
      <c r="Z21" s="59"/>
      <c r="AA21" s="59"/>
      <c r="AB21" s="59"/>
      <c r="AC21" s="59"/>
      <c r="AD21" s="59"/>
      <c r="AE21" s="59"/>
      <c r="AF21" s="59"/>
      <c r="AG21" s="59"/>
      <c r="AH21" s="59"/>
      <c r="AI21" s="59"/>
      <c r="AJ21" s="59"/>
      <c r="AK21" s="59"/>
      <c r="AL21" s="59"/>
      <c r="AM21" s="59"/>
      <c r="AN21" s="59"/>
      <c r="AO21" s="59"/>
      <c r="AP21" s="59"/>
      <c r="AQ21" s="59"/>
      <c r="AR21" s="59"/>
      <c r="AS21" s="59"/>
      <c r="AT21" s="59"/>
      <c r="AU21" s="59"/>
      <c r="AV21" s="59"/>
      <c r="AW21" s="59"/>
      <c r="AX21" s="59"/>
      <c r="AY21" s="59"/>
      <c r="AZ21" s="59"/>
    </row>
    <row r="22" spans="1:54" x14ac:dyDescent="0.2">
      <c r="A22" s="60"/>
      <c r="B22" s="147" t="s">
        <v>54</v>
      </c>
      <c r="C22" s="145">
        <v>7.7</v>
      </c>
      <c r="D22" s="145">
        <v>7.7</v>
      </c>
      <c r="E22" s="145">
        <v>7.7</v>
      </c>
      <c r="F22" s="145">
        <v>7.7</v>
      </c>
      <c r="G22" s="145">
        <v>7.7</v>
      </c>
      <c r="H22" s="145">
        <v>7.7</v>
      </c>
      <c r="I22" s="145">
        <v>7.7</v>
      </c>
      <c r="J22" s="145">
        <v>7.7</v>
      </c>
      <c r="K22" s="145">
        <v>7.7</v>
      </c>
      <c r="L22" s="145">
        <v>7.7</v>
      </c>
      <c r="M22" s="145">
        <v>7.7</v>
      </c>
      <c r="N22" s="145">
        <v>7.7</v>
      </c>
      <c r="O22" s="145">
        <v>7.8</v>
      </c>
      <c r="P22" s="145">
        <v>7.8</v>
      </c>
      <c r="Q22" s="145">
        <v>7.8</v>
      </c>
      <c r="R22" s="145">
        <v>7.8</v>
      </c>
      <c r="S22" s="145">
        <v>7.9</v>
      </c>
      <c r="T22" s="145">
        <v>7.9</v>
      </c>
      <c r="U22" s="145">
        <v>7.9</v>
      </c>
      <c r="V22" s="59"/>
      <c r="W22" s="59"/>
      <c r="X22" s="59"/>
      <c r="Y22" s="59"/>
      <c r="Z22" s="59"/>
      <c r="AA22" s="59"/>
      <c r="AB22" s="59"/>
      <c r="AC22" s="59"/>
      <c r="AD22" s="59"/>
      <c r="AE22" s="59"/>
      <c r="AF22" s="59"/>
      <c r="AG22" s="59"/>
      <c r="AH22" s="59"/>
      <c r="AI22" s="59"/>
      <c r="AJ22" s="59"/>
      <c r="AK22" s="59"/>
      <c r="AL22" s="59"/>
      <c r="AM22" s="59"/>
      <c r="AN22" s="59"/>
      <c r="AO22" s="59"/>
      <c r="AP22" s="59"/>
      <c r="AQ22" s="59"/>
      <c r="AR22" s="59"/>
      <c r="AS22" s="59"/>
      <c r="AT22" s="59"/>
      <c r="AU22" s="59"/>
      <c r="AV22" s="59"/>
      <c r="AW22" s="59"/>
      <c r="AX22" s="59"/>
      <c r="AY22" s="59"/>
      <c r="AZ22" s="59"/>
    </row>
    <row r="23" spans="1:54" x14ac:dyDescent="0.2">
      <c r="A23" s="60"/>
      <c r="B23" s="147" t="s">
        <v>55</v>
      </c>
      <c r="C23" s="145">
        <v>1.9</v>
      </c>
      <c r="D23" s="145">
        <v>1.9</v>
      </c>
      <c r="E23" s="145">
        <v>2</v>
      </c>
      <c r="F23" s="145">
        <v>2</v>
      </c>
      <c r="G23" s="145">
        <v>2.1</v>
      </c>
      <c r="H23" s="145">
        <v>2.1</v>
      </c>
      <c r="I23" s="145">
        <v>2.1999999999999997</v>
      </c>
      <c r="J23" s="145">
        <v>2.1999999999999997</v>
      </c>
      <c r="K23" s="145">
        <v>2.1999999999999997</v>
      </c>
      <c r="L23" s="145">
        <v>2.1999999999999997</v>
      </c>
      <c r="M23" s="145">
        <v>2.1999999999999997</v>
      </c>
      <c r="N23" s="145">
        <v>2.1999999999999997</v>
      </c>
      <c r="O23" s="145">
        <v>2.1999999999999997</v>
      </c>
      <c r="P23" s="145">
        <v>2.1999999999999997</v>
      </c>
      <c r="Q23" s="145">
        <v>2.1999999999999997</v>
      </c>
      <c r="R23" s="145">
        <v>2.1999999999999997</v>
      </c>
      <c r="S23" s="145">
        <v>2.2999999999999998</v>
      </c>
      <c r="T23" s="145">
        <v>2.2999999999999998</v>
      </c>
      <c r="U23" s="145">
        <v>2.2999999999999998</v>
      </c>
      <c r="V23" s="59"/>
      <c r="W23" s="59"/>
      <c r="X23" s="59"/>
      <c r="Y23" s="59"/>
      <c r="Z23" s="59"/>
      <c r="AA23" s="59"/>
      <c r="AB23" s="59"/>
      <c r="AC23" s="59"/>
      <c r="AD23" s="59"/>
      <c r="AE23" s="59"/>
      <c r="AF23" s="59"/>
      <c r="AG23" s="59"/>
      <c r="AH23" s="59"/>
      <c r="AI23" s="59"/>
      <c r="AJ23" s="59"/>
      <c r="AK23" s="59"/>
      <c r="AL23" s="59"/>
      <c r="AM23" s="59"/>
      <c r="AN23" s="59"/>
      <c r="AO23" s="59"/>
      <c r="AP23" s="59"/>
      <c r="AQ23" s="59"/>
      <c r="AR23" s="59"/>
      <c r="AS23" s="59"/>
      <c r="AT23" s="59"/>
      <c r="AU23" s="59"/>
      <c r="AV23" s="59"/>
      <c r="AW23" s="59"/>
      <c r="AX23" s="59"/>
      <c r="AY23" s="59"/>
      <c r="AZ23" s="59"/>
    </row>
    <row r="24" spans="1:54" x14ac:dyDescent="0.2">
      <c r="A24" s="60"/>
      <c r="B24" s="147" t="s">
        <v>56</v>
      </c>
      <c r="C24" s="145">
        <v>4.3</v>
      </c>
      <c r="D24" s="145">
        <v>4.3</v>
      </c>
      <c r="E24" s="145">
        <v>4.3</v>
      </c>
      <c r="F24" s="145">
        <v>4.3</v>
      </c>
      <c r="G24" s="145">
        <v>4.3</v>
      </c>
      <c r="H24" s="145">
        <v>4.3</v>
      </c>
      <c r="I24" s="145">
        <v>4.3999999999999995</v>
      </c>
      <c r="J24" s="145">
        <v>4.3999999999999995</v>
      </c>
      <c r="K24" s="145">
        <v>4.3999999999999995</v>
      </c>
      <c r="L24" s="145">
        <v>4.5</v>
      </c>
      <c r="M24" s="145">
        <v>4.5</v>
      </c>
      <c r="N24" s="145">
        <v>4.5</v>
      </c>
      <c r="O24" s="145">
        <v>4.5</v>
      </c>
      <c r="P24" s="145">
        <v>4.5999999999999996</v>
      </c>
      <c r="Q24" s="145">
        <v>4.5999999999999996</v>
      </c>
      <c r="R24" s="145">
        <v>4.5999999999999996</v>
      </c>
      <c r="S24" s="145">
        <v>4.5</v>
      </c>
      <c r="T24" s="145">
        <v>4.5</v>
      </c>
      <c r="U24" s="145">
        <v>4.5</v>
      </c>
      <c r="V24" s="59"/>
      <c r="W24" s="59"/>
      <c r="X24" s="59"/>
      <c r="Y24" s="59"/>
      <c r="Z24" s="59"/>
      <c r="AA24" s="59"/>
      <c r="AB24" s="59"/>
      <c r="AC24" s="59"/>
      <c r="AD24" s="59"/>
      <c r="AE24" s="59"/>
      <c r="AF24" s="59"/>
      <c r="AG24" s="59"/>
      <c r="AH24" s="59"/>
      <c r="AI24" s="59"/>
      <c r="AJ24" s="59"/>
      <c r="AK24" s="59"/>
      <c r="AL24" s="59"/>
      <c r="AM24" s="59"/>
      <c r="AN24" s="59"/>
      <c r="AO24" s="59"/>
      <c r="AP24" s="59"/>
      <c r="AQ24" s="59"/>
      <c r="AR24" s="59"/>
      <c r="AS24" s="59"/>
      <c r="AT24" s="59"/>
      <c r="AU24" s="59"/>
      <c r="AV24" s="59"/>
      <c r="AW24" s="59"/>
      <c r="AX24" s="59"/>
      <c r="AY24" s="59"/>
      <c r="AZ24" s="59"/>
    </row>
    <row r="25" spans="1:54" x14ac:dyDescent="0.2">
      <c r="A25" s="60"/>
      <c r="B25" s="147" t="s">
        <v>57</v>
      </c>
      <c r="C25" s="145">
        <v>1</v>
      </c>
      <c r="D25" s="145">
        <v>1</v>
      </c>
      <c r="E25" s="145">
        <v>1.0999999999999999</v>
      </c>
      <c r="F25" s="145">
        <v>1.0999999999999999</v>
      </c>
      <c r="G25" s="145">
        <v>1.0999999999999999</v>
      </c>
      <c r="H25" s="145">
        <v>1.0999999999999999</v>
      </c>
      <c r="I25" s="145">
        <v>1.2</v>
      </c>
      <c r="J25" s="145">
        <v>1.2</v>
      </c>
      <c r="K25" s="145">
        <v>1.2</v>
      </c>
      <c r="L25" s="145">
        <v>1.2</v>
      </c>
      <c r="M25" s="145">
        <v>1.2</v>
      </c>
      <c r="N25" s="145">
        <v>1.2</v>
      </c>
      <c r="O25" s="145">
        <v>1.3</v>
      </c>
      <c r="P25" s="145">
        <v>1.3</v>
      </c>
      <c r="Q25" s="145">
        <v>1.3</v>
      </c>
      <c r="R25" s="145">
        <v>1.3</v>
      </c>
      <c r="S25" s="145">
        <v>1.3</v>
      </c>
      <c r="T25" s="145">
        <v>1.4000000000000001</v>
      </c>
      <c r="U25" s="145">
        <v>1.4000000000000001</v>
      </c>
      <c r="V25" s="59"/>
      <c r="W25" s="59"/>
      <c r="X25" s="59"/>
      <c r="Y25" s="59"/>
      <c r="Z25" s="59"/>
      <c r="AA25" s="59"/>
      <c r="AB25" s="59"/>
      <c r="AC25" s="59"/>
      <c r="AD25" s="59"/>
      <c r="AE25" s="59"/>
      <c r="AF25" s="59"/>
      <c r="AG25" s="59"/>
      <c r="AH25" s="59"/>
      <c r="AI25" s="59"/>
      <c r="AJ25" s="59"/>
      <c r="AK25" s="59"/>
      <c r="AL25" s="59"/>
      <c r="AM25" s="59"/>
      <c r="AN25" s="59"/>
      <c r="AO25" s="59"/>
      <c r="AP25" s="59"/>
      <c r="AQ25" s="59"/>
      <c r="AR25" s="59"/>
      <c r="AS25" s="59"/>
      <c r="AT25" s="59"/>
      <c r="AU25" s="59"/>
      <c r="AV25" s="59"/>
      <c r="AW25" s="59"/>
      <c r="AX25" s="59"/>
      <c r="AY25" s="59"/>
      <c r="AZ25" s="59"/>
    </row>
    <row r="26" spans="1:54" x14ac:dyDescent="0.2">
      <c r="A26" s="60"/>
      <c r="B26" s="146" t="s">
        <v>58</v>
      </c>
      <c r="C26" s="145">
        <v>0.71641730000000003</v>
      </c>
      <c r="D26" s="145">
        <v>0.71176019999999995</v>
      </c>
      <c r="E26" s="145">
        <v>0.70710320000000004</v>
      </c>
      <c r="F26" s="145">
        <v>0.70244620000000002</v>
      </c>
      <c r="G26" s="145">
        <v>0.69778910000000005</v>
      </c>
      <c r="H26" s="145">
        <v>0.69313210000000003</v>
      </c>
      <c r="I26" s="145">
        <v>0.68847510000000001</v>
      </c>
      <c r="J26" s="145">
        <v>0.68381800000000004</v>
      </c>
      <c r="K26" s="145">
        <v>0.67916100000000001</v>
      </c>
      <c r="L26" s="145">
        <v>0.67450399999999999</v>
      </c>
      <c r="M26" s="145">
        <v>0.66984699999999997</v>
      </c>
      <c r="N26" s="145">
        <v>0.6651899</v>
      </c>
      <c r="O26" s="145">
        <v>0.66053280000000003</v>
      </c>
      <c r="P26" s="145">
        <v>0.65587580000000001</v>
      </c>
      <c r="Q26" s="145">
        <v>0.65121879999999999</v>
      </c>
      <c r="R26" s="145">
        <v>0.64656170000000002</v>
      </c>
      <c r="S26" s="145">
        <v>0.64190460000000005</v>
      </c>
      <c r="T26" s="145">
        <v>0.63724760000000003</v>
      </c>
      <c r="U26" s="145">
        <v>0.63259049999999994</v>
      </c>
      <c r="V26" s="59"/>
      <c r="W26" s="59"/>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59"/>
      <c r="AZ26" s="59"/>
    </row>
    <row r="27" spans="1:54" x14ac:dyDescent="0.2">
      <c r="A27" s="60"/>
      <c r="B27" s="60"/>
      <c r="C27" s="60"/>
      <c r="D27" s="60"/>
      <c r="E27" s="60"/>
      <c r="F27" s="60"/>
      <c r="G27" s="60"/>
      <c r="H27" s="60"/>
      <c r="I27" s="60"/>
      <c r="J27" s="60"/>
      <c r="K27" s="60"/>
      <c r="L27" s="60"/>
      <c r="M27" s="60"/>
    </row>
    <row r="28" spans="1:54" s="139" customFormat="1" x14ac:dyDescent="0.2">
      <c r="A28" s="148"/>
      <c r="B28" s="140" t="s">
        <v>286</v>
      </c>
      <c r="C28" s="148"/>
      <c r="D28" s="148"/>
      <c r="E28" s="148"/>
      <c r="F28" s="148"/>
      <c r="G28" s="148"/>
      <c r="H28" s="148"/>
      <c r="I28" s="148"/>
      <c r="J28" s="148"/>
      <c r="K28" s="148"/>
      <c r="L28" s="148"/>
      <c r="M28" s="148"/>
    </row>
    <row r="29" spans="1:54" x14ac:dyDescent="0.2">
      <c r="A29" s="60"/>
      <c r="B29" s="142" t="s">
        <v>59</v>
      </c>
      <c r="C29" s="60"/>
      <c r="D29" s="60"/>
      <c r="E29" s="386"/>
      <c r="F29" s="386"/>
      <c r="G29" s="386"/>
      <c r="H29" s="386"/>
      <c r="I29" s="386"/>
      <c r="J29" s="386"/>
      <c r="K29" s="386"/>
      <c r="L29" s="386"/>
      <c r="M29" s="386"/>
      <c r="N29" s="386"/>
      <c r="O29" s="386"/>
      <c r="P29" s="386"/>
      <c r="Q29" s="386"/>
      <c r="R29" s="386"/>
      <c r="S29" s="386"/>
      <c r="T29" s="386"/>
      <c r="U29" s="386"/>
      <c r="V29" s="385"/>
      <c r="W29" s="385"/>
      <c r="X29" s="385"/>
      <c r="Y29" s="385"/>
      <c r="Z29" s="385"/>
      <c r="AA29" s="385"/>
      <c r="AB29" s="385"/>
      <c r="AC29" s="385"/>
      <c r="AD29" s="385"/>
      <c r="AE29" s="385"/>
      <c r="AF29" s="385"/>
      <c r="AG29" s="385"/>
      <c r="AH29" s="385"/>
      <c r="AI29" s="385"/>
      <c r="AJ29" s="385"/>
      <c r="AK29" s="385"/>
      <c r="AL29" s="385"/>
      <c r="AM29" s="385"/>
      <c r="AN29" s="385"/>
      <c r="AO29" s="385"/>
      <c r="AP29" s="385"/>
      <c r="AQ29" s="385"/>
      <c r="AR29" s="385"/>
      <c r="AS29" s="385"/>
      <c r="AT29" s="385"/>
      <c r="AU29" s="385"/>
      <c r="AV29" s="385"/>
      <c r="AW29" s="385"/>
      <c r="AX29" s="385"/>
      <c r="AY29" s="385"/>
      <c r="AZ29" s="385"/>
      <c r="BA29" s="385"/>
      <c r="BB29" s="385"/>
    </row>
    <row r="30" spans="1:54" x14ac:dyDescent="0.2">
      <c r="A30" s="60"/>
      <c r="B30" s="60" t="s">
        <v>60</v>
      </c>
      <c r="C30" s="150">
        <v>-0.26643830000000002</v>
      </c>
      <c r="D30" s="150">
        <v>-0.23852609999999999</v>
      </c>
      <c r="E30" s="150">
        <v>0.17216110000000001</v>
      </c>
      <c r="F30" s="150">
        <v>0.62623519999999999</v>
      </c>
      <c r="G30" s="150">
        <v>0.85516650000000005</v>
      </c>
      <c r="H30" s="150">
        <v>0.95835910000000002</v>
      </c>
      <c r="I30" s="150">
        <v>1.057734</v>
      </c>
      <c r="J30" s="150">
        <v>0.63380049999999999</v>
      </c>
      <c r="K30" s="150">
        <v>0.60714469999999998</v>
      </c>
      <c r="L30" s="150">
        <v>0.58665769999999995</v>
      </c>
      <c r="M30" s="150">
        <v>0.58461379999999996</v>
      </c>
      <c r="N30" s="150">
        <v>0.6761528</v>
      </c>
      <c r="O30" s="151">
        <v>0.88076969999999999</v>
      </c>
      <c r="P30" s="151">
        <v>1.085386</v>
      </c>
      <c r="Q30" s="151">
        <v>1.290001</v>
      </c>
      <c r="R30" s="151">
        <v>1.379999</v>
      </c>
      <c r="S30" s="151">
        <v>1.470005</v>
      </c>
      <c r="T30" s="151">
        <v>1.549998</v>
      </c>
      <c r="U30" s="151">
        <v>1.5600020000000001</v>
      </c>
      <c r="V30" s="149"/>
      <c r="W30" s="149"/>
      <c r="X30" s="149"/>
      <c r="Y30" s="149"/>
      <c r="Z30" s="149"/>
      <c r="AA30" s="149"/>
      <c r="AB30" s="149"/>
      <c r="AC30" s="149"/>
      <c r="AD30" s="149"/>
      <c r="AE30" s="149"/>
      <c r="AF30" s="149"/>
      <c r="AG30" s="149"/>
      <c r="AH30" s="149"/>
      <c r="AI30" s="149"/>
      <c r="AJ30" s="149"/>
      <c r="AK30" s="149"/>
      <c r="AL30" s="149"/>
      <c r="AM30" s="149"/>
      <c r="AN30" s="149"/>
      <c r="AO30" s="149"/>
      <c r="AP30" s="149"/>
      <c r="AQ30" s="149"/>
      <c r="AR30" s="149"/>
      <c r="AS30" s="149"/>
      <c r="AT30" s="149"/>
      <c r="AU30" s="149"/>
      <c r="AV30" s="149"/>
      <c r="AW30" s="149"/>
      <c r="AX30" s="149"/>
      <c r="AY30" s="149"/>
      <c r="AZ30" s="149"/>
    </row>
    <row r="31" spans="1:54" x14ac:dyDescent="0.2">
      <c r="A31" s="60"/>
      <c r="B31" s="294" t="s">
        <v>278</v>
      </c>
      <c r="C31" s="149">
        <v>3615.547</v>
      </c>
      <c r="D31" s="386"/>
      <c r="E31" s="386"/>
      <c r="F31" s="386"/>
      <c r="G31" s="386"/>
      <c r="H31" s="386"/>
      <c r="I31" s="386"/>
      <c r="J31" s="386"/>
      <c r="K31" s="386"/>
      <c r="L31" s="386"/>
      <c r="M31" s="386"/>
      <c r="N31" s="386"/>
      <c r="O31" s="386"/>
      <c r="P31" s="386"/>
      <c r="Q31" s="386"/>
      <c r="R31" s="386"/>
      <c r="S31" s="386"/>
      <c r="T31" s="386"/>
      <c r="U31" s="386"/>
      <c r="V31" s="385"/>
      <c r="W31" s="385"/>
      <c r="X31" s="385"/>
      <c r="Y31" s="385"/>
      <c r="Z31" s="385"/>
      <c r="AA31" s="385"/>
      <c r="AB31" s="385"/>
      <c r="AC31" s="385"/>
      <c r="AD31" s="385"/>
      <c r="AE31" s="385"/>
      <c r="AF31" s="385"/>
      <c r="AG31" s="385"/>
      <c r="AH31" s="385"/>
      <c r="AI31" s="385"/>
      <c r="AJ31" s="385"/>
      <c r="AK31" s="385"/>
      <c r="AL31" s="385"/>
      <c r="AM31" s="385"/>
      <c r="AN31" s="385"/>
      <c r="AO31" s="385"/>
      <c r="AP31" s="385"/>
      <c r="AQ31" s="385"/>
      <c r="AR31" s="385"/>
      <c r="AS31" s="385"/>
      <c r="AT31" s="385"/>
      <c r="AU31" s="385"/>
      <c r="AV31" s="385"/>
      <c r="AW31" s="385"/>
      <c r="AX31" s="385"/>
      <c r="AY31" s="385"/>
      <c r="AZ31" s="385"/>
      <c r="BA31" s="385"/>
      <c r="BB31" s="385"/>
    </row>
    <row r="32" spans="1:54" x14ac:dyDescent="0.2">
      <c r="A32" s="60"/>
      <c r="B32" s="142" t="s">
        <v>62</v>
      </c>
      <c r="C32" s="60"/>
      <c r="D32" s="60"/>
      <c r="E32" s="60"/>
      <c r="F32" s="60"/>
      <c r="G32" s="60"/>
      <c r="H32" s="60"/>
      <c r="I32" s="60"/>
      <c r="J32" s="60"/>
      <c r="K32" s="60"/>
      <c r="L32" s="60"/>
      <c r="M32" s="60"/>
      <c r="N32" s="60"/>
      <c r="O32" s="60"/>
      <c r="P32" s="60"/>
      <c r="Q32" s="60"/>
      <c r="R32" s="60"/>
      <c r="S32" s="60"/>
      <c r="T32" s="60"/>
      <c r="U32" s="60"/>
      <c r="V32" s="60"/>
      <c r="W32" s="60"/>
      <c r="X32" s="60"/>
      <c r="Y32" s="60"/>
      <c r="Z32" s="60"/>
      <c r="AA32" s="60"/>
      <c r="AB32" s="60"/>
      <c r="AC32" s="60"/>
      <c r="AD32" s="60"/>
      <c r="AE32" s="60"/>
      <c r="AF32" s="60"/>
      <c r="AG32" s="60"/>
      <c r="AH32" s="60"/>
      <c r="AI32" s="60"/>
      <c r="AJ32" s="60"/>
      <c r="AK32" s="60"/>
      <c r="AL32" s="60"/>
      <c r="AM32" s="60"/>
      <c r="AN32" s="60"/>
      <c r="AO32" s="60"/>
      <c r="AP32" s="60"/>
      <c r="AQ32" s="60"/>
      <c r="AR32" s="60"/>
      <c r="AS32" s="60"/>
      <c r="AT32" s="60"/>
      <c r="AU32" s="60"/>
      <c r="AV32" s="60"/>
      <c r="AW32" s="60"/>
      <c r="AX32" s="60"/>
      <c r="AY32" s="60"/>
      <c r="AZ32" s="60"/>
    </row>
    <row r="33" spans="1:54" x14ac:dyDescent="0.2">
      <c r="A33" s="60"/>
      <c r="B33" s="60" t="s">
        <v>60</v>
      </c>
      <c r="C33" s="150">
        <v>0.70973679999999995</v>
      </c>
      <c r="D33" s="150">
        <v>0.45046039999999998</v>
      </c>
      <c r="E33" s="150">
        <v>0.26733099999999999</v>
      </c>
      <c r="F33" s="150">
        <v>0.34786210000000001</v>
      </c>
      <c r="G33" s="150">
        <v>0.45301710000000001</v>
      </c>
      <c r="H33" s="150">
        <v>0.55741680000000005</v>
      </c>
      <c r="I33" s="150">
        <v>0.65797119999999998</v>
      </c>
      <c r="J33" s="150">
        <v>0.63379730000000001</v>
      </c>
      <c r="K33" s="150">
        <v>0.60714389999999996</v>
      </c>
      <c r="L33" s="150">
        <v>0.58665820000000002</v>
      </c>
      <c r="M33" s="150">
        <v>0.58461419999999997</v>
      </c>
      <c r="N33" s="150">
        <v>0.67615049999999999</v>
      </c>
      <c r="O33" s="151">
        <v>0.88076699999999997</v>
      </c>
      <c r="P33" s="151">
        <v>1.085383</v>
      </c>
      <c r="Q33" s="151">
        <v>1.29</v>
      </c>
      <c r="R33" s="151">
        <v>1.38</v>
      </c>
      <c r="S33" s="151">
        <v>1.47</v>
      </c>
      <c r="T33" s="151">
        <v>1.55</v>
      </c>
      <c r="U33" s="151">
        <v>1.56</v>
      </c>
      <c r="V33" s="149"/>
      <c r="W33" s="149"/>
      <c r="X33" s="149"/>
      <c r="Y33" s="149"/>
      <c r="Z33" s="149"/>
      <c r="AA33" s="149"/>
      <c r="AB33" s="149"/>
      <c r="AC33" s="149"/>
      <c r="AD33" s="149"/>
      <c r="AE33" s="149"/>
      <c r="AF33" s="149"/>
      <c r="AG33" s="149"/>
      <c r="AH33" s="149"/>
      <c r="AI33" s="149"/>
      <c r="AJ33" s="149"/>
      <c r="AK33" s="149"/>
      <c r="AL33" s="149"/>
      <c r="AM33" s="149"/>
      <c r="AN33" s="149"/>
      <c r="AO33" s="149"/>
      <c r="AP33" s="149"/>
      <c r="AQ33" s="149"/>
      <c r="AR33" s="149"/>
      <c r="AS33" s="149"/>
      <c r="AT33" s="149"/>
      <c r="AU33" s="149"/>
      <c r="AV33" s="149"/>
      <c r="AW33" s="149"/>
      <c r="AX33" s="149"/>
      <c r="AY33" s="149"/>
      <c r="AZ33" s="149"/>
    </row>
    <row r="34" spans="1:54" x14ac:dyDescent="0.2">
      <c r="A34" s="60"/>
      <c r="B34" s="294" t="s">
        <v>278</v>
      </c>
      <c r="C34" s="149">
        <v>3640.4940000000001</v>
      </c>
      <c r="D34" s="386"/>
      <c r="E34" s="386"/>
      <c r="F34" s="386"/>
      <c r="G34" s="386"/>
      <c r="H34" s="386"/>
      <c r="I34" s="386"/>
      <c r="J34" s="386"/>
      <c r="K34" s="386"/>
      <c r="L34" s="386"/>
      <c r="M34" s="386"/>
      <c r="N34" s="386"/>
      <c r="O34" s="386"/>
      <c r="P34" s="386"/>
      <c r="Q34" s="386"/>
      <c r="R34" s="386"/>
      <c r="S34" s="386"/>
      <c r="T34" s="386"/>
      <c r="U34" s="386"/>
      <c r="V34" s="387"/>
      <c r="W34" s="387"/>
      <c r="X34" s="387"/>
      <c r="Y34" s="387"/>
      <c r="Z34" s="387"/>
      <c r="AA34" s="387"/>
      <c r="AB34" s="387"/>
      <c r="AC34" s="387"/>
      <c r="AD34" s="387"/>
      <c r="AE34" s="387"/>
      <c r="AF34" s="387"/>
      <c r="AG34" s="387"/>
      <c r="AH34" s="387"/>
      <c r="AI34" s="387"/>
      <c r="AJ34" s="387"/>
      <c r="AK34" s="387"/>
      <c r="AL34" s="387"/>
      <c r="AM34" s="387"/>
      <c r="AN34" s="387"/>
      <c r="AO34" s="387"/>
      <c r="AP34" s="387"/>
      <c r="AQ34" s="387"/>
      <c r="AR34" s="387"/>
      <c r="AS34" s="387"/>
      <c r="AT34" s="387"/>
      <c r="AU34" s="387"/>
      <c r="AV34" s="387"/>
      <c r="AW34" s="387"/>
      <c r="AX34" s="387"/>
      <c r="AY34" s="387"/>
      <c r="AZ34" s="387"/>
      <c r="BA34" s="385"/>
      <c r="BB34" s="385"/>
    </row>
    <row r="35" spans="1:54" x14ac:dyDescent="0.2">
      <c r="A35" s="60"/>
      <c r="B35" s="294"/>
      <c r="C35" s="386"/>
      <c r="D35" s="386"/>
      <c r="E35" s="386"/>
      <c r="F35" s="386"/>
      <c r="G35" s="386"/>
      <c r="H35" s="386"/>
      <c r="I35" s="386"/>
      <c r="J35" s="386"/>
      <c r="K35" s="386"/>
      <c r="L35" s="386"/>
      <c r="M35" s="386"/>
      <c r="N35" s="386"/>
      <c r="O35" s="386"/>
      <c r="P35" s="386"/>
      <c r="Q35" s="386"/>
      <c r="R35" s="386"/>
      <c r="S35" s="386"/>
      <c r="T35" s="386"/>
      <c r="U35" s="386"/>
      <c r="V35" s="387"/>
      <c r="W35" s="387"/>
      <c r="X35" s="387"/>
      <c r="Y35" s="387"/>
      <c r="Z35" s="387"/>
      <c r="AA35" s="387"/>
      <c r="AB35" s="387"/>
      <c r="AC35" s="387"/>
      <c r="AD35" s="387"/>
      <c r="AE35" s="387"/>
      <c r="AF35" s="387"/>
      <c r="AG35" s="387"/>
      <c r="AH35" s="387"/>
      <c r="AI35" s="387"/>
      <c r="AJ35" s="387"/>
      <c r="AK35" s="387"/>
      <c r="AL35" s="387"/>
      <c r="AM35" s="387"/>
      <c r="AN35" s="387"/>
      <c r="AO35" s="387"/>
      <c r="AP35" s="387"/>
      <c r="AQ35" s="387"/>
      <c r="AR35" s="387"/>
      <c r="AS35" s="387"/>
      <c r="AT35" s="387"/>
      <c r="AU35" s="387"/>
      <c r="AV35" s="387"/>
      <c r="AW35" s="387"/>
      <c r="AX35" s="387"/>
      <c r="AY35" s="387"/>
      <c r="AZ35" s="387"/>
      <c r="BA35" s="385"/>
      <c r="BB35" s="385"/>
    </row>
    <row r="36" spans="1:54" s="139" customFormat="1" x14ac:dyDescent="0.2">
      <c r="A36" s="148"/>
      <c r="B36" s="140" t="s">
        <v>287</v>
      </c>
      <c r="C36" s="148"/>
      <c r="D36" s="148"/>
      <c r="E36" s="148"/>
      <c r="F36" s="148"/>
      <c r="G36" s="148"/>
      <c r="H36" s="148"/>
      <c r="I36" s="148"/>
      <c r="J36" s="148"/>
      <c r="K36" s="148"/>
      <c r="L36" s="148"/>
      <c r="M36" s="148"/>
      <c r="N36" s="148"/>
      <c r="O36" s="148"/>
      <c r="P36" s="148"/>
      <c r="Q36" s="148"/>
      <c r="R36" s="148"/>
      <c r="S36" s="148"/>
      <c r="T36" s="148"/>
      <c r="U36" s="148"/>
      <c r="V36" s="148"/>
      <c r="W36" s="148"/>
      <c r="X36" s="148"/>
      <c r="Y36" s="148"/>
      <c r="Z36" s="148"/>
      <c r="AA36" s="148"/>
      <c r="AB36" s="148"/>
      <c r="AC36" s="148"/>
      <c r="AD36" s="148"/>
      <c r="AE36" s="148"/>
      <c r="AF36" s="148"/>
      <c r="AG36" s="148"/>
      <c r="AH36" s="148"/>
      <c r="AI36" s="148"/>
      <c r="AJ36" s="148"/>
      <c r="AK36" s="148"/>
      <c r="AL36" s="148"/>
      <c r="AM36" s="148"/>
      <c r="AN36" s="148"/>
      <c r="AO36" s="148"/>
      <c r="AP36" s="148"/>
      <c r="AQ36" s="148"/>
      <c r="AR36" s="148"/>
      <c r="AS36" s="148"/>
      <c r="AT36" s="148"/>
      <c r="AU36" s="148"/>
      <c r="AV36" s="148"/>
      <c r="AW36" s="148"/>
      <c r="AX36" s="148"/>
      <c r="AY36" s="148"/>
      <c r="AZ36" s="148"/>
    </row>
    <row r="37" spans="1:54" x14ac:dyDescent="0.2">
      <c r="A37" s="60"/>
      <c r="B37" s="60" t="s">
        <v>63</v>
      </c>
      <c r="C37" s="144">
        <v>1.422372</v>
      </c>
      <c r="D37" s="144">
        <v>1.7254640000000001</v>
      </c>
      <c r="E37" s="144">
        <v>1.8</v>
      </c>
      <c r="F37" s="144">
        <v>1.800295</v>
      </c>
      <c r="G37" s="59"/>
      <c r="H37" s="59"/>
      <c r="I37" s="59"/>
      <c r="J37" s="59"/>
      <c r="K37" s="59"/>
      <c r="L37" s="59"/>
      <c r="M37" s="59"/>
      <c r="N37" s="59"/>
      <c r="O37" s="59"/>
      <c r="P37" s="59"/>
      <c r="Q37" s="59"/>
      <c r="R37" s="59"/>
      <c r="S37" s="59"/>
      <c r="T37" s="59"/>
      <c r="U37" s="59"/>
      <c r="V37" s="59"/>
      <c r="W37" s="59"/>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59"/>
      <c r="AZ37" s="59"/>
    </row>
    <row r="38" spans="1:54" x14ac:dyDescent="0.2">
      <c r="A38" s="60"/>
      <c r="B38" s="146" t="s">
        <v>64</v>
      </c>
      <c r="C38" s="144">
        <v>3.43</v>
      </c>
      <c r="D38" s="282">
        <v>3.5708329999999999</v>
      </c>
      <c r="E38" s="381">
        <v>1.999333</v>
      </c>
      <c r="F38" s="283">
        <v>1.7208330000000001</v>
      </c>
    </row>
    <row r="39" spans="1:54" x14ac:dyDescent="0.2">
      <c r="A39" s="60"/>
      <c r="B39" s="146" t="s">
        <v>65</v>
      </c>
      <c r="C39" s="144">
        <v>2.4300000000000002</v>
      </c>
      <c r="D39" s="284">
        <v>2.3224999999999998</v>
      </c>
      <c r="E39" s="382">
        <v>2.544438</v>
      </c>
      <c r="F39" s="285">
        <v>2.698655</v>
      </c>
    </row>
    <row r="40" spans="1:54" x14ac:dyDescent="0.2">
      <c r="A40" s="60"/>
      <c r="B40" s="147"/>
      <c r="C40" s="152"/>
      <c r="D40" s="281" t="s">
        <v>71</v>
      </c>
      <c r="E40" s="152"/>
      <c r="F40" s="152"/>
      <c r="G40" s="152"/>
      <c r="H40" s="152"/>
      <c r="I40" s="152"/>
      <c r="J40" s="152"/>
      <c r="K40" s="152"/>
      <c r="L40" s="152"/>
      <c r="M40" s="152"/>
      <c r="N40" s="152"/>
      <c r="O40" s="152"/>
      <c r="P40" s="152"/>
      <c r="Q40" s="152"/>
      <c r="R40" s="152"/>
      <c r="S40" s="152"/>
      <c r="T40" s="152"/>
      <c r="U40" s="152"/>
      <c r="V40" s="59"/>
      <c r="W40" s="59"/>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59"/>
      <c r="AZ40" s="59"/>
    </row>
    <row r="41" spans="1:54" s="139" customFormat="1" x14ac:dyDescent="0.2">
      <c r="A41" s="148"/>
      <c r="B41" s="153" t="s">
        <v>288</v>
      </c>
      <c r="C41" s="154"/>
      <c r="D41" s="154"/>
      <c r="E41" s="155"/>
      <c r="F41" s="155"/>
      <c r="G41" s="155"/>
      <c r="H41" s="155"/>
      <c r="I41" s="155"/>
      <c r="J41" s="155"/>
      <c r="K41" s="155"/>
      <c r="L41" s="155"/>
      <c r="M41" s="155"/>
      <c r="N41" s="155"/>
      <c r="O41" s="155"/>
      <c r="P41" s="155"/>
      <c r="Q41" s="155"/>
      <c r="R41" s="155"/>
      <c r="S41" s="155"/>
      <c r="T41" s="155"/>
      <c r="U41" s="155"/>
      <c r="V41" s="154"/>
      <c r="W41" s="154"/>
      <c r="X41" s="154"/>
      <c r="Y41" s="154"/>
      <c r="Z41" s="154"/>
      <c r="AA41" s="154"/>
      <c r="AB41" s="154"/>
      <c r="AC41" s="154"/>
      <c r="AD41" s="154"/>
      <c r="AE41" s="154"/>
      <c r="AF41" s="154"/>
      <c r="AG41" s="154"/>
      <c r="AH41" s="154"/>
      <c r="AI41" s="154"/>
      <c r="AJ41" s="154"/>
      <c r="AK41" s="154"/>
      <c r="AL41" s="154"/>
      <c r="AM41" s="154"/>
      <c r="AN41" s="154"/>
      <c r="AO41" s="154"/>
      <c r="AP41" s="154"/>
      <c r="AQ41" s="154"/>
      <c r="AR41" s="154"/>
      <c r="AS41" s="154"/>
      <c r="AT41" s="154"/>
      <c r="AU41" s="154"/>
      <c r="AV41" s="154"/>
      <c r="AW41" s="154"/>
      <c r="AX41" s="154"/>
      <c r="AY41" s="154"/>
      <c r="AZ41" s="154"/>
    </row>
    <row r="42" spans="1:54" x14ac:dyDescent="0.2">
      <c r="A42" s="60"/>
      <c r="B42" s="60" t="s">
        <v>66</v>
      </c>
      <c r="C42" s="144">
        <v>6.1429179999999999</v>
      </c>
      <c r="D42" s="144">
        <v>3.1060140000000001</v>
      </c>
      <c r="E42" s="144">
        <v>2.439314</v>
      </c>
      <c r="F42" s="144">
        <v>2.1658539999999999</v>
      </c>
      <c r="G42" s="59"/>
      <c r="H42" s="59"/>
      <c r="I42" s="59"/>
      <c r="J42" s="59"/>
      <c r="K42" s="59"/>
      <c r="L42" s="59"/>
      <c r="M42" s="59"/>
      <c r="N42" s="59"/>
      <c r="O42" s="59"/>
      <c r="P42" s="59"/>
      <c r="Q42" s="59"/>
      <c r="R42" s="59"/>
      <c r="S42" s="59"/>
      <c r="T42" s="59"/>
      <c r="U42" s="59"/>
      <c r="V42" s="59"/>
      <c r="W42" s="59"/>
      <c r="X42" s="59"/>
      <c r="Y42" s="59"/>
      <c r="Z42" s="59"/>
      <c r="AA42" s="59"/>
      <c r="AB42" s="59"/>
      <c r="AC42" s="59"/>
      <c r="AD42" s="59"/>
      <c r="AE42" s="59"/>
      <c r="AF42" s="59"/>
      <c r="AG42" s="59"/>
      <c r="AH42" s="59"/>
      <c r="AI42" s="59"/>
      <c r="AJ42" s="59"/>
      <c r="AK42" s="59"/>
      <c r="AL42" s="59"/>
      <c r="AM42" s="59"/>
      <c r="AN42" s="59"/>
      <c r="AO42" s="59"/>
      <c r="AP42" s="59"/>
      <c r="AQ42" s="59"/>
      <c r="AR42" s="59"/>
      <c r="AS42" s="59"/>
      <c r="AT42" s="59"/>
      <c r="AU42" s="59"/>
      <c r="AV42" s="59"/>
      <c r="AW42" s="59"/>
      <c r="AX42" s="59"/>
      <c r="AY42" s="59"/>
      <c r="AZ42" s="59"/>
    </row>
    <row r="43" spans="1:54" x14ac:dyDescent="0.2">
      <c r="A43" s="60"/>
    </row>
    <row r="44" spans="1:54" s="139" customFormat="1" x14ac:dyDescent="0.2">
      <c r="A44" s="148"/>
      <c r="B44" s="153" t="s">
        <v>289</v>
      </c>
      <c r="C44" s="154"/>
      <c r="D44" s="154"/>
      <c r="E44" s="155"/>
      <c r="F44" s="155"/>
      <c r="G44" s="155"/>
      <c r="H44" s="155"/>
      <c r="I44" s="155"/>
      <c r="J44" s="155"/>
      <c r="K44" s="155"/>
      <c r="L44" s="155"/>
      <c r="M44" s="155"/>
      <c r="N44" s="155"/>
      <c r="O44" s="155"/>
      <c r="P44" s="155"/>
      <c r="Q44" s="155"/>
      <c r="R44" s="155"/>
      <c r="S44" s="155"/>
      <c r="T44" s="155"/>
      <c r="U44" s="155"/>
      <c r="V44" s="154"/>
      <c r="W44" s="154"/>
      <c r="X44" s="154"/>
      <c r="Y44" s="154"/>
      <c r="Z44" s="154"/>
      <c r="AA44" s="154"/>
      <c r="AB44" s="154"/>
      <c r="AC44" s="154"/>
      <c r="AD44" s="154"/>
      <c r="AE44" s="154"/>
      <c r="AF44" s="154"/>
      <c r="AG44" s="154"/>
      <c r="AH44" s="154"/>
      <c r="AI44" s="154"/>
      <c r="AJ44" s="154"/>
      <c r="AK44" s="154"/>
      <c r="AL44" s="154"/>
      <c r="AM44" s="154"/>
      <c r="AN44" s="154"/>
      <c r="AO44" s="154"/>
      <c r="AP44" s="154"/>
      <c r="AQ44" s="154"/>
      <c r="AR44" s="154"/>
      <c r="AS44" s="154"/>
      <c r="AT44" s="154"/>
      <c r="AU44" s="154"/>
      <c r="AV44" s="154"/>
      <c r="AW44" s="154"/>
      <c r="AX44" s="154"/>
      <c r="AY44" s="154"/>
      <c r="AZ44" s="154"/>
    </row>
    <row r="45" spans="1:54" x14ac:dyDescent="0.2">
      <c r="A45" s="60"/>
      <c r="B45" s="60" t="s">
        <v>30</v>
      </c>
      <c r="C45" s="144">
        <v>6.0601921940686694</v>
      </c>
      <c r="D45" s="144">
        <v>3.9721583062439247</v>
      </c>
      <c r="E45" s="59"/>
      <c r="F45" s="59"/>
      <c r="G45" s="59"/>
      <c r="H45" s="59"/>
      <c r="I45" s="59"/>
      <c r="J45" s="59"/>
      <c r="K45" s="59"/>
      <c r="L45" s="59"/>
      <c r="M45" s="59"/>
      <c r="N45" s="59"/>
      <c r="O45" s="59"/>
      <c r="P45" s="59"/>
      <c r="Q45" s="59"/>
      <c r="R45" s="59"/>
      <c r="S45" s="59"/>
      <c r="T45" s="59"/>
      <c r="U45" s="59"/>
      <c r="V45" s="59"/>
      <c r="W45" s="59"/>
      <c r="X45" s="59"/>
      <c r="Y45" s="59"/>
      <c r="Z45" s="59"/>
      <c r="AA45" s="59"/>
      <c r="AB45" s="59"/>
      <c r="AC45" s="59"/>
      <c r="AD45" s="59"/>
      <c r="AE45" s="59"/>
      <c r="AF45" s="59"/>
      <c r="AG45" s="59"/>
      <c r="AH45" s="59"/>
      <c r="AI45" s="59"/>
      <c r="AJ45" s="59"/>
      <c r="AK45" s="59"/>
      <c r="AL45" s="59"/>
      <c r="AM45" s="59"/>
      <c r="AN45" s="59"/>
      <c r="AO45" s="59"/>
      <c r="AP45" s="59"/>
      <c r="AQ45" s="59"/>
      <c r="AR45" s="59"/>
      <c r="AS45" s="59"/>
      <c r="AT45" s="59"/>
      <c r="AU45" s="59"/>
      <c r="AV45" s="59"/>
      <c r="AW45" s="59"/>
      <c r="AX45" s="59"/>
      <c r="AY45" s="59"/>
      <c r="AZ45" s="59"/>
    </row>
    <row r="46" spans="1:54" x14ac:dyDescent="0.2">
      <c r="A46" s="60"/>
    </row>
    <row r="47" spans="1:54" s="135" customFormat="1" x14ac:dyDescent="0.2">
      <c r="A47" s="137"/>
      <c r="B47" s="136" t="s">
        <v>67</v>
      </c>
    </row>
    <row r="48" spans="1:54" x14ac:dyDescent="0.2">
      <c r="A48" s="60"/>
      <c r="B48" s="157"/>
      <c r="C48" s="59"/>
      <c r="D48" s="59"/>
      <c r="E48" s="295" t="s">
        <v>170</v>
      </c>
    </row>
    <row r="49" spans="1:5" x14ac:dyDescent="0.2">
      <c r="A49" s="60"/>
      <c r="B49" s="60" t="s">
        <v>68</v>
      </c>
      <c r="C49" s="63">
        <v>0.75</v>
      </c>
      <c r="D49" s="59"/>
      <c r="E49" s="60" t="s">
        <v>69</v>
      </c>
    </row>
    <row r="50" spans="1:5" x14ac:dyDescent="0.2">
      <c r="A50" s="60"/>
      <c r="B50" s="60" t="s">
        <v>243</v>
      </c>
      <c r="C50" s="63">
        <v>0.504</v>
      </c>
      <c r="D50" s="59"/>
      <c r="E50" s="60" t="s">
        <v>70</v>
      </c>
    </row>
    <row r="51" spans="1:5" x14ac:dyDescent="0.2">
      <c r="A51" s="60"/>
      <c r="B51" s="60"/>
      <c r="C51" s="59"/>
      <c r="D51" s="59"/>
    </row>
    <row r="52" spans="1:5" x14ac:dyDescent="0.2">
      <c r="A52" s="60"/>
      <c r="B52" s="146" t="s">
        <v>236</v>
      </c>
      <c r="C52" s="158">
        <v>3.3043</v>
      </c>
      <c r="D52" s="59"/>
      <c r="E52" s="60" t="s">
        <v>71</v>
      </c>
    </row>
    <row r="53" spans="1:5" x14ac:dyDescent="0.2">
      <c r="A53" s="60"/>
      <c r="B53" s="146" t="s">
        <v>237</v>
      </c>
      <c r="C53" s="158">
        <v>2.9765799999999998</v>
      </c>
      <c r="D53" s="59"/>
      <c r="E53" s="60" t="s">
        <v>71</v>
      </c>
    </row>
    <row r="54" spans="1:5" x14ac:dyDescent="0.2">
      <c r="A54" s="60"/>
      <c r="B54" s="146" t="s">
        <v>238</v>
      </c>
      <c r="C54" s="144">
        <v>4</v>
      </c>
      <c r="D54" s="59"/>
      <c r="E54" s="60" t="s">
        <v>72</v>
      </c>
    </row>
    <row r="55" spans="1:5" x14ac:dyDescent="0.2">
      <c r="A55" s="60"/>
      <c r="B55" s="146" t="s">
        <v>239</v>
      </c>
      <c r="C55" s="144">
        <v>2</v>
      </c>
      <c r="D55" s="59"/>
      <c r="E55" s="60" t="s">
        <v>72</v>
      </c>
    </row>
    <row r="56" spans="1:5" x14ac:dyDescent="0.2">
      <c r="A56" s="60"/>
      <c r="B56" s="146"/>
      <c r="C56" s="59"/>
      <c r="D56" s="59"/>
    </row>
    <row r="57" spans="1:5" x14ac:dyDescent="0.2">
      <c r="A57" s="60"/>
      <c r="B57" s="60" t="s">
        <v>73</v>
      </c>
      <c r="C57" s="58">
        <v>0.1010264</v>
      </c>
      <c r="D57" s="194"/>
      <c r="E57" s="294" t="s">
        <v>171</v>
      </c>
    </row>
    <row r="58" spans="1:5" x14ac:dyDescent="0.2">
      <c r="A58" s="60"/>
      <c r="B58" s="60" t="s">
        <v>74</v>
      </c>
      <c r="C58" s="36">
        <f>1-C57</f>
        <v>0.89897360000000004</v>
      </c>
      <c r="E58" s="294" t="s">
        <v>171</v>
      </c>
    </row>
    <row r="59" spans="1:5" x14ac:dyDescent="0.2">
      <c r="A59" s="60"/>
      <c r="B59" s="60" t="s">
        <v>240</v>
      </c>
      <c r="C59" s="58">
        <v>0.12441530000000001</v>
      </c>
      <c r="E59" s="294" t="s">
        <v>172</v>
      </c>
    </row>
    <row r="60" spans="1:5" x14ac:dyDescent="0.2">
      <c r="A60" s="60"/>
      <c r="B60" s="60"/>
      <c r="C60" s="149"/>
    </row>
    <row r="61" spans="1:5" x14ac:dyDescent="0.2">
      <c r="A61" s="60"/>
      <c r="B61" s="60" t="s">
        <v>241</v>
      </c>
      <c r="C61" s="159">
        <v>2.2599999999999998</v>
      </c>
      <c r="E61" s="60" t="s">
        <v>75</v>
      </c>
    </row>
    <row r="62" spans="1:5" x14ac:dyDescent="0.2">
      <c r="A62" s="60"/>
      <c r="B62" s="60" t="s">
        <v>242</v>
      </c>
      <c r="C62" s="149">
        <v>2</v>
      </c>
      <c r="E62" s="60" t="s">
        <v>76</v>
      </c>
    </row>
    <row r="63" spans="1:5" x14ac:dyDescent="0.2">
      <c r="A63" s="60"/>
      <c r="B63" s="60"/>
      <c r="C63" s="149"/>
      <c r="E63" s="60"/>
    </row>
    <row r="64" spans="1:5" x14ac:dyDescent="0.2">
      <c r="A64" s="60"/>
      <c r="B64" s="60" t="s">
        <v>235</v>
      </c>
      <c r="C64" s="144">
        <v>48.457259259603362</v>
      </c>
      <c r="E64" s="60" t="s">
        <v>279</v>
      </c>
    </row>
    <row r="65" spans="1:7" x14ac:dyDescent="0.2">
      <c r="A65" s="60"/>
      <c r="B65" s="60"/>
      <c r="C65" s="149"/>
      <c r="E65" s="60"/>
    </row>
    <row r="66" spans="1:7" x14ac:dyDescent="0.2">
      <c r="A66" s="60"/>
      <c r="B66" s="60" t="s">
        <v>280</v>
      </c>
      <c r="C66" s="380">
        <v>0.76892782209720556</v>
      </c>
      <c r="D66" s="1"/>
      <c r="E66" s="60" t="s">
        <v>77</v>
      </c>
    </row>
    <row r="67" spans="1:7" x14ac:dyDescent="0.2">
      <c r="A67" s="60"/>
      <c r="B67" s="293" t="s">
        <v>281</v>
      </c>
      <c r="C67" s="380">
        <v>0.10285853904720915</v>
      </c>
      <c r="D67" s="1"/>
      <c r="E67" s="60" t="s">
        <v>77</v>
      </c>
    </row>
    <row r="68" spans="1:7" x14ac:dyDescent="0.2">
      <c r="A68" s="60"/>
      <c r="B68" s="293" t="s">
        <v>282</v>
      </c>
      <c r="C68" s="380">
        <v>0.10708795421008946</v>
      </c>
      <c r="D68" s="1"/>
      <c r="E68" s="60" t="s">
        <v>77</v>
      </c>
    </row>
    <row r="69" spans="1:7" x14ac:dyDescent="0.2">
      <c r="A69" s="60"/>
      <c r="B69" s="146" t="s">
        <v>283</v>
      </c>
      <c r="C69" s="380">
        <v>1.8991371161117772E-2</v>
      </c>
      <c r="D69" s="1"/>
      <c r="E69" s="60" t="s">
        <v>77</v>
      </c>
    </row>
    <row r="70" spans="1:7" x14ac:dyDescent="0.2">
      <c r="A70" s="60"/>
      <c r="B70" s="146" t="s">
        <v>284</v>
      </c>
      <c r="C70" s="380">
        <v>2.134244635555965E-3</v>
      </c>
      <c r="D70" s="1"/>
      <c r="E70" s="60" t="s">
        <v>77</v>
      </c>
    </row>
    <row r="71" spans="1:7" x14ac:dyDescent="0.2">
      <c r="A71" s="60"/>
      <c r="B71" s="146"/>
      <c r="C71" s="59"/>
      <c r="E71" s="60"/>
    </row>
    <row r="72" spans="1:7" s="135" customFormat="1" x14ac:dyDescent="0.2">
      <c r="B72" s="136" t="s">
        <v>78</v>
      </c>
      <c r="C72" s="156"/>
      <c r="D72" s="156"/>
    </row>
    <row r="73" spans="1:7" x14ac:dyDescent="0.2">
      <c r="B73" s="160"/>
      <c r="C73" s="161" t="s">
        <v>79</v>
      </c>
      <c r="D73" s="161" t="s">
        <v>80</v>
      </c>
      <c r="E73" s="162" t="s">
        <v>81</v>
      </c>
      <c r="F73" s="162" t="s">
        <v>82</v>
      </c>
      <c r="G73" s="162" t="s">
        <v>83</v>
      </c>
    </row>
    <row r="74" spans="1:7" x14ac:dyDescent="0.2">
      <c r="A74" s="60"/>
      <c r="B74" s="294" t="s">
        <v>173</v>
      </c>
      <c r="C74" s="34">
        <v>0</v>
      </c>
      <c r="D74" s="34">
        <v>-3.5183830261230469</v>
      </c>
      <c r="E74" s="34">
        <v>-4.8580818176269531</v>
      </c>
      <c r="F74" s="34">
        <v>-5.8735733032226563</v>
      </c>
      <c r="G74" s="34">
        <v>-6.8722953796386719</v>
      </c>
    </row>
    <row r="75" spans="1:7" x14ac:dyDescent="0.2">
      <c r="A75" s="60"/>
      <c r="B75" s="294" t="s">
        <v>174</v>
      </c>
      <c r="C75" s="34">
        <v>0</v>
      </c>
      <c r="D75" s="34">
        <v>-1.4924430847167969</v>
      </c>
      <c r="E75" s="34">
        <v>-2.07562255859375</v>
      </c>
      <c r="F75" s="34">
        <v>-2.4244575500488281</v>
      </c>
      <c r="G75" s="34">
        <v>-2.7306861877441406</v>
      </c>
    </row>
    <row r="76" spans="1:7" x14ac:dyDescent="0.2">
      <c r="A76" s="60"/>
      <c r="B76" s="294" t="s">
        <v>175</v>
      </c>
      <c r="C76" s="34">
        <v>0</v>
      </c>
      <c r="D76" s="34">
        <v>1.4053764343261719</v>
      </c>
      <c r="E76" s="34">
        <v>1.9895439147949219</v>
      </c>
      <c r="F76" s="34">
        <v>2.435211181640625</v>
      </c>
      <c r="G76" s="34">
        <v>2.8511276245117188</v>
      </c>
    </row>
    <row r="77" spans="1:7" x14ac:dyDescent="0.2">
      <c r="A77" s="60"/>
      <c r="B77" s="294" t="s">
        <v>176</v>
      </c>
      <c r="C77" s="34">
        <v>0</v>
      </c>
      <c r="D77" s="34">
        <v>3.4817314147949219</v>
      </c>
      <c r="E77" s="34">
        <v>4.849639892578125</v>
      </c>
      <c r="F77" s="34">
        <v>5.9628143310546875</v>
      </c>
      <c r="G77" s="34">
        <v>7.0062294006347656</v>
      </c>
    </row>
  </sheetData>
  <phoneticPr fontId="15" type="noConversion"/>
  <pageMargins left="0.7" right="0.7" top="0.75" bottom="0.75" header="0.3" footer="0.3"/>
  <pageSetup paperSize="9" orientation="portrait" r:id="rId1"/>
  <ignoredErrors>
    <ignoredError sqref="C4:C6 F58:W58 C18:W20 C58:D58 X58:Y58"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0070C0"/>
  </sheetPr>
  <dimension ref="A1:AW123"/>
  <sheetViews>
    <sheetView zoomScaleNormal="100" workbookViewId="0"/>
  </sheetViews>
  <sheetFormatPr defaultColWidth="9.28515625" defaultRowHeight="11.25" outlineLevelRow="1" x14ac:dyDescent="0.2"/>
  <cols>
    <col min="1" max="1" width="9.28515625" style="26" customWidth="1"/>
    <col min="2" max="2" width="57.42578125" style="26" customWidth="1"/>
    <col min="3" max="38" width="9.28515625" style="26" customWidth="1"/>
    <col min="39" max="48" width="11.42578125" style="26" bestFit="1" customWidth="1"/>
    <col min="49" max="16384" width="9.28515625" style="26"/>
  </cols>
  <sheetData>
    <row r="1" spans="1:49" ht="24.75" customHeight="1" x14ac:dyDescent="0.2">
      <c r="B1" s="39"/>
    </row>
    <row r="2" spans="1:49" ht="11.25" customHeight="1" x14ac:dyDescent="0.2">
      <c r="B2" s="27"/>
    </row>
    <row r="3" spans="1:49" ht="11.25" customHeight="1" x14ac:dyDescent="0.2">
      <c r="B3" s="19" t="s">
        <v>15</v>
      </c>
      <c r="C3" s="20" t="str">
        <f>'Input data'!C3</f>
        <v>DE</v>
      </c>
    </row>
    <row r="4" spans="1:49" x14ac:dyDescent="0.2">
      <c r="B4" s="64" t="s">
        <v>38</v>
      </c>
      <c r="C4" s="21"/>
    </row>
    <row r="5" spans="1:49" x14ac:dyDescent="0.2">
      <c r="A5" s="29"/>
      <c r="B5" s="22" t="str">
        <f>'Input data'!B5</f>
        <v>Last year before the adjustment</v>
      </c>
      <c r="C5" s="23">
        <f>+'Input data'!C5</f>
        <v>2024</v>
      </c>
    </row>
    <row r="6" spans="1:49" x14ac:dyDescent="0.2">
      <c r="A6" s="29"/>
      <c r="B6" s="65" t="s">
        <v>44</v>
      </c>
      <c r="C6" s="23">
        <f>+C5+'Criteria results'!$F$5</f>
        <v>2028</v>
      </c>
      <c r="E6" s="43"/>
      <c r="F6" s="29"/>
    </row>
    <row r="7" spans="1:49" x14ac:dyDescent="0.2">
      <c r="A7" s="29"/>
      <c r="B7" s="24"/>
      <c r="C7" s="66"/>
      <c r="E7" s="43"/>
      <c r="F7" s="29"/>
    </row>
    <row r="8" spans="1:49" x14ac:dyDescent="0.2">
      <c r="A8" s="29"/>
      <c r="C8" s="29"/>
      <c r="E8" s="43"/>
      <c r="F8" s="29"/>
    </row>
    <row r="9" spans="1:49" s="70" customFormat="1" ht="12.75" x14ac:dyDescent="0.2">
      <c r="B9" s="25" t="s">
        <v>45</v>
      </c>
    </row>
    <row r="10" spans="1:49" x14ac:dyDescent="0.2">
      <c r="C10" s="31">
        <f>'Input data'!$C$5-1</f>
        <v>2023</v>
      </c>
      <c r="D10" s="31">
        <f>C10+1</f>
        <v>2024</v>
      </c>
      <c r="E10" s="31">
        <f t="shared" ref="E10:U10" si="0">D10+1</f>
        <v>2025</v>
      </c>
      <c r="F10" s="31">
        <f t="shared" si="0"/>
        <v>2026</v>
      </c>
      <c r="G10" s="31">
        <f t="shared" si="0"/>
        <v>2027</v>
      </c>
      <c r="H10" s="31">
        <f t="shared" si="0"/>
        <v>2028</v>
      </c>
      <c r="I10" s="31">
        <f t="shared" si="0"/>
        <v>2029</v>
      </c>
      <c r="J10" s="31">
        <f t="shared" si="0"/>
        <v>2030</v>
      </c>
      <c r="K10" s="31">
        <f t="shared" si="0"/>
        <v>2031</v>
      </c>
      <c r="L10" s="31">
        <f t="shared" si="0"/>
        <v>2032</v>
      </c>
      <c r="M10" s="31">
        <f t="shared" si="0"/>
        <v>2033</v>
      </c>
      <c r="N10" s="31">
        <f t="shared" si="0"/>
        <v>2034</v>
      </c>
      <c r="O10" s="31">
        <f t="shared" si="0"/>
        <v>2035</v>
      </c>
      <c r="P10" s="31">
        <f t="shared" si="0"/>
        <v>2036</v>
      </c>
      <c r="Q10" s="31">
        <f t="shared" si="0"/>
        <v>2037</v>
      </c>
      <c r="R10" s="31">
        <f t="shared" si="0"/>
        <v>2038</v>
      </c>
      <c r="S10" s="31">
        <f t="shared" si="0"/>
        <v>2039</v>
      </c>
      <c r="T10" s="31">
        <f t="shared" si="0"/>
        <v>2040</v>
      </c>
      <c r="U10" s="31">
        <f t="shared" si="0"/>
        <v>2041</v>
      </c>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row>
    <row r="11" spans="1:49" x14ac:dyDescent="0.2">
      <c r="B11" s="28" t="s">
        <v>46</v>
      </c>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row>
    <row r="12" spans="1:49" x14ac:dyDescent="0.2">
      <c r="B12" s="26" t="s">
        <v>48</v>
      </c>
      <c r="C12" s="2">
        <f>'Input data'!C13</f>
        <v>-1.2609140000000001</v>
      </c>
      <c r="D12" s="2">
        <f>'Input data'!D13</f>
        <v>-1.0152870000000001</v>
      </c>
      <c r="E12" s="1">
        <f>D12</f>
        <v>-1.0152870000000001</v>
      </c>
      <c r="F12" s="1">
        <f t="shared" ref="F12:U12" si="1">E12</f>
        <v>-1.0152870000000001</v>
      </c>
      <c r="G12" s="1">
        <f t="shared" si="1"/>
        <v>-1.0152870000000001</v>
      </c>
      <c r="H12" s="1">
        <f t="shared" si="1"/>
        <v>-1.0152870000000001</v>
      </c>
      <c r="I12" s="1">
        <f t="shared" si="1"/>
        <v>-1.0152870000000001</v>
      </c>
      <c r="J12" s="1">
        <f t="shared" si="1"/>
        <v>-1.0152870000000001</v>
      </c>
      <c r="K12" s="1">
        <f t="shared" si="1"/>
        <v>-1.0152870000000001</v>
      </c>
      <c r="L12" s="1">
        <f t="shared" si="1"/>
        <v>-1.0152870000000001</v>
      </c>
      <c r="M12" s="1">
        <f t="shared" si="1"/>
        <v>-1.0152870000000001</v>
      </c>
      <c r="N12" s="1">
        <f t="shared" si="1"/>
        <v>-1.0152870000000001</v>
      </c>
      <c r="O12" s="1">
        <f t="shared" si="1"/>
        <v>-1.0152870000000001</v>
      </c>
      <c r="P12" s="1">
        <f t="shared" si="1"/>
        <v>-1.0152870000000001</v>
      </c>
      <c r="Q12" s="1">
        <f t="shared" si="1"/>
        <v>-1.0152870000000001</v>
      </c>
      <c r="R12" s="1">
        <f t="shared" si="1"/>
        <v>-1.0152870000000001</v>
      </c>
      <c r="S12" s="1">
        <f t="shared" si="1"/>
        <v>-1.0152870000000001</v>
      </c>
      <c r="T12" s="1">
        <f t="shared" si="1"/>
        <v>-1.0152870000000001</v>
      </c>
      <c r="U12" s="1">
        <f t="shared" si="1"/>
        <v>-1.0152870000000001</v>
      </c>
      <c r="V12" s="59"/>
      <c r="W12" s="59"/>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60"/>
    </row>
    <row r="13" spans="1:49" x14ac:dyDescent="0.2">
      <c r="B13" s="26" t="s">
        <v>49</v>
      </c>
      <c r="C13" s="2">
        <f>'Input data'!C14</f>
        <v>0</v>
      </c>
      <c r="D13" s="2">
        <f>'Input data'!D14</f>
        <v>0</v>
      </c>
      <c r="E13" s="2">
        <f>'Input data'!E14</f>
        <v>0</v>
      </c>
      <c r="F13" s="2">
        <f>'Input data'!F14</f>
        <v>0</v>
      </c>
      <c r="G13" s="2">
        <f>'Input data'!G14</f>
        <v>0</v>
      </c>
      <c r="H13" s="2">
        <f>'Input data'!H14</f>
        <v>0</v>
      </c>
      <c r="I13" s="2">
        <f>'Input data'!I14</f>
        <v>0</v>
      </c>
      <c r="J13" s="2">
        <f>'Input data'!J14</f>
        <v>0</v>
      </c>
      <c r="K13" s="2">
        <f>'Input data'!K14</f>
        <v>0</v>
      </c>
      <c r="L13" s="2">
        <f>'Input data'!L14</f>
        <v>0</v>
      </c>
      <c r="M13" s="2">
        <f>'Input data'!M14</f>
        <v>0</v>
      </c>
      <c r="N13" s="2">
        <f>'Input data'!N14</f>
        <v>0</v>
      </c>
      <c r="O13" s="2">
        <f>'Input data'!O14</f>
        <v>0</v>
      </c>
      <c r="P13" s="2">
        <f>'Input data'!P14</f>
        <v>0</v>
      </c>
      <c r="Q13" s="2">
        <f>'Input data'!Q14</f>
        <v>0</v>
      </c>
      <c r="R13" s="2">
        <f>'Input data'!R14</f>
        <v>0</v>
      </c>
      <c r="S13" s="2">
        <f>'Input data'!S14</f>
        <v>0</v>
      </c>
      <c r="T13" s="2">
        <f>'Input data'!T14</f>
        <v>0</v>
      </c>
      <c r="U13" s="2">
        <f>'Input data'!U14</f>
        <v>0</v>
      </c>
      <c r="V13" s="59"/>
      <c r="W13" s="59"/>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60"/>
    </row>
    <row r="14" spans="1:49" x14ac:dyDescent="0.2">
      <c r="B14" s="26" t="s">
        <v>84</v>
      </c>
      <c r="C14" s="2">
        <f>'Input data'!C15</f>
        <v>-1.0004850000000001</v>
      </c>
      <c r="D14" s="2">
        <f>'Input data'!D15</f>
        <v>-1.4394560000000001</v>
      </c>
      <c r="E14" s="2">
        <f>'Input data'!E15</f>
        <v>8.5767899999999994E-2</v>
      </c>
      <c r="F14" s="2">
        <f>'Input data'!F15</f>
        <v>0.1097981</v>
      </c>
      <c r="G14" s="2">
        <f>'Input data'!G15</f>
        <v>0</v>
      </c>
      <c r="H14" s="2">
        <f>'Input data'!H15</f>
        <v>0</v>
      </c>
      <c r="I14" s="2">
        <f>'Input data'!I15</f>
        <v>0</v>
      </c>
      <c r="J14" s="2">
        <f>'Input data'!J15</f>
        <v>0</v>
      </c>
      <c r="K14" s="2">
        <f>'Input data'!K15</f>
        <v>0</v>
      </c>
      <c r="L14" s="2">
        <f>'Input data'!L15</f>
        <v>0</v>
      </c>
      <c r="M14" s="2">
        <f>'Input data'!M15</f>
        <v>0</v>
      </c>
      <c r="N14" s="2">
        <f>'Input data'!N15</f>
        <v>0</v>
      </c>
      <c r="O14" s="2">
        <f>'Input data'!O15</f>
        <v>0</v>
      </c>
      <c r="P14" s="2">
        <f>'Input data'!P15</f>
        <v>0</v>
      </c>
      <c r="Q14" s="2">
        <f>'Input data'!Q15</f>
        <v>0</v>
      </c>
      <c r="R14" s="2">
        <f>'Input data'!R15</f>
        <v>0</v>
      </c>
      <c r="S14" s="2">
        <f>'Input data'!S15</f>
        <v>0</v>
      </c>
      <c r="T14" s="2">
        <f>'Input data'!T15</f>
        <v>0</v>
      </c>
      <c r="U14" s="2">
        <f>'Input data'!U15</f>
        <v>0</v>
      </c>
      <c r="V14" s="59"/>
      <c r="W14" s="59"/>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60"/>
    </row>
    <row r="15" spans="1:49" ht="5.65" customHeight="1" x14ac:dyDescent="0.2">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row>
    <row r="16" spans="1:49" ht="11.25" customHeight="1" x14ac:dyDescent="0.2">
      <c r="B16" s="30" t="str">
        <f>'Input data'!B19</f>
        <v>Cost of ageing and selected public revenue (based on the Commission-Council 2024 Ageing Report ("AR 2024"))</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row>
    <row r="17" spans="1:48" x14ac:dyDescent="0.2">
      <c r="A17" s="61"/>
      <c r="B17" s="26" t="s">
        <v>52</v>
      </c>
      <c r="C17" s="99">
        <f>'Input data'!C20</f>
        <v>23.099999999999998</v>
      </c>
      <c r="D17" s="99">
        <f>'Input data'!D20</f>
        <v>23.3</v>
      </c>
      <c r="E17" s="99">
        <f>'Input data'!E20</f>
        <v>23.4</v>
      </c>
      <c r="F17" s="99">
        <f>'Input data'!F20</f>
        <v>23.4</v>
      </c>
      <c r="G17" s="99">
        <f>'Input data'!G20</f>
        <v>23.6</v>
      </c>
      <c r="H17" s="99">
        <f>'Input data'!H20</f>
        <v>23.7</v>
      </c>
      <c r="I17" s="99">
        <f>'Input data'!I20</f>
        <v>23.799999999999997</v>
      </c>
      <c r="J17" s="99">
        <f>'Input data'!J20</f>
        <v>23.9</v>
      </c>
      <c r="K17" s="99">
        <f>'Input data'!K20</f>
        <v>24</v>
      </c>
      <c r="L17" s="99">
        <f>'Input data'!L20</f>
        <v>24.2</v>
      </c>
      <c r="M17" s="99">
        <f>'Input data'!M20</f>
        <v>24.3</v>
      </c>
      <c r="N17" s="99">
        <f>'Input data'!N20</f>
        <v>24.3</v>
      </c>
      <c r="O17" s="99">
        <f>'Input data'!O20</f>
        <v>24.4</v>
      </c>
      <c r="P17" s="99">
        <f>'Input data'!P20</f>
        <v>24.499999999999996</v>
      </c>
      <c r="Q17" s="99">
        <f>'Input data'!Q20</f>
        <v>24.499999999999996</v>
      </c>
      <c r="R17" s="99">
        <f>'Input data'!R20</f>
        <v>24.499999999999996</v>
      </c>
      <c r="S17" s="99">
        <f>'Input data'!S20</f>
        <v>24.5</v>
      </c>
      <c r="T17" s="99">
        <f>'Input data'!T20</f>
        <v>24.400000000000002</v>
      </c>
      <c r="U17" s="99">
        <f>'Input data'!U20</f>
        <v>24.400000000000002</v>
      </c>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row>
    <row r="18" spans="1:48" x14ac:dyDescent="0.2">
      <c r="A18" s="61"/>
      <c r="B18" s="26" t="str">
        <f>'Input data'!B26</f>
        <v>Property income</v>
      </c>
      <c r="C18" s="99">
        <f>'Input data'!C26</f>
        <v>0.71641730000000003</v>
      </c>
      <c r="D18" s="99">
        <f>'Input data'!D26</f>
        <v>0.71176019999999995</v>
      </c>
      <c r="E18" s="99">
        <f>'Input data'!E26</f>
        <v>0.70710320000000004</v>
      </c>
      <c r="F18" s="99">
        <f>'Input data'!F26</f>
        <v>0.70244620000000002</v>
      </c>
      <c r="G18" s="99">
        <f>'Input data'!G26</f>
        <v>0.69778910000000005</v>
      </c>
      <c r="H18" s="99">
        <f>'Input data'!H26</f>
        <v>0.69313210000000003</v>
      </c>
      <c r="I18" s="99">
        <f>'Input data'!I26</f>
        <v>0.68847510000000001</v>
      </c>
      <c r="J18" s="99">
        <f>'Input data'!J26</f>
        <v>0.68381800000000004</v>
      </c>
      <c r="K18" s="99">
        <f>'Input data'!K26</f>
        <v>0.67916100000000001</v>
      </c>
      <c r="L18" s="99">
        <f>'Input data'!L26</f>
        <v>0.67450399999999999</v>
      </c>
      <c r="M18" s="99">
        <f>'Input data'!M26</f>
        <v>0.66984699999999997</v>
      </c>
      <c r="N18" s="99">
        <f>'Input data'!N26</f>
        <v>0.6651899</v>
      </c>
      <c r="O18" s="99">
        <f>'Input data'!O26</f>
        <v>0.66053280000000003</v>
      </c>
      <c r="P18" s="99">
        <f>'Input data'!P26</f>
        <v>0.65587580000000001</v>
      </c>
      <c r="Q18" s="99">
        <f>'Input data'!Q26</f>
        <v>0.65121879999999999</v>
      </c>
      <c r="R18" s="99">
        <f>'Input data'!R26</f>
        <v>0.64656170000000002</v>
      </c>
      <c r="S18" s="99">
        <f>'Input data'!S26</f>
        <v>0.64190460000000005</v>
      </c>
      <c r="T18" s="99">
        <f>'Input data'!T26</f>
        <v>0.63724760000000003</v>
      </c>
      <c r="U18" s="99">
        <f>'Input data'!U26</f>
        <v>0.63259049999999994</v>
      </c>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row>
    <row r="20" spans="1:48" x14ac:dyDescent="0.2">
      <c r="B20" s="28" t="s">
        <v>85</v>
      </c>
    </row>
    <row r="21" spans="1:48" ht="10.5" customHeight="1" x14ac:dyDescent="0.2">
      <c r="B21" s="30" t="s">
        <v>86</v>
      </c>
    </row>
    <row r="22" spans="1:48" x14ac:dyDescent="0.2">
      <c r="B22" s="26" t="s">
        <v>61</v>
      </c>
      <c r="C22" s="98">
        <f>'Input data'!C31</f>
        <v>3615.547</v>
      </c>
      <c r="D22" s="98">
        <f t="shared" ref="D22" si="2">C22*(D23/100+1)</f>
        <v>3606.922976747233</v>
      </c>
      <c r="E22" s="98">
        <f>D22*(E23/100+1)</f>
        <v>3613.1326950201537</v>
      </c>
      <c r="F22" s="98">
        <f>E22*(F23/100+1)</f>
        <v>3635.7594037790786</v>
      </c>
      <c r="G22" s="34">
        <f t="shared" ref="G22:U22" si="3">F22*(G23/100+1)</f>
        <v>3666.8512002207967</v>
      </c>
      <c r="H22" s="34">
        <f t="shared" si="3"/>
        <v>3701.9928023815719</v>
      </c>
      <c r="I22" s="34">
        <f t="shared" si="3"/>
        <v>3741.1500389299144</v>
      </c>
      <c r="J22" s="34">
        <f t="shared" si="3"/>
        <v>3764.861466582402</v>
      </c>
      <c r="K22" s="34">
        <f t="shared" si="3"/>
        <v>3787.7196234390995</v>
      </c>
      <c r="L22" s="34">
        <f t="shared" si="3"/>
        <v>3809.9405722644156</v>
      </c>
      <c r="M22" s="34">
        <f t="shared" si="3"/>
        <v>3832.2140106216721</v>
      </c>
      <c r="N22" s="34">
        <f t="shared" si="3"/>
        <v>3858.1256329564826</v>
      </c>
      <c r="O22" s="34">
        <f t="shared" si="3"/>
        <v>3892.1068345194963</v>
      </c>
      <c r="P22" s="34">
        <f t="shared" si="3"/>
        <v>3934.3512172064143</v>
      </c>
      <c r="Q22" s="34">
        <f t="shared" si="3"/>
        <v>3985.1043872518894</v>
      </c>
      <c r="R22" s="34">
        <f t="shared" si="3"/>
        <v>4040.0987879449222</v>
      </c>
      <c r="S22" s="34">
        <f t="shared" si="3"/>
        <v>4099.4884421326524</v>
      </c>
      <c r="T22" s="34">
        <f t="shared" si="3"/>
        <v>4163.0304309959392</v>
      </c>
      <c r="U22" s="34">
        <f t="shared" si="3"/>
        <v>4227.9737889800845</v>
      </c>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row>
    <row r="23" spans="1:48" x14ac:dyDescent="0.2">
      <c r="A23" s="61"/>
      <c r="B23" s="62" t="s">
        <v>60</v>
      </c>
      <c r="C23" s="98">
        <f>+'Input data'!C30</f>
        <v>-0.26643830000000002</v>
      </c>
      <c r="D23" s="98">
        <f>+'Input data'!D30</f>
        <v>-0.23852609999999999</v>
      </c>
      <c r="E23" s="98">
        <f>+'Input data'!E30</f>
        <v>0.17216110000000001</v>
      </c>
      <c r="F23" s="98">
        <f>+'Input data'!F30</f>
        <v>0.62623519999999999</v>
      </c>
      <c r="G23" s="34">
        <f>+'Input data'!G30</f>
        <v>0.85516650000000005</v>
      </c>
      <c r="H23" s="34">
        <f>+'Input data'!H30</f>
        <v>0.95835910000000002</v>
      </c>
      <c r="I23" s="34">
        <f>+'Input data'!I30</f>
        <v>1.057734</v>
      </c>
      <c r="J23" s="34">
        <f>+'Input data'!J30</f>
        <v>0.63380049999999999</v>
      </c>
      <c r="K23" s="34">
        <f>+'Input data'!K30</f>
        <v>0.60714469999999998</v>
      </c>
      <c r="L23" s="34">
        <f>+'Input data'!L30</f>
        <v>0.58665769999999995</v>
      </c>
      <c r="M23" s="34">
        <f>+'Input data'!M30</f>
        <v>0.58461379999999996</v>
      </c>
      <c r="N23" s="34">
        <f>+'Input data'!N30</f>
        <v>0.6761528</v>
      </c>
      <c r="O23" s="34">
        <f>+'Input data'!O30</f>
        <v>0.88076969999999999</v>
      </c>
      <c r="P23" s="34">
        <f>+'Input data'!P30</f>
        <v>1.085386</v>
      </c>
      <c r="Q23" s="34">
        <f>+'Input data'!Q30</f>
        <v>1.290001</v>
      </c>
      <c r="R23" s="34">
        <f>+'Input data'!R30</f>
        <v>1.379999</v>
      </c>
      <c r="S23" s="34">
        <f>+'Input data'!S30</f>
        <v>1.470005</v>
      </c>
      <c r="T23" s="34">
        <f>+'Input data'!T30</f>
        <v>1.549998</v>
      </c>
      <c r="U23" s="34">
        <f>+'Input data'!U30</f>
        <v>1.5600020000000001</v>
      </c>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row>
    <row r="24" spans="1:48" ht="5.25" customHeight="1" x14ac:dyDescent="0.2">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row>
    <row r="25" spans="1:48" ht="15" x14ac:dyDescent="0.2">
      <c r="A25" s="220"/>
      <c r="B25" s="30" t="s">
        <v>87</v>
      </c>
      <c r="C25" s="219"/>
      <c r="D25" s="219"/>
      <c r="F25" s="255"/>
      <c r="G25" s="255"/>
      <c r="H25" s="255"/>
      <c r="I25" s="255"/>
      <c r="J25" s="255"/>
      <c r="K25" s="255"/>
      <c r="L25" s="255"/>
      <c r="M25" s="255"/>
      <c r="N25" s="255"/>
      <c r="O25" s="255"/>
      <c r="P25" s="255"/>
      <c r="Q25" s="255"/>
      <c r="R25" s="255"/>
    </row>
    <row r="26" spans="1:48" x14ac:dyDescent="0.2">
      <c r="B26" s="26" t="s">
        <v>61</v>
      </c>
      <c r="C26" s="98">
        <f>'Input data'!C34</f>
        <v>3640.4940000000001</v>
      </c>
      <c r="D26" s="98">
        <f>+C26*(1+'Input data'!D33/100)</f>
        <v>3656.8929838343765</v>
      </c>
      <c r="E26" s="98">
        <f>+D26*(1+'Input data'!E33/100)</f>
        <v>3666.6689924169909</v>
      </c>
      <c r="F26" s="98">
        <f>+E26*(1+'Input data'!F33/100)</f>
        <v>3679.4239441740615</v>
      </c>
      <c r="G26" s="34">
        <f>+F26*(1+'Input data'!G33/100)</f>
        <v>3696.0923638226645</v>
      </c>
      <c r="H26" s="34">
        <f>+G26*(1+'Input data'!H33/100)</f>
        <v>3716.6950036021294</v>
      </c>
      <c r="I26" s="34">
        <f>+H26*(1+'Input data'!I33/100)</f>
        <v>3741.1497863176701</v>
      </c>
      <c r="J26" s="34">
        <f>+I26*(1+'Input data'!J33/100)</f>
        <v>3764.861092652307</v>
      </c>
      <c r="K26" s="34">
        <f>+J26*(1+'Input data'!K33/100)</f>
        <v>3787.7192171198189</v>
      </c>
      <c r="L26" s="34">
        <f>+K26*(1+'Input data'!L33/100)</f>
        <v>3809.9401825000277</v>
      </c>
      <c r="M26" s="34">
        <f>+L26*(1+'Input data'!M33/100)</f>
        <v>3832.2136338184287</v>
      </c>
      <c r="N26" s="34">
        <f>+M26*(1+'Input data'!N33/100)</f>
        <v>3858.1251654645603</v>
      </c>
      <c r="O26" s="34">
        <f>+N26*(1+'Input data'!O33/100)</f>
        <v>3892.1062587406673</v>
      </c>
      <c r="P26" s="34">
        <f>+O26*(1+'Input data'!P33/100)</f>
        <v>3934.3505184149749</v>
      </c>
      <c r="Q26" s="34">
        <f>+P26*(1+'Input data'!Q33/100)</f>
        <v>3985.1036401025276</v>
      </c>
      <c r="R26" s="34">
        <f>+Q26*(1+'Input data'!R33/100)</f>
        <v>4040.0980703359428</v>
      </c>
      <c r="S26" s="34">
        <f>+R26*(1+'Input data'!S33/100)</f>
        <v>4099.4875119698809</v>
      </c>
      <c r="T26" s="34">
        <f>+S26*(1+'Input data'!T33/100)</f>
        <v>4163.0295684054145</v>
      </c>
      <c r="U26" s="34">
        <f>+T26*(1+'Input data'!U33/100)</f>
        <v>4227.9728296725389</v>
      </c>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row>
    <row r="27" spans="1:48" ht="5.25" customHeight="1" x14ac:dyDescent="0.2">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row>
    <row r="28" spans="1:48" x14ac:dyDescent="0.2">
      <c r="B28" s="30" t="s">
        <v>88</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row>
    <row r="29" spans="1:48" x14ac:dyDescent="0.2">
      <c r="B29" s="26" t="s">
        <v>88</v>
      </c>
      <c r="C29" s="98">
        <f t="shared" ref="C29:R29" si="4">100*(C22/C26-1)</f>
        <v>-0.68526414272349623</v>
      </c>
      <c r="D29" s="98">
        <f t="shared" si="4"/>
        <v>-1.3664607443543031</v>
      </c>
      <c r="E29" s="98">
        <f t="shared" si="4"/>
        <v>-1.4600799119733776</v>
      </c>
      <c r="F29" s="98">
        <f t="shared" si="4"/>
        <v>-1.1867221896003755</v>
      </c>
      <c r="G29" s="34">
        <f t="shared" si="4"/>
        <v>-0.79113725317256911</v>
      </c>
      <c r="H29" s="34">
        <f t="shared" si="4"/>
        <v>-0.39557190477853554</v>
      </c>
      <c r="I29" s="34">
        <f t="shared" si="4"/>
        <v>6.7522622382298891E-6</v>
      </c>
      <c r="J29" s="34">
        <f t="shared" si="4"/>
        <v>9.9321086688419769E-6</v>
      </c>
      <c r="K29" s="34">
        <f t="shared" si="4"/>
        <v>1.0727280908007231E-5</v>
      </c>
      <c r="L29" s="34">
        <f t="shared" si="4"/>
        <v>1.0230197045046907E-5</v>
      </c>
      <c r="M29" s="34">
        <f t="shared" si="4"/>
        <v>9.8325218633732447E-6</v>
      </c>
      <c r="N29" s="34">
        <f t="shared" si="4"/>
        <v>1.2117075054440818E-5</v>
      </c>
      <c r="O29" s="34">
        <f t="shared" si="4"/>
        <v>1.4793502312038243E-5</v>
      </c>
      <c r="P29" s="34">
        <f t="shared" si="4"/>
        <v>1.7761290860285328E-5</v>
      </c>
      <c r="Q29" s="34">
        <f t="shared" si="4"/>
        <v>1.8748555352665619E-5</v>
      </c>
      <c r="R29" s="34">
        <f t="shared" si="4"/>
        <v>1.7762167314749888E-5</v>
      </c>
      <c r="S29" s="34">
        <f t="shared" ref="S29:U29" si="5">100*(S22/S26-1)</f>
        <v>2.2689733025771375E-5</v>
      </c>
      <c r="T29" s="34">
        <f t="shared" si="5"/>
        <v>2.0720259374940042E-5</v>
      </c>
      <c r="U29" s="34">
        <f t="shared" si="5"/>
        <v>2.2689539025400052E-5</v>
      </c>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row>
    <row r="30" spans="1:48" ht="5.25" customHeight="1" x14ac:dyDescent="0.2">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row>
    <row r="31" spans="1:48" x14ac:dyDescent="0.2">
      <c r="B31" s="30" t="s">
        <v>89</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row>
    <row r="32" spans="1:48" x14ac:dyDescent="0.2">
      <c r="B32" s="26" t="s">
        <v>60</v>
      </c>
      <c r="C32" s="2">
        <f t="shared" ref="C32:U32" si="6">100*((1+C23/100)*(1+C41/100)-1)</f>
        <v>5.8601126137103998</v>
      </c>
      <c r="D32" s="2">
        <f t="shared" si="6"/>
        <v>2.860079245940339</v>
      </c>
      <c r="E32" s="2">
        <f>100*((1+E23/100)*(1+E41/100)-1)</f>
        <v>2.6156746498148475</v>
      </c>
      <c r="F32" s="2">
        <f>100*((1+F23/100)*(1+F41/100)-1)</f>
        <v>2.8056525401286114</v>
      </c>
      <c r="G32" s="1">
        <f t="shared" si="6"/>
        <v>3.0514110459785471</v>
      </c>
      <c r="H32" s="1">
        <f t="shared" si="6"/>
        <v>3.1687318230912753</v>
      </c>
      <c r="I32" s="1">
        <f t="shared" si="6"/>
        <v>3.2821751544927169</v>
      </c>
      <c r="J32" s="1">
        <f t="shared" si="6"/>
        <v>2.860753042390618</v>
      </c>
      <c r="K32" s="1">
        <f t="shared" si="6"/>
        <v>2.8453470693015293</v>
      </c>
      <c r="L32" s="1">
        <f t="shared" si="6"/>
        <v>2.8362415853304235</v>
      </c>
      <c r="M32" s="1">
        <f t="shared" si="6"/>
        <v>2.8459890230664753</v>
      </c>
      <c r="N32" s="1">
        <f t="shared" si="6"/>
        <v>2.9514338532799833</v>
      </c>
      <c r="O32" s="1">
        <f t="shared" si="6"/>
        <v>3.1475605951589936</v>
      </c>
      <c r="P32" s="1">
        <f t="shared" si="6"/>
        <v>3.3436335232400083</v>
      </c>
      <c r="Q32" s="1">
        <f t="shared" si="6"/>
        <v>3.5396519222100187</v>
      </c>
      <c r="R32" s="1">
        <f t="shared" si="6"/>
        <v>3.6184693779200305</v>
      </c>
      <c r="S32" s="1">
        <f t="shared" si="6"/>
        <v>3.6972716097499969</v>
      </c>
      <c r="T32" s="1">
        <f t="shared" si="6"/>
        <v>3.7658189563599898</v>
      </c>
      <c r="U32" s="1">
        <f t="shared" si="6"/>
        <v>3.76283844337999</v>
      </c>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row>
    <row r="34" spans="2:49" x14ac:dyDescent="0.2">
      <c r="B34" s="28" t="s">
        <v>90</v>
      </c>
    </row>
    <row r="35" spans="2:49" x14ac:dyDescent="0.2">
      <c r="B35" s="26" t="s">
        <v>63</v>
      </c>
      <c r="C35" s="2">
        <f>'Input data'!C37</f>
        <v>1.422372</v>
      </c>
      <c r="D35" s="2">
        <f>'Input data'!D37</f>
        <v>1.7254640000000001</v>
      </c>
      <c r="E35" s="2">
        <f>'Input data'!E37</f>
        <v>1.8</v>
      </c>
      <c r="F35" s="2">
        <f>'Input data'!F37</f>
        <v>1.800295</v>
      </c>
      <c r="G35" s="1">
        <f t="shared" ref="G35:U35" si="7">G96</f>
        <v>1.9501148443540419</v>
      </c>
      <c r="H35" s="1">
        <f t="shared" si="7"/>
        <v>2.0904194581835727</v>
      </c>
      <c r="I35" s="1">
        <f t="shared" si="7"/>
        <v>2.2226873415652442</v>
      </c>
      <c r="J35" s="1">
        <f t="shared" si="7"/>
        <v>2.3480786714012236</v>
      </c>
      <c r="K35" s="1">
        <f t="shared" si="7"/>
        <v>2.4691227274250815</v>
      </c>
      <c r="L35" s="1">
        <f t="shared" si="7"/>
        <v>2.5861719133834824</v>
      </c>
      <c r="M35" s="1">
        <f t="shared" si="7"/>
        <v>2.7002511835301672</v>
      </c>
      <c r="N35" s="1">
        <f t="shared" si="7"/>
        <v>2.8108522157547475</v>
      </c>
      <c r="O35" s="1">
        <f t="shared" si="7"/>
        <v>2.8896789301242278</v>
      </c>
      <c r="P35" s="1">
        <f t="shared" si="7"/>
        <v>2.9600124722761589</v>
      </c>
      <c r="Q35" s="1">
        <f t="shared" si="7"/>
        <v>3.0231687674361534</v>
      </c>
      <c r="R35" s="1">
        <f>R96</f>
        <v>3.0799199488332842</v>
      </c>
      <c r="S35" s="1">
        <f t="shared" si="7"/>
        <v>3.1313734031734475</v>
      </c>
      <c r="T35" s="1">
        <f t="shared" si="7"/>
        <v>3.1784481790568448</v>
      </c>
      <c r="U35" s="1">
        <f t="shared" si="7"/>
        <v>3.2216387078078448</v>
      </c>
      <c r="V35" s="59"/>
      <c r="W35" s="59"/>
      <c r="X35" s="59"/>
      <c r="Y35" s="59"/>
      <c r="Z35" s="59"/>
      <c r="AA35" s="59"/>
      <c r="AB35" s="59"/>
      <c r="AC35" s="59"/>
      <c r="AD35" s="59"/>
      <c r="AE35" s="59"/>
      <c r="AF35" s="59"/>
      <c r="AG35" s="59"/>
      <c r="AH35" s="59"/>
      <c r="AI35" s="59"/>
      <c r="AJ35" s="59"/>
      <c r="AK35" s="59"/>
      <c r="AL35" s="59"/>
      <c r="AM35" s="59"/>
      <c r="AN35" s="59"/>
      <c r="AO35" s="59"/>
      <c r="AP35" s="59"/>
      <c r="AQ35" s="59"/>
      <c r="AR35" s="59"/>
      <c r="AS35" s="59"/>
      <c r="AT35" s="59"/>
      <c r="AU35" s="59"/>
      <c r="AV35" s="59"/>
      <c r="AW35" s="60"/>
    </row>
    <row r="36" spans="2:49" x14ac:dyDescent="0.2">
      <c r="B36" s="32" t="s">
        <v>91</v>
      </c>
      <c r="C36" s="2">
        <f>'Input data'!C39</f>
        <v>2.4300000000000002</v>
      </c>
      <c r="D36" s="163">
        <f>'Input data'!D39</f>
        <v>2.3224999999999998</v>
      </c>
      <c r="E36" s="163">
        <f>'Input data'!E39</f>
        <v>2.544438</v>
      </c>
      <c r="F36" s="163">
        <f>'Input data'!F39</f>
        <v>2.698655</v>
      </c>
      <c r="G36" s="1">
        <f t="shared" ref="G36:M36" si="8">F36+($N$36-$F$36)/($N$10-$F$10)</f>
        <v>2.7743606249999999</v>
      </c>
      <c r="H36" s="1">
        <f t="shared" si="8"/>
        <v>2.8500662499999998</v>
      </c>
      <c r="I36" s="1">
        <f t="shared" si="8"/>
        <v>2.9257718749999997</v>
      </c>
      <c r="J36" s="1">
        <f t="shared" si="8"/>
        <v>3.0014774999999996</v>
      </c>
      <c r="K36" s="1">
        <f t="shared" si="8"/>
        <v>3.0771831249999995</v>
      </c>
      <c r="L36" s="1">
        <f t="shared" si="8"/>
        <v>3.1528887499999994</v>
      </c>
      <c r="M36" s="1">
        <f t="shared" si="8"/>
        <v>3.2285943749999992</v>
      </c>
      <c r="N36" s="248">
        <f>'Input data'!$C$52</f>
        <v>3.3043</v>
      </c>
      <c r="O36" s="1">
        <f>$N$36+('Input data'!$C$54-'Input data'!$C$52)/20*(O$10-$N$10)</f>
        <v>3.3390849999999999</v>
      </c>
      <c r="P36" s="1">
        <f>$N$36+('Input data'!$C$54-'Input data'!$C$52)/20*(P$10-$N$10)</f>
        <v>3.3738700000000001</v>
      </c>
      <c r="Q36" s="1">
        <f>$N$36+('Input data'!$C$54-'Input data'!$C$52)/20*(Q$10-$N$10)</f>
        <v>3.408655</v>
      </c>
      <c r="R36" s="1">
        <f>$N$36+('Input data'!$C$54-'Input data'!$C$52)/20*(R$10-$N$10)</f>
        <v>3.4434399999999998</v>
      </c>
      <c r="S36" s="1">
        <f>$N$36+('Input data'!$C$54-'Input data'!$C$52)/20*(S$10-$N$10)</f>
        <v>3.4782250000000001</v>
      </c>
      <c r="T36" s="1">
        <f>$N$36+('Input data'!$C$54-'Input data'!$C$52)/20*(T$10-$N$10)</f>
        <v>3.51301</v>
      </c>
      <c r="U36" s="1">
        <f>$N$36+('Input data'!$C$54-'Input data'!$C$52)/20*(U$10-$N$10)</f>
        <v>3.5477949999999998</v>
      </c>
      <c r="V36" s="59"/>
      <c r="W36" s="59"/>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60"/>
    </row>
    <row r="37" spans="2:49" x14ac:dyDescent="0.2">
      <c r="B37" s="32" t="s">
        <v>92</v>
      </c>
      <c r="C37" s="2">
        <f>'Input data'!C$38</f>
        <v>3.43</v>
      </c>
      <c r="D37" s="163">
        <f>'Input data'!D$38</f>
        <v>3.5708329999999999</v>
      </c>
      <c r="E37" s="163">
        <f>'Input data'!E$38</f>
        <v>1.999333</v>
      </c>
      <c r="F37" s="163">
        <f>'Input data'!F$38</f>
        <v>1.7208330000000001</v>
      </c>
      <c r="G37" s="1">
        <f t="shared" ref="G37:M37" si="9">F37+($N$37-$F$37)/($N$10-$F$10)</f>
        <v>1.877801375</v>
      </c>
      <c r="H37" s="1">
        <f t="shared" si="9"/>
        <v>2.0347697500000002</v>
      </c>
      <c r="I37" s="1">
        <f t="shared" si="9"/>
        <v>2.1917381250000001</v>
      </c>
      <c r="J37" s="1">
        <f t="shared" si="9"/>
        <v>2.3487065</v>
      </c>
      <c r="K37" s="1">
        <f t="shared" si="9"/>
        <v>2.505674875</v>
      </c>
      <c r="L37" s="1">
        <f t="shared" si="9"/>
        <v>2.6626432499999999</v>
      </c>
      <c r="M37" s="1">
        <f t="shared" si="9"/>
        <v>2.8196116249999998</v>
      </c>
      <c r="N37" s="248">
        <f>'Input data'!$C$53</f>
        <v>2.9765799999999998</v>
      </c>
      <c r="O37" s="1">
        <f>$N$37+('Input data'!$C$55-'Input data'!$C$53)/20*(O$10-$N$10)</f>
        <v>2.9277509999999998</v>
      </c>
      <c r="P37" s="1">
        <f>$N$37+('Input data'!$C$55-'Input data'!$C$53)/20*(P$10-$N$10)</f>
        <v>2.8789219999999998</v>
      </c>
      <c r="Q37" s="1">
        <f>$N$37+('Input data'!$C$55-'Input data'!$C$53)/20*(Q$10-$N$10)</f>
        <v>2.8300929999999997</v>
      </c>
      <c r="R37" s="1">
        <f>$N$37+('Input data'!$C$55-'Input data'!$C$53)/20*(R$10-$N$10)</f>
        <v>2.7812639999999997</v>
      </c>
      <c r="S37" s="1">
        <f>$N$37+('Input data'!$C$55-'Input data'!$C$53)/20*(S$10-$N$10)</f>
        <v>2.7324349999999997</v>
      </c>
      <c r="T37" s="1">
        <f>$N$37+('Input data'!$C$55-'Input data'!$C$53)/20*(T$10-$N$10)</f>
        <v>2.6836059999999997</v>
      </c>
      <c r="U37" s="1">
        <f>$N$37+('Input data'!$C$55-'Input data'!$C$53)/20*(U$10-$N$10)</f>
        <v>2.6347769999999997</v>
      </c>
      <c r="V37" s="59"/>
      <c r="W37" s="59"/>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60"/>
    </row>
    <row r="38" spans="2:49" x14ac:dyDescent="0.2">
      <c r="B38" s="26" t="s">
        <v>93</v>
      </c>
      <c r="C38" s="1">
        <v>0.12643541</v>
      </c>
      <c r="D38" s="1">
        <v>0.11798594</v>
      </c>
      <c r="E38" s="1">
        <v>0.11258884</v>
      </c>
      <c r="F38" s="1">
        <f>IF(OR($C$3="EL",$C$3="CY",$C$3="IE",$C$3="PT"),VLOOKUP($C$3,$B$110:$R$114,MATCH(F$10,$B$110:$R$110,0),0),$E$38+('Input data'!$C$59-$E$38)/($N$10-$E$10)*(F10-$E$10))</f>
        <v>0.11390289111111111</v>
      </c>
      <c r="G38" s="1">
        <f>IF(OR($C$3="EL",$C$3="CY",$C$3="IE",$C$3="PT"),VLOOKUP($C$3,$B$110:$R$114,MATCH(G$10,$B$110:$R$110,0),0),$E$38+('Input data'!$C$59-$E$38)/($N$10-$E$10)*(G10-$E$10))</f>
        <v>0.11521694222222222</v>
      </c>
      <c r="H38" s="1">
        <f>IF(OR($C$3="EL",$C$3="CY",$C$3="IE",$C$3="PT"),VLOOKUP($C$3,$B$110:$R$114,MATCH(H$10,$B$110:$R$110,0),0),$E$38+('Input data'!$C$59-$E$38)/($N$10-$E$10)*(H10-$E$10))</f>
        <v>0.11653099333333333</v>
      </c>
      <c r="I38" s="1">
        <f>IF(OR($C$3="EL",$C$3="CY",$C$3="IE",$C$3="PT"),VLOOKUP($C$3,$B$110:$R$114,MATCH(I$10,$B$110:$R$110,0),0),$E$38+('Input data'!$C$59-$E$38)/($N$10-$E$10)*(I10-$E$10))</f>
        <v>0.11784504444444445</v>
      </c>
      <c r="J38" s="1">
        <f>IF(OR($C$3="EL",$C$3="CY",$C$3="IE",$C$3="PT"),VLOOKUP($C$3,$B$110:$R$114,MATCH(J$10,$B$110:$R$110,0),0),$E$38+('Input data'!$C$59-$E$38)/($N$10-$E$10)*(J10-$E$10))</f>
        <v>0.11915909555555555</v>
      </c>
      <c r="K38" s="1">
        <f>IF(OR($C$3="EL",$C$3="CY",$C$3="IE",$C$3="PT"),VLOOKUP($C$3,$B$110:$R$114,MATCH(K$10,$B$110:$R$110,0),0),$E$38+('Input data'!$C$59-$E$38)/($N$10-$E$10)*(K10-$E$10))</f>
        <v>0.12047314666666667</v>
      </c>
      <c r="L38" s="1">
        <f>IF(OR($C$3="EL",$C$3="CY",$C$3="IE",$C$3="PT"),VLOOKUP($C$3,$B$110:$R$114,MATCH(L$10,$B$110:$R$110,0),0),$E$38+('Input data'!$C$59-$E$38)/($N$10-$E$10)*(L10-$E$10))</f>
        <v>0.12178719777777779</v>
      </c>
      <c r="M38" s="1">
        <f>IF(OR($C$3="EL",$C$3="CY",$C$3="IE",$C$3="PT"),VLOOKUP($C$3,$B$110:$R$114,MATCH(M$10,$B$110:$R$110,0),0),$E$38+('Input data'!$C$59-$E$38)/($N$10-$E$10)*(M10-$E$10))</f>
        <v>0.12310124888888889</v>
      </c>
      <c r="N38" s="248">
        <f>IF(OR($C$3="EL",$C$3="CY",$C$3="IE",$C$3="PT"),VLOOKUP($C$3,$B$110:$R$114,MATCH(N$10,$B$110:$R$110,0),0),'Input data'!$C$59)</f>
        <v>0.12441530000000001</v>
      </c>
      <c r="O38" s="1">
        <f>IF(OR($C$3="EL",$C$3="CY",$C$3="IE",$C$3="PT"),VLOOKUP($C$3,$B$110:$R$114,MATCH(O$10,$B$110:$R$110,0),0),'Input data'!$C$59)</f>
        <v>0.12441530000000001</v>
      </c>
      <c r="P38" s="1">
        <f>IF(OR($C$3="EL",$C$3="CY",$C$3="IE",$C$3="PT"),VLOOKUP($C$3,$B$110:$R$114,MATCH(P$10,$B$110:$R$110,0),0),'Input data'!$C$59)</f>
        <v>0.12441530000000001</v>
      </c>
      <c r="Q38" s="1">
        <f>IF(OR($C$3="EL",$C$3="CY",$C$3="IE",$C$3="PT"),VLOOKUP($C$3,$B$110:$R$114,MATCH(Q$10,$B$110:$R$110,0),0),'Input data'!$C$59)</f>
        <v>0.12441530000000001</v>
      </c>
      <c r="R38" s="1">
        <f>IF(OR($C$3="EL",$C$3="CY",$C$3="IE",$C$3="PT"),VLOOKUP($C$3,$B$110:$R$114,MATCH(R$10,$B$110:$R$110,0),0),'Input data'!$C$59)</f>
        <v>0.12441530000000001</v>
      </c>
      <c r="S38" s="1">
        <f>IF(OR($C$3="EL",$C$3="CY",$C$3="IE",$C$3="PT"),VLOOKUP($C$3,$B$110:$U$114,MATCH(S$10,$B$110:$U$110,0),0),'Input data'!$C$59)</f>
        <v>0.12441530000000001</v>
      </c>
      <c r="T38" s="1">
        <f>IF(OR($C$3="EL",$C$3="CY",$C$3="IE",$C$3="PT"),VLOOKUP($C$3,$B$110:$U$114,MATCH(T$10,$B$110:$U$110,0),0),'Input data'!$C$59)</f>
        <v>0.12441530000000001</v>
      </c>
      <c r="U38" s="1">
        <f>IF(OR($C$3="EL",$C$3="CY",$C$3="IE",$C$3="PT"),VLOOKUP($C$3,$B$110:$U$114,MATCH(U$10,$B$110:$U$110,0),0),'Input data'!$C$59)</f>
        <v>0.12441530000000001</v>
      </c>
      <c r="V38" s="59"/>
      <c r="W38" s="59"/>
      <c r="X38" s="59"/>
      <c r="Y38" s="59"/>
      <c r="Z38" s="59"/>
      <c r="AA38" s="59"/>
      <c r="AB38" s="59"/>
      <c r="AC38" s="59"/>
      <c r="AD38" s="59"/>
      <c r="AE38" s="59"/>
      <c r="AF38" s="59"/>
      <c r="AG38" s="59"/>
      <c r="AH38" s="59"/>
      <c r="AI38" s="59"/>
      <c r="AJ38" s="59"/>
      <c r="AK38" s="59"/>
      <c r="AL38" s="59"/>
      <c r="AM38" s="59"/>
      <c r="AN38" s="59"/>
      <c r="AO38" s="59"/>
      <c r="AP38" s="59"/>
      <c r="AQ38" s="59"/>
      <c r="AR38" s="59"/>
      <c r="AS38" s="59"/>
      <c r="AT38" s="59"/>
      <c r="AU38" s="59"/>
      <c r="AV38" s="59"/>
      <c r="AW38" s="60"/>
    </row>
    <row r="39" spans="2:49" x14ac:dyDescent="0.2">
      <c r="C39" s="1"/>
      <c r="D39" s="1"/>
      <c r="E39" s="1"/>
      <c r="F39" s="1"/>
      <c r="G39" s="1"/>
      <c r="H39" s="1"/>
      <c r="I39" s="1"/>
      <c r="J39" s="1"/>
      <c r="K39" s="1"/>
      <c r="L39" s="1"/>
      <c r="M39" s="1"/>
      <c r="N39" s="1"/>
      <c r="O39" s="1"/>
      <c r="P39" s="1"/>
      <c r="Q39" s="1"/>
      <c r="R39" s="1"/>
      <c r="S39" s="1"/>
      <c r="T39" s="1"/>
      <c r="U39" s="1"/>
      <c r="V39" s="59"/>
      <c r="W39" s="59"/>
      <c r="X39" s="59"/>
      <c r="Y39" s="59"/>
      <c r="Z39" s="59"/>
      <c r="AA39" s="59"/>
      <c r="AB39" s="59"/>
      <c r="AC39" s="59"/>
      <c r="AD39" s="59"/>
      <c r="AE39" s="59"/>
      <c r="AF39" s="59"/>
      <c r="AG39" s="59"/>
      <c r="AH39" s="59"/>
      <c r="AI39" s="59"/>
      <c r="AJ39" s="59"/>
      <c r="AK39" s="59"/>
      <c r="AL39" s="59"/>
      <c r="AM39" s="59"/>
      <c r="AN39" s="59"/>
      <c r="AO39" s="59"/>
      <c r="AP39" s="59"/>
      <c r="AQ39" s="59"/>
      <c r="AR39" s="59"/>
      <c r="AS39" s="59"/>
      <c r="AT39" s="59"/>
      <c r="AU39" s="59"/>
      <c r="AV39" s="59"/>
      <c r="AW39" s="60"/>
    </row>
    <row r="40" spans="2:49" x14ac:dyDescent="0.2">
      <c r="B40" s="28" t="s">
        <v>94</v>
      </c>
      <c r="C40" s="1"/>
      <c r="D40" s="1"/>
      <c r="E40" s="101"/>
      <c r="F40" s="101"/>
      <c r="G40" s="101"/>
      <c r="H40" s="101"/>
      <c r="I40" s="101"/>
      <c r="J40" s="101"/>
      <c r="K40" s="101"/>
      <c r="L40" s="1"/>
      <c r="M40" s="101"/>
      <c r="N40" s="101"/>
      <c r="O40" s="101"/>
      <c r="P40" s="1"/>
      <c r="Q40" s="1"/>
      <c r="R40" s="1"/>
      <c r="S40" s="1"/>
      <c r="T40" s="1"/>
      <c r="U40" s="1"/>
      <c r="V40" s="59"/>
      <c r="W40" s="59"/>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60"/>
    </row>
    <row r="41" spans="2:49" x14ac:dyDescent="0.2">
      <c r="B41" s="26" t="s">
        <v>66</v>
      </c>
      <c r="C41" s="2">
        <f>'Input data'!C42</f>
        <v>6.1429179999999999</v>
      </c>
      <c r="D41" s="2">
        <f>'Input data'!D42</f>
        <v>3.1060140000000001</v>
      </c>
      <c r="E41" s="2">
        <f>'Input data'!E42</f>
        <v>2.439314</v>
      </c>
      <c r="F41" s="2">
        <f>'Input data'!F42</f>
        <v>2.1658539999999999</v>
      </c>
      <c r="G41" s="1">
        <f t="shared" ref="G41:M41" si="10">$F$41+($N$41-$F$41)/($N$10-$F$10)*(G10-$F$10)</f>
        <v>2.1776222499999998</v>
      </c>
      <c r="H41" s="1">
        <f t="shared" si="10"/>
        <v>2.1893905</v>
      </c>
      <c r="I41" s="1">
        <f t="shared" si="10"/>
        <v>2.2011587499999998</v>
      </c>
      <c r="J41" s="1">
        <f t="shared" si="10"/>
        <v>2.2129269999999996</v>
      </c>
      <c r="K41" s="1">
        <f t="shared" si="10"/>
        <v>2.2246952499999999</v>
      </c>
      <c r="L41" s="1">
        <f t="shared" si="10"/>
        <v>2.2364634999999997</v>
      </c>
      <c r="M41" s="1">
        <f t="shared" si="10"/>
        <v>2.24823175</v>
      </c>
      <c r="N41" s="248">
        <f>'Input data'!$C$61</f>
        <v>2.2599999999999998</v>
      </c>
      <c r="O41" s="1">
        <f>$N$41+('Input data'!$C$62-'Input data'!$C$61)/20*(O$10-$N$10)</f>
        <v>2.2469999999999999</v>
      </c>
      <c r="P41" s="1">
        <f>$N$41+('Input data'!$C$62-'Input data'!$C$61)/20*(P$10-$N$10)</f>
        <v>2.234</v>
      </c>
      <c r="Q41" s="1">
        <f>$N$41+('Input data'!$C$62-'Input data'!$C$61)/20*(Q$10-$N$10)</f>
        <v>2.2209999999999996</v>
      </c>
      <c r="R41" s="1">
        <f>$N$41+('Input data'!$C$62-'Input data'!$C$61)/20*(R$10-$N$10)</f>
        <v>2.2079999999999997</v>
      </c>
      <c r="S41" s="1">
        <f>$N$41+('Input data'!$C$62-'Input data'!$C$61)/20*(S$10-$N$10)</f>
        <v>2.1949999999999998</v>
      </c>
      <c r="T41" s="1">
        <f>$N$41+('Input data'!$C$62-'Input data'!$C$61)/20*(T$10-$N$10)</f>
        <v>2.1819999999999999</v>
      </c>
      <c r="U41" s="1">
        <f>$N$41+('Input data'!$C$62-'Input data'!$C$61)/20*(U$10-$N$10)</f>
        <v>2.169</v>
      </c>
      <c r="V41" s="59"/>
      <c r="W41" s="59"/>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60"/>
    </row>
    <row r="42" spans="2:49" x14ac:dyDescent="0.2">
      <c r="B42" s="26" t="s">
        <v>95</v>
      </c>
      <c r="C42" s="1">
        <v>0.99974450000000004</v>
      </c>
      <c r="D42" s="1">
        <v>0.99998920000000002</v>
      </c>
      <c r="E42" s="1">
        <v>0.99973610000000002</v>
      </c>
      <c r="F42" s="1">
        <v>0.99982409999999999</v>
      </c>
      <c r="G42" s="1">
        <v>1</v>
      </c>
      <c r="H42" s="1">
        <v>1</v>
      </c>
      <c r="I42" s="1">
        <v>1</v>
      </c>
      <c r="J42" s="1">
        <v>1</v>
      </c>
      <c r="K42" s="1">
        <v>1</v>
      </c>
      <c r="L42" s="1">
        <v>1</v>
      </c>
      <c r="M42" s="1">
        <v>1</v>
      </c>
      <c r="N42" s="1">
        <v>1</v>
      </c>
      <c r="O42" s="1">
        <v>1</v>
      </c>
      <c r="P42" s="1">
        <v>1</v>
      </c>
      <c r="Q42" s="1">
        <v>1</v>
      </c>
      <c r="R42" s="1">
        <v>1</v>
      </c>
      <c r="S42" s="1">
        <v>1</v>
      </c>
      <c r="T42" s="1">
        <v>1</v>
      </c>
      <c r="U42" s="1">
        <v>1</v>
      </c>
      <c r="V42" s="1"/>
      <c r="W42" s="63"/>
      <c r="X42" s="63"/>
      <c r="Y42" s="63"/>
      <c r="Z42" s="63"/>
      <c r="AA42" s="63"/>
      <c r="AB42" s="63"/>
      <c r="AC42" s="63"/>
      <c r="AD42" s="63"/>
      <c r="AE42" s="63"/>
      <c r="AF42" s="63"/>
      <c r="AG42" s="63"/>
      <c r="AH42" s="63"/>
      <c r="AI42" s="63"/>
      <c r="AJ42" s="63"/>
      <c r="AK42" s="63"/>
      <c r="AL42" s="63"/>
      <c r="AM42" s="63"/>
      <c r="AN42" s="63"/>
      <c r="AO42" s="63"/>
      <c r="AP42" s="63"/>
      <c r="AQ42" s="63"/>
      <c r="AR42" s="63"/>
      <c r="AS42" s="63"/>
      <c r="AT42" s="63"/>
      <c r="AU42" s="63"/>
      <c r="AV42" s="63"/>
      <c r="AW42" s="60"/>
    </row>
    <row r="44" spans="2:49" s="70" customFormat="1" ht="12.75" x14ac:dyDescent="0.2">
      <c r="B44" s="74" t="s">
        <v>96</v>
      </c>
    </row>
    <row r="45" spans="2:49" x14ac:dyDescent="0.2">
      <c r="C45" s="36"/>
    </row>
    <row r="46" spans="2:49" x14ac:dyDescent="0.2">
      <c r="B46" s="54" t="s">
        <v>68</v>
      </c>
      <c r="C46" s="55">
        <f>'Input data'!C49</f>
        <v>0.75</v>
      </c>
    </row>
    <row r="47" spans="2:49" x14ac:dyDescent="0.2">
      <c r="B47" s="56" t="s">
        <v>243</v>
      </c>
      <c r="C47" s="57">
        <f>'Input data'!C50</f>
        <v>0.504</v>
      </c>
    </row>
    <row r="48" spans="2:49" x14ac:dyDescent="0.2">
      <c r="C48" s="58"/>
    </row>
    <row r="49" spans="2:46" outlineLevel="1" x14ac:dyDescent="0.2">
      <c r="B49" s="26" t="s">
        <v>97</v>
      </c>
      <c r="C49" s="34">
        <v>0</v>
      </c>
      <c r="D49" s="34">
        <f>IF(AND(ABS((D12-C12)-('Input data'!D13-'Input data'!C13))&gt;0.0001,ABS(D12-C12)&gt;0.0001,D$10&gt;$C$5),4,IF(C49=4,3,IF(C49=3,2,IF(C49=2,1,0))))</f>
        <v>0</v>
      </c>
      <c r="E49" s="34">
        <f t="shared" ref="E49:U49" si="11">IF(AND(ABS(E12-D12)&gt;0.0001,E$10&gt;$C$5),4,IF(D49=4,3,IF(D49=3,2,IF(D49=2,1,0))))</f>
        <v>0</v>
      </c>
      <c r="F49" s="34">
        <f t="shared" si="11"/>
        <v>0</v>
      </c>
      <c r="G49" s="34">
        <f t="shared" si="11"/>
        <v>0</v>
      </c>
      <c r="H49" s="34">
        <f t="shared" si="11"/>
        <v>0</v>
      </c>
      <c r="I49" s="34">
        <f t="shared" si="11"/>
        <v>0</v>
      </c>
      <c r="J49" s="34">
        <f t="shared" si="11"/>
        <v>0</v>
      </c>
      <c r="K49" s="34">
        <f t="shared" si="11"/>
        <v>0</v>
      </c>
      <c r="L49" s="34">
        <f t="shared" si="11"/>
        <v>0</v>
      </c>
      <c r="M49" s="34">
        <f t="shared" si="11"/>
        <v>0</v>
      </c>
      <c r="N49" s="34">
        <f t="shared" si="11"/>
        <v>0</v>
      </c>
      <c r="O49" s="34">
        <f t="shared" si="11"/>
        <v>0</v>
      </c>
      <c r="P49" s="34">
        <f t="shared" si="11"/>
        <v>0</v>
      </c>
      <c r="Q49" s="34">
        <f t="shared" si="11"/>
        <v>0</v>
      </c>
      <c r="R49" s="34">
        <f t="shared" si="11"/>
        <v>0</v>
      </c>
      <c r="S49" s="34">
        <f t="shared" si="11"/>
        <v>0</v>
      </c>
      <c r="T49" s="34">
        <f t="shared" si="11"/>
        <v>0</v>
      </c>
      <c r="U49" s="34">
        <f t="shared" si="11"/>
        <v>0</v>
      </c>
      <c r="V49" s="34"/>
      <c r="W49" s="34"/>
      <c r="X49" s="34"/>
      <c r="Y49" s="34"/>
      <c r="Z49" s="34"/>
      <c r="AA49" s="34"/>
      <c r="AB49" s="34"/>
      <c r="AC49" s="34"/>
      <c r="AD49" s="34"/>
      <c r="AE49" s="34"/>
      <c r="AF49" s="34"/>
      <c r="AG49" s="34"/>
      <c r="AH49" s="34"/>
      <c r="AI49" s="34"/>
      <c r="AJ49" s="34"/>
      <c r="AK49" s="34"/>
      <c r="AL49" s="34"/>
      <c r="AM49" s="34"/>
      <c r="AN49" s="34"/>
      <c r="AO49" s="34"/>
      <c r="AP49" s="34"/>
      <c r="AQ49" s="34"/>
      <c r="AR49" s="34"/>
      <c r="AS49" s="34"/>
      <c r="AT49" s="34"/>
    </row>
    <row r="50" spans="2:46" outlineLevel="1" x14ac:dyDescent="0.2">
      <c r="B50" s="26" t="s">
        <v>98</v>
      </c>
      <c r="C50" s="34">
        <v>0</v>
      </c>
      <c r="D50" s="34">
        <f>IF(C49=4,2/3*C29,IF(C49=3,1/3*#REF!,0))</f>
        <v>0</v>
      </c>
      <c r="E50" s="34">
        <f t="shared" ref="E50:U50" si="12">IF(D49=4,2/3*D29,IF(D49=3,1/3*C29,0))</f>
        <v>0</v>
      </c>
      <c r="F50" s="34">
        <f t="shared" si="12"/>
        <v>0</v>
      </c>
      <c r="G50" s="34">
        <f t="shared" si="12"/>
        <v>0</v>
      </c>
      <c r="H50" s="34">
        <f t="shared" si="12"/>
        <v>0</v>
      </c>
      <c r="I50" s="34">
        <f t="shared" si="12"/>
        <v>0</v>
      </c>
      <c r="J50" s="34">
        <f t="shared" si="12"/>
        <v>0</v>
      </c>
      <c r="K50" s="34">
        <f t="shared" si="12"/>
        <v>0</v>
      </c>
      <c r="L50" s="34">
        <f t="shared" si="12"/>
        <v>0</v>
      </c>
      <c r="M50" s="34">
        <f t="shared" si="12"/>
        <v>0</v>
      </c>
      <c r="N50" s="34">
        <f t="shared" si="12"/>
        <v>0</v>
      </c>
      <c r="O50" s="34">
        <f t="shared" si="12"/>
        <v>0</v>
      </c>
      <c r="P50" s="34">
        <f t="shared" si="12"/>
        <v>0</v>
      </c>
      <c r="Q50" s="34">
        <f t="shared" si="12"/>
        <v>0</v>
      </c>
      <c r="R50" s="34">
        <f t="shared" si="12"/>
        <v>0</v>
      </c>
      <c r="S50" s="34">
        <f t="shared" si="12"/>
        <v>0</v>
      </c>
      <c r="T50" s="34">
        <f t="shared" si="12"/>
        <v>0</v>
      </c>
      <c r="U50" s="34">
        <f t="shared" si="12"/>
        <v>0</v>
      </c>
      <c r="V50" s="34"/>
      <c r="W50" s="34"/>
      <c r="X50" s="34"/>
      <c r="Y50" s="34"/>
      <c r="Z50" s="34"/>
      <c r="AA50" s="34"/>
      <c r="AB50" s="34"/>
      <c r="AC50" s="34"/>
      <c r="AD50" s="34"/>
      <c r="AE50" s="34"/>
      <c r="AF50" s="34"/>
      <c r="AG50" s="34"/>
      <c r="AH50" s="34"/>
      <c r="AI50" s="34"/>
      <c r="AJ50" s="34"/>
      <c r="AK50" s="34"/>
      <c r="AL50" s="34"/>
      <c r="AM50" s="34"/>
      <c r="AN50" s="34"/>
      <c r="AO50" s="34"/>
      <c r="AP50" s="34"/>
      <c r="AQ50" s="34"/>
      <c r="AR50" s="34"/>
      <c r="AS50" s="34"/>
      <c r="AT50" s="34"/>
    </row>
    <row r="51" spans="2:46" outlineLevel="1" x14ac:dyDescent="0.2">
      <c r="B51" s="26" t="s">
        <v>99</v>
      </c>
      <c r="C51" s="34">
        <v>0</v>
      </c>
      <c r="D51" s="34">
        <f>'Input data'!D30-$C$46*((D12-C12)-('Input data'!D13-'Input data'!C13))</f>
        <v>-0.23852609999999999</v>
      </c>
      <c r="E51" s="34">
        <f>'Input data'!E30-$C$46*((E12-D12)-('Input data'!E13-'Input data'!D13))</f>
        <v>0.93362635000000016</v>
      </c>
      <c r="F51" s="34">
        <f>'Input data'!F30-$C$46*((F12-E12))</f>
        <v>0.62623519999999999</v>
      </c>
      <c r="G51" s="34">
        <f>'Input data'!G30-$C$46*((G12-F12))</f>
        <v>0.85516650000000005</v>
      </c>
      <c r="H51" s="34">
        <f>'Input data'!H30-$C$46*((H12-G12))</f>
        <v>0.95835910000000002</v>
      </c>
      <c r="I51" s="34">
        <f>'Input data'!I30-$C$46*((I12-H12))</f>
        <v>1.057734</v>
      </c>
      <c r="J51" s="34">
        <f>'Input data'!J30-$C$46*((J12-I12))</f>
        <v>0.63380049999999999</v>
      </c>
      <c r="K51" s="34">
        <f>'Input data'!K30-$C$46*((K12-J12))</f>
        <v>0.60714469999999998</v>
      </c>
      <c r="L51" s="34">
        <f>'Input data'!L30-$C$46*((L12-K12))</f>
        <v>0.58665769999999995</v>
      </c>
      <c r="M51" s="34">
        <f>'Input data'!M30-$C$46*((M12-L12))</f>
        <v>0.58461379999999996</v>
      </c>
      <c r="N51" s="34">
        <f>'Input data'!N30-$C$46*((N12-M12))</f>
        <v>0.6761528</v>
      </c>
      <c r="O51" s="34">
        <f>'Input data'!O30-$C$46*((O12-N12))</f>
        <v>0.88076969999999999</v>
      </c>
      <c r="P51" s="34">
        <f>'Input data'!P30-$C$46*((P12-O12))</f>
        <v>1.085386</v>
      </c>
      <c r="Q51" s="34">
        <f>'Input data'!Q30-$C$46*((Q12-P12))</f>
        <v>1.290001</v>
      </c>
      <c r="R51" s="34">
        <f>'Input data'!R30-$C$46*((R12-Q12))</f>
        <v>1.379999</v>
      </c>
      <c r="S51" s="34">
        <f>'Input data'!S30-$C$46*((S12-R12))</f>
        <v>1.470005</v>
      </c>
      <c r="T51" s="34">
        <f>'Input data'!T30-$C$46*((T12-S12))</f>
        <v>1.549998</v>
      </c>
      <c r="U51" s="34">
        <f>'Input data'!U30-$C$46*((U12-T12))</f>
        <v>1.5600020000000001</v>
      </c>
      <c r="V51" s="34"/>
      <c r="W51" s="34"/>
      <c r="X51" s="34"/>
      <c r="Y51" s="34"/>
      <c r="Z51" s="34"/>
      <c r="AA51" s="34"/>
      <c r="AB51" s="34"/>
      <c r="AC51" s="34"/>
      <c r="AD51" s="34"/>
      <c r="AE51" s="34"/>
      <c r="AF51" s="34"/>
      <c r="AG51" s="34"/>
      <c r="AH51" s="34"/>
      <c r="AI51" s="34"/>
      <c r="AJ51" s="34"/>
      <c r="AK51" s="34"/>
      <c r="AL51" s="34"/>
      <c r="AM51" s="34"/>
      <c r="AN51" s="34"/>
      <c r="AO51" s="34"/>
      <c r="AP51" s="34"/>
      <c r="AQ51" s="34"/>
      <c r="AR51" s="34"/>
      <c r="AS51" s="34"/>
      <c r="AT51" s="34"/>
    </row>
    <row r="53" spans="2:46" s="70" customFormat="1" ht="12.75" outlineLevel="1" x14ac:dyDescent="0.2">
      <c r="B53" s="71" t="s">
        <v>100</v>
      </c>
      <c r="C53" s="73"/>
      <c r="D53" s="72"/>
    </row>
    <row r="54" spans="2:46" outlineLevel="1" x14ac:dyDescent="0.2">
      <c r="B54" s="43"/>
      <c r="C54" s="44"/>
      <c r="D54" s="29"/>
    </row>
    <row r="55" spans="2:46" outlineLevel="1" x14ac:dyDescent="0.2">
      <c r="B55" s="83"/>
      <c r="C55" s="84">
        <f>'Input data'!$C$5-1</f>
        <v>2023</v>
      </c>
      <c r="D55" s="84">
        <f>C55+1</f>
        <v>2024</v>
      </c>
      <c r="E55" s="84">
        <f t="shared" ref="E55:U55" si="13">D55+1</f>
        <v>2025</v>
      </c>
      <c r="F55" s="84">
        <f t="shared" si="13"/>
        <v>2026</v>
      </c>
      <c r="G55" s="84">
        <f t="shared" si="13"/>
        <v>2027</v>
      </c>
      <c r="H55" s="84">
        <f t="shared" si="13"/>
        <v>2028</v>
      </c>
      <c r="I55" s="84">
        <f t="shared" si="13"/>
        <v>2029</v>
      </c>
      <c r="J55" s="84">
        <f t="shared" si="13"/>
        <v>2030</v>
      </c>
      <c r="K55" s="84">
        <f t="shared" si="13"/>
        <v>2031</v>
      </c>
      <c r="L55" s="84">
        <f t="shared" si="13"/>
        <v>2032</v>
      </c>
      <c r="M55" s="84">
        <f t="shared" si="13"/>
        <v>2033</v>
      </c>
      <c r="N55" s="84">
        <f t="shared" si="13"/>
        <v>2034</v>
      </c>
      <c r="O55" s="84">
        <f t="shared" si="13"/>
        <v>2035</v>
      </c>
      <c r="P55" s="84">
        <f t="shared" si="13"/>
        <v>2036</v>
      </c>
      <c r="Q55" s="84">
        <f t="shared" si="13"/>
        <v>2037</v>
      </c>
      <c r="R55" s="84">
        <f t="shared" si="13"/>
        <v>2038</v>
      </c>
      <c r="S55" s="84">
        <f t="shared" si="13"/>
        <v>2039</v>
      </c>
      <c r="T55" s="84">
        <f t="shared" si="13"/>
        <v>2040</v>
      </c>
      <c r="U55" s="84">
        <f t="shared" si="13"/>
        <v>2041</v>
      </c>
    </row>
    <row r="56" spans="2:46" ht="10.5" customHeight="1" outlineLevel="1" x14ac:dyDescent="0.2">
      <c r="B56" s="85" t="s">
        <v>101</v>
      </c>
      <c r="C56" s="45">
        <f>+'Input data'!C12</f>
        <v>62.885489999999997</v>
      </c>
      <c r="D56" s="45">
        <f>+C56+D57</f>
        <v>62.455679115154567</v>
      </c>
      <c r="E56" s="45">
        <f>+D56+E57</f>
        <v>63.88447249078915</v>
      </c>
      <c r="F56" s="45">
        <f t="shared" ref="F56:R56" si="14">+E56+F57</f>
        <v>65.081112874347738</v>
      </c>
      <c r="G56" s="45">
        <f t="shared" si="14"/>
        <v>66.113591282354477</v>
      </c>
      <c r="H56" s="45">
        <f t="shared" si="14"/>
        <v>67.055859993139109</v>
      </c>
      <c r="I56" s="45">
        <f t="shared" si="14"/>
        <v>67.906557173526409</v>
      </c>
      <c r="J56" s="45">
        <f t="shared" si="14"/>
        <v>69.211324274486245</v>
      </c>
      <c r="K56" s="45">
        <f t="shared" si="14"/>
        <v>70.706019234376114</v>
      </c>
      <c r="L56" s="45">
        <f t="shared" si="14"/>
        <v>72.486619537711704</v>
      </c>
      <c r="M56" s="45">
        <f t="shared" si="14"/>
        <v>74.44109766668366</v>
      </c>
      <c r="N56" s="45">
        <f t="shared" si="14"/>
        <v>76.401298489037302</v>
      </c>
      <c r="O56" s="45">
        <f t="shared" si="14"/>
        <v>78.376792732942704</v>
      </c>
      <c r="P56" s="45">
        <f>+O56+P57</f>
        <v>80.357013334383282</v>
      </c>
      <c r="Q56" s="45">
        <f t="shared" si="14"/>
        <v>82.231990260006569</v>
      </c>
      <c r="R56" s="45">
        <f t="shared" si="14"/>
        <v>84.085072042509879</v>
      </c>
      <c r="S56" s="45">
        <f t="shared" ref="S56" si="15">+R56+S57</f>
        <v>85.911332971148724</v>
      </c>
      <c r="T56" s="45">
        <f t="shared" ref="T56" si="16">+S56+T57</f>
        <v>87.614817418803653</v>
      </c>
      <c r="U56" s="45">
        <f t="shared" ref="U56" si="17">+T56+U57</f>
        <v>89.352286787756967</v>
      </c>
      <c r="V56" s="38"/>
      <c r="W56" s="38"/>
      <c r="X56" s="38"/>
      <c r="Y56" s="38"/>
      <c r="Z56" s="38"/>
      <c r="AA56" s="38"/>
      <c r="AB56" s="38"/>
      <c r="AC56" s="38"/>
      <c r="AD56" s="38"/>
      <c r="AE56" s="38"/>
      <c r="AF56" s="38"/>
      <c r="AG56" s="38"/>
      <c r="AH56" s="38"/>
      <c r="AI56" s="38"/>
      <c r="AJ56" s="38"/>
      <c r="AK56" s="38"/>
      <c r="AL56" s="38"/>
      <c r="AM56" s="38"/>
      <c r="AN56" s="38"/>
      <c r="AO56" s="38"/>
      <c r="AP56" s="38"/>
      <c r="AQ56" s="38"/>
      <c r="AR56" s="38"/>
      <c r="AS56" s="38"/>
      <c r="AT56" s="38"/>
    </row>
    <row r="57" spans="2:46" outlineLevel="1" x14ac:dyDescent="0.2">
      <c r="B57" s="86" t="s">
        <v>102</v>
      </c>
      <c r="C57" s="47"/>
      <c r="D57" s="47">
        <f>-D58+D66+D71</f>
        <v>-0.42981088484543095</v>
      </c>
      <c r="E57" s="47">
        <f>-E58+E66+E71</f>
        <v>1.4287933756345803</v>
      </c>
      <c r="F57" s="47">
        <f t="shared" ref="F57:R57" si="18">-F58+F66+F71</f>
        <v>1.1966403835585868</v>
      </c>
      <c r="G57" s="47">
        <f t="shared" si="18"/>
        <v>1.0324784080067393</v>
      </c>
      <c r="H57" s="47">
        <f t="shared" si="18"/>
        <v>0.94226871078463359</v>
      </c>
      <c r="I57" s="47">
        <f t="shared" si="18"/>
        <v>0.85069718038729891</v>
      </c>
      <c r="J57" s="47">
        <f t="shared" si="18"/>
        <v>1.3047671009598352</v>
      </c>
      <c r="K57" s="47">
        <f t="shared" si="18"/>
        <v>1.4946949598898653</v>
      </c>
      <c r="L57" s="47">
        <f t="shared" si="18"/>
        <v>1.7806003033355857</v>
      </c>
      <c r="M57" s="47">
        <f t="shared" si="18"/>
        <v>1.9544781289719604</v>
      </c>
      <c r="N57" s="47">
        <f t="shared" si="18"/>
        <v>1.9602008223536456</v>
      </c>
      <c r="O57" s="47">
        <f t="shared" si="18"/>
        <v>1.9754942439053995</v>
      </c>
      <c r="P57" s="47">
        <f>-P58+P66+P71</f>
        <v>1.9802206014405757</v>
      </c>
      <c r="Q57" s="47">
        <f t="shared" si="18"/>
        <v>1.8749769256232831</v>
      </c>
      <c r="R57" s="47">
        <f t="shared" si="18"/>
        <v>1.8530817825033032</v>
      </c>
      <c r="S57" s="47">
        <f t="shared" ref="S57:U57" si="19">-S58+S66+S71</f>
        <v>1.8262609286388385</v>
      </c>
      <c r="T57" s="47">
        <f t="shared" si="19"/>
        <v>1.7034844476549231</v>
      </c>
      <c r="U57" s="47">
        <f t="shared" si="19"/>
        <v>1.7374693689533103</v>
      </c>
    </row>
    <row r="58" spans="2:46" outlineLevel="1" x14ac:dyDescent="0.2">
      <c r="B58" s="82" t="s">
        <v>103</v>
      </c>
      <c r="C58" s="48"/>
      <c r="D58" s="48">
        <f>D59+D60-D61-D62-D63-D64-D65</f>
        <v>-1.7039832151545689</v>
      </c>
      <c r="E58" s="48">
        <f t="shared" ref="E58:R58" si="20">E59+E60-E61-E62-E63-E64-E65</f>
        <v>-1.8558242756345802</v>
      </c>
      <c r="F58" s="48">
        <f t="shared" si="20"/>
        <v>-1.7227089835585869</v>
      </c>
      <c r="G58" s="48">
        <f t="shared" si="20"/>
        <v>-1.7279912755989755</v>
      </c>
      <c r="H58" s="48">
        <f t="shared" si="20"/>
        <v>-1.6332833400083804</v>
      </c>
      <c r="I58" s="48">
        <f t="shared" si="20"/>
        <v>-1.5385686968598282</v>
      </c>
      <c r="J58" s="48">
        <f t="shared" si="20"/>
        <v>-1.6432241942172285</v>
      </c>
      <c r="K58" s="48">
        <f t="shared" si="20"/>
        <v>-1.7478807934504217</v>
      </c>
      <c r="L58" s="48">
        <f t="shared" si="20"/>
        <v>-1.9525380439806881</v>
      </c>
      <c r="M58" s="48">
        <f t="shared" si="20"/>
        <v>-2.0571952444089812</v>
      </c>
      <c r="N58" s="48">
        <f t="shared" si="20"/>
        <v>-2.0618511929941725</v>
      </c>
      <c r="O58" s="48">
        <f t="shared" si="20"/>
        <v>-2.1665069440748326</v>
      </c>
      <c r="P58" s="48">
        <f t="shared" si="20"/>
        <v>-2.2711624483094024</v>
      </c>
      <c r="Q58" s="48">
        <f t="shared" si="20"/>
        <v>-2.2758189507280981</v>
      </c>
      <c r="R58" s="48">
        <f t="shared" si="20"/>
        <v>-2.2804765478676696</v>
      </c>
      <c r="S58" s="48">
        <f t="shared" ref="S58:U58" si="21">S59+S60-S61-S62-S63-S64-S65</f>
        <v>-2.2851311643745542</v>
      </c>
      <c r="T58" s="48">
        <f t="shared" si="21"/>
        <v>-2.1897891569892765</v>
      </c>
      <c r="U58" s="48">
        <f t="shared" si="21"/>
        <v>-2.1944452644723325</v>
      </c>
    </row>
    <row r="59" spans="2:46" outlineLevel="1" x14ac:dyDescent="0.2">
      <c r="B59" s="77" t="s">
        <v>104</v>
      </c>
      <c r="C59" s="1"/>
      <c r="D59" s="1">
        <f>D12</f>
        <v>-1.0152870000000001</v>
      </c>
      <c r="E59" s="1">
        <f t="shared" ref="E59:U59" si="22">IF(E12="",D59,E12)</f>
        <v>-1.0152870000000001</v>
      </c>
      <c r="F59" s="1">
        <f t="shared" si="22"/>
        <v>-1.0152870000000001</v>
      </c>
      <c r="G59" s="1">
        <f t="shared" si="22"/>
        <v>-1.0152870000000001</v>
      </c>
      <c r="H59" s="1">
        <f t="shared" si="22"/>
        <v>-1.0152870000000001</v>
      </c>
      <c r="I59" s="1">
        <f t="shared" si="22"/>
        <v>-1.0152870000000001</v>
      </c>
      <c r="J59" s="1">
        <f t="shared" si="22"/>
        <v>-1.0152870000000001</v>
      </c>
      <c r="K59" s="1">
        <f t="shared" si="22"/>
        <v>-1.0152870000000001</v>
      </c>
      <c r="L59" s="1">
        <f t="shared" si="22"/>
        <v>-1.0152870000000001</v>
      </c>
      <c r="M59" s="1">
        <f t="shared" si="22"/>
        <v>-1.0152870000000001</v>
      </c>
      <c r="N59" s="1">
        <f t="shared" si="22"/>
        <v>-1.0152870000000001</v>
      </c>
      <c r="O59" s="1">
        <f t="shared" si="22"/>
        <v>-1.0152870000000001</v>
      </c>
      <c r="P59" s="1">
        <f t="shared" si="22"/>
        <v>-1.0152870000000001</v>
      </c>
      <c r="Q59" s="1">
        <f t="shared" si="22"/>
        <v>-1.0152870000000001</v>
      </c>
      <c r="R59" s="1">
        <f t="shared" si="22"/>
        <v>-1.0152870000000001</v>
      </c>
      <c r="S59" s="1">
        <f t="shared" si="22"/>
        <v>-1.0152870000000001</v>
      </c>
      <c r="T59" s="1">
        <f t="shared" si="22"/>
        <v>-1.0152870000000001</v>
      </c>
      <c r="U59" s="1">
        <f t="shared" si="22"/>
        <v>-1.0152870000000001</v>
      </c>
    </row>
    <row r="60" spans="2:46" outlineLevel="1" x14ac:dyDescent="0.2">
      <c r="B60" s="77" t="s">
        <v>105</v>
      </c>
      <c r="C60" s="1"/>
      <c r="D60" s="1">
        <v>0</v>
      </c>
      <c r="E60" s="1">
        <v>0</v>
      </c>
      <c r="F60" s="1">
        <v>0</v>
      </c>
      <c r="G60" s="1">
        <v>0</v>
      </c>
      <c r="H60" s="1">
        <v>0</v>
      </c>
      <c r="I60" s="1">
        <v>0</v>
      </c>
      <c r="J60" s="1">
        <v>0</v>
      </c>
      <c r="K60" s="1">
        <v>0</v>
      </c>
      <c r="L60" s="1">
        <v>0</v>
      </c>
      <c r="M60" s="1">
        <v>0</v>
      </c>
      <c r="N60" s="1">
        <v>0</v>
      </c>
      <c r="O60" s="1">
        <v>0</v>
      </c>
      <c r="P60" s="1">
        <v>0</v>
      </c>
      <c r="Q60" s="1">
        <v>0</v>
      </c>
      <c r="R60" s="1">
        <v>0</v>
      </c>
      <c r="S60" s="1">
        <v>0</v>
      </c>
      <c r="T60" s="1">
        <v>0</v>
      </c>
      <c r="U60" s="1">
        <v>0</v>
      </c>
    </row>
    <row r="61" spans="2:46" outlineLevel="1" x14ac:dyDescent="0.2">
      <c r="B61" s="77" t="s">
        <v>106</v>
      </c>
      <c r="C61" s="1"/>
      <c r="D61" s="1">
        <f t="shared" ref="D61:U61" si="23">-$C$47*D29</f>
        <v>0.6886962151545688</v>
      </c>
      <c r="E61" s="1">
        <f t="shared" si="23"/>
        <v>0.73588027563458236</v>
      </c>
      <c r="F61" s="1">
        <f t="shared" si="23"/>
        <v>0.59810798355858918</v>
      </c>
      <c r="G61" s="1">
        <f t="shared" si="23"/>
        <v>0.39873317559897481</v>
      </c>
      <c r="H61" s="1">
        <f t="shared" si="23"/>
        <v>0.19936824000838191</v>
      </c>
      <c r="I61" s="1">
        <f t="shared" si="23"/>
        <v>-3.403140168067864E-6</v>
      </c>
      <c r="J61" s="1">
        <f t="shared" si="23"/>
        <v>-5.005782769096356E-6</v>
      </c>
      <c r="K61" s="1">
        <f t="shared" si="23"/>
        <v>-5.4065495776356444E-6</v>
      </c>
      <c r="L61" s="1">
        <f t="shared" si="23"/>
        <v>-5.1560193107036415E-6</v>
      </c>
      <c r="M61" s="1">
        <f t="shared" si="23"/>
        <v>-4.9555910191401155E-6</v>
      </c>
      <c r="N61" s="1">
        <f t="shared" si="23"/>
        <v>-6.107005827438172E-6</v>
      </c>
      <c r="O61" s="1">
        <f t="shared" si="23"/>
        <v>-7.4559251652672742E-6</v>
      </c>
      <c r="P61" s="1">
        <f t="shared" si="23"/>
        <v>-8.951690593583805E-6</v>
      </c>
      <c r="Q61" s="1">
        <f t="shared" si="23"/>
        <v>-9.4492718977434716E-6</v>
      </c>
      <c r="R61" s="1">
        <f t="shared" si="23"/>
        <v>-8.952132326633944E-6</v>
      </c>
      <c r="S61" s="1">
        <f t="shared" si="23"/>
        <v>-1.1435625444988774E-5</v>
      </c>
      <c r="T61" s="1">
        <f t="shared" si="23"/>
        <v>-1.0443010724969781E-5</v>
      </c>
      <c r="U61" s="1">
        <f t="shared" si="23"/>
        <v>-1.1435527668801626E-5</v>
      </c>
    </row>
    <row r="62" spans="2:46" outlineLevel="1" x14ac:dyDescent="0.2">
      <c r="B62" s="77" t="s">
        <v>107</v>
      </c>
      <c r="C62" s="1"/>
      <c r="D62" s="1">
        <f t="shared" ref="D62:U62" si="24">-D13</f>
        <v>0</v>
      </c>
      <c r="E62" s="1">
        <f t="shared" si="24"/>
        <v>0</v>
      </c>
      <c r="F62" s="1">
        <f t="shared" si="24"/>
        <v>0</v>
      </c>
      <c r="G62" s="1">
        <f t="shared" si="24"/>
        <v>0</v>
      </c>
      <c r="H62" s="1">
        <f t="shared" si="24"/>
        <v>0</v>
      </c>
      <c r="I62" s="1">
        <f t="shared" si="24"/>
        <v>0</v>
      </c>
      <c r="J62" s="1">
        <f t="shared" si="24"/>
        <v>0</v>
      </c>
      <c r="K62" s="1">
        <f t="shared" si="24"/>
        <v>0</v>
      </c>
      <c r="L62" s="1">
        <f t="shared" si="24"/>
        <v>0</v>
      </c>
      <c r="M62" s="1">
        <f t="shared" si="24"/>
        <v>0</v>
      </c>
      <c r="N62" s="1">
        <f t="shared" si="24"/>
        <v>0</v>
      </c>
      <c r="O62" s="1">
        <f t="shared" si="24"/>
        <v>0</v>
      </c>
      <c r="P62" s="1">
        <f t="shared" si="24"/>
        <v>0</v>
      </c>
      <c r="Q62" s="1">
        <f t="shared" si="24"/>
        <v>0</v>
      </c>
      <c r="R62" s="1">
        <f t="shared" si="24"/>
        <v>0</v>
      </c>
      <c r="S62" s="1">
        <f t="shared" si="24"/>
        <v>0</v>
      </c>
      <c r="T62" s="1">
        <f t="shared" si="24"/>
        <v>0</v>
      </c>
      <c r="U62" s="1">
        <f t="shared" si="24"/>
        <v>0</v>
      </c>
    </row>
    <row r="63" spans="2:46" outlineLevel="1" x14ac:dyDescent="0.2">
      <c r="B63" s="77" t="s">
        <v>108</v>
      </c>
      <c r="C63" s="1"/>
      <c r="D63" s="1">
        <f>IF(D$55&lt;=$C$5,0,HLOOKUP(D$55,'Input data'!$C$9:$AZ$26,12,FALSE)-HLOOKUP($C$5,'Input data'!$C$9:$AZ$26,12,FALSE))</f>
        <v>0</v>
      </c>
      <c r="E63" s="1">
        <f>IF(E$55&lt;=$C$5,0,HLOOKUP(E$55,'Input data'!$C$9:$AZ$26,12,FALSE)-HLOOKUP($C$5,'Input data'!$C$9:$AZ$26,12,FALSE))</f>
        <v>9.9999999999997868E-2</v>
      </c>
      <c r="F63" s="1">
        <f>IF(F$55&lt;=$C$5,0,HLOOKUP(F$55,'Input data'!$C$9:$AZ$26,12,FALSE)-HLOOKUP($C$5,'Input data'!$C$9:$AZ$26,12,FALSE))</f>
        <v>9.9999999999997868E-2</v>
      </c>
      <c r="G63" s="1">
        <f>IF(G$55&lt;=$C$5,0,HLOOKUP(G$55,'Input data'!$C$9:$AZ$26,12,FALSE)-HLOOKUP($C$5,'Input data'!$C$9:$AZ$26,12,FALSE))</f>
        <v>0.30000000000000071</v>
      </c>
      <c r="H63" s="1">
        <f>IF(H$55&lt;=$C$5,0,HLOOKUP(H$55,'Input data'!$C$9:$AZ$26,12,FALSE)-HLOOKUP($C$5,'Input data'!$C$9:$AZ$26,12,FALSE))</f>
        <v>0.39999999999999858</v>
      </c>
      <c r="I63" s="1">
        <f>IF(I$55&lt;=$C$5,0,HLOOKUP(I$55,'Input data'!$C$9:$AZ$26,12,FALSE)-HLOOKUP($C$5,'Input data'!$C$9:$AZ$26,12,FALSE))</f>
        <v>0.49999999999999645</v>
      </c>
      <c r="J63" s="1">
        <f>IF(J$55&lt;=$C$5,0,HLOOKUP(J$55,'Input data'!$C$9:$AZ$26,12,FALSE)-HLOOKUP($C$5,'Input data'!$C$9:$AZ$26,12,FALSE))</f>
        <v>0.59999999999999787</v>
      </c>
      <c r="K63" s="1">
        <f>IF(K$55&lt;=$C$5,0,HLOOKUP(K$55,'Input data'!$C$9:$AZ$26,12,FALSE)-HLOOKUP($C$5,'Input data'!$C$9:$AZ$26,12,FALSE))</f>
        <v>0.69999999999999929</v>
      </c>
      <c r="L63" s="1">
        <f>IF(L$55&lt;=$C$5,0,HLOOKUP(L$55,'Input data'!$C$9:$AZ$26,12,FALSE)-HLOOKUP($C$5,'Input data'!$C$9:$AZ$26,12,FALSE))</f>
        <v>0.89999999999999858</v>
      </c>
      <c r="M63" s="1">
        <f>IF(M$55&lt;=$C$5,0,HLOOKUP(M$55,'Input data'!$C$9:$AZ$26,12,FALSE)-HLOOKUP($C$5,'Input data'!$C$9:$AZ$26,12,FALSE))</f>
        <v>1</v>
      </c>
      <c r="N63" s="1">
        <f>IF(N$55&lt;=$C$5,0,HLOOKUP(N$55,'Input data'!$C$9:$AZ$26,12,FALSE)-HLOOKUP($C$5,'Input data'!$C$9:$AZ$26,12,FALSE))</f>
        <v>1</v>
      </c>
      <c r="O63" s="1">
        <f>IF(O$55&lt;=$C$5,0,HLOOKUP(O$55,'Input data'!$C$9:$AZ$26,12,FALSE)-HLOOKUP($C$5,'Input data'!$C$9:$AZ$26,12,FALSE))</f>
        <v>1.0999999999999979</v>
      </c>
      <c r="P63" s="1">
        <f>IF(P$55&lt;=$C$5,0,HLOOKUP(P$55,'Input data'!$C$9:$AZ$26,12,FALSE)-HLOOKUP($C$5,'Input data'!$C$9:$AZ$26,12,FALSE))</f>
        <v>1.1999999999999957</v>
      </c>
      <c r="Q63" s="1">
        <f>IF(Q$55&lt;=$C$5,0,HLOOKUP(Q$55,'Input data'!$C$9:$AZ$26,12,FALSE)-HLOOKUP($C$5,'Input data'!$C$9:$AZ$26,12,FALSE))</f>
        <v>1.1999999999999957</v>
      </c>
      <c r="R63" s="1">
        <f>IF(R$55&lt;=$C$5,0,HLOOKUP(R$55,'Input data'!$C$9:$AZ$26,12,FALSE)-HLOOKUP($C$5,'Input data'!$C$9:$AZ$26,12,FALSE))</f>
        <v>1.1999999999999957</v>
      </c>
      <c r="S63" s="1">
        <f>IF(S$55&lt;=$C$5,0,HLOOKUP(S$55,'Input data'!$C$9:$AZ$26,12,FALSE)-HLOOKUP($C$5,'Input data'!$C$9:$AZ$26,12,FALSE))</f>
        <v>1.1999999999999993</v>
      </c>
      <c r="T63" s="1">
        <f>IF(T$55&lt;=$C$5,0,HLOOKUP(T$55,'Input data'!$C$9:$AZ$26,12,FALSE)-HLOOKUP($C$5,'Input data'!$C$9:$AZ$26,12,FALSE))</f>
        <v>1.1000000000000014</v>
      </c>
      <c r="U63" s="1">
        <f>IF(U$55&lt;=$C$5,0,HLOOKUP(U$55,'Input data'!$C$9:$AZ$26,12,FALSE)-HLOOKUP($C$5,'Input data'!$C$9:$AZ$26,12,FALSE))</f>
        <v>1.1000000000000014</v>
      </c>
    </row>
    <row r="64" spans="2:46" outlineLevel="1" x14ac:dyDescent="0.2">
      <c r="B64" s="77" t="s">
        <v>109</v>
      </c>
      <c r="C64" s="1"/>
      <c r="D64" s="1">
        <f>IF(D$55&lt;=$C$5,0,-HLOOKUP(D$55,'Input data'!$C$9:$AZ$26,18,FALSE)+HLOOKUP($C$5,'Input data'!$C$9:$AZ$26,18,FALSE))</f>
        <v>0</v>
      </c>
      <c r="E64" s="1">
        <f>IF(E$55&lt;=$C$5,0,-HLOOKUP(E$55,'Input data'!$C$9:$AZ$26,18,FALSE)+HLOOKUP($C$5,'Input data'!$C$9:$AZ$26,18,FALSE))</f>
        <v>4.6569999999999112E-3</v>
      </c>
      <c r="F64" s="1">
        <f>IF(F$55&lt;=$C$5,0,-HLOOKUP(F$55,'Input data'!$C$9:$AZ$26,18,FALSE)+HLOOKUP($C$5,'Input data'!$C$9:$AZ$26,18,FALSE))</f>
        <v>9.3139999999999334E-3</v>
      </c>
      <c r="G64" s="1">
        <f>IF(G$55&lt;=$C$5,0,-HLOOKUP(G$55,'Input data'!$C$9:$AZ$26,18,FALSE)+HLOOKUP($C$5,'Input data'!$C$9:$AZ$26,18,FALSE))</f>
        <v>1.3971099999999903E-2</v>
      </c>
      <c r="H64" s="1">
        <f>IF(H$55&lt;=$C$5,0,-HLOOKUP(H$55,'Input data'!$C$9:$AZ$26,18,FALSE)+HLOOKUP($C$5,'Input data'!$C$9:$AZ$26,18,FALSE))</f>
        <v>1.8628099999999925E-2</v>
      </c>
      <c r="I64" s="1">
        <f>IF(I$55&lt;=$C$5,0,-HLOOKUP(I$55,'Input data'!$C$9:$AZ$26,18,FALSE)+HLOOKUP($C$5,'Input data'!$C$9:$AZ$26,18,FALSE))</f>
        <v>2.3285099999999948E-2</v>
      </c>
      <c r="J64" s="1">
        <f>IF(J$55&lt;=$C$5,0,-HLOOKUP(J$55,'Input data'!$C$9:$AZ$26,18,FALSE)+HLOOKUP($C$5,'Input data'!$C$9:$AZ$26,18,FALSE))</f>
        <v>2.7942199999999917E-2</v>
      </c>
      <c r="K64" s="1">
        <f>IF(K$55&lt;=$C$5,0,-HLOOKUP(K$55,'Input data'!$C$9:$AZ$26,18,FALSE)+HLOOKUP($C$5,'Input data'!$C$9:$AZ$26,18,FALSE))</f>
        <v>3.2599199999999939E-2</v>
      </c>
      <c r="L64" s="1">
        <f>IF(L$55&lt;=$C$5,0,-HLOOKUP(L$55,'Input data'!$C$9:$AZ$26,18,FALSE)+HLOOKUP($C$5,'Input data'!$C$9:$AZ$26,18,FALSE))</f>
        <v>3.7256199999999962E-2</v>
      </c>
      <c r="M64" s="1">
        <f>IF(M$55&lt;=$C$5,0,-HLOOKUP(M$55,'Input data'!$C$9:$AZ$26,18,FALSE)+HLOOKUP($C$5,'Input data'!$C$9:$AZ$26,18,FALSE))</f>
        <v>4.1913199999999984E-2</v>
      </c>
      <c r="N64" s="1">
        <f>IF(N$55&lt;=$C$5,0,-HLOOKUP(N$55,'Input data'!$C$9:$AZ$26,18,FALSE)+HLOOKUP($C$5,'Input data'!$C$9:$AZ$26,18,FALSE))</f>
        <v>4.6570299999999953E-2</v>
      </c>
      <c r="O64" s="1">
        <f>IF(O$55&lt;=$C$5,0,-HLOOKUP(O$55,'Input data'!$C$9:$AZ$26,18,FALSE)+HLOOKUP($C$5,'Input data'!$C$9:$AZ$26,18,FALSE))</f>
        <v>5.1227399999999923E-2</v>
      </c>
      <c r="P64" s="1">
        <f>IF(P$55&lt;=$C$5,0,-HLOOKUP(P$55,'Input data'!$C$9:$AZ$26,18,FALSE)+HLOOKUP($C$5,'Input data'!$C$9:$AZ$26,18,FALSE))</f>
        <v>5.5884399999999945E-2</v>
      </c>
      <c r="Q64" s="1">
        <f>IF(Q$55&lt;=$C$5,0,-HLOOKUP(Q$55,'Input data'!$C$9:$AZ$26,18,FALSE)+HLOOKUP($C$5,'Input data'!$C$9:$AZ$26,18,FALSE))</f>
        <v>6.0541399999999967E-2</v>
      </c>
      <c r="R64" s="1">
        <f>IF(R$55&lt;=$C$5,0,-HLOOKUP(R$55,'Input data'!$C$9:$AZ$26,18,FALSE)+HLOOKUP($C$5,'Input data'!$C$9:$AZ$26,18,FALSE))</f>
        <v>6.5198499999999937E-2</v>
      </c>
      <c r="S64" s="1">
        <f>IF(S$55&lt;=$C$5,0,-HLOOKUP(S$55,'Input data'!$C$9:$AZ$26,18,FALSE)+HLOOKUP($C$5,'Input data'!$C$9:$AZ$26,18,FALSE))</f>
        <v>6.9855599999999907E-2</v>
      </c>
      <c r="T64" s="1">
        <f>IF(T$55&lt;=$C$5,0,-HLOOKUP(T$55,'Input data'!$C$9:$AZ$26,18,FALSE)+HLOOKUP($C$5,'Input data'!$C$9:$AZ$26,18,FALSE))</f>
        <v>7.4512599999999929E-2</v>
      </c>
      <c r="U64" s="1">
        <f>IF(U$55&lt;=$C$5,0,-HLOOKUP(U$55,'Input data'!$C$9:$AZ$26,18,FALSE)+HLOOKUP($C$5,'Input data'!$C$9:$AZ$26,18,FALSE))</f>
        <v>7.916970000000001E-2</v>
      </c>
    </row>
    <row r="65" spans="2:21" outlineLevel="1" x14ac:dyDescent="0.2">
      <c r="B65" s="77" t="s">
        <v>110</v>
      </c>
      <c r="C65" s="37"/>
      <c r="D65" s="37">
        <v>0</v>
      </c>
      <c r="E65" s="37">
        <v>0</v>
      </c>
      <c r="F65" s="37">
        <v>0</v>
      </c>
      <c r="G65" s="37">
        <v>0</v>
      </c>
      <c r="H65" s="37">
        <v>0</v>
      </c>
      <c r="I65" s="37">
        <v>0</v>
      </c>
      <c r="J65" s="37">
        <v>0</v>
      </c>
      <c r="K65" s="37">
        <v>0</v>
      </c>
      <c r="L65" s="37">
        <v>0</v>
      </c>
      <c r="M65" s="37">
        <v>0</v>
      </c>
      <c r="N65" s="37">
        <v>0</v>
      </c>
      <c r="O65" s="37">
        <v>0</v>
      </c>
      <c r="P65" s="37">
        <v>0</v>
      </c>
      <c r="Q65" s="37">
        <v>0</v>
      </c>
      <c r="R65" s="37">
        <v>0</v>
      </c>
      <c r="S65" s="37">
        <v>0</v>
      </c>
      <c r="T65" s="37">
        <v>0</v>
      </c>
      <c r="U65" s="37">
        <v>0</v>
      </c>
    </row>
    <row r="66" spans="2:21" outlineLevel="1" x14ac:dyDescent="0.2">
      <c r="B66" s="82" t="s">
        <v>111</v>
      </c>
      <c r="C66" s="48"/>
      <c r="D66" s="48">
        <f t="shared" ref="D66:R66" si="25">SUM(D67:D70)</f>
        <v>-0.69368010000000002</v>
      </c>
      <c r="E66" s="48">
        <f>SUM(E67:E70)</f>
        <v>-0.49673889999999998</v>
      </c>
      <c r="F66" s="48">
        <f t="shared" si="25"/>
        <v>-0.62493589999999999</v>
      </c>
      <c r="G66" s="48">
        <f t="shared" si="25"/>
        <v>-0.69551286759223618</v>
      </c>
      <c r="H66" s="48">
        <f t="shared" si="25"/>
        <v>-0.69101462922374679</v>
      </c>
      <c r="I66" s="48">
        <f t="shared" si="25"/>
        <v>-0.68787151647252931</v>
      </c>
      <c r="J66" s="48">
        <f t="shared" si="25"/>
        <v>-0.33845709325739337</v>
      </c>
      <c r="K66" s="48">
        <f t="shared" si="25"/>
        <v>-0.25318583356055635</v>
      </c>
      <c r="L66" s="48">
        <f t="shared" si="25"/>
        <v>-0.17193774064510237</v>
      </c>
      <c r="M66" s="48">
        <f t="shared" si="25"/>
        <v>-0.10271711543702078</v>
      </c>
      <c r="N66" s="48">
        <f t="shared" si="25"/>
        <v>-0.10165037064052695</v>
      </c>
      <c r="O66" s="48">
        <f t="shared" si="25"/>
        <v>-0.19101270016943306</v>
      </c>
      <c r="P66" s="48">
        <f t="shared" si="25"/>
        <v>-0.29094184686882674</v>
      </c>
      <c r="Q66" s="48">
        <f t="shared" si="25"/>
        <v>-0.40084202510481504</v>
      </c>
      <c r="R66" s="48">
        <f t="shared" si="25"/>
        <v>-0.42739476536436638</v>
      </c>
      <c r="S66" s="48">
        <f t="shared" ref="S66:U66" si="26">SUM(S67:S70)</f>
        <v>-0.45887023573571573</v>
      </c>
      <c r="T66" s="48">
        <f t="shared" si="26"/>
        <v>-0.48630470933435332</v>
      </c>
      <c r="U66" s="48">
        <f t="shared" si="26"/>
        <v>-0.45697589551902218</v>
      </c>
    </row>
    <row r="67" spans="2:21" outlineLevel="1" x14ac:dyDescent="0.2">
      <c r="B67" s="77" t="s">
        <v>112</v>
      </c>
      <c r="C67" s="34"/>
      <c r="D67" s="34">
        <f t="shared" ref="D67:U67" si="27">C56*D35/100*(1/(1+D32/100))</f>
        <v>1.0548956399101987</v>
      </c>
      <c r="E67" s="34">
        <f t="shared" si="27"/>
        <v>1.0955462972973893</v>
      </c>
      <c r="F67" s="34">
        <f t="shared" si="27"/>
        <v>1.1187215251409695</v>
      </c>
      <c r="G67" s="34">
        <f t="shared" si="27"/>
        <v>1.2315759970207529</v>
      </c>
      <c r="H67" s="34">
        <f t="shared" si="27"/>
        <v>1.3396029516386523</v>
      </c>
      <c r="I67" s="34">
        <f t="shared" si="27"/>
        <v>1.4430777717604861</v>
      </c>
      <c r="J67" s="34">
        <f t="shared" si="27"/>
        <v>1.5501533270102852</v>
      </c>
      <c r="K67" s="34">
        <f t="shared" si="27"/>
        <v>1.6616333031203394</v>
      </c>
      <c r="L67" s="34">
        <f t="shared" si="27"/>
        <v>1.7781466750646056</v>
      </c>
      <c r="M67" s="34">
        <f t="shared" si="27"/>
        <v>1.9031571581552669</v>
      </c>
      <c r="N67" s="34">
        <f t="shared" si="27"/>
        <v>2.032443031515359</v>
      </c>
      <c r="O67" s="34">
        <f t="shared" si="27"/>
        <v>2.1403823920220244</v>
      </c>
      <c r="P67" s="34">
        <f t="shared" si="27"/>
        <v>2.2449015591690249</v>
      </c>
      <c r="Q67" s="34">
        <f t="shared" si="27"/>
        <v>2.346278053353656</v>
      </c>
      <c r="R67" s="34">
        <f t="shared" si="27"/>
        <v>2.4442355571798013</v>
      </c>
      <c r="S67" s="34">
        <f t="shared" si="27"/>
        <v>2.5391387267037997</v>
      </c>
      <c r="T67" s="34">
        <f t="shared" si="27"/>
        <v>2.6315478698947552</v>
      </c>
      <c r="U67" s="34">
        <f t="shared" si="27"/>
        <v>2.7202733792595386</v>
      </c>
    </row>
    <row r="68" spans="2:21" outlineLevel="1" x14ac:dyDescent="0.2">
      <c r="B68" s="77" t="s">
        <v>113</v>
      </c>
      <c r="C68" s="34"/>
      <c r="D68" s="34">
        <f t="shared" ref="D68:U68" si="28">-C56*(D23/100)*(1/(1+D32/100))</f>
        <v>0.14582752401370536</v>
      </c>
      <c r="E68" s="34">
        <f t="shared" si="28"/>
        <v>-0.10478358646869197</v>
      </c>
      <c r="F68" s="34">
        <f t="shared" si="28"/>
        <v>-0.38914888839937894</v>
      </c>
      <c r="G68" s="34">
        <f t="shared" si="28"/>
        <v>-0.54007205673320824</v>
      </c>
      <c r="H68" s="34">
        <f t="shared" si="28"/>
        <v>-0.61414501001885624</v>
      </c>
      <c r="I68" s="34">
        <f t="shared" si="28"/>
        <v>-0.68673285499543146</v>
      </c>
      <c r="J68" s="34">
        <f t="shared" si="28"/>
        <v>-0.41842207661188768</v>
      </c>
      <c r="K68" s="34">
        <f t="shared" si="28"/>
        <v>-0.40858716422941288</v>
      </c>
      <c r="L68" s="34">
        <f t="shared" si="28"/>
        <v>-0.40336198582068755</v>
      </c>
      <c r="M68" s="34">
        <f t="shared" si="28"/>
        <v>-0.41204016315688857</v>
      </c>
      <c r="N68" s="34">
        <f t="shared" si="28"/>
        <v>-0.48890583393072401</v>
      </c>
      <c r="O68" s="34">
        <f t="shared" si="28"/>
        <v>-0.65238526593868895</v>
      </c>
      <c r="P68" s="34">
        <f t="shared" si="28"/>
        <v>-0.82316704626131942</v>
      </c>
      <c r="Q68" s="34">
        <f t="shared" si="28"/>
        <v>-1.0011683991003624</v>
      </c>
      <c r="R68" s="34">
        <f t="shared" si="28"/>
        <v>-1.0951721735333815</v>
      </c>
      <c r="S68" s="34">
        <f t="shared" si="28"/>
        <v>-1.1919838816301884</v>
      </c>
      <c r="T68" s="34">
        <f t="shared" si="28"/>
        <v>-1.2832972902051463</v>
      </c>
      <c r="U68" s="34">
        <f t="shared" si="28"/>
        <v>-1.3172277517981543</v>
      </c>
    </row>
    <row r="69" spans="2:21" outlineLevel="1" x14ac:dyDescent="0.2">
      <c r="B69" s="77" t="s">
        <v>114</v>
      </c>
      <c r="C69" s="34"/>
      <c r="D69" s="34">
        <f t="shared" ref="D69:U69" si="29">-C56*D41/100*(1/(1+D41/100))</f>
        <v>-1.8943920413494018</v>
      </c>
      <c r="E69" s="34">
        <f t="shared" si="29"/>
        <v>-1.4872123454975903</v>
      </c>
      <c r="F69" s="34">
        <f t="shared" si="29"/>
        <v>-1.3543119825736065</v>
      </c>
      <c r="G69" s="34">
        <f t="shared" si="29"/>
        <v>-1.3870168078797809</v>
      </c>
      <c r="H69" s="34">
        <f t="shared" si="29"/>
        <v>-1.4164725708435428</v>
      </c>
      <c r="I69" s="34">
        <f t="shared" si="29"/>
        <v>-1.444216433237584</v>
      </c>
      <c r="J69" s="34">
        <f t="shared" si="29"/>
        <v>-1.4701883436557908</v>
      </c>
      <c r="K69" s="34">
        <f t="shared" si="29"/>
        <v>-1.506231972451483</v>
      </c>
      <c r="L69" s="34">
        <f t="shared" si="29"/>
        <v>-1.5467224298890203</v>
      </c>
      <c r="M69" s="34">
        <f t="shared" si="29"/>
        <v>-1.593834110435399</v>
      </c>
      <c r="N69" s="34">
        <f t="shared" si="29"/>
        <v>-1.645187568225162</v>
      </c>
      <c r="O69" s="34">
        <f t="shared" si="29"/>
        <v>-1.6790098262527684</v>
      </c>
      <c r="P69" s="34">
        <f t="shared" si="29"/>
        <v>-1.7126763597765322</v>
      </c>
      <c r="Q69" s="34">
        <f t="shared" si="29"/>
        <v>-1.7459516793581087</v>
      </c>
      <c r="R69" s="34">
        <f t="shared" si="29"/>
        <v>-1.7764581490107862</v>
      </c>
      <c r="S69" s="34">
        <f t="shared" si="29"/>
        <v>-1.806025080809327</v>
      </c>
      <c r="T69" s="34">
        <f t="shared" si="29"/>
        <v>-1.8345552890239623</v>
      </c>
      <c r="U69" s="34">
        <f t="shared" si="29"/>
        <v>-1.8600215229804065</v>
      </c>
    </row>
    <row r="70" spans="2:21" outlineLevel="1" x14ac:dyDescent="0.2">
      <c r="B70" s="77" t="s">
        <v>115</v>
      </c>
      <c r="C70" s="49"/>
      <c r="D70" s="49">
        <v>-1.1222574502478544E-5</v>
      </c>
      <c r="E70" s="49">
        <v>-2.8926533110695818E-4</v>
      </c>
      <c r="F70" s="49">
        <v>-1.9655416798392E-4</v>
      </c>
      <c r="G70" s="49">
        <v>0</v>
      </c>
      <c r="H70" s="49">
        <v>0</v>
      </c>
      <c r="I70" s="49">
        <v>0</v>
      </c>
      <c r="J70" s="49">
        <v>0</v>
      </c>
      <c r="K70" s="49">
        <v>0</v>
      </c>
      <c r="L70" s="49">
        <v>0</v>
      </c>
      <c r="M70" s="49">
        <v>0</v>
      </c>
      <c r="N70" s="49">
        <v>0</v>
      </c>
      <c r="O70" s="49">
        <v>0</v>
      </c>
      <c r="P70" s="49">
        <v>0</v>
      </c>
      <c r="Q70" s="49">
        <v>0</v>
      </c>
      <c r="R70" s="49">
        <v>0</v>
      </c>
      <c r="S70" s="49">
        <v>0</v>
      </c>
      <c r="T70" s="49">
        <v>0</v>
      </c>
      <c r="U70" s="49">
        <v>0</v>
      </c>
    </row>
    <row r="71" spans="2:21" outlineLevel="1" x14ac:dyDescent="0.2">
      <c r="B71" s="82" t="s">
        <v>116</v>
      </c>
      <c r="C71" s="50"/>
      <c r="D71" s="50">
        <f>'Input data'!D16</f>
        <v>-1.4401139999999999</v>
      </c>
      <c r="E71" s="50">
        <f>'Input data'!E16</f>
        <v>6.9708000000000006E-2</v>
      </c>
      <c r="F71" s="50">
        <f>'Input data'!F16</f>
        <v>9.8867300000000005E-2</v>
      </c>
      <c r="G71" s="50">
        <f>'Input data'!G16</f>
        <v>0</v>
      </c>
      <c r="H71" s="50">
        <f>'Input data'!H16</f>
        <v>0</v>
      </c>
      <c r="I71" s="50">
        <f>'Input data'!I16</f>
        <v>0</v>
      </c>
      <c r="J71" s="50">
        <f>'Input data'!J16</f>
        <v>0</v>
      </c>
      <c r="K71" s="50">
        <f>'Input data'!K16</f>
        <v>0</v>
      </c>
      <c r="L71" s="50">
        <f>'Input data'!L16</f>
        <v>0</v>
      </c>
      <c r="M71" s="50">
        <f>'Input data'!M16</f>
        <v>0</v>
      </c>
      <c r="N71" s="50">
        <f>'Input data'!N16</f>
        <v>0</v>
      </c>
      <c r="O71" s="50">
        <f>'Input data'!O16</f>
        <v>0</v>
      </c>
      <c r="P71" s="50">
        <f>'Input data'!P16</f>
        <v>0</v>
      </c>
      <c r="Q71" s="50">
        <f>'Input data'!Q16</f>
        <v>0</v>
      </c>
      <c r="R71" s="50">
        <f>'Input data'!R16</f>
        <v>0</v>
      </c>
      <c r="S71" s="50">
        <f>'Input data'!S16</f>
        <v>0</v>
      </c>
      <c r="T71" s="50">
        <f>'Input data'!T16</f>
        <v>0</v>
      </c>
      <c r="U71" s="50">
        <f>'Input data'!U16</f>
        <v>0</v>
      </c>
    </row>
    <row r="72" spans="2:21" outlineLevel="1" x14ac:dyDescent="0.2">
      <c r="B72" s="77" t="s">
        <v>117</v>
      </c>
      <c r="C72" s="34"/>
      <c r="D72" s="34">
        <f t="shared" ref="D72:U72" si="30">D14</f>
        <v>-1.4394560000000001</v>
      </c>
      <c r="E72" s="34">
        <f t="shared" si="30"/>
        <v>8.5767899999999994E-2</v>
      </c>
      <c r="F72" s="34">
        <f t="shared" si="30"/>
        <v>0.1097981</v>
      </c>
      <c r="G72" s="34">
        <f t="shared" si="30"/>
        <v>0</v>
      </c>
      <c r="H72" s="34">
        <f t="shared" si="30"/>
        <v>0</v>
      </c>
      <c r="I72" s="34">
        <f t="shared" si="30"/>
        <v>0</v>
      </c>
      <c r="J72" s="34">
        <f t="shared" si="30"/>
        <v>0</v>
      </c>
      <c r="K72" s="34">
        <f t="shared" si="30"/>
        <v>0</v>
      </c>
      <c r="L72" s="34">
        <f t="shared" si="30"/>
        <v>0</v>
      </c>
      <c r="M72" s="34">
        <f t="shared" si="30"/>
        <v>0</v>
      </c>
      <c r="N72" s="34">
        <f t="shared" si="30"/>
        <v>0</v>
      </c>
      <c r="O72" s="34">
        <f t="shared" si="30"/>
        <v>0</v>
      </c>
      <c r="P72" s="34">
        <f t="shared" si="30"/>
        <v>0</v>
      </c>
      <c r="Q72" s="34">
        <f t="shared" si="30"/>
        <v>0</v>
      </c>
      <c r="R72" s="34">
        <f t="shared" si="30"/>
        <v>0</v>
      </c>
      <c r="S72" s="34">
        <f t="shared" si="30"/>
        <v>0</v>
      </c>
      <c r="T72" s="34">
        <f t="shared" si="30"/>
        <v>0</v>
      </c>
      <c r="U72" s="34">
        <f t="shared" si="30"/>
        <v>0</v>
      </c>
    </row>
    <row r="73" spans="2:21" outlineLevel="1" x14ac:dyDescent="0.2">
      <c r="B73" s="87" t="s">
        <v>118</v>
      </c>
      <c r="C73" s="49"/>
      <c r="D73" s="49">
        <f>+D71-D72</f>
        <v>-6.5799999999982539E-4</v>
      </c>
      <c r="E73" s="49">
        <f t="shared" ref="E73:R73" si="31">+E71-E72</f>
        <v>-1.6059899999999988E-2</v>
      </c>
      <c r="F73" s="49">
        <f t="shared" si="31"/>
        <v>-1.0930799999999991E-2</v>
      </c>
      <c r="G73" s="49">
        <f t="shared" si="31"/>
        <v>0</v>
      </c>
      <c r="H73" s="49">
        <f t="shared" si="31"/>
        <v>0</v>
      </c>
      <c r="I73" s="49">
        <f t="shared" si="31"/>
        <v>0</v>
      </c>
      <c r="J73" s="49">
        <f t="shared" si="31"/>
        <v>0</v>
      </c>
      <c r="K73" s="49">
        <f t="shared" si="31"/>
        <v>0</v>
      </c>
      <c r="L73" s="49">
        <f t="shared" si="31"/>
        <v>0</v>
      </c>
      <c r="M73" s="49">
        <f t="shared" si="31"/>
        <v>0</v>
      </c>
      <c r="N73" s="49">
        <f t="shared" si="31"/>
        <v>0</v>
      </c>
      <c r="O73" s="49">
        <f t="shared" si="31"/>
        <v>0</v>
      </c>
      <c r="P73" s="49">
        <f t="shared" si="31"/>
        <v>0</v>
      </c>
      <c r="Q73" s="49">
        <f t="shared" si="31"/>
        <v>0</v>
      </c>
      <c r="R73" s="49">
        <f t="shared" si="31"/>
        <v>0</v>
      </c>
      <c r="S73" s="49">
        <f t="shared" ref="S73:U73" si="32">+S71-S72</f>
        <v>0</v>
      </c>
      <c r="T73" s="49">
        <f t="shared" si="32"/>
        <v>0</v>
      </c>
      <c r="U73" s="49">
        <f t="shared" si="32"/>
        <v>0</v>
      </c>
    </row>
    <row r="74" spans="2:21" outlineLevel="1" x14ac:dyDescent="0.2">
      <c r="B74" s="77"/>
      <c r="C74" s="34"/>
      <c r="D74" s="34"/>
      <c r="E74" s="34"/>
      <c r="F74" s="34"/>
      <c r="G74" s="34"/>
      <c r="H74" s="34"/>
      <c r="I74" s="34"/>
      <c r="J74" s="34"/>
      <c r="K74" s="34"/>
      <c r="L74" s="34"/>
      <c r="M74" s="34"/>
      <c r="N74" s="34"/>
      <c r="O74" s="34"/>
      <c r="P74" s="34"/>
      <c r="Q74" s="34"/>
      <c r="R74" s="34"/>
      <c r="S74" s="34"/>
      <c r="T74" s="34"/>
      <c r="U74" s="34"/>
    </row>
    <row r="75" spans="2:21" ht="10.5" customHeight="1" outlineLevel="1" x14ac:dyDescent="0.2">
      <c r="B75" s="89" t="s">
        <v>119</v>
      </c>
    </row>
    <row r="76" spans="2:21" x14ac:dyDescent="0.2">
      <c r="B76" s="75" t="s">
        <v>41</v>
      </c>
      <c r="C76" s="76">
        <v>-2.4799370000000001</v>
      </c>
      <c r="D76" s="76">
        <f>D58-D67-D70</f>
        <v>-2.758867632490265</v>
      </c>
      <c r="E76" s="76">
        <f t="shared" ref="E76:U76" si="33">E58-E67-E70</f>
        <v>-2.9510813076008624</v>
      </c>
      <c r="F76" s="76">
        <f t="shared" si="33"/>
        <v>-2.8412339545315723</v>
      </c>
      <c r="G76" s="76">
        <f t="shared" si="33"/>
        <v>-2.9595672726197284</v>
      </c>
      <c r="H76" s="76">
        <f t="shared" si="33"/>
        <v>-2.9728862916470327</v>
      </c>
      <c r="I76" s="76">
        <f t="shared" si="33"/>
        <v>-2.9816464686203146</v>
      </c>
      <c r="J76" s="76">
        <f t="shared" si="33"/>
        <v>-3.1933775212275135</v>
      </c>
      <c r="K76" s="76">
        <f t="shared" si="33"/>
        <v>-3.4095140965707609</v>
      </c>
      <c r="L76" s="76">
        <f t="shared" si="33"/>
        <v>-3.7306847190452936</v>
      </c>
      <c r="M76" s="76">
        <f t="shared" si="33"/>
        <v>-3.960352402564248</v>
      </c>
      <c r="N76" s="76">
        <f t="shared" si="33"/>
        <v>-4.0942942245095315</v>
      </c>
      <c r="O76" s="76">
        <f t="shared" si="33"/>
        <v>-4.306889336096857</v>
      </c>
      <c r="P76" s="76">
        <f t="shared" si="33"/>
        <v>-4.5160640074784268</v>
      </c>
      <c r="Q76" s="76">
        <f t="shared" si="33"/>
        <v>-4.6220970040817537</v>
      </c>
      <c r="R76" s="76">
        <f t="shared" si="33"/>
        <v>-4.7247121050474714</v>
      </c>
      <c r="S76" s="76">
        <f t="shared" si="33"/>
        <v>-4.8242698910783535</v>
      </c>
      <c r="T76" s="76">
        <f t="shared" si="33"/>
        <v>-4.8213370268840317</v>
      </c>
      <c r="U76" s="76">
        <f t="shared" si="33"/>
        <v>-4.9147186437318711</v>
      </c>
    </row>
    <row r="77" spans="2:21" x14ac:dyDescent="0.2">
      <c r="B77" s="26" t="s">
        <v>42</v>
      </c>
      <c r="C77" s="34">
        <v>-2.1345619999999998</v>
      </c>
      <c r="D77" s="34">
        <f>D59-D67-D70-D63-D64-D65</f>
        <v>-2.070171417335696</v>
      </c>
      <c r="E77" s="34">
        <f t="shared" ref="E77:U77" si="34">E59-E67-E70-E63-E64-E65</f>
        <v>-2.2152010319662803</v>
      </c>
      <c r="F77" s="34">
        <f t="shared" si="34"/>
        <v>-2.2431259709729834</v>
      </c>
      <c r="G77" s="34">
        <f t="shared" si="34"/>
        <v>-2.5608340970207539</v>
      </c>
      <c r="H77" s="34">
        <f t="shared" si="34"/>
        <v>-2.7735180516386508</v>
      </c>
      <c r="I77" s="34">
        <f t="shared" si="34"/>
        <v>-2.9816498717604825</v>
      </c>
      <c r="J77" s="34">
        <f t="shared" si="34"/>
        <v>-3.1933825270102831</v>
      </c>
      <c r="K77" s="34">
        <f t="shared" si="34"/>
        <v>-3.4095195031203387</v>
      </c>
      <c r="L77" s="34">
        <f t="shared" si="34"/>
        <v>-3.7306898750646038</v>
      </c>
      <c r="M77" s="34">
        <f t="shared" si="34"/>
        <v>-3.9603573581552665</v>
      </c>
      <c r="N77" s="34">
        <f t="shared" si="34"/>
        <v>-4.0943003315153588</v>
      </c>
      <c r="O77" s="34">
        <f t="shared" si="34"/>
        <v>-4.3068967920220222</v>
      </c>
      <c r="P77" s="34">
        <f t="shared" si="34"/>
        <v>-4.516072959169021</v>
      </c>
      <c r="Q77" s="34">
        <f t="shared" si="34"/>
        <v>-4.622106453353652</v>
      </c>
      <c r="R77" s="34">
        <f t="shared" si="34"/>
        <v>-4.7247210571797975</v>
      </c>
      <c r="S77" s="34">
        <f t="shared" si="34"/>
        <v>-4.8242813267037992</v>
      </c>
      <c r="T77" s="34">
        <f t="shared" si="34"/>
        <v>-4.8213474698947572</v>
      </c>
      <c r="U77" s="34">
        <f t="shared" si="34"/>
        <v>-4.9147300792595399</v>
      </c>
    </row>
    <row r="78" spans="2:21" x14ac:dyDescent="0.2">
      <c r="B78" s="35" t="s">
        <v>120</v>
      </c>
      <c r="C78" s="279">
        <f>'Input data'!C45</f>
        <v>6.0601921940686694</v>
      </c>
      <c r="D78" s="279">
        <f>'Input data'!D45</f>
        <v>3.9721583062439247</v>
      </c>
      <c r="E78" s="49">
        <f>'Input data'!E33+E41-(E$12-D$12)/'Input data'!$C$64*100</f>
        <v>2.706645</v>
      </c>
      <c r="F78" s="49">
        <f>'Input data'!F33+F41-(F$12-E$12)/'Input data'!$C$64*100</f>
        <v>2.5137160999999999</v>
      </c>
      <c r="G78" s="49">
        <f>'Input data'!G33+G41-(G$12-F$12)/'Input data'!$C$64*100</f>
        <v>2.6306393499999996</v>
      </c>
      <c r="H78" s="49">
        <f>'Input data'!H33+H41-(H$12-G$12)/'Input data'!$C$64*100</f>
        <v>2.7468073</v>
      </c>
      <c r="I78" s="49">
        <f>'Input data'!I33+I41-(I$12-H$12)/'Input data'!$C$64*100</f>
        <v>2.8591299499999998</v>
      </c>
      <c r="J78" s="49">
        <f>'Input data'!J33+J41-(J$12-I$12)/'Input data'!$C$64*100</f>
        <v>2.8467242999999995</v>
      </c>
      <c r="K78" s="49">
        <f>'Input data'!K33+K41-(K$12-J$12)/'Input data'!$C$64*100</f>
        <v>2.83183915</v>
      </c>
      <c r="L78" s="49">
        <f>'Input data'!L33+L41-(L$12-K$12)/'Input data'!$C$64*100</f>
        <v>2.8231216999999997</v>
      </c>
      <c r="M78" s="49">
        <f>'Input data'!M33+M41-(M$12-L$12)/'Input data'!$C$64*100</f>
        <v>2.8328459499999998</v>
      </c>
      <c r="N78" s="49">
        <f>'Input data'!N33+N41-(N$12-M$12)/'Input data'!$C$64*100</f>
        <v>2.9361504999999997</v>
      </c>
      <c r="O78" s="49">
        <f>'Input data'!O33+O41-(O$12-N$12)/'Input data'!$C$64*100</f>
        <v>3.127767</v>
      </c>
      <c r="P78" s="49">
        <f>'Input data'!P33+P41-(P$12-O$12)/'Input data'!$C$64*100</f>
        <v>3.3193830000000002</v>
      </c>
      <c r="Q78" s="49">
        <f>'Input data'!Q33+Q41-(Q$12-P$12)/'Input data'!$C$64*100</f>
        <v>3.5109999999999997</v>
      </c>
      <c r="R78" s="49">
        <f>'Input data'!R33+R41-(R$12-Q$12)/'Input data'!$C$64*100</f>
        <v>3.5879999999999996</v>
      </c>
      <c r="S78" s="49">
        <f>'Input data'!S33+S41-(S$12-R$12)/'Input data'!$C$64*100</f>
        <v>3.665</v>
      </c>
      <c r="T78" s="49">
        <f>'Input data'!T33+T41-(T$12-S$12)/'Input data'!$C$64*100</f>
        <v>3.7320000000000002</v>
      </c>
      <c r="U78" s="49">
        <f>'Input data'!U33+U41-(U$12-T$12)/'Input data'!$C$64*100</f>
        <v>3.7290000000000001</v>
      </c>
    </row>
    <row r="79" spans="2:21" x14ac:dyDescent="0.2">
      <c r="C79" s="34"/>
      <c r="D79" s="34"/>
      <c r="E79" s="34"/>
      <c r="F79" s="34"/>
      <c r="G79" s="34"/>
      <c r="H79" s="34"/>
      <c r="I79" s="34"/>
      <c r="J79" s="34"/>
      <c r="K79" s="34"/>
      <c r="L79" s="34"/>
      <c r="M79" s="34"/>
      <c r="N79" s="34"/>
      <c r="O79" s="34"/>
      <c r="P79" s="34"/>
      <c r="Q79" s="34"/>
      <c r="R79" s="34"/>
      <c r="S79" s="34"/>
      <c r="T79" s="34"/>
      <c r="U79" s="34"/>
    </row>
    <row r="81" spans="2:21" s="91" customFormat="1" ht="12.75" outlineLevel="1" x14ac:dyDescent="0.2">
      <c r="B81" s="92" t="s">
        <v>121</v>
      </c>
      <c r="C81" s="94"/>
      <c r="D81" s="93"/>
    </row>
    <row r="82" spans="2:21" x14ac:dyDescent="0.2">
      <c r="C82" s="34"/>
      <c r="D82" s="34"/>
      <c r="E82" s="34"/>
      <c r="F82" s="34"/>
      <c r="G82" s="34"/>
      <c r="H82" s="34"/>
      <c r="I82" s="34"/>
      <c r="J82" s="34"/>
      <c r="K82" s="34"/>
      <c r="L82" s="34"/>
      <c r="M82" s="34"/>
      <c r="N82" s="34"/>
      <c r="O82" s="34"/>
      <c r="P82" s="34"/>
      <c r="Q82" s="34"/>
      <c r="R82" s="34"/>
      <c r="S82" s="34"/>
      <c r="T82" s="34"/>
      <c r="U82" s="34"/>
    </row>
    <row r="83" spans="2:21" x14ac:dyDescent="0.2">
      <c r="B83" s="26" t="s">
        <v>122</v>
      </c>
      <c r="C83" s="29"/>
      <c r="D83" s="29"/>
      <c r="E83" s="29">
        <f t="shared" ref="E83:U83" si="35">IF((E87-D87*E42/((1+E23/100)*(1+E41/100)))&gt;0,1,0)</f>
        <v>1</v>
      </c>
      <c r="F83" s="29">
        <f t="shared" si="35"/>
        <v>1</v>
      </c>
      <c r="G83" s="29">
        <f t="shared" si="35"/>
        <v>1</v>
      </c>
      <c r="H83" s="29">
        <f t="shared" si="35"/>
        <v>1</v>
      </c>
      <c r="I83" s="29">
        <f t="shared" si="35"/>
        <v>1</v>
      </c>
      <c r="J83" s="29">
        <f t="shared" si="35"/>
        <v>1</v>
      </c>
      <c r="K83" s="29">
        <f t="shared" si="35"/>
        <v>1</v>
      </c>
      <c r="L83" s="29">
        <f t="shared" si="35"/>
        <v>1</v>
      </c>
      <c r="M83" s="29">
        <f t="shared" si="35"/>
        <v>1</v>
      </c>
      <c r="N83" s="29">
        <f t="shared" si="35"/>
        <v>1</v>
      </c>
      <c r="O83" s="29">
        <f t="shared" si="35"/>
        <v>1</v>
      </c>
      <c r="P83" s="29">
        <f t="shared" si="35"/>
        <v>1</v>
      </c>
      <c r="Q83" s="29">
        <f t="shared" si="35"/>
        <v>1</v>
      </c>
      <c r="R83" s="29">
        <f t="shared" si="35"/>
        <v>1</v>
      </c>
      <c r="S83" s="29">
        <f t="shared" si="35"/>
        <v>1</v>
      </c>
      <c r="T83" s="29">
        <f t="shared" si="35"/>
        <v>1</v>
      </c>
      <c r="U83" s="29">
        <f t="shared" si="35"/>
        <v>1</v>
      </c>
    </row>
    <row r="84" spans="2:21" x14ac:dyDescent="0.2">
      <c r="B84" s="26" t="s">
        <v>123</v>
      </c>
      <c r="C84" s="29"/>
      <c r="D84" s="29"/>
      <c r="E84" s="29">
        <f t="shared" ref="E84:U84" si="36">IF(AND(E83=0,ABS(E87-D87*E42/((1+E23/100)*(1+E41/100)))&lt;((D93*D87*E42/((1+E23/100)*(1+E41/100))+(E38*D87*D94*E42/((1+E23/100)*(1+E41/100)))))),1,0)</f>
        <v>0</v>
      </c>
      <c r="F84" s="29">
        <f t="shared" si="36"/>
        <v>0</v>
      </c>
      <c r="G84" s="29">
        <f t="shared" si="36"/>
        <v>0</v>
      </c>
      <c r="H84" s="29">
        <f t="shared" si="36"/>
        <v>0</v>
      </c>
      <c r="I84" s="29">
        <f t="shared" si="36"/>
        <v>0</v>
      </c>
      <c r="J84" s="29">
        <f t="shared" si="36"/>
        <v>0</v>
      </c>
      <c r="K84" s="29">
        <f t="shared" si="36"/>
        <v>0</v>
      </c>
      <c r="L84" s="29">
        <f t="shared" si="36"/>
        <v>0</v>
      </c>
      <c r="M84" s="29">
        <f t="shared" si="36"/>
        <v>0</v>
      </c>
      <c r="N84" s="29">
        <f t="shared" si="36"/>
        <v>0</v>
      </c>
      <c r="O84" s="29">
        <f t="shared" si="36"/>
        <v>0</v>
      </c>
      <c r="P84" s="29">
        <f t="shared" si="36"/>
        <v>0</v>
      </c>
      <c r="Q84" s="29">
        <f t="shared" si="36"/>
        <v>0</v>
      </c>
      <c r="R84" s="29">
        <f t="shared" si="36"/>
        <v>0</v>
      </c>
      <c r="S84" s="29">
        <f t="shared" si="36"/>
        <v>0</v>
      </c>
      <c r="T84" s="29">
        <f t="shared" si="36"/>
        <v>0</v>
      </c>
      <c r="U84" s="29">
        <f t="shared" si="36"/>
        <v>0</v>
      </c>
    </row>
    <row r="86" spans="2:21" x14ac:dyDescent="0.2">
      <c r="B86" s="51"/>
      <c r="C86" s="84">
        <f>'Input data'!$C$5-1</f>
        <v>2023</v>
      </c>
      <c r="D86" s="84">
        <f>C86+1</f>
        <v>2024</v>
      </c>
      <c r="E86" s="84">
        <f t="shared" ref="E86:U86" si="37">D86+1</f>
        <v>2025</v>
      </c>
      <c r="F86" s="84">
        <f t="shared" si="37"/>
        <v>2026</v>
      </c>
      <c r="G86" s="84">
        <f t="shared" si="37"/>
        <v>2027</v>
      </c>
      <c r="H86" s="84">
        <f t="shared" si="37"/>
        <v>2028</v>
      </c>
      <c r="I86" s="84">
        <f t="shared" si="37"/>
        <v>2029</v>
      </c>
      <c r="J86" s="84">
        <f t="shared" si="37"/>
        <v>2030</v>
      </c>
      <c r="K86" s="84">
        <f t="shared" si="37"/>
        <v>2031</v>
      </c>
      <c r="L86" s="84">
        <f t="shared" si="37"/>
        <v>2032</v>
      </c>
      <c r="M86" s="84">
        <f t="shared" si="37"/>
        <v>2033</v>
      </c>
      <c r="N86" s="84">
        <f t="shared" si="37"/>
        <v>2034</v>
      </c>
      <c r="O86" s="84">
        <f t="shared" si="37"/>
        <v>2035</v>
      </c>
      <c r="P86" s="84">
        <f t="shared" si="37"/>
        <v>2036</v>
      </c>
      <c r="Q86" s="84">
        <f t="shared" si="37"/>
        <v>2037</v>
      </c>
      <c r="R86" s="84">
        <f t="shared" si="37"/>
        <v>2038</v>
      </c>
      <c r="S86" s="84">
        <f t="shared" si="37"/>
        <v>2039</v>
      </c>
      <c r="T86" s="84">
        <f t="shared" si="37"/>
        <v>2040</v>
      </c>
      <c r="U86" s="84">
        <f t="shared" si="37"/>
        <v>2041</v>
      </c>
    </row>
    <row r="87" spans="2:21" x14ac:dyDescent="0.2">
      <c r="B87" s="104" t="s">
        <v>101</v>
      </c>
      <c r="C87" s="108">
        <f>C56</f>
        <v>62.885489999999997</v>
      </c>
      <c r="D87" s="108">
        <f>D56</f>
        <v>62.455679115154567</v>
      </c>
      <c r="E87" s="108">
        <f t="shared" ref="E87:U87" si="38">D87*(1+E101/100)*E42-E59-E60+E61+E62+E63+E64+E65+E72</f>
        <v>63.884470615460373</v>
      </c>
      <c r="F87" s="108">
        <f t="shared" si="38"/>
        <v>65.081110984792616</v>
      </c>
      <c r="G87" s="108">
        <f t="shared" si="38"/>
        <v>66.113589412992766</v>
      </c>
      <c r="H87" s="108">
        <f t="shared" si="38"/>
        <v>67.055858143315845</v>
      </c>
      <c r="I87" s="108">
        <f t="shared" si="38"/>
        <v>67.906555342678985</v>
      </c>
      <c r="J87" s="108">
        <f t="shared" si="38"/>
        <v>69.211322452764065</v>
      </c>
      <c r="K87" s="108">
        <f t="shared" si="38"/>
        <v>70.706017419318073</v>
      </c>
      <c r="L87" s="108">
        <f t="shared" si="38"/>
        <v>72.486617727067397</v>
      </c>
      <c r="M87" s="108">
        <f t="shared" si="38"/>
        <v>74.441095858605124</v>
      </c>
      <c r="N87" s="108">
        <f t="shared" si="38"/>
        <v>76.401296683427731</v>
      </c>
      <c r="O87" s="108">
        <f t="shared" si="38"/>
        <v>78.376790931847367</v>
      </c>
      <c r="P87" s="108">
        <f t="shared" si="38"/>
        <v>80.357011539973769</v>
      </c>
      <c r="Q87" s="108">
        <f t="shared" si="38"/>
        <v>82.231988474548018</v>
      </c>
      <c r="R87" s="108">
        <f t="shared" si="38"/>
        <v>84.085070266331073</v>
      </c>
      <c r="S87" s="108">
        <f t="shared" si="38"/>
        <v>85.911331204662915</v>
      </c>
      <c r="T87" s="108">
        <f t="shared" si="38"/>
        <v>87.614815662317127</v>
      </c>
      <c r="U87" s="108">
        <f t="shared" si="38"/>
        <v>89.352285040431809</v>
      </c>
    </row>
    <row r="88" spans="2:21" x14ac:dyDescent="0.2">
      <c r="B88" s="26" t="s">
        <v>124</v>
      </c>
      <c r="C88" s="34"/>
      <c r="D88" s="250">
        <f>'Input data'!$C$66*D$87</f>
        <v>48.023909319617729</v>
      </c>
      <c r="E88" s="34">
        <f t="shared" ref="E88:U88" si="39">IF(E87=0,0,IF(E83=1,D87*E42/((1+E23/100)*(1+E41/100))-E89-E90,IF(AND(E83=0,E84=1),(1-D93-E38*D94)*D87*E42/((1+E23/100)*(1+E41/100)),E87)))</f>
        <v>48.099202177713472</v>
      </c>
      <c r="F88" s="34">
        <f t="shared" si="39"/>
        <v>49.061691243781269</v>
      </c>
      <c r="G88" s="34">
        <f t="shared" si="39"/>
        <v>49.816081731912362</v>
      </c>
      <c r="H88" s="34">
        <f t="shared" si="39"/>
        <v>50.492653348076999</v>
      </c>
      <c r="I88" s="34">
        <f t="shared" si="39"/>
        <v>51.098025002276472</v>
      </c>
      <c r="J88" s="34">
        <f t="shared" si="39"/>
        <v>51.898253743065531</v>
      </c>
      <c r="K88" s="34">
        <f t="shared" si="39"/>
        <v>52.842199518937633</v>
      </c>
      <c r="L88" s="34">
        <f t="shared" si="39"/>
        <v>53.925569243898813</v>
      </c>
      <c r="M88" s="34">
        <f t="shared" si="39"/>
        <v>55.214416976145287</v>
      </c>
      <c r="N88" s="34">
        <f t="shared" si="39"/>
        <v>56.579085112695594</v>
      </c>
      <c r="O88" s="34">
        <f t="shared" si="39"/>
        <v>57.97695692293442</v>
      </c>
      <c r="P88" s="34">
        <f t="shared" si="39"/>
        <v>59.381527391174174</v>
      </c>
      <c r="Q88" s="34">
        <f t="shared" si="39"/>
        <v>60.784679578376668</v>
      </c>
      <c r="R88" s="34">
        <f t="shared" si="39"/>
        <v>62.173143187230302</v>
      </c>
      <c r="S88" s="34">
        <f t="shared" si="39"/>
        <v>63.542746198759119</v>
      </c>
      <c r="T88" s="34">
        <f t="shared" si="39"/>
        <v>64.896188818808497</v>
      </c>
      <c r="U88" s="34">
        <f t="shared" si="39"/>
        <v>66.200189693454575</v>
      </c>
    </row>
    <row r="89" spans="2:21" x14ac:dyDescent="0.2">
      <c r="B89" s="103" t="s">
        <v>125</v>
      </c>
      <c r="C89" s="34"/>
      <c r="D89" s="250">
        <f>'Input data'!$C$67*D$87</f>
        <v>6.4240999089860908</v>
      </c>
      <c r="E89" s="34">
        <f t="shared" ref="E89:U89" si="40">IF(E87=0,0,IF(E83=1,E38*D87*D94*E42/((1+E23/100)*(1+E41/100)),IF(AND(E83=0,E84=1),(E38*D87*D94*E42/((1+E23/100)*(1+E41/100)))*(1-ABS(E87-D87*E42/((1+E23/100)*(1+E41/100)))/((E38*D87*D94*E42/((1+E23/100)*(1+E41/100)))+(D93*D87*E42/((1+E23/100)*(1+E41/100))))),0)))</f>
        <v>6.1025076336815882</v>
      </c>
      <c r="F89" s="34">
        <f t="shared" si="40"/>
        <v>6.3066095345629956</v>
      </c>
      <c r="G89" s="34">
        <f t="shared" si="40"/>
        <v>6.4870778889674652</v>
      </c>
      <c r="H89" s="34">
        <f t="shared" si="40"/>
        <v>6.6600627823801997</v>
      </c>
      <c r="I89" s="34">
        <f t="shared" si="40"/>
        <v>6.826067222650634</v>
      </c>
      <c r="J89" s="34">
        <f t="shared" si="40"/>
        <v>7.0207331945339471</v>
      </c>
      <c r="K89" s="34">
        <f t="shared" si="40"/>
        <v>7.2380576314496565</v>
      </c>
      <c r="L89" s="34">
        <f t="shared" si="40"/>
        <v>7.4781920169778351</v>
      </c>
      <c r="M89" s="34">
        <f t="shared" si="40"/>
        <v>7.751138518355714</v>
      </c>
      <c r="N89" s="34">
        <f t="shared" si="40"/>
        <v>8.0395464288281406</v>
      </c>
      <c r="O89" s="34">
        <f t="shared" si="40"/>
        <v>8.2381755741665703</v>
      </c>
      <c r="P89" s="34">
        <f t="shared" si="40"/>
        <v>8.4377565583673988</v>
      </c>
      <c r="Q89" s="34">
        <f t="shared" si="40"/>
        <v>8.6371360133949437</v>
      </c>
      <c r="R89" s="34">
        <f t="shared" si="40"/>
        <v>8.8344283101134771</v>
      </c>
      <c r="S89" s="34">
        <f t="shared" si="40"/>
        <v>9.0290406298128261</v>
      </c>
      <c r="T89" s="34">
        <f t="shared" si="40"/>
        <v>9.2213566554425892</v>
      </c>
      <c r="U89" s="34">
        <f t="shared" si="40"/>
        <v>9.4066473075283987</v>
      </c>
    </row>
    <row r="90" spans="2:21" x14ac:dyDescent="0.2">
      <c r="B90" s="103" t="s">
        <v>126</v>
      </c>
      <c r="C90" s="34"/>
      <c r="D90" s="250">
        <f>'Input data'!$C$68*D$87</f>
        <v>6.6882509052437129</v>
      </c>
      <c r="E90" s="34">
        <f t="shared" ref="E90:U90" si="41">IF(E87=0,0,IF(E83=1,(1-D94)*D87*E42/((1+E23/100)*(1+E41/100)),IF(AND(E83=0,E84=1),(D93*D87*E42/((1+E23/100)*(1+E41/100)))*(1-ABS(E87-D87*E42/((1+E23/100)*(1+E41/100)))/((E38*D87*D94*E42/((1+E23/100)*(1+E41/100)))+(D93*D87*E42/((1+E23/100)*(1+E41/100))))),0)))</f>
        <v>6.6459114458011825</v>
      </c>
      <c r="F90" s="34">
        <f t="shared" si="41"/>
        <v>6.7617784136993615</v>
      </c>
      <c r="G90" s="34">
        <f t="shared" si="41"/>
        <v>6.8508625552506084</v>
      </c>
      <c r="H90" s="34">
        <f t="shared" si="41"/>
        <v>6.9302557590888894</v>
      </c>
      <c r="I90" s="34">
        <f t="shared" si="41"/>
        <v>7.0008166889407439</v>
      </c>
      <c r="J90" s="34">
        <f t="shared" si="41"/>
        <v>7.0989580357311768</v>
      </c>
      <c r="K90" s="34">
        <f t="shared" si="41"/>
        <v>7.216246216096132</v>
      </c>
      <c r="L90" s="34">
        <f t="shared" si="41"/>
        <v>7.3521717927913395</v>
      </c>
      <c r="M90" s="34">
        <f t="shared" si="41"/>
        <v>7.5151880090788667</v>
      </c>
      <c r="N90" s="34">
        <f t="shared" si="41"/>
        <v>7.6883709667598925</v>
      </c>
      <c r="O90" s="34">
        <f t="shared" si="41"/>
        <v>7.8547691492336744</v>
      </c>
      <c r="P90" s="34">
        <f t="shared" si="41"/>
        <v>8.0216636345415111</v>
      </c>
      <c r="Q90" s="34">
        <f t="shared" si="41"/>
        <v>8.1880759310881324</v>
      </c>
      <c r="R90" s="34">
        <f t="shared" si="41"/>
        <v>8.3527867170101953</v>
      </c>
      <c r="S90" s="34">
        <f t="shared" si="41"/>
        <v>8.5152745386483399</v>
      </c>
      <c r="T90" s="34">
        <f t="shared" si="41"/>
        <v>8.6759332152911863</v>
      </c>
      <c r="U90" s="34">
        <f t="shared" si="41"/>
        <v>8.8307294502525373</v>
      </c>
    </row>
    <row r="91" spans="2:21" x14ac:dyDescent="0.2">
      <c r="B91" s="103" t="s">
        <v>127</v>
      </c>
      <c r="C91" s="34"/>
      <c r="D91" s="250">
        <f>'Input data'!$C$69*D$87</f>
        <v>1.1861189831955719</v>
      </c>
      <c r="E91" s="34">
        <f>IF(E87=0,0,IF(E83=1,'Input data'!$C$58*(E87-D87*E42/((1+E23/100)*(1+E41/100))),0))</f>
        <v>2.7300474002563928</v>
      </c>
      <c r="F91" s="34">
        <f>IF(F87=0,0,IF(F83=1,'Input data'!$C$58*(F87-E87*F42/((1+F23/100)*(1+F41/100))),0))</f>
        <v>2.6528996744420157</v>
      </c>
      <c r="G91" s="34">
        <f>IF(G87=0,0,IF(G83=1,'Input data'!$C$58*(G87-F87*G42/((1+G23/100)*(1+G41/100))),0))</f>
        <v>2.6605728133641851</v>
      </c>
      <c r="H91" s="34">
        <f>IF(H87=0,0,IF(H83=1,'Input data'!$C$58*(H87-G87*H42/((1+H23/100)*(1+H41/100))),0))</f>
        <v>2.6725462579419133</v>
      </c>
      <c r="I91" s="34">
        <f>IF(I87=0,0,IF(I83=1,'Input data'!$C$58*(I87-H87*I42/((1+I23/100)*(1+I41/100))),0))</f>
        <v>2.6804214240354871</v>
      </c>
      <c r="J91" s="34">
        <f>IF(J87=0,0,IF(J83=1,'Input data'!$C$58*(J87-I87*J42/((1+J23/100)*(1+J41/100))),0))</f>
        <v>2.8707620488451773</v>
      </c>
      <c r="K91" s="34">
        <f>IF(K87=0,0,IF(K83=1,'Input data'!$C$58*(K87-J87*K42/((1+K23/100)*(1+K41/100))),0))</f>
        <v>3.0650631223273574</v>
      </c>
      <c r="L91" s="34">
        <f>IF(L87=0,0,IF(L83=1,'Input data'!$C$58*(L87-K87*L42/((1+L23/100)*(1+L41/100))),0))</f>
        <v>3.3537870313106914</v>
      </c>
      <c r="M91" s="34">
        <f>IF(M87=0,0,IF(M83=1,'Input data'!$C$58*(M87-L87*M42/((1+M23/100)*(1+M41/100))),0))</f>
        <v>3.5602522138655277</v>
      </c>
      <c r="N91" s="34">
        <f>IF(N87=0,0,IF(N83=1,'Input data'!$C$58*(N87-M87*N42/((1+N23/100)*(1+N41/100))),0))</f>
        <v>3.680662374088322</v>
      </c>
      <c r="O91" s="34">
        <f>IF(O87=0,0,IF(O83=1,'Input data'!$C$58*(O87-N87*O42/((1+O23/100)*(1+O41/100))),0))</f>
        <v>3.8717797657987765</v>
      </c>
      <c r="P91" s="34">
        <f>IF(P87=0,0,IF(P83=1,'Input data'!$C$58*(P87-O87*P42/((1+P23/100)*(1+P41/100))),0))</f>
        <v>4.0598222722572919</v>
      </c>
      <c r="Q91" s="34">
        <f>IF(Q87=0,0,IF(Q83=1,'Input data'!$C$58*(Q87-P87*Q42/((1+Q23/100)*(1+Q41/100))),0))</f>
        <v>4.1551431362082241</v>
      </c>
      <c r="R91" s="34">
        <f>IF(R87=0,0,IF(R83=1,'Input data'!$C$58*(R87-Q87*R42/((1+R23/100)*(1+R41/100))),0))</f>
        <v>4.2473914023292343</v>
      </c>
      <c r="S91" s="34">
        <f>IF(S87=0,0,IF(S83=1,'Input data'!$C$58*(S87-R87*S42/((1+S23/100)*(1+S41/100))),0))</f>
        <v>4.3368912231372141</v>
      </c>
      <c r="T91" s="34">
        <f>IF(T87=0,0,IF(T83=1,'Input data'!$C$58*(T87-S87*T42/((1+T23/100)*(1+T41/100))),0))</f>
        <v>4.3342546552285164</v>
      </c>
      <c r="U91" s="34">
        <f>IF(U87=0,0,IF(U83=1,'Input data'!$C$58*(U87-T87*U42/((1+U23/100)*(1+U41/100))),0))</f>
        <v>4.4182022631167168</v>
      </c>
    </row>
    <row r="92" spans="2:21" x14ac:dyDescent="0.2">
      <c r="B92" s="105" t="s">
        <v>128</v>
      </c>
      <c r="C92" s="49"/>
      <c r="D92" s="251">
        <f>'Input data'!$C$70*D$87</f>
        <v>0.13329569811152336</v>
      </c>
      <c r="E92" s="49">
        <f>IF(E87=0,0,IF(E83=1,'Input data'!$C$57*(E87-D87*E42/((1+E23/100)*(1+E41/100))),0))</f>
        <v>0.30680195800773508</v>
      </c>
      <c r="F92" s="49">
        <f>IF(F87=0,0,IF(F83=1,'Input data'!$C$57*(F87-E87*F42/((1+F23/100)*(1+F41/100))),0))</f>
        <v>0.29813211830697678</v>
      </c>
      <c r="G92" s="49">
        <f>IF(G87=0,0,IF(G83=1,'Input data'!$C$57*(G87-F87*G42/((1+G23/100)*(1+G41/100))),0))</f>
        <v>0.29899442349814892</v>
      </c>
      <c r="H92" s="49">
        <f>IF(H87=0,0,IF(H83=1,'Input data'!$C$57*(H87-G87*H42/((1+H23/100)*(1+H41/100))),0))</f>
        <v>0.3003399958278451</v>
      </c>
      <c r="I92" s="49">
        <f>IF(I87=0,0,IF(I83=1,'Input data'!$C$57*(I87-H87*I42/((1+I23/100)*(1+I41/100))),0))</f>
        <v>0.30122500477564496</v>
      </c>
      <c r="J92" s="49">
        <f>IF(J87=0,0,IF(J83=1,'Input data'!$C$57*(J87-I87*J42/((1+J23/100)*(1+J41/100))),0))</f>
        <v>0.32261543058823128</v>
      </c>
      <c r="K92" s="49">
        <f>IF(K87=0,0,IF(K83=1,'Input data'!$C$57*(K87-J87*K42/((1+K23/100)*(1+K41/100))),0))</f>
        <v>0.34445093050729469</v>
      </c>
      <c r="L92" s="49">
        <f>IF(L87=0,0,IF(L83=1,'Input data'!$C$57*(L87-K87*L42/((1+L23/100)*(1+L41/100))),0))</f>
        <v>0.37689764208871807</v>
      </c>
      <c r="M92" s="49">
        <f>IF(M87=0,0,IF(M83=1,'Input data'!$C$57*(M87-L87*M42/((1+M23/100)*(1+M41/100))),0))</f>
        <v>0.40010014115972298</v>
      </c>
      <c r="N92" s="49">
        <f>IF(N87=0,0,IF(N83=1,'Input data'!$C$57*(N87-M87*N42/((1+N23/100)*(1+N41/100))),0))</f>
        <v>0.4136318010557779</v>
      </c>
      <c r="O92" s="49">
        <f>IF(O87=0,0,IF(O83=1,'Input data'!$C$57*(O87-N87*O42/((1+O23/100)*(1+O41/100))),0))</f>
        <v>0.43510951971391987</v>
      </c>
      <c r="P92" s="49">
        <f>IF(P87=0,0,IF(P83=1,'Input data'!$C$57*(P87-O87*P42/((1+P23/100)*(1+P41/100))),0))</f>
        <v>0.45624168363339485</v>
      </c>
      <c r="Q92" s="49">
        <f>IF(Q87=0,0,IF(Q83=1,'Input data'!$C$57*(Q87-P87*Q42/((1+Q23/100)*(1+Q41/100))),0))</f>
        <v>0.46695381548003917</v>
      </c>
      <c r="R92" s="49">
        <f>IF(R87=0,0,IF(R83=1,'Input data'!$C$57*(R87-Q87*R42/((1+R23/100)*(1+R41/100))),0))</f>
        <v>0.47732064964785859</v>
      </c>
      <c r="S92" s="49">
        <f>IF(S87=0,0,IF(S83=1,'Input data'!$C$57*(S87-R87*S42/((1+S23/100)*(1+S41/100))),0))</f>
        <v>0.48737861430541396</v>
      </c>
      <c r="T92" s="49">
        <f>IF(T87=0,0,IF(T83=1,'Input data'!$C$57*(T87-S87*T42/((1+T23/100)*(1+T41/100))),0))</f>
        <v>0.48708231754634196</v>
      </c>
      <c r="U92" s="49">
        <f>IF(U87=0,0,IF(U83=1,'Input data'!$C$57*(U87-T87*U42/((1+U23/100)*(1+U41/100))),0))</f>
        <v>0.49651632607958085</v>
      </c>
    </row>
    <row r="93" spans="2:21" x14ac:dyDescent="0.2">
      <c r="B93" s="26" t="s">
        <v>73</v>
      </c>
      <c r="C93" s="36"/>
      <c r="D93" s="36">
        <f t="shared" ref="D93" si="42">IF(D87&lt;&gt;0,(D90+D92)/(D88+D89+D90+D91+D92),0)</f>
        <v>0.10922220636546567</v>
      </c>
      <c r="E93" s="36">
        <f>IF(E87&lt;&gt;0,(E90+E92)/(E88+E89+E90+E91+E92),0)</f>
        <v>0.10883260574638502</v>
      </c>
      <c r="F93" s="36">
        <f>IF(F87&lt;&gt;0,(F90+F92)/(F88+F89+F90+F91+F92),0)</f>
        <v>0.10847864188513952</v>
      </c>
      <c r="G93" s="36">
        <f t="shared" ref="G93:U93" si="43">IF(G87&lt;&gt;0,(G90+G92)/(G88+G89+G90+G91+G92),0)</f>
        <v>0.10814504313304844</v>
      </c>
      <c r="H93" s="36">
        <f t="shared" si="43"/>
        <v>0.10782944182837936</v>
      </c>
      <c r="I93" s="36">
        <f t="shared" si="43"/>
        <v>0.10753073332711204</v>
      </c>
      <c r="J93" s="36">
        <f t="shared" si="43"/>
        <v>0.10723062648289299</v>
      </c>
      <c r="K93" s="36">
        <f>IF(K87&lt;&gt;0,(K90+K92)/(K88+K89+K90+K91+K92),0)</f>
        <v>0.106931452549012</v>
      </c>
      <c r="L93" s="36">
        <f t="shared" si="43"/>
        <v>0.10662753591265892</v>
      </c>
      <c r="M93" s="36">
        <f t="shared" si="43"/>
        <v>0.10632954900708398</v>
      </c>
      <c r="N93" s="36">
        <f t="shared" si="43"/>
        <v>0.10604535681359821</v>
      </c>
      <c r="O93" s="36">
        <f t="shared" si="43"/>
        <v>0.10576955971769841</v>
      </c>
      <c r="P93" s="36">
        <f t="shared" si="43"/>
        <v>0.10550299414703289</v>
      </c>
      <c r="Q93" s="36">
        <f t="shared" si="43"/>
        <v>0.10525137367007767</v>
      </c>
      <c r="R93" s="36">
        <f t="shared" si="43"/>
        <v>0.10501397380878164</v>
      </c>
      <c r="S93" s="36">
        <f t="shared" si="43"/>
        <v>0.10479005535960227</v>
      </c>
      <c r="T93" s="36">
        <f t="shared" si="43"/>
        <v>0.10458294597289798</v>
      </c>
      <c r="U93" s="36">
        <f t="shared" si="43"/>
        <v>0.1043873222952446</v>
      </c>
    </row>
    <row r="94" spans="2:21" x14ac:dyDescent="0.2">
      <c r="B94" s="35" t="s">
        <v>74</v>
      </c>
      <c r="C94" s="106"/>
      <c r="D94" s="106">
        <f t="shared" ref="D94" si="44">IF(D87&lt;&gt;0,(D88+D89+D91)/(D88+D89+D90+D91+D92),1)</f>
        <v>0.89077779363453435</v>
      </c>
      <c r="E94" s="106">
        <f>IF(E87&lt;&gt;0,(E88+E89+E91)/(E88+E89+E90+E91+E92),1)</f>
        <v>0.89116739425361502</v>
      </c>
      <c r="F94" s="106">
        <f>IF(F87&lt;&gt;0,(F88+F89+F91)/(F88+F89+F90+F91+F92),1)</f>
        <v>0.89152135811486055</v>
      </c>
      <c r="G94" s="106">
        <f t="shared" ref="G94:U94" si="45">IF(G87&lt;&gt;0,(G88+G89+G91)/(G88+G89+G90+G91+G92),1)</f>
        <v>0.8918549568669516</v>
      </c>
      <c r="H94" s="106">
        <f t="shared" si="45"/>
        <v>0.89217055817162061</v>
      </c>
      <c r="I94" s="106">
        <f t="shared" si="45"/>
        <v>0.89246926667288795</v>
      </c>
      <c r="J94" s="106">
        <f t="shared" si="45"/>
        <v>0.89276937351710706</v>
      </c>
      <c r="K94" s="106">
        <f t="shared" si="45"/>
        <v>0.89306854745098807</v>
      </c>
      <c r="L94" s="106">
        <f t="shared" si="45"/>
        <v>0.89337246408734106</v>
      </c>
      <c r="M94" s="106">
        <f t="shared" si="45"/>
        <v>0.89367045099291598</v>
      </c>
      <c r="N94" s="106">
        <f t="shared" si="45"/>
        <v>0.89395464318640194</v>
      </c>
      <c r="O94" s="106">
        <f t="shared" si="45"/>
        <v>0.89423044028230159</v>
      </c>
      <c r="P94" s="106">
        <f t="shared" si="45"/>
        <v>0.8944970058529671</v>
      </c>
      <c r="Q94" s="106">
        <f t="shared" si="45"/>
        <v>0.89474862632992225</v>
      </c>
      <c r="R94" s="106">
        <f t="shared" si="45"/>
        <v>0.89498602619121836</v>
      </c>
      <c r="S94" s="106">
        <f t="shared" si="45"/>
        <v>0.89520994464039771</v>
      </c>
      <c r="T94" s="106">
        <f t="shared" si="45"/>
        <v>0.89541705402710214</v>
      </c>
      <c r="U94" s="106">
        <f t="shared" si="45"/>
        <v>0.89561267770475539</v>
      </c>
    </row>
    <row r="95" spans="2:21" x14ac:dyDescent="0.2">
      <c r="C95" s="249"/>
      <c r="D95" s="249"/>
      <c r="E95" s="249"/>
      <c r="F95" s="36"/>
      <c r="G95" s="36"/>
      <c r="H95" s="36"/>
      <c r="I95" s="36"/>
      <c r="J95" s="36"/>
      <c r="K95" s="36"/>
      <c r="L95" s="36"/>
      <c r="M95" s="36"/>
      <c r="N95" s="36"/>
      <c r="O95" s="36"/>
      <c r="P95" s="36"/>
      <c r="Q95" s="36"/>
      <c r="R95" s="36"/>
      <c r="S95" s="36"/>
      <c r="T95" s="36"/>
      <c r="U95" s="36"/>
    </row>
    <row r="96" spans="2:21" x14ac:dyDescent="0.2">
      <c r="B96" s="111" t="s">
        <v>129</v>
      </c>
      <c r="C96" s="112">
        <f>C35</f>
        <v>1.422372</v>
      </c>
      <c r="D96" s="112">
        <f>D35</f>
        <v>1.7254640000000001</v>
      </c>
      <c r="E96" s="112">
        <f>E98+E99</f>
        <v>1.8</v>
      </c>
      <c r="F96" s="112">
        <f>F98+F99</f>
        <v>1.800295</v>
      </c>
      <c r="G96" s="112">
        <f t="shared" ref="G96:U96" si="46">G98+G99</f>
        <v>1.9501148443540419</v>
      </c>
      <c r="H96" s="112">
        <f t="shared" si="46"/>
        <v>2.0904194581835727</v>
      </c>
      <c r="I96" s="112">
        <f t="shared" si="46"/>
        <v>2.2226873415652442</v>
      </c>
      <c r="J96" s="112">
        <f t="shared" si="46"/>
        <v>2.3480786714012236</v>
      </c>
      <c r="K96" s="112">
        <f t="shared" si="46"/>
        <v>2.4691227274250815</v>
      </c>
      <c r="L96" s="112">
        <f t="shared" si="46"/>
        <v>2.5861719133834824</v>
      </c>
      <c r="M96" s="112">
        <f t="shared" si="46"/>
        <v>2.7002511835301672</v>
      </c>
      <c r="N96" s="112">
        <f t="shared" si="46"/>
        <v>2.8108522157547475</v>
      </c>
      <c r="O96" s="112">
        <f t="shared" si="46"/>
        <v>2.8896789301242278</v>
      </c>
      <c r="P96" s="112">
        <f t="shared" si="46"/>
        <v>2.9600124722761589</v>
      </c>
      <c r="Q96" s="112">
        <f t="shared" si="46"/>
        <v>3.0231687674361534</v>
      </c>
      <c r="R96" s="112">
        <f t="shared" si="46"/>
        <v>3.0799199488332842</v>
      </c>
      <c r="S96" s="112">
        <f t="shared" si="46"/>
        <v>3.1313734031734475</v>
      </c>
      <c r="T96" s="112">
        <f t="shared" si="46"/>
        <v>3.1784481790568448</v>
      </c>
      <c r="U96" s="112">
        <f t="shared" si="46"/>
        <v>3.2216387078078448</v>
      </c>
    </row>
    <row r="97" spans="2:23" x14ac:dyDescent="0.2">
      <c r="B97" s="33" t="s">
        <v>130</v>
      </c>
      <c r="C97" s="34"/>
      <c r="D97" s="34"/>
      <c r="E97" s="260">
        <f>((E35*D87)-(E37*(D90+D92)))/(D88+D89+D91)</f>
        <v>1.775559038079825</v>
      </c>
      <c r="F97" s="260">
        <f>((F35*E87)-(F37*(E90+E92)))/(E88+E89+E91)</f>
        <v>1.8099991886558946</v>
      </c>
      <c r="G97" s="34">
        <f t="shared" ref="G97:U97" si="47">IF(F87&gt;0,(F97*F88+G36*(F91+F89))/(F88+F89+F91),G36)</f>
        <v>1.9589138112818969</v>
      </c>
      <c r="H97" s="34">
        <f t="shared" si="47"/>
        <v>2.0971674613712166</v>
      </c>
      <c r="I97" s="34">
        <f t="shared" si="47"/>
        <v>2.2264279231353146</v>
      </c>
      <c r="J97" s="34">
        <f t="shared" si="47"/>
        <v>2.3480030263654208</v>
      </c>
      <c r="K97" s="34">
        <f t="shared" si="47"/>
        <v>2.4647324450072241</v>
      </c>
      <c r="L97" s="34">
        <f t="shared" si="47"/>
        <v>2.5770156273110318</v>
      </c>
      <c r="M97" s="34">
        <f t="shared" si="47"/>
        <v>2.6860050428990281</v>
      </c>
      <c r="N97" s="34">
        <f t="shared" si="47"/>
        <v>2.7911338055318717</v>
      </c>
      <c r="O97" s="34">
        <f t="shared" si="47"/>
        <v>2.8851626313775505</v>
      </c>
      <c r="P97" s="34">
        <f t="shared" si="47"/>
        <v>2.9696038518172556</v>
      </c>
      <c r="Q97" s="34">
        <f t="shared" si="47"/>
        <v>3.0459414222672625</v>
      </c>
      <c r="R97" s="34">
        <f t="shared" si="47"/>
        <v>3.1150515466300646</v>
      </c>
      <c r="S97" s="34">
        <f t="shared" si="47"/>
        <v>3.1781831921491057</v>
      </c>
      <c r="T97" s="34">
        <f t="shared" si="47"/>
        <v>3.2363726242086051</v>
      </c>
      <c r="U97" s="34">
        <f t="shared" si="47"/>
        <v>3.2901829978737926</v>
      </c>
    </row>
    <row r="98" spans="2:23" x14ac:dyDescent="0.2">
      <c r="B98" s="26" t="s">
        <v>131</v>
      </c>
      <c r="C98" s="34"/>
      <c r="D98" s="34"/>
      <c r="E98" s="260">
        <f>E35</f>
        <v>1.8</v>
      </c>
      <c r="F98" s="260">
        <f>F35</f>
        <v>1.800295</v>
      </c>
      <c r="G98" s="34">
        <f t="shared" ref="G98:U98" si="48">(G97*(F88+F89+F91)+G37*(F90+F92))/F87</f>
        <v>1.9501148443540419</v>
      </c>
      <c r="H98" s="34">
        <f t="shared" si="48"/>
        <v>2.0904194581835727</v>
      </c>
      <c r="I98" s="34">
        <f t="shared" si="48"/>
        <v>2.2226873415652442</v>
      </c>
      <c r="J98" s="34">
        <f t="shared" si="48"/>
        <v>2.3480786714012236</v>
      </c>
      <c r="K98" s="34">
        <f t="shared" si="48"/>
        <v>2.4691227274250815</v>
      </c>
      <c r="L98" s="34">
        <f t="shared" si="48"/>
        <v>2.5861719133834824</v>
      </c>
      <c r="M98" s="34">
        <f t="shared" si="48"/>
        <v>2.7002511835301672</v>
      </c>
      <c r="N98" s="34">
        <f t="shared" si="48"/>
        <v>2.8108522157547475</v>
      </c>
      <c r="O98" s="34">
        <f t="shared" si="48"/>
        <v>2.8896789301242278</v>
      </c>
      <c r="P98" s="34">
        <f t="shared" si="48"/>
        <v>2.9600124722761589</v>
      </c>
      <c r="Q98" s="34">
        <f t="shared" si="48"/>
        <v>3.0231687674361534</v>
      </c>
      <c r="R98" s="34">
        <f t="shared" si="48"/>
        <v>3.0799199488332842</v>
      </c>
      <c r="S98" s="34">
        <f t="shared" si="48"/>
        <v>3.1313734031734475</v>
      </c>
      <c r="T98" s="34">
        <f t="shared" si="48"/>
        <v>3.1784481790568448</v>
      </c>
      <c r="U98" s="34">
        <f t="shared" si="48"/>
        <v>3.2216387078078448</v>
      </c>
    </row>
    <row r="99" spans="2:23" x14ac:dyDescent="0.2">
      <c r="B99" s="35" t="s">
        <v>132</v>
      </c>
      <c r="C99" s="49"/>
      <c r="D99" s="49"/>
      <c r="E99" s="49">
        <f t="shared" ref="E99" si="49">E108</f>
        <v>0</v>
      </c>
      <c r="F99" s="49">
        <f>F108</f>
        <v>0</v>
      </c>
      <c r="G99" s="49">
        <f t="shared" ref="G99:U99" si="50">G108</f>
        <v>0</v>
      </c>
      <c r="H99" s="49">
        <f t="shared" si="50"/>
        <v>0</v>
      </c>
      <c r="I99" s="49">
        <f t="shared" si="50"/>
        <v>0</v>
      </c>
      <c r="J99" s="49">
        <f t="shared" si="50"/>
        <v>0</v>
      </c>
      <c r="K99" s="49">
        <f t="shared" si="50"/>
        <v>0</v>
      </c>
      <c r="L99" s="49">
        <f t="shared" si="50"/>
        <v>0</v>
      </c>
      <c r="M99" s="49">
        <f t="shared" si="50"/>
        <v>0</v>
      </c>
      <c r="N99" s="49">
        <f t="shared" si="50"/>
        <v>0</v>
      </c>
      <c r="O99" s="49">
        <f t="shared" si="50"/>
        <v>0</v>
      </c>
      <c r="P99" s="49">
        <f t="shared" si="50"/>
        <v>0</v>
      </c>
      <c r="Q99" s="49">
        <f t="shared" si="50"/>
        <v>0</v>
      </c>
      <c r="R99" s="49">
        <f t="shared" si="50"/>
        <v>0</v>
      </c>
      <c r="S99" s="49">
        <f t="shared" si="50"/>
        <v>0</v>
      </c>
      <c r="T99" s="49">
        <f t="shared" si="50"/>
        <v>0</v>
      </c>
      <c r="U99" s="49">
        <f t="shared" si="50"/>
        <v>0</v>
      </c>
    </row>
    <row r="100" spans="2:23" x14ac:dyDescent="0.2">
      <c r="E100" s="96"/>
      <c r="F100" s="96"/>
      <c r="G100" s="96"/>
      <c r="H100" s="96"/>
      <c r="I100" s="96"/>
      <c r="J100" s="96"/>
      <c r="K100" s="96"/>
      <c r="L100" s="96"/>
      <c r="M100" s="96"/>
      <c r="N100" s="96"/>
      <c r="O100" s="96"/>
      <c r="P100" s="96"/>
      <c r="Q100" s="96"/>
      <c r="R100" s="96"/>
      <c r="S100" s="96"/>
      <c r="T100" s="96"/>
      <c r="U100" s="96"/>
    </row>
    <row r="101" spans="2:23" x14ac:dyDescent="0.2">
      <c r="B101" s="111" t="s">
        <v>180</v>
      </c>
      <c r="C101" s="112">
        <f t="shared" ref="C101:U101" si="51">((1+C96/100)/((1+C23/100)*(1+C41/100))-1)*100</f>
        <v>-4.1920800045848967</v>
      </c>
      <c r="D101" s="112">
        <f t="shared" si="51"/>
        <v>-1.1030666651806187</v>
      </c>
      <c r="E101" s="112">
        <f t="shared" si="51"/>
        <v>-0.79488309422357517</v>
      </c>
      <c r="F101" s="112">
        <f t="shared" si="51"/>
        <v>-0.97792048908612594</v>
      </c>
      <c r="G101" s="112">
        <f t="shared" si="51"/>
        <v>-1.068686193081958</v>
      </c>
      <c r="H101" s="112">
        <f t="shared" si="51"/>
        <v>-1.0451930016516342</v>
      </c>
      <c r="I101" s="112">
        <f t="shared" si="51"/>
        <v>-1.0258186481284404</v>
      </c>
      <c r="J101" s="112">
        <f t="shared" si="51"/>
        <v>-0.49841592232763299</v>
      </c>
      <c r="K101" s="112">
        <f t="shared" si="51"/>
        <v>-0.36581561791311223</v>
      </c>
      <c r="L101" s="112">
        <f t="shared" si="51"/>
        <v>-0.24317270652043366</v>
      </c>
      <c r="M101" s="112">
        <f t="shared" si="51"/>
        <v>-0.14170493270634354</v>
      </c>
      <c r="N101" s="112">
        <f t="shared" si="51"/>
        <v>-0.13655141289784511</v>
      </c>
      <c r="O101" s="112">
        <f t="shared" si="51"/>
        <v>-0.25001237406566679</v>
      </c>
      <c r="P101" s="112">
        <f t="shared" si="51"/>
        <v>-0.3712091764971559</v>
      </c>
      <c r="Q101" s="112">
        <f t="shared" si="51"/>
        <v>-0.49882643526936166</v>
      </c>
      <c r="R101" s="112">
        <f t="shared" si="51"/>
        <v>-0.5197426986906617</v>
      </c>
      <c r="S101" s="112">
        <f t="shared" si="51"/>
        <v>-0.54572140403676972</v>
      </c>
      <c r="T101" s="112">
        <f t="shared" si="51"/>
        <v>-0.56605420090229952</v>
      </c>
      <c r="U101" s="112">
        <f t="shared" si="51"/>
        <v>-0.52157375770657266</v>
      </c>
    </row>
    <row r="102" spans="2:23" x14ac:dyDescent="0.2">
      <c r="D102" s="34"/>
      <c r="E102" s="34"/>
      <c r="F102" s="34"/>
      <c r="G102" s="34"/>
      <c r="H102" s="34"/>
      <c r="I102" s="34"/>
      <c r="J102" s="34"/>
      <c r="K102" s="34"/>
      <c r="L102" s="34"/>
      <c r="M102" s="34"/>
      <c r="N102" s="34"/>
      <c r="O102" s="34"/>
      <c r="P102" s="34"/>
      <c r="Q102" s="34"/>
      <c r="R102" s="34"/>
      <c r="S102" s="34"/>
      <c r="T102" s="34"/>
      <c r="U102" s="34"/>
    </row>
    <row r="104" spans="2:23" s="91" customFormat="1" ht="12.75" x14ac:dyDescent="0.2">
      <c r="B104" s="25" t="s">
        <v>133</v>
      </c>
    </row>
    <row r="105" spans="2:23" s="107" customFormat="1" ht="12.75" x14ac:dyDescent="0.2">
      <c r="C105" s="101"/>
      <c r="D105" s="101"/>
      <c r="E105" s="101"/>
      <c r="F105" s="101"/>
      <c r="G105" s="101"/>
      <c r="H105" s="101"/>
      <c r="I105" s="101"/>
      <c r="J105" s="101"/>
      <c r="K105" s="101"/>
      <c r="L105" s="101"/>
      <c r="M105" s="101"/>
      <c r="N105" s="101"/>
      <c r="O105" s="101"/>
      <c r="P105" s="101"/>
      <c r="Q105" s="101"/>
      <c r="R105" s="101"/>
      <c r="S105" s="101"/>
      <c r="T105" s="101"/>
      <c r="U105" s="101"/>
    </row>
    <row r="106" spans="2:23" x14ac:dyDescent="0.2">
      <c r="B106" s="117" t="s">
        <v>43</v>
      </c>
      <c r="C106" s="34">
        <v>62.885489999999997</v>
      </c>
      <c r="D106" s="34">
        <v>62.455680000000001</v>
      </c>
      <c r="E106" s="34">
        <v>63.88447</v>
      </c>
      <c r="F106" s="34">
        <v>65.081109999999995</v>
      </c>
      <c r="G106" s="34">
        <v>66.113590000000002</v>
      </c>
      <c r="H106" s="34">
        <v>67.055850000000007</v>
      </c>
      <c r="I106" s="34">
        <v>67.906559999999999</v>
      </c>
      <c r="J106" s="34">
        <v>69.211330000000004</v>
      </c>
      <c r="K106" s="34">
        <v>70.706019999999995</v>
      </c>
      <c r="L106" s="34">
        <v>72.486630000000005</v>
      </c>
      <c r="M106" s="34">
        <v>74.441109999999995</v>
      </c>
      <c r="N106" s="34">
        <v>76.401309999999995</v>
      </c>
      <c r="O106" s="34">
        <v>78.376819999999995</v>
      </c>
      <c r="P106" s="34">
        <v>80.357039999999998</v>
      </c>
      <c r="Q106" s="34">
        <v>82.232029999999995</v>
      </c>
      <c r="R106" s="34">
        <v>84.085120000000003</v>
      </c>
      <c r="S106" s="34">
        <v>85.911389999999997</v>
      </c>
      <c r="T106" s="34">
        <v>87.614890000000003</v>
      </c>
      <c r="U106" s="34">
        <v>89.352369999999993</v>
      </c>
    </row>
    <row r="107" spans="2:23" x14ac:dyDescent="0.2">
      <c r="B107" s="26" t="s">
        <v>129</v>
      </c>
      <c r="C107" s="34">
        <v>1.422372</v>
      </c>
      <c r="D107" s="34">
        <v>1.7254640000000001</v>
      </c>
      <c r="E107" s="34">
        <v>1.8</v>
      </c>
      <c r="F107" s="34">
        <v>1.800295</v>
      </c>
      <c r="G107" s="34">
        <v>1.950115</v>
      </c>
      <c r="H107" s="34">
        <v>2.0904199999999999</v>
      </c>
      <c r="I107" s="34">
        <v>2.2226870000000001</v>
      </c>
      <c r="J107" s="34">
        <v>2.3480789999999998</v>
      </c>
      <c r="K107" s="34">
        <v>2.4691230000000002</v>
      </c>
      <c r="L107" s="34">
        <v>2.5861719999999999</v>
      </c>
      <c r="M107" s="34">
        <v>2.7002519999999999</v>
      </c>
      <c r="N107" s="34">
        <v>2.8108529999999998</v>
      </c>
      <c r="O107" s="34">
        <v>2.8896790000000001</v>
      </c>
      <c r="P107" s="34">
        <v>2.960013</v>
      </c>
      <c r="Q107" s="34">
        <v>3.0231690000000002</v>
      </c>
      <c r="R107" s="34">
        <v>3.07992</v>
      </c>
      <c r="S107" s="34">
        <v>3.1313740000000001</v>
      </c>
      <c r="T107" s="34">
        <v>3.1784479999999999</v>
      </c>
      <c r="U107" s="34">
        <v>3.2216390000000001</v>
      </c>
    </row>
    <row r="108" spans="2:23" x14ac:dyDescent="0.2">
      <c r="B108" s="26" t="s">
        <v>179</v>
      </c>
      <c r="C108" s="34">
        <v>0</v>
      </c>
      <c r="D108" s="34">
        <v>0</v>
      </c>
      <c r="E108" s="34">
        <v>0</v>
      </c>
      <c r="F108" s="34">
        <v>0</v>
      </c>
      <c r="G108" s="34">
        <v>0</v>
      </c>
      <c r="H108" s="34">
        <v>0</v>
      </c>
      <c r="I108" s="34">
        <v>0</v>
      </c>
      <c r="J108" s="34">
        <v>0</v>
      </c>
      <c r="K108" s="34">
        <v>0</v>
      </c>
      <c r="L108" s="34">
        <v>0</v>
      </c>
      <c r="M108" s="34">
        <v>0</v>
      </c>
      <c r="N108" s="34">
        <v>0</v>
      </c>
      <c r="O108" s="34">
        <v>0</v>
      </c>
      <c r="P108" s="34">
        <v>0</v>
      </c>
      <c r="Q108" s="34">
        <v>0</v>
      </c>
      <c r="R108" s="34">
        <v>0</v>
      </c>
      <c r="S108" s="34">
        <v>0</v>
      </c>
      <c r="T108" s="34">
        <v>0</v>
      </c>
      <c r="U108" s="34">
        <v>0</v>
      </c>
    </row>
    <row r="109" spans="2:23" x14ac:dyDescent="0.2">
      <c r="C109" s="115"/>
      <c r="D109" s="115"/>
      <c r="E109" s="115"/>
      <c r="F109" s="115"/>
      <c r="G109" s="115"/>
      <c r="H109" s="115"/>
      <c r="I109" s="115"/>
      <c r="J109" s="115"/>
      <c r="K109" s="115"/>
      <c r="L109" s="115"/>
      <c r="M109" s="115"/>
      <c r="N109" s="115"/>
      <c r="O109" s="115"/>
      <c r="P109" s="115"/>
      <c r="Q109" s="115"/>
      <c r="R109" s="115"/>
      <c r="S109" s="115"/>
      <c r="T109" s="115"/>
      <c r="U109" s="115"/>
    </row>
    <row r="110" spans="2:23" x14ac:dyDescent="0.2">
      <c r="B110" s="26" t="s">
        <v>93</v>
      </c>
      <c r="C110" s="31">
        <v>2023</v>
      </c>
      <c r="D110" s="31">
        <v>2024</v>
      </c>
      <c r="E110" s="31">
        <v>2025</v>
      </c>
      <c r="F110" s="31">
        <v>2026</v>
      </c>
      <c r="G110" s="31">
        <v>2027</v>
      </c>
      <c r="H110" s="31">
        <v>2028</v>
      </c>
      <c r="I110" s="31">
        <v>2029</v>
      </c>
      <c r="J110" s="31">
        <v>2030</v>
      </c>
      <c r="K110" s="31">
        <v>2031</v>
      </c>
      <c r="L110" s="31">
        <v>2032</v>
      </c>
      <c r="M110" s="31">
        <v>2033</v>
      </c>
      <c r="N110" s="31">
        <v>2034</v>
      </c>
      <c r="O110" s="31">
        <v>2035</v>
      </c>
      <c r="P110" s="31">
        <v>2036</v>
      </c>
      <c r="Q110" s="31">
        <v>2037</v>
      </c>
      <c r="R110" s="31">
        <v>2038</v>
      </c>
      <c r="S110" s="31">
        <v>2039</v>
      </c>
      <c r="T110" s="31">
        <v>2040</v>
      </c>
      <c r="U110" s="31">
        <v>2041</v>
      </c>
    </row>
    <row r="111" spans="2:23" x14ac:dyDescent="0.2">
      <c r="B111" s="26" t="s">
        <v>134</v>
      </c>
      <c r="C111" s="34">
        <v>5.9378050000000002E-2</v>
      </c>
      <c r="D111" s="34">
        <v>9.1695540000000006E-2</v>
      </c>
      <c r="E111" s="34">
        <v>8.451591E-2</v>
      </c>
      <c r="F111" s="34">
        <v>0.1404329</v>
      </c>
      <c r="G111" s="34">
        <v>0.14147037000000001</v>
      </c>
      <c r="H111" s="34">
        <v>0.15140739</v>
      </c>
      <c r="I111" s="34">
        <v>0.15092749999999999</v>
      </c>
      <c r="J111" s="34">
        <v>0.13799120000000001</v>
      </c>
      <c r="K111" s="34">
        <v>0.14570738999999999</v>
      </c>
      <c r="L111" s="34">
        <v>7.8010200000000002E-2</v>
      </c>
      <c r="M111" s="34">
        <v>7.5859579999999996E-2</v>
      </c>
      <c r="N111" s="34">
        <v>7.3352319999999999E-2</v>
      </c>
      <c r="O111" s="34">
        <v>7.2452269999999999E-2</v>
      </c>
      <c r="P111" s="34">
        <v>7.1988510000000006E-2</v>
      </c>
      <c r="Q111" s="34">
        <v>7.4589820000000001E-2</v>
      </c>
      <c r="R111" s="34">
        <v>7.062773E-2</v>
      </c>
      <c r="S111" s="34">
        <v>7.0401699999999998E-2</v>
      </c>
      <c r="T111" s="34">
        <v>7.0433999999999997E-2</v>
      </c>
      <c r="U111" s="34">
        <v>7.0197780000000001E-2</v>
      </c>
      <c r="V111" s="38"/>
    </row>
    <row r="112" spans="2:23" x14ac:dyDescent="0.2">
      <c r="B112" s="26" t="s">
        <v>135</v>
      </c>
      <c r="C112" s="34">
        <v>3.9825640000000002E-2</v>
      </c>
      <c r="D112" s="34">
        <v>3.7915079999999997E-2</v>
      </c>
      <c r="E112" s="34">
        <v>1.9814720000000001E-2</v>
      </c>
      <c r="F112" s="34">
        <v>2.4960220000000002E-2</v>
      </c>
      <c r="G112" s="34">
        <v>2.6073249999999999E-2</v>
      </c>
      <c r="H112" s="34">
        <v>3.5764619999999997E-2</v>
      </c>
      <c r="I112" s="34">
        <v>3.6947870000000001E-2</v>
      </c>
      <c r="J112" s="34">
        <v>4.385737E-2</v>
      </c>
      <c r="K112" s="34">
        <v>5.4447189999999999E-2</v>
      </c>
      <c r="L112" s="34">
        <v>5.5619630000000003E-2</v>
      </c>
      <c r="M112" s="34">
        <v>8.5693290000000005E-2</v>
      </c>
      <c r="N112" s="34">
        <v>7.2617070000000006E-2</v>
      </c>
      <c r="O112" s="34">
        <v>8.7127839999999998E-2</v>
      </c>
      <c r="P112" s="34">
        <v>8.6236919999999995E-2</v>
      </c>
      <c r="Q112" s="34">
        <v>0.10092764999999999</v>
      </c>
      <c r="R112" s="34">
        <v>0.11955323</v>
      </c>
      <c r="S112" s="34">
        <v>0.10196508</v>
      </c>
      <c r="T112" s="34">
        <v>0.11242462</v>
      </c>
      <c r="U112" s="34">
        <v>0.11769373</v>
      </c>
      <c r="V112" s="34"/>
      <c r="W112" s="96"/>
    </row>
    <row r="113" spans="2:24" x14ac:dyDescent="0.2">
      <c r="B113" s="26" t="s">
        <v>136</v>
      </c>
      <c r="C113" s="34">
        <v>4.6886980000000002E-2</v>
      </c>
      <c r="D113" s="34">
        <v>5.4228070000000003E-2</v>
      </c>
      <c r="E113" s="34">
        <v>7.8890559999999998E-2</v>
      </c>
      <c r="F113" s="34">
        <v>7.7446600000000004E-2</v>
      </c>
      <c r="G113" s="34">
        <v>7.5729809999999995E-2</v>
      </c>
      <c r="H113" s="34">
        <v>7.418959E-2</v>
      </c>
      <c r="I113" s="34">
        <v>7.2623409999999999E-2</v>
      </c>
      <c r="J113" s="34">
        <v>7.0960330000000002E-2</v>
      </c>
      <c r="K113" s="34">
        <v>6.9505700000000004E-2</v>
      </c>
      <c r="L113" s="34">
        <v>6.7915379999999997E-2</v>
      </c>
      <c r="M113" s="34">
        <v>6.6336880000000001E-2</v>
      </c>
      <c r="N113" s="34">
        <v>6.4517850000000002E-2</v>
      </c>
      <c r="O113" s="34">
        <v>6.4541799999999996E-2</v>
      </c>
      <c r="P113" s="34">
        <v>6.4587080000000005E-2</v>
      </c>
      <c r="Q113" s="34">
        <v>6.4583409999999994E-2</v>
      </c>
      <c r="R113" s="34">
        <v>6.4579159999999997E-2</v>
      </c>
      <c r="S113" s="34">
        <v>6.4573859999999997E-2</v>
      </c>
      <c r="T113" s="34">
        <v>6.456866E-2</v>
      </c>
      <c r="U113" s="34">
        <v>6.4566529999999997E-2</v>
      </c>
      <c r="V113" s="38"/>
    </row>
    <row r="114" spans="2:24" x14ac:dyDescent="0.2">
      <c r="B114" s="26" t="s">
        <v>137</v>
      </c>
      <c r="C114" s="34">
        <v>4.6466689999999998E-2</v>
      </c>
      <c r="D114" s="34">
        <v>4.9203610000000002E-2</v>
      </c>
      <c r="E114" s="34">
        <v>6.5910270000000007E-2</v>
      </c>
      <c r="F114" s="34">
        <v>7.7816999999999997E-2</v>
      </c>
      <c r="G114" s="34">
        <v>7.7216729999999997E-2</v>
      </c>
      <c r="H114" s="34">
        <v>7.4756279999999994E-2</v>
      </c>
      <c r="I114" s="34">
        <v>7.1154019999999998E-2</v>
      </c>
      <c r="J114" s="34">
        <v>6.2752269999999999E-2</v>
      </c>
      <c r="K114" s="34">
        <v>9.8856260000000001E-2</v>
      </c>
      <c r="L114" s="34">
        <v>7.7923179999999995E-2</v>
      </c>
      <c r="M114" s="34">
        <v>7.8720860000000004E-2</v>
      </c>
      <c r="N114" s="34">
        <v>6.4296249999999999E-2</v>
      </c>
      <c r="O114" s="34">
        <v>8.3573289999999995E-2</v>
      </c>
      <c r="P114" s="34">
        <v>8.6211179999999998E-2</v>
      </c>
      <c r="Q114" s="34">
        <v>6.3462420000000005E-2</v>
      </c>
      <c r="R114" s="34">
        <v>7.5319109999999995E-2</v>
      </c>
      <c r="S114" s="34">
        <v>6.0688110000000003E-2</v>
      </c>
      <c r="T114" s="34">
        <v>6.3912060000000007E-2</v>
      </c>
      <c r="U114" s="34">
        <v>6.0648029999999999E-2</v>
      </c>
      <c r="V114" s="38"/>
    </row>
    <row r="115" spans="2:24" x14ac:dyDescent="0.2">
      <c r="C115" s="38"/>
      <c r="D115" s="38"/>
      <c r="E115" s="34"/>
      <c r="F115" s="34"/>
      <c r="G115" s="38"/>
      <c r="H115" s="115"/>
      <c r="I115" s="115"/>
      <c r="J115" s="115"/>
      <c r="K115" s="115"/>
      <c r="L115" s="115"/>
      <c r="M115" s="115"/>
      <c r="N115" s="115"/>
      <c r="O115" s="115"/>
      <c r="P115" s="115"/>
      <c r="Q115" s="115"/>
      <c r="R115" s="115"/>
      <c r="S115" s="115"/>
      <c r="T115" s="115"/>
      <c r="U115" s="115"/>
      <c r="V115" s="115"/>
      <c r="W115" s="115"/>
      <c r="X115" s="38"/>
    </row>
    <row r="116" spans="2:24" x14ac:dyDescent="0.2">
      <c r="E116" s="34"/>
      <c r="F116" s="34"/>
      <c r="G116" s="118"/>
      <c r="H116" s="118"/>
      <c r="I116" s="118"/>
      <c r="J116" s="118"/>
      <c r="K116" s="118"/>
      <c r="L116" s="118"/>
      <c r="M116" s="118"/>
      <c r="N116" s="118"/>
      <c r="O116" s="118"/>
      <c r="P116" s="118"/>
      <c r="Q116" s="118"/>
      <c r="R116" s="118"/>
      <c r="S116" s="118"/>
      <c r="T116" s="118"/>
      <c r="U116" s="118"/>
      <c r="V116" s="118"/>
      <c r="W116" s="118"/>
    </row>
    <row r="117" spans="2:24" x14ac:dyDescent="0.2">
      <c r="D117" s="255"/>
      <c r="E117" s="255"/>
      <c r="F117" s="255"/>
      <c r="G117" s="255"/>
    </row>
    <row r="118" spans="2:24" x14ac:dyDescent="0.2">
      <c r="D118" s="255"/>
      <c r="E118" s="255"/>
      <c r="F118" s="255"/>
      <c r="G118" s="255"/>
      <c r="H118" s="255"/>
      <c r="I118" s="255"/>
      <c r="J118" s="255"/>
      <c r="K118" s="255"/>
      <c r="L118" s="255"/>
      <c r="M118" s="255"/>
      <c r="N118" s="255"/>
      <c r="O118" s="255"/>
      <c r="P118" s="255"/>
      <c r="Q118" s="255"/>
      <c r="R118" s="255"/>
      <c r="S118" s="255"/>
      <c r="T118" s="255"/>
      <c r="U118" s="118"/>
      <c r="V118" s="118"/>
      <c r="W118" s="118"/>
    </row>
    <row r="119" spans="2:24" x14ac:dyDescent="0.2">
      <c r="E119" s="34"/>
      <c r="F119" s="34"/>
      <c r="G119" s="118"/>
      <c r="H119" s="118"/>
      <c r="I119" s="118"/>
      <c r="J119" s="118"/>
      <c r="K119" s="118"/>
      <c r="L119" s="118"/>
      <c r="M119" s="118"/>
      <c r="N119" s="118"/>
      <c r="O119" s="118"/>
      <c r="P119" s="118"/>
      <c r="Q119" s="118"/>
      <c r="R119" s="118"/>
      <c r="S119" s="118"/>
      <c r="T119" s="118"/>
      <c r="U119" s="118"/>
      <c r="V119" s="118"/>
      <c r="W119" s="118"/>
      <c r="X119" s="118"/>
    </row>
    <row r="120" spans="2:24" x14ac:dyDescent="0.2">
      <c r="G120" s="118"/>
      <c r="H120" s="118"/>
      <c r="I120" s="118"/>
      <c r="J120" s="118"/>
      <c r="K120" s="118"/>
      <c r="L120" s="118"/>
      <c r="M120" s="118"/>
      <c r="N120" s="118"/>
      <c r="O120" s="118"/>
      <c r="P120" s="118"/>
      <c r="Q120" s="118"/>
      <c r="R120" s="118"/>
      <c r="S120" s="118"/>
      <c r="T120" s="118"/>
      <c r="U120" s="118"/>
      <c r="V120" s="118"/>
      <c r="W120" s="118"/>
      <c r="X120" s="118"/>
    </row>
    <row r="121" spans="2:24" x14ac:dyDescent="0.2">
      <c r="E121" s="34"/>
      <c r="F121" s="96"/>
      <c r="G121" s="96"/>
      <c r="H121" s="96"/>
      <c r="I121" s="96"/>
      <c r="J121" s="96"/>
      <c r="K121" s="96"/>
      <c r="L121" s="96"/>
      <c r="M121" s="96"/>
      <c r="N121" s="96"/>
      <c r="O121" s="96"/>
      <c r="P121" s="96"/>
      <c r="Q121" s="96"/>
      <c r="R121" s="96"/>
      <c r="S121" s="96"/>
      <c r="T121" s="96"/>
      <c r="U121" s="96"/>
      <c r="V121" s="96"/>
      <c r="W121" s="96"/>
      <c r="X121" s="118"/>
    </row>
    <row r="122" spans="2:24" x14ac:dyDescent="0.2">
      <c r="E122" s="34"/>
      <c r="F122" s="34"/>
      <c r="G122" s="118"/>
      <c r="H122" s="118"/>
      <c r="I122" s="118"/>
      <c r="J122" s="118"/>
      <c r="K122" s="118"/>
      <c r="L122" s="118"/>
      <c r="M122" s="118"/>
      <c r="N122" s="118"/>
      <c r="O122" s="118"/>
      <c r="P122" s="118"/>
      <c r="Q122" s="118"/>
      <c r="R122" s="118"/>
      <c r="S122" s="118"/>
      <c r="T122" s="118"/>
      <c r="U122" s="118"/>
      <c r="V122" s="118"/>
      <c r="W122" s="118"/>
      <c r="X122" s="118"/>
    </row>
    <row r="123" spans="2:24" x14ac:dyDescent="0.2">
      <c r="G123" s="118"/>
      <c r="H123" s="118"/>
      <c r="I123" s="118"/>
      <c r="J123" s="118"/>
      <c r="K123" s="118"/>
      <c r="L123" s="118"/>
      <c r="M123" s="118"/>
      <c r="N123" s="118"/>
      <c r="O123" s="118"/>
      <c r="P123" s="118"/>
      <c r="Q123" s="118"/>
      <c r="R123" s="118"/>
      <c r="S123" s="118"/>
      <c r="T123" s="118"/>
      <c r="U123" s="118"/>
      <c r="V123" s="118"/>
      <c r="W123" s="118"/>
      <c r="X123" s="118"/>
    </row>
  </sheetData>
  <conditionalFormatting sqref="S10:U43 S49:U52 S82:U103 S105:U114">
    <cfRule type="expression" dxfId="47" priority="1">
      <formula>S$10&gt;($C$6+10)</formula>
    </cfRule>
  </conditionalFormatting>
  <conditionalFormatting sqref="S54:U80">
    <cfRule type="expression" dxfId="46" priority="126">
      <formula>S$10&gt;($C$6+10)</formula>
    </cfRule>
  </conditionalFormatting>
  <conditionalFormatting sqref="U45:W48 U115:W130">
    <cfRule type="expression" dxfId="45" priority="127">
      <formula>S$10&gt;($C$6+10)</formula>
    </cfRule>
  </conditionalFormatting>
  <pageMargins left="0.7" right="0.7" top="0.75" bottom="0.75" header="0.3" footer="0.3"/>
  <pageSetup paperSize="9" orientation="portrait" r:id="rId1"/>
  <ignoredErrors>
    <ignoredError sqref="C5:C6 C46:C47" unlockedFormula="1"/>
    <ignoredError sqref="T35:U35 T56:U57 T66:U69 T97:U98 S84:S85 T83:U85 T100:U100 S88:S94 T88:U96" evalErro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rgb="FFFFC000"/>
  </sheetPr>
  <dimension ref="A1:AW136"/>
  <sheetViews>
    <sheetView zoomScaleNormal="100" workbookViewId="0"/>
  </sheetViews>
  <sheetFormatPr defaultColWidth="9.28515625" defaultRowHeight="11.25" outlineLevelRow="1" x14ac:dyDescent="0.2"/>
  <cols>
    <col min="1" max="1" width="9.28515625" style="26" customWidth="1"/>
    <col min="2" max="2" width="57.42578125" style="26" customWidth="1"/>
    <col min="3" max="38" width="9.28515625" style="26" customWidth="1"/>
    <col min="39" max="48" width="11.42578125" style="26" bestFit="1" customWidth="1"/>
    <col min="49" max="16384" width="9.28515625" style="26"/>
  </cols>
  <sheetData>
    <row r="1" spans="1:49" ht="24.75" customHeight="1" x14ac:dyDescent="0.2">
      <c r="B1" s="39"/>
    </row>
    <row r="2" spans="1:49" ht="11.25" customHeight="1" x14ac:dyDescent="0.2">
      <c r="B2" s="27"/>
    </row>
    <row r="3" spans="1:49" ht="11.25" customHeight="1" x14ac:dyDescent="0.2">
      <c r="B3" s="19" t="s">
        <v>15</v>
      </c>
      <c r="C3" s="20" t="str">
        <f>'Input data'!C3</f>
        <v>DE</v>
      </c>
    </row>
    <row r="4" spans="1:49" x14ac:dyDescent="0.2">
      <c r="B4" s="64" t="s">
        <v>38</v>
      </c>
      <c r="C4" s="21"/>
    </row>
    <row r="5" spans="1:49" x14ac:dyDescent="0.2">
      <c r="A5" s="29"/>
      <c r="B5" s="22" t="str">
        <f>'Input data'!B5</f>
        <v>Last year before the adjustment</v>
      </c>
      <c r="C5" s="23">
        <f>+'Input data'!C5</f>
        <v>2024</v>
      </c>
      <c r="J5" s="53"/>
      <c r="M5" s="38"/>
    </row>
    <row r="6" spans="1:49" x14ac:dyDescent="0.2">
      <c r="A6" s="29"/>
      <c r="B6" s="65" t="s">
        <v>44</v>
      </c>
      <c r="C6" s="23">
        <f>+C5+'Criteria results'!$F$5</f>
        <v>2028</v>
      </c>
      <c r="E6" s="43"/>
      <c r="F6" s="29"/>
    </row>
    <row r="7" spans="1:49" x14ac:dyDescent="0.2">
      <c r="A7" s="29"/>
      <c r="B7" s="24" t="s">
        <v>39</v>
      </c>
      <c r="C7" s="66">
        <f>C5+'Criteria results'!$F$5+10</f>
        <v>2038</v>
      </c>
      <c r="E7" s="43"/>
      <c r="F7" s="29"/>
      <c r="G7" s="53"/>
      <c r="H7" s="53"/>
      <c r="I7" s="53"/>
      <c r="J7" s="53"/>
      <c r="K7" s="53"/>
      <c r="L7" s="53"/>
      <c r="M7" s="53"/>
    </row>
    <row r="8" spans="1:49" x14ac:dyDescent="0.2">
      <c r="A8" s="29"/>
      <c r="C8" s="29"/>
      <c r="E8" s="389"/>
      <c r="F8" s="389"/>
      <c r="G8" s="389"/>
      <c r="H8" s="389"/>
      <c r="I8" s="389"/>
      <c r="J8" s="389"/>
      <c r="K8" s="389"/>
      <c r="N8" s="29"/>
      <c r="O8" s="29"/>
      <c r="P8" s="29"/>
      <c r="Q8" s="29"/>
      <c r="R8" s="29"/>
      <c r="S8" s="29"/>
      <c r="T8" s="29"/>
      <c r="U8" s="29"/>
      <c r="V8" s="29"/>
      <c r="W8" s="29"/>
    </row>
    <row r="9" spans="1:49" s="67" customFormat="1" ht="12.75" x14ac:dyDescent="0.2">
      <c r="B9" s="25" t="s">
        <v>45</v>
      </c>
    </row>
    <row r="10" spans="1:49" x14ac:dyDescent="0.2">
      <c r="C10" s="31">
        <f>'Input data'!$C$5-1</f>
        <v>2023</v>
      </c>
      <c r="D10" s="31">
        <f>C10+1</f>
        <v>2024</v>
      </c>
      <c r="E10" s="31">
        <f t="shared" ref="E10:U10" si="0">D10+1</f>
        <v>2025</v>
      </c>
      <c r="F10" s="31">
        <f t="shared" si="0"/>
        <v>2026</v>
      </c>
      <c r="G10" s="31">
        <f t="shared" si="0"/>
        <v>2027</v>
      </c>
      <c r="H10" s="31">
        <f t="shared" si="0"/>
        <v>2028</v>
      </c>
      <c r="I10" s="31">
        <f t="shared" si="0"/>
        <v>2029</v>
      </c>
      <c r="J10" s="31">
        <f t="shared" si="0"/>
        <v>2030</v>
      </c>
      <c r="K10" s="31">
        <f t="shared" si="0"/>
        <v>2031</v>
      </c>
      <c r="L10" s="31">
        <f t="shared" si="0"/>
        <v>2032</v>
      </c>
      <c r="M10" s="31">
        <f t="shared" si="0"/>
        <v>2033</v>
      </c>
      <c r="N10" s="31">
        <f t="shared" si="0"/>
        <v>2034</v>
      </c>
      <c r="O10" s="31">
        <f t="shared" si="0"/>
        <v>2035</v>
      </c>
      <c r="P10" s="31">
        <f t="shared" si="0"/>
        <v>2036</v>
      </c>
      <c r="Q10" s="31">
        <f t="shared" si="0"/>
        <v>2037</v>
      </c>
      <c r="R10" s="31">
        <f t="shared" si="0"/>
        <v>2038</v>
      </c>
      <c r="S10" s="31">
        <f t="shared" si="0"/>
        <v>2039</v>
      </c>
      <c r="T10" s="31">
        <f t="shared" si="0"/>
        <v>2040</v>
      </c>
      <c r="U10" s="31">
        <f t="shared" si="0"/>
        <v>2041</v>
      </c>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row>
    <row r="11" spans="1:49" x14ac:dyDescent="0.2">
      <c r="B11" s="28" t="s">
        <v>46</v>
      </c>
      <c r="C11" s="29"/>
      <c r="D11" s="257"/>
      <c r="E11" s="390"/>
      <c r="F11" s="390"/>
      <c r="G11" s="390"/>
      <c r="H11" s="390"/>
      <c r="I11" s="390"/>
      <c r="J11" s="390"/>
      <c r="K11" s="390"/>
      <c r="L11" s="257"/>
      <c r="M11" s="257"/>
      <c r="N11" s="257"/>
      <c r="O11" s="257"/>
      <c r="P11" s="257"/>
      <c r="Q11" s="257"/>
      <c r="R11" s="257"/>
      <c r="S11" s="257"/>
      <c r="T11" s="257"/>
      <c r="U11" s="257"/>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row>
    <row r="12" spans="1:49" x14ac:dyDescent="0.2">
      <c r="B12" s="26" t="s">
        <v>48</v>
      </c>
      <c r="C12" s="2">
        <f>'Input data'!C13</f>
        <v>-1.2609140000000001</v>
      </c>
      <c r="D12" s="2">
        <f>'Input data'!D13</f>
        <v>-1.0152870000000001</v>
      </c>
      <c r="E12" s="3">
        <f>IF(E10&lt;=$C$6,
IF(AND(D87=1,D77&lt;=-3.05,'Criteria results'!$F$6&lt;0.5),D12+0.5,
IF(AND(D78&lt;=-1.55,'Criteria results'!$F$5=4,'Criteria results'!$F$6&lt;0.4),D12+0.4,
IF(AND(D78&lt;=-1.55,'Criteria results'!$F$5=7,'Criteria results'!$F$6&lt;0.25),D12+0.25,
D12+'Criteria results'!$F$6))),D12)</f>
        <v>-0.47528700000000002</v>
      </c>
      <c r="F12" s="3">
        <f>IF(F10&lt;=$C$6,
IF(AND(E87=1,E77&lt;=-3.05,'Criteria results'!$F$6&lt;0.5),E12+0.5,
IF(AND(E78&lt;=-1.55,'Criteria results'!$F$5=4,'Criteria results'!$F$6&lt;0.4),E12+0.4,
IF(AND(E78&lt;=-1.55,'Criteria results'!$F$5=7,'Criteria results'!$F$6&lt;0.25),E12+0.25,
E12+'Criteria results'!$F$6))),E12)</f>
        <v>6.4713000000000021E-2</v>
      </c>
      <c r="G12" s="3">
        <f>IF(G10&lt;=$C$6,
IF(AND(F87=1,F77&lt;=-3.05,'Criteria results'!$F$6&lt;0.5),F12+0.5,
IF(AND(F78&lt;=-1.55,'Criteria results'!$F$5=4,'Criteria results'!$F$6&lt;0.4),F12+0.4,
IF(AND(F78&lt;=-1.55,'Criteria results'!$F$5=7,'Criteria results'!$F$6&lt;0.25),F12+0.25,
F12+'Criteria results'!$F$6))),F12)</f>
        <v>0.60471300000000006</v>
      </c>
      <c r="H12" s="3">
        <f>IF(H10&lt;=$C$6,
IF(AND(G87=1,G77&lt;=-3.05,'Criteria results'!$F$6&lt;0.5+H91),G12+0.5+H91,
IF(AND(G78&lt;=-1.55,'Criteria results'!$F$5=4,'Criteria results'!$F$6&lt;0.4),G12+0.4,
IF(AND(G78&lt;=-1.55,'Criteria results'!$F$5=7,'Criteria results'!$F$6&lt;0.25),G12+0.25,
G12+'Criteria results'!$F$6))),G12)</f>
        <v>1.1447130000000001</v>
      </c>
      <c r="I12" s="116">
        <f>IF(I10&lt;=$C$6,
IF(AND(H87=1,H77&lt;=-3.05,'Criteria results'!$F$6&lt;0.5+I91),H12+0.5+I91,
IF(AND(H78&lt;=-1.55,'Criteria results'!$F$5=4,'Criteria results'!$F$6&lt;0.4),H12+0.4,
IF(AND(H78&lt;=-1.55,'Criteria results'!$F$5=7,'Criteria results'!$F$6&lt;0.25),H12+0.25,
H12+'Criteria results'!$F$6))),H12)</f>
        <v>1.1447130000000001</v>
      </c>
      <c r="J12" s="116">
        <f>IF(J10&lt;=$C$6,
IF(AND(I87=1,I77&lt;=-3.05,'Criteria results'!$F$6&lt;0.5+J91),I12+0.5+J91,
IF(AND(I78&lt;=-1.55,'Criteria results'!$F$5=4,'Criteria results'!$F$6&lt;0.4),I12+0.4,
IF(AND(I78&lt;=-1.55,'Criteria results'!$F$5=7,'Criteria results'!$F$6&lt;0.25),I12+0.25,
I12+'Criteria results'!$F$6))),I12)</f>
        <v>1.1447130000000001</v>
      </c>
      <c r="K12" s="116">
        <f>IF(K10&lt;=$C$6,
IF(AND(J87=1,J77&lt;=-3.05,'Criteria results'!$F$6&lt;0.5+K91),J12+0.5+K91,
IF(AND(J78&lt;=-1.55,'Criteria results'!$F$5=4,'Criteria results'!$F$6&lt;0.4),J12+0.4,
IF(AND(J78&lt;=-1.55,'Criteria results'!$F$5=7,'Criteria results'!$F$6&lt;0.25),J12+0.25,
J12+'Criteria results'!$F$6))),J12)</f>
        <v>1.1447130000000001</v>
      </c>
      <c r="L12" s="116">
        <f>K12</f>
        <v>1.1447130000000001</v>
      </c>
      <c r="M12" s="116">
        <f t="shared" ref="M12:U12" si="1">L12</f>
        <v>1.1447130000000001</v>
      </c>
      <c r="N12" s="116">
        <f t="shared" si="1"/>
        <v>1.1447130000000001</v>
      </c>
      <c r="O12" s="116">
        <f t="shared" si="1"/>
        <v>1.1447130000000001</v>
      </c>
      <c r="P12" s="116">
        <f t="shared" si="1"/>
        <v>1.1447130000000001</v>
      </c>
      <c r="Q12" s="116">
        <f t="shared" si="1"/>
        <v>1.1447130000000001</v>
      </c>
      <c r="R12" s="116">
        <f t="shared" si="1"/>
        <v>1.1447130000000001</v>
      </c>
      <c r="S12" s="116">
        <f t="shared" si="1"/>
        <v>1.1447130000000001</v>
      </c>
      <c r="T12" s="116">
        <f t="shared" si="1"/>
        <v>1.1447130000000001</v>
      </c>
      <c r="U12" s="116">
        <f t="shared" si="1"/>
        <v>1.1447130000000001</v>
      </c>
      <c r="V12" s="59"/>
      <c r="W12" s="59"/>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60"/>
    </row>
    <row r="13" spans="1:49" x14ac:dyDescent="0.2">
      <c r="B13" s="299" t="s">
        <v>185</v>
      </c>
      <c r="C13" s="29"/>
      <c r="D13" s="257"/>
      <c r="E13" s="257">
        <f>E12-D12</f>
        <v>0.54</v>
      </c>
      <c r="F13" s="257">
        <f t="shared" ref="F13:U13" si="2">F12-E12</f>
        <v>0.54</v>
      </c>
      <c r="G13" s="257">
        <f t="shared" si="2"/>
        <v>0.54</v>
      </c>
      <c r="H13" s="257">
        <f t="shared" si="2"/>
        <v>0.54</v>
      </c>
      <c r="I13" s="257">
        <f t="shared" si="2"/>
        <v>0</v>
      </c>
      <c r="J13" s="257">
        <f t="shared" si="2"/>
        <v>0</v>
      </c>
      <c r="K13" s="257">
        <f t="shared" si="2"/>
        <v>0</v>
      </c>
      <c r="L13" s="257">
        <f t="shared" si="2"/>
        <v>0</v>
      </c>
      <c r="M13" s="257">
        <f t="shared" si="2"/>
        <v>0</v>
      </c>
      <c r="N13" s="257">
        <f t="shared" si="2"/>
        <v>0</v>
      </c>
      <c r="O13" s="257">
        <f t="shared" si="2"/>
        <v>0</v>
      </c>
      <c r="P13" s="257">
        <f t="shared" si="2"/>
        <v>0</v>
      </c>
      <c r="Q13" s="257">
        <f t="shared" si="2"/>
        <v>0</v>
      </c>
      <c r="R13" s="257">
        <f t="shared" si="2"/>
        <v>0</v>
      </c>
      <c r="S13" s="257">
        <f t="shared" si="2"/>
        <v>0</v>
      </c>
      <c r="T13" s="257">
        <f t="shared" si="2"/>
        <v>0</v>
      </c>
      <c r="U13" s="257">
        <f t="shared" si="2"/>
        <v>0</v>
      </c>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row>
    <row r="14" spans="1:49" x14ac:dyDescent="0.2">
      <c r="B14" s="26" t="s">
        <v>49</v>
      </c>
      <c r="C14" s="2">
        <f>'Input data'!C14</f>
        <v>0</v>
      </c>
      <c r="D14" s="2">
        <f>'Input data'!D14</f>
        <v>0</v>
      </c>
      <c r="E14" s="2">
        <f>'Input data'!E14</f>
        <v>0</v>
      </c>
      <c r="F14" s="2">
        <f>'Input data'!F14</f>
        <v>0</v>
      </c>
      <c r="G14" s="2">
        <f>'Input data'!G14</f>
        <v>0</v>
      </c>
      <c r="H14" s="2">
        <f>'Input data'!H14</f>
        <v>0</v>
      </c>
      <c r="I14" s="2">
        <f>'Input data'!I14</f>
        <v>0</v>
      </c>
      <c r="J14" s="2">
        <f>'Input data'!J14</f>
        <v>0</v>
      </c>
      <c r="K14" s="2">
        <f>'Input data'!K14</f>
        <v>0</v>
      </c>
      <c r="L14" s="2">
        <f>'Input data'!L14</f>
        <v>0</v>
      </c>
      <c r="M14" s="2">
        <f>'Input data'!M14</f>
        <v>0</v>
      </c>
      <c r="N14" s="2">
        <f>'Input data'!N14</f>
        <v>0</v>
      </c>
      <c r="O14" s="2">
        <f>'Input data'!O14</f>
        <v>0</v>
      </c>
      <c r="P14" s="2">
        <f>'Input data'!P14</f>
        <v>0</v>
      </c>
      <c r="Q14" s="2">
        <f>'Input data'!Q14</f>
        <v>0</v>
      </c>
      <c r="R14" s="2">
        <f>'Input data'!R14</f>
        <v>0</v>
      </c>
      <c r="S14" s="2">
        <f>'Input data'!S14</f>
        <v>0</v>
      </c>
      <c r="T14" s="2">
        <f>'Input data'!T14</f>
        <v>0</v>
      </c>
      <c r="U14" s="2">
        <f>'Input data'!U14</f>
        <v>0</v>
      </c>
      <c r="V14" s="59"/>
      <c r="W14" s="59"/>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60"/>
    </row>
    <row r="15" spans="1:49" x14ac:dyDescent="0.2">
      <c r="B15" s="26" t="s">
        <v>84</v>
      </c>
      <c r="C15" s="2">
        <f>'Input data'!C15</f>
        <v>-1.0004850000000001</v>
      </c>
      <c r="D15" s="2">
        <f>'Input data'!D15</f>
        <v>-1.4394560000000001</v>
      </c>
      <c r="E15" s="2">
        <f>'Input data'!E15</f>
        <v>8.5767899999999994E-2</v>
      </c>
      <c r="F15" s="2">
        <f>'Input data'!F15</f>
        <v>0.1097981</v>
      </c>
      <c r="G15" s="2">
        <f>'Input data'!G15</f>
        <v>0</v>
      </c>
      <c r="H15" s="2">
        <f>'Input data'!H15</f>
        <v>0</v>
      </c>
      <c r="I15" s="2">
        <f>'Input data'!I15</f>
        <v>0</v>
      </c>
      <c r="J15" s="2">
        <f>'Input data'!J15</f>
        <v>0</v>
      </c>
      <c r="K15" s="2">
        <f>'Input data'!K15</f>
        <v>0</v>
      </c>
      <c r="L15" s="2">
        <f>'Input data'!L15</f>
        <v>0</v>
      </c>
      <c r="M15" s="2">
        <f>'Input data'!M15</f>
        <v>0</v>
      </c>
      <c r="N15" s="2">
        <f>'Input data'!N15</f>
        <v>0</v>
      </c>
      <c r="O15" s="2">
        <f>'Input data'!O15</f>
        <v>0</v>
      </c>
      <c r="P15" s="2">
        <f>'Input data'!P15</f>
        <v>0</v>
      </c>
      <c r="Q15" s="2">
        <f>'Input data'!Q15</f>
        <v>0</v>
      </c>
      <c r="R15" s="2">
        <f>'Input data'!R15</f>
        <v>0</v>
      </c>
      <c r="S15" s="2">
        <f>'Input data'!S15</f>
        <v>0</v>
      </c>
      <c r="T15" s="2">
        <f>'Input data'!T15</f>
        <v>0</v>
      </c>
      <c r="U15" s="2">
        <f>'Input data'!U15</f>
        <v>0</v>
      </c>
      <c r="V15" s="59"/>
      <c r="W15" s="59"/>
      <c r="X15" s="59"/>
      <c r="Y15" s="59"/>
      <c r="Z15" s="59"/>
      <c r="AA15" s="59"/>
      <c r="AB15" s="59"/>
      <c r="AC15" s="59"/>
      <c r="AD15" s="59"/>
      <c r="AE15" s="59"/>
      <c r="AF15" s="59"/>
      <c r="AG15" s="59"/>
      <c r="AH15" s="59"/>
      <c r="AI15" s="59"/>
      <c r="AJ15" s="59"/>
      <c r="AK15" s="59"/>
      <c r="AL15" s="59"/>
      <c r="AM15" s="59"/>
      <c r="AN15" s="59"/>
      <c r="AO15" s="59"/>
      <c r="AP15" s="59"/>
      <c r="AQ15" s="59"/>
      <c r="AR15" s="59"/>
      <c r="AS15" s="59"/>
      <c r="AT15" s="59"/>
      <c r="AU15" s="59"/>
      <c r="AV15" s="59"/>
      <c r="AW15" s="60"/>
    </row>
    <row r="16" spans="1:49" ht="5.65" customHeight="1" x14ac:dyDescent="0.2">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row>
    <row r="17" spans="1:48" ht="11.25" customHeight="1" x14ac:dyDescent="0.2">
      <c r="B17" s="30" t="str">
        <f>'Input data'!B19</f>
        <v>Cost of ageing and selected public revenue (based on the Commission-Council 2024 Ageing Report ("AR 2024"))</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row>
    <row r="18" spans="1:48" x14ac:dyDescent="0.2">
      <c r="A18" s="61"/>
      <c r="B18" s="26" t="s">
        <v>52</v>
      </c>
      <c r="C18" s="99">
        <f>'Input data'!C20</f>
        <v>23.099999999999998</v>
      </c>
      <c r="D18" s="99">
        <f>'Input data'!D20</f>
        <v>23.3</v>
      </c>
      <c r="E18" s="99">
        <f>'Input data'!E20</f>
        <v>23.4</v>
      </c>
      <c r="F18" s="99">
        <f>'Input data'!F20</f>
        <v>23.4</v>
      </c>
      <c r="G18" s="99">
        <f>'Input data'!G20</f>
        <v>23.6</v>
      </c>
      <c r="H18" s="99">
        <f>'Input data'!H20</f>
        <v>23.7</v>
      </c>
      <c r="I18" s="99">
        <f>'Input data'!I20</f>
        <v>23.799999999999997</v>
      </c>
      <c r="J18" s="99">
        <f>'Input data'!J20</f>
        <v>23.9</v>
      </c>
      <c r="K18" s="99">
        <f>'Input data'!K20</f>
        <v>24</v>
      </c>
      <c r="L18" s="99">
        <f>'Input data'!L20</f>
        <v>24.2</v>
      </c>
      <c r="M18" s="99">
        <f>'Input data'!M20</f>
        <v>24.3</v>
      </c>
      <c r="N18" s="99">
        <f>'Input data'!N20</f>
        <v>24.3</v>
      </c>
      <c r="O18" s="99">
        <f>'Input data'!O20</f>
        <v>24.4</v>
      </c>
      <c r="P18" s="99">
        <f>'Input data'!P20</f>
        <v>24.499999999999996</v>
      </c>
      <c r="Q18" s="99">
        <f>'Input data'!Q20</f>
        <v>24.499999999999996</v>
      </c>
      <c r="R18" s="99">
        <f>'Input data'!R20</f>
        <v>24.499999999999996</v>
      </c>
      <c r="S18" s="99">
        <f>'Input data'!S20</f>
        <v>24.5</v>
      </c>
      <c r="T18" s="99">
        <f>'Input data'!T20</f>
        <v>24.400000000000002</v>
      </c>
      <c r="U18" s="99">
        <f>'Input data'!U20</f>
        <v>24.400000000000002</v>
      </c>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row>
    <row r="19" spans="1:48" x14ac:dyDescent="0.2">
      <c r="A19" s="61"/>
      <c r="B19" s="26" t="s">
        <v>58</v>
      </c>
      <c r="C19" s="99">
        <f>'Input data'!C26</f>
        <v>0.71641730000000003</v>
      </c>
      <c r="D19" s="99">
        <f>'Input data'!D26</f>
        <v>0.71176019999999995</v>
      </c>
      <c r="E19" s="99">
        <f>'Input data'!E26</f>
        <v>0.70710320000000004</v>
      </c>
      <c r="F19" s="99">
        <f>'Input data'!F26</f>
        <v>0.70244620000000002</v>
      </c>
      <c r="G19" s="99">
        <f>'Input data'!G26</f>
        <v>0.69778910000000005</v>
      </c>
      <c r="H19" s="99">
        <f>'Input data'!H26</f>
        <v>0.69313210000000003</v>
      </c>
      <c r="I19" s="99">
        <f>'Input data'!I26</f>
        <v>0.68847510000000001</v>
      </c>
      <c r="J19" s="99">
        <f>'Input data'!J26</f>
        <v>0.68381800000000004</v>
      </c>
      <c r="K19" s="99">
        <f>'Input data'!K26</f>
        <v>0.67916100000000001</v>
      </c>
      <c r="L19" s="99">
        <f>'Input data'!L26</f>
        <v>0.67450399999999999</v>
      </c>
      <c r="M19" s="99">
        <f>'Input data'!M26</f>
        <v>0.66984699999999997</v>
      </c>
      <c r="N19" s="99">
        <f>'Input data'!N26</f>
        <v>0.6651899</v>
      </c>
      <c r="O19" s="99">
        <f>'Input data'!O26</f>
        <v>0.66053280000000003</v>
      </c>
      <c r="P19" s="99">
        <f>'Input data'!P26</f>
        <v>0.65587580000000001</v>
      </c>
      <c r="Q19" s="99">
        <f>'Input data'!Q26</f>
        <v>0.65121879999999999</v>
      </c>
      <c r="R19" s="99">
        <f>'Input data'!R26</f>
        <v>0.64656170000000002</v>
      </c>
      <c r="S19" s="99">
        <f>'Input data'!S26</f>
        <v>0.64190460000000005</v>
      </c>
      <c r="T19" s="99">
        <f>'Input data'!T26</f>
        <v>0.63724760000000003</v>
      </c>
      <c r="U19" s="99">
        <f>'Input data'!U26</f>
        <v>0.63259049999999994</v>
      </c>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row>
    <row r="21" spans="1:48" x14ac:dyDescent="0.2">
      <c r="B21" s="28" t="s">
        <v>85</v>
      </c>
    </row>
    <row r="22" spans="1:48" ht="10.5" customHeight="1" x14ac:dyDescent="0.2">
      <c r="B22" s="30" t="s">
        <v>86</v>
      </c>
    </row>
    <row r="23" spans="1:48" x14ac:dyDescent="0.2">
      <c r="B23" s="26" t="s">
        <v>61</v>
      </c>
      <c r="C23" s="98">
        <f>'Baseline NFPC'!C22</f>
        <v>3615.547</v>
      </c>
      <c r="D23" s="98">
        <f>'Baseline NFPC'!D22</f>
        <v>3606.922976747233</v>
      </c>
      <c r="E23" s="34">
        <f>IF(AND(E50&gt;1,D50&gt;1),
E27*(1+('Baseline NFPC'!E$29+E51)/100)-D23*$C$47*(E12-D12)/100,
IF(E50=1,E27,D23*(1+E52/100)))</f>
        <v>3598.5246569643273</v>
      </c>
      <c r="F23" s="34">
        <f>IF(AND(F50&gt;1,E50&gt;1),
F27*(1+('Baseline NFPC'!F$29+F51)/100)-E23*$C$47*(F12-E12)/100,
IF(F50=1,F27,E23*(1+F52/100)))</f>
        <v>3611.4128096625222</v>
      </c>
      <c r="G23" s="34">
        <f t="shared" ref="G23:U23" si="3">IF(AND(G50&gt;1,F50&gt;1),
G27*(1+G51/100)-F23*$C$47*(G12-F12)/100,
IF(G50=1,G27,F23*(1+G52/100)))</f>
        <v>3635.9199842230114</v>
      </c>
      <c r="H23" s="34">
        <f t="shared" si="3"/>
        <v>3661.6310006310255</v>
      </c>
      <c r="I23" s="34">
        <f t="shared" si="3"/>
        <v>3704.1989141495228</v>
      </c>
      <c r="J23" s="34">
        <f t="shared" si="3"/>
        <v>3746.2685597531695</v>
      </c>
      <c r="K23" s="34">
        <f t="shared" si="3"/>
        <v>3787.7192171198189</v>
      </c>
      <c r="L23" s="34">
        <f t="shared" si="3"/>
        <v>3809.9401635614317</v>
      </c>
      <c r="M23" s="34">
        <f t="shared" si="3"/>
        <v>3832.2135995293538</v>
      </c>
      <c r="N23" s="34">
        <f t="shared" si="3"/>
        <v>3858.1252190845521</v>
      </c>
      <c r="O23" s="34">
        <f t="shared" si="3"/>
        <v>3892.1064170023074</v>
      </c>
      <c r="P23" s="34">
        <f t="shared" si="3"/>
        <v>3934.3507951575525</v>
      </c>
      <c r="Q23" s="34">
        <f t="shared" si="3"/>
        <v>3985.1039597585932</v>
      </c>
      <c r="R23" s="34">
        <f t="shared" si="3"/>
        <v>4040.0983545522226</v>
      </c>
      <c r="S23" s="34">
        <f t="shared" si="3"/>
        <v>4099.4880023690584</v>
      </c>
      <c r="T23" s="34">
        <f t="shared" si="3"/>
        <v>4163.029984416019</v>
      </c>
      <c r="U23" s="34">
        <f t="shared" si="3"/>
        <v>4227.9733354335085</v>
      </c>
      <c r="V23" s="34"/>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4"/>
    </row>
    <row r="24" spans="1:48" x14ac:dyDescent="0.2">
      <c r="A24" s="61"/>
      <c r="B24" s="62" t="s">
        <v>60</v>
      </c>
      <c r="C24" s="98">
        <f>'Baseline NFPC'!C23</f>
        <v>-0.26643830000000002</v>
      </c>
      <c r="D24" s="98">
        <f>'Baseline NFPC'!D23</f>
        <v>-0.23852609999999999</v>
      </c>
      <c r="E24" s="34">
        <f t="shared" ref="E24:Q24" si="4">100*(E23/D23-1)</f>
        <v>-0.23283890000000973</v>
      </c>
      <c r="F24" s="34">
        <f t="shared" si="4"/>
        <v>0.35815101817495698</v>
      </c>
      <c r="G24" s="34">
        <f t="shared" si="4"/>
        <v>0.67860352311204242</v>
      </c>
      <c r="H24" s="34">
        <f t="shared" si="4"/>
        <v>0.70713922527392281</v>
      </c>
      <c r="I24" s="34">
        <f t="shared" si="4"/>
        <v>1.1625396854888281</v>
      </c>
      <c r="J24" s="34">
        <f t="shared" si="4"/>
        <v>1.1357285766416814</v>
      </c>
      <c r="K24" s="34">
        <f t="shared" si="4"/>
        <v>1.1064518388233413</v>
      </c>
      <c r="L24" s="34">
        <f t="shared" si="4"/>
        <v>0.58665769999999284</v>
      </c>
      <c r="M24" s="34">
        <f t="shared" si="4"/>
        <v>0.58461379999998897</v>
      </c>
      <c r="N24" s="34">
        <f t="shared" si="4"/>
        <v>0.67615279999999611</v>
      </c>
      <c r="O24" s="34">
        <f t="shared" si="4"/>
        <v>0.88076969999999477</v>
      </c>
      <c r="P24" s="34">
        <f t="shared" si="4"/>
        <v>1.0853860000000104</v>
      </c>
      <c r="Q24" s="34">
        <f t="shared" si="4"/>
        <v>1.2900010000000073</v>
      </c>
      <c r="R24" s="34">
        <f>100*(R23/Q23-1)</f>
        <v>1.3799990000000095</v>
      </c>
      <c r="S24" s="34">
        <f t="shared" ref="S24" si="5">100*(S23/R23-1)</f>
        <v>1.4700050000000076</v>
      </c>
      <c r="T24" s="34">
        <f t="shared" ref="T24" si="6">100*(T23/S23-1)</f>
        <v>1.5499979999999969</v>
      </c>
      <c r="U24" s="34">
        <f t="shared" ref="U24" si="7">100*(U23/T23-1)</f>
        <v>1.5600019999999937</v>
      </c>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row>
    <row r="25" spans="1:48" ht="5.25" customHeight="1" x14ac:dyDescent="0.2">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row>
    <row r="26" spans="1:48" ht="15" x14ac:dyDescent="0.2">
      <c r="A26" s="220"/>
      <c r="B26" s="30" t="s">
        <v>87</v>
      </c>
      <c r="C26" s="219"/>
      <c r="D26" s="219"/>
    </row>
    <row r="27" spans="1:48" x14ac:dyDescent="0.2">
      <c r="B27" s="26" t="s">
        <v>61</v>
      </c>
      <c r="C27" s="98">
        <f>'Input data'!C34</f>
        <v>3640.4940000000001</v>
      </c>
      <c r="D27" s="98">
        <f>+C27*(1+'Input data'!D33/100)</f>
        <v>3656.8929838343765</v>
      </c>
      <c r="E27" s="34">
        <f>+D27*(1+'Input data'!E33/100)</f>
        <v>3666.6689924169909</v>
      </c>
      <c r="F27" s="34">
        <f>+E27*(1+'Input data'!F33/100)</f>
        <v>3679.4239441740615</v>
      </c>
      <c r="G27" s="34">
        <f>+F27*(1+'Input data'!G33/100)</f>
        <v>3696.0923638226645</v>
      </c>
      <c r="H27" s="34">
        <f>+G27*(1+'Input data'!H33/100)</f>
        <v>3716.6950036021294</v>
      </c>
      <c r="I27" s="34">
        <f>+H27*(1+'Input data'!I33/100)</f>
        <v>3741.1497863176701</v>
      </c>
      <c r="J27" s="34">
        <f>+I27*(1+'Input data'!J33/100)</f>
        <v>3764.861092652307</v>
      </c>
      <c r="K27" s="34">
        <f>+J27*(1+'Input data'!K33/100)</f>
        <v>3787.7192171198189</v>
      </c>
      <c r="L27" s="34">
        <f>+K27*(1+'Input data'!L33/100)</f>
        <v>3809.9401825000277</v>
      </c>
      <c r="M27" s="34">
        <f>+L27*(1+'Input data'!M33/100)</f>
        <v>3832.2136338184287</v>
      </c>
      <c r="N27" s="34">
        <f>+M27*(1+'Input data'!N33/100)</f>
        <v>3858.1251654645603</v>
      </c>
      <c r="O27" s="34">
        <f>+N27*(1+'Input data'!O33/100)</f>
        <v>3892.1062587406673</v>
      </c>
      <c r="P27" s="34">
        <f>+O27*(1+'Input data'!P33/100)</f>
        <v>3934.3505184149749</v>
      </c>
      <c r="Q27" s="34">
        <f>+P27*(1+'Input data'!Q33/100)</f>
        <v>3985.1036401025276</v>
      </c>
      <c r="R27" s="34">
        <f>+Q27*(1+'Input data'!R33/100)</f>
        <v>4040.0980703359428</v>
      </c>
      <c r="S27" s="34">
        <f>+R27*(1+'Input data'!S33/100)</f>
        <v>4099.4875119698809</v>
      </c>
      <c r="T27" s="34">
        <f>+S27*(1+'Input data'!T33/100)</f>
        <v>4163.0295684054145</v>
      </c>
      <c r="U27" s="34">
        <f>+T27*(1+'Input data'!U33/100)</f>
        <v>4227.9728296725389</v>
      </c>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row>
    <row r="28" spans="1:48" ht="5.25" customHeight="1" x14ac:dyDescent="0.2">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row>
    <row r="29" spans="1:48" x14ac:dyDescent="0.2">
      <c r="B29" s="30" t="s">
        <v>88</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row>
    <row r="30" spans="1:48" x14ac:dyDescent="0.2">
      <c r="B30" s="26" t="s">
        <v>88</v>
      </c>
      <c r="C30" s="98">
        <f t="shared" ref="C30:R30" si="8">100*(C23/C27-1)</f>
        <v>-0.68526414272349623</v>
      </c>
      <c r="D30" s="98">
        <f t="shared" si="8"/>
        <v>-1.3664607443543031</v>
      </c>
      <c r="E30" s="34">
        <f t="shared" si="8"/>
        <v>-1.8584806971557177</v>
      </c>
      <c r="F30" s="34">
        <f t="shared" si="8"/>
        <v>-1.8484180008456752</v>
      </c>
      <c r="G30" s="34">
        <f t="shared" si="8"/>
        <v>-1.6279998895217029</v>
      </c>
      <c r="H30" s="34">
        <f t="shared" si="8"/>
        <v>-1.4815313852155509</v>
      </c>
      <c r="I30" s="34">
        <f t="shared" si="8"/>
        <v>-0.98768759014370433</v>
      </c>
      <c r="J30" s="34">
        <f t="shared" si="8"/>
        <v>-0.49384379507184661</v>
      </c>
      <c r="K30" s="34">
        <f>100*(K23/K27-1)</f>
        <v>0</v>
      </c>
      <c r="L30" s="34">
        <f t="shared" si="8"/>
        <v>-4.970838185514026E-7</v>
      </c>
      <c r="M30" s="34">
        <f t="shared" si="8"/>
        <v>-8.9475895581614395E-7</v>
      </c>
      <c r="N30" s="34">
        <f t="shared" si="8"/>
        <v>1.3897939910023638E-6</v>
      </c>
      <c r="O30" s="34">
        <f t="shared" si="8"/>
        <v>4.066220959941802E-6</v>
      </c>
      <c r="P30" s="34">
        <f t="shared" si="8"/>
        <v>7.0340091973264407E-6</v>
      </c>
      <c r="Q30" s="34">
        <f t="shared" si="8"/>
        <v>8.0212735786844291E-6</v>
      </c>
      <c r="R30" s="34">
        <f t="shared" si="8"/>
        <v>7.0348856517910008E-6</v>
      </c>
      <c r="S30" s="34">
        <f t="shared" ref="S30:U30" si="9">100*(S23/S27-1)</f>
        <v>1.1962450829905436E-5</v>
      </c>
      <c r="T30" s="34">
        <f t="shared" si="9"/>
        <v>9.9929774233231683E-6</v>
      </c>
      <c r="U30" s="34">
        <f t="shared" si="9"/>
        <v>1.1962256851738573E-5</v>
      </c>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row>
    <row r="31" spans="1:48" ht="4.9000000000000004" customHeight="1" x14ac:dyDescent="0.2">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row>
    <row r="32" spans="1:48" x14ac:dyDescent="0.2">
      <c r="B32" s="30" t="s">
        <v>89</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row>
    <row r="33" spans="2:49" x14ac:dyDescent="0.2">
      <c r="B33" s="26" t="s">
        <v>60</v>
      </c>
      <c r="C33" s="2">
        <f t="shared" ref="C33:U33" si="10">100*((1+C24/100)*(1+C42/100)-1)</f>
        <v>5.8601126137103998</v>
      </c>
      <c r="D33" s="2">
        <f>100*((1+D24/100)*(1+D42/100)-1)</f>
        <v>2.860079245940339</v>
      </c>
      <c r="E33" s="1">
        <f>100*((1+E24/100)*(1+E42/100)-1)</f>
        <v>2.2007954281148434</v>
      </c>
      <c r="F33" s="1">
        <f t="shared" si="10"/>
        <v>2.5317620463281454</v>
      </c>
      <c r="G33" s="1">
        <f t="shared" si="10"/>
        <v>2.8710031944206182</v>
      </c>
      <c r="H33" s="1">
        <f t="shared" si="10"/>
        <v>2.9120117642938537</v>
      </c>
      <c r="I33" s="1">
        <f t="shared" si="10"/>
        <v>3.3892877794981846</v>
      </c>
      <c r="J33" s="1">
        <f t="shared" si="10"/>
        <v>3.3737884209608993</v>
      </c>
      <c r="K33" s="1">
        <f t="shared" si="10"/>
        <v>3.3557622703251688</v>
      </c>
      <c r="L33" s="1">
        <f t="shared" si="10"/>
        <v>2.8362415853304235</v>
      </c>
      <c r="M33" s="1">
        <f t="shared" si="10"/>
        <v>2.8459890230664753</v>
      </c>
      <c r="N33" s="1">
        <f t="shared" si="10"/>
        <v>2.9514338532799833</v>
      </c>
      <c r="O33" s="1">
        <f t="shared" si="10"/>
        <v>3.1475605951589936</v>
      </c>
      <c r="P33" s="1">
        <f t="shared" si="10"/>
        <v>3.3436335232400083</v>
      </c>
      <c r="Q33" s="1">
        <f t="shared" si="10"/>
        <v>3.5396519222100187</v>
      </c>
      <c r="R33" s="1">
        <f t="shared" si="10"/>
        <v>3.6184693779200305</v>
      </c>
      <c r="S33" s="1">
        <f>100*((1+S24/100)*(1+S42/100)-1)</f>
        <v>3.6972716097499969</v>
      </c>
      <c r="T33" s="1">
        <f t="shared" si="10"/>
        <v>3.7658189563599898</v>
      </c>
      <c r="U33" s="1">
        <f t="shared" si="10"/>
        <v>3.76283844337999</v>
      </c>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row>
    <row r="35" spans="2:49" x14ac:dyDescent="0.2">
      <c r="B35" s="28" t="s">
        <v>138</v>
      </c>
    </row>
    <row r="36" spans="2:49" x14ac:dyDescent="0.2">
      <c r="B36" s="26" t="s">
        <v>63</v>
      </c>
      <c r="C36" s="98">
        <f>'Input data'!C37</f>
        <v>1.422372</v>
      </c>
      <c r="D36" s="98">
        <f>'Input data'!D37</f>
        <v>1.7254640000000001</v>
      </c>
      <c r="E36" s="98">
        <f>'Input data'!E37</f>
        <v>1.8</v>
      </c>
      <c r="F36" s="34">
        <f t="shared" ref="F36:U36" si="11">F109</f>
        <v>1.7990942278989217</v>
      </c>
      <c r="G36" s="34">
        <f t="shared" si="11"/>
        <v>1.9393064891870158</v>
      </c>
      <c r="H36" s="34">
        <f t="shared" si="11"/>
        <v>2.0651772983228507</v>
      </c>
      <c r="I36" s="34">
        <f t="shared" si="11"/>
        <v>2.180776329159134</v>
      </c>
      <c r="J36" s="34">
        <f t="shared" si="11"/>
        <v>2.2924541198341357</v>
      </c>
      <c r="K36" s="34">
        <f t="shared" si="11"/>
        <v>2.4006191944976396</v>
      </c>
      <c r="L36" s="34">
        <f t="shared" si="11"/>
        <v>2.5056322003111475</v>
      </c>
      <c r="M36" s="34">
        <f t="shared" si="11"/>
        <v>2.6113353762557163</v>
      </c>
      <c r="N36" s="34">
        <f t="shared" si="11"/>
        <v>2.7165151216313022</v>
      </c>
      <c r="O36" s="34">
        <f t="shared" si="11"/>
        <v>2.7928728248834673</v>
      </c>
      <c r="P36" s="34">
        <f t="shared" si="11"/>
        <v>2.8633285851629737</v>
      </c>
      <c r="Q36" s="34">
        <f t="shared" si="11"/>
        <v>2.9285150040117558</v>
      </c>
      <c r="R36" s="34">
        <f t="shared" si="11"/>
        <v>2.9883091258861123</v>
      </c>
      <c r="S36" s="34">
        <f t="shared" si="11"/>
        <v>3.043434611864809</v>
      </c>
      <c r="T36" s="34">
        <f t="shared" si="11"/>
        <v>3.0945248541476582</v>
      </c>
      <c r="U36" s="34">
        <f t="shared" si="11"/>
        <v>3.1415413168808737</v>
      </c>
    </row>
    <row r="37" spans="2:49" x14ac:dyDescent="0.2">
      <c r="B37" s="32" t="s">
        <v>91</v>
      </c>
      <c r="C37" s="2">
        <f>'Input data'!C$39</f>
        <v>2.4300000000000002</v>
      </c>
      <c r="D37" s="163">
        <f>'Input data'!D$39</f>
        <v>2.3224999999999998</v>
      </c>
      <c r="E37" s="163">
        <f>'Input data'!E$39</f>
        <v>2.544438</v>
      </c>
      <c r="F37" s="163">
        <f>'Input data'!F$39</f>
        <v>2.698655</v>
      </c>
      <c r="G37" s="1">
        <f>'Baseline NFPC'!G36</f>
        <v>2.7743606249999999</v>
      </c>
      <c r="H37" s="1">
        <f>'Baseline NFPC'!H36</f>
        <v>2.8500662499999998</v>
      </c>
      <c r="I37" s="1">
        <f>'Baseline NFPC'!I36</f>
        <v>2.9257718749999997</v>
      </c>
      <c r="J37" s="1">
        <f>'Baseline NFPC'!J36</f>
        <v>3.0014774999999996</v>
      </c>
      <c r="K37" s="1">
        <f>'Baseline NFPC'!K36</f>
        <v>3.0771831249999995</v>
      </c>
      <c r="L37" s="1">
        <f>'Baseline NFPC'!L36</f>
        <v>3.1528887499999994</v>
      </c>
      <c r="M37" s="1">
        <f>'Baseline NFPC'!M36</f>
        <v>3.2285943749999992</v>
      </c>
      <c r="N37" s="248">
        <f>'Baseline NFPC'!N36</f>
        <v>3.3043</v>
      </c>
      <c r="O37" s="1">
        <f>'Baseline NFPC'!O36</f>
        <v>3.3390849999999999</v>
      </c>
      <c r="P37" s="1">
        <f>'Baseline NFPC'!P36</f>
        <v>3.3738700000000001</v>
      </c>
      <c r="Q37" s="1">
        <f>'Baseline NFPC'!Q36</f>
        <v>3.408655</v>
      </c>
      <c r="R37" s="1">
        <f>'Baseline NFPC'!R36</f>
        <v>3.4434399999999998</v>
      </c>
      <c r="S37" s="1">
        <f>'Baseline NFPC'!S36</f>
        <v>3.4782250000000001</v>
      </c>
      <c r="T37" s="1">
        <f>'Baseline NFPC'!T36</f>
        <v>3.51301</v>
      </c>
      <c r="U37" s="1">
        <f>'Baseline NFPC'!U36</f>
        <v>3.5477949999999998</v>
      </c>
      <c r="V37" s="59"/>
      <c r="W37" s="59"/>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60"/>
    </row>
    <row r="38" spans="2:49" x14ac:dyDescent="0.2">
      <c r="B38" s="32" t="s">
        <v>92</v>
      </c>
      <c r="C38" s="2">
        <f>'Input data'!C$38</f>
        <v>3.43</v>
      </c>
      <c r="D38" s="163">
        <f>'Input data'!D$38</f>
        <v>3.5708329999999999</v>
      </c>
      <c r="E38" s="163">
        <f>'Input data'!E$38</f>
        <v>1.999333</v>
      </c>
      <c r="F38" s="163">
        <f>'Input data'!F$38</f>
        <v>1.7208330000000001</v>
      </c>
      <c r="G38" s="1">
        <f>'Baseline NFPC'!G37</f>
        <v>1.877801375</v>
      </c>
      <c r="H38" s="1">
        <f>'Baseline NFPC'!H37</f>
        <v>2.0347697500000002</v>
      </c>
      <c r="I38" s="1">
        <f>'Baseline NFPC'!I37</f>
        <v>2.1917381250000001</v>
      </c>
      <c r="J38" s="1">
        <f>'Baseline NFPC'!J37</f>
        <v>2.3487065</v>
      </c>
      <c r="K38" s="1">
        <f>'Baseline NFPC'!K37</f>
        <v>2.505674875</v>
      </c>
      <c r="L38" s="1">
        <f>'Baseline NFPC'!L37</f>
        <v>2.6626432499999999</v>
      </c>
      <c r="M38" s="1">
        <f>'Baseline NFPC'!M37</f>
        <v>2.8196116249999998</v>
      </c>
      <c r="N38" s="248">
        <f>'Baseline NFPC'!N37</f>
        <v>2.9765799999999998</v>
      </c>
      <c r="O38" s="1">
        <f>'Baseline NFPC'!O37</f>
        <v>2.9277509999999998</v>
      </c>
      <c r="P38" s="1">
        <f>'Baseline NFPC'!P37</f>
        <v>2.8789219999999998</v>
      </c>
      <c r="Q38" s="1">
        <f>'Baseline NFPC'!Q37</f>
        <v>2.8300929999999997</v>
      </c>
      <c r="R38" s="1">
        <f>'Baseline NFPC'!R37</f>
        <v>2.7812639999999997</v>
      </c>
      <c r="S38" s="1">
        <f>'Baseline NFPC'!S37</f>
        <v>2.7324349999999997</v>
      </c>
      <c r="T38" s="1">
        <f>'Baseline NFPC'!T37</f>
        <v>2.6836059999999997</v>
      </c>
      <c r="U38" s="1">
        <f>'Baseline NFPC'!U37</f>
        <v>2.6347769999999997</v>
      </c>
      <c r="V38" s="59"/>
      <c r="W38" s="59"/>
      <c r="X38" s="59"/>
      <c r="Y38" s="59"/>
      <c r="Z38" s="59"/>
      <c r="AA38" s="59"/>
      <c r="AB38" s="59"/>
      <c r="AC38" s="59"/>
      <c r="AD38" s="59"/>
      <c r="AE38" s="59"/>
      <c r="AF38" s="59"/>
      <c r="AG38" s="59"/>
      <c r="AH38" s="59"/>
      <c r="AI38" s="59"/>
      <c r="AJ38" s="59"/>
      <c r="AK38" s="59"/>
      <c r="AL38" s="59"/>
      <c r="AM38" s="59"/>
      <c r="AN38" s="59"/>
      <c r="AO38" s="59"/>
      <c r="AP38" s="59"/>
      <c r="AQ38" s="59"/>
      <c r="AR38" s="59"/>
      <c r="AS38" s="59"/>
      <c r="AT38" s="59"/>
      <c r="AU38" s="59"/>
      <c r="AV38" s="59"/>
      <c r="AW38" s="60"/>
    </row>
    <row r="39" spans="2:49" s="5" customFormat="1" ht="12.75" x14ac:dyDescent="0.2">
      <c r="B39" s="26" t="s">
        <v>93</v>
      </c>
      <c r="C39" s="34">
        <f>'Baseline NFPC'!C38</f>
        <v>0.12643541</v>
      </c>
      <c r="D39" s="34">
        <f>'Baseline NFPC'!D38</f>
        <v>0.11798594</v>
      </c>
      <c r="E39" s="34">
        <f>'Baseline NFPC'!E38</f>
        <v>0.11258884</v>
      </c>
      <c r="F39" s="34">
        <f>'Baseline NFPC'!F38</f>
        <v>0.11390289111111111</v>
      </c>
      <c r="G39" s="34">
        <f>'Baseline NFPC'!G38</f>
        <v>0.11521694222222222</v>
      </c>
      <c r="H39" s="34">
        <f>'Baseline NFPC'!H38</f>
        <v>0.11653099333333333</v>
      </c>
      <c r="I39" s="34">
        <f>'Baseline NFPC'!I38</f>
        <v>0.11784504444444445</v>
      </c>
      <c r="J39" s="34">
        <f>'Baseline NFPC'!J38</f>
        <v>0.11915909555555555</v>
      </c>
      <c r="K39" s="34">
        <f>'Baseline NFPC'!K38</f>
        <v>0.12047314666666667</v>
      </c>
      <c r="L39" s="34">
        <f>'Baseline NFPC'!L38</f>
        <v>0.12178719777777779</v>
      </c>
      <c r="M39" s="34">
        <f>'Baseline NFPC'!M38</f>
        <v>0.12310124888888889</v>
      </c>
      <c r="N39" s="34">
        <f>'Baseline NFPC'!N38</f>
        <v>0.12441530000000001</v>
      </c>
      <c r="O39" s="34">
        <f>'Baseline NFPC'!O38</f>
        <v>0.12441530000000001</v>
      </c>
      <c r="P39" s="34">
        <f>'Baseline NFPC'!P38</f>
        <v>0.12441530000000001</v>
      </c>
      <c r="Q39" s="34">
        <f>'Baseline NFPC'!Q38</f>
        <v>0.12441530000000001</v>
      </c>
      <c r="R39" s="34">
        <f>'Baseline NFPC'!R38</f>
        <v>0.12441530000000001</v>
      </c>
      <c r="S39" s="34">
        <f>'Baseline NFPC'!S38</f>
        <v>0.12441530000000001</v>
      </c>
      <c r="T39" s="34">
        <f>'Baseline NFPC'!T38</f>
        <v>0.12441530000000001</v>
      </c>
      <c r="U39" s="34">
        <f>'Baseline NFPC'!U38</f>
        <v>0.12441530000000001</v>
      </c>
    </row>
    <row r="40" spans="2:49" x14ac:dyDescent="0.2">
      <c r="C40" s="102"/>
      <c r="D40" s="102"/>
      <c r="E40" s="102"/>
      <c r="F40" s="102"/>
      <c r="G40" s="102"/>
      <c r="H40" s="102"/>
      <c r="I40" s="102"/>
      <c r="J40" s="102"/>
      <c r="K40" s="102"/>
      <c r="L40" s="102"/>
      <c r="M40" s="1"/>
      <c r="N40" s="1"/>
      <c r="O40" s="1"/>
      <c r="P40" s="1"/>
      <c r="Q40" s="1"/>
      <c r="R40" s="1"/>
      <c r="S40" s="1"/>
      <c r="T40" s="1"/>
      <c r="U40" s="1"/>
      <c r="V40" s="59"/>
      <c r="W40" s="59"/>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60"/>
    </row>
    <row r="41" spans="2:49" x14ac:dyDescent="0.2">
      <c r="B41" s="28" t="s">
        <v>94</v>
      </c>
      <c r="C41" s="1"/>
      <c r="D41" s="1"/>
      <c r="E41" s="1"/>
      <c r="F41" s="1"/>
      <c r="G41" s="1"/>
      <c r="H41" s="1"/>
      <c r="I41" s="1"/>
      <c r="J41" s="1"/>
      <c r="K41" s="1"/>
      <c r="L41" s="1"/>
      <c r="M41" s="1"/>
      <c r="N41" s="1"/>
      <c r="O41" s="1"/>
      <c r="P41" s="1"/>
      <c r="Q41" s="1"/>
      <c r="R41" s="1"/>
      <c r="S41" s="1"/>
      <c r="T41" s="1"/>
      <c r="U41" s="1"/>
      <c r="V41" s="59"/>
      <c r="W41" s="59"/>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60"/>
    </row>
    <row r="42" spans="2:49" x14ac:dyDescent="0.2">
      <c r="B42" s="26" t="s">
        <v>139</v>
      </c>
      <c r="C42" s="2">
        <f>'Input data'!C42</f>
        <v>6.1429179999999999</v>
      </c>
      <c r="D42" s="2">
        <f>'Input data'!D42</f>
        <v>3.1060140000000001</v>
      </c>
      <c r="E42" s="2">
        <f>'Input data'!E42</f>
        <v>2.439314</v>
      </c>
      <c r="F42" s="2">
        <f>'Input data'!F42</f>
        <v>2.1658539999999999</v>
      </c>
      <c r="G42" s="1">
        <f>'Baseline NFPC'!G41</f>
        <v>2.1776222499999998</v>
      </c>
      <c r="H42" s="1">
        <f>'Baseline NFPC'!H41</f>
        <v>2.1893905</v>
      </c>
      <c r="I42" s="1">
        <f>'Baseline NFPC'!I41</f>
        <v>2.2011587499999998</v>
      </c>
      <c r="J42" s="1">
        <f>'Baseline NFPC'!J41</f>
        <v>2.2129269999999996</v>
      </c>
      <c r="K42" s="1">
        <f>'Baseline NFPC'!K41</f>
        <v>2.2246952499999999</v>
      </c>
      <c r="L42" s="1">
        <f>'Baseline NFPC'!L41</f>
        <v>2.2364634999999997</v>
      </c>
      <c r="M42" s="1">
        <f>'Baseline NFPC'!M41</f>
        <v>2.24823175</v>
      </c>
      <c r="N42" s="248">
        <f>'Baseline NFPC'!N41</f>
        <v>2.2599999999999998</v>
      </c>
      <c r="O42" s="1">
        <f>'Baseline NFPC'!O41</f>
        <v>2.2469999999999999</v>
      </c>
      <c r="P42" s="1">
        <f>'Baseline NFPC'!P41</f>
        <v>2.234</v>
      </c>
      <c r="Q42" s="1">
        <f>'Baseline NFPC'!Q41</f>
        <v>2.2209999999999996</v>
      </c>
      <c r="R42" s="1">
        <f>'Baseline NFPC'!R41</f>
        <v>2.2079999999999997</v>
      </c>
      <c r="S42" s="1">
        <f>'Baseline NFPC'!S41</f>
        <v>2.1949999999999998</v>
      </c>
      <c r="T42" s="1">
        <f>'Baseline NFPC'!T41</f>
        <v>2.1819999999999999</v>
      </c>
      <c r="U42" s="1">
        <f>'Baseline NFPC'!U41</f>
        <v>2.169</v>
      </c>
      <c r="V42" s="59"/>
      <c r="W42" s="59"/>
      <c r="X42" s="59"/>
      <c r="Y42" s="59"/>
      <c r="Z42" s="59"/>
      <c r="AA42" s="59"/>
      <c r="AB42" s="59"/>
      <c r="AC42" s="59"/>
      <c r="AD42" s="59"/>
      <c r="AE42" s="59"/>
      <c r="AF42" s="59"/>
      <c r="AG42" s="59"/>
      <c r="AH42" s="59"/>
      <c r="AI42" s="59"/>
      <c r="AJ42" s="59"/>
      <c r="AK42" s="59"/>
      <c r="AL42" s="59"/>
      <c r="AM42" s="59"/>
      <c r="AN42" s="59"/>
      <c r="AO42" s="59"/>
      <c r="AP42" s="59"/>
      <c r="AQ42" s="59"/>
      <c r="AR42" s="59"/>
      <c r="AS42" s="59"/>
      <c r="AT42" s="59"/>
      <c r="AU42" s="59"/>
      <c r="AV42" s="59"/>
      <c r="AW42" s="60"/>
    </row>
    <row r="43" spans="2:49" x14ac:dyDescent="0.2">
      <c r="B43" s="26" t="s">
        <v>95</v>
      </c>
      <c r="C43" s="1">
        <f>'Baseline NFPC'!C42</f>
        <v>0.99974450000000004</v>
      </c>
      <c r="D43" s="1">
        <f>'Baseline NFPC'!D42</f>
        <v>0.99998920000000002</v>
      </c>
      <c r="E43" s="1">
        <f>'Baseline NFPC'!E42</f>
        <v>0.99973610000000002</v>
      </c>
      <c r="F43" s="1">
        <f>'Baseline NFPC'!F42</f>
        <v>0.99982409999999999</v>
      </c>
      <c r="G43" s="1">
        <f>'Baseline NFPC'!G42</f>
        <v>1</v>
      </c>
      <c r="H43" s="1">
        <f>'Baseline NFPC'!H42</f>
        <v>1</v>
      </c>
      <c r="I43" s="1">
        <f>'Baseline NFPC'!I42</f>
        <v>1</v>
      </c>
      <c r="J43" s="1">
        <f>'Baseline NFPC'!J42</f>
        <v>1</v>
      </c>
      <c r="K43" s="1">
        <f>'Baseline NFPC'!K42</f>
        <v>1</v>
      </c>
      <c r="L43" s="1">
        <f>'Baseline NFPC'!L42</f>
        <v>1</v>
      </c>
      <c r="M43" s="1">
        <f>'Baseline NFPC'!M42</f>
        <v>1</v>
      </c>
      <c r="N43" s="1">
        <f>'Baseline NFPC'!N42</f>
        <v>1</v>
      </c>
      <c r="O43" s="1">
        <f>'Baseline NFPC'!O42</f>
        <v>1</v>
      </c>
      <c r="P43" s="1">
        <f>'Baseline NFPC'!P42</f>
        <v>1</v>
      </c>
      <c r="Q43" s="1">
        <f>'Baseline NFPC'!Q42</f>
        <v>1</v>
      </c>
      <c r="R43" s="1">
        <f>'Baseline NFPC'!R42</f>
        <v>1</v>
      </c>
      <c r="S43" s="1">
        <f>'Baseline NFPC'!S42</f>
        <v>1</v>
      </c>
      <c r="T43" s="1">
        <f>'Baseline NFPC'!T42</f>
        <v>1</v>
      </c>
      <c r="U43" s="1">
        <f>'Baseline NFPC'!U42</f>
        <v>1</v>
      </c>
      <c r="V43" s="63"/>
      <c r="W43" s="63"/>
      <c r="X43" s="63"/>
      <c r="Y43" s="63"/>
      <c r="Z43" s="63"/>
      <c r="AA43" s="63"/>
      <c r="AB43" s="63"/>
      <c r="AC43" s="63"/>
      <c r="AD43" s="63"/>
      <c r="AE43" s="63"/>
      <c r="AF43" s="63"/>
      <c r="AG43" s="63"/>
      <c r="AH43" s="63"/>
      <c r="AI43" s="63"/>
      <c r="AJ43" s="63"/>
      <c r="AK43" s="63"/>
      <c r="AL43" s="63"/>
      <c r="AM43" s="63"/>
      <c r="AN43" s="63"/>
      <c r="AO43" s="63"/>
      <c r="AP43" s="63"/>
      <c r="AQ43" s="63"/>
      <c r="AR43" s="63"/>
      <c r="AS43" s="63"/>
      <c r="AT43" s="63"/>
      <c r="AU43" s="63"/>
      <c r="AV43" s="63"/>
      <c r="AW43" s="60"/>
    </row>
    <row r="44" spans="2:49" x14ac:dyDescent="0.2">
      <c r="C44" s="1"/>
      <c r="D44" s="1"/>
      <c r="E44" s="1"/>
      <c r="F44" s="1"/>
      <c r="G44" s="1"/>
      <c r="H44" s="1"/>
      <c r="I44" s="1"/>
      <c r="J44" s="1"/>
      <c r="K44" s="1"/>
      <c r="L44" s="1"/>
      <c r="M44" s="1"/>
      <c r="N44" s="1"/>
      <c r="O44" s="1"/>
      <c r="P44" s="1"/>
      <c r="Q44" s="1"/>
      <c r="R44" s="1"/>
      <c r="S44" s="1"/>
      <c r="T44" s="1"/>
      <c r="U44" s="1"/>
    </row>
    <row r="45" spans="2:49" s="67" customFormat="1" ht="12.75" x14ac:dyDescent="0.2">
      <c r="B45" s="74" t="s">
        <v>96</v>
      </c>
    </row>
    <row r="46" spans="2:49" x14ac:dyDescent="0.2">
      <c r="C46" s="36"/>
    </row>
    <row r="47" spans="2:49" x14ac:dyDescent="0.2">
      <c r="B47" s="54" t="s">
        <v>68</v>
      </c>
      <c r="C47" s="55">
        <f>'Input data'!C49</f>
        <v>0.75</v>
      </c>
    </row>
    <row r="48" spans="2:49" x14ac:dyDescent="0.2">
      <c r="B48" s="56" t="s">
        <v>243</v>
      </c>
      <c r="C48" s="57">
        <f>'Input data'!C50</f>
        <v>0.504</v>
      </c>
    </row>
    <row r="49" spans="2:46" x14ac:dyDescent="0.2">
      <c r="C49" s="58"/>
    </row>
    <row r="50" spans="2:46" outlineLevel="1" x14ac:dyDescent="0.2">
      <c r="B50" s="26" t="s">
        <v>97</v>
      </c>
      <c r="C50" s="34">
        <v>0</v>
      </c>
      <c r="D50" s="34">
        <f>IF(AND(ABS((D12-C12)-('Input data'!D13-'Input data'!C13))&gt;0.0001,ABS(D12-C12)&gt;0.0001,D$10&gt;$C$5),4,IF(C50=4,3,IF(C50=3,2,IF(C50=2,1,0))))</f>
        <v>0</v>
      </c>
      <c r="E50" s="34">
        <f>IF(AND(ABS((E12-D12)-('Baseline NFPC'!E12-'Baseline NFPC'!D12))&gt;0.0001,ABS(E12-D12)&gt;0.0001,E$10&gt;$C$5),4,IF(D50=4,3,IF(D50=3,2,IF(D50=2,1,0))))</f>
        <v>4</v>
      </c>
      <c r="F50" s="34">
        <f>IF(AND(ABS((F12-E12)-('Baseline NFPC'!F12-'Baseline NFPC'!E12))&gt;0.0001,ABS(F12-E12)&gt;0.0001,F$10&gt;$C$5),4,IF(E50=4,3,IF(E50=3,2,IF(E50=2,1,0))))</f>
        <v>4</v>
      </c>
      <c r="G50" s="34">
        <f>IF(AND(ABS((G12-F12)-('Baseline NFPC'!G12-'Baseline NFPC'!F12))&gt;0.0001,ABS(G12-F12)&gt;0.0001,G$10&gt;$C$5),4,IF(F50=4,3,IF(F50=3,2,IF(F50=2,1,0))))</f>
        <v>4</v>
      </c>
      <c r="H50" s="34">
        <f>IF(AND(ABS((H12-G12)-('Baseline NFPC'!H12-'Baseline NFPC'!G12))&gt;0.0001,ABS(H12-G12)&gt;0.0001,H$10&gt;$C$5),4,IF(G50=4,3,IF(G50=3,2,IF(G50=2,1,0))))</f>
        <v>4</v>
      </c>
      <c r="I50" s="34">
        <f>IF(AND(ABS((I12-H12)-('Baseline NFPC'!I12-'Baseline NFPC'!H12))&gt;0.0001,ABS(I12-H12)&gt;0.0001,I$10&gt;$C$5),4,IF(H50=4,3,IF(H50=3,2,IF(H50=2,1,0))))</f>
        <v>3</v>
      </c>
      <c r="J50" s="34">
        <f>IF(AND(ABS((J12-I12)-('Baseline NFPC'!J12-'Baseline NFPC'!I12))&gt;0.0001,ABS(J12-I12)&gt;0.0001,J$10&gt;$C$5),4,IF(I50=4,3,IF(I50=3,2,IF(I50=2,1,0))))</f>
        <v>2</v>
      </c>
      <c r="K50" s="34">
        <f>IF(AND(ABS((K12-J12)-('Baseline NFPC'!K12-'Baseline NFPC'!J12))&gt;0.0001,ABS(K12-J12)&gt;0.0001,K$10&gt;$C$5),4,IF(J50=4,3,IF(J50=3,2,IF(J50=2,1,0))))</f>
        <v>1</v>
      </c>
      <c r="L50" s="34">
        <f>IF(AND(ABS((L12-K12)-('Baseline NFPC'!L12-'Baseline NFPC'!K12))&gt;0.0001,ABS(L12-K12)&gt;0.0001,L$10&gt;$C$5),4,IF(K50=4,3,IF(K50=3,2,IF(K50=2,1,0))))</f>
        <v>0</v>
      </c>
      <c r="M50" s="34">
        <f>IF(AND(ABS((M12-L12)-('Baseline NFPC'!M12-'Baseline NFPC'!L12))&gt;0.0001,ABS(M12-L12)&gt;0.0001,M$10&gt;$C$5),4,IF(L50=4,3,IF(L50=3,2,IF(L50=2,1,0))))</f>
        <v>0</v>
      </c>
      <c r="N50" s="34">
        <f>IF(AND(ABS((N12-M12)-('Baseline NFPC'!N12-'Baseline NFPC'!M12))&gt;0.0001,ABS(N12-M12)&gt;0.0001,N$10&gt;$C$5),4,IF(M50=4,3,IF(M50=3,2,IF(M50=2,1,0))))</f>
        <v>0</v>
      </c>
      <c r="O50" s="34">
        <f>IF(AND(ABS((O12-N12)-('Baseline NFPC'!O12-'Baseline NFPC'!N12))&gt;0.0001,ABS(O12-N12)&gt;0.0001,O$10&gt;$C$5),4,IF(N50=4,3,IF(N50=3,2,IF(N50=2,1,0))))</f>
        <v>0</v>
      </c>
      <c r="P50" s="34">
        <f>IF(AND(ABS((P12-O12)-('Baseline NFPC'!P12-'Baseline NFPC'!O12))&gt;0.0001,ABS(P12-O12)&gt;0.0001,P$10&gt;$C$5),4,IF(O50=4,3,IF(O50=3,2,IF(O50=2,1,0))))</f>
        <v>0</v>
      </c>
      <c r="Q50" s="34">
        <f>IF(AND(ABS((Q12-P12)-('Baseline NFPC'!Q12-'Baseline NFPC'!P12))&gt;0.0001,ABS(Q12-P12)&gt;0.0001,Q$10&gt;$C$5),4,IF(P50=4,3,IF(P50=3,2,IF(P50=2,1,0))))</f>
        <v>0</v>
      </c>
      <c r="R50" s="34">
        <f>IF(AND(ABS((R12-Q12)-('Baseline NFPC'!R12-'Baseline NFPC'!Q12))&gt;0.0001,ABS(R12-Q12)&gt;0.0001,R$10&gt;$C$5),4,IF(Q50=4,3,IF(Q50=3,2,IF(Q50=2,1,0))))</f>
        <v>0</v>
      </c>
      <c r="S50" s="34">
        <f>IF(AND(ABS((S12-R12)-('Baseline NFPC'!S12-'Baseline NFPC'!R12))&gt;0.0001,ABS(S12-R12)&gt;0.0001,S$10&gt;$C$5),4,IF(R50=4,3,IF(R50=3,2,IF(R50=2,1,0))))</f>
        <v>0</v>
      </c>
      <c r="T50" s="34">
        <f>IF(AND(ABS((T12-S12)-('Baseline NFPC'!T12-'Baseline NFPC'!S12))&gt;0.0001,ABS(T12-S12)&gt;0.0001,T$10&gt;$C$5),4,IF(S50=4,3,IF(S50=3,2,IF(S50=2,1,0))))</f>
        <v>0</v>
      </c>
      <c r="U50" s="34">
        <f>IF(AND(ABS((U12-T12)-('Baseline NFPC'!U12-'Baseline NFPC'!T12))&gt;0.0001,ABS(U12-T12)&gt;0.0001,U$10&gt;$C$5),4,IF(T50=4,3,IF(T50=3,2,IF(T50=2,1,0))))</f>
        <v>0</v>
      </c>
      <c r="V50" s="34"/>
      <c r="W50" s="34"/>
      <c r="X50" s="34"/>
      <c r="Y50" s="34"/>
      <c r="Z50" s="34"/>
      <c r="AA50" s="34"/>
      <c r="AB50" s="34"/>
      <c r="AC50" s="34"/>
      <c r="AD50" s="34"/>
      <c r="AE50" s="34"/>
      <c r="AF50" s="34"/>
      <c r="AG50" s="34"/>
      <c r="AH50" s="34"/>
      <c r="AI50" s="34"/>
      <c r="AJ50" s="34"/>
      <c r="AK50" s="34"/>
      <c r="AL50" s="34"/>
      <c r="AM50" s="34"/>
      <c r="AN50" s="34"/>
      <c r="AO50" s="34"/>
      <c r="AP50" s="34"/>
      <c r="AQ50" s="34"/>
      <c r="AR50" s="34"/>
      <c r="AS50" s="34"/>
      <c r="AT50" s="34"/>
    </row>
    <row r="51" spans="2:46" outlineLevel="1" x14ac:dyDescent="0.2">
      <c r="B51" s="26" t="s">
        <v>98</v>
      </c>
      <c r="C51" s="34">
        <v>0</v>
      </c>
      <c r="D51" s="34">
        <f>IF(C50=4,2/3*(C30-'Baseline NFPC'!C29),IF(C50=3,1/3*(#REF!-'Baseline NFPC'!#REF!),0))</f>
        <v>0</v>
      </c>
      <c r="E51" s="34">
        <f>IF(D50=4,2/3*(D30-'Baseline NFPC'!D29),IF(D50=3,1/3*(C30-'Baseline NFPC'!C29),0))</f>
        <v>0</v>
      </c>
      <c r="F51" s="34">
        <f>IF(E50=4,2/3*(E30-'Baseline NFPC'!E29),IF(E50=3,1/3*(D30-'Baseline NFPC'!D29),0))</f>
        <v>-0.26560052345489338</v>
      </c>
      <c r="G51" s="34">
        <f t="shared" ref="G51:U51" si="12">IF(F50=4,2/3*F30,IF(F50=3,1/3*E30,0))</f>
        <v>-1.23227866723045</v>
      </c>
      <c r="H51" s="34">
        <f t="shared" si="12"/>
        <v>-1.0853332596811351</v>
      </c>
      <c r="I51" s="34">
        <f t="shared" si="12"/>
        <v>-0.98768759014370056</v>
      </c>
      <c r="J51" s="34">
        <f t="shared" si="12"/>
        <v>-0.49384379507185028</v>
      </c>
      <c r="K51" s="34">
        <f t="shared" si="12"/>
        <v>0</v>
      </c>
      <c r="L51" s="34">
        <f t="shared" si="12"/>
        <v>0</v>
      </c>
      <c r="M51" s="34">
        <f t="shared" si="12"/>
        <v>0</v>
      </c>
      <c r="N51" s="34">
        <f t="shared" si="12"/>
        <v>0</v>
      </c>
      <c r="O51" s="34">
        <f t="shared" si="12"/>
        <v>0</v>
      </c>
      <c r="P51" s="34">
        <f t="shared" si="12"/>
        <v>0</v>
      </c>
      <c r="Q51" s="34">
        <f t="shared" si="12"/>
        <v>0</v>
      </c>
      <c r="R51" s="34">
        <f t="shared" si="12"/>
        <v>0</v>
      </c>
      <c r="S51" s="34">
        <f t="shared" si="12"/>
        <v>0</v>
      </c>
      <c r="T51" s="34">
        <f t="shared" si="12"/>
        <v>0</v>
      </c>
      <c r="U51" s="34">
        <f t="shared" si="12"/>
        <v>0</v>
      </c>
      <c r="V51" s="34"/>
      <c r="W51" s="34"/>
      <c r="X51" s="34"/>
      <c r="Y51" s="34"/>
      <c r="Z51" s="34"/>
      <c r="AA51" s="34"/>
      <c r="AB51" s="34"/>
      <c r="AC51" s="34"/>
      <c r="AD51" s="34"/>
      <c r="AE51" s="34"/>
      <c r="AF51" s="34"/>
      <c r="AG51" s="34"/>
      <c r="AH51" s="34"/>
      <c r="AI51" s="34"/>
      <c r="AJ51" s="34"/>
      <c r="AK51" s="34"/>
      <c r="AL51" s="34"/>
      <c r="AM51" s="34"/>
      <c r="AN51" s="34"/>
      <c r="AO51" s="34"/>
      <c r="AP51" s="34"/>
      <c r="AQ51" s="34"/>
      <c r="AR51" s="34"/>
      <c r="AS51" s="34"/>
      <c r="AT51" s="34"/>
    </row>
    <row r="52" spans="2:46" outlineLevel="1" x14ac:dyDescent="0.2">
      <c r="B52" s="26" t="s">
        <v>99</v>
      </c>
      <c r="C52" s="34">
        <v>0</v>
      </c>
      <c r="D52" s="34">
        <f>'Input data'!D30-$C$47*((D12-C12)-('Input data'!D13-'Input data'!C13))</f>
        <v>-0.23852609999999999</v>
      </c>
      <c r="E52" s="34">
        <f>'Input data'!E30-$C$47*(E12-D12)</f>
        <v>-0.23283890000000002</v>
      </c>
      <c r="F52" s="34">
        <f>'Input data'!F30-$C$47*(F12-E12)</f>
        <v>0.22123519999999997</v>
      </c>
      <c r="G52" s="34">
        <f>'Input data'!G30-$C$47*(G12-F12)</f>
        <v>0.45016650000000002</v>
      </c>
      <c r="H52" s="34">
        <f>'Input data'!H30-$C$47*(H12-G12)</f>
        <v>0.55335909999999999</v>
      </c>
      <c r="I52" s="34">
        <f>'Input data'!I30-$C$47*(I12-H12)</f>
        <v>1.057734</v>
      </c>
      <c r="J52" s="34">
        <f>'Input data'!J30-$C$47*(J12-I12)</f>
        <v>0.63380049999999999</v>
      </c>
      <c r="K52" s="34">
        <f>'Input data'!K30-$C$47*(K12-J12)</f>
        <v>0.60714469999999998</v>
      </c>
      <c r="L52" s="34">
        <f>'Input data'!L30-$C$47*(L12-K12)</f>
        <v>0.58665769999999995</v>
      </c>
      <c r="M52" s="34">
        <f>'Input data'!M30-$C$47*(M12-L12)</f>
        <v>0.58461379999999996</v>
      </c>
      <c r="N52" s="34">
        <f>'Input data'!N30-$C$47*(N12-M12)</f>
        <v>0.6761528</v>
      </c>
      <c r="O52" s="34">
        <f>'Input data'!O30-$C$47*(O12-N12)</f>
        <v>0.88076969999999999</v>
      </c>
      <c r="P52" s="34">
        <f>'Input data'!P30-$C$47*(P12-O12)</f>
        <v>1.085386</v>
      </c>
      <c r="Q52" s="34">
        <f>'Input data'!Q30-$C$47*(Q12-P12)</f>
        <v>1.290001</v>
      </c>
      <c r="R52" s="34">
        <f>'Input data'!R30-$C$47*(R12-Q12)</f>
        <v>1.379999</v>
      </c>
      <c r="S52" s="34">
        <f>'Input data'!S30-$C$47*(S12-R12)</f>
        <v>1.470005</v>
      </c>
      <c r="T52" s="34">
        <f>'Input data'!T30-$C$47*(T12-S12)</f>
        <v>1.549998</v>
      </c>
      <c r="U52" s="34">
        <f>'Input data'!U30-$C$47*(U12-T12)</f>
        <v>1.5600020000000001</v>
      </c>
      <c r="V52" s="34"/>
      <c r="W52" s="34"/>
      <c r="X52" s="34"/>
      <c r="Y52" s="34"/>
      <c r="Z52" s="34"/>
      <c r="AA52" s="34"/>
      <c r="AB52" s="34"/>
      <c r="AC52" s="34"/>
      <c r="AD52" s="34"/>
      <c r="AE52" s="34"/>
      <c r="AF52" s="34"/>
      <c r="AG52" s="34"/>
      <c r="AH52" s="34"/>
      <c r="AI52" s="34"/>
      <c r="AJ52" s="34"/>
      <c r="AK52" s="34"/>
      <c r="AL52" s="34"/>
      <c r="AM52" s="34"/>
      <c r="AN52" s="34"/>
      <c r="AO52" s="34"/>
      <c r="AP52" s="34"/>
      <c r="AQ52" s="34"/>
      <c r="AR52" s="34"/>
      <c r="AS52" s="34"/>
      <c r="AT52" s="34"/>
    </row>
    <row r="54" spans="2:46" s="67" customFormat="1" ht="12.75" outlineLevel="1" x14ac:dyDescent="0.2">
      <c r="B54" s="71" t="s">
        <v>100</v>
      </c>
      <c r="C54" s="69"/>
      <c r="D54" s="68"/>
    </row>
    <row r="55" spans="2:46" outlineLevel="1" x14ac:dyDescent="0.2">
      <c r="B55" s="43"/>
      <c r="C55" s="44"/>
      <c r="D55" s="29"/>
    </row>
    <row r="56" spans="2:46" outlineLevel="1" x14ac:dyDescent="0.2">
      <c r="B56" s="83"/>
      <c r="C56" s="84">
        <f>'Input data'!$C$5-1</f>
        <v>2023</v>
      </c>
      <c r="D56" s="84">
        <f>C56+1</f>
        <v>2024</v>
      </c>
      <c r="E56" s="84">
        <f t="shared" ref="E56:U56" si="13">D56+1</f>
        <v>2025</v>
      </c>
      <c r="F56" s="84">
        <f t="shared" si="13"/>
        <v>2026</v>
      </c>
      <c r="G56" s="84">
        <f t="shared" si="13"/>
        <v>2027</v>
      </c>
      <c r="H56" s="84">
        <f t="shared" si="13"/>
        <v>2028</v>
      </c>
      <c r="I56" s="84">
        <f t="shared" si="13"/>
        <v>2029</v>
      </c>
      <c r="J56" s="84">
        <f t="shared" si="13"/>
        <v>2030</v>
      </c>
      <c r="K56" s="84">
        <f t="shared" si="13"/>
        <v>2031</v>
      </c>
      <c r="L56" s="84">
        <f t="shared" si="13"/>
        <v>2032</v>
      </c>
      <c r="M56" s="84">
        <f t="shared" si="13"/>
        <v>2033</v>
      </c>
      <c r="N56" s="84">
        <f t="shared" si="13"/>
        <v>2034</v>
      </c>
      <c r="O56" s="84">
        <f t="shared" si="13"/>
        <v>2035</v>
      </c>
      <c r="P56" s="84">
        <f t="shared" si="13"/>
        <v>2036</v>
      </c>
      <c r="Q56" s="84">
        <f t="shared" si="13"/>
        <v>2037</v>
      </c>
      <c r="R56" s="84">
        <f t="shared" si="13"/>
        <v>2038</v>
      </c>
      <c r="S56" s="84">
        <f t="shared" si="13"/>
        <v>2039</v>
      </c>
      <c r="T56" s="84">
        <f t="shared" si="13"/>
        <v>2040</v>
      </c>
      <c r="U56" s="84">
        <f t="shared" si="13"/>
        <v>2041</v>
      </c>
    </row>
    <row r="57" spans="2:46" ht="10.5" customHeight="1" outlineLevel="1" x14ac:dyDescent="0.2">
      <c r="B57" s="85" t="s">
        <v>101</v>
      </c>
      <c r="C57" s="45">
        <f>+'Input data'!C12</f>
        <v>62.885489999999997</v>
      </c>
      <c r="D57" s="45">
        <f>+C57+D58</f>
        <v>62.455679115154567</v>
      </c>
      <c r="E57" s="45">
        <f>+D57+E58</f>
        <v>63.692130003522081</v>
      </c>
      <c r="F57" s="45">
        <f t="shared" ref="F57:Q57" si="14">+E57+F58</f>
        <v>64.202561464572838</v>
      </c>
      <c r="G57" s="45">
        <f t="shared" si="14"/>
        <v>63.836881536064524</v>
      </c>
      <c r="H57" s="45">
        <f t="shared" si="14"/>
        <v>62.913564321630858</v>
      </c>
      <c r="I57" s="45">
        <f t="shared" si="14"/>
        <v>61.635909824928312</v>
      </c>
      <c r="J57" s="45">
        <f t="shared" si="14"/>
        <v>60.304670063414193</v>
      </c>
      <c r="K57" s="45">
        <f t="shared" si="14"/>
        <v>58.91663375828481</v>
      </c>
      <c r="L57" s="45">
        <f t="shared" si="14"/>
        <v>58.10113736297572</v>
      </c>
      <c r="M57" s="45">
        <f t="shared" si="14"/>
        <v>57.447146224328243</v>
      </c>
      <c r="N57" s="45">
        <f t="shared" si="14"/>
        <v>56.799289509973164</v>
      </c>
      <c r="O57" s="45">
        <f t="shared" si="14"/>
        <v>56.191861208044116</v>
      </c>
      <c r="P57" s="45">
        <f t="shared" si="14"/>
        <v>55.623240913679027</v>
      </c>
      <c r="Q57" s="45">
        <f t="shared" si="14"/>
        <v>54.992124148833753</v>
      </c>
      <c r="R57" s="45">
        <f>+Q57+R58</f>
        <v>54.359540995818683</v>
      </c>
      <c r="S57" s="45">
        <f>+R57+S58</f>
        <v>53.723299088267922</v>
      </c>
      <c r="T57" s="45">
        <f t="shared" ref="T57" si="15">+S57+T58</f>
        <v>52.98691243468199</v>
      </c>
      <c r="U57" s="45">
        <f t="shared" ref="U57" si="16">+T57+U58</f>
        <v>52.285467119324466</v>
      </c>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c r="AT57" s="38"/>
    </row>
    <row r="58" spans="2:46" outlineLevel="1" x14ac:dyDescent="0.2">
      <c r="B58" s="86" t="s">
        <v>102</v>
      </c>
      <c r="C58" s="47"/>
      <c r="D58" s="47">
        <f>-D59+D67+D72</f>
        <v>-0.42981088484543095</v>
      </c>
      <c r="E58" s="47">
        <f>-E59+E67+E72</f>
        <v>1.2364508883675145</v>
      </c>
      <c r="F58" s="47">
        <f t="shared" ref="F58:Q58" si="17">-F59+F67+F72</f>
        <v>0.51043146105075754</v>
      </c>
      <c r="G58" s="47">
        <f t="shared" si="17"/>
        <v>-0.36567992850831132</v>
      </c>
      <c r="H58" s="47">
        <f t="shared" si="17"/>
        <v>-0.92331721443366432</v>
      </c>
      <c r="I58" s="47">
        <f t="shared" si="17"/>
        <v>-1.2776544967025489</v>
      </c>
      <c r="J58" s="47">
        <f t="shared" si="17"/>
        <v>-1.3312397615141196</v>
      </c>
      <c r="K58" s="47">
        <f t="shared" si="17"/>
        <v>-1.3880363051293798</v>
      </c>
      <c r="L58" s="47">
        <f t="shared" si="17"/>
        <v>-0.81549639530908957</v>
      </c>
      <c r="M58" s="47">
        <f t="shared" si="17"/>
        <v>-0.65399113864747482</v>
      </c>
      <c r="N58" s="47">
        <f t="shared" si="17"/>
        <v>-0.64785671435507575</v>
      </c>
      <c r="O58" s="47">
        <f t="shared" si="17"/>
        <v>-0.60742830192905095</v>
      </c>
      <c r="P58" s="47">
        <f t="shared" si="17"/>
        <v>-0.5686202943650901</v>
      </c>
      <c r="Q58" s="47">
        <f t="shared" si="17"/>
        <v>-0.63111676484527723</v>
      </c>
      <c r="R58" s="47">
        <f>-R59+R67+R72</f>
        <v>-0.63258315301507151</v>
      </c>
      <c r="S58" s="47">
        <f t="shared" ref="S58:U58" si="18">-S59+S67+S72</f>
        <v>-0.63624190755076515</v>
      </c>
      <c r="T58" s="47">
        <f t="shared" si="18"/>
        <v>-0.73638665358593103</v>
      </c>
      <c r="U58" s="47">
        <f t="shared" si="18"/>
        <v>-0.70144531535752563</v>
      </c>
    </row>
    <row r="59" spans="2:46" outlineLevel="1" x14ac:dyDescent="0.2">
      <c r="B59" s="82" t="s">
        <v>103</v>
      </c>
      <c r="C59" s="48"/>
      <c r="D59" s="48">
        <f t="shared" ref="D59:P59" si="19">D60+D61-D62-D63-D64-D65-D66</f>
        <v>-1.7039832151545689</v>
      </c>
      <c r="E59" s="48">
        <f t="shared" si="19"/>
        <v>-1.4119612713664818</v>
      </c>
      <c r="F59" s="48">
        <f t="shared" si="19"/>
        <v>-0.86688967242622028</v>
      </c>
      <c r="G59" s="48">
        <f t="shared" si="19"/>
        <v>-0.2157989443189382</v>
      </c>
      <c r="H59" s="48">
        <f t="shared" si="19"/>
        <v>0.39802118185136237</v>
      </c>
      <c r="I59" s="48">
        <f t="shared" si="19"/>
        <v>0.54226145456757524</v>
      </c>
      <c r="J59" s="48">
        <f t="shared" si="19"/>
        <v>0.68650162728379016</v>
      </c>
      <c r="K59" s="48">
        <f t="shared" si="19"/>
        <v>0.83074189999999937</v>
      </c>
      <c r="L59" s="48">
        <f t="shared" si="19"/>
        <v>0.62608464946975551</v>
      </c>
      <c r="M59" s="48">
        <f t="shared" si="19"/>
        <v>0.52142744904148497</v>
      </c>
      <c r="N59" s="48">
        <f t="shared" si="19"/>
        <v>0.51677150045617015</v>
      </c>
      <c r="O59" s="48">
        <f t="shared" si="19"/>
        <v>0.41211574937536466</v>
      </c>
      <c r="P59" s="48">
        <f t="shared" si="19"/>
        <v>0.30746024514063841</v>
      </c>
      <c r="Q59" s="48">
        <f>Q60+Q61-Q62-Q63-Q64-Q65-Q66</f>
        <v>0.30280374272188659</v>
      </c>
      <c r="R59" s="48">
        <f>R60+R61-R62-R63-R64-R65-R66</f>
        <v>0.29814614558237151</v>
      </c>
      <c r="S59" s="48">
        <f>S60+S61-S62-S63-S64-S65-S66</f>
        <v>0.29349152907521758</v>
      </c>
      <c r="T59" s="48">
        <f t="shared" ref="T59:U59" si="20">T60+T61-T62-T63-T64-T65-T66</f>
        <v>0.38883353646061869</v>
      </c>
      <c r="U59" s="48">
        <f t="shared" si="20"/>
        <v>0.38417742897745044</v>
      </c>
    </row>
    <row r="60" spans="2:46" outlineLevel="1" x14ac:dyDescent="0.2">
      <c r="B60" s="77" t="s">
        <v>104</v>
      </c>
      <c r="C60" s="1"/>
      <c r="D60" s="1">
        <f>D12</f>
        <v>-1.0152870000000001</v>
      </c>
      <c r="E60" s="1">
        <f t="shared" ref="E60:U60" si="21">IF(E12="",D60,E12)</f>
        <v>-0.47528700000000002</v>
      </c>
      <c r="F60" s="1">
        <f t="shared" si="21"/>
        <v>6.4713000000000021E-2</v>
      </c>
      <c r="G60" s="1">
        <f t="shared" si="21"/>
        <v>0.60471300000000006</v>
      </c>
      <c r="H60" s="1">
        <f t="shared" si="21"/>
        <v>1.1447130000000001</v>
      </c>
      <c r="I60" s="1">
        <f t="shared" si="21"/>
        <v>1.1447130000000001</v>
      </c>
      <c r="J60" s="1">
        <f t="shared" si="21"/>
        <v>1.1447130000000001</v>
      </c>
      <c r="K60" s="1">
        <f t="shared" si="21"/>
        <v>1.1447130000000001</v>
      </c>
      <c r="L60" s="1">
        <f t="shared" si="21"/>
        <v>1.1447130000000001</v>
      </c>
      <c r="M60" s="1">
        <f t="shared" si="21"/>
        <v>1.1447130000000001</v>
      </c>
      <c r="N60" s="1">
        <f t="shared" si="21"/>
        <v>1.1447130000000001</v>
      </c>
      <c r="O60" s="1">
        <f t="shared" si="21"/>
        <v>1.1447130000000001</v>
      </c>
      <c r="P60" s="1">
        <f t="shared" si="21"/>
        <v>1.1447130000000001</v>
      </c>
      <c r="Q60" s="1">
        <f t="shared" si="21"/>
        <v>1.1447130000000001</v>
      </c>
      <c r="R60" s="1">
        <f t="shared" si="21"/>
        <v>1.1447130000000001</v>
      </c>
      <c r="S60" s="1">
        <f t="shared" si="21"/>
        <v>1.1447130000000001</v>
      </c>
      <c r="T60" s="1">
        <f t="shared" si="21"/>
        <v>1.1447130000000001</v>
      </c>
      <c r="U60" s="1">
        <f t="shared" si="21"/>
        <v>1.1447130000000001</v>
      </c>
    </row>
    <row r="61" spans="2:46" outlineLevel="1" x14ac:dyDescent="0.2">
      <c r="B61" s="77" t="s">
        <v>105</v>
      </c>
      <c r="C61" s="1"/>
      <c r="D61" s="1">
        <v>0</v>
      </c>
      <c r="E61" s="1">
        <v>0</v>
      </c>
      <c r="F61" s="1">
        <v>0</v>
      </c>
      <c r="G61" s="1">
        <v>0</v>
      </c>
      <c r="H61" s="1">
        <v>0</v>
      </c>
      <c r="I61" s="1">
        <v>0</v>
      </c>
      <c r="J61" s="1">
        <v>0</v>
      </c>
      <c r="K61" s="1">
        <v>0</v>
      </c>
      <c r="L61" s="1">
        <v>0</v>
      </c>
      <c r="M61" s="1">
        <v>0</v>
      </c>
      <c r="N61" s="1">
        <v>0</v>
      </c>
      <c r="O61" s="1">
        <v>0</v>
      </c>
      <c r="P61" s="1">
        <v>0</v>
      </c>
      <c r="Q61" s="1">
        <v>0</v>
      </c>
      <c r="R61" s="1">
        <v>0</v>
      </c>
      <c r="S61" s="1">
        <v>0</v>
      </c>
      <c r="T61" s="1">
        <v>0</v>
      </c>
      <c r="U61" s="1">
        <v>0</v>
      </c>
    </row>
    <row r="62" spans="2:46" outlineLevel="1" x14ac:dyDescent="0.2">
      <c r="B62" s="77" t="s">
        <v>106</v>
      </c>
      <c r="C62" s="1"/>
      <c r="D62" s="1">
        <f t="shared" ref="D62:U62" si="22">-$C$48*D30</f>
        <v>0.6886962151545688</v>
      </c>
      <c r="E62" s="1">
        <f t="shared" si="22"/>
        <v>0.93667427136648174</v>
      </c>
      <c r="F62" s="1">
        <f t="shared" si="22"/>
        <v>0.9316026724262203</v>
      </c>
      <c r="G62" s="1">
        <f t="shared" si="22"/>
        <v>0.82051194431893826</v>
      </c>
      <c r="H62" s="1">
        <f t="shared" si="22"/>
        <v>0.74669181814863772</v>
      </c>
      <c r="I62" s="1">
        <f t="shared" si="22"/>
        <v>0.49779454543242696</v>
      </c>
      <c r="J62" s="1">
        <f t="shared" si="22"/>
        <v>0.2488972727162107</v>
      </c>
      <c r="K62" s="1">
        <f t="shared" si="22"/>
        <v>0</v>
      </c>
      <c r="L62" s="1">
        <f t="shared" si="22"/>
        <v>2.5053024454990691E-7</v>
      </c>
      <c r="M62" s="1">
        <f t="shared" si="22"/>
        <v>4.5095851373133657E-7</v>
      </c>
      <c r="N62" s="1">
        <f t="shared" si="22"/>
        <v>-7.0045617146519139E-7</v>
      </c>
      <c r="O62" s="1">
        <f t="shared" si="22"/>
        <v>-2.049375363810668E-6</v>
      </c>
      <c r="P62" s="1">
        <f t="shared" si="22"/>
        <v>-3.5451406354525259E-6</v>
      </c>
      <c r="Q62" s="1">
        <f t="shared" si="22"/>
        <v>-4.0427218836569521E-6</v>
      </c>
      <c r="R62" s="1">
        <f t="shared" si="22"/>
        <v>-3.5455823685026645E-6</v>
      </c>
      <c r="S62" s="1">
        <f t="shared" si="22"/>
        <v>-6.0290752182723398E-6</v>
      </c>
      <c r="T62" s="1">
        <f t="shared" si="22"/>
        <v>-5.0364606213548765E-6</v>
      </c>
      <c r="U62" s="1">
        <f t="shared" si="22"/>
        <v>-6.0289774532762408E-6</v>
      </c>
    </row>
    <row r="63" spans="2:46" outlineLevel="1" x14ac:dyDescent="0.2">
      <c r="B63" s="77" t="s">
        <v>107</v>
      </c>
      <c r="C63" s="1"/>
      <c r="D63" s="1">
        <f t="shared" ref="D63:U63" si="23">-D14</f>
        <v>0</v>
      </c>
      <c r="E63" s="1">
        <f t="shared" si="23"/>
        <v>0</v>
      </c>
      <c r="F63" s="1">
        <f t="shared" si="23"/>
        <v>0</v>
      </c>
      <c r="G63" s="1">
        <f t="shared" si="23"/>
        <v>0</v>
      </c>
      <c r="H63" s="1">
        <f t="shared" si="23"/>
        <v>0</v>
      </c>
      <c r="I63" s="1">
        <f t="shared" si="23"/>
        <v>0</v>
      </c>
      <c r="J63" s="1">
        <f t="shared" si="23"/>
        <v>0</v>
      </c>
      <c r="K63" s="1">
        <f t="shared" si="23"/>
        <v>0</v>
      </c>
      <c r="L63" s="1">
        <f t="shared" si="23"/>
        <v>0</v>
      </c>
      <c r="M63" s="1">
        <f t="shared" si="23"/>
        <v>0</v>
      </c>
      <c r="N63" s="1">
        <f t="shared" si="23"/>
        <v>0</v>
      </c>
      <c r="O63" s="1">
        <f t="shared" si="23"/>
        <v>0</v>
      </c>
      <c r="P63" s="1">
        <f t="shared" si="23"/>
        <v>0</v>
      </c>
      <c r="Q63" s="1">
        <f t="shared" si="23"/>
        <v>0</v>
      </c>
      <c r="R63" s="1">
        <f t="shared" si="23"/>
        <v>0</v>
      </c>
      <c r="S63" s="1">
        <f t="shared" si="23"/>
        <v>0</v>
      </c>
      <c r="T63" s="1">
        <f t="shared" si="23"/>
        <v>0</v>
      </c>
      <c r="U63" s="1">
        <f t="shared" si="23"/>
        <v>0</v>
      </c>
    </row>
    <row r="64" spans="2:46" outlineLevel="1" x14ac:dyDescent="0.2">
      <c r="B64" s="77" t="s">
        <v>108</v>
      </c>
      <c r="C64" s="1"/>
      <c r="D64" s="1">
        <f>IF(D$56&lt;=$C$6,0,HLOOKUP(D$56,'Input data'!$C$9:$AZ$26,12,FALSE)-HLOOKUP($C$6,'Input data'!$C$9:$AZ$26,12,FALSE))</f>
        <v>0</v>
      </c>
      <c r="E64" s="1">
        <f>IF(E$56&lt;=$C$6,0,HLOOKUP(E$56,'Input data'!$C$9:$AZ$26,12,FALSE)-HLOOKUP($C$6,'Input data'!$C$9:$AZ$26,12,FALSE))</f>
        <v>0</v>
      </c>
      <c r="F64" s="1">
        <f>IF(F$56&lt;=$C$6,0,HLOOKUP(F$56,'Input data'!$C$9:$AZ$26,12,FALSE)-HLOOKUP($C$6,'Input data'!$C$9:$AZ$26,12,FALSE))</f>
        <v>0</v>
      </c>
      <c r="G64" s="1">
        <f>IF(G$56&lt;=$C$6,0,HLOOKUP(G$56,'Input data'!$C$9:$AZ$26,12,FALSE)-HLOOKUP($C$6,'Input data'!$C$9:$AZ$26,12,FALSE))</f>
        <v>0</v>
      </c>
      <c r="H64" s="1">
        <f>IF(H$56&lt;=$C$6,0,HLOOKUP(H$56,'Input data'!$C$9:$AZ$26,12,FALSE)-HLOOKUP($C$6,'Input data'!$C$9:$AZ$26,12,FALSE))</f>
        <v>0</v>
      </c>
      <c r="I64" s="1">
        <f>IF(I$56&lt;=$C$6,0,HLOOKUP(I$56,'Input data'!$C$9:$AZ$26,12,FALSE)-HLOOKUP($C$6,'Input data'!$C$9:$AZ$26,12,FALSE))</f>
        <v>9.9999999999997868E-2</v>
      </c>
      <c r="J64" s="1">
        <f>IF(J$56&lt;=$C$6,0,HLOOKUP(J$56,'Input data'!$C$9:$AZ$26,12,FALSE)-HLOOKUP($C$6,'Input data'!$C$9:$AZ$26,12,FALSE))</f>
        <v>0.19999999999999929</v>
      </c>
      <c r="K64" s="1">
        <f>IF(K$56&lt;=$C$6,0,HLOOKUP(K$56,'Input data'!$C$9:$AZ$26,12,FALSE)-HLOOKUP($C$6,'Input data'!$C$9:$AZ$26,12,FALSE))</f>
        <v>0.30000000000000071</v>
      </c>
      <c r="L64" s="1">
        <f>IF(L$56&lt;=$C$6,0,HLOOKUP(L$56,'Input data'!$C$9:$AZ$26,12,FALSE)-HLOOKUP($C$6,'Input data'!$C$9:$AZ$26,12,FALSE))</f>
        <v>0.5</v>
      </c>
      <c r="M64" s="1">
        <f>IF(M$56&lt;=$C$6,0,HLOOKUP(M$56,'Input data'!$C$9:$AZ$26,12,FALSE)-HLOOKUP($C$6,'Input data'!$C$9:$AZ$26,12,FALSE))</f>
        <v>0.60000000000000142</v>
      </c>
      <c r="N64" s="1">
        <f>IF(N$56&lt;=$C$6,0,HLOOKUP(N$56,'Input data'!$C$9:$AZ$26,12,FALSE)-HLOOKUP($C$6,'Input data'!$C$9:$AZ$26,12,FALSE))</f>
        <v>0.60000000000000142</v>
      </c>
      <c r="O64" s="1">
        <f>IF(O$56&lt;=$C$6,0,HLOOKUP(O$56,'Input data'!$C$9:$AZ$26,12,FALSE)-HLOOKUP($C$6,'Input data'!$C$9:$AZ$26,12,FALSE))</f>
        <v>0.69999999999999929</v>
      </c>
      <c r="P64" s="1">
        <f>IF(P$56&lt;=$C$6,0,HLOOKUP(P$56,'Input data'!$C$9:$AZ$26,12,FALSE)-HLOOKUP($C$6,'Input data'!$C$9:$AZ$26,12,FALSE))</f>
        <v>0.79999999999999716</v>
      </c>
      <c r="Q64" s="1">
        <f>IF(Q$56&lt;=$C$6,0,HLOOKUP(Q$56,'Input data'!$C$9:$AZ$26,12,FALSE)-HLOOKUP($C$6,'Input data'!$C$9:$AZ$26,12,FALSE))</f>
        <v>0.79999999999999716</v>
      </c>
      <c r="R64" s="1">
        <f>IF(R$56&lt;=$C$6,0,HLOOKUP(R$56,'Input data'!$C$9:$AZ$26,12,FALSE)-HLOOKUP($C$6,'Input data'!$C$9:$AZ$26,12,FALSE))</f>
        <v>0.79999999999999716</v>
      </c>
      <c r="S64" s="1">
        <f>IF(S$56&lt;=$C$6,0,HLOOKUP(S$56,'Input data'!$C$9:$AZ$26,12,FALSE)-HLOOKUP($C$6,'Input data'!$C$9:$AZ$26,12,FALSE))</f>
        <v>0.80000000000000071</v>
      </c>
      <c r="T64" s="1">
        <f>IF(T$56&lt;=$C$6,0,HLOOKUP(T$56,'Input data'!$C$9:$AZ$26,12,FALSE)-HLOOKUP($C$6,'Input data'!$C$9:$AZ$26,12,FALSE))</f>
        <v>0.70000000000000284</v>
      </c>
      <c r="U64" s="1">
        <f>IF(U$56&lt;=$C$6,0,HLOOKUP(U$56,'Input data'!$C$9:$AZ$26,12,FALSE)-HLOOKUP($C$6,'Input data'!$C$9:$AZ$26,12,FALSE))</f>
        <v>0.70000000000000284</v>
      </c>
    </row>
    <row r="65" spans="2:21" outlineLevel="1" x14ac:dyDescent="0.2">
      <c r="B65" s="77" t="s">
        <v>109</v>
      </c>
      <c r="C65" s="1"/>
      <c r="D65" s="1">
        <f>IF(D$56&lt;=$C$5,0,-HLOOKUP(D$56,'Input data'!$C$9:$AZ$26,18,FALSE)+HLOOKUP($C$6,'Input data'!$C$9:$AZ$26,18,FALSE))</f>
        <v>0</v>
      </c>
      <c r="E65" s="1">
        <f>IF(E$56&lt;=$C$6,0,-HLOOKUP(E$56,'Input data'!$C$9:$AZ$26,18,FALSE)+HLOOKUP($C$6,'Input data'!$C$9:$AZ$26,18,FALSE))</f>
        <v>0</v>
      </c>
      <c r="F65" s="1">
        <f>IF(F$56&lt;=$C$6,0,-HLOOKUP(F$56,'Input data'!$C$9:$AZ$26,18,FALSE)+HLOOKUP($C$6,'Input data'!$C$9:$AZ$26,18,FALSE))</f>
        <v>0</v>
      </c>
      <c r="G65" s="1">
        <f>IF(G$56&lt;=$C$6,0,-HLOOKUP(G$56,'Input data'!$C$9:$AZ$26,18,FALSE)+HLOOKUP($C$6,'Input data'!$C$9:$AZ$26,18,FALSE))</f>
        <v>0</v>
      </c>
      <c r="H65" s="1">
        <f>IF(H$56&lt;=$C$6,0,-HLOOKUP(H$56,'Input data'!$C$9:$AZ$26,18,FALSE)+HLOOKUP($C$6,'Input data'!$C$9:$AZ$26,18,FALSE))</f>
        <v>0</v>
      </c>
      <c r="I65" s="1">
        <f>IF(I$56&lt;=$C$6,0,-HLOOKUP(I$56,'Input data'!$C$9:$AZ$26,18,FALSE)+HLOOKUP($C$6,'Input data'!$C$9:$AZ$26,18,FALSE))</f>
        <v>4.6570000000000222E-3</v>
      </c>
      <c r="J65" s="1">
        <f>IF(J$56&lt;=$C$6,0,-HLOOKUP(J$56,'Input data'!$C$9:$AZ$26,18,FALSE)+HLOOKUP($C$6,'Input data'!$C$9:$AZ$26,18,FALSE))</f>
        <v>9.3140999999999918E-3</v>
      </c>
      <c r="K65" s="1">
        <f>IF(K$56&lt;=$C$6,0,-HLOOKUP(K$56,'Input data'!$C$9:$AZ$26,18,FALSE)+HLOOKUP($C$6,'Input data'!$C$9:$AZ$26,18,FALSE))</f>
        <v>1.3971100000000014E-2</v>
      </c>
      <c r="L65" s="1">
        <f>IF(L$56&lt;=$C$6,0,-HLOOKUP(L$56,'Input data'!$C$9:$AZ$26,18,FALSE)+HLOOKUP($C$6,'Input data'!$C$9:$AZ$26,18,FALSE))</f>
        <v>1.8628100000000036E-2</v>
      </c>
      <c r="M65" s="1">
        <f>IF(M$56&lt;=$C$6,0,-HLOOKUP(M$56,'Input data'!$C$9:$AZ$26,18,FALSE)+HLOOKUP($C$6,'Input data'!$C$9:$AZ$26,18,FALSE))</f>
        <v>2.3285100000000059E-2</v>
      </c>
      <c r="N65" s="1">
        <f>IF(N$56&lt;=$C$6,0,-HLOOKUP(N$56,'Input data'!$C$9:$AZ$26,18,FALSE)+HLOOKUP($C$6,'Input data'!$C$9:$AZ$26,18,FALSE))</f>
        <v>2.7942200000000028E-2</v>
      </c>
      <c r="O65" s="1">
        <f>IF(O$56&lt;=$C$6,0,-HLOOKUP(O$56,'Input data'!$C$9:$AZ$26,18,FALSE)+HLOOKUP($C$6,'Input data'!$C$9:$AZ$26,18,FALSE))</f>
        <v>3.2599299999999998E-2</v>
      </c>
      <c r="P65" s="1">
        <f>IF(P$56&lt;=$C$6,0,-HLOOKUP(P$56,'Input data'!$C$9:$AZ$26,18,FALSE)+HLOOKUP($C$6,'Input data'!$C$9:$AZ$26,18,FALSE))</f>
        <v>3.725630000000002E-2</v>
      </c>
      <c r="Q65" s="1">
        <f>IF(Q$56&lt;=$C$6,0,-HLOOKUP(Q$56,'Input data'!$C$9:$AZ$26,18,FALSE)+HLOOKUP($C$6,'Input data'!$C$9:$AZ$26,18,FALSE))</f>
        <v>4.1913300000000042E-2</v>
      </c>
      <c r="R65" s="1">
        <f>IF(R$56&lt;=$C$6,0,-HLOOKUP(R$56,'Input data'!$C$9:$AZ$26,18,FALSE)+HLOOKUP($C$6,'Input data'!$C$9:$AZ$26,18,FALSE))</f>
        <v>4.6570400000000012E-2</v>
      </c>
      <c r="S65" s="258">
        <f>IF(S$56&lt;=$C$6,0,-HLOOKUP(S$56,'Input data'!$C$9:$AZ$26,18,FALSE)+HLOOKUP($C$6,'Input data'!$C$9:$AZ$26,18,FALSE))</f>
        <v>5.1227499999999981E-2</v>
      </c>
      <c r="T65" s="258">
        <f>IF(T$56&lt;=$C$6,0,-HLOOKUP(T$56,'Input data'!$C$9:$AZ$26,18,FALSE)+HLOOKUP($C$6,'Input data'!$C$9:$AZ$26,18,FALSE))</f>
        <v>5.5884500000000004E-2</v>
      </c>
      <c r="U65" s="258">
        <f>IF(U$56&lt;=$C$6,0,-HLOOKUP(U$56,'Input data'!$C$9:$AZ$26,18,FALSE)+HLOOKUP($C$6,'Input data'!$C$9:$AZ$26,18,FALSE))</f>
        <v>6.0541600000000084E-2</v>
      </c>
    </row>
    <row r="66" spans="2:21" outlineLevel="1" x14ac:dyDescent="0.2">
      <c r="B66" s="77" t="s">
        <v>110</v>
      </c>
      <c r="C66" s="37"/>
      <c r="D66" s="37">
        <v>0</v>
      </c>
      <c r="E66" s="37">
        <v>0</v>
      </c>
      <c r="F66" s="37">
        <v>0</v>
      </c>
      <c r="G66" s="37">
        <v>0</v>
      </c>
      <c r="H66" s="37">
        <v>0</v>
      </c>
      <c r="I66" s="37">
        <v>0</v>
      </c>
      <c r="J66" s="37">
        <v>0</v>
      </c>
      <c r="K66" s="37">
        <v>0</v>
      </c>
      <c r="L66" s="37">
        <v>0</v>
      </c>
      <c r="M66" s="37">
        <v>0</v>
      </c>
      <c r="N66" s="37">
        <v>0</v>
      </c>
      <c r="O66" s="37">
        <v>0</v>
      </c>
      <c r="P66" s="37">
        <v>0</v>
      </c>
      <c r="Q66" s="37">
        <v>0</v>
      </c>
      <c r="R66" s="37">
        <v>0</v>
      </c>
      <c r="S66" s="259">
        <v>0</v>
      </c>
      <c r="T66" s="259">
        <v>0</v>
      </c>
      <c r="U66" s="259">
        <v>0</v>
      </c>
    </row>
    <row r="67" spans="2:21" outlineLevel="1" x14ac:dyDescent="0.2">
      <c r="B67" s="82" t="s">
        <v>111</v>
      </c>
      <c r="C67" s="48"/>
      <c r="D67" s="48">
        <f t="shared" ref="D67:M67" si="24">SUM(D68:D71)</f>
        <v>-0.69368010000000002</v>
      </c>
      <c r="E67" s="48">
        <f t="shared" si="24"/>
        <v>-0.24521838299896748</v>
      </c>
      <c r="F67" s="48">
        <f t="shared" si="24"/>
        <v>-0.45532551137546273</v>
      </c>
      <c r="G67" s="48">
        <f t="shared" si="24"/>
        <v>-0.58147887282724953</v>
      </c>
      <c r="H67" s="48">
        <f t="shared" si="24"/>
        <v>-0.52529603258230195</v>
      </c>
      <c r="I67" s="48">
        <f t="shared" si="24"/>
        <v>-0.73539304213497381</v>
      </c>
      <c r="J67" s="48">
        <f t="shared" si="24"/>
        <v>-0.64473813423032944</v>
      </c>
      <c r="K67" s="48">
        <f t="shared" si="24"/>
        <v>-0.55729440512938044</v>
      </c>
      <c r="L67" s="48">
        <f t="shared" si="24"/>
        <v>-0.18941174583933407</v>
      </c>
      <c r="M67" s="48">
        <f t="shared" si="24"/>
        <v>-0.13256368960598985</v>
      </c>
      <c r="N67" s="48">
        <f t="shared" ref="N67:R67" si="25">SUM(N68:N71)</f>
        <v>-0.13108521389890559</v>
      </c>
      <c r="O67" s="48">
        <f t="shared" si="25"/>
        <v>-0.19531255255368629</v>
      </c>
      <c r="P67" s="48">
        <f t="shared" si="25"/>
        <v>-0.26116004922445168</v>
      </c>
      <c r="Q67" s="48">
        <f t="shared" si="25"/>
        <v>-0.32831302212339064</v>
      </c>
      <c r="R67" s="48">
        <f t="shared" si="25"/>
        <v>-0.3344370074327</v>
      </c>
      <c r="S67" s="48">
        <f t="shared" ref="S67:U67" si="26">SUM(S68:S71)</f>
        <v>-0.34275037847554757</v>
      </c>
      <c r="T67" s="48">
        <f t="shared" si="26"/>
        <v>-0.34755311712531234</v>
      </c>
      <c r="U67" s="48">
        <f t="shared" si="26"/>
        <v>-0.31726788638007519</v>
      </c>
    </row>
    <row r="68" spans="2:21" outlineLevel="1" x14ac:dyDescent="0.2">
      <c r="B68" s="77" t="s">
        <v>112</v>
      </c>
      <c r="C68" s="34"/>
      <c r="D68" s="34">
        <f t="shared" ref="D68:U68" si="27">C57*D36/100*(1/(1+D33/100))</f>
        <v>1.0548956399101987</v>
      </c>
      <c r="E68" s="34">
        <f t="shared" si="27"/>
        <v>1.0999936148867984</v>
      </c>
      <c r="F68" s="34">
        <f t="shared" si="27"/>
        <v>1.1175867961788133</v>
      </c>
      <c r="G68" s="34">
        <f t="shared" si="27"/>
        <v>1.2103356650985519</v>
      </c>
      <c r="H68" s="34">
        <f t="shared" si="27"/>
        <v>1.2810407287144943</v>
      </c>
      <c r="I68" s="34">
        <f t="shared" si="27"/>
        <v>1.3270273429898767</v>
      </c>
      <c r="J68" s="34">
        <f t="shared" si="27"/>
        <v>1.3668599900052765</v>
      </c>
      <c r="K68" s="34">
        <f t="shared" si="27"/>
        <v>1.4006819290194941</v>
      </c>
      <c r="L68" s="34">
        <f t="shared" si="27"/>
        <v>1.4355193500163435</v>
      </c>
      <c r="M68" s="34">
        <f t="shared" si="27"/>
        <v>1.4752306515580582</v>
      </c>
      <c r="N68" s="34">
        <f t="shared" si="27"/>
        <v>1.5158219324594704</v>
      </c>
      <c r="O68" s="34">
        <f t="shared" si="27"/>
        <v>1.5379248062657309</v>
      </c>
      <c r="P68" s="34">
        <f t="shared" si="27"/>
        <v>1.5569005749572447</v>
      </c>
      <c r="Q68" s="34">
        <f t="shared" si="27"/>
        <v>1.5732474715083307</v>
      </c>
      <c r="R68" s="34">
        <f t="shared" si="27"/>
        <v>1.5859476349381363</v>
      </c>
      <c r="S68" s="34">
        <f t="shared" si="27"/>
        <v>1.5954104286790449</v>
      </c>
      <c r="T68" s="34">
        <f t="shared" si="27"/>
        <v>1.6021468914091164</v>
      </c>
      <c r="U68" s="34">
        <f t="shared" si="27"/>
        <v>1.6042407586829319</v>
      </c>
    </row>
    <row r="69" spans="2:21" outlineLevel="1" x14ac:dyDescent="0.2">
      <c r="B69" s="77" t="s">
        <v>113</v>
      </c>
      <c r="C69" s="34"/>
      <c r="D69" s="34">
        <f t="shared" ref="D69:U69" si="28">-C57*(D24/100)*(1/(1+D33/100))</f>
        <v>0.14582752401370536</v>
      </c>
      <c r="E69" s="34">
        <f t="shared" si="28"/>
        <v>0.14228961294293135</v>
      </c>
      <c r="F69" s="34">
        <f t="shared" si="28"/>
        <v>-0.22248131462118065</v>
      </c>
      <c r="G69" s="34">
        <f t="shared" si="28"/>
        <v>-0.42352152744476751</v>
      </c>
      <c r="H69" s="34">
        <f t="shared" si="28"/>
        <v>-0.43864231375348628</v>
      </c>
      <c r="I69" s="34">
        <f t="shared" si="28"/>
        <v>-0.70741869733581109</v>
      </c>
      <c r="J69" s="34">
        <f t="shared" si="28"/>
        <v>-0.67717034661067677</v>
      </c>
      <c r="K69" s="34">
        <f t="shared" si="28"/>
        <v>-0.64557806566007936</v>
      </c>
      <c r="L69" s="34">
        <f t="shared" si="28"/>
        <v>-0.33610618513024149</v>
      </c>
      <c r="M69" s="34">
        <f t="shared" si="28"/>
        <v>-0.33026787938684182</v>
      </c>
      <c r="N69" s="34">
        <f t="shared" si="28"/>
        <v>-0.37729487893238528</v>
      </c>
      <c r="O69" s="34">
        <f t="shared" si="28"/>
        <v>-0.48500510233355754</v>
      </c>
      <c r="P69" s="34">
        <f t="shared" si="28"/>
        <v>-0.59016561920516653</v>
      </c>
      <c r="Q69" s="34">
        <f t="shared" si="28"/>
        <v>-0.69301021463541834</v>
      </c>
      <c r="R69" s="34">
        <f t="shared" si="28"/>
        <v>-0.73238947447179814</v>
      </c>
      <c r="S69" s="34">
        <f t="shared" si="28"/>
        <v>-0.77059690984237561</v>
      </c>
      <c r="T69" s="34">
        <f t="shared" si="28"/>
        <v>-0.80248975026388591</v>
      </c>
      <c r="U69" s="34">
        <f t="shared" si="28"/>
        <v>-0.79662132042612865</v>
      </c>
    </row>
    <row r="70" spans="2:21" outlineLevel="1" x14ac:dyDescent="0.2">
      <c r="B70" s="77" t="s">
        <v>114</v>
      </c>
      <c r="C70" s="34"/>
      <c r="D70" s="34">
        <f t="shared" ref="D70:U70" si="29">-C57*D42/100*(1/(1+D42/100))</f>
        <v>-1.8943920413494018</v>
      </c>
      <c r="E70" s="34">
        <f t="shared" si="29"/>
        <v>-1.4872123454975903</v>
      </c>
      <c r="F70" s="34">
        <f t="shared" si="29"/>
        <v>-1.3502344387651115</v>
      </c>
      <c r="G70" s="34">
        <f t="shared" si="29"/>
        <v>-1.368293010481034</v>
      </c>
      <c r="H70" s="34">
        <f t="shared" si="29"/>
        <v>-1.3676944475433099</v>
      </c>
      <c r="I70" s="34">
        <f t="shared" si="29"/>
        <v>-1.3550016877890394</v>
      </c>
      <c r="J70" s="34">
        <f t="shared" si="29"/>
        <v>-1.3344277776249291</v>
      </c>
      <c r="K70" s="34">
        <f t="shared" si="29"/>
        <v>-1.3123982684887951</v>
      </c>
      <c r="L70" s="34">
        <f t="shared" si="29"/>
        <v>-1.2888249107254359</v>
      </c>
      <c r="M70" s="34">
        <f t="shared" si="29"/>
        <v>-1.2775264617772062</v>
      </c>
      <c r="N70" s="34">
        <f t="shared" si="29"/>
        <v>-1.2696122674259906</v>
      </c>
      <c r="O70" s="34">
        <f t="shared" si="29"/>
        <v>-1.2482322564858597</v>
      </c>
      <c r="P70" s="34">
        <f t="shared" si="29"/>
        <v>-1.2278950049765298</v>
      </c>
      <c r="Q70" s="34">
        <f t="shared" si="29"/>
        <v>-1.208550278996303</v>
      </c>
      <c r="R70" s="34">
        <f t="shared" si="29"/>
        <v>-1.1879951678990381</v>
      </c>
      <c r="S70" s="34">
        <f t="shared" si="29"/>
        <v>-1.1675638973122169</v>
      </c>
      <c r="T70" s="34">
        <f t="shared" si="29"/>
        <v>-1.1472102582705428</v>
      </c>
      <c r="U70" s="34">
        <f t="shared" si="29"/>
        <v>-1.1248873246368785</v>
      </c>
    </row>
    <row r="71" spans="2:21" outlineLevel="1" x14ac:dyDescent="0.2">
      <c r="B71" s="77" t="s">
        <v>115</v>
      </c>
      <c r="C71" s="49"/>
      <c r="D71" s="49">
        <f>'Baseline NFPC'!D70</f>
        <v>-1.1222574502478544E-5</v>
      </c>
      <c r="E71" s="49">
        <f>'Baseline NFPC'!E70</f>
        <v>-2.8926533110695818E-4</v>
      </c>
      <c r="F71" s="49">
        <f>'Baseline NFPC'!F70</f>
        <v>-1.9655416798392E-4</v>
      </c>
      <c r="G71" s="49">
        <v>0</v>
      </c>
      <c r="H71" s="49">
        <v>0</v>
      </c>
      <c r="I71" s="49">
        <v>0</v>
      </c>
      <c r="J71" s="49">
        <v>0</v>
      </c>
      <c r="K71" s="49">
        <v>0</v>
      </c>
      <c r="L71" s="49">
        <v>0</v>
      </c>
      <c r="M71" s="49">
        <v>0</v>
      </c>
      <c r="N71" s="49">
        <v>0</v>
      </c>
      <c r="O71" s="49">
        <v>0</v>
      </c>
      <c r="P71" s="49">
        <v>0</v>
      </c>
      <c r="Q71" s="49">
        <v>0</v>
      </c>
      <c r="R71" s="49">
        <v>0</v>
      </c>
      <c r="S71" s="49">
        <v>0</v>
      </c>
      <c r="T71" s="49">
        <v>0</v>
      </c>
      <c r="U71" s="49">
        <v>0</v>
      </c>
    </row>
    <row r="72" spans="2:21" outlineLevel="1" x14ac:dyDescent="0.2">
      <c r="B72" s="82" t="s">
        <v>116</v>
      </c>
      <c r="C72" s="50"/>
      <c r="D72" s="50">
        <f>'Input data'!D16</f>
        <v>-1.4401139999999999</v>
      </c>
      <c r="E72" s="50">
        <f>'Input data'!E16</f>
        <v>6.9708000000000006E-2</v>
      </c>
      <c r="F72" s="50">
        <f>'Input data'!F16</f>
        <v>9.8867300000000005E-2</v>
      </c>
      <c r="G72" s="50">
        <f>'Input data'!G16</f>
        <v>0</v>
      </c>
      <c r="H72" s="50">
        <f>'Input data'!H16</f>
        <v>0</v>
      </c>
      <c r="I72" s="50">
        <f>'Input data'!I16</f>
        <v>0</v>
      </c>
      <c r="J72" s="50">
        <f>'Input data'!J16</f>
        <v>0</v>
      </c>
      <c r="K72" s="50">
        <f>'Input data'!K16</f>
        <v>0</v>
      </c>
      <c r="L72" s="50">
        <f>'Input data'!L16</f>
        <v>0</v>
      </c>
      <c r="M72" s="50">
        <f>'Input data'!M16</f>
        <v>0</v>
      </c>
      <c r="N72" s="50">
        <f>'Input data'!N16</f>
        <v>0</v>
      </c>
      <c r="O72" s="50">
        <f>'Input data'!O16</f>
        <v>0</v>
      </c>
      <c r="P72" s="50">
        <f>'Input data'!P16</f>
        <v>0</v>
      </c>
      <c r="Q72" s="50">
        <f>'Input data'!Q16</f>
        <v>0</v>
      </c>
      <c r="R72" s="50">
        <f>'Input data'!R16</f>
        <v>0</v>
      </c>
      <c r="S72" s="50">
        <f>'Input data'!S16</f>
        <v>0</v>
      </c>
      <c r="T72" s="50">
        <f>'Input data'!T16</f>
        <v>0</v>
      </c>
      <c r="U72" s="50">
        <f>'Input data'!U16</f>
        <v>0</v>
      </c>
    </row>
    <row r="73" spans="2:21" outlineLevel="1" x14ac:dyDescent="0.2">
      <c r="B73" s="77" t="s">
        <v>117</v>
      </c>
      <c r="C73" s="34"/>
      <c r="D73" s="34">
        <f t="shared" ref="D73:U73" si="30">D15</f>
        <v>-1.4394560000000001</v>
      </c>
      <c r="E73" s="34">
        <f t="shared" si="30"/>
        <v>8.5767899999999994E-2</v>
      </c>
      <c r="F73" s="34">
        <f t="shared" si="30"/>
        <v>0.1097981</v>
      </c>
      <c r="G73" s="34">
        <f t="shared" si="30"/>
        <v>0</v>
      </c>
      <c r="H73" s="34">
        <f t="shared" si="30"/>
        <v>0</v>
      </c>
      <c r="I73" s="34">
        <f t="shared" si="30"/>
        <v>0</v>
      </c>
      <c r="J73" s="34">
        <f t="shared" si="30"/>
        <v>0</v>
      </c>
      <c r="K73" s="34">
        <f t="shared" si="30"/>
        <v>0</v>
      </c>
      <c r="L73" s="34">
        <f t="shared" si="30"/>
        <v>0</v>
      </c>
      <c r="M73" s="34">
        <f t="shared" si="30"/>
        <v>0</v>
      </c>
      <c r="N73" s="34">
        <f t="shared" si="30"/>
        <v>0</v>
      </c>
      <c r="O73" s="34">
        <f t="shared" si="30"/>
        <v>0</v>
      </c>
      <c r="P73" s="34">
        <f t="shared" si="30"/>
        <v>0</v>
      </c>
      <c r="Q73" s="34">
        <f t="shared" si="30"/>
        <v>0</v>
      </c>
      <c r="R73" s="34">
        <f t="shared" si="30"/>
        <v>0</v>
      </c>
      <c r="S73" s="34">
        <f t="shared" si="30"/>
        <v>0</v>
      </c>
      <c r="T73" s="34">
        <f t="shared" si="30"/>
        <v>0</v>
      </c>
      <c r="U73" s="34">
        <f t="shared" si="30"/>
        <v>0</v>
      </c>
    </row>
    <row r="74" spans="2:21" outlineLevel="1" x14ac:dyDescent="0.2">
      <c r="B74" s="87" t="s">
        <v>118</v>
      </c>
      <c r="C74" s="49"/>
      <c r="D74" s="49">
        <f t="shared" ref="D74:R74" si="31">+D72-D73</f>
        <v>-6.5799999999982539E-4</v>
      </c>
      <c r="E74" s="49">
        <f t="shared" si="31"/>
        <v>-1.6059899999999988E-2</v>
      </c>
      <c r="F74" s="49">
        <f t="shared" si="31"/>
        <v>-1.0930799999999991E-2</v>
      </c>
      <c r="G74" s="49">
        <f t="shared" si="31"/>
        <v>0</v>
      </c>
      <c r="H74" s="49">
        <f t="shared" si="31"/>
        <v>0</v>
      </c>
      <c r="I74" s="49">
        <f t="shared" si="31"/>
        <v>0</v>
      </c>
      <c r="J74" s="49">
        <f t="shared" si="31"/>
        <v>0</v>
      </c>
      <c r="K74" s="49">
        <f t="shared" si="31"/>
        <v>0</v>
      </c>
      <c r="L74" s="49">
        <f t="shared" si="31"/>
        <v>0</v>
      </c>
      <c r="M74" s="49">
        <f t="shared" si="31"/>
        <v>0</v>
      </c>
      <c r="N74" s="49">
        <f t="shared" si="31"/>
        <v>0</v>
      </c>
      <c r="O74" s="49">
        <f t="shared" si="31"/>
        <v>0</v>
      </c>
      <c r="P74" s="49">
        <f t="shared" si="31"/>
        <v>0</v>
      </c>
      <c r="Q74" s="49">
        <f t="shared" si="31"/>
        <v>0</v>
      </c>
      <c r="R74" s="49">
        <f t="shared" si="31"/>
        <v>0</v>
      </c>
      <c r="S74" s="49">
        <f t="shared" ref="S74:U74" si="32">+S72-S73</f>
        <v>0</v>
      </c>
      <c r="T74" s="49">
        <f t="shared" si="32"/>
        <v>0</v>
      </c>
      <c r="U74" s="49">
        <f t="shared" si="32"/>
        <v>0</v>
      </c>
    </row>
    <row r="75" spans="2:21" ht="10.5" customHeight="1" outlineLevel="1" x14ac:dyDescent="0.2"/>
    <row r="76" spans="2:21" ht="10.5" customHeight="1" outlineLevel="1" x14ac:dyDescent="0.2">
      <c r="B76" s="89" t="s">
        <v>119</v>
      </c>
    </row>
    <row r="77" spans="2:21" x14ac:dyDescent="0.2">
      <c r="B77" s="75" t="s">
        <v>41</v>
      </c>
      <c r="C77" s="76">
        <f>'Baseline NFPC'!C76</f>
        <v>-2.4799370000000001</v>
      </c>
      <c r="D77" s="76">
        <f>D59-D68-D71</f>
        <v>-2.758867632490265</v>
      </c>
      <c r="E77" s="76">
        <f t="shared" ref="E77:U77" si="33">E59-E68-E71</f>
        <v>-2.511665620922173</v>
      </c>
      <c r="F77" s="76">
        <f t="shared" si="33"/>
        <v>-1.9842799144370495</v>
      </c>
      <c r="G77" s="76">
        <f t="shared" si="33"/>
        <v>-1.42613460941749</v>
      </c>
      <c r="H77" s="76">
        <f t="shared" si="33"/>
        <v>-0.88301954686313189</v>
      </c>
      <c r="I77" s="76">
        <f t="shared" si="33"/>
        <v>-0.78476588842230144</v>
      </c>
      <c r="J77" s="76">
        <f t="shared" si="33"/>
        <v>-0.68035836272148631</v>
      </c>
      <c r="K77" s="76">
        <f t="shared" si="33"/>
        <v>-0.5699400290194947</v>
      </c>
      <c r="L77" s="76">
        <f t="shared" si="33"/>
        <v>-0.80943470054658795</v>
      </c>
      <c r="M77" s="76">
        <f t="shared" si="33"/>
        <v>-0.95380320251657325</v>
      </c>
      <c r="N77" s="76">
        <f t="shared" si="33"/>
        <v>-0.99905043200330024</v>
      </c>
      <c r="O77" s="76">
        <f t="shared" si="33"/>
        <v>-1.1258090568903663</v>
      </c>
      <c r="P77" s="76">
        <f t="shared" si="33"/>
        <v>-1.2494403298166064</v>
      </c>
      <c r="Q77" s="76">
        <f t="shared" si="33"/>
        <v>-1.2704437287864441</v>
      </c>
      <c r="R77" s="76">
        <f t="shared" si="33"/>
        <v>-1.2878014893557648</v>
      </c>
      <c r="S77" s="76">
        <f t="shared" si="33"/>
        <v>-1.3019188996038273</v>
      </c>
      <c r="T77" s="76">
        <f t="shared" si="33"/>
        <v>-1.2133133549484976</v>
      </c>
      <c r="U77" s="76">
        <f t="shared" si="33"/>
        <v>-1.2200633297054815</v>
      </c>
    </row>
    <row r="78" spans="2:21" x14ac:dyDescent="0.2">
      <c r="B78" s="26" t="s">
        <v>42</v>
      </c>
      <c r="C78" s="34">
        <f>'Baseline NFPC'!C77</f>
        <v>-2.1345619999999998</v>
      </c>
      <c r="D78" s="34">
        <f>D60-D68-D71-D64-D65-D66</f>
        <v>-2.070171417335696</v>
      </c>
      <c r="E78" s="34">
        <f t="shared" ref="E78:U78" si="34">E60-E68-E71-E64-E65-E66</f>
        <v>-1.5749913495556913</v>
      </c>
      <c r="F78" s="34">
        <f t="shared" si="34"/>
        <v>-1.0526772420108292</v>
      </c>
      <c r="G78" s="34">
        <f t="shared" si="34"/>
        <v>-0.60562266509855189</v>
      </c>
      <c r="H78" s="34">
        <f t="shared" si="34"/>
        <v>-0.13632772871449417</v>
      </c>
      <c r="I78" s="34">
        <f t="shared" si="34"/>
        <v>-0.28697134298987448</v>
      </c>
      <c r="J78" s="34">
        <f t="shared" si="34"/>
        <v>-0.43146109000527566</v>
      </c>
      <c r="K78" s="34">
        <f t="shared" si="34"/>
        <v>-0.5699400290194947</v>
      </c>
      <c r="L78" s="34">
        <f t="shared" si="34"/>
        <v>-0.8094344500163434</v>
      </c>
      <c r="M78" s="34">
        <f t="shared" si="34"/>
        <v>-0.9538027515580596</v>
      </c>
      <c r="N78" s="34">
        <f t="shared" si="34"/>
        <v>-0.99905113245947175</v>
      </c>
      <c r="O78" s="34">
        <f t="shared" si="34"/>
        <v>-1.1258111062657301</v>
      </c>
      <c r="P78" s="34">
        <f t="shared" si="34"/>
        <v>-1.2494438749572416</v>
      </c>
      <c r="Q78" s="34">
        <f t="shared" si="34"/>
        <v>-1.2704477715083278</v>
      </c>
      <c r="R78" s="34">
        <f t="shared" si="34"/>
        <v>-1.2878050349381334</v>
      </c>
      <c r="S78" s="34">
        <f t="shared" si="34"/>
        <v>-1.3019249286790455</v>
      </c>
      <c r="T78" s="34">
        <f t="shared" si="34"/>
        <v>-1.213318391409119</v>
      </c>
      <c r="U78" s="34">
        <f t="shared" si="34"/>
        <v>-1.2200693586829348</v>
      </c>
    </row>
    <row r="79" spans="2:21" x14ac:dyDescent="0.2">
      <c r="B79" s="35" t="s">
        <v>120</v>
      </c>
      <c r="C79" s="279">
        <f>'Input data'!C45</f>
        <v>6.0601921940686694</v>
      </c>
      <c r="D79" s="279">
        <f>'Input data'!D45</f>
        <v>3.9721583062439247</v>
      </c>
      <c r="E79" s="49">
        <f>'Input data'!E33+E42-(E$12-D$12)/'Input data'!$C$64*100</f>
        <v>1.5922608844910699</v>
      </c>
      <c r="F79" s="49">
        <f>'Input data'!F33+F42-(F$12-E$12)/'Input data'!$C$64*100</f>
        <v>1.3993319844910699</v>
      </c>
      <c r="G79" s="49">
        <f>'Input data'!G33+G42-(G$12-F$12)/'Input data'!$C$64*100</f>
        <v>1.5162552344910696</v>
      </c>
      <c r="H79" s="49">
        <f>'Input data'!H33+H42-(H$12-G$12)/'Input data'!$C$64*100</f>
        <v>1.6324231844910699</v>
      </c>
      <c r="I79" s="49">
        <f>'Input data'!I33+I42-(I$12-H$12)/'Input data'!$C$64*100</f>
        <v>2.8591299499999998</v>
      </c>
      <c r="J79" s="49">
        <f>'Input data'!J33+J42-(J$12-I$12)/'Input data'!$C$64*100</f>
        <v>2.8467242999999995</v>
      </c>
      <c r="K79" s="49">
        <f>'Input data'!K33+K42-(K$12-J$12)/'Input data'!$C$64*100</f>
        <v>2.83183915</v>
      </c>
      <c r="L79" s="49">
        <f>'Input data'!L33+L42-(L$12-K$12)/'Input data'!$C$64*100</f>
        <v>2.8231216999999997</v>
      </c>
      <c r="M79" s="49">
        <f>'Input data'!M33+M42-(M$12-L$12)/'Input data'!$C$64*100</f>
        <v>2.8328459499999998</v>
      </c>
      <c r="N79" s="49">
        <f>'Input data'!N33+N42-(N$12-M$12)/'Input data'!$C$64*100</f>
        <v>2.9361504999999997</v>
      </c>
      <c r="O79" s="49">
        <f>'Input data'!O33+O42-(O$12-N$12)/'Input data'!$C$64*100</f>
        <v>3.127767</v>
      </c>
      <c r="P79" s="49">
        <f>'Input data'!P33+P42-(P$12-O$12)/'Input data'!$C$64*100</f>
        <v>3.3193830000000002</v>
      </c>
      <c r="Q79" s="49">
        <f>'Input data'!Q33+Q42-(Q$12-P$12)/'Input data'!$C$64*100</f>
        <v>3.5109999999999997</v>
      </c>
      <c r="R79" s="49">
        <f>'Input data'!R33+R42-(R$12-Q$12)/'Input data'!$C$64*100</f>
        <v>3.5879999999999996</v>
      </c>
      <c r="S79" s="49">
        <f>'Input data'!S33+S42-(S$12-R$12)/'Input data'!$C$64*100</f>
        <v>3.665</v>
      </c>
      <c r="T79" s="49">
        <f>'Input data'!T33+T42-(T$12-S$12)/'Input data'!$C$64*100</f>
        <v>3.7320000000000002</v>
      </c>
      <c r="U79" s="49">
        <f>'Input data'!U33+U42-(U$12-T$12)/'Input data'!$C$64*100</f>
        <v>3.7290000000000001</v>
      </c>
    </row>
    <row r="80" spans="2:21" x14ac:dyDescent="0.2">
      <c r="C80" s="34"/>
      <c r="D80" s="388"/>
      <c r="E80" s="388"/>
      <c r="F80" s="388"/>
      <c r="G80" s="388"/>
      <c r="H80" s="388"/>
      <c r="I80" s="388"/>
      <c r="J80" s="388"/>
      <c r="K80" s="388"/>
      <c r="L80" s="34"/>
      <c r="M80" s="34"/>
      <c r="N80" s="34"/>
      <c r="O80" s="34"/>
      <c r="P80" s="34"/>
      <c r="Q80" s="34"/>
      <c r="R80" s="34"/>
      <c r="S80" s="34"/>
      <c r="T80" s="34"/>
      <c r="U80" s="34"/>
    </row>
    <row r="81" spans="2:21" x14ac:dyDescent="0.2">
      <c r="B81" s="111" t="s">
        <v>140</v>
      </c>
      <c r="C81" s="34"/>
      <c r="D81" s="34"/>
      <c r="E81" s="351"/>
      <c r="F81" s="351"/>
      <c r="G81" s="351"/>
      <c r="H81" s="351"/>
      <c r="I81" s="351"/>
      <c r="J81" s="351"/>
      <c r="K81" s="351"/>
      <c r="L81" s="351"/>
      <c r="M81" s="351"/>
      <c r="N81" s="351"/>
      <c r="O81" s="351"/>
      <c r="P81" s="351"/>
      <c r="Q81" s="351"/>
      <c r="R81" s="351"/>
      <c r="S81" s="34"/>
      <c r="T81" s="34"/>
      <c r="U81" s="34"/>
    </row>
    <row r="82" spans="2:21" x14ac:dyDescent="0.2">
      <c r="B82" s="75"/>
      <c r="C82" s="34"/>
      <c r="D82" s="34"/>
      <c r="E82" s="34"/>
      <c r="F82" s="34"/>
      <c r="G82" s="34"/>
      <c r="H82" s="34"/>
      <c r="I82" s="34"/>
      <c r="J82" s="34"/>
      <c r="K82" s="34"/>
      <c r="L82" s="34"/>
      <c r="M82" s="34"/>
      <c r="N82" s="34"/>
      <c r="O82" s="34"/>
      <c r="P82" s="34"/>
      <c r="Q82" s="34"/>
      <c r="R82" s="34"/>
      <c r="S82" s="34"/>
      <c r="T82" s="34"/>
      <c r="U82" s="34"/>
    </row>
    <row r="83" spans="2:21" x14ac:dyDescent="0.2">
      <c r="B83" s="51" t="s">
        <v>181</v>
      </c>
      <c r="C83" s="51"/>
      <c r="D83" s="51"/>
      <c r="E83" s="254"/>
      <c r="F83" s="254"/>
      <c r="G83" s="254"/>
      <c r="H83" s="254"/>
      <c r="I83" s="254">
        <f t="shared" ref="I83:U83" si="35">IF(I57&lt;H57,0,1)</f>
        <v>0</v>
      </c>
      <c r="J83" s="254">
        <f t="shared" si="35"/>
        <v>0</v>
      </c>
      <c r="K83" s="254">
        <f t="shared" si="35"/>
        <v>0</v>
      </c>
      <c r="L83" s="254">
        <f t="shared" si="35"/>
        <v>0</v>
      </c>
      <c r="M83" s="254">
        <f t="shared" si="35"/>
        <v>0</v>
      </c>
      <c r="N83" s="254">
        <f t="shared" si="35"/>
        <v>0</v>
      </c>
      <c r="O83" s="254">
        <f t="shared" si="35"/>
        <v>0</v>
      </c>
      <c r="P83" s="254">
        <f t="shared" si="35"/>
        <v>0</v>
      </c>
      <c r="Q83" s="254">
        <f t="shared" si="35"/>
        <v>0</v>
      </c>
      <c r="R83" s="254">
        <f t="shared" si="35"/>
        <v>0</v>
      </c>
      <c r="S83" s="254">
        <f t="shared" si="35"/>
        <v>0</v>
      </c>
      <c r="T83" s="254">
        <f t="shared" si="35"/>
        <v>0</v>
      </c>
      <c r="U83" s="254">
        <f t="shared" si="35"/>
        <v>0</v>
      </c>
    </row>
    <row r="84" spans="2:21" x14ac:dyDescent="0.2">
      <c r="B84" s="26" t="s">
        <v>246</v>
      </c>
      <c r="D84" s="29">
        <f t="shared" ref="D84:U84" si="36">IF(D57&gt;90,1,0)</f>
        <v>0</v>
      </c>
      <c r="E84" s="29">
        <f t="shared" si="36"/>
        <v>0</v>
      </c>
      <c r="F84" s="29">
        <f t="shared" si="36"/>
        <v>0</v>
      </c>
      <c r="G84" s="29">
        <f t="shared" si="36"/>
        <v>0</v>
      </c>
      <c r="H84" s="29">
        <f t="shared" si="36"/>
        <v>0</v>
      </c>
      <c r="I84" s="29">
        <f t="shared" si="36"/>
        <v>0</v>
      </c>
      <c r="J84" s="29">
        <f t="shared" si="36"/>
        <v>0</v>
      </c>
      <c r="K84" s="29">
        <f t="shared" si="36"/>
        <v>0</v>
      </c>
      <c r="L84" s="29">
        <f t="shared" si="36"/>
        <v>0</v>
      </c>
      <c r="M84" s="29">
        <f t="shared" si="36"/>
        <v>0</v>
      </c>
      <c r="N84" s="29">
        <f t="shared" si="36"/>
        <v>0</v>
      </c>
      <c r="O84" s="29">
        <f t="shared" si="36"/>
        <v>0</v>
      </c>
      <c r="P84" s="29">
        <f t="shared" si="36"/>
        <v>0</v>
      </c>
      <c r="Q84" s="29">
        <f t="shared" si="36"/>
        <v>0</v>
      </c>
      <c r="R84" s="29">
        <f t="shared" si="36"/>
        <v>0</v>
      </c>
      <c r="S84" s="29">
        <f t="shared" si="36"/>
        <v>0</v>
      </c>
      <c r="T84" s="29">
        <f t="shared" si="36"/>
        <v>0</v>
      </c>
      <c r="U84" s="29">
        <f t="shared" si="36"/>
        <v>0</v>
      </c>
    </row>
    <row r="85" spans="2:21" x14ac:dyDescent="0.2">
      <c r="B85" s="26" t="s">
        <v>247</v>
      </c>
      <c r="D85" s="29">
        <f t="shared" ref="D85:U85" si="37">IF(AND(D57&gt;60,D57&lt;=90),1,0)</f>
        <v>1</v>
      </c>
      <c r="E85" s="29">
        <f t="shared" si="37"/>
        <v>1</v>
      </c>
      <c r="F85" s="29">
        <f t="shared" si="37"/>
        <v>1</v>
      </c>
      <c r="G85" s="29">
        <f t="shared" si="37"/>
        <v>1</v>
      </c>
      <c r="H85" s="29">
        <f t="shared" si="37"/>
        <v>1</v>
      </c>
      <c r="I85" s="29">
        <f t="shared" si="37"/>
        <v>1</v>
      </c>
      <c r="J85" s="29">
        <f t="shared" si="37"/>
        <v>1</v>
      </c>
      <c r="K85" s="29">
        <f t="shared" si="37"/>
        <v>0</v>
      </c>
      <c r="L85" s="29">
        <f t="shared" si="37"/>
        <v>0</v>
      </c>
      <c r="M85" s="29">
        <f t="shared" si="37"/>
        <v>0</v>
      </c>
      <c r="N85" s="29">
        <f t="shared" si="37"/>
        <v>0</v>
      </c>
      <c r="O85" s="29">
        <f t="shared" si="37"/>
        <v>0</v>
      </c>
      <c r="P85" s="29">
        <f t="shared" si="37"/>
        <v>0</v>
      </c>
      <c r="Q85" s="29">
        <f t="shared" si="37"/>
        <v>0</v>
      </c>
      <c r="R85" s="29">
        <f t="shared" si="37"/>
        <v>0</v>
      </c>
      <c r="S85" s="29">
        <f t="shared" si="37"/>
        <v>0</v>
      </c>
      <c r="T85" s="29">
        <f t="shared" si="37"/>
        <v>0</v>
      </c>
      <c r="U85" s="29">
        <f t="shared" si="37"/>
        <v>0</v>
      </c>
    </row>
    <row r="86" spans="2:21" x14ac:dyDescent="0.2">
      <c r="B86" s="26" t="s">
        <v>248</v>
      </c>
      <c r="D86" s="29">
        <f t="shared" ref="D86:U86" si="38">IF(D57&gt;60,1,0)</f>
        <v>1</v>
      </c>
      <c r="E86" s="29">
        <f t="shared" si="38"/>
        <v>1</v>
      </c>
      <c r="F86" s="29">
        <f t="shared" si="38"/>
        <v>1</v>
      </c>
      <c r="G86" s="29">
        <f t="shared" si="38"/>
        <v>1</v>
      </c>
      <c r="H86" s="29">
        <f t="shared" si="38"/>
        <v>1</v>
      </c>
      <c r="I86" s="29">
        <f t="shared" si="38"/>
        <v>1</v>
      </c>
      <c r="J86" s="29">
        <f t="shared" si="38"/>
        <v>1</v>
      </c>
      <c r="K86" s="29">
        <f t="shared" si="38"/>
        <v>0</v>
      </c>
      <c r="L86" s="29">
        <f t="shared" si="38"/>
        <v>0</v>
      </c>
      <c r="M86" s="29">
        <f t="shared" si="38"/>
        <v>0</v>
      </c>
      <c r="N86" s="29">
        <f t="shared" si="38"/>
        <v>0</v>
      </c>
      <c r="O86" s="29">
        <f t="shared" si="38"/>
        <v>0</v>
      </c>
      <c r="P86" s="29">
        <f t="shared" si="38"/>
        <v>0</v>
      </c>
      <c r="Q86" s="29">
        <f t="shared" si="38"/>
        <v>0</v>
      </c>
      <c r="R86" s="29">
        <f t="shared" si="38"/>
        <v>0</v>
      </c>
      <c r="S86" s="29">
        <f t="shared" si="38"/>
        <v>0</v>
      </c>
      <c r="T86" s="29">
        <f t="shared" si="38"/>
        <v>0</v>
      </c>
      <c r="U86" s="29">
        <f t="shared" si="38"/>
        <v>0</v>
      </c>
    </row>
    <row r="87" spans="2:21" x14ac:dyDescent="0.2">
      <c r="B87" s="26" t="s">
        <v>249</v>
      </c>
      <c r="D87" s="359">
        <f>'Input data'!D17</f>
        <v>0</v>
      </c>
      <c r="E87" s="29">
        <f>IF(D87=0,0,IF(AND(C77&gt;-3.05,D77&gt;-3.05),0,1))</f>
        <v>0</v>
      </c>
      <c r="F87" s="29">
        <f t="shared" ref="F87:U87" si="39">IF(E87=0,0,IF(AND(D77&gt;-3.05,E77&gt;-3.05),0,1))</f>
        <v>0</v>
      </c>
      <c r="G87" s="29">
        <f t="shared" si="39"/>
        <v>0</v>
      </c>
      <c r="H87" s="29">
        <f t="shared" si="39"/>
        <v>0</v>
      </c>
      <c r="I87" s="29">
        <f t="shared" si="39"/>
        <v>0</v>
      </c>
      <c r="J87" s="29">
        <f t="shared" si="39"/>
        <v>0</v>
      </c>
      <c r="K87" s="29">
        <f t="shared" si="39"/>
        <v>0</v>
      </c>
      <c r="L87" s="29">
        <f t="shared" si="39"/>
        <v>0</v>
      </c>
      <c r="M87" s="29">
        <f t="shared" si="39"/>
        <v>0</v>
      </c>
      <c r="N87" s="29">
        <f t="shared" si="39"/>
        <v>0</v>
      </c>
      <c r="O87" s="29">
        <f t="shared" si="39"/>
        <v>0</v>
      </c>
      <c r="P87" s="29">
        <f t="shared" si="39"/>
        <v>0</v>
      </c>
      <c r="Q87" s="29">
        <f t="shared" si="39"/>
        <v>0</v>
      </c>
      <c r="R87" s="29">
        <f t="shared" si="39"/>
        <v>0</v>
      </c>
      <c r="S87" s="29">
        <f t="shared" si="39"/>
        <v>0</v>
      </c>
      <c r="T87" s="29">
        <f t="shared" si="39"/>
        <v>0</v>
      </c>
      <c r="U87" s="29">
        <f t="shared" si="39"/>
        <v>0</v>
      </c>
    </row>
    <row r="88" spans="2:21" x14ac:dyDescent="0.2">
      <c r="B88" s="26" t="s">
        <v>244</v>
      </c>
      <c r="D88" s="29">
        <f t="shared" ref="D88:U88" si="40">IF(D78&gt;=-1.55,1,0)</f>
        <v>0</v>
      </c>
      <c r="E88" s="29">
        <f t="shared" si="40"/>
        <v>0</v>
      </c>
      <c r="F88" s="29">
        <f t="shared" si="40"/>
        <v>1</v>
      </c>
      <c r="G88" s="29">
        <f t="shared" si="40"/>
        <v>1</v>
      </c>
      <c r="H88" s="29">
        <f t="shared" si="40"/>
        <v>1</v>
      </c>
      <c r="I88" s="29">
        <f t="shared" si="40"/>
        <v>1</v>
      </c>
      <c r="J88" s="29">
        <f t="shared" si="40"/>
        <v>1</v>
      </c>
      <c r="K88" s="29">
        <f t="shared" si="40"/>
        <v>1</v>
      </c>
      <c r="L88" s="29">
        <f t="shared" si="40"/>
        <v>1</v>
      </c>
      <c r="M88" s="29">
        <f t="shared" si="40"/>
        <v>1</v>
      </c>
      <c r="N88" s="29">
        <f t="shared" si="40"/>
        <v>1</v>
      </c>
      <c r="O88" s="29">
        <f t="shared" si="40"/>
        <v>1</v>
      </c>
      <c r="P88" s="29">
        <f t="shared" si="40"/>
        <v>1</v>
      </c>
      <c r="Q88" s="29">
        <f t="shared" si="40"/>
        <v>1</v>
      </c>
      <c r="R88" s="29">
        <f t="shared" si="40"/>
        <v>1</v>
      </c>
      <c r="S88" s="29">
        <f t="shared" si="40"/>
        <v>1</v>
      </c>
      <c r="T88" s="29">
        <f t="shared" si="40"/>
        <v>1</v>
      </c>
      <c r="U88" s="29">
        <f t="shared" si="40"/>
        <v>1</v>
      </c>
    </row>
    <row r="89" spans="2:21" x14ac:dyDescent="0.2">
      <c r="D89" s="29"/>
      <c r="E89" s="29"/>
      <c r="F89" s="29"/>
      <c r="G89" s="29"/>
      <c r="H89" s="29"/>
      <c r="I89" s="29"/>
      <c r="J89" s="29"/>
      <c r="K89" s="29"/>
      <c r="L89" s="29"/>
      <c r="M89" s="29"/>
      <c r="N89" s="29"/>
      <c r="O89" s="29"/>
      <c r="P89" s="29"/>
      <c r="Q89" s="29"/>
      <c r="R89" s="29"/>
      <c r="S89" s="29"/>
      <c r="T89" s="29"/>
      <c r="U89" s="29"/>
    </row>
    <row r="90" spans="2:21" x14ac:dyDescent="0.2">
      <c r="B90" s="26" t="s">
        <v>141</v>
      </c>
      <c r="D90" s="34">
        <f>C57*D36/100*(1/((1+'Input data'!D30/100)*(1+D42/100)))</f>
        <v>1.0548956399101987</v>
      </c>
      <c r="E90" s="34">
        <f>D57*E36/100*(1/((1+'Input data'!E30/100)*(1+E42/100)))</f>
        <v>1.0955462972973893</v>
      </c>
      <c r="F90" s="34">
        <f>E57*F36/100*(1/((1+'Input data'!F30/100)*(1+F42/100)))</f>
        <v>1.1146093684605192</v>
      </c>
      <c r="G90" s="34">
        <f>F57*G36/100*(1/((1+'Input data'!G30/100)*(1+G42/100)))</f>
        <v>1.2082167804099477</v>
      </c>
      <c r="H90" s="34">
        <f>G57*H36/100*(1/((1+'Input data'!H30/100)*(1+H42/100)))</f>
        <v>1.2778530492171694</v>
      </c>
      <c r="I90" s="34">
        <f>H57*I36/100*(1/((1+'Input data'!I30/100)*(1+I42/100)))</f>
        <v>1.3284035861020018</v>
      </c>
      <c r="J90" s="34">
        <f>I57*J36/100*(1/((1+'Input data'!J30/100)*(1+J42/100)))</f>
        <v>1.3736774350626342</v>
      </c>
      <c r="K90" s="34">
        <f>J57*K36/100*(1/((1+'Input data'!K30/100)*(1+K42/100)))</f>
        <v>1.4076334282243042</v>
      </c>
      <c r="L90" s="34">
        <f>K57*L36/100*(1/((1+'Input data'!L30/100)*(1+L42/100)))</f>
        <v>1.4355193500163435</v>
      </c>
      <c r="M90" s="34">
        <f>L57*M36/100*(1/((1+'Input data'!M30/100)*(1+M42/100)))</f>
        <v>1.4752306515580582</v>
      </c>
      <c r="N90" s="34">
        <f>M57*N36/100*(1/((1+'Input data'!N30/100)*(1+N42/100)))</f>
        <v>1.5158219324594704</v>
      </c>
      <c r="O90" s="34">
        <f>N57*O36/100*(1/((1+'Input data'!O30/100)*(1+O42/100)))</f>
        <v>1.5379248062657309</v>
      </c>
      <c r="P90" s="34">
        <f>O57*P36/100*(1/((1+'Input data'!P30/100)*(1+P42/100)))</f>
        <v>1.5569005749572447</v>
      </c>
      <c r="Q90" s="34">
        <f>P57*Q36/100*(1/((1+'Input data'!Q30/100)*(1+Q42/100)))</f>
        <v>1.5732474715083307</v>
      </c>
      <c r="R90" s="34">
        <f>Q57*R36/100*(1/((1+'Input data'!R30/100)*(1+R42/100)))</f>
        <v>1.5859476349381363</v>
      </c>
      <c r="S90" s="34">
        <f>R57*S36/100*(1/((1+'Input data'!S30/100)*(1+S42/100)))</f>
        <v>1.5954104286790449</v>
      </c>
      <c r="T90" s="34">
        <f>S57*T36/100*(1/((1+'Input data'!T30/100)*(1+T42/100)))</f>
        <v>1.6021468914091164</v>
      </c>
      <c r="U90" s="34">
        <f>T57*U36/100*(1/((1+'Input data'!U30/100)*(1+U42/100)))</f>
        <v>1.6042407586829319</v>
      </c>
    </row>
    <row r="91" spans="2:21" x14ac:dyDescent="0.2">
      <c r="B91" s="32" t="s">
        <v>245</v>
      </c>
      <c r="D91" s="34"/>
      <c r="E91" s="34">
        <f>E90-D90</f>
        <v>4.0650657387190536E-2</v>
      </c>
      <c r="F91" s="34">
        <f t="shared" ref="F91:U91" si="41">F90-E90</f>
        <v>1.9063071163129885E-2</v>
      </c>
      <c r="G91" s="34">
        <f t="shared" si="41"/>
        <v>9.3607411949428565E-2</v>
      </c>
      <c r="H91" s="34">
        <f t="shared" si="41"/>
        <v>6.9636268807221624E-2</v>
      </c>
      <c r="I91" s="34">
        <f t="shared" si="41"/>
        <v>5.0550536884832464E-2</v>
      </c>
      <c r="J91" s="34">
        <f t="shared" si="41"/>
        <v>4.5273848960632357E-2</v>
      </c>
      <c r="K91" s="34">
        <f t="shared" si="41"/>
        <v>3.3955993161669973E-2</v>
      </c>
      <c r="L91" s="34">
        <f t="shared" si="41"/>
        <v>2.7885921792039303E-2</v>
      </c>
      <c r="M91" s="34">
        <f t="shared" si="41"/>
        <v>3.9711301541714761E-2</v>
      </c>
      <c r="N91" s="34">
        <f t="shared" si="41"/>
        <v>4.0591280901412174E-2</v>
      </c>
      <c r="O91" s="34">
        <f t="shared" si="41"/>
        <v>2.2102873806260526E-2</v>
      </c>
      <c r="P91" s="34">
        <f t="shared" si="41"/>
        <v>1.8975768691513739E-2</v>
      </c>
      <c r="Q91" s="34">
        <f t="shared" si="41"/>
        <v>1.634689655108601E-2</v>
      </c>
      <c r="R91" s="34">
        <f t="shared" si="41"/>
        <v>1.2700163429805622E-2</v>
      </c>
      <c r="S91" s="34">
        <f t="shared" si="41"/>
        <v>9.4627937409086371E-3</v>
      </c>
      <c r="T91" s="34">
        <f t="shared" si="41"/>
        <v>6.7364627300714464E-3</v>
      </c>
      <c r="U91" s="34">
        <f t="shared" si="41"/>
        <v>2.0938672738155528E-3</v>
      </c>
    </row>
    <row r="93" spans="2:21" s="91" customFormat="1" ht="12.75" outlineLevel="1" x14ac:dyDescent="0.2">
      <c r="B93" s="92" t="s">
        <v>121</v>
      </c>
      <c r="C93" s="94"/>
      <c r="D93" s="93"/>
    </row>
    <row r="94" spans="2:21" x14ac:dyDescent="0.2">
      <c r="C94" s="34"/>
      <c r="D94" s="34"/>
      <c r="E94" s="34"/>
      <c r="F94" s="34"/>
      <c r="G94" s="34"/>
      <c r="H94" s="34"/>
      <c r="I94" s="34"/>
      <c r="J94" s="34"/>
      <c r="K94" s="34"/>
      <c r="L94" s="34"/>
      <c r="M94" s="34"/>
      <c r="N94" s="34"/>
      <c r="O94" s="34"/>
      <c r="P94" s="34"/>
      <c r="Q94" s="34"/>
      <c r="R94" s="34"/>
      <c r="S94" s="34"/>
      <c r="T94" s="34"/>
      <c r="U94" s="34"/>
    </row>
    <row r="95" spans="2:21" x14ac:dyDescent="0.2">
      <c r="B95" s="26" t="s">
        <v>122</v>
      </c>
      <c r="C95" s="29"/>
      <c r="D95" s="29">
        <f t="shared" ref="D95:U95" si="42">IF((D100-C100*D43/((1+D24/100)*(1+D42/100)))&gt;0,1,0)</f>
        <v>1</v>
      </c>
      <c r="E95" s="29">
        <f t="shared" si="42"/>
        <v>1</v>
      </c>
      <c r="F95" s="29">
        <f t="shared" si="42"/>
        <v>1</v>
      </c>
      <c r="G95" s="29">
        <f t="shared" si="42"/>
        <v>1</v>
      </c>
      <c r="H95" s="29">
        <f t="shared" si="42"/>
        <v>1</v>
      </c>
      <c r="I95" s="29">
        <f t="shared" si="42"/>
        <v>1</v>
      </c>
      <c r="J95" s="29">
        <f t="shared" si="42"/>
        <v>1</v>
      </c>
      <c r="K95" s="29">
        <f t="shared" si="42"/>
        <v>1</v>
      </c>
      <c r="L95" s="29">
        <f t="shared" si="42"/>
        <v>1</v>
      </c>
      <c r="M95" s="29">
        <f t="shared" si="42"/>
        <v>1</v>
      </c>
      <c r="N95" s="29">
        <f t="shared" si="42"/>
        <v>1</v>
      </c>
      <c r="O95" s="29">
        <f t="shared" si="42"/>
        <v>1</v>
      </c>
      <c r="P95" s="29">
        <f t="shared" si="42"/>
        <v>1</v>
      </c>
      <c r="Q95" s="29">
        <f t="shared" si="42"/>
        <v>1</v>
      </c>
      <c r="R95" s="29">
        <f t="shared" si="42"/>
        <v>1</v>
      </c>
      <c r="S95" s="29">
        <f t="shared" si="42"/>
        <v>1</v>
      </c>
      <c r="T95" s="29">
        <f t="shared" si="42"/>
        <v>1</v>
      </c>
      <c r="U95" s="29">
        <f t="shared" si="42"/>
        <v>1</v>
      </c>
    </row>
    <row r="96" spans="2:21" x14ac:dyDescent="0.2">
      <c r="B96" s="26" t="s">
        <v>123</v>
      </c>
      <c r="C96" s="29"/>
      <c r="D96" s="29">
        <f t="shared" ref="D96:U96" si="43">IF(AND(D95=0,ABS(D100-C100*D43/((1+D24/100)*(1+D42/100)))&lt;((C106*C100*D43/((1+D24/100)*(1+D42/100))+(D39*C100*C107*D43/((1+D24/100)*(1+D42/100)))))),1,0)</f>
        <v>0</v>
      </c>
      <c r="E96" s="29">
        <f t="shared" si="43"/>
        <v>0</v>
      </c>
      <c r="F96" s="29">
        <f t="shared" si="43"/>
        <v>0</v>
      </c>
      <c r="G96" s="29">
        <f t="shared" si="43"/>
        <v>0</v>
      </c>
      <c r="H96" s="29">
        <f t="shared" si="43"/>
        <v>0</v>
      </c>
      <c r="I96" s="29">
        <f t="shared" si="43"/>
        <v>0</v>
      </c>
      <c r="J96" s="29">
        <f t="shared" si="43"/>
        <v>0</v>
      </c>
      <c r="K96" s="29">
        <f t="shared" si="43"/>
        <v>0</v>
      </c>
      <c r="L96" s="29">
        <f t="shared" si="43"/>
        <v>0</v>
      </c>
      <c r="M96" s="29">
        <f t="shared" si="43"/>
        <v>0</v>
      </c>
      <c r="N96" s="29">
        <f t="shared" si="43"/>
        <v>0</v>
      </c>
      <c r="O96" s="29">
        <f t="shared" si="43"/>
        <v>0</v>
      </c>
      <c r="P96" s="29">
        <f t="shared" si="43"/>
        <v>0</v>
      </c>
      <c r="Q96" s="29">
        <f t="shared" si="43"/>
        <v>0</v>
      </c>
      <c r="R96" s="29">
        <f t="shared" si="43"/>
        <v>0</v>
      </c>
      <c r="S96" s="29">
        <f t="shared" si="43"/>
        <v>0</v>
      </c>
      <c r="T96" s="29">
        <f t="shared" si="43"/>
        <v>0</v>
      </c>
      <c r="U96" s="29">
        <f t="shared" si="43"/>
        <v>0</v>
      </c>
    </row>
    <row r="98" spans="2:23" x14ac:dyDescent="0.2">
      <c r="F98" s="38"/>
      <c r="G98" s="38"/>
      <c r="H98" s="38"/>
      <c r="I98" s="38"/>
      <c r="J98" s="38"/>
      <c r="K98" s="38"/>
      <c r="L98" s="38"/>
      <c r="M98" s="38"/>
      <c r="N98" s="38"/>
      <c r="O98" s="38"/>
      <c r="P98" s="38"/>
      <c r="Q98" s="38"/>
      <c r="R98" s="38"/>
    </row>
    <row r="99" spans="2:23" x14ac:dyDescent="0.2">
      <c r="B99" s="51"/>
      <c r="C99" s="84">
        <f>'Input data'!$C$5-1</f>
        <v>2023</v>
      </c>
      <c r="D99" s="84">
        <f>C99+1</f>
        <v>2024</v>
      </c>
      <c r="E99" s="84">
        <f t="shared" ref="E99:U99" si="44">D99+1</f>
        <v>2025</v>
      </c>
      <c r="F99" s="84">
        <f t="shared" si="44"/>
        <v>2026</v>
      </c>
      <c r="G99" s="84">
        <f t="shared" si="44"/>
        <v>2027</v>
      </c>
      <c r="H99" s="84">
        <f t="shared" si="44"/>
        <v>2028</v>
      </c>
      <c r="I99" s="84">
        <f t="shared" si="44"/>
        <v>2029</v>
      </c>
      <c r="J99" s="84">
        <f t="shared" si="44"/>
        <v>2030</v>
      </c>
      <c r="K99" s="84">
        <f t="shared" si="44"/>
        <v>2031</v>
      </c>
      <c r="L99" s="84">
        <f t="shared" si="44"/>
        <v>2032</v>
      </c>
      <c r="M99" s="84">
        <f t="shared" si="44"/>
        <v>2033</v>
      </c>
      <c r="N99" s="84">
        <f t="shared" si="44"/>
        <v>2034</v>
      </c>
      <c r="O99" s="84">
        <f t="shared" si="44"/>
        <v>2035</v>
      </c>
      <c r="P99" s="84">
        <f t="shared" si="44"/>
        <v>2036</v>
      </c>
      <c r="Q99" s="84">
        <f t="shared" si="44"/>
        <v>2037</v>
      </c>
      <c r="R99" s="84">
        <f t="shared" si="44"/>
        <v>2038</v>
      </c>
      <c r="S99" s="84">
        <f t="shared" si="44"/>
        <v>2039</v>
      </c>
      <c r="T99" s="84">
        <f t="shared" si="44"/>
        <v>2040</v>
      </c>
      <c r="U99" s="84">
        <f t="shared" si="44"/>
        <v>2041</v>
      </c>
    </row>
    <row r="100" spans="2:23" x14ac:dyDescent="0.2">
      <c r="B100" s="104" t="s">
        <v>101</v>
      </c>
      <c r="C100" s="108">
        <f>C57</f>
        <v>62.885489999999997</v>
      </c>
      <c r="D100" s="108">
        <f>D57</f>
        <v>62.455679115154567</v>
      </c>
      <c r="E100" s="108">
        <f t="shared" ref="E100:U100" si="45">D100*(1+E114/100)*E43-E60-E61+E62+E63+E64+E65+E66+E73</f>
        <v>63.692061751928861</v>
      </c>
      <c r="F100" s="108">
        <f t="shared" si="45"/>
        <v>64.202497678293042</v>
      </c>
      <c r="G100" s="108">
        <f t="shared" si="45"/>
        <v>63.836818327493361</v>
      </c>
      <c r="H100" s="108">
        <f t="shared" si="45"/>
        <v>62.913501633185533</v>
      </c>
      <c r="I100" s="108">
        <f t="shared" si="45"/>
        <v>61.635847869244621</v>
      </c>
      <c r="J100" s="108">
        <f t="shared" si="45"/>
        <v>60.304608755813618</v>
      </c>
      <c r="K100" s="108">
        <f t="shared" si="45"/>
        <v>58.916573017247039</v>
      </c>
      <c r="L100" s="108">
        <f t="shared" si="45"/>
        <v>58.101076817214988</v>
      </c>
      <c r="M100" s="108">
        <f t="shared" si="45"/>
        <v>57.447085816708856</v>
      </c>
      <c r="N100" s="108">
        <f t="shared" si="45"/>
        <v>56.799229240194322</v>
      </c>
      <c r="O100" s="108">
        <f t="shared" si="45"/>
        <v>56.191801145511604</v>
      </c>
      <c r="P100" s="108">
        <f t="shared" si="45"/>
        <v>55.623181130296096</v>
      </c>
      <c r="Q100" s="108">
        <f t="shared" si="45"/>
        <v>54.992064718318822</v>
      </c>
      <c r="R100" s="108">
        <f t="shared" si="45"/>
        <v>54.359481926733011</v>
      </c>
      <c r="S100" s="108">
        <f t="shared" si="45"/>
        <v>53.723240391627478</v>
      </c>
      <c r="T100" s="108">
        <f t="shared" si="45"/>
        <v>52.986854117768786</v>
      </c>
      <c r="U100" s="108">
        <f t="shared" si="45"/>
        <v>52.285409151593406</v>
      </c>
    </row>
    <row r="101" spans="2:23" x14ac:dyDescent="0.2">
      <c r="B101" s="26" t="s">
        <v>124</v>
      </c>
      <c r="C101" s="34"/>
      <c r="D101" s="250">
        <f>'Input data'!$C$66*D$100</f>
        <v>48.023909319617729</v>
      </c>
      <c r="E101" s="34">
        <f t="shared" ref="E101:U101" si="46">IF(E100=0,0,IF(E95=1,D100*E43/((1+E24/100)*(1+E42/100))-E102-E103,IF(AND(E95=0,E96=1),(1-D106-E39*D107)*D100*E43/((1+E24/100)*(1+E42/100)),E100)))</f>
        <v>48.294458579391062</v>
      </c>
      <c r="F101" s="34">
        <f t="shared" si="46"/>
        <v>49.041541480454299</v>
      </c>
      <c r="G101" s="34">
        <f t="shared" si="46"/>
        <v>49.221291318041011</v>
      </c>
      <c r="H101" s="34">
        <f t="shared" si="46"/>
        <v>48.858093026043775</v>
      </c>
      <c r="I101" s="34">
        <f t="shared" si="46"/>
        <v>47.863455912255375</v>
      </c>
      <c r="J101" s="34">
        <f t="shared" si="46"/>
        <v>46.833513193428928</v>
      </c>
      <c r="K101" s="34">
        <f t="shared" si="46"/>
        <v>45.765793869993317</v>
      </c>
      <c r="L101" s="34">
        <f t="shared" si="46"/>
        <v>44.874625896294347</v>
      </c>
      <c r="M101" s="34">
        <f t="shared" si="46"/>
        <v>44.187979262752378</v>
      </c>
      <c r="N101" s="34">
        <f t="shared" si="46"/>
        <v>43.586110966358504</v>
      </c>
      <c r="O101" s="34">
        <f t="shared" si="46"/>
        <v>43.018457784604863</v>
      </c>
      <c r="P101" s="34">
        <f t="shared" si="46"/>
        <v>42.484099218624678</v>
      </c>
      <c r="Q101" s="34">
        <f t="shared" si="46"/>
        <v>41.981565499089065</v>
      </c>
      <c r="R101" s="34">
        <f t="shared" si="46"/>
        <v>41.480602502853252</v>
      </c>
      <c r="S101" s="34">
        <f t="shared" si="46"/>
        <v>40.979154513293096</v>
      </c>
      <c r="T101" s="34">
        <f t="shared" si="46"/>
        <v>40.479543050585157</v>
      </c>
      <c r="U101" s="34">
        <f t="shared" si="46"/>
        <v>39.931997464958194</v>
      </c>
    </row>
    <row r="102" spans="2:23" x14ac:dyDescent="0.2">
      <c r="B102" s="103" t="s">
        <v>125</v>
      </c>
      <c r="C102" s="34"/>
      <c r="D102" s="250">
        <f>'Input data'!$C$67*D$100</f>
        <v>6.4240999089860908</v>
      </c>
      <c r="E102" s="34">
        <f t="shared" ref="E102:U102" si="47">IF(E100=0,0,IF(E95=1,E39*D100*D107*E43/((1+E24/100)*(1+E42/100)),IF(AND(E95=0,E96=1),(E39*D100*D107*E43/((1+E24/100)*(1+E42/100)))*(1-ABS(E100-D100*E43/((1+E24/100)*(1+E42/100)))/((E39*D100*D107*E43/((1+E24/100)*(1+E42/100)))+(D106*D100*E43/((1+E24/100)*(1+E42/100))))),0)))</f>
        <v>6.1272804703985093</v>
      </c>
      <c r="F102" s="34">
        <f t="shared" si="47"/>
        <v>6.3040193937363052</v>
      </c>
      <c r="G102" s="34">
        <f t="shared" si="47"/>
        <v>6.4096239502342067</v>
      </c>
      <c r="H102" s="34">
        <f t="shared" si="47"/>
        <v>6.4444616276679882</v>
      </c>
      <c r="I102" s="34">
        <f t="shared" si="47"/>
        <v>6.3939686035003191</v>
      </c>
      <c r="J102" s="34">
        <f t="shared" si="47"/>
        <v>6.3355811993516999</v>
      </c>
      <c r="K102" s="34">
        <f t="shared" si="47"/>
        <v>6.2687673222486016</v>
      </c>
      <c r="L102" s="34">
        <f t="shared" si="47"/>
        <v>6.2230417564020994</v>
      </c>
      <c r="M102" s="34">
        <f t="shared" si="47"/>
        <v>6.2032195008017457</v>
      </c>
      <c r="N102" s="34">
        <f t="shared" si="47"/>
        <v>6.1933232407016519</v>
      </c>
      <c r="O102" s="34">
        <f t="shared" si="47"/>
        <v>6.112663150474134</v>
      </c>
      <c r="P102" s="34">
        <f t="shared" si="47"/>
        <v>6.0367340241497534</v>
      </c>
      <c r="Q102" s="34">
        <f t="shared" si="47"/>
        <v>5.965327016379816</v>
      </c>
      <c r="R102" s="34">
        <f t="shared" si="47"/>
        <v>5.8941431989083855</v>
      </c>
      <c r="S102" s="34">
        <f t="shared" si="47"/>
        <v>5.8228904668134485</v>
      </c>
      <c r="T102" s="34">
        <f t="shared" si="47"/>
        <v>5.7518986940971768</v>
      </c>
      <c r="U102" s="34">
        <f t="shared" si="47"/>
        <v>5.6740957718905012</v>
      </c>
    </row>
    <row r="103" spans="2:23" x14ac:dyDescent="0.2">
      <c r="B103" s="103" t="s">
        <v>126</v>
      </c>
      <c r="C103" s="34"/>
      <c r="D103" s="250">
        <f>'Input data'!$C$68*D$100</f>
        <v>6.6882509052437129</v>
      </c>
      <c r="E103" s="34">
        <f t="shared" ref="E103:U103" si="48">IF(E100=0,0,IF(E95=1,(1-D107)*D100*E43/((1+E24/100)*(1+E42/100)),IF(AND(E95=0,E96=1),(D106*D100*E43/((1+E24/100)*(1+E42/100)))*(1-ABS(E100-D100*E43/((1+E24/100)*(1+E42/100)))/((E39*D100*D107*E43/((1+E24/100)*(1+E42/100)))+(D106*D100*E43/((1+E24/100)*(1+E42/100))))),0)))</f>
        <v>6.6728902042009688</v>
      </c>
      <c r="F103" s="34">
        <f t="shared" si="48"/>
        <v>6.7628600163945123</v>
      </c>
      <c r="G103" s="34">
        <f t="shared" si="48"/>
        <v>6.7797696522886461</v>
      </c>
      <c r="H103" s="34">
        <f t="shared" si="48"/>
        <v>6.7279287010427993</v>
      </c>
      <c r="I103" s="34">
        <f t="shared" si="48"/>
        <v>6.5936587873455696</v>
      </c>
      <c r="J103" s="34">
        <f t="shared" si="48"/>
        <v>6.4551573742629067</v>
      </c>
      <c r="K103" s="34">
        <f t="shared" si="48"/>
        <v>6.3120732199623895</v>
      </c>
      <c r="L103" s="34">
        <f t="shared" si="48"/>
        <v>6.1939759439434026</v>
      </c>
      <c r="M103" s="34">
        <f t="shared" si="48"/>
        <v>6.1020853879396029</v>
      </c>
      <c r="N103" s="34">
        <f t="shared" si="48"/>
        <v>6.0207461950689591</v>
      </c>
      <c r="O103" s="34">
        <f t="shared" si="48"/>
        <v>5.9348727854356795</v>
      </c>
      <c r="P103" s="34">
        <f t="shared" si="48"/>
        <v>5.8529092218498171</v>
      </c>
      <c r="Q103" s="34">
        <f t="shared" si="48"/>
        <v>5.7747301649764191</v>
      </c>
      <c r="R103" s="34">
        <f t="shared" si="48"/>
        <v>5.6969364495643946</v>
      </c>
      <c r="S103" s="34">
        <f t="shared" si="48"/>
        <v>5.6192782455490295</v>
      </c>
      <c r="T103" s="34">
        <f t="shared" si="48"/>
        <v>5.5421007686008235</v>
      </c>
      <c r="U103" s="34">
        <f t="shared" si="48"/>
        <v>5.459254350652003</v>
      </c>
    </row>
    <row r="104" spans="2:23" x14ac:dyDescent="0.2">
      <c r="B104" s="103" t="s">
        <v>127</v>
      </c>
      <c r="C104" s="34"/>
      <c r="D104" s="250">
        <f>'Input data'!$C$69*D$100</f>
        <v>1.1861189831955719</v>
      </c>
      <c r="E104" s="34">
        <f>IF(E100=0,0,IF(E95=1,'Input data'!$C$58*(E100-D100*E43/((1+E24/100)*(1+E42/100))),0))</f>
        <v>2.3350232434286053</v>
      </c>
      <c r="F104" s="34">
        <f>IF(F100=0,0,IF(F95=1,'Input data'!$C$58*(F100-E100*F43/((1+F24/100)*(1+F42/100))),0))</f>
        <v>1.8825197485222307</v>
      </c>
      <c r="G104" s="34">
        <f>IF(G100=0,0,IF(G95=1,'Input data'!$C$58*(G100-F100*G43/((1+G24/100)*(1+G42/100))),0))</f>
        <v>1.2820562829076727</v>
      </c>
      <c r="H104" s="34">
        <f>IF(H100=0,0,IF(H95=1,'Input data'!$C$58*(H100-G100*H43/((1+H24/100)*(1+H42/100))),0))</f>
        <v>0.79381012062688883</v>
      </c>
      <c r="I104" s="34">
        <f>IF(I100=0,0,IF(I95=1,'Input data'!$C$58*(I100-H100*I43/((1+I24/100)*(1+I42/100))),0))</f>
        <v>0.70548262717833343</v>
      </c>
      <c r="J104" s="34">
        <f>IF(J100=0,0,IF(J95=1,'Input data'!$C$58*(J100-I100*J43/((1+J24/100)*(1+J42/100))),0))</f>
        <v>0.61162297147980382</v>
      </c>
      <c r="K104" s="34">
        <f>IF(K100=0,0,IF(K95=1,'Input data'!$C$58*(K100-J100*K43/((1+K24/100)*(1+K42/100))),0))</f>
        <v>0.51235975955424695</v>
      </c>
      <c r="L104" s="34">
        <f>IF(L100=0,0,IF(L95=1,'Input data'!$C$58*(L100-K100*L43/((1+L24/100)*(1+L42/100))),0))</f>
        <v>0.72765909626003145</v>
      </c>
      <c r="M104" s="34">
        <f>IF(M100=0,0,IF(M95=1,'Input data'!$C$58*(M100-L100*M43/((1+M24/100)*(1+M42/100))),0))</f>
        <v>0.85744251666444138</v>
      </c>
      <c r="N104" s="34">
        <f>IF(N100=0,0,IF(N95=1,'Input data'!$C$58*(N100-M100*N43/((1+N24/100)*(1+N42/100))),0))</f>
        <v>0.89811853053129598</v>
      </c>
      <c r="O104" s="34">
        <f>IF(O100=0,0,IF(O95=1,'Input data'!$C$58*(O100-N100*O43/((1+O24/100)*(1+O42/100))),0))</f>
        <v>1.0120711537562186</v>
      </c>
      <c r="P104" s="34">
        <f>IF(P100=0,0,IF(P95=1,'Input data'!$C$58*(P100-O100*P43/((1+P24/100)*(1+P42/100))),0))</f>
        <v>1.1232123752582224</v>
      </c>
      <c r="Q104" s="34">
        <f>IF(Q100=0,0,IF(Q95=1,'Input data'!$C$58*(Q100-P100*Q43/((1+Q24/100)*(1+Q42/100))),0))</f>
        <v>1.1420938523784967</v>
      </c>
      <c r="R104" s="34">
        <f>IF(R100=0,0,IF(R95=1,'Input data'!$C$58*(R100-Q100*R43/((1+R24/100)*(1+R42/100))),0))</f>
        <v>1.1576980001767989</v>
      </c>
      <c r="S104" s="34">
        <f>IF(S100=0,0,IF(S95=1,'Input data'!$C$58*(S100-R100*S43/((1+S24/100)*(1+S42/100))),0))</f>
        <v>1.1703891615955635</v>
      </c>
      <c r="T104" s="34">
        <f>IF(T100=0,0,IF(T95=1,'Input data'!$C$58*(T100-S100*T43/((1+T24/100)*(1+T42/100))),0))</f>
        <v>1.0907351010062187</v>
      </c>
      <c r="U104" s="34">
        <f>IF(U100=0,0,IF(U95=1,'Input data'!$C$58*(U100-T100*U43/((1+U24/100)*(1+U42/100))),0))</f>
        <v>1.096803136494054</v>
      </c>
    </row>
    <row r="105" spans="2:23" x14ac:dyDescent="0.2">
      <c r="B105" s="105" t="s">
        <v>128</v>
      </c>
      <c r="C105" s="49"/>
      <c r="D105" s="251">
        <f>'Input data'!$C$70*D$100</f>
        <v>0.13329569811152336</v>
      </c>
      <c r="E105" s="49">
        <f>IF(E100=0,0,IF(E95=1,'Input data'!$C$57*(E100-D100*E43/((1+E24/100)*(1+E42/100))),0))</f>
        <v>0.26240925450971603</v>
      </c>
      <c r="F105" s="49">
        <f>IF(F100=0,0,IF(F95=1,'Input data'!$C$57*(F100-E100*F43/((1+F24/100)*(1+F42/100))),0))</f>
        <v>0.2115570391856961</v>
      </c>
      <c r="G105" s="49">
        <f>IF(G100=0,0,IF(G95=1,'Input data'!$C$57*(G100-F100*G43/((1+G24/100)*(1+G42/100))),0))</f>
        <v>0.14407712402182191</v>
      </c>
      <c r="H105" s="49">
        <f>IF(H100=0,0,IF(H95=1,'Input data'!$C$57*(H100-G100*H43/((1+H24/100)*(1+H42/100))),0))</f>
        <v>8.9208157804078245E-2</v>
      </c>
      <c r="I105" s="49">
        <f>IF(I100=0,0,IF(I95=1,'Input data'!$C$57*(I100-H100*I43/((1+I24/100)*(1+I42/100))),0))</f>
        <v>7.9281938965025431E-2</v>
      </c>
      <c r="J105" s="49">
        <f>IF(J100=0,0,IF(J95=1,'Input data'!$C$57*(J100-I100*J43/((1+J24/100)*(1+J42/100))),0))</f>
        <v>6.8734017290282223E-2</v>
      </c>
      <c r="K105" s="49">
        <f>IF(K100=0,0,IF(K95=1,'Input data'!$C$57*(K100-J100*K43/((1+K24/100)*(1+K42/100))),0))</f>
        <v>5.7578845488489509E-2</v>
      </c>
      <c r="L105" s="49">
        <f>IF(L100=0,0,IF(L95=1,'Input data'!$C$57*(L100-K100*L43/((1+L24/100)*(1+L42/100))),0))</f>
        <v>8.1774124315112745E-2</v>
      </c>
      <c r="M105" s="49">
        <f>IF(M100=0,0,IF(M95=1,'Input data'!$C$57*(M100-L100*M43/((1+M24/100)*(1+M42/100))),0))</f>
        <v>9.6359148550689944E-2</v>
      </c>
      <c r="N105" s="49">
        <f>IF(N100=0,0,IF(N95=1,'Input data'!$C$57*(N100-M100*N43/((1+N24/100)*(1+N42/100))),0))</f>
        <v>0.1009303075339108</v>
      </c>
      <c r="O105" s="49">
        <f>IF(O100=0,0,IF(O95=1,'Input data'!$C$57*(O100-N100*O43/((1+O24/100)*(1+O42/100))),0))</f>
        <v>0.11373627124070969</v>
      </c>
      <c r="P105" s="49">
        <f>IF(P100=0,0,IF(P95=1,'Input data'!$C$57*(P100-O100*P43/((1+P24/100)*(1+P42/100))),0))</f>
        <v>0.12622629041363093</v>
      </c>
      <c r="Q105" s="49">
        <f>IF(Q100=0,0,IF(Q95=1,'Input data'!$C$57*(Q100-P100*Q43/((1+Q24/100)*(1+Q42/100))),0))</f>
        <v>0.12834818549502561</v>
      </c>
      <c r="R105" s="49">
        <f>IF(R100=0,0,IF(R95=1,'Input data'!$C$57*(R100-Q100*R43/((1+R24/100)*(1+R42/100))),0))</f>
        <v>0.1301017752301751</v>
      </c>
      <c r="S105" s="49">
        <f>IF(S100=0,0,IF(S95=1,'Input data'!$C$57*(S100-R100*S43/((1+S24/100)*(1+S42/100))),0))</f>
        <v>0.13152800437634435</v>
      </c>
      <c r="T105" s="49">
        <f>IF(T100=0,0,IF(T95=1,'Input data'!$C$57*(T100-S100*T43/((1+T24/100)*(1+T42/100))),0))</f>
        <v>0.12257650347940656</v>
      </c>
      <c r="U105" s="49">
        <f>IF(U100=0,0,IF(U95=1,'Input data'!$C$57*(U100-T100*U43/((1+U24/100)*(1+U42/100))),0))</f>
        <v>0.12325842759865573</v>
      </c>
    </row>
    <row r="106" spans="2:23" x14ac:dyDescent="0.2">
      <c r="B106" s="26" t="s">
        <v>73</v>
      </c>
      <c r="C106" s="36"/>
      <c r="D106" s="36">
        <f t="shared" ref="D106:E106" si="49">IF(D100&lt;&gt;0,(D103+D105)/(D101+D102+D103+D104+D105),0)</f>
        <v>0.10922220636546567</v>
      </c>
      <c r="E106" s="36">
        <f t="shared" si="49"/>
        <v>0.10888797234610882</v>
      </c>
      <c r="F106" s="36">
        <f t="shared" ref="F106:U106" si="50">IF(F100&lt;&gt;0,(F103+F105)/(F101+F102+F103+F104+F105),0)</f>
        <v>0.10863155340977131</v>
      </c>
      <c r="G106" s="36">
        <f t="shared" si="50"/>
        <v>0.10846165203268741</v>
      </c>
      <c r="H106" s="36">
        <f t="shared" si="50"/>
        <v>0.10835729504604434</v>
      </c>
      <c r="I106" s="36">
        <f t="shared" si="50"/>
        <v>0.10826395607417764</v>
      </c>
      <c r="J106" s="36">
        <f t="shared" si="50"/>
        <v>0.10818230191940775</v>
      </c>
      <c r="K106" s="36">
        <f t="shared" si="50"/>
        <v>0.10811307819255284</v>
      </c>
      <c r="L106" s="36">
        <f t="shared" si="50"/>
        <v>0.10801435037085319</v>
      </c>
      <c r="M106" s="36">
        <f t="shared" si="50"/>
        <v>0.10789832849427908</v>
      </c>
      <c r="N106" s="36">
        <f t="shared" si="50"/>
        <v>0.10777745727350167</v>
      </c>
      <c r="O106" s="36">
        <f t="shared" si="50"/>
        <v>0.10764219927767041</v>
      </c>
      <c r="P106" s="36">
        <f t="shared" si="50"/>
        <v>0.10749359153439018</v>
      </c>
      <c r="Q106" s="36">
        <f t="shared" si="50"/>
        <v>0.10734418466933876</v>
      </c>
      <c r="R106" s="36">
        <f t="shared" si="50"/>
        <v>0.10719451360203154</v>
      </c>
      <c r="S106" s="36">
        <f>IF(S100&lt;&gt;0,(S103+S105)/(S101+S102+S103+S104+S105),0)</f>
        <v>0.10704503689657578</v>
      </c>
      <c r="T106" s="36">
        <f t="shared" si="50"/>
        <v>0.10690722003404649</v>
      </c>
      <c r="U106" s="34">
        <f t="shared" si="50"/>
        <v>0.10676999317467388</v>
      </c>
    </row>
    <row r="107" spans="2:23" x14ac:dyDescent="0.2">
      <c r="B107" s="35" t="s">
        <v>74</v>
      </c>
      <c r="C107" s="106"/>
      <c r="D107" s="106">
        <f t="shared" ref="D107:E107" si="51">IF(D100&lt;&gt;0,(D101+D102+D104)/(D101+D102+D103+D104+D105),1)</f>
        <v>0.89077779363453435</v>
      </c>
      <c r="E107" s="106">
        <f t="shared" si="51"/>
        <v>0.8911120276538913</v>
      </c>
      <c r="F107" s="106">
        <f t="shared" ref="F107:U107" si="52">IF(F100&lt;&gt;0,(F101+F102+F104)/(F101+F102+F103+F104+F105),1)</f>
        <v>0.89136844659022862</v>
      </c>
      <c r="G107" s="106">
        <f t="shared" si="52"/>
        <v>0.89153834796731257</v>
      </c>
      <c r="H107" s="106">
        <f t="shared" si="52"/>
        <v>0.89164270495395559</v>
      </c>
      <c r="I107" s="106">
        <f t="shared" si="52"/>
        <v>0.8917360439258224</v>
      </c>
      <c r="J107" s="106">
        <f t="shared" si="52"/>
        <v>0.8918176980805923</v>
      </c>
      <c r="K107" s="106">
        <f t="shared" si="52"/>
        <v>0.891886921807447</v>
      </c>
      <c r="L107" s="106">
        <f t="shared" si="52"/>
        <v>0.89198564962914695</v>
      </c>
      <c r="M107" s="106">
        <f t="shared" si="52"/>
        <v>0.89210167150572095</v>
      </c>
      <c r="N107" s="106">
        <f t="shared" si="52"/>
        <v>0.89222254272649837</v>
      </c>
      <c r="O107" s="106">
        <f t="shared" si="52"/>
        <v>0.89235780072232951</v>
      </c>
      <c r="P107" s="106">
        <f t="shared" si="52"/>
        <v>0.8925064084656098</v>
      </c>
      <c r="Q107" s="106">
        <f t="shared" si="52"/>
        <v>0.89265581533066118</v>
      </c>
      <c r="R107" s="106">
        <f t="shared" si="52"/>
        <v>0.89280548639796842</v>
      </c>
      <c r="S107" s="106">
        <f t="shared" si="52"/>
        <v>0.89295496310342437</v>
      </c>
      <c r="T107" s="106">
        <f t="shared" si="52"/>
        <v>0.89309277996595349</v>
      </c>
      <c r="U107" s="49">
        <f t="shared" si="52"/>
        <v>0.89323000682532616</v>
      </c>
      <c r="V107" s="62"/>
      <c r="W107" s="62"/>
    </row>
    <row r="108" spans="2:23" x14ac:dyDescent="0.2">
      <c r="C108" s="38"/>
      <c r="D108" s="38"/>
      <c r="E108" s="38"/>
      <c r="F108" s="38"/>
      <c r="G108" s="38"/>
      <c r="H108" s="38"/>
      <c r="I108" s="38"/>
      <c r="J108" s="38"/>
      <c r="K108" s="38"/>
      <c r="L108" s="38"/>
      <c r="M108" s="38"/>
      <c r="N108" s="38"/>
      <c r="O108" s="38"/>
      <c r="P108" s="38"/>
      <c r="Q108" s="38"/>
      <c r="R108" s="38"/>
      <c r="S108" s="38"/>
      <c r="T108" s="38"/>
      <c r="U108" s="38"/>
      <c r="V108" s="62"/>
      <c r="W108" s="62"/>
    </row>
    <row r="109" spans="2:23" x14ac:dyDescent="0.2">
      <c r="B109" s="111" t="s">
        <v>129</v>
      </c>
      <c r="C109" s="112">
        <f>'Baseline NFPC'!C96</f>
        <v>1.422372</v>
      </c>
      <c r="D109" s="112">
        <f>'Baseline NFPC'!D96</f>
        <v>1.7254640000000001</v>
      </c>
      <c r="E109" s="112">
        <f>'Baseline NFPC'!E96</f>
        <v>1.8</v>
      </c>
      <c r="F109" s="112">
        <f>F111+F112</f>
        <v>1.7990942278989217</v>
      </c>
      <c r="G109" s="112">
        <f t="shared" ref="G109:U109" si="53">G111+G112</f>
        <v>1.9393064891870158</v>
      </c>
      <c r="H109" s="112">
        <f t="shared" si="53"/>
        <v>2.0651772983228507</v>
      </c>
      <c r="I109" s="112">
        <f t="shared" si="53"/>
        <v>2.180776329159134</v>
      </c>
      <c r="J109" s="112">
        <f t="shared" si="53"/>
        <v>2.2924541198341357</v>
      </c>
      <c r="K109" s="112">
        <f t="shared" si="53"/>
        <v>2.4006191944976396</v>
      </c>
      <c r="L109" s="112">
        <f t="shared" si="53"/>
        <v>2.5056322003111475</v>
      </c>
      <c r="M109" s="112">
        <f t="shared" si="53"/>
        <v>2.6113353762557163</v>
      </c>
      <c r="N109" s="112">
        <f t="shared" si="53"/>
        <v>2.7165151216313022</v>
      </c>
      <c r="O109" s="112">
        <f t="shared" si="53"/>
        <v>2.7928728248834673</v>
      </c>
      <c r="P109" s="112">
        <f t="shared" si="53"/>
        <v>2.8633285851629737</v>
      </c>
      <c r="Q109" s="112">
        <f t="shared" si="53"/>
        <v>2.9285150040117558</v>
      </c>
      <c r="R109" s="112">
        <f t="shared" si="53"/>
        <v>2.9883091258861123</v>
      </c>
      <c r="S109" s="112">
        <f t="shared" si="53"/>
        <v>3.043434611864809</v>
      </c>
      <c r="T109" s="112">
        <f t="shared" si="53"/>
        <v>3.0945248541476582</v>
      </c>
      <c r="U109" s="112">
        <f t="shared" si="53"/>
        <v>3.1415413168808737</v>
      </c>
      <c r="V109" s="62"/>
      <c r="W109" s="62"/>
    </row>
    <row r="110" spans="2:23" x14ac:dyDescent="0.2">
      <c r="B110" s="33" t="s">
        <v>130</v>
      </c>
      <c r="C110" s="34"/>
      <c r="D110" s="34"/>
      <c r="E110" s="260">
        <f>((E36*D100)-(E38*(D103+D105)))/(D101+D102+D104)</f>
        <v>1.775559038079825</v>
      </c>
      <c r="F110" s="34">
        <f>IF(E100&gt;0,(E110*E101+
('Baseline NFPC'!F97*('Baseline NFPC'!E88+'Baseline NFPC'!E89+'Baseline NFPC'!E91)-'Baseline NFPC'!E97*'Baseline NFPC'!E88)/('Baseline NFPC'!E89+'Baseline NFPC'!E91)
*(E104+E102))/(E101+E102+E104),F37)</f>
        <v>1.8086572302541541</v>
      </c>
      <c r="G110" s="34">
        <f t="shared" ref="G110:U110" si="54">IF(F100&gt;0,(F110*F101+G37*(F104+F102))/(F101+F102+F104),G37)</f>
        <v>1.946802150630204</v>
      </c>
      <c r="H110" s="34">
        <f t="shared" si="54"/>
        <v>2.0688765816266814</v>
      </c>
      <c r="I110" s="34">
        <f t="shared" si="54"/>
        <v>2.1794441918135763</v>
      </c>
      <c r="J110" s="34">
        <f t="shared" si="54"/>
        <v>2.2856246266709639</v>
      </c>
      <c r="K110" s="34">
        <f t="shared" si="54"/>
        <v>2.3878753732313474</v>
      </c>
      <c r="L110" s="34">
        <f t="shared" si="54"/>
        <v>2.4865995769179201</v>
      </c>
      <c r="M110" s="34">
        <f t="shared" si="54"/>
        <v>2.5861143161241484</v>
      </c>
      <c r="N110" s="34">
        <f t="shared" si="54"/>
        <v>2.6850606735876297</v>
      </c>
      <c r="O110" s="34">
        <f t="shared" si="54"/>
        <v>2.7765799987558872</v>
      </c>
      <c r="P110" s="34">
        <f t="shared" si="54"/>
        <v>2.8614476025952778</v>
      </c>
      <c r="Q110" s="34">
        <f t="shared" si="54"/>
        <v>2.9403689633748313</v>
      </c>
      <c r="R110" s="34">
        <f t="shared" si="54"/>
        <v>3.0132068410483361</v>
      </c>
      <c r="S110" s="34">
        <f t="shared" si="54"/>
        <v>3.0807747185646108</v>
      </c>
      <c r="T110" s="34">
        <f t="shared" si="54"/>
        <v>3.143784700076349</v>
      </c>
      <c r="U110" s="34">
        <f t="shared" si="54"/>
        <v>3.2022032834150251</v>
      </c>
      <c r="V110" s="62"/>
      <c r="W110" s="62"/>
    </row>
    <row r="111" spans="2:23" x14ac:dyDescent="0.2">
      <c r="B111" s="26" t="s">
        <v>131</v>
      </c>
      <c r="C111" s="383"/>
      <c r="D111" s="383"/>
      <c r="E111" s="383">
        <f t="shared" ref="E111:U111" si="55">(E110*(D101+D102+D104)+E38*(D103+D105))/D100</f>
        <v>1.8</v>
      </c>
      <c r="F111" s="383">
        <f t="shared" si="55"/>
        <v>1.7990942278989217</v>
      </c>
      <c r="G111" s="383">
        <f t="shared" si="55"/>
        <v>1.9393064891870158</v>
      </c>
      <c r="H111" s="383">
        <f t="shared" si="55"/>
        <v>2.0651772983228507</v>
      </c>
      <c r="I111" s="383">
        <f t="shared" si="55"/>
        <v>2.180776329159134</v>
      </c>
      <c r="J111" s="383">
        <f t="shared" si="55"/>
        <v>2.2924541198341357</v>
      </c>
      <c r="K111" s="383">
        <f t="shared" si="55"/>
        <v>2.4006191944976396</v>
      </c>
      <c r="L111" s="383">
        <f t="shared" si="55"/>
        <v>2.5056322003111475</v>
      </c>
      <c r="M111" s="383">
        <f t="shared" si="55"/>
        <v>2.6113353762557163</v>
      </c>
      <c r="N111" s="383">
        <f t="shared" si="55"/>
        <v>2.7165151216313022</v>
      </c>
      <c r="O111" s="383">
        <f t="shared" si="55"/>
        <v>2.7928728248834673</v>
      </c>
      <c r="P111" s="383">
        <f t="shared" si="55"/>
        <v>2.8633285851629737</v>
      </c>
      <c r="Q111" s="383">
        <f t="shared" si="55"/>
        <v>2.9285150040117558</v>
      </c>
      <c r="R111" s="383">
        <f t="shared" si="55"/>
        <v>2.9883091258861123</v>
      </c>
      <c r="S111" s="383">
        <f t="shared" si="55"/>
        <v>3.043434611864809</v>
      </c>
      <c r="T111" s="383">
        <f t="shared" si="55"/>
        <v>3.0945248541476582</v>
      </c>
      <c r="U111" s="383">
        <f t="shared" si="55"/>
        <v>3.1415413168808737</v>
      </c>
      <c r="V111" s="62"/>
      <c r="W111" s="62"/>
    </row>
    <row r="112" spans="2:23" x14ac:dyDescent="0.2">
      <c r="B112" s="35" t="s">
        <v>132</v>
      </c>
      <c r="C112" s="49"/>
      <c r="D112" s="49"/>
      <c r="E112" s="49">
        <f>'Adjust. no safeguard'!E104</f>
        <v>0</v>
      </c>
      <c r="F112" s="49">
        <f>'Adjust. no safeguard'!F104</f>
        <v>0</v>
      </c>
      <c r="G112" s="49">
        <f>'Adjust. no safeguard'!G104</f>
        <v>0</v>
      </c>
      <c r="H112" s="49">
        <f>'Adjust. no safeguard'!H104</f>
        <v>0</v>
      </c>
      <c r="I112" s="49">
        <f>'Adjust. no safeguard'!I104</f>
        <v>0</v>
      </c>
      <c r="J112" s="49">
        <f>'Adjust. no safeguard'!J104</f>
        <v>0</v>
      </c>
      <c r="K112" s="49">
        <f>'Adjust. no safeguard'!K104</f>
        <v>0</v>
      </c>
      <c r="L112" s="49">
        <f>'Adjust. no safeguard'!L104</f>
        <v>0</v>
      </c>
      <c r="M112" s="49">
        <f>'Adjust. no safeguard'!M104</f>
        <v>0</v>
      </c>
      <c r="N112" s="49">
        <f>'Adjust. no safeguard'!N104</f>
        <v>0</v>
      </c>
      <c r="O112" s="49">
        <f>'Adjust. no safeguard'!O104</f>
        <v>0</v>
      </c>
      <c r="P112" s="49">
        <f>'Adjust. no safeguard'!P104</f>
        <v>0</v>
      </c>
      <c r="Q112" s="49">
        <f>'Adjust. no safeguard'!Q104</f>
        <v>0</v>
      </c>
      <c r="R112" s="49">
        <f>'Adjust. no safeguard'!R104</f>
        <v>0</v>
      </c>
      <c r="S112" s="49">
        <f>'Adjust. no safeguard'!S104</f>
        <v>0</v>
      </c>
      <c r="T112" s="49">
        <f>'Adjust. no safeguard'!T104</f>
        <v>0</v>
      </c>
      <c r="U112" s="49">
        <f>'Adjust. no safeguard'!U104</f>
        <v>0</v>
      </c>
      <c r="V112" s="62"/>
      <c r="W112" s="62"/>
    </row>
    <row r="113" spans="2:24" x14ac:dyDescent="0.2">
      <c r="C113" s="38"/>
      <c r="D113" s="38"/>
      <c r="E113" s="34"/>
      <c r="F113" s="34"/>
      <c r="G113" s="34"/>
      <c r="H113" s="34"/>
      <c r="I113" s="34"/>
      <c r="J113" s="34"/>
      <c r="K113" s="34"/>
      <c r="L113" s="34"/>
      <c r="M113" s="34"/>
      <c r="N113" s="34"/>
      <c r="O113" s="34"/>
      <c r="P113" s="34"/>
      <c r="Q113" s="34"/>
      <c r="R113" s="34"/>
      <c r="S113" s="34"/>
      <c r="T113" s="34"/>
      <c r="U113" s="34"/>
      <c r="V113" s="62"/>
      <c r="W113" s="62"/>
    </row>
    <row r="114" spans="2:24" x14ac:dyDescent="0.2">
      <c r="B114" s="111" t="s">
        <v>180</v>
      </c>
      <c r="C114" s="112">
        <f t="shared" ref="C114:U114" si="56">((1+C109/100)/((1+C24/100)*(1+C42/100))-1)*100</f>
        <v>-4.1920800045848967</v>
      </c>
      <c r="D114" s="112">
        <f t="shared" si="56"/>
        <v>-1.1030666651806187</v>
      </c>
      <c r="E114" s="112">
        <f t="shared" si="56"/>
        <v>-0.39216468564253759</v>
      </c>
      <c r="F114" s="112">
        <f t="shared" si="56"/>
        <v>-0.71457644324709468</v>
      </c>
      <c r="G114" s="112">
        <f t="shared" si="56"/>
        <v>-0.90569419593659051</v>
      </c>
      <c r="H114" s="112">
        <f t="shared" si="56"/>
        <v>-0.82287232700354318</v>
      </c>
      <c r="I114" s="112">
        <f t="shared" si="56"/>
        <v>-1.1688942600286412</v>
      </c>
      <c r="J114" s="112">
        <f t="shared" si="56"/>
        <v>-1.0460430227470452</v>
      </c>
      <c r="K114" s="112">
        <f t="shared" si="56"/>
        <v>-0.92413142223205513</v>
      </c>
      <c r="L114" s="112">
        <f t="shared" si="56"/>
        <v>-0.3214911201757098</v>
      </c>
      <c r="M114" s="112">
        <f t="shared" si="56"/>
        <v>-0.2281602316626441</v>
      </c>
      <c r="N114" s="112">
        <f t="shared" si="56"/>
        <v>-0.22818403091255934</v>
      </c>
      <c r="O114" s="112">
        <f t="shared" si="56"/>
        <v>-0.34386442900731229</v>
      </c>
      <c r="P114" s="112">
        <f t="shared" si="56"/>
        <v>-0.46476490297683304</v>
      </c>
      <c r="Q114" s="112">
        <f t="shared" si="56"/>
        <v>-0.59024432365044621</v>
      </c>
      <c r="R114" s="112">
        <f t="shared" si="56"/>
        <v>-0.60815437230170577</v>
      </c>
      <c r="S114" s="112">
        <f t="shared" si="56"/>
        <v>-0.63052478405200008</v>
      </c>
      <c r="T114" s="112">
        <f t="shared" si="56"/>
        <v>-0.64693182106012603</v>
      </c>
      <c r="U114" s="112">
        <f t="shared" si="56"/>
        <v>-0.59876651007204629</v>
      </c>
      <c r="V114" s="62"/>
      <c r="W114" s="62"/>
    </row>
    <row r="115" spans="2:24" x14ac:dyDescent="0.2">
      <c r="D115" s="34"/>
      <c r="E115" s="34"/>
      <c r="F115" s="34"/>
      <c r="G115" s="34"/>
      <c r="H115" s="34"/>
      <c r="I115" s="34"/>
      <c r="J115" s="34"/>
      <c r="K115" s="34"/>
      <c r="L115" s="34"/>
      <c r="M115" s="34"/>
      <c r="N115" s="34"/>
      <c r="O115" s="34"/>
      <c r="P115" s="34"/>
      <c r="Q115" s="34"/>
      <c r="R115" s="34"/>
      <c r="S115" s="34"/>
      <c r="T115" s="34"/>
      <c r="U115" s="34"/>
      <c r="V115" s="62"/>
      <c r="W115" s="62"/>
    </row>
    <row r="116" spans="2:24" x14ac:dyDescent="0.2">
      <c r="G116" s="249"/>
      <c r="H116" s="249"/>
      <c r="I116" s="249"/>
      <c r="J116" s="249"/>
      <c r="K116" s="249"/>
      <c r="L116" s="249"/>
      <c r="M116" s="249"/>
      <c r="N116" s="249"/>
      <c r="O116" s="249"/>
      <c r="P116" s="249"/>
      <c r="Q116" s="249"/>
      <c r="R116" s="249"/>
      <c r="S116" s="34"/>
      <c r="T116" s="34"/>
      <c r="U116" s="34"/>
      <c r="V116" s="62"/>
      <c r="W116" s="62"/>
    </row>
    <row r="117" spans="2:24" x14ac:dyDescent="0.2">
      <c r="B117" s="391"/>
      <c r="C117" s="391"/>
      <c r="D117" s="392"/>
      <c r="E117" s="393"/>
      <c r="F117" s="393"/>
      <c r="G117" s="391"/>
      <c r="H117" s="391"/>
      <c r="R117" s="62"/>
      <c r="S117" s="62"/>
      <c r="T117" s="62"/>
      <c r="U117" s="62"/>
      <c r="V117" s="62"/>
      <c r="W117" s="62"/>
    </row>
    <row r="118" spans="2:24" x14ac:dyDescent="0.2">
      <c r="R118" s="62"/>
      <c r="S118" s="113"/>
      <c r="T118" s="113"/>
      <c r="U118" s="113"/>
      <c r="V118" s="113"/>
      <c r="W118" s="62"/>
    </row>
    <row r="119" spans="2:24" x14ac:dyDescent="0.2">
      <c r="F119" s="118"/>
      <c r="G119" s="118"/>
      <c r="H119" s="118"/>
      <c r="I119" s="118"/>
      <c r="J119" s="118"/>
      <c r="K119" s="118"/>
      <c r="L119" s="118"/>
      <c r="M119" s="118"/>
      <c r="N119" s="118"/>
      <c r="O119" s="118"/>
      <c r="P119" s="118"/>
      <c r="Q119" s="118"/>
      <c r="R119" s="118"/>
      <c r="S119" s="118"/>
      <c r="T119" s="118"/>
      <c r="U119" s="118"/>
    </row>
    <row r="120" spans="2:24" x14ac:dyDescent="0.2">
      <c r="C120" s="34"/>
      <c r="D120" s="34"/>
      <c r="E120" s="118"/>
      <c r="F120" s="118"/>
      <c r="G120" s="118"/>
      <c r="H120" s="118"/>
      <c r="I120" s="118"/>
      <c r="J120" s="118"/>
      <c r="K120" s="118"/>
      <c r="L120" s="118"/>
      <c r="M120" s="118"/>
      <c r="N120" s="118"/>
      <c r="O120" s="118"/>
      <c r="P120" s="118"/>
      <c r="Q120" s="118"/>
      <c r="R120" s="118"/>
      <c r="S120" s="118"/>
      <c r="T120" s="118"/>
      <c r="U120" s="118"/>
    </row>
    <row r="121" spans="2:24" x14ac:dyDescent="0.2">
      <c r="E121" s="34"/>
      <c r="F121" s="34"/>
      <c r="G121" s="118"/>
      <c r="H121" s="118"/>
      <c r="I121" s="118"/>
      <c r="J121" s="118"/>
      <c r="K121" s="118"/>
      <c r="L121" s="118"/>
      <c r="M121" s="118"/>
      <c r="N121" s="118"/>
      <c r="O121" s="118"/>
      <c r="P121" s="118"/>
      <c r="Q121" s="118"/>
      <c r="R121" s="118"/>
      <c r="S121" s="118"/>
      <c r="T121" s="118"/>
      <c r="U121" s="118"/>
      <c r="V121" s="118"/>
      <c r="W121" s="118"/>
    </row>
    <row r="124" spans="2:24" x14ac:dyDescent="0.2">
      <c r="E124" s="34"/>
      <c r="F124" s="34"/>
      <c r="G124" s="118"/>
      <c r="H124" s="118"/>
      <c r="I124" s="118"/>
      <c r="J124" s="118"/>
      <c r="K124" s="118"/>
      <c r="L124" s="118"/>
      <c r="M124" s="118"/>
      <c r="N124" s="118"/>
      <c r="O124" s="118"/>
      <c r="P124" s="118"/>
      <c r="Q124" s="118"/>
      <c r="R124" s="118"/>
      <c r="S124" s="118"/>
      <c r="T124" s="118"/>
      <c r="U124" s="118"/>
      <c r="V124" s="118"/>
      <c r="W124" s="118"/>
    </row>
    <row r="125" spans="2:24" x14ac:dyDescent="0.2">
      <c r="E125" s="34"/>
      <c r="F125" s="34"/>
      <c r="G125" s="118"/>
      <c r="H125" s="118"/>
      <c r="I125" s="118"/>
      <c r="J125" s="118"/>
      <c r="K125" s="118"/>
      <c r="L125" s="118"/>
      <c r="M125" s="118"/>
      <c r="N125" s="118"/>
      <c r="O125" s="118"/>
      <c r="P125" s="118"/>
      <c r="Q125" s="118"/>
      <c r="R125" s="118"/>
      <c r="S125" s="118"/>
      <c r="T125" s="118"/>
      <c r="U125" s="118"/>
      <c r="V125" s="118"/>
      <c r="W125" s="118"/>
      <c r="X125" s="53"/>
    </row>
    <row r="126" spans="2:24" x14ac:dyDescent="0.2">
      <c r="G126" s="53"/>
      <c r="H126" s="53"/>
      <c r="I126" s="53"/>
      <c r="J126" s="53"/>
      <c r="K126" s="53"/>
      <c r="L126" s="53"/>
      <c r="M126" s="53"/>
      <c r="N126" s="53"/>
      <c r="O126" s="53"/>
      <c r="P126" s="53"/>
      <c r="Q126" s="53"/>
      <c r="R126" s="53"/>
      <c r="S126" s="53"/>
      <c r="T126" s="53"/>
      <c r="U126" s="53"/>
      <c r="V126" s="53"/>
      <c r="W126" s="53"/>
      <c r="X126" s="53"/>
    </row>
    <row r="127" spans="2:24" x14ac:dyDescent="0.2">
      <c r="E127" s="34"/>
      <c r="F127" s="34"/>
      <c r="G127" s="118"/>
      <c r="H127" s="118"/>
      <c r="I127" s="118"/>
      <c r="J127" s="118"/>
      <c r="K127" s="118"/>
      <c r="L127" s="118"/>
      <c r="M127" s="118"/>
      <c r="N127" s="118"/>
      <c r="O127" s="118"/>
      <c r="P127" s="118"/>
      <c r="Q127" s="118"/>
      <c r="R127" s="118"/>
      <c r="S127" s="118"/>
      <c r="T127" s="118"/>
      <c r="U127" s="118"/>
      <c r="V127" s="118"/>
      <c r="W127" s="118"/>
      <c r="X127" s="53"/>
    </row>
    <row r="128" spans="2:24" x14ac:dyDescent="0.2">
      <c r="E128" s="34"/>
      <c r="F128" s="34"/>
      <c r="G128" s="118"/>
      <c r="H128" s="118"/>
      <c r="I128" s="118"/>
      <c r="J128" s="118"/>
      <c r="K128" s="118"/>
      <c r="L128" s="118"/>
      <c r="M128" s="118"/>
      <c r="N128" s="118"/>
      <c r="O128" s="118"/>
      <c r="P128" s="118"/>
      <c r="Q128" s="118"/>
      <c r="R128" s="118"/>
      <c r="S128" s="118"/>
      <c r="T128" s="118"/>
      <c r="U128" s="118"/>
      <c r="V128" s="118"/>
      <c r="W128" s="118"/>
      <c r="X128" s="53"/>
    </row>
    <row r="129" spans="5:24" x14ac:dyDescent="0.2">
      <c r="G129" s="53"/>
      <c r="H129" s="53"/>
      <c r="I129" s="53"/>
      <c r="J129" s="53"/>
      <c r="K129" s="53"/>
      <c r="L129" s="53"/>
      <c r="M129" s="53"/>
      <c r="N129" s="53"/>
      <c r="O129" s="53"/>
      <c r="P129" s="53"/>
      <c r="Q129" s="53"/>
      <c r="R129" s="53"/>
      <c r="S129" s="53"/>
      <c r="T129" s="53"/>
      <c r="U129" s="53"/>
      <c r="V129" s="53"/>
      <c r="W129" s="53"/>
      <c r="X129" s="53"/>
    </row>
    <row r="130" spans="5:24" x14ac:dyDescent="0.2">
      <c r="E130" s="34"/>
      <c r="F130" s="34"/>
      <c r="G130" s="118"/>
      <c r="H130" s="118"/>
      <c r="I130" s="118"/>
      <c r="J130" s="118"/>
      <c r="K130" s="118"/>
      <c r="L130" s="118"/>
      <c r="M130" s="118"/>
      <c r="N130" s="118"/>
      <c r="O130" s="118"/>
      <c r="P130" s="118"/>
      <c r="Q130" s="118"/>
      <c r="R130" s="118"/>
      <c r="S130" s="118"/>
      <c r="T130" s="118"/>
      <c r="U130" s="118"/>
      <c r="V130" s="118"/>
      <c r="W130" s="118"/>
      <c r="X130" s="118"/>
    </row>
    <row r="131" spans="5:24" x14ac:dyDescent="0.2">
      <c r="E131" s="34"/>
      <c r="F131" s="34"/>
      <c r="G131" s="118"/>
      <c r="H131" s="118"/>
      <c r="I131" s="118"/>
      <c r="J131" s="118"/>
      <c r="K131" s="118"/>
      <c r="L131" s="118"/>
      <c r="M131" s="118"/>
      <c r="N131" s="118"/>
      <c r="O131" s="118"/>
      <c r="P131" s="118"/>
      <c r="Q131" s="118"/>
      <c r="R131" s="118"/>
      <c r="S131" s="118"/>
      <c r="T131" s="118"/>
      <c r="U131" s="118"/>
      <c r="V131" s="118"/>
      <c r="W131" s="118"/>
      <c r="X131" s="118"/>
    </row>
    <row r="132" spans="5:24" x14ac:dyDescent="0.2">
      <c r="G132" s="118"/>
      <c r="H132" s="118"/>
      <c r="I132" s="118"/>
      <c r="J132" s="118"/>
      <c r="K132" s="118"/>
      <c r="L132" s="118"/>
      <c r="M132" s="118"/>
      <c r="N132" s="118"/>
      <c r="O132" s="118"/>
      <c r="P132" s="118"/>
      <c r="Q132" s="118"/>
      <c r="R132" s="118"/>
      <c r="S132" s="118"/>
      <c r="T132" s="118"/>
      <c r="U132" s="118"/>
      <c r="V132" s="118"/>
      <c r="W132" s="118"/>
      <c r="X132" s="118"/>
    </row>
    <row r="133" spans="5:24" x14ac:dyDescent="0.2">
      <c r="E133" s="34"/>
      <c r="F133" s="34"/>
      <c r="G133" s="118"/>
      <c r="H133" s="118"/>
      <c r="I133" s="118"/>
      <c r="J133" s="118"/>
      <c r="K133" s="118"/>
      <c r="L133" s="118"/>
      <c r="M133" s="118"/>
      <c r="N133" s="118"/>
      <c r="O133" s="118"/>
      <c r="P133" s="118"/>
      <c r="Q133" s="118"/>
      <c r="R133" s="118"/>
      <c r="S133" s="118"/>
      <c r="T133" s="118"/>
      <c r="U133" s="118"/>
      <c r="V133" s="118"/>
      <c r="W133" s="118"/>
      <c r="X133" s="118"/>
    </row>
    <row r="134" spans="5:24" x14ac:dyDescent="0.2">
      <c r="E134" s="34"/>
      <c r="F134" s="34"/>
      <c r="G134" s="118"/>
      <c r="H134" s="118"/>
      <c r="I134" s="118"/>
      <c r="J134" s="118"/>
      <c r="K134" s="118"/>
      <c r="L134" s="118"/>
      <c r="M134" s="118"/>
      <c r="N134" s="118"/>
      <c r="O134" s="118"/>
      <c r="P134" s="118"/>
      <c r="Q134" s="118"/>
      <c r="R134" s="118"/>
      <c r="S134" s="118"/>
      <c r="T134" s="118"/>
      <c r="U134" s="118"/>
      <c r="V134" s="118"/>
      <c r="W134" s="118"/>
      <c r="X134" s="118"/>
    </row>
    <row r="135" spans="5:24" x14ac:dyDescent="0.2">
      <c r="G135" s="118"/>
      <c r="H135" s="118"/>
      <c r="I135" s="118"/>
      <c r="J135" s="118"/>
      <c r="K135" s="118"/>
      <c r="L135" s="118"/>
      <c r="M135" s="118"/>
      <c r="N135" s="118"/>
      <c r="O135" s="118"/>
      <c r="P135" s="118"/>
      <c r="Q135" s="118"/>
      <c r="R135" s="118"/>
      <c r="S135" s="118"/>
      <c r="T135" s="118"/>
      <c r="U135" s="118"/>
      <c r="V135" s="118"/>
      <c r="W135" s="118"/>
      <c r="X135" s="118"/>
    </row>
    <row r="136" spans="5:24" x14ac:dyDescent="0.2">
      <c r="G136" s="118"/>
      <c r="H136" s="118"/>
      <c r="I136" s="118"/>
      <c r="J136" s="118"/>
      <c r="K136" s="118"/>
      <c r="L136" s="118"/>
      <c r="M136" s="118"/>
      <c r="N136" s="118"/>
      <c r="O136" s="118"/>
      <c r="P136" s="118"/>
      <c r="Q136" s="118"/>
      <c r="R136" s="118"/>
      <c r="S136" s="118"/>
      <c r="T136" s="118"/>
      <c r="U136" s="118"/>
      <c r="V136" s="118"/>
      <c r="W136" s="118"/>
      <c r="X136" s="118"/>
    </row>
  </sheetData>
  <conditionalFormatting sqref="E12:K12">
    <cfRule type="expression" dxfId="44" priority="4">
      <formula>AND(E10&gt;$C$5,E10&lt;=$C$6)</formula>
    </cfRule>
  </conditionalFormatting>
  <conditionalFormatting sqref="S10:U44 S50:U53 S55:U92 S94:U120">
    <cfRule type="expression" dxfId="41" priority="1">
      <formula>S$10&gt;$C$7</formula>
    </cfRule>
  </conditionalFormatting>
  <conditionalFormatting sqref="U46:W49 U121:W131">
    <cfRule type="expression" dxfId="40" priority="124">
      <formula>S$10&gt;$C$7</formula>
    </cfRule>
  </conditionalFormatting>
  <pageMargins left="0.7" right="0.7" top="0.75" bottom="0.75" header="0.3" footer="0.3"/>
  <pageSetup paperSize="9" orientation="portrait" r:id="rId1"/>
  <ignoredErrors>
    <ignoredError sqref="C5:C6 C47:C48" unlockedFormula="1"/>
  </ignoredErrors>
  <extLst>
    <ext xmlns:x14="http://schemas.microsoft.com/office/spreadsheetml/2009/9/main" uri="{78C0D931-6437-407d-A8EE-F0AAD7539E65}">
      <x14:conditionalFormattings>
        <x14:conditionalFormatting xmlns:xm="http://schemas.microsoft.com/office/excel/2006/main">
          <x14:cfRule type="expression" priority="48" id="{3F484ED4-3931-4998-AB2F-E78A0CF23E03}">
            <xm:f>OR('Criteria results'!#REF!=7,'Criteria results'!#REF!=10)</xm:f>
            <x14:dxf>
              <font>
                <color theme="0"/>
              </font>
            </x14:dxf>
          </x14:cfRule>
          <xm:sqref>I83:K83</xm:sqref>
        </x14:conditionalFormatting>
        <x14:conditionalFormatting xmlns:xm="http://schemas.microsoft.com/office/excel/2006/main">
          <x14:cfRule type="expression" priority="49" id="{2AB03453-3383-4490-89FD-BF0D6B58ED6B}">
            <xm:f>'Criteria results'!#REF!=10</xm:f>
            <x14:dxf>
              <font>
                <color theme="0"/>
              </font>
            </x14:dxf>
          </x14:cfRule>
          <xm:sqref>L83:N83</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6BD62-F475-4E99-9E07-BEAA4AE832C8}">
  <sheetPr codeName="Sheet18">
    <tabColor rgb="FF92D050"/>
  </sheetPr>
  <dimension ref="A1:AY139"/>
  <sheetViews>
    <sheetView zoomScaleNormal="100" workbookViewId="0"/>
  </sheetViews>
  <sheetFormatPr defaultColWidth="9.28515625" defaultRowHeight="11.25" outlineLevelRow="1" x14ac:dyDescent="0.2"/>
  <cols>
    <col min="1" max="1" width="9.28515625" style="26" customWidth="1"/>
    <col min="2" max="2" width="57.42578125" style="26" customWidth="1"/>
    <col min="3" max="38" width="9.28515625" style="26" customWidth="1"/>
    <col min="39" max="48" width="11.42578125" style="26" bestFit="1" customWidth="1"/>
    <col min="49" max="16384" width="9.28515625" style="26"/>
  </cols>
  <sheetData>
    <row r="1" spans="1:49" ht="24.75" customHeight="1" x14ac:dyDescent="0.2">
      <c r="B1" s="39"/>
    </row>
    <row r="2" spans="1:49" ht="11.25" customHeight="1" x14ac:dyDescent="0.2">
      <c r="B2" s="27"/>
    </row>
    <row r="3" spans="1:49" ht="11.25" customHeight="1" x14ac:dyDescent="0.2">
      <c r="B3" s="19" t="s">
        <v>15</v>
      </c>
      <c r="C3" s="20" t="str">
        <f>'Input data'!C3</f>
        <v>DE</v>
      </c>
    </row>
    <row r="4" spans="1:49" x14ac:dyDescent="0.2">
      <c r="B4" s="64" t="s">
        <v>38</v>
      </c>
      <c r="C4" s="21"/>
    </row>
    <row r="5" spans="1:49" x14ac:dyDescent="0.2">
      <c r="A5" s="29"/>
      <c r="B5" s="22" t="str">
        <f>'Input data'!B5</f>
        <v>Last year before the adjustment</v>
      </c>
      <c r="C5" s="23">
        <f>+'Input data'!C5</f>
        <v>2024</v>
      </c>
      <c r="J5" s="53"/>
      <c r="M5" s="38"/>
    </row>
    <row r="6" spans="1:49" x14ac:dyDescent="0.2">
      <c r="A6" s="29"/>
      <c r="B6" s="65" t="s">
        <v>44</v>
      </c>
      <c r="C6" s="23">
        <f>+C5+'Criteria results'!$F$5</f>
        <v>2028</v>
      </c>
      <c r="E6" s="43"/>
      <c r="F6" s="29"/>
    </row>
    <row r="7" spans="1:49" x14ac:dyDescent="0.2">
      <c r="A7" s="29"/>
      <c r="B7" s="24" t="s">
        <v>39</v>
      </c>
      <c r="C7" s="66">
        <f>C5+'Criteria results'!$F$5+10</f>
        <v>2038</v>
      </c>
      <c r="E7" s="43"/>
      <c r="F7" s="29"/>
      <c r="G7" s="53"/>
      <c r="H7" s="53"/>
      <c r="I7" s="53"/>
      <c r="J7" s="53"/>
      <c r="K7" s="53"/>
      <c r="L7" s="53"/>
      <c r="M7" s="53"/>
    </row>
    <row r="8" spans="1:49" x14ac:dyDescent="0.2">
      <c r="A8" s="29"/>
      <c r="C8" s="29"/>
      <c r="E8" s="43"/>
      <c r="F8" s="29"/>
      <c r="G8" s="29"/>
      <c r="H8" s="29"/>
      <c r="I8" s="29"/>
      <c r="J8" s="29"/>
      <c r="K8" s="29"/>
      <c r="L8" s="29"/>
      <c r="M8" s="29"/>
      <c r="N8" s="29"/>
      <c r="O8" s="29"/>
      <c r="P8" s="29"/>
      <c r="Q8" s="29"/>
      <c r="R8" s="29"/>
      <c r="S8" s="29"/>
      <c r="T8" s="29"/>
      <c r="U8" s="29"/>
      <c r="V8" s="29"/>
      <c r="W8" s="29"/>
    </row>
    <row r="9" spans="1:49" s="67" customFormat="1" ht="12.75" x14ac:dyDescent="0.2">
      <c r="B9" s="25" t="s">
        <v>45</v>
      </c>
    </row>
    <row r="10" spans="1:49" x14ac:dyDescent="0.2">
      <c r="C10" s="31">
        <f>'Input data'!$C$5-1</f>
        <v>2023</v>
      </c>
      <c r="D10" s="31">
        <f>C10+1</f>
        <v>2024</v>
      </c>
      <c r="E10" s="31">
        <f t="shared" ref="E10:U10" si="0">D10+1</f>
        <v>2025</v>
      </c>
      <c r="F10" s="31">
        <f t="shared" si="0"/>
        <v>2026</v>
      </c>
      <c r="G10" s="31">
        <f t="shared" si="0"/>
        <v>2027</v>
      </c>
      <c r="H10" s="31">
        <f t="shared" si="0"/>
        <v>2028</v>
      </c>
      <c r="I10" s="31">
        <f t="shared" si="0"/>
        <v>2029</v>
      </c>
      <c r="J10" s="31">
        <f t="shared" si="0"/>
        <v>2030</v>
      </c>
      <c r="K10" s="31">
        <f t="shared" si="0"/>
        <v>2031</v>
      </c>
      <c r="L10" s="31">
        <f t="shared" si="0"/>
        <v>2032</v>
      </c>
      <c r="M10" s="31">
        <f t="shared" si="0"/>
        <v>2033</v>
      </c>
      <c r="N10" s="31">
        <f t="shared" si="0"/>
        <v>2034</v>
      </c>
      <c r="O10" s="31">
        <f t="shared" si="0"/>
        <v>2035</v>
      </c>
      <c r="P10" s="31">
        <f t="shared" si="0"/>
        <v>2036</v>
      </c>
      <c r="Q10" s="31">
        <f t="shared" si="0"/>
        <v>2037</v>
      </c>
      <c r="R10" s="31">
        <f t="shared" si="0"/>
        <v>2038</v>
      </c>
      <c r="S10" s="31">
        <f t="shared" si="0"/>
        <v>2039</v>
      </c>
      <c r="T10" s="31">
        <f t="shared" si="0"/>
        <v>2040</v>
      </c>
      <c r="U10" s="31">
        <f t="shared" si="0"/>
        <v>2041</v>
      </c>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row>
    <row r="11" spans="1:49" x14ac:dyDescent="0.2">
      <c r="B11" s="28" t="s">
        <v>46</v>
      </c>
      <c r="C11" s="29"/>
      <c r="D11" s="257"/>
      <c r="E11" s="390"/>
      <c r="F11" s="390"/>
      <c r="G11" s="390"/>
      <c r="H11" s="390"/>
      <c r="I11" s="390"/>
      <c r="J11" s="390"/>
      <c r="K11" s="390"/>
      <c r="L11" s="257"/>
      <c r="M11" s="257"/>
      <c r="N11" s="257"/>
      <c r="O11" s="257"/>
      <c r="P11" s="257"/>
      <c r="Q11" s="257"/>
      <c r="R11" s="257"/>
      <c r="S11" s="257"/>
      <c r="T11" s="257"/>
      <c r="U11" s="257"/>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row>
    <row r="12" spans="1:49" x14ac:dyDescent="0.2">
      <c r="B12" s="26" t="s">
        <v>48</v>
      </c>
      <c r="C12" s="2">
        <f>'Input data'!C13</f>
        <v>-1.2609140000000001</v>
      </c>
      <c r="D12" s="2">
        <f>'Input data'!D13</f>
        <v>-1.0152870000000001</v>
      </c>
      <c r="E12" s="3">
        <f>IF(E10&lt;=$C$6,D12+'Criteria results'!$F$6,D12)</f>
        <v>-0.47528700000000002</v>
      </c>
      <c r="F12" s="3">
        <f>IF(F10&lt;=$C$6,E12+'Criteria results'!$F$6,E12)</f>
        <v>6.4713000000000021E-2</v>
      </c>
      <c r="G12" s="3">
        <f>IF(G10&lt;=$C$6,F12+'Criteria results'!$F$6,F12)</f>
        <v>0.60471300000000006</v>
      </c>
      <c r="H12" s="3">
        <f>IF(H10&lt;=$C$6,G12+'Criteria results'!$F$6,G12)</f>
        <v>1.1447130000000001</v>
      </c>
      <c r="I12" s="116">
        <f>IF(I10&lt;=$C$6,H12+'Criteria results'!$F$6,H12)</f>
        <v>1.1447130000000001</v>
      </c>
      <c r="J12" s="116">
        <f>IF(J10&lt;=$C$6,I12+'Criteria results'!$F$6,I12)</f>
        <v>1.1447130000000001</v>
      </c>
      <c r="K12" s="116">
        <f>IF(K10&lt;=$C$6,J12+'Criteria results'!$F$6,J12)</f>
        <v>1.1447130000000001</v>
      </c>
      <c r="L12" s="116">
        <f>K12</f>
        <v>1.1447130000000001</v>
      </c>
      <c r="M12" s="116">
        <f t="shared" ref="M12:U12" si="1">L12</f>
        <v>1.1447130000000001</v>
      </c>
      <c r="N12" s="116">
        <f t="shared" si="1"/>
        <v>1.1447130000000001</v>
      </c>
      <c r="O12" s="116">
        <f t="shared" si="1"/>
        <v>1.1447130000000001</v>
      </c>
      <c r="P12" s="116">
        <f t="shared" si="1"/>
        <v>1.1447130000000001</v>
      </c>
      <c r="Q12" s="116">
        <f t="shared" si="1"/>
        <v>1.1447130000000001</v>
      </c>
      <c r="R12" s="116">
        <f t="shared" si="1"/>
        <v>1.1447130000000001</v>
      </c>
      <c r="S12" s="116">
        <f t="shared" si="1"/>
        <v>1.1447130000000001</v>
      </c>
      <c r="T12" s="116">
        <f t="shared" si="1"/>
        <v>1.1447130000000001</v>
      </c>
      <c r="U12" s="116">
        <f t="shared" si="1"/>
        <v>1.1447130000000001</v>
      </c>
      <c r="V12" s="59"/>
      <c r="W12" s="59"/>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60"/>
    </row>
    <row r="13" spans="1:49" x14ac:dyDescent="0.2">
      <c r="B13" s="299" t="s">
        <v>185</v>
      </c>
      <c r="C13" s="29"/>
      <c r="D13" s="257"/>
      <c r="E13" s="257">
        <f>E12-D12</f>
        <v>0.54</v>
      </c>
      <c r="F13" s="257">
        <f t="shared" ref="F13:U13" si="2">F12-E12</f>
        <v>0.54</v>
      </c>
      <c r="G13" s="257">
        <f t="shared" si="2"/>
        <v>0.54</v>
      </c>
      <c r="H13" s="257">
        <f t="shared" si="2"/>
        <v>0.54</v>
      </c>
      <c r="I13" s="257">
        <f t="shared" si="2"/>
        <v>0</v>
      </c>
      <c r="J13" s="257">
        <f t="shared" si="2"/>
        <v>0</v>
      </c>
      <c r="K13" s="257">
        <f t="shared" si="2"/>
        <v>0</v>
      </c>
      <c r="L13" s="257">
        <f t="shared" si="2"/>
        <v>0</v>
      </c>
      <c r="M13" s="257">
        <f t="shared" si="2"/>
        <v>0</v>
      </c>
      <c r="N13" s="257">
        <f t="shared" si="2"/>
        <v>0</v>
      </c>
      <c r="O13" s="257">
        <f t="shared" si="2"/>
        <v>0</v>
      </c>
      <c r="P13" s="257">
        <f t="shared" si="2"/>
        <v>0</v>
      </c>
      <c r="Q13" s="257">
        <f t="shared" si="2"/>
        <v>0</v>
      </c>
      <c r="R13" s="257">
        <f t="shared" si="2"/>
        <v>0</v>
      </c>
      <c r="S13" s="257">
        <f t="shared" si="2"/>
        <v>0</v>
      </c>
      <c r="T13" s="257">
        <f t="shared" si="2"/>
        <v>0</v>
      </c>
      <c r="U13" s="257">
        <f t="shared" si="2"/>
        <v>0</v>
      </c>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row>
    <row r="14" spans="1:49" x14ac:dyDescent="0.2">
      <c r="B14" s="26" t="s">
        <v>49</v>
      </c>
      <c r="C14" s="2">
        <f>'Input data'!C14</f>
        <v>0</v>
      </c>
      <c r="D14" s="2">
        <f>'Input data'!D14</f>
        <v>0</v>
      </c>
      <c r="E14" s="2">
        <f>'Input data'!E14</f>
        <v>0</v>
      </c>
      <c r="F14" s="2">
        <f>'Input data'!F14</f>
        <v>0</v>
      </c>
      <c r="G14" s="2">
        <f>'Input data'!G14</f>
        <v>0</v>
      </c>
      <c r="H14" s="2">
        <f>'Input data'!H14</f>
        <v>0</v>
      </c>
      <c r="I14" s="2">
        <f>'Input data'!I14</f>
        <v>0</v>
      </c>
      <c r="J14" s="2">
        <f>'Input data'!J14</f>
        <v>0</v>
      </c>
      <c r="K14" s="2">
        <f>'Input data'!K14</f>
        <v>0</v>
      </c>
      <c r="L14" s="2">
        <f>'Input data'!L14</f>
        <v>0</v>
      </c>
      <c r="M14" s="2">
        <f>'Input data'!M14</f>
        <v>0</v>
      </c>
      <c r="N14" s="2">
        <f>'Input data'!N14</f>
        <v>0</v>
      </c>
      <c r="O14" s="2">
        <f>'Input data'!O14</f>
        <v>0</v>
      </c>
      <c r="P14" s="2">
        <f>'Input data'!P14</f>
        <v>0</v>
      </c>
      <c r="Q14" s="2">
        <f>'Input data'!Q14</f>
        <v>0</v>
      </c>
      <c r="R14" s="2">
        <f>'Input data'!R14</f>
        <v>0</v>
      </c>
      <c r="S14" s="2">
        <f>'Input data'!S14</f>
        <v>0</v>
      </c>
      <c r="T14" s="2">
        <f>'Input data'!T14</f>
        <v>0</v>
      </c>
      <c r="U14" s="2">
        <f>'Input data'!U14</f>
        <v>0</v>
      </c>
      <c r="V14" s="59"/>
      <c r="W14" s="59"/>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60"/>
    </row>
    <row r="15" spans="1:49" x14ac:dyDescent="0.2">
      <c r="B15" s="26" t="s">
        <v>84</v>
      </c>
      <c r="C15" s="2">
        <f>'Input data'!C15</f>
        <v>-1.0004850000000001</v>
      </c>
      <c r="D15" s="2">
        <f>'Input data'!D15</f>
        <v>-1.4394560000000001</v>
      </c>
      <c r="E15" s="2">
        <f>'Input data'!E15</f>
        <v>8.5767899999999994E-2</v>
      </c>
      <c r="F15" s="2">
        <f>'Input data'!F15</f>
        <v>0.1097981</v>
      </c>
      <c r="G15" s="2">
        <f>'Input data'!G15</f>
        <v>0</v>
      </c>
      <c r="H15" s="2">
        <f>'Input data'!H15</f>
        <v>0</v>
      </c>
      <c r="I15" s="2">
        <f>'Input data'!I15</f>
        <v>0</v>
      </c>
      <c r="J15" s="2">
        <f>'Input data'!J15</f>
        <v>0</v>
      </c>
      <c r="K15" s="2">
        <f>'Input data'!K15</f>
        <v>0</v>
      </c>
      <c r="L15" s="2">
        <f>'Input data'!L15</f>
        <v>0</v>
      </c>
      <c r="M15" s="2">
        <f>'Input data'!M15</f>
        <v>0</v>
      </c>
      <c r="N15" s="2">
        <f>'Input data'!N15</f>
        <v>0</v>
      </c>
      <c r="O15" s="2">
        <f>'Input data'!O15</f>
        <v>0</v>
      </c>
      <c r="P15" s="2">
        <f>'Input data'!P15</f>
        <v>0</v>
      </c>
      <c r="Q15" s="2">
        <f>'Input data'!Q15</f>
        <v>0</v>
      </c>
      <c r="R15" s="2">
        <f>'Input data'!R15</f>
        <v>0</v>
      </c>
      <c r="S15" s="2">
        <f>'Input data'!S15</f>
        <v>0</v>
      </c>
      <c r="T15" s="2">
        <f>'Input data'!T15</f>
        <v>0</v>
      </c>
      <c r="U15" s="2">
        <f>'Input data'!U15</f>
        <v>0</v>
      </c>
      <c r="V15" s="59"/>
      <c r="W15" s="59"/>
      <c r="X15" s="59"/>
      <c r="Y15" s="59"/>
      <c r="Z15" s="59"/>
      <c r="AA15" s="59"/>
      <c r="AB15" s="59"/>
      <c r="AC15" s="59"/>
      <c r="AD15" s="59"/>
      <c r="AE15" s="59"/>
      <c r="AF15" s="59"/>
      <c r="AG15" s="59"/>
      <c r="AH15" s="59"/>
      <c r="AI15" s="59"/>
      <c r="AJ15" s="59"/>
      <c r="AK15" s="59"/>
      <c r="AL15" s="59"/>
      <c r="AM15" s="59"/>
      <c r="AN15" s="59"/>
      <c r="AO15" s="59"/>
      <c r="AP15" s="59"/>
      <c r="AQ15" s="59"/>
      <c r="AR15" s="59"/>
      <c r="AS15" s="59"/>
      <c r="AT15" s="59"/>
      <c r="AU15" s="59"/>
      <c r="AV15" s="59"/>
      <c r="AW15" s="60"/>
    </row>
    <row r="16" spans="1:49" ht="5.65" customHeight="1" x14ac:dyDescent="0.2">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row>
    <row r="17" spans="1:48" ht="11.25" customHeight="1" x14ac:dyDescent="0.2">
      <c r="B17" s="30" t="str">
        <f>'Input data'!B19</f>
        <v>Cost of ageing and selected public revenue (based on the Commission-Council 2024 Ageing Report ("AR 2024"))</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row>
    <row r="18" spans="1:48" x14ac:dyDescent="0.2">
      <c r="A18" s="61"/>
      <c r="B18" s="26" t="s">
        <v>52</v>
      </c>
      <c r="C18" s="99">
        <f>'Input data'!C20</f>
        <v>23.099999999999998</v>
      </c>
      <c r="D18" s="99">
        <f>'Input data'!D20</f>
        <v>23.3</v>
      </c>
      <c r="E18" s="99">
        <f>'Input data'!E20</f>
        <v>23.4</v>
      </c>
      <c r="F18" s="99">
        <f>'Input data'!F20</f>
        <v>23.4</v>
      </c>
      <c r="G18" s="99">
        <f>'Input data'!G20</f>
        <v>23.6</v>
      </c>
      <c r="H18" s="99">
        <f>'Input data'!H20</f>
        <v>23.7</v>
      </c>
      <c r="I18" s="99">
        <f>'Input data'!I20</f>
        <v>23.799999999999997</v>
      </c>
      <c r="J18" s="99">
        <f>'Input data'!J20</f>
        <v>23.9</v>
      </c>
      <c r="K18" s="99">
        <f>'Input data'!K20</f>
        <v>24</v>
      </c>
      <c r="L18" s="99">
        <f>'Input data'!L20</f>
        <v>24.2</v>
      </c>
      <c r="M18" s="99">
        <f>'Input data'!M20</f>
        <v>24.3</v>
      </c>
      <c r="N18" s="99">
        <f>'Input data'!N20</f>
        <v>24.3</v>
      </c>
      <c r="O18" s="99">
        <f>'Input data'!O20</f>
        <v>24.4</v>
      </c>
      <c r="P18" s="99">
        <f>'Input data'!P20</f>
        <v>24.499999999999996</v>
      </c>
      <c r="Q18" s="99">
        <f>'Input data'!Q20</f>
        <v>24.499999999999996</v>
      </c>
      <c r="R18" s="99">
        <f>'Input data'!R20</f>
        <v>24.499999999999996</v>
      </c>
      <c r="S18" s="99">
        <f>'Input data'!S20</f>
        <v>24.5</v>
      </c>
      <c r="T18" s="99">
        <f>'Input data'!T20</f>
        <v>24.400000000000002</v>
      </c>
      <c r="U18" s="99">
        <f>'Input data'!U20</f>
        <v>24.400000000000002</v>
      </c>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row>
    <row r="19" spans="1:48" x14ac:dyDescent="0.2">
      <c r="A19" s="61"/>
      <c r="B19" s="26" t="s">
        <v>58</v>
      </c>
      <c r="C19" s="99">
        <f>'Input data'!C26</f>
        <v>0.71641730000000003</v>
      </c>
      <c r="D19" s="99">
        <f>'Input data'!D26</f>
        <v>0.71176019999999995</v>
      </c>
      <c r="E19" s="99">
        <f>'Input data'!E26</f>
        <v>0.70710320000000004</v>
      </c>
      <c r="F19" s="99">
        <f>'Input data'!F26</f>
        <v>0.70244620000000002</v>
      </c>
      <c r="G19" s="99">
        <f>'Input data'!G26</f>
        <v>0.69778910000000005</v>
      </c>
      <c r="H19" s="99">
        <f>'Input data'!H26</f>
        <v>0.69313210000000003</v>
      </c>
      <c r="I19" s="99">
        <f>'Input data'!I26</f>
        <v>0.68847510000000001</v>
      </c>
      <c r="J19" s="99">
        <f>'Input data'!J26</f>
        <v>0.68381800000000004</v>
      </c>
      <c r="K19" s="99">
        <f>'Input data'!K26</f>
        <v>0.67916100000000001</v>
      </c>
      <c r="L19" s="99">
        <f>'Input data'!L26</f>
        <v>0.67450399999999999</v>
      </c>
      <c r="M19" s="99">
        <f>'Input data'!M26</f>
        <v>0.66984699999999997</v>
      </c>
      <c r="N19" s="99">
        <f>'Input data'!N26</f>
        <v>0.6651899</v>
      </c>
      <c r="O19" s="99">
        <f>'Input data'!O26</f>
        <v>0.66053280000000003</v>
      </c>
      <c r="P19" s="99">
        <f>'Input data'!P26</f>
        <v>0.65587580000000001</v>
      </c>
      <c r="Q19" s="99">
        <f>'Input data'!Q26</f>
        <v>0.65121879999999999</v>
      </c>
      <c r="R19" s="99">
        <f>'Input data'!R26</f>
        <v>0.64656170000000002</v>
      </c>
      <c r="S19" s="99">
        <f>'Input data'!S26</f>
        <v>0.64190460000000005</v>
      </c>
      <c r="T19" s="99">
        <f>'Input data'!T26</f>
        <v>0.63724760000000003</v>
      </c>
      <c r="U19" s="99">
        <f>'Input data'!U26</f>
        <v>0.63259049999999994</v>
      </c>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row>
    <row r="21" spans="1:48" x14ac:dyDescent="0.2">
      <c r="B21" s="28" t="s">
        <v>85</v>
      </c>
    </row>
    <row r="22" spans="1:48" ht="10.5" customHeight="1" x14ac:dyDescent="0.2">
      <c r="B22" s="30" t="s">
        <v>86</v>
      </c>
    </row>
    <row r="23" spans="1:48" x14ac:dyDescent="0.2">
      <c r="B23" s="26" t="s">
        <v>61</v>
      </c>
      <c r="C23" s="98">
        <f>'Baseline NFPC'!C22</f>
        <v>3615.547</v>
      </c>
      <c r="D23" s="98">
        <f>'Baseline NFPC'!D22</f>
        <v>3606.922976747233</v>
      </c>
      <c r="E23" s="34">
        <f>IF(AND(E50&gt;1,D50&gt;1),
E27*(1+('Baseline NFPC'!E$29+E51)/100)-D23*$C$47*(E12-D12)/100,
IF(E50=1,E27,D23*(1+E52/100)))</f>
        <v>3598.5246569643273</v>
      </c>
      <c r="F23" s="34">
        <f>IF(AND(F50&gt;1,E50&gt;1),
F27*(1+('Baseline NFPC'!F$29+F51)/100)-E23*$C$47*(F12-E12)/100,
IF(F50=1,F27,E23*(1+F52/100)))</f>
        <v>3611.4128096625222</v>
      </c>
      <c r="G23" s="34">
        <f t="shared" ref="G23:U23" si="3">IF(AND(G50&gt;1,F50&gt;1),
G27*(1+G51/100)-F23*$C$47*(G12-F12)/100,
IF(G50=1,G27,F23*(1+G52/100)))</f>
        <v>3635.9199842230114</v>
      </c>
      <c r="H23" s="34">
        <f t="shared" si="3"/>
        <v>3661.6310006310255</v>
      </c>
      <c r="I23" s="34">
        <f t="shared" si="3"/>
        <v>3704.1989141495228</v>
      </c>
      <c r="J23" s="34">
        <f t="shared" si="3"/>
        <v>3746.2685597531695</v>
      </c>
      <c r="K23" s="34">
        <f t="shared" si="3"/>
        <v>3787.7192171198189</v>
      </c>
      <c r="L23" s="34">
        <f t="shared" si="3"/>
        <v>3809.9401635614317</v>
      </c>
      <c r="M23" s="34">
        <f t="shared" si="3"/>
        <v>3832.2135995293538</v>
      </c>
      <c r="N23" s="34">
        <f t="shared" si="3"/>
        <v>3858.1252190845521</v>
      </c>
      <c r="O23" s="34">
        <f t="shared" si="3"/>
        <v>3892.1064170023074</v>
      </c>
      <c r="P23" s="34">
        <f t="shared" si="3"/>
        <v>3934.3507951575525</v>
      </c>
      <c r="Q23" s="34">
        <f t="shared" si="3"/>
        <v>3985.1039597585932</v>
      </c>
      <c r="R23" s="34">
        <f t="shared" si="3"/>
        <v>4040.0983545522226</v>
      </c>
      <c r="S23" s="34">
        <f t="shared" si="3"/>
        <v>4099.4880023690584</v>
      </c>
      <c r="T23" s="34">
        <f t="shared" si="3"/>
        <v>4163.029984416019</v>
      </c>
      <c r="U23" s="34">
        <f t="shared" si="3"/>
        <v>4227.9733354335085</v>
      </c>
      <c r="V23" s="34"/>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4"/>
    </row>
    <row r="24" spans="1:48" x14ac:dyDescent="0.2">
      <c r="A24" s="61"/>
      <c r="B24" s="62" t="s">
        <v>60</v>
      </c>
      <c r="C24" s="98">
        <f>'Baseline NFPC'!C23</f>
        <v>-0.26643830000000002</v>
      </c>
      <c r="D24" s="98">
        <f>'Baseline NFPC'!D23</f>
        <v>-0.23852609999999999</v>
      </c>
      <c r="E24" s="34">
        <f t="shared" ref="E24:Q24" si="4">100*(E23/D23-1)</f>
        <v>-0.23283890000000973</v>
      </c>
      <c r="F24" s="34">
        <f t="shared" si="4"/>
        <v>0.35815101817495698</v>
      </c>
      <c r="G24" s="34">
        <f t="shared" si="4"/>
        <v>0.67860352311204242</v>
      </c>
      <c r="H24" s="34">
        <f t="shared" si="4"/>
        <v>0.70713922527392281</v>
      </c>
      <c r="I24" s="34">
        <f t="shared" si="4"/>
        <v>1.1625396854888281</v>
      </c>
      <c r="J24" s="34">
        <f t="shared" si="4"/>
        <v>1.1357285766416814</v>
      </c>
      <c r="K24" s="34">
        <f t="shared" si="4"/>
        <v>1.1064518388233413</v>
      </c>
      <c r="L24" s="34">
        <f t="shared" si="4"/>
        <v>0.58665769999999284</v>
      </c>
      <c r="M24" s="34">
        <f t="shared" si="4"/>
        <v>0.58461379999998897</v>
      </c>
      <c r="N24" s="34">
        <f t="shared" si="4"/>
        <v>0.67615279999999611</v>
      </c>
      <c r="O24" s="34">
        <f t="shared" si="4"/>
        <v>0.88076969999999477</v>
      </c>
      <c r="P24" s="34">
        <f t="shared" si="4"/>
        <v>1.0853860000000104</v>
      </c>
      <c r="Q24" s="34">
        <f t="shared" si="4"/>
        <v>1.2900010000000073</v>
      </c>
      <c r="R24" s="34">
        <f>100*(R23/Q23-1)</f>
        <v>1.3799990000000095</v>
      </c>
      <c r="S24" s="34">
        <f t="shared" ref="S24:U24" si="5">100*(S23/R23-1)</f>
        <v>1.4700050000000076</v>
      </c>
      <c r="T24" s="34">
        <f t="shared" si="5"/>
        <v>1.5499979999999969</v>
      </c>
      <c r="U24" s="34">
        <f t="shared" si="5"/>
        <v>1.5600019999999937</v>
      </c>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row>
    <row r="25" spans="1:48" ht="5.25" customHeight="1" x14ac:dyDescent="0.2">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row>
    <row r="26" spans="1:48" ht="15" x14ac:dyDescent="0.2">
      <c r="A26" s="220"/>
      <c r="B26" s="30" t="s">
        <v>87</v>
      </c>
      <c r="C26" s="219"/>
      <c r="D26" s="219"/>
    </row>
    <row r="27" spans="1:48" x14ac:dyDescent="0.2">
      <c r="B27" s="26" t="s">
        <v>61</v>
      </c>
      <c r="C27" s="98">
        <f>'Input data'!C34</f>
        <v>3640.4940000000001</v>
      </c>
      <c r="D27" s="98">
        <f>+C27*(1+'Input data'!D33/100)</f>
        <v>3656.8929838343765</v>
      </c>
      <c r="E27" s="34">
        <f>+D27*(1+'Input data'!E33/100)</f>
        <v>3666.6689924169909</v>
      </c>
      <c r="F27" s="34">
        <f>+E27*(1+'Input data'!F33/100)</f>
        <v>3679.4239441740615</v>
      </c>
      <c r="G27" s="34">
        <f>+F27*(1+'Input data'!G33/100)</f>
        <v>3696.0923638226645</v>
      </c>
      <c r="H27" s="34">
        <f>+G27*(1+'Input data'!H33/100)</f>
        <v>3716.6950036021294</v>
      </c>
      <c r="I27" s="34">
        <f>+H27*(1+'Input data'!I33/100)</f>
        <v>3741.1497863176701</v>
      </c>
      <c r="J27" s="34">
        <f>+I27*(1+'Input data'!J33/100)</f>
        <v>3764.861092652307</v>
      </c>
      <c r="K27" s="34">
        <f>+J27*(1+'Input data'!K33/100)</f>
        <v>3787.7192171198189</v>
      </c>
      <c r="L27" s="34">
        <f>+K27*(1+'Input data'!L33/100)</f>
        <v>3809.9401825000277</v>
      </c>
      <c r="M27" s="34">
        <f>+L27*(1+'Input data'!M33/100)</f>
        <v>3832.2136338184287</v>
      </c>
      <c r="N27" s="34">
        <f>+M27*(1+'Input data'!N33/100)</f>
        <v>3858.1251654645603</v>
      </c>
      <c r="O27" s="34">
        <f>+N27*(1+'Input data'!O33/100)</f>
        <v>3892.1062587406673</v>
      </c>
      <c r="P27" s="34">
        <f>+O27*(1+'Input data'!P33/100)</f>
        <v>3934.3505184149749</v>
      </c>
      <c r="Q27" s="34">
        <f>+P27*(1+'Input data'!Q33/100)</f>
        <v>3985.1036401025276</v>
      </c>
      <c r="R27" s="34">
        <f>+Q27*(1+'Input data'!R33/100)</f>
        <v>4040.0980703359428</v>
      </c>
      <c r="S27" s="34">
        <f>+R27*(1+'Input data'!S33/100)</f>
        <v>4099.4875119698809</v>
      </c>
      <c r="T27" s="34">
        <f>+S27*(1+'Input data'!T33/100)</f>
        <v>4163.0295684054145</v>
      </c>
      <c r="U27" s="34">
        <f>+T27*(1+'Input data'!U33/100)</f>
        <v>4227.9728296725389</v>
      </c>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row>
    <row r="28" spans="1:48" ht="5.25" customHeight="1" x14ac:dyDescent="0.2">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row>
    <row r="29" spans="1:48" x14ac:dyDescent="0.2">
      <c r="B29" s="30" t="s">
        <v>88</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row>
    <row r="30" spans="1:48" x14ac:dyDescent="0.2">
      <c r="B30" s="26" t="s">
        <v>88</v>
      </c>
      <c r="C30" s="98">
        <f t="shared" ref="C30:U30" si="6">100*(C23/C27-1)</f>
        <v>-0.68526414272349623</v>
      </c>
      <c r="D30" s="98">
        <f t="shared" si="6"/>
        <v>-1.3664607443543031</v>
      </c>
      <c r="E30" s="34">
        <f t="shared" si="6"/>
        <v>-1.8584806971557177</v>
      </c>
      <c r="F30" s="34">
        <f t="shared" si="6"/>
        <v>-1.8484180008456752</v>
      </c>
      <c r="G30" s="34">
        <f t="shared" si="6"/>
        <v>-1.6279998895217029</v>
      </c>
      <c r="H30" s="34">
        <f t="shared" si="6"/>
        <v>-1.4815313852155509</v>
      </c>
      <c r="I30" s="34">
        <f t="shared" si="6"/>
        <v>-0.98768759014370433</v>
      </c>
      <c r="J30" s="34">
        <f t="shared" si="6"/>
        <v>-0.49384379507184661</v>
      </c>
      <c r="K30" s="34">
        <f>100*(K23/K27-1)</f>
        <v>0</v>
      </c>
      <c r="L30" s="34">
        <f t="shared" si="6"/>
        <v>-4.970838185514026E-7</v>
      </c>
      <c r="M30" s="34">
        <f t="shared" si="6"/>
        <v>-8.9475895581614395E-7</v>
      </c>
      <c r="N30" s="34">
        <f t="shared" si="6"/>
        <v>1.3897939910023638E-6</v>
      </c>
      <c r="O30" s="34">
        <f t="shared" si="6"/>
        <v>4.066220959941802E-6</v>
      </c>
      <c r="P30" s="34">
        <f t="shared" si="6"/>
        <v>7.0340091973264407E-6</v>
      </c>
      <c r="Q30" s="34">
        <f t="shared" si="6"/>
        <v>8.0212735786844291E-6</v>
      </c>
      <c r="R30" s="34">
        <f t="shared" si="6"/>
        <v>7.0348856517910008E-6</v>
      </c>
      <c r="S30" s="34">
        <f t="shared" si="6"/>
        <v>1.1962450829905436E-5</v>
      </c>
      <c r="T30" s="34">
        <f t="shared" si="6"/>
        <v>9.9929774233231683E-6</v>
      </c>
      <c r="U30" s="34">
        <f t="shared" si="6"/>
        <v>1.1962256851738573E-5</v>
      </c>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row>
    <row r="31" spans="1:48" ht="4.9000000000000004" customHeight="1" x14ac:dyDescent="0.2">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row>
    <row r="32" spans="1:48" x14ac:dyDescent="0.2">
      <c r="B32" s="30" t="s">
        <v>89</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row>
    <row r="33" spans="2:49" x14ac:dyDescent="0.2">
      <c r="B33" s="26" t="s">
        <v>60</v>
      </c>
      <c r="C33" s="2">
        <f t="shared" ref="C33:U33" si="7">100*((1+C24/100)*(1+C42/100)-1)</f>
        <v>5.8601126137103998</v>
      </c>
      <c r="D33" s="2">
        <f>100*((1+D24/100)*(1+D42/100)-1)</f>
        <v>2.860079245940339</v>
      </c>
      <c r="E33" s="1">
        <f>100*((1+E24/100)*(1+E42/100)-1)</f>
        <v>2.2007954281148434</v>
      </c>
      <c r="F33" s="1">
        <f t="shared" si="7"/>
        <v>2.5317620463281454</v>
      </c>
      <c r="G33" s="1">
        <f t="shared" si="7"/>
        <v>2.8710031944206182</v>
      </c>
      <c r="H33" s="1">
        <f t="shared" si="7"/>
        <v>2.9120117642938537</v>
      </c>
      <c r="I33" s="1">
        <f t="shared" si="7"/>
        <v>3.3892877794981846</v>
      </c>
      <c r="J33" s="1">
        <f t="shared" si="7"/>
        <v>3.3737884209608993</v>
      </c>
      <c r="K33" s="1">
        <f t="shared" si="7"/>
        <v>3.3557622703251688</v>
      </c>
      <c r="L33" s="1">
        <f t="shared" si="7"/>
        <v>2.8362415853304235</v>
      </c>
      <c r="M33" s="1">
        <f t="shared" si="7"/>
        <v>2.8459890230664753</v>
      </c>
      <c r="N33" s="1">
        <f t="shared" si="7"/>
        <v>2.9514338532799833</v>
      </c>
      <c r="O33" s="1">
        <f t="shared" si="7"/>
        <v>3.1475605951589936</v>
      </c>
      <c r="P33" s="1">
        <f t="shared" si="7"/>
        <v>3.3436335232400083</v>
      </c>
      <c r="Q33" s="1">
        <f t="shared" si="7"/>
        <v>3.5396519222100187</v>
      </c>
      <c r="R33" s="1">
        <f t="shared" si="7"/>
        <v>3.6184693779200305</v>
      </c>
      <c r="S33" s="1">
        <f>100*((1+S24/100)*(1+S42/100)-1)</f>
        <v>3.6972716097499969</v>
      </c>
      <c r="T33" s="1">
        <f t="shared" si="7"/>
        <v>3.7658189563599898</v>
      </c>
      <c r="U33" s="1">
        <f t="shared" si="7"/>
        <v>3.76283844337999</v>
      </c>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row>
    <row r="35" spans="2:49" x14ac:dyDescent="0.2">
      <c r="B35" s="28" t="s">
        <v>138</v>
      </c>
    </row>
    <row r="36" spans="2:49" x14ac:dyDescent="0.2">
      <c r="B36" s="26" t="s">
        <v>63</v>
      </c>
      <c r="C36" s="98">
        <f>'Input data'!C37</f>
        <v>1.422372</v>
      </c>
      <c r="D36" s="98">
        <f>'Input data'!D37</f>
        <v>1.7254640000000001</v>
      </c>
      <c r="E36" s="98">
        <f>'Input data'!E37</f>
        <v>1.8</v>
      </c>
      <c r="F36" s="34">
        <f t="shared" ref="F36:U36" si="8">F101</f>
        <v>1.7990942278989217</v>
      </c>
      <c r="G36" s="34">
        <f t="shared" si="8"/>
        <v>1.9393064891870158</v>
      </c>
      <c r="H36" s="34">
        <f t="shared" si="8"/>
        <v>2.0651772983228507</v>
      </c>
      <c r="I36" s="34">
        <f t="shared" si="8"/>
        <v>2.180776329159134</v>
      </c>
      <c r="J36" s="34">
        <f t="shared" si="8"/>
        <v>2.2924541198341357</v>
      </c>
      <c r="K36" s="34">
        <f t="shared" si="8"/>
        <v>2.4006191944976396</v>
      </c>
      <c r="L36" s="34">
        <f t="shared" si="8"/>
        <v>2.5056322003111475</v>
      </c>
      <c r="M36" s="34">
        <f t="shared" si="8"/>
        <v>2.6113353762557163</v>
      </c>
      <c r="N36" s="34">
        <f t="shared" si="8"/>
        <v>2.7165151216313022</v>
      </c>
      <c r="O36" s="34">
        <f t="shared" si="8"/>
        <v>2.7928728248834673</v>
      </c>
      <c r="P36" s="34">
        <f t="shared" si="8"/>
        <v>2.8633285851629737</v>
      </c>
      <c r="Q36" s="34">
        <f t="shared" si="8"/>
        <v>2.9285150040117558</v>
      </c>
      <c r="R36" s="34">
        <f t="shared" si="8"/>
        <v>2.9883091258861123</v>
      </c>
      <c r="S36" s="34">
        <f t="shared" si="8"/>
        <v>3.043434611864809</v>
      </c>
      <c r="T36" s="34">
        <f t="shared" si="8"/>
        <v>3.0945248541476582</v>
      </c>
      <c r="U36" s="34">
        <f t="shared" si="8"/>
        <v>3.1415413168808737</v>
      </c>
    </row>
    <row r="37" spans="2:49" x14ac:dyDescent="0.2">
      <c r="B37" s="32" t="s">
        <v>91</v>
      </c>
      <c r="C37" s="2">
        <f>'Input data'!C$39</f>
        <v>2.4300000000000002</v>
      </c>
      <c r="D37" s="163">
        <f>'Input data'!D$39</f>
        <v>2.3224999999999998</v>
      </c>
      <c r="E37" s="163">
        <f>'Input data'!E$39</f>
        <v>2.544438</v>
      </c>
      <c r="F37" s="163">
        <f>'Input data'!F$39</f>
        <v>2.698655</v>
      </c>
      <c r="G37" s="1">
        <f>'Baseline NFPC'!G36</f>
        <v>2.7743606249999999</v>
      </c>
      <c r="H37" s="1">
        <f>'Baseline NFPC'!H36</f>
        <v>2.8500662499999998</v>
      </c>
      <c r="I37" s="1">
        <f>'Baseline NFPC'!I36</f>
        <v>2.9257718749999997</v>
      </c>
      <c r="J37" s="1">
        <f>'Baseline NFPC'!J36</f>
        <v>3.0014774999999996</v>
      </c>
      <c r="K37" s="1">
        <f>'Baseline NFPC'!K36</f>
        <v>3.0771831249999995</v>
      </c>
      <c r="L37" s="1">
        <f>'Baseline NFPC'!L36</f>
        <v>3.1528887499999994</v>
      </c>
      <c r="M37" s="1">
        <f>'Baseline NFPC'!M36</f>
        <v>3.2285943749999992</v>
      </c>
      <c r="N37" s="248">
        <f>'Baseline NFPC'!N36</f>
        <v>3.3043</v>
      </c>
      <c r="O37" s="1">
        <f>'Baseline NFPC'!O36</f>
        <v>3.3390849999999999</v>
      </c>
      <c r="P37" s="1">
        <f>'Baseline NFPC'!P36</f>
        <v>3.3738700000000001</v>
      </c>
      <c r="Q37" s="1">
        <f>'Baseline NFPC'!Q36</f>
        <v>3.408655</v>
      </c>
      <c r="R37" s="1">
        <f>'Baseline NFPC'!R36</f>
        <v>3.4434399999999998</v>
      </c>
      <c r="S37" s="1">
        <f>'Baseline NFPC'!S36</f>
        <v>3.4782250000000001</v>
      </c>
      <c r="T37" s="1">
        <f>'Baseline NFPC'!T36</f>
        <v>3.51301</v>
      </c>
      <c r="U37" s="1">
        <f>'Baseline NFPC'!U36</f>
        <v>3.5477949999999998</v>
      </c>
      <c r="V37" s="59"/>
      <c r="W37" s="59"/>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60"/>
    </row>
    <row r="38" spans="2:49" x14ac:dyDescent="0.2">
      <c r="B38" s="32" t="s">
        <v>92</v>
      </c>
      <c r="C38" s="2">
        <f>'Input data'!C$38</f>
        <v>3.43</v>
      </c>
      <c r="D38" s="163">
        <f>'Input data'!D$38</f>
        <v>3.5708329999999999</v>
      </c>
      <c r="E38" s="163">
        <f>'Input data'!E$38</f>
        <v>1.999333</v>
      </c>
      <c r="F38" s="163">
        <f>'Input data'!F$38</f>
        <v>1.7208330000000001</v>
      </c>
      <c r="G38" s="1">
        <f>'Baseline NFPC'!G37</f>
        <v>1.877801375</v>
      </c>
      <c r="H38" s="1">
        <f>'Baseline NFPC'!H37</f>
        <v>2.0347697500000002</v>
      </c>
      <c r="I38" s="1">
        <f>'Baseline NFPC'!I37</f>
        <v>2.1917381250000001</v>
      </c>
      <c r="J38" s="1">
        <f>'Baseline NFPC'!J37</f>
        <v>2.3487065</v>
      </c>
      <c r="K38" s="1">
        <f>'Baseline NFPC'!K37</f>
        <v>2.505674875</v>
      </c>
      <c r="L38" s="1">
        <f>'Baseline NFPC'!L37</f>
        <v>2.6626432499999999</v>
      </c>
      <c r="M38" s="1">
        <f>'Baseline NFPC'!M37</f>
        <v>2.8196116249999998</v>
      </c>
      <c r="N38" s="248">
        <f>'Baseline NFPC'!N37</f>
        <v>2.9765799999999998</v>
      </c>
      <c r="O38" s="1">
        <f>'Baseline NFPC'!O37</f>
        <v>2.9277509999999998</v>
      </c>
      <c r="P38" s="1">
        <f>'Baseline NFPC'!P37</f>
        <v>2.8789219999999998</v>
      </c>
      <c r="Q38" s="1">
        <f>'Baseline NFPC'!Q37</f>
        <v>2.8300929999999997</v>
      </c>
      <c r="R38" s="1">
        <f>'Baseline NFPC'!R37</f>
        <v>2.7812639999999997</v>
      </c>
      <c r="S38" s="1">
        <f>'Baseline NFPC'!S37</f>
        <v>2.7324349999999997</v>
      </c>
      <c r="T38" s="1">
        <f>'Baseline NFPC'!T37</f>
        <v>2.6836059999999997</v>
      </c>
      <c r="U38" s="1">
        <f>'Baseline NFPC'!U37</f>
        <v>2.6347769999999997</v>
      </c>
      <c r="V38" s="59"/>
      <c r="W38" s="59"/>
      <c r="X38" s="59"/>
      <c r="Y38" s="59"/>
      <c r="Z38" s="59"/>
      <c r="AA38" s="59"/>
      <c r="AB38" s="59"/>
      <c r="AC38" s="59"/>
      <c r="AD38" s="59"/>
      <c r="AE38" s="59"/>
      <c r="AF38" s="59"/>
      <c r="AG38" s="59"/>
      <c r="AH38" s="59"/>
      <c r="AI38" s="59"/>
      <c r="AJ38" s="59"/>
      <c r="AK38" s="59"/>
      <c r="AL38" s="59"/>
      <c r="AM38" s="59"/>
      <c r="AN38" s="59"/>
      <c r="AO38" s="59"/>
      <c r="AP38" s="59"/>
      <c r="AQ38" s="59"/>
      <c r="AR38" s="59"/>
      <c r="AS38" s="59"/>
      <c r="AT38" s="59"/>
      <c r="AU38" s="59"/>
      <c r="AV38" s="59"/>
      <c r="AW38" s="60"/>
    </row>
    <row r="39" spans="2:49" s="5" customFormat="1" ht="12.75" x14ac:dyDescent="0.2">
      <c r="B39" s="26" t="s">
        <v>93</v>
      </c>
      <c r="C39" s="34">
        <f>'Baseline NFPC'!C38</f>
        <v>0.12643541</v>
      </c>
      <c r="D39" s="34">
        <f>'Baseline NFPC'!D38</f>
        <v>0.11798594</v>
      </c>
      <c r="E39" s="34">
        <f>'Baseline NFPC'!E38</f>
        <v>0.11258884</v>
      </c>
      <c r="F39" s="34">
        <f>'Baseline NFPC'!F38</f>
        <v>0.11390289111111111</v>
      </c>
      <c r="G39" s="34">
        <f>'Baseline NFPC'!G38</f>
        <v>0.11521694222222222</v>
      </c>
      <c r="H39" s="34">
        <f>'Baseline NFPC'!H38</f>
        <v>0.11653099333333333</v>
      </c>
      <c r="I39" s="34">
        <f>'Baseline NFPC'!I38</f>
        <v>0.11784504444444445</v>
      </c>
      <c r="J39" s="34">
        <f>'Baseline NFPC'!J38</f>
        <v>0.11915909555555555</v>
      </c>
      <c r="K39" s="34">
        <f>'Baseline NFPC'!K38</f>
        <v>0.12047314666666667</v>
      </c>
      <c r="L39" s="34">
        <f>'Baseline NFPC'!L38</f>
        <v>0.12178719777777779</v>
      </c>
      <c r="M39" s="34">
        <f>'Baseline NFPC'!M38</f>
        <v>0.12310124888888889</v>
      </c>
      <c r="N39" s="34">
        <f>'Baseline NFPC'!N38</f>
        <v>0.12441530000000001</v>
      </c>
      <c r="O39" s="34">
        <f>'Baseline NFPC'!O38</f>
        <v>0.12441530000000001</v>
      </c>
      <c r="P39" s="34">
        <f>'Baseline NFPC'!P38</f>
        <v>0.12441530000000001</v>
      </c>
      <c r="Q39" s="34">
        <f>'Baseline NFPC'!Q38</f>
        <v>0.12441530000000001</v>
      </c>
      <c r="R39" s="34">
        <f>'Baseline NFPC'!R38</f>
        <v>0.12441530000000001</v>
      </c>
      <c r="S39" s="34">
        <f>'Baseline NFPC'!S38</f>
        <v>0.12441530000000001</v>
      </c>
      <c r="T39" s="34">
        <f>'Baseline NFPC'!T38</f>
        <v>0.12441530000000001</v>
      </c>
      <c r="U39" s="34">
        <f>'Baseline NFPC'!U38</f>
        <v>0.12441530000000001</v>
      </c>
    </row>
    <row r="40" spans="2:49" x14ac:dyDescent="0.2">
      <c r="C40" s="102"/>
      <c r="D40" s="102"/>
      <c r="E40" s="102"/>
      <c r="F40" s="102"/>
      <c r="G40" s="102"/>
      <c r="H40" s="102"/>
      <c r="I40" s="102"/>
      <c r="J40" s="102"/>
      <c r="K40" s="102"/>
      <c r="L40" s="102"/>
      <c r="M40" s="1"/>
      <c r="N40" s="1"/>
      <c r="O40" s="1"/>
      <c r="P40" s="1"/>
      <c r="Q40" s="1"/>
      <c r="R40" s="1"/>
      <c r="S40" s="1"/>
      <c r="T40" s="1"/>
      <c r="U40" s="1"/>
      <c r="V40" s="59"/>
      <c r="W40" s="59"/>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60"/>
    </row>
    <row r="41" spans="2:49" x14ac:dyDescent="0.2">
      <c r="B41" s="28" t="s">
        <v>94</v>
      </c>
      <c r="C41" s="1"/>
      <c r="D41" s="1"/>
      <c r="E41" s="1"/>
      <c r="F41" s="1"/>
      <c r="G41" s="1"/>
      <c r="H41" s="1"/>
      <c r="I41" s="1"/>
      <c r="J41" s="1"/>
      <c r="K41" s="1"/>
      <c r="L41" s="1"/>
      <c r="M41" s="1"/>
      <c r="N41" s="1"/>
      <c r="O41" s="1"/>
      <c r="P41" s="1"/>
      <c r="Q41" s="1"/>
      <c r="R41" s="1"/>
      <c r="S41" s="1"/>
      <c r="T41" s="1"/>
      <c r="U41" s="1"/>
      <c r="V41" s="59"/>
      <c r="W41" s="59"/>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60"/>
    </row>
    <row r="42" spans="2:49" x14ac:dyDescent="0.2">
      <c r="B42" s="26" t="s">
        <v>139</v>
      </c>
      <c r="C42" s="2">
        <f>'Input data'!C42</f>
        <v>6.1429179999999999</v>
      </c>
      <c r="D42" s="2">
        <f>'Input data'!D42</f>
        <v>3.1060140000000001</v>
      </c>
      <c r="E42" s="2">
        <f>'Input data'!E42</f>
        <v>2.439314</v>
      </c>
      <c r="F42" s="2">
        <f>'Input data'!F42</f>
        <v>2.1658539999999999</v>
      </c>
      <c r="G42" s="1">
        <f>'Baseline NFPC'!G41</f>
        <v>2.1776222499999998</v>
      </c>
      <c r="H42" s="1">
        <f>'Baseline NFPC'!H41</f>
        <v>2.1893905</v>
      </c>
      <c r="I42" s="1">
        <f>'Baseline NFPC'!I41</f>
        <v>2.2011587499999998</v>
      </c>
      <c r="J42" s="1">
        <f>'Baseline NFPC'!J41</f>
        <v>2.2129269999999996</v>
      </c>
      <c r="K42" s="1">
        <f>'Baseline NFPC'!K41</f>
        <v>2.2246952499999999</v>
      </c>
      <c r="L42" s="1">
        <f>'Baseline NFPC'!L41</f>
        <v>2.2364634999999997</v>
      </c>
      <c r="M42" s="1">
        <f>'Baseline NFPC'!M41</f>
        <v>2.24823175</v>
      </c>
      <c r="N42" s="248">
        <f>'Baseline NFPC'!N41</f>
        <v>2.2599999999999998</v>
      </c>
      <c r="O42" s="1">
        <f>'Baseline NFPC'!O41</f>
        <v>2.2469999999999999</v>
      </c>
      <c r="P42" s="1">
        <f>'Baseline NFPC'!P41</f>
        <v>2.234</v>
      </c>
      <c r="Q42" s="1">
        <f>'Baseline NFPC'!Q41</f>
        <v>2.2209999999999996</v>
      </c>
      <c r="R42" s="1">
        <f>'Baseline NFPC'!R41</f>
        <v>2.2079999999999997</v>
      </c>
      <c r="S42" s="1">
        <f>'Baseline NFPC'!S41</f>
        <v>2.1949999999999998</v>
      </c>
      <c r="T42" s="1">
        <f>'Baseline NFPC'!T41</f>
        <v>2.1819999999999999</v>
      </c>
      <c r="U42" s="1">
        <f>'Baseline NFPC'!U41</f>
        <v>2.169</v>
      </c>
      <c r="V42" s="59"/>
      <c r="W42" s="59"/>
      <c r="X42" s="59"/>
      <c r="Y42" s="59"/>
      <c r="Z42" s="59"/>
      <c r="AA42" s="59"/>
      <c r="AB42" s="59"/>
      <c r="AC42" s="59"/>
      <c r="AD42" s="59"/>
      <c r="AE42" s="59"/>
      <c r="AF42" s="59"/>
      <c r="AG42" s="59"/>
      <c r="AH42" s="59"/>
      <c r="AI42" s="59"/>
      <c r="AJ42" s="59"/>
      <c r="AK42" s="59"/>
      <c r="AL42" s="59"/>
      <c r="AM42" s="59"/>
      <c r="AN42" s="59"/>
      <c r="AO42" s="59"/>
      <c r="AP42" s="59"/>
      <c r="AQ42" s="59"/>
      <c r="AR42" s="59"/>
      <c r="AS42" s="59"/>
      <c r="AT42" s="59"/>
      <c r="AU42" s="59"/>
      <c r="AV42" s="59"/>
      <c r="AW42" s="60"/>
    </row>
    <row r="43" spans="2:49" x14ac:dyDescent="0.2">
      <c r="B43" s="26" t="s">
        <v>95</v>
      </c>
      <c r="C43" s="1">
        <f>'Baseline NFPC'!C42</f>
        <v>0.99974450000000004</v>
      </c>
      <c r="D43" s="1">
        <f>'Baseline NFPC'!D42</f>
        <v>0.99998920000000002</v>
      </c>
      <c r="E43" s="1">
        <f>'Baseline NFPC'!E42</f>
        <v>0.99973610000000002</v>
      </c>
      <c r="F43" s="1">
        <f>'Baseline NFPC'!F42</f>
        <v>0.99982409999999999</v>
      </c>
      <c r="G43" s="1">
        <f>'Baseline NFPC'!G42</f>
        <v>1</v>
      </c>
      <c r="H43" s="1">
        <f>'Baseline NFPC'!H42</f>
        <v>1</v>
      </c>
      <c r="I43" s="1">
        <f>'Baseline NFPC'!I42</f>
        <v>1</v>
      </c>
      <c r="J43" s="1">
        <f>'Baseline NFPC'!J42</f>
        <v>1</v>
      </c>
      <c r="K43" s="1">
        <f>'Baseline NFPC'!K42</f>
        <v>1</v>
      </c>
      <c r="L43" s="1">
        <f>'Baseline NFPC'!L42</f>
        <v>1</v>
      </c>
      <c r="M43" s="1">
        <f>'Baseline NFPC'!M42</f>
        <v>1</v>
      </c>
      <c r="N43" s="1">
        <f>'Baseline NFPC'!N42</f>
        <v>1</v>
      </c>
      <c r="O43" s="1">
        <f>'Baseline NFPC'!O42</f>
        <v>1</v>
      </c>
      <c r="P43" s="1">
        <f>'Baseline NFPC'!P42</f>
        <v>1</v>
      </c>
      <c r="Q43" s="1">
        <f>'Baseline NFPC'!Q42</f>
        <v>1</v>
      </c>
      <c r="R43" s="1">
        <f>'Baseline NFPC'!R42</f>
        <v>1</v>
      </c>
      <c r="S43" s="1">
        <f>'Baseline NFPC'!S42</f>
        <v>1</v>
      </c>
      <c r="T43" s="1">
        <f>'Baseline NFPC'!T42</f>
        <v>1</v>
      </c>
      <c r="U43" s="1">
        <f>'Baseline NFPC'!U42</f>
        <v>1</v>
      </c>
      <c r="V43" s="63"/>
      <c r="W43" s="63"/>
      <c r="X43" s="63"/>
      <c r="Y43" s="63"/>
      <c r="Z43" s="63"/>
      <c r="AA43" s="63"/>
      <c r="AB43" s="63"/>
      <c r="AC43" s="63"/>
      <c r="AD43" s="63"/>
      <c r="AE43" s="63"/>
      <c r="AF43" s="63"/>
      <c r="AG43" s="63"/>
      <c r="AH43" s="63"/>
      <c r="AI43" s="63"/>
      <c r="AJ43" s="63"/>
      <c r="AK43" s="63"/>
      <c r="AL43" s="63"/>
      <c r="AM43" s="63"/>
      <c r="AN43" s="63"/>
      <c r="AO43" s="63"/>
      <c r="AP43" s="63"/>
      <c r="AQ43" s="63"/>
      <c r="AR43" s="63"/>
      <c r="AS43" s="63"/>
      <c r="AT43" s="63"/>
      <c r="AU43" s="63"/>
      <c r="AV43" s="63"/>
      <c r="AW43" s="60"/>
    </row>
    <row r="44" spans="2:49" x14ac:dyDescent="0.2">
      <c r="C44" s="1"/>
      <c r="D44" s="1"/>
      <c r="E44" s="1"/>
      <c r="F44" s="1"/>
      <c r="G44" s="1"/>
      <c r="H44" s="1"/>
      <c r="I44" s="1"/>
      <c r="J44" s="1"/>
      <c r="K44" s="1"/>
      <c r="L44" s="1"/>
      <c r="M44" s="1"/>
      <c r="N44" s="1"/>
      <c r="O44" s="1"/>
      <c r="P44" s="1"/>
      <c r="Q44" s="1"/>
      <c r="R44" s="1"/>
      <c r="S44" s="1"/>
      <c r="T44" s="1"/>
      <c r="U44" s="1"/>
    </row>
    <row r="45" spans="2:49" s="67" customFormat="1" ht="12.75" x14ac:dyDescent="0.2">
      <c r="B45" s="74" t="s">
        <v>96</v>
      </c>
    </row>
    <row r="46" spans="2:49" x14ac:dyDescent="0.2">
      <c r="C46" s="36"/>
    </row>
    <row r="47" spans="2:49" x14ac:dyDescent="0.2">
      <c r="B47" s="54" t="s">
        <v>68</v>
      </c>
      <c r="C47" s="55">
        <f>'Input data'!C49</f>
        <v>0.75</v>
      </c>
    </row>
    <row r="48" spans="2:49" x14ac:dyDescent="0.2">
      <c r="B48" s="56" t="s">
        <v>243</v>
      </c>
      <c r="C48" s="57">
        <f>'Input data'!C50</f>
        <v>0.504</v>
      </c>
    </row>
    <row r="49" spans="2:46" x14ac:dyDescent="0.2">
      <c r="C49" s="58"/>
    </row>
    <row r="50" spans="2:46" outlineLevel="1" x14ac:dyDescent="0.2">
      <c r="B50" s="26" t="s">
        <v>97</v>
      </c>
      <c r="C50" s="34">
        <v>0</v>
      </c>
      <c r="D50" s="34">
        <f>IF(AND(ABS((D12-C12)-('Input data'!D13-'Input data'!C13))&gt;0.0001,ABS(D12-C12)&gt;0.0001,D$10&gt;$C$5),4,IF(C50=4,3,IF(C50=3,2,IF(C50=2,1,0))))</f>
        <v>0</v>
      </c>
      <c r="E50" s="34">
        <f>IF(AND(ABS((E12-D12)-('Baseline NFPC'!E12-'Baseline NFPC'!D12))&gt;0.0001,ABS(E12-D12)&gt;0.0001,E$10&gt;$C$5),4,IF(D50=4,3,IF(D50=3,2,IF(D50=2,1,0))))</f>
        <v>4</v>
      </c>
      <c r="F50" s="34">
        <f>IF(AND(ABS((F12-E12)-('Baseline NFPC'!F12-'Baseline NFPC'!E12))&gt;0.0001,ABS(F12-E12)&gt;0.0001,F$10&gt;$C$5),4,IF(E50=4,3,IF(E50=3,2,IF(E50=2,1,0))))</f>
        <v>4</v>
      </c>
      <c r="G50" s="34">
        <f>IF(AND(ABS((G12-F12)-('Baseline NFPC'!G12-'Baseline NFPC'!F12))&gt;0.0001,ABS(G12-F12)&gt;0.0001,G$10&gt;$C$5),4,IF(F50=4,3,IF(F50=3,2,IF(F50=2,1,0))))</f>
        <v>4</v>
      </c>
      <c r="H50" s="34">
        <f>IF(AND(ABS((H12-G12)-('Baseline NFPC'!H12-'Baseline NFPC'!G12))&gt;0.0001,ABS(H12-G12)&gt;0.0001,H$10&gt;$C$5),4,IF(G50=4,3,IF(G50=3,2,IF(G50=2,1,0))))</f>
        <v>4</v>
      </c>
      <c r="I50" s="34">
        <f>IF(AND(ABS((I12-H12)-('Baseline NFPC'!I12-'Baseline NFPC'!H12))&gt;0.0001,ABS(I12-H12)&gt;0.0001,I$10&gt;$C$5),4,IF(H50=4,3,IF(H50=3,2,IF(H50=2,1,0))))</f>
        <v>3</v>
      </c>
      <c r="J50" s="34">
        <f>IF(AND(ABS((J12-I12)-('Baseline NFPC'!J12-'Baseline NFPC'!I12))&gt;0.0001,ABS(J12-I12)&gt;0.0001,J$10&gt;$C$5),4,IF(I50=4,3,IF(I50=3,2,IF(I50=2,1,0))))</f>
        <v>2</v>
      </c>
      <c r="K50" s="34">
        <f>IF(AND(ABS((K12-J12)-('Baseline NFPC'!K12-'Baseline NFPC'!J12))&gt;0.0001,ABS(K12-J12)&gt;0.0001,K$10&gt;$C$5),4,IF(J50=4,3,IF(J50=3,2,IF(J50=2,1,0))))</f>
        <v>1</v>
      </c>
      <c r="L50" s="34">
        <f>IF(AND(ABS((L12-K12)-('Baseline NFPC'!L12-'Baseline NFPC'!K12))&gt;0.0001,ABS(L12-K12)&gt;0.0001,L$10&gt;$C$5),4,IF(K50=4,3,IF(K50=3,2,IF(K50=2,1,0))))</f>
        <v>0</v>
      </c>
      <c r="M50" s="34">
        <f>IF(AND(ABS((M12-L12)-('Baseline NFPC'!M12-'Baseline NFPC'!L12))&gt;0.0001,ABS(M12-L12)&gt;0.0001,M$10&gt;$C$5),4,IF(L50=4,3,IF(L50=3,2,IF(L50=2,1,0))))</f>
        <v>0</v>
      </c>
      <c r="N50" s="34">
        <f>IF(AND(ABS((N12-M12)-('Baseline NFPC'!N12-'Baseline NFPC'!M12))&gt;0.0001,ABS(N12-M12)&gt;0.0001,N$10&gt;$C$5),4,IF(M50=4,3,IF(M50=3,2,IF(M50=2,1,0))))</f>
        <v>0</v>
      </c>
      <c r="O50" s="34">
        <f>IF(AND(ABS((O12-N12)-('Baseline NFPC'!O12-'Baseline NFPC'!N12))&gt;0.0001,ABS(O12-N12)&gt;0.0001,O$10&gt;$C$5),4,IF(N50=4,3,IF(N50=3,2,IF(N50=2,1,0))))</f>
        <v>0</v>
      </c>
      <c r="P50" s="34">
        <f>IF(AND(ABS((P12-O12)-('Baseline NFPC'!P12-'Baseline NFPC'!O12))&gt;0.0001,ABS(P12-O12)&gt;0.0001,P$10&gt;$C$5),4,IF(O50=4,3,IF(O50=3,2,IF(O50=2,1,0))))</f>
        <v>0</v>
      </c>
      <c r="Q50" s="34">
        <f>IF(AND(ABS((Q12-P12)-('Baseline NFPC'!Q12-'Baseline NFPC'!P12))&gt;0.0001,ABS(Q12-P12)&gt;0.0001,Q$10&gt;$C$5),4,IF(P50=4,3,IF(P50=3,2,IF(P50=2,1,0))))</f>
        <v>0</v>
      </c>
      <c r="R50" s="34">
        <f>IF(AND(ABS((R12-Q12)-('Baseline NFPC'!R12-'Baseline NFPC'!Q12))&gt;0.0001,ABS(R12-Q12)&gt;0.0001,R$10&gt;$C$5),4,IF(Q50=4,3,IF(Q50=3,2,IF(Q50=2,1,0))))</f>
        <v>0</v>
      </c>
      <c r="S50" s="34">
        <f>IF(AND(ABS((S12-R12)-('Baseline NFPC'!S12-'Baseline NFPC'!R12))&gt;0.0001,ABS(S12-R12)&gt;0.0001,S$10&gt;$C$5),4,IF(R50=4,3,IF(R50=3,2,IF(R50=2,1,0))))</f>
        <v>0</v>
      </c>
      <c r="T50" s="34">
        <f>IF(AND(ABS((T12-S12)-('Baseline NFPC'!T12-'Baseline NFPC'!S12))&gt;0.0001,ABS(T12-S12)&gt;0.0001,T$10&gt;$C$5),4,IF(S50=4,3,IF(S50=3,2,IF(S50=2,1,0))))</f>
        <v>0</v>
      </c>
      <c r="U50" s="34">
        <f>IF(AND(ABS((U12-T12)-('Baseline NFPC'!U12-'Baseline NFPC'!T12))&gt;0.0001,ABS(U12-T12)&gt;0.0001,U$10&gt;$C$5),4,IF(T50=4,3,IF(T50=3,2,IF(T50=2,1,0))))</f>
        <v>0</v>
      </c>
      <c r="V50" s="34"/>
      <c r="W50" s="34"/>
      <c r="X50" s="34"/>
      <c r="Y50" s="34"/>
      <c r="Z50" s="34"/>
      <c r="AA50" s="34"/>
      <c r="AB50" s="34"/>
      <c r="AC50" s="34"/>
      <c r="AD50" s="34"/>
      <c r="AE50" s="34"/>
      <c r="AF50" s="34"/>
      <c r="AG50" s="34"/>
      <c r="AH50" s="34"/>
      <c r="AI50" s="34"/>
      <c r="AJ50" s="34"/>
      <c r="AK50" s="34"/>
      <c r="AL50" s="34"/>
      <c r="AM50" s="34"/>
      <c r="AN50" s="34"/>
      <c r="AO50" s="34"/>
      <c r="AP50" s="34"/>
      <c r="AQ50" s="34"/>
      <c r="AR50" s="34"/>
      <c r="AS50" s="34"/>
      <c r="AT50" s="34"/>
    </row>
    <row r="51" spans="2:46" outlineLevel="1" x14ac:dyDescent="0.2">
      <c r="B51" s="26" t="s">
        <v>98</v>
      </c>
      <c r="C51" s="34">
        <v>0</v>
      </c>
      <c r="D51" s="34">
        <f>IF(C50=4,2/3*(C30-'Baseline NFPC'!C29),IF(C50=3,1/3*(#REF!-'Baseline NFPC'!#REF!),0))</f>
        <v>0</v>
      </c>
      <c r="E51" s="34">
        <f>IF(D50=4,2/3*(D30-'Baseline NFPC'!D29),IF(D50=3,1/3*(C30-'Baseline NFPC'!C29),0))</f>
        <v>0</v>
      </c>
      <c r="F51" s="34">
        <f>IF(E50=4,2/3*(E30-'Baseline NFPC'!E29),IF(E50=3,1/3*(D30-'Baseline NFPC'!D29),0))</f>
        <v>-0.26560052345489338</v>
      </c>
      <c r="G51" s="34">
        <f t="shared" ref="G51:U51" si="9">IF(F50=4,2/3*F30,IF(F50=3,1/3*E30,0))</f>
        <v>-1.23227866723045</v>
      </c>
      <c r="H51" s="34">
        <f t="shared" si="9"/>
        <v>-1.0853332596811351</v>
      </c>
      <c r="I51" s="34">
        <f t="shared" si="9"/>
        <v>-0.98768759014370056</v>
      </c>
      <c r="J51" s="34">
        <f t="shared" si="9"/>
        <v>-0.49384379507185028</v>
      </c>
      <c r="K51" s="34">
        <f t="shared" si="9"/>
        <v>0</v>
      </c>
      <c r="L51" s="34">
        <f t="shared" si="9"/>
        <v>0</v>
      </c>
      <c r="M51" s="34">
        <f t="shared" si="9"/>
        <v>0</v>
      </c>
      <c r="N51" s="34">
        <f t="shared" si="9"/>
        <v>0</v>
      </c>
      <c r="O51" s="34">
        <f t="shared" si="9"/>
        <v>0</v>
      </c>
      <c r="P51" s="34">
        <f t="shared" si="9"/>
        <v>0</v>
      </c>
      <c r="Q51" s="34">
        <f t="shared" si="9"/>
        <v>0</v>
      </c>
      <c r="R51" s="34">
        <f t="shared" si="9"/>
        <v>0</v>
      </c>
      <c r="S51" s="34">
        <f t="shared" si="9"/>
        <v>0</v>
      </c>
      <c r="T51" s="34">
        <f t="shared" si="9"/>
        <v>0</v>
      </c>
      <c r="U51" s="34">
        <f t="shared" si="9"/>
        <v>0</v>
      </c>
      <c r="V51" s="34"/>
      <c r="W51" s="34"/>
      <c r="X51" s="34"/>
      <c r="Y51" s="34"/>
      <c r="Z51" s="34"/>
      <c r="AA51" s="34"/>
      <c r="AB51" s="34"/>
      <c r="AC51" s="34"/>
      <c r="AD51" s="34"/>
      <c r="AE51" s="34"/>
      <c r="AF51" s="34"/>
      <c r="AG51" s="34"/>
      <c r="AH51" s="34"/>
      <c r="AI51" s="34"/>
      <c r="AJ51" s="34"/>
      <c r="AK51" s="34"/>
      <c r="AL51" s="34"/>
      <c r="AM51" s="34"/>
      <c r="AN51" s="34"/>
      <c r="AO51" s="34"/>
      <c r="AP51" s="34"/>
      <c r="AQ51" s="34"/>
      <c r="AR51" s="34"/>
      <c r="AS51" s="34"/>
      <c r="AT51" s="34"/>
    </row>
    <row r="52" spans="2:46" outlineLevel="1" x14ac:dyDescent="0.2">
      <c r="B52" s="26" t="s">
        <v>99</v>
      </c>
      <c r="C52" s="34">
        <v>0</v>
      </c>
      <c r="D52" s="34">
        <f>'Input data'!D30-$C$47*((D12-C12)-('Input data'!D13-'Input data'!C13))</f>
        <v>-0.23852609999999999</v>
      </c>
      <c r="E52" s="34">
        <f>'Input data'!E30-$C$47*(E12-D12)</f>
        <v>-0.23283890000000002</v>
      </c>
      <c r="F52" s="34">
        <f>'Input data'!F30-$C$47*(F12-E12)</f>
        <v>0.22123519999999997</v>
      </c>
      <c r="G52" s="34">
        <f>'Input data'!G30-$C$47*(G12-F12)</f>
        <v>0.45016650000000002</v>
      </c>
      <c r="H52" s="34">
        <f>'Input data'!H30-$C$47*(H12-G12)</f>
        <v>0.55335909999999999</v>
      </c>
      <c r="I52" s="34">
        <f>'Input data'!I30-$C$47*(I12-H12)</f>
        <v>1.057734</v>
      </c>
      <c r="J52" s="34">
        <f>'Input data'!J30-$C$47*(J12-I12)</f>
        <v>0.63380049999999999</v>
      </c>
      <c r="K52" s="34">
        <f>'Input data'!K30-$C$47*(K12-J12)</f>
        <v>0.60714469999999998</v>
      </c>
      <c r="L52" s="34">
        <f>'Input data'!L30-$C$47*(L12-K12)</f>
        <v>0.58665769999999995</v>
      </c>
      <c r="M52" s="34">
        <f>'Input data'!M30-$C$47*(M12-L12)</f>
        <v>0.58461379999999996</v>
      </c>
      <c r="N52" s="34">
        <f>'Input data'!N30-$C$47*(N12-M12)</f>
        <v>0.6761528</v>
      </c>
      <c r="O52" s="34">
        <f>'Input data'!O30-$C$47*(O12-N12)</f>
        <v>0.88076969999999999</v>
      </c>
      <c r="P52" s="34">
        <f>'Input data'!P30-$C$47*(P12-O12)</f>
        <v>1.085386</v>
      </c>
      <c r="Q52" s="34">
        <f>'Input data'!Q30-$C$47*(Q12-P12)</f>
        <v>1.290001</v>
      </c>
      <c r="R52" s="34">
        <f>'Input data'!R30-$C$47*(R12-Q12)</f>
        <v>1.379999</v>
      </c>
      <c r="S52" s="34">
        <f>'Input data'!S30-$C$47*(S12-R12)</f>
        <v>1.470005</v>
      </c>
      <c r="T52" s="34">
        <f>'Input data'!T30-$C$47*(T12-S12)</f>
        <v>1.549998</v>
      </c>
      <c r="U52" s="34">
        <f>'Input data'!U30-$C$47*(U12-T12)</f>
        <v>1.5600020000000001</v>
      </c>
      <c r="V52" s="34"/>
      <c r="W52" s="34"/>
      <c r="X52" s="34"/>
      <c r="Y52" s="34"/>
      <c r="Z52" s="34"/>
      <c r="AA52" s="34"/>
      <c r="AB52" s="34"/>
      <c r="AC52" s="34"/>
      <c r="AD52" s="34"/>
      <c r="AE52" s="34"/>
      <c r="AF52" s="34"/>
      <c r="AG52" s="34"/>
      <c r="AH52" s="34"/>
      <c r="AI52" s="34"/>
      <c r="AJ52" s="34"/>
      <c r="AK52" s="34"/>
      <c r="AL52" s="34"/>
      <c r="AM52" s="34"/>
      <c r="AN52" s="34"/>
      <c r="AO52" s="34"/>
      <c r="AP52" s="34"/>
      <c r="AQ52" s="34"/>
      <c r="AR52" s="34"/>
      <c r="AS52" s="34"/>
      <c r="AT52" s="34"/>
    </row>
    <row r="54" spans="2:46" s="67" customFormat="1" ht="12.75" outlineLevel="1" x14ac:dyDescent="0.2">
      <c r="B54" s="71" t="s">
        <v>100</v>
      </c>
      <c r="C54" s="69"/>
      <c r="D54" s="68"/>
    </row>
    <row r="55" spans="2:46" outlineLevel="1" x14ac:dyDescent="0.2">
      <c r="B55" s="43"/>
      <c r="C55" s="44"/>
      <c r="D55" s="29"/>
    </row>
    <row r="56" spans="2:46" outlineLevel="1" x14ac:dyDescent="0.2">
      <c r="B56" s="83"/>
      <c r="C56" s="84">
        <f>'Input data'!$C$5-1</f>
        <v>2023</v>
      </c>
      <c r="D56" s="84">
        <f>C56+1</f>
        <v>2024</v>
      </c>
      <c r="E56" s="84">
        <f t="shared" ref="E56:U56" si="10">D56+1</f>
        <v>2025</v>
      </c>
      <c r="F56" s="84">
        <f t="shared" si="10"/>
        <v>2026</v>
      </c>
      <c r="G56" s="84">
        <f t="shared" si="10"/>
        <v>2027</v>
      </c>
      <c r="H56" s="84">
        <f t="shared" si="10"/>
        <v>2028</v>
      </c>
      <c r="I56" s="84">
        <f t="shared" si="10"/>
        <v>2029</v>
      </c>
      <c r="J56" s="84">
        <f t="shared" si="10"/>
        <v>2030</v>
      </c>
      <c r="K56" s="84">
        <f t="shared" si="10"/>
        <v>2031</v>
      </c>
      <c r="L56" s="84">
        <f t="shared" si="10"/>
        <v>2032</v>
      </c>
      <c r="M56" s="84">
        <f t="shared" si="10"/>
        <v>2033</v>
      </c>
      <c r="N56" s="84">
        <f t="shared" si="10"/>
        <v>2034</v>
      </c>
      <c r="O56" s="84">
        <f t="shared" si="10"/>
        <v>2035</v>
      </c>
      <c r="P56" s="84">
        <f t="shared" si="10"/>
        <v>2036</v>
      </c>
      <c r="Q56" s="84">
        <f t="shared" si="10"/>
        <v>2037</v>
      </c>
      <c r="R56" s="84">
        <f t="shared" si="10"/>
        <v>2038</v>
      </c>
      <c r="S56" s="84">
        <f t="shared" si="10"/>
        <v>2039</v>
      </c>
      <c r="T56" s="84">
        <f t="shared" si="10"/>
        <v>2040</v>
      </c>
      <c r="U56" s="84">
        <f t="shared" si="10"/>
        <v>2041</v>
      </c>
    </row>
    <row r="57" spans="2:46" ht="10.5" customHeight="1" outlineLevel="1" x14ac:dyDescent="0.2">
      <c r="B57" s="85" t="s">
        <v>101</v>
      </c>
      <c r="C57" s="45">
        <f>+'Input data'!C12</f>
        <v>62.885489999999997</v>
      </c>
      <c r="D57" s="45">
        <f>+C57+D58</f>
        <v>62.455679115154567</v>
      </c>
      <c r="E57" s="45">
        <f>+D57+E58</f>
        <v>63.692130003522081</v>
      </c>
      <c r="F57" s="45">
        <f t="shared" ref="F57:Q57" si="11">+E57+F58</f>
        <v>64.202561464572838</v>
      </c>
      <c r="G57" s="45">
        <f t="shared" si="11"/>
        <v>63.836881536064524</v>
      </c>
      <c r="H57" s="45">
        <f t="shared" si="11"/>
        <v>62.913564321630858</v>
      </c>
      <c r="I57" s="45">
        <f t="shared" si="11"/>
        <v>61.635909824928312</v>
      </c>
      <c r="J57" s="45">
        <f t="shared" si="11"/>
        <v>60.304670063414193</v>
      </c>
      <c r="K57" s="45">
        <f t="shared" si="11"/>
        <v>58.91663375828481</v>
      </c>
      <c r="L57" s="45">
        <f t="shared" si="11"/>
        <v>58.10113736297572</v>
      </c>
      <c r="M57" s="45">
        <f t="shared" si="11"/>
        <v>57.447146224328243</v>
      </c>
      <c r="N57" s="45">
        <f t="shared" si="11"/>
        <v>56.799289509973164</v>
      </c>
      <c r="O57" s="45">
        <f t="shared" si="11"/>
        <v>56.191861208044116</v>
      </c>
      <c r="P57" s="45">
        <f t="shared" si="11"/>
        <v>55.623240913679027</v>
      </c>
      <c r="Q57" s="45">
        <f t="shared" si="11"/>
        <v>54.992124148833753</v>
      </c>
      <c r="R57" s="45">
        <f>+Q57+R58</f>
        <v>54.359540995818683</v>
      </c>
      <c r="S57" s="45">
        <f>+R57+S58</f>
        <v>53.723299088267922</v>
      </c>
      <c r="T57" s="45">
        <f t="shared" ref="T57:U57" si="12">+S57+T58</f>
        <v>52.98691243468199</v>
      </c>
      <c r="U57" s="45">
        <f t="shared" si="12"/>
        <v>52.285467119324466</v>
      </c>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c r="AT57" s="38"/>
    </row>
    <row r="58" spans="2:46" outlineLevel="1" x14ac:dyDescent="0.2">
      <c r="B58" s="86" t="s">
        <v>102</v>
      </c>
      <c r="C58" s="47"/>
      <c r="D58" s="47">
        <f>-D59+D67+D72</f>
        <v>-0.42981088484543095</v>
      </c>
      <c r="E58" s="47">
        <f>-E59+E67+E72</f>
        <v>1.2364508883675145</v>
      </c>
      <c r="F58" s="47">
        <f t="shared" ref="F58:Q58" si="13">-F59+F67+F72</f>
        <v>0.51043146105075754</v>
      </c>
      <c r="G58" s="47">
        <f t="shared" si="13"/>
        <v>-0.36567992850831132</v>
      </c>
      <c r="H58" s="47">
        <f t="shared" si="13"/>
        <v>-0.92331721443366432</v>
      </c>
      <c r="I58" s="47">
        <f t="shared" si="13"/>
        <v>-1.2776544967025489</v>
      </c>
      <c r="J58" s="47">
        <f t="shared" si="13"/>
        <v>-1.3312397615141196</v>
      </c>
      <c r="K58" s="47">
        <f t="shared" si="13"/>
        <v>-1.3880363051293798</v>
      </c>
      <c r="L58" s="47">
        <f t="shared" si="13"/>
        <v>-0.81549639530908957</v>
      </c>
      <c r="M58" s="47">
        <f t="shared" si="13"/>
        <v>-0.65399113864747482</v>
      </c>
      <c r="N58" s="47">
        <f t="shared" si="13"/>
        <v>-0.64785671435507575</v>
      </c>
      <c r="O58" s="47">
        <f t="shared" si="13"/>
        <v>-0.60742830192905095</v>
      </c>
      <c r="P58" s="47">
        <f t="shared" si="13"/>
        <v>-0.5686202943650901</v>
      </c>
      <c r="Q58" s="47">
        <f t="shared" si="13"/>
        <v>-0.63111676484527723</v>
      </c>
      <c r="R58" s="47">
        <f>-R59+R67+R72</f>
        <v>-0.63258315301507151</v>
      </c>
      <c r="S58" s="47">
        <f t="shared" ref="S58:U58" si="14">-S59+S67+S72</f>
        <v>-0.63624190755076515</v>
      </c>
      <c r="T58" s="47">
        <f t="shared" si="14"/>
        <v>-0.73638665358593103</v>
      </c>
      <c r="U58" s="47">
        <f t="shared" si="14"/>
        <v>-0.70144531535752563</v>
      </c>
    </row>
    <row r="59" spans="2:46" outlineLevel="1" x14ac:dyDescent="0.2">
      <c r="B59" s="82" t="s">
        <v>103</v>
      </c>
      <c r="C59" s="48"/>
      <c r="D59" s="48">
        <f t="shared" ref="D59:P59" si="15">D60+D61-D62-D63-D64-D65-D66</f>
        <v>-1.7039832151545689</v>
      </c>
      <c r="E59" s="48">
        <f t="shared" si="15"/>
        <v>-1.4119612713664818</v>
      </c>
      <c r="F59" s="48">
        <f t="shared" si="15"/>
        <v>-0.86688967242622028</v>
      </c>
      <c r="G59" s="48">
        <f t="shared" si="15"/>
        <v>-0.2157989443189382</v>
      </c>
      <c r="H59" s="48">
        <f t="shared" si="15"/>
        <v>0.39802118185136237</v>
      </c>
      <c r="I59" s="48">
        <f t="shared" si="15"/>
        <v>0.54226145456757524</v>
      </c>
      <c r="J59" s="48">
        <f t="shared" si="15"/>
        <v>0.68650162728379016</v>
      </c>
      <c r="K59" s="48">
        <f t="shared" si="15"/>
        <v>0.83074189999999937</v>
      </c>
      <c r="L59" s="48">
        <f t="shared" si="15"/>
        <v>0.62608464946975551</v>
      </c>
      <c r="M59" s="48">
        <f t="shared" si="15"/>
        <v>0.52142744904148497</v>
      </c>
      <c r="N59" s="48">
        <f t="shared" si="15"/>
        <v>0.51677150045617015</v>
      </c>
      <c r="O59" s="48">
        <f t="shared" si="15"/>
        <v>0.41211574937536466</v>
      </c>
      <c r="P59" s="48">
        <f t="shared" si="15"/>
        <v>0.30746024514063841</v>
      </c>
      <c r="Q59" s="48">
        <f>Q60+Q61-Q62-Q63-Q64-Q65-Q66</f>
        <v>0.30280374272188659</v>
      </c>
      <c r="R59" s="48">
        <f>R60+R61-R62-R63-R64-R65-R66</f>
        <v>0.29814614558237151</v>
      </c>
      <c r="S59" s="48">
        <f>S60+S61-S62-S63-S64-S65-S66</f>
        <v>0.29349152907521758</v>
      </c>
      <c r="T59" s="48">
        <f t="shared" ref="T59:U59" si="16">T60+T61-T62-T63-T64-T65-T66</f>
        <v>0.38883353646061869</v>
      </c>
      <c r="U59" s="48">
        <f t="shared" si="16"/>
        <v>0.38417742897745044</v>
      </c>
    </row>
    <row r="60" spans="2:46" outlineLevel="1" x14ac:dyDescent="0.2">
      <c r="B60" s="77" t="s">
        <v>104</v>
      </c>
      <c r="C60" s="1"/>
      <c r="D60" s="1">
        <f>D12</f>
        <v>-1.0152870000000001</v>
      </c>
      <c r="E60" s="1">
        <f t="shared" ref="E60:U60" si="17">IF(E12="",D60,E12)</f>
        <v>-0.47528700000000002</v>
      </c>
      <c r="F60" s="1">
        <f t="shared" si="17"/>
        <v>6.4713000000000021E-2</v>
      </c>
      <c r="G60" s="1">
        <f t="shared" si="17"/>
        <v>0.60471300000000006</v>
      </c>
      <c r="H60" s="1">
        <f t="shared" si="17"/>
        <v>1.1447130000000001</v>
      </c>
      <c r="I60" s="1">
        <f t="shared" si="17"/>
        <v>1.1447130000000001</v>
      </c>
      <c r="J60" s="1">
        <f t="shared" si="17"/>
        <v>1.1447130000000001</v>
      </c>
      <c r="K60" s="1">
        <f t="shared" si="17"/>
        <v>1.1447130000000001</v>
      </c>
      <c r="L60" s="1">
        <f t="shared" si="17"/>
        <v>1.1447130000000001</v>
      </c>
      <c r="M60" s="1">
        <f t="shared" si="17"/>
        <v>1.1447130000000001</v>
      </c>
      <c r="N60" s="1">
        <f t="shared" si="17"/>
        <v>1.1447130000000001</v>
      </c>
      <c r="O60" s="1">
        <f t="shared" si="17"/>
        <v>1.1447130000000001</v>
      </c>
      <c r="P60" s="1">
        <f t="shared" si="17"/>
        <v>1.1447130000000001</v>
      </c>
      <c r="Q60" s="1">
        <f t="shared" si="17"/>
        <v>1.1447130000000001</v>
      </c>
      <c r="R60" s="1">
        <f t="shared" si="17"/>
        <v>1.1447130000000001</v>
      </c>
      <c r="S60" s="1">
        <f t="shared" si="17"/>
        <v>1.1447130000000001</v>
      </c>
      <c r="T60" s="1">
        <f t="shared" si="17"/>
        <v>1.1447130000000001</v>
      </c>
      <c r="U60" s="1">
        <f t="shared" si="17"/>
        <v>1.1447130000000001</v>
      </c>
    </row>
    <row r="61" spans="2:46" outlineLevel="1" x14ac:dyDescent="0.2">
      <c r="B61" s="77" t="s">
        <v>105</v>
      </c>
      <c r="C61" s="1"/>
      <c r="D61" s="1">
        <v>0</v>
      </c>
      <c r="E61" s="1">
        <v>0</v>
      </c>
      <c r="F61" s="1">
        <v>0</v>
      </c>
      <c r="G61" s="1">
        <v>0</v>
      </c>
      <c r="H61" s="1">
        <v>0</v>
      </c>
      <c r="I61" s="1">
        <v>0</v>
      </c>
      <c r="J61" s="1">
        <v>0</v>
      </c>
      <c r="K61" s="1">
        <v>0</v>
      </c>
      <c r="L61" s="1">
        <v>0</v>
      </c>
      <c r="M61" s="1">
        <v>0</v>
      </c>
      <c r="N61" s="1">
        <v>0</v>
      </c>
      <c r="O61" s="1">
        <v>0</v>
      </c>
      <c r="P61" s="1">
        <v>0</v>
      </c>
      <c r="Q61" s="1">
        <v>0</v>
      </c>
      <c r="R61" s="1">
        <v>0</v>
      </c>
      <c r="S61" s="1">
        <v>0</v>
      </c>
      <c r="T61" s="1">
        <v>0</v>
      </c>
      <c r="U61" s="1">
        <v>0</v>
      </c>
    </row>
    <row r="62" spans="2:46" outlineLevel="1" x14ac:dyDescent="0.2">
      <c r="B62" s="77" t="s">
        <v>106</v>
      </c>
      <c r="C62" s="1"/>
      <c r="D62" s="1">
        <f t="shared" ref="D62:U62" si="18">-$C$48*D30</f>
        <v>0.6886962151545688</v>
      </c>
      <c r="E62" s="1">
        <f t="shared" si="18"/>
        <v>0.93667427136648174</v>
      </c>
      <c r="F62" s="1">
        <f t="shared" si="18"/>
        <v>0.9316026724262203</v>
      </c>
      <c r="G62" s="1">
        <f t="shared" si="18"/>
        <v>0.82051194431893826</v>
      </c>
      <c r="H62" s="1">
        <f t="shared" si="18"/>
        <v>0.74669181814863772</v>
      </c>
      <c r="I62" s="1">
        <f t="shared" si="18"/>
        <v>0.49779454543242696</v>
      </c>
      <c r="J62" s="1">
        <f t="shared" si="18"/>
        <v>0.2488972727162107</v>
      </c>
      <c r="K62" s="1">
        <f t="shared" si="18"/>
        <v>0</v>
      </c>
      <c r="L62" s="1">
        <f t="shared" si="18"/>
        <v>2.5053024454990691E-7</v>
      </c>
      <c r="M62" s="1">
        <f t="shared" si="18"/>
        <v>4.5095851373133657E-7</v>
      </c>
      <c r="N62" s="1">
        <f t="shared" si="18"/>
        <v>-7.0045617146519139E-7</v>
      </c>
      <c r="O62" s="1">
        <f t="shared" si="18"/>
        <v>-2.049375363810668E-6</v>
      </c>
      <c r="P62" s="1">
        <f t="shared" si="18"/>
        <v>-3.5451406354525259E-6</v>
      </c>
      <c r="Q62" s="1">
        <f t="shared" si="18"/>
        <v>-4.0427218836569521E-6</v>
      </c>
      <c r="R62" s="1">
        <f t="shared" si="18"/>
        <v>-3.5455823685026645E-6</v>
      </c>
      <c r="S62" s="1">
        <f t="shared" si="18"/>
        <v>-6.0290752182723398E-6</v>
      </c>
      <c r="T62" s="1">
        <f t="shared" si="18"/>
        <v>-5.0364606213548765E-6</v>
      </c>
      <c r="U62" s="1">
        <f t="shared" si="18"/>
        <v>-6.0289774532762408E-6</v>
      </c>
    </row>
    <row r="63" spans="2:46" outlineLevel="1" x14ac:dyDescent="0.2">
      <c r="B63" s="77" t="s">
        <v>107</v>
      </c>
      <c r="C63" s="1"/>
      <c r="D63" s="1">
        <f t="shared" ref="D63:U63" si="19">-D14</f>
        <v>0</v>
      </c>
      <c r="E63" s="1">
        <f t="shared" si="19"/>
        <v>0</v>
      </c>
      <c r="F63" s="1">
        <f t="shared" si="19"/>
        <v>0</v>
      </c>
      <c r="G63" s="1">
        <f t="shared" si="19"/>
        <v>0</v>
      </c>
      <c r="H63" s="1">
        <f t="shared" si="19"/>
        <v>0</v>
      </c>
      <c r="I63" s="1">
        <f t="shared" si="19"/>
        <v>0</v>
      </c>
      <c r="J63" s="1">
        <f t="shared" si="19"/>
        <v>0</v>
      </c>
      <c r="K63" s="1">
        <f t="shared" si="19"/>
        <v>0</v>
      </c>
      <c r="L63" s="1">
        <f t="shared" si="19"/>
        <v>0</v>
      </c>
      <c r="M63" s="1">
        <f t="shared" si="19"/>
        <v>0</v>
      </c>
      <c r="N63" s="1">
        <f t="shared" si="19"/>
        <v>0</v>
      </c>
      <c r="O63" s="1">
        <f t="shared" si="19"/>
        <v>0</v>
      </c>
      <c r="P63" s="1">
        <f t="shared" si="19"/>
        <v>0</v>
      </c>
      <c r="Q63" s="1">
        <f t="shared" si="19"/>
        <v>0</v>
      </c>
      <c r="R63" s="1">
        <f t="shared" si="19"/>
        <v>0</v>
      </c>
      <c r="S63" s="1">
        <f t="shared" si="19"/>
        <v>0</v>
      </c>
      <c r="T63" s="1">
        <f t="shared" si="19"/>
        <v>0</v>
      </c>
      <c r="U63" s="1">
        <f t="shared" si="19"/>
        <v>0</v>
      </c>
    </row>
    <row r="64" spans="2:46" outlineLevel="1" x14ac:dyDescent="0.2">
      <c r="B64" s="77" t="s">
        <v>108</v>
      </c>
      <c r="C64" s="1"/>
      <c r="D64" s="1">
        <f>IF(D$56&lt;=$C$6,0,HLOOKUP(D$56,'Input data'!$C$9:$AZ$26,12,FALSE)-HLOOKUP($C$6,'Input data'!$C$9:$AZ$26,12,FALSE))</f>
        <v>0</v>
      </c>
      <c r="E64" s="1">
        <f>IF(E$56&lt;=$C$6,0,HLOOKUP(E$56,'Input data'!$C$9:$AZ$26,12,FALSE)-HLOOKUP($C$6,'Input data'!$C$9:$AZ$26,12,FALSE))</f>
        <v>0</v>
      </c>
      <c r="F64" s="1">
        <f>IF(F$56&lt;=$C$6,0,HLOOKUP(F$56,'Input data'!$C$9:$AZ$26,12,FALSE)-HLOOKUP($C$6,'Input data'!$C$9:$AZ$26,12,FALSE))</f>
        <v>0</v>
      </c>
      <c r="G64" s="1">
        <f>IF(G$56&lt;=$C$6,0,HLOOKUP(G$56,'Input data'!$C$9:$AZ$26,12,FALSE)-HLOOKUP($C$6,'Input data'!$C$9:$AZ$26,12,FALSE))</f>
        <v>0</v>
      </c>
      <c r="H64" s="1">
        <f>IF(H$56&lt;=$C$6,0,HLOOKUP(H$56,'Input data'!$C$9:$AZ$26,12,FALSE)-HLOOKUP($C$6,'Input data'!$C$9:$AZ$26,12,FALSE))</f>
        <v>0</v>
      </c>
      <c r="I64" s="1">
        <f>IF(I$56&lt;=$C$6,0,HLOOKUP(I$56,'Input data'!$C$9:$AZ$26,12,FALSE)-HLOOKUP($C$6,'Input data'!$C$9:$AZ$26,12,FALSE))</f>
        <v>9.9999999999997868E-2</v>
      </c>
      <c r="J64" s="1">
        <f>IF(J$56&lt;=$C$6,0,HLOOKUP(J$56,'Input data'!$C$9:$AZ$26,12,FALSE)-HLOOKUP($C$6,'Input data'!$C$9:$AZ$26,12,FALSE))</f>
        <v>0.19999999999999929</v>
      </c>
      <c r="K64" s="1">
        <f>IF(K$56&lt;=$C$6,0,HLOOKUP(K$56,'Input data'!$C$9:$AZ$26,12,FALSE)-HLOOKUP($C$6,'Input data'!$C$9:$AZ$26,12,FALSE))</f>
        <v>0.30000000000000071</v>
      </c>
      <c r="L64" s="1">
        <f>IF(L$56&lt;=$C$6,0,HLOOKUP(L$56,'Input data'!$C$9:$AZ$26,12,FALSE)-HLOOKUP($C$6,'Input data'!$C$9:$AZ$26,12,FALSE))</f>
        <v>0.5</v>
      </c>
      <c r="M64" s="1">
        <f>IF(M$56&lt;=$C$6,0,HLOOKUP(M$56,'Input data'!$C$9:$AZ$26,12,FALSE)-HLOOKUP($C$6,'Input data'!$C$9:$AZ$26,12,FALSE))</f>
        <v>0.60000000000000142</v>
      </c>
      <c r="N64" s="1">
        <f>IF(N$56&lt;=$C$6,0,HLOOKUP(N$56,'Input data'!$C$9:$AZ$26,12,FALSE)-HLOOKUP($C$6,'Input data'!$C$9:$AZ$26,12,FALSE))</f>
        <v>0.60000000000000142</v>
      </c>
      <c r="O64" s="1">
        <f>IF(O$56&lt;=$C$6,0,HLOOKUP(O$56,'Input data'!$C$9:$AZ$26,12,FALSE)-HLOOKUP($C$6,'Input data'!$C$9:$AZ$26,12,FALSE))</f>
        <v>0.69999999999999929</v>
      </c>
      <c r="P64" s="1">
        <f>IF(P$56&lt;=$C$6,0,HLOOKUP(P$56,'Input data'!$C$9:$AZ$26,12,FALSE)-HLOOKUP($C$6,'Input data'!$C$9:$AZ$26,12,FALSE))</f>
        <v>0.79999999999999716</v>
      </c>
      <c r="Q64" s="1">
        <f>IF(Q$56&lt;=$C$6,0,HLOOKUP(Q$56,'Input data'!$C$9:$AZ$26,12,FALSE)-HLOOKUP($C$6,'Input data'!$C$9:$AZ$26,12,FALSE))</f>
        <v>0.79999999999999716</v>
      </c>
      <c r="R64" s="1">
        <f>IF(R$56&lt;=$C$6,0,HLOOKUP(R$56,'Input data'!$C$9:$AZ$26,12,FALSE)-HLOOKUP($C$6,'Input data'!$C$9:$AZ$26,12,FALSE))</f>
        <v>0.79999999999999716</v>
      </c>
      <c r="S64" s="1">
        <f>IF(S$56&lt;=$C$6,0,HLOOKUP(S$56,'Input data'!$C$9:$AZ$26,12,FALSE)-HLOOKUP($C$6,'Input data'!$C$9:$AZ$26,12,FALSE))</f>
        <v>0.80000000000000071</v>
      </c>
      <c r="T64" s="1">
        <f>IF(T$56&lt;=$C$6,0,HLOOKUP(T$56,'Input data'!$C$9:$AZ$26,12,FALSE)-HLOOKUP($C$6,'Input data'!$C$9:$AZ$26,12,FALSE))</f>
        <v>0.70000000000000284</v>
      </c>
      <c r="U64" s="1">
        <f>IF(U$56&lt;=$C$6,0,HLOOKUP(U$56,'Input data'!$C$9:$AZ$26,12,FALSE)-HLOOKUP($C$6,'Input data'!$C$9:$AZ$26,12,FALSE))</f>
        <v>0.70000000000000284</v>
      </c>
    </row>
    <row r="65" spans="2:21" outlineLevel="1" x14ac:dyDescent="0.2">
      <c r="B65" s="77" t="s">
        <v>109</v>
      </c>
      <c r="C65" s="1"/>
      <c r="D65" s="1">
        <f>IF(D$56&lt;=$C$5,0,-HLOOKUP(D$56,'Input data'!$C$9:$AZ$26,18,FALSE)+HLOOKUP($C$6,'Input data'!$C$9:$AZ$26,18,FALSE))</f>
        <v>0</v>
      </c>
      <c r="E65" s="1">
        <f>IF(E$56&lt;=$C$6,0,-HLOOKUP(E$56,'Input data'!$C$9:$AZ$26,18,FALSE)+HLOOKUP($C$6,'Input data'!$C$9:$AZ$26,18,FALSE))</f>
        <v>0</v>
      </c>
      <c r="F65" s="1">
        <f>IF(F$56&lt;=$C$6,0,-HLOOKUP(F$56,'Input data'!$C$9:$AZ$26,18,FALSE)+HLOOKUP($C$6,'Input data'!$C$9:$AZ$26,18,FALSE))</f>
        <v>0</v>
      </c>
      <c r="G65" s="1">
        <f>IF(G$56&lt;=$C$6,0,-HLOOKUP(G$56,'Input data'!$C$9:$AZ$26,18,FALSE)+HLOOKUP($C$6,'Input data'!$C$9:$AZ$26,18,FALSE))</f>
        <v>0</v>
      </c>
      <c r="H65" s="1">
        <f>IF(H$56&lt;=$C$6,0,-HLOOKUP(H$56,'Input data'!$C$9:$AZ$26,18,FALSE)+HLOOKUP($C$6,'Input data'!$C$9:$AZ$26,18,FALSE))</f>
        <v>0</v>
      </c>
      <c r="I65" s="1">
        <f>IF(I$56&lt;=$C$6,0,-HLOOKUP(I$56,'Input data'!$C$9:$AZ$26,18,FALSE)+HLOOKUP($C$6,'Input data'!$C$9:$AZ$26,18,FALSE))</f>
        <v>4.6570000000000222E-3</v>
      </c>
      <c r="J65" s="1">
        <f>IF(J$56&lt;=$C$6,0,-HLOOKUP(J$56,'Input data'!$C$9:$AZ$26,18,FALSE)+HLOOKUP($C$6,'Input data'!$C$9:$AZ$26,18,FALSE))</f>
        <v>9.3140999999999918E-3</v>
      </c>
      <c r="K65" s="1">
        <f>IF(K$56&lt;=$C$6,0,-HLOOKUP(K$56,'Input data'!$C$9:$AZ$26,18,FALSE)+HLOOKUP($C$6,'Input data'!$C$9:$AZ$26,18,FALSE))</f>
        <v>1.3971100000000014E-2</v>
      </c>
      <c r="L65" s="1">
        <f>IF(L$56&lt;=$C$6,0,-HLOOKUP(L$56,'Input data'!$C$9:$AZ$26,18,FALSE)+HLOOKUP($C$6,'Input data'!$C$9:$AZ$26,18,FALSE))</f>
        <v>1.8628100000000036E-2</v>
      </c>
      <c r="M65" s="1">
        <f>IF(M$56&lt;=$C$6,0,-HLOOKUP(M$56,'Input data'!$C$9:$AZ$26,18,FALSE)+HLOOKUP($C$6,'Input data'!$C$9:$AZ$26,18,FALSE))</f>
        <v>2.3285100000000059E-2</v>
      </c>
      <c r="N65" s="1">
        <f>IF(N$56&lt;=$C$6,0,-HLOOKUP(N$56,'Input data'!$C$9:$AZ$26,18,FALSE)+HLOOKUP($C$6,'Input data'!$C$9:$AZ$26,18,FALSE))</f>
        <v>2.7942200000000028E-2</v>
      </c>
      <c r="O65" s="1">
        <f>IF(O$56&lt;=$C$6,0,-HLOOKUP(O$56,'Input data'!$C$9:$AZ$26,18,FALSE)+HLOOKUP($C$6,'Input data'!$C$9:$AZ$26,18,FALSE))</f>
        <v>3.2599299999999998E-2</v>
      </c>
      <c r="P65" s="1">
        <f>IF(P$56&lt;=$C$6,0,-HLOOKUP(P$56,'Input data'!$C$9:$AZ$26,18,FALSE)+HLOOKUP($C$6,'Input data'!$C$9:$AZ$26,18,FALSE))</f>
        <v>3.725630000000002E-2</v>
      </c>
      <c r="Q65" s="1">
        <f>IF(Q$56&lt;=$C$6,0,-HLOOKUP(Q$56,'Input data'!$C$9:$AZ$26,18,FALSE)+HLOOKUP($C$6,'Input data'!$C$9:$AZ$26,18,FALSE))</f>
        <v>4.1913300000000042E-2</v>
      </c>
      <c r="R65" s="1">
        <f>IF(R$56&lt;=$C$6,0,-HLOOKUP(R$56,'Input data'!$C$9:$AZ$26,18,FALSE)+HLOOKUP($C$6,'Input data'!$C$9:$AZ$26,18,FALSE))</f>
        <v>4.6570400000000012E-2</v>
      </c>
      <c r="S65" s="258">
        <f>IF(S$56&lt;=$C$6,0,-HLOOKUP(S$56,'Input data'!$C$9:$AZ$26,18,FALSE)+HLOOKUP($C$6,'Input data'!$C$9:$AZ$26,18,FALSE))</f>
        <v>5.1227499999999981E-2</v>
      </c>
      <c r="T65" s="258">
        <f>IF(T$56&lt;=$C$6,0,-HLOOKUP(T$56,'Input data'!$C$9:$AZ$26,18,FALSE)+HLOOKUP($C$6,'Input data'!$C$9:$AZ$26,18,FALSE))</f>
        <v>5.5884500000000004E-2</v>
      </c>
      <c r="U65" s="258">
        <f>IF(U$56&lt;=$C$6,0,-HLOOKUP(U$56,'Input data'!$C$9:$AZ$26,18,FALSE)+HLOOKUP($C$6,'Input data'!$C$9:$AZ$26,18,FALSE))</f>
        <v>6.0541600000000084E-2</v>
      </c>
    </row>
    <row r="66" spans="2:21" outlineLevel="1" x14ac:dyDescent="0.2">
      <c r="B66" s="77" t="s">
        <v>110</v>
      </c>
      <c r="C66" s="37"/>
      <c r="D66" s="37">
        <v>0</v>
      </c>
      <c r="E66" s="37">
        <v>0</v>
      </c>
      <c r="F66" s="37">
        <v>0</v>
      </c>
      <c r="G66" s="37">
        <v>0</v>
      </c>
      <c r="H66" s="37">
        <v>0</v>
      </c>
      <c r="I66" s="37">
        <v>0</v>
      </c>
      <c r="J66" s="37">
        <v>0</v>
      </c>
      <c r="K66" s="37">
        <v>0</v>
      </c>
      <c r="L66" s="37">
        <v>0</v>
      </c>
      <c r="M66" s="37">
        <v>0</v>
      </c>
      <c r="N66" s="37">
        <v>0</v>
      </c>
      <c r="O66" s="37">
        <v>0</v>
      </c>
      <c r="P66" s="37">
        <v>0</v>
      </c>
      <c r="Q66" s="37">
        <v>0</v>
      </c>
      <c r="R66" s="37">
        <v>0</v>
      </c>
      <c r="S66" s="259">
        <v>0</v>
      </c>
      <c r="T66" s="259">
        <v>0</v>
      </c>
      <c r="U66" s="259">
        <v>0</v>
      </c>
    </row>
    <row r="67" spans="2:21" outlineLevel="1" x14ac:dyDescent="0.2">
      <c r="B67" s="82" t="s">
        <v>111</v>
      </c>
      <c r="C67" s="48"/>
      <c r="D67" s="48">
        <f t="shared" ref="D67:M67" si="20">SUM(D68:D71)</f>
        <v>-0.69368010000000002</v>
      </c>
      <c r="E67" s="48">
        <f t="shared" si="20"/>
        <v>-0.24521838299896748</v>
      </c>
      <c r="F67" s="48">
        <f t="shared" si="20"/>
        <v>-0.45532551137546273</v>
      </c>
      <c r="G67" s="48">
        <f t="shared" si="20"/>
        <v>-0.58147887282724953</v>
      </c>
      <c r="H67" s="48">
        <f t="shared" si="20"/>
        <v>-0.52529603258230195</v>
      </c>
      <c r="I67" s="48">
        <f t="shared" si="20"/>
        <v>-0.73539304213497381</v>
      </c>
      <c r="J67" s="48">
        <f t="shared" si="20"/>
        <v>-0.64473813423032944</v>
      </c>
      <c r="K67" s="48">
        <f t="shared" si="20"/>
        <v>-0.55729440512938044</v>
      </c>
      <c r="L67" s="48">
        <f t="shared" si="20"/>
        <v>-0.18941174583933407</v>
      </c>
      <c r="M67" s="48">
        <f t="shared" si="20"/>
        <v>-0.13256368960598985</v>
      </c>
      <c r="N67" s="48">
        <f t="shared" ref="N67:U67" si="21">SUM(N68:N71)</f>
        <v>-0.13108521389890559</v>
      </c>
      <c r="O67" s="48">
        <f t="shared" si="21"/>
        <v>-0.19531255255368629</v>
      </c>
      <c r="P67" s="48">
        <f t="shared" si="21"/>
        <v>-0.26116004922445168</v>
      </c>
      <c r="Q67" s="48">
        <f t="shared" si="21"/>
        <v>-0.32831302212339064</v>
      </c>
      <c r="R67" s="48">
        <f t="shared" si="21"/>
        <v>-0.3344370074327</v>
      </c>
      <c r="S67" s="48">
        <f t="shared" si="21"/>
        <v>-0.34275037847554757</v>
      </c>
      <c r="T67" s="48">
        <f t="shared" si="21"/>
        <v>-0.34755311712531234</v>
      </c>
      <c r="U67" s="48">
        <f t="shared" si="21"/>
        <v>-0.31726788638007519</v>
      </c>
    </row>
    <row r="68" spans="2:21" outlineLevel="1" x14ac:dyDescent="0.2">
      <c r="B68" s="77" t="s">
        <v>112</v>
      </c>
      <c r="C68" s="34"/>
      <c r="D68" s="34">
        <f t="shared" ref="D68:U68" si="22">C57*D36/100*(1/(1+D33/100))</f>
        <v>1.0548956399101987</v>
      </c>
      <c r="E68" s="34">
        <f t="shared" si="22"/>
        <v>1.0999936148867984</v>
      </c>
      <c r="F68" s="34">
        <f t="shared" si="22"/>
        <v>1.1175867961788133</v>
      </c>
      <c r="G68" s="34">
        <f t="shared" si="22"/>
        <v>1.2103356650985519</v>
      </c>
      <c r="H68" s="34">
        <f t="shared" si="22"/>
        <v>1.2810407287144943</v>
      </c>
      <c r="I68" s="34">
        <f t="shared" si="22"/>
        <v>1.3270273429898767</v>
      </c>
      <c r="J68" s="34">
        <f t="shared" si="22"/>
        <v>1.3668599900052765</v>
      </c>
      <c r="K68" s="34">
        <f t="shared" si="22"/>
        <v>1.4006819290194941</v>
      </c>
      <c r="L68" s="34">
        <f t="shared" si="22"/>
        <v>1.4355193500163435</v>
      </c>
      <c r="M68" s="34">
        <f t="shared" si="22"/>
        <v>1.4752306515580582</v>
      </c>
      <c r="N68" s="34">
        <f t="shared" si="22"/>
        <v>1.5158219324594704</v>
      </c>
      <c r="O68" s="34">
        <f t="shared" si="22"/>
        <v>1.5379248062657309</v>
      </c>
      <c r="P68" s="34">
        <f t="shared" si="22"/>
        <v>1.5569005749572447</v>
      </c>
      <c r="Q68" s="34">
        <f t="shared" si="22"/>
        <v>1.5732474715083307</v>
      </c>
      <c r="R68" s="34">
        <f t="shared" si="22"/>
        <v>1.5859476349381363</v>
      </c>
      <c r="S68" s="34">
        <f t="shared" si="22"/>
        <v>1.5954104286790449</v>
      </c>
      <c r="T68" s="34">
        <f t="shared" si="22"/>
        <v>1.6021468914091164</v>
      </c>
      <c r="U68" s="34">
        <f t="shared" si="22"/>
        <v>1.6042407586829319</v>
      </c>
    </row>
    <row r="69" spans="2:21" outlineLevel="1" x14ac:dyDescent="0.2">
      <c r="B69" s="77" t="s">
        <v>113</v>
      </c>
      <c r="C69" s="34"/>
      <c r="D69" s="34">
        <f t="shared" ref="D69:U69" si="23">-C57*(D24/100)*(1/(1+D33/100))</f>
        <v>0.14582752401370536</v>
      </c>
      <c r="E69" s="34">
        <f t="shared" si="23"/>
        <v>0.14228961294293135</v>
      </c>
      <c r="F69" s="34">
        <f t="shared" si="23"/>
        <v>-0.22248131462118065</v>
      </c>
      <c r="G69" s="34">
        <f t="shared" si="23"/>
        <v>-0.42352152744476751</v>
      </c>
      <c r="H69" s="34">
        <f t="shared" si="23"/>
        <v>-0.43864231375348628</v>
      </c>
      <c r="I69" s="34">
        <f t="shared" si="23"/>
        <v>-0.70741869733581109</v>
      </c>
      <c r="J69" s="34">
        <f t="shared" si="23"/>
        <v>-0.67717034661067677</v>
      </c>
      <c r="K69" s="34">
        <f t="shared" si="23"/>
        <v>-0.64557806566007936</v>
      </c>
      <c r="L69" s="34">
        <f t="shared" si="23"/>
        <v>-0.33610618513024149</v>
      </c>
      <c r="M69" s="34">
        <f t="shared" si="23"/>
        <v>-0.33026787938684182</v>
      </c>
      <c r="N69" s="34">
        <f t="shared" si="23"/>
        <v>-0.37729487893238528</v>
      </c>
      <c r="O69" s="34">
        <f t="shared" si="23"/>
        <v>-0.48500510233355754</v>
      </c>
      <c r="P69" s="34">
        <f t="shared" si="23"/>
        <v>-0.59016561920516653</v>
      </c>
      <c r="Q69" s="34">
        <f t="shared" si="23"/>
        <v>-0.69301021463541834</v>
      </c>
      <c r="R69" s="34">
        <f t="shared" si="23"/>
        <v>-0.73238947447179814</v>
      </c>
      <c r="S69" s="34">
        <f t="shared" si="23"/>
        <v>-0.77059690984237561</v>
      </c>
      <c r="T69" s="34">
        <f t="shared" si="23"/>
        <v>-0.80248975026388591</v>
      </c>
      <c r="U69" s="34">
        <f t="shared" si="23"/>
        <v>-0.79662132042612865</v>
      </c>
    </row>
    <row r="70" spans="2:21" outlineLevel="1" x14ac:dyDescent="0.2">
      <c r="B70" s="77" t="s">
        <v>114</v>
      </c>
      <c r="C70" s="34"/>
      <c r="D70" s="34">
        <f t="shared" ref="D70:U70" si="24">-C57*D42/100*(1/(1+D42/100))</f>
        <v>-1.8943920413494018</v>
      </c>
      <c r="E70" s="34">
        <f t="shared" si="24"/>
        <v>-1.4872123454975903</v>
      </c>
      <c r="F70" s="34">
        <f t="shared" si="24"/>
        <v>-1.3502344387651115</v>
      </c>
      <c r="G70" s="34">
        <f t="shared" si="24"/>
        <v>-1.368293010481034</v>
      </c>
      <c r="H70" s="34">
        <f t="shared" si="24"/>
        <v>-1.3676944475433099</v>
      </c>
      <c r="I70" s="34">
        <f t="shared" si="24"/>
        <v>-1.3550016877890394</v>
      </c>
      <c r="J70" s="34">
        <f t="shared" si="24"/>
        <v>-1.3344277776249291</v>
      </c>
      <c r="K70" s="34">
        <f t="shared" si="24"/>
        <v>-1.3123982684887951</v>
      </c>
      <c r="L70" s="34">
        <f t="shared" si="24"/>
        <v>-1.2888249107254359</v>
      </c>
      <c r="M70" s="34">
        <f t="shared" si="24"/>
        <v>-1.2775264617772062</v>
      </c>
      <c r="N70" s="34">
        <f t="shared" si="24"/>
        <v>-1.2696122674259906</v>
      </c>
      <c r="O70" s="34">
        <f t="shared" si="24"/>
        <v>-1.2482322564858597</v>
      </c>
      <c r="P70" s="34">
        <f t="shared" si="24"/>
        <v>-1.2278950049765298</v>
      </c>
      <c r="Q70" s="34">
        <f t="shared" si="24"/>
        <v>-1.208550278996303</v>
      </c>
      <c r="R70" s="34">
        <f t="shared" si="24"/>
        <v>-1.1879951678990381</v>
      </c>
      <c r="S70" s="34">
        <f t="shared" si="24"/>
        <v>-1.1675638973122169</v>
      </c>
      <c r="T70" s="34">
        <f t="shared" si="24"/>
        <v>-1.1472102582705428</v>
      </c>
      <c r="U70" s="34">
        <f t="shared" si="24"/>
        <v>-1.1248873246368785</v>
      </c>
    </row>
    <row r="71" spans="2:21" outlineLevel="1" x14ac:dyDescent="0.2">
      <c r="B71" s="77" t="s">
        <v>115</v>
      </c>
      <c r="C71" s="49"/>
      <c r="D71" s="49">
        <f>'Baseline NFPC'!D70</f>
        <v>-1.1222574502478544E-5</v>
      </c>
      <c r="E71" s="49">
        <f>'Baseline NFPC'!E70</f>
        <v>-2.8926533110695818E-4</v>
      </c>
      <c r="F71" s="49">
        <f>'Baseline NFPC'!F70</f>
        <v>-1.9655416798392E-4</v>
      </c>
      <c r="G71" s="49">
        <v>0</v>
      </c>
      <c r="H71" s="49">
        <v>0</v>
      </c>
      <c r="I71" s="49">
        <v>0</v>
      </c>
      <c r="J71" s="49">
        <v>0</v>
      </c>
      <c r="K71" s="49">
        <v>0</v>
      </c>
      <c r="L71" s="49">
        <v>0</v>
      </c>
      <c r="M71" s="49">
        <v>0</v>
      </c>
      <c r="N71" s="49">
        <v>0</v>
      </c>
      <c r="O71" s="49">
        <v>0</v>
      </c>
      <c r="P71" s="49">
        <v>0</v>
      </c>
      <c r="Q71" s="49">
        <v>0</v>
      </c>
      <c r="R71" s="49">
        <v>0</v>
      </c>
      <c r="S71" s="49">
        <v>0</v>
      </c>
      <c r="T71" s="49">
        <v>0</v>
      </c>
      <c r="U71" s="49">
        <v>0</v>
      </c>
    </row>
    <row r="72" spans="2:21" outlineLevel="1" x14ac:dyDescent="0.2">
      <c r="B72" s="82" t="s">
        <v>116</v>
      </c>
      <c r="C72" s="50"/>
      <c r="D72" s="50">
        <f>'Input data'!D16</f>
        <v>-1.4401139999999999</v>
      </c>
      <c r="E72" s="50">
        <f>'Input data'!E16</f>
        <v>6.9708000000000006E-2</v>
      </c>
      <c r="F72" s="50">
        <f>'Input data'!F16</f>
        <v>9.8867300000000005E-2</v>
      </c>
      <c r="G72" s="50">
        <f>'Input data'!G16</f>
        <v>0</v>
      </c>
      <c r="H72" s="50">
        <f>'Input data'!H16</f>
        <v>0</v>
      </c>
      <c r="I72" s="50">
        <f>'Input data'!I16</f>
        <v>0</v>
      </c>
      <c r="J72" s="50">
        <f>'Input data'!J16</f>
        <v>0</v>
      </c>
      <c r="K72" s="50">
        <f>'Input data'!K16</f>
        <v>0</v>
      </c>
      <c r="L72" s="50">
        <f>'Input data'!L16</f>
        <v>0</v>
      </c>
      <c r="M72" s="50">
        <f>'Input data'!M16</f>
        <v>0</v>
      </c>
      <c r="N72" s="50">
        <f>'Input data'!N16</f>
        <v>0</v>
      </c>
      <c r="O72" s="50">
        <f>'Input data'!O16</f>
        <v>0</v>
      </c>
      <c r="P72" s="50">
        <f>'Input data'!P16</f>
        <v>0</v>
      </c>
      <c r="Q72" s="50">
        <f>'Input data'!Q16</f>
        <v>0</v>
      </c>
      <c r="R72" s="50">
        <f>'Input data'!R16</f>
        <v>0</v>
      </c>
      <c r="S72" s="50">
        <f>'Input data'!S16</f>
        <v>0</v>
      </c>
      <c r="T72" s="50">
        <f>'Input data'!T16</f>
        <v>0</v>
      </c>
      <c r="U72" s="50">
        <f>'Input data'!U16</f>
        <v>0</v>
      </c>
    </row>
    <row r="73" spans="2:21" outlineLevel="1" x14ac:dyDescent="0.2">
      <c r="B73" s="77" t="s">
        <v>117</v>
      </c>
      <c r="C73" s="34"/>
      <c r="D73" s="34">
        <f t="shared" ref="D73:U73" si="25">D15</f>
        <v>-1.4394560000000001</v>
      </c>
      <c r="E73" s="34">
        <f t="shared" si="25"/>
        <v>8.5767899999999994E-2</v>
      </c>
      <c r="F73" s="34">
        <f t="shared" si="25"/>
        <v>0.1097981</v>
      </c>
      <c r="G73" s="34">
        <f t="shared" si="25"/>
        <v>0</v>
      </c>
      <c r="H73" s="34">
        <f t="shared" si="25"/>
        <v>0</v>
      </c>
      <c r="I73" s="34">
        <f t="shared" si="25"/>
        <v>0</v>
      </c>
      <c r="J73" s="34">
        <f t="shared" si="25"/>
        <v>0</v>
      </c>
      <c r="K73" s="34">
        <f t="shared" si="25"/>
        <v>0</v>
      </c>
      <c r="L73" s="34">
        <f t="shared" si="25"/>
        <v>0</v>
      </c>
      <c r="M73" s="34">
        <f t="shared" si="25"/>
        <v>0</v>
      </c>
      <c r="N73" s="34">
        <f t="shared" si="25"/>
        <v>0</v>
      </c>
      <c r="O73" s="34">
        <f t="shared" si="25"/>
        <v>0</v>
      </c>
      <c r="P73" s="34">
        <f t="shared" si="25"/>
        <v>0</v>
      </c>
      <c r="Q73" s="34">
        <f t="shared" si="25"/>
        <v>0</v>
      </c>
      <c r="R73" s="34">
        <f t="shared" si="25"/>
        <v>0</v>
      </c>
      <c r="S73" s="34">
        <f t="shared" si="25"/>
        <v>0</v>
      </c>
      <c r="T73" s="34">
        <f t="shared" si="25"/>
        <v>0</v>
      </c>
      <c r="U73" s="34">
        <f t="shared" si="25"/>
        <v>0</v>
      </c>
    </row>
    <row r="74" spans="2:21" outlineLevel="1" x14ac:dyDescent="0.2">
      <c r="B74" s="87" t="s">
        <v>118</v>
      </c>
      <c r="C74" s="49"/>
      <c r="D74" s="49">
        <f t="shared" ref="D74:U74" si="26">+D72-D73</f>
        <v>-6.5799999999982539E-4</v>
      </c>
      <c r="E74" s="49">
        <f t="shared" si="26"/>
        <v>-1.6059899999999988E-2</v>
      </c>
      <c r="F74" s="49">
        <f t="shared" si="26"/>
        <v>-1.0930799999999991E-2</v>
      </c>
      <c r="G74" s="49">
        <f t="shared" si="26"/>
        <v>0</v>
      </c>
      <c r="H74" s="49">
        <f t="shared" si="26"/>
        <v>0</v>
      </c>
      <c r="I74" s="49">
        <f t="shared" si="26"/>
        <v>0</v>
      </c>
      <c r="J74" s="49">
        <f t="shared" si="26"/>
        <v>0</v>
      </c>
      <c r="K74" s="49">
        <f t="shared" si="26"/>
        <v>0</v>
      </c>
      <c r="L74" s="49">
        <f t="shared" si="26"/>
        <v>0</v>
      </c>
      <c r="M74" s="49">
        <f t="shared" si="26"/>
        <v>0</v>
      </c>
      <c r="N74" s="49">
        <f t="shared" si="26"/>
        <v>0</v>
      </c>
      <c r="O74" s="49">
        <f t="shared" si="26"/>
        <v>0</v>
      </c>
      <c r="P74" s="49">
        <f t="shared" si="26"/>
        <v>0</v>
      </c>
      <c r="Q74" s="49">
        <f t="shared" si="26"/>
        <v>0</v>
      </c>
      <c r="R74" s="49">
        <f t="shared" si="26"/>
        <v>0</v>
      </c>
      <c r="S74" s="49">
        <f t="shared" si="26"/>
        <v>0</v>
      </c>
      <c r="T74" s="49">
        <f t="shared" si="26"/>
        <v>0</v>
      </c>
      <c r="U74" s="49">
        <f t="shared" si="26"/>
        <v>0</v>
      </c>
    </row>
    <row r="75" spans="2:21" ht="10.5" customHeight="1" outlineLevel="1" x14ac:dyDescent="0.2"/>
    <row r="76" spans="2:21" ht="10.5" customHeight="1" outlineLevel="1" x14ac:dyDescent="0.2">
      <c r="B76" s="89" t="s">
        <v>119</v>
      </c>
    </row>
    <row r="77" spans="2:21" x14ac:dyDescent="0.2">
      <c r="B77" s="75" t="s">
        <v>41</v>
      </c>
      <c r="C77" s="76">
        <f>'Baseline NFPC'!C76</f>
        <v>-2.4799370000000001</v>
      </c>
      <c r="D77" s="76">
        <f>D59-D68-D71</f>
        <v>-2.758867632490265</v>
      </c>
      <c r="E77" s="76">
        <f t="shared" ref="E77:U77" si="27">E59-E68-E71</f>
        <v>-2.511665620922173</v>
      </c>
      <c r="F77" s="76">
        <f t="shared" si="27"/>
        <v>-1.9842799144370495</v>
      </c>
      <c r="G77" s="76">
        <f t="shared" si="27"/>
        <v>-1.42613460941749</v>
      </c>
      <c r="H77" s="76">
        <f t="shared" si="27"/>
        <v>-0.88301954686313189</v>
      </c>
      <c r="I77" s="76">
        <f t="shared" si="27"/>
        <v>-0.78476588842230144</v>
      </c>
      <c r="J77" s="76">
        <f t="shared" si="27"/>
        <v>-0.68035836272148631</v>
      </c>
      <c r="K77" s="76">
        <f t="shared" si="27"/>
        <v>-0.5699400290194947</v>
      </c>
      <c r="L77" s="76">
        <f t="shared" si="27"/>
        <v>-0.80943470054658795</v>
      </c>
      <c r="M77" s="76">
        <f t="shared" si="27"/>
        <v>-0.95380320251657325</v>
      </c>
      <c r="N77" s="76">
        <f t="shared" si="27"/>
        <v>-0.99905043200330024</v>
      </c>
      <c r="O77" s="76">
        <f t="shared" si="27"/>
        <v>-1.1258090568903663</v>
      </c>
      <c r="P77" s="76">
        <f t="shared" si="27"/>
        <v>-1.2494403298166064</v>
      </c>
      <c r="Q77" s="76">
        <f t="shared" si="27"/>
        <v>-1.2704437287864441</v>
      </c>
      <c r="R77" s="76">
        <f t="shared" si="27"/>
        <v>-1.2878014893557648</v>
      </c>
      <c r="S77" s="76">
        <f t="shared" si="27"/>
        <v>-1.3019188996038273</v>
      </c>
      <c r="T77" s="76">
        <f t="shared" si="27"/>
        <v>-1.2133133549484976</v>
      </c>
      <c r="U77" s="76">
        <f t="shared" si="27"/>
        <v>-1.2200633297054815</v>
      </c>
    </row>
    <row r="78" spans="2:21" x14ac:dyDescent="0.2">
      <c r="B78" s="26" t="s">
        <v>42</v>
      </c>
      <c r="C78" s="34">
        <f>'Baseline NFPC'!C77</f>
        <v>-2.1345619999999998</v>
      </c>
      <c r="D78" s="34">
        <f>D60-D68-D71-D64-D65-D66</f>
        <v>-2.070171417335696</v>
      </c>
      <c r="E78" s="34">
        <f t="shared" ref="E78:U78" si="28">E60-E68-E71-E64-E65-E66</f>
        <v>-1.5749913495556913</v>
      </c>
      <c r="F78" s="34">
        <f t="shared" si="28"/>
        <v>-1.0526772420108292</v>
      </c>
      <c r="G78" s="34">
        <f t="shared" si="28"/>
        <v>-0.60562266509855189</v>
      </c>
      <c r="H78" s="34">
        <f t="shared" si="28"/>
        <v>-0.13632772871449417</v>
      </c>
      <c r="I78" s="34">
        <f t="shared" si="28"/>
        <v>-0.28697134298987448</v>
      </c>
      <c r="J78" s="34">
        <f t="shared" si="28"/>
        <v>-0.43146109000527566</v>
      </c>
      <c r="K78" s="34">
        <f t="shared" si="28"/>
        <v>-0.5699400290194947</v>
      </c>
      <c r="L78" s="34">
        <f t="shared" si="28"/>
        <v>-0.8094344500163434</v>
      </c>
      <c r="M78" s="34">
        <f t="shared" si="28"/>
        <v>-0.9538027515580596</v>
      </c>
      <c r="N78" s="34">
        <f t="shared" si="28"/>
        <v>-0.99905113245947175</v>
      </c>
      <c r="O78" s="34">
        <f t="shared" si="28"/>
        <v>-1.1258111062657301</v>
      </c>
      <c r="P78" s="34">
        <f t="shared" si="28"/>
        <v>-1.2494438749572416</v>
      </c>
      <c r="Q78" s="34">
        <f t="shared" si="28"/>
        <v>-1.2704477715083278</v>
      </c>
      <c r="R78" s="34">
        <f t="shared" si="28"/>
        <v>-1.2878050349381334</v>
      </c>
      <c r="S78" s="34">
        <f t="shared" si="28"/>
        <v>-1.3019249286790455</v>
      </c>
      <c r="T78" s="34">
        <f t="shared" si="28"/>
        <v>-1.213318391409119</v>
      </c>
      <c r="U78" s="34">
        <f t="shared" si="28"/>
        <v>-1.2200693586829348</v>
      </c>
    </row>
    <row r="79" spans="2:21" x14ac:dyDescent="0.2">
      <c r="B79" s="35" t="s">
        <v>120</v>
      </c>
      <c r="C79" s="279">
        <f>'Input data'!C45</f>
        <v>6.0601921940686694</v>
      </c>
      <c r="D79" s="279">
        <f>'Input data'!D45</f>
        <v>3.9721583062439247</v>
      </c>
      <c r="E79" s="49">
        <f>'Input data'!E33+E42-(E$12-D$12)/'Input data'!$C$64*100</f>
        <v>1.5922608844910699</v>
      </c>
      <c r="F79" s="49">
        <f>'Input data'!F33+F42-(F$12-E$12)/'Input data'!$C$64*100</f>
        <v>1.3993319844910699</v>
      </c>
      <c r="G79" s="49">
        <f>'Input data'!G33+G42-(G$12-F$12)/'Input data'!$C$64*100</f>
        <v>1.5162552344910696</v>
      </c>
      <c r="H79" s="49">
        <f>'Input data'!H33+H42-(H$12-G$12)/'Input data'!$C$64*100</f>
        <v>1.6324231844910699</v>
      </c>
      <c r="I79" s="49">
        <f>'Input data'!I33+I42-(I$12-H$12)/'Input data'!$C$64*100</f>
        <v>2.8591299499999998</v>
      </c>
      <c r="J79" s="49">
        <f>'Input data'!J33+J42-(J$12-I$12)/'Input data'!$C$64*100</f>
        <v>2.8467242999999995</v>
      </c>
      <c r="K79" s="49">
        <f>'Input data'!K33+K42-(K$12-J$12)/'Input data'!$C$64*100</f>
        <v>2.83183915</v>
      </c>
      <c r="L79" s="49">
        <f>'Input data'!L33+L42-(L$12-K$12)/'Input data'!$C$64*100</f>
        <v>2.8231216999999997</v>
      </c>
      <c r="M79" s="49">
        <f>'Input data'!M33+M42-(M$12-L$12)/'Input data'!$C$64*100</f>
        <v>2.8328459499999998</v>
      </c>
      <c r="N79" s="49">
        <f>'Input data'!N33+N42-(N$12-M$12)/'Input data'!$C$64*100</f>
        <v>2.9361504999999997</v>
      </c>
      <c r="O79" s="49">
        <f>'Input data'!O33+O42-(O$12-N$12)/'Input data'!$C$64*100</f>
        <v>3.127767</v>
      </c>
      <c r="P79" s="49">
        <f>'Input data'!P33+P42-(P$12-O$12)/'Input data'!$C$64*100</f>
        <v>3.3193830000000002</v>
      </c>
      <c r="Q79" s="49">
        <f>'Input data'!Q33+Q42-(Q$12-P$12)/'Input data'!$C$64*100</f>
        <v>3.5109999999999997</v>
      </c>
      <c r="R79" s="49">
        <f>'Input data'!R33+R42-(R$12-Q$12)/'Input data'!$C$64*100</f>
        <v>3.5879999999999996</v>
      </c>
      <c r="S79" s="49">
        <f>'Input data'!S33+S42-(S$12-R$12)/'Input data'!$C$64*100</f>
        <v>3.665</v>
      </c>
      <c r="T79" s="49">
        <f>'Input data'!T33+T42-(T$12-S$12)/'Input data'!$C$64*100</f>
        <v>3.7320000000000002</v>
      </c>
      <c r="U79" s="49">
        <f>'Input data'!U33+U42-(U$12-T$12)/'Input data'!$C$64*100</f>
        <v>3.7290000000000001</v>
      </c>
    </row>
    <row r="80" spans="2:21" x14ac:dyDescent="0.2">
      <c r="C80" s="34"/>
      <c r="D80" s="34"/>
      <c r="E80" s="34"/>
      <c r="F80" s="34"/>
      <c r="G80" s="34"/>
      <c r="H80" s="34"/>
      <c r="I80" s="34"/>
      <c r="J80" s="34"/>
      <c r="K80" s="34"/>
      <c r="L80" s="34"/>
      <c r="M80" s="34"/>
      <c r="N80" s="34"/>
      <c r="O80" s="34"/>
      <c r="P80" s="34"/>
      <c r="Q80" s="34"/>
      <c r="R80" s="34"/>
      <c r="S80" s="34"/>
      <c r="T80" s="34"/>
      <c r="U80" s="34"/>
    </row>
    <row r="81" spans="2:21" x14ac:dyDescent="0.2">
      <c r="B81" s="111" t="s">
        <v>140</v>
      </c>
      <c r="C81" s="34"/>
      <c r="D81" s="34"/>
      <c r="E81" s="34"/>
      <c r="F81" s="34"/>
      <c r="G81" s="36"/>
      <c r="H81" s="36"/>
      <c r="I81" s="36"/>
      <c r="J81" s="36"/>
      <c r="K81" s="34"/>
      <c r="L81" s="34"/>
      <c r="M81" s="34"/>
      <c r="N81" s="34"/>
      <c r="O81" s="34"/>
      <c r="P81" s="34"/>
      <c r="Q81" s="34"/>
      <c r="R81" s="34"/>
      <c r="S81" s="34"/>
      <c r="T81" s="34"/>
      <c r="U81" s="34"/>
    </row>
    <row r="82" spans="2:21" x14ac:dyDescent="0.2">
      <c r="B82" s="85"/>
      <c r="C82" s="34"/>
      <c r="D82" s="34"/>
      <c r="E82" s="34"/>
      <c r="F82" s="34"/>
      <c r="G82" s="36"/>
      <c r="H82" s="36"/>
      <c r="I82" s="36"/>
      <c r="J82" s="36"/>
      <c r="K82" s="34"/>
      <c r="L82" s="34"/>
      <c r="M82" s="34"/>
      <c r="N82" s="34"/>
      <c r="O82" s="34"/>
      <c r="P82" s="34"/>
      <c r="Q82" s="34"/>
      <c r="R82" s="34"/>
      <c r="S82" s="34"/>
      <c r="T82" s="34"/>
      <c r="U82" s="34"/>
    </row>
    <row r="83" spans="2:21" x14ac:dyDescent="0.2">
      <c r="B83" s="51" t="s">
        <v>210</v>
      </c>
      <c r="C83" s="51"/>
      <c r="D83" s="51"/>
      <c r="E83" s="254"/>
      <c r="F83" s="254"/>
      <c r="G83" s="254"/>
      <c r="H83" s="254"/>
      <c r="I83" s="254">
        <f t="shared" ref="I83:U83" si="29">IF(I57&lt;H57,0,1)</f>
        <v>0</v>
      </c>
      <c r="J83" s="254">
        <f t="shared" si="29"/>
        <v>0</v>
      </c>
      <c r="K83" s="254">
        <f t="shared" si="29"/>
        <v>0</v>
      </c>
      <c r="L83" s="254">
        <f t="shared" si="29"/>
        <v>0</v>
      </c>
      <c r="M83" s="254">
        <f t="shared" si="29"/>
        <v>0</v>
      </c>
      <c r="N83" s="254">
        <f t="shared" si="29"/>
        <v>0</v>
      </c>
      <c r="O83" s="254">
        <f t="shared" si="29"/>
        <v>0</v>
      </c>
      <c r="P83" s="254">
        <f t="shared" si="29"/>
        <v>0</v>
      </c>
      <c r="Q83" s="254">
        <f t="shared" si="29"/>
        <v>0</v>
      </c>
      <c r="R83" s="254">
        <f t="shared" si="29"/>
        <v>0</v>
      </c>
      <c r="S83" s="52">
        <f t="shared" si="29"/>
        <v>0</v>
      </c>
      <c r="T83" s="52">
        <f t="shared" si="29"/>
        <v>0</v>
      </c>
      <c r="U83" s="52">
        <f t="shared" si="29"/>
        <v>0</v>
      </c>
    </row>
    <row r="84" spans="2:21" x14ac:dyDescent="0.2">
      <c r="B84" s="75"/>
      <c r="C84" s="34"/>
      <c r="D84" s="34"/>
      <c r="E84" s="34"/>
      <c r="F84" s="34"/>
      <c r="G84" s="34"/>
      <c r="H84" s="34"/>
      <c r="I84" s="34"/>
      <c r="J84" s="34"/>
      <c r="K84" s="34"/>
      <c r="L84" s="34"/>
      <c r="M84" s="34"/>
      <c r="N84" s="34"/>
      <c r="O84" s="34"/>
      <c r="P84" s="34"/>
      <c r="Q84" s="34"/>
      <c r="R84" s="34"/>
      <c r="S84" s="34"/>
      <c r="T84" s="34"/>
      <c r="U84" s="34"/>
    </row>
    <row r="85" spans="2:21" s="91" customFormat="1" ht="12.75" outlineLevel="1" x14ac:dyDescent="0.2">
      <c r="B85" s="92" t="s">
        <v>121</v>
      </c>
      <c r="C85" s="94"/>
      <c r="D85" s="93"/>
    </row>
    <row r="86" spans="2:21" x14ac:dyDescent="0.2">
      <c r="C86" s="34"/>
      <c r="D86" s="34"/>
      <c r="E86" s="34"/>
      <c r="F86" s="34"/>
      <c r="G86" s="34"/>
      <c r="H86" s="34"/>
      <c r="I86" s="34"/>
      <c r="J86" s="34"/>
      <c r="K86" s="34"/>
      <c r="L86" s="34"/>
      <c r="M86" s="34"/>
      <c r="N86" s="34"/>
      <c r="O86" s="34"/>
      <c r="P86" s="34"/>
      <c r="Q86" s="34"/>
      <c r="R86" s="34"/>
      <c r="S86" s="34"/>
      <c r="T86" s="34"/>
      <c r="U86" s="34"/>
    </row>
    <row r="87" spans="2:21" x14ac:dyDescent="0.2">
      <c r="B87" s="26" t="s">
        <v>122</v>
      </c>
      <c r="C87" s="29"/>
      <c r="D87" s="29">
        <f t="shared" ref="D87:U87" si="30">IF((D92-C92*D43/((1+D24/100)*(1+D42/100)))&gt;0,1,0)</f>
        <v>1</v>
      </c>
      <c r="E87" s="29">
        <f t="shared" si="30"/>
        <v>1</v>
      </c>
      <c r="F87" s="29">
        <f t="shared" si="30"/>
        <v>1</v>
      </c>
      <c r="G87" s="29">
        <f t="shared" si="30"/>
        <v>1</v>
      </c>
      <c r="H87" s="29">
        <f t="shared" si="30"/>
        <v>1</v>
      </c>
      <c r="I87" s="29">
        <f t="shared" si="30"/>
        <v>1</v>
      </c>
      <c r="J87" s="29">
        <f t="shared" si="30"/>
        <v>1</v>
      </c>
      <c r="K87" s="29">
        <f t="shared" si="30"/>
        <v>1</v>
      </c>
      <c r="L87" s="29">
        <f t="shared" si="30"/>
        <v>1</v>
      </c>
      <c r="M87" s="29">
        <f t="shared" si="30"/>
        <v>1</v>
      </c>
      <c r="N87" s="29">
        <f t="shared" si="30"/>
        <v>1</v>
      </c>
      <c r="O87" s="29">
        <f t="shared" si="30"/>
        <v>1</v>
      </c>
      <c r="P87" s="29">
        <f t="shared" si="30"/>
        <v>1</v>
      </c>
      <c r="Q87" s="29">
        <f t="shared" si="30"/>
        <v>1</v>
      </c>
      <c r="R87" s="29">
        <f t="shared" si="30"/>
        <v>1</v>
      </c>
      <c r="S87" s="29">
        <f t="shared" si="30"/>
        <v>1</v>
      </c>
      <c r="T87" s="29">
        <f t="shared" si="30"/>
        <v>1</v>
      </c>
      <c r="U87" s="29">
        <f t="shared" si="30"/>
        <v>1</v>
      </c>
    </row>
    <row r="88" spans="2:21" x14ac:dyDescent="0.2">
      <c r="B88" s="26" t="s">
        <v>123</v>
      </c>
      <c r="C88" s="29"/>
      <c r="D88" s="29">
        <f t="shared" ref="D88:U88" si="31">IF(AND(D87=0,ABS(D92-C92*D43/((1+D24/100)*(1+D42/100)))&lt;((C98*C92*D43/((1+D24/100)*(1+D42/100))+(D39*C92*C99*D43/((1+D24/100)*(1+D42/100)))))),1,0)</f>
        <v>0</v>
      </c>
      <c r="E88" s="29">
        <f t="shared" si="31"/>
        <v>0</v>
      </c>
      <c r="F88" s="29">
        <f t="shared" si="31"/>
        <v>0</v>
      </c>
      <c r="G88" s="29">
        <f t="shared" si="31"/>
        <v>0</v>
      </c>
      <c r="H88" s="29">
        <f t="shared" si="31"/>
        <v>0</v>
      </c>
      <c r="I88" s="29">
        <f t="shared" si="31"/>
        <v>0</v>
      </c>
      <c r="J88" s="29">
        <f t="shared" si="31"/>
        <v>0</v>
      </c>
      <c r="K88" s="29">
        <f t="shared" si="31"/>
        <v>0</v>
      </c>
      <c r="L88" s="29">
        <f t="shared" si="31"/>
        <v>0</v>
      </c>
      <c r="M88" s="29">
        <f t="shared" si="31"/>
        <v>0</v>
      </c>
      <c r="N88" s="29">
        <f t="shared" si="31"/>
        <v>0</v>
      </c>
      <c r="O88" s="29">
        <f t="shared" si="31"/>
        <v>0</v>
      </c>
      <c r="P88" s="29">
        <f t="shared" si="31"/>
        <v>0</v>
      </c>
      <c r="Q88" s="29">
        <f t="shared" si="31"/>
        <v>0</v>
      </c>
      <c r="R88" s="29">
        <f t="shared" si="31"/>
        <v>0</v>
      </c>
      <c r="S88" s="29">
        <f t="shared" si="31"/>
        <v>0</v>
      </c>
      <c r="T88" s="29">
        <f t="shared" si="31"/>
        <v>0</v>
      </c>
      <c r="U88" s="29">
        <f t="shared" si="31"/>
        <v>0</v>
      </c>
    </row>
    <row r="90" spans="2:21" x14ac:dyDescent="0.2">
      <c r="F90" s="38"/>
      <c r="G90" s="38"/>
      <c r="H90" s="38"/>
      <c r="I90" s="38"/>
      <c r="J90" s="38"/>
      <c r="K90" s="38"/>
      <c r="L90" s="38"/>
      <c r="M90" s="38"/>
      <c r="N90" s="38"/>
      <c r="O90" s="38"/>
      <c r="P90" s="38"/>
      <c r="Q90" s="38"/>
      <c r="R90" s="38"/>
    </row>
    <row r="91" spans="2:21" x14ac:dyDescent="0.2">
      <c r="B91" s="51"/>
      <c r="C91" s="84">
        <f>'Input data'!$C$5-1</f>
        <v>2023</v>
      </c>
      <c r="D91" s="84">
        <f>C91+1</f>
        <v>2024</v>
      </c>
      <c r="E91" s="84">
        <f t="shared" ref="E91:U91" si="32">D91+1</f>
        <v>2025</v>
      </c>
      <c r="F91" s="84">
        <f t="shared" si="32"/>
        <v>2026</v>
      </c>
      <c r="G91" s="84">
        <f t="shared" si="32"/>
        <v>2027</v>
      </c>
      <c r="H91" s="84">
        <f t="shared" si="32"/>
        <v>2028</v>
      </c>
      <c r="I91" s="84">
        <f t="shared" si="32"/>
        <v>2029</v>
      </c>
      <c r="J91" s="84">
        <f t="shared" si="32"/>
        <v>2030</v>
      </c>
      <c r="K91" s="84">
        <f t="shared" si="32"/>
        <v>2031</v>
      </c>
      <c r="L91" s="84">
        <f t="shared" si="32"/>
        <v>2032</v>
      </c>
      <c r="M91" s="84">
        <f t="shared" si="32"/>
        <v>2033</v>
      </c>
      <c r="N91" s="84">
        <f t="shared" si="32"/>
        <v>2034</v>
      </c>
      <c r="O91" s="84">
        <f t="shared" si="32"/>
        <v>2035</v>
      </c>
      <c r="P91" s="84">
        <f t="shared" si="32"/>
        <v>2036</v>
      </c>
      <c r="Q91" s="84">
        <f t="shared" si="32"/>
        <v>2037</v>
      </c>
      <c r="R91" s="84">
        <f t="shared" si="32"/>
        <v>2038</v>
      </c>
      <c r="S91" s="84">
        <f t="shared" si="32"/>
        <v>2039</v>
      </c>
      <c r="T91" s="84">
        <f t="shared" si="32"/>
        <v>2040</v>
      </c>
      <c r="U91" s="84">
        <f t="shared" si="32"/>
        <v>2041</v>
      </c>
    </row>
    <row r="92" spans="2:21" x14ac:dyDescent="0.2">
      <c r="B92" s="104" t="s">
        <v>101</v>
      </c>
      <c r="C92" s="108">
        <f>C57</f>
        <v>62.885489999999997</v>
      </c>
      <c r="D92" s="108">
        <f>D57</f>
        <v>62.455679115154567</v>
      </c>
      <c r="E92" s="108">
        <f t="shared" ref="E92:U92" si="33">D92*(1+E106/100)*E43-E60-E61+E62+E63+E64+E65+E66+E73</f>
        <v>63.692061751928861</v>
      </c>
      <c r="F92" s="108">
        <f t="shared" si="33"/>
        <v>64.202497678293042</v>
      </c>
      <c r="G92" s="108">
        <f t="shared" si="33"/>
        <v>63.836818327493361</v>
      </c>
      <c r="H92" s="108">
        <f t="shared" si="33"/>
        <v>62.913501633185533</v>
      </c>
      <c r="I92" s="108">
        <f t="shared" si="33"/>
        <v>61.635847869244621</v>
      </c>
      <c r="J92" s="108">
        <f t="shared" si="33"/>
        <v>60.304608755813618</v>
      </c>
      <c r="K92" s="108">
        <f t="shared" si="33"/>
        <v>58.916573017247039</v>
      </c>
      <c r="L92" s="108">
        <f t="shared" si="33"/>
        <v>58.101076817214988</v>
      </c>
      <c r="M92" s="108">
        <f t="shared" si="33"/>
        <v>57.447085816708856</v>
      </c>
      <c r="N92" s="108">
        <f t="shared" si="33"/>
        <v>56.799229240194322</v>
      </c>
      <c r="O92" s="108">
        <f t="shared" si="33"/>
        <v>56.191801145511604</v>
      </c>
      <c r="P92" s="108">
        <f t="shared" si="33"/>
        <v>55.623181130296096</v>
      </c>
      <c r="Q92" s="108">
        <f t="shared" si="33"/>
        <v>54.992064718318822</v>
      </c>
      <c r="R92" s="108">
        <f t="shared" si="33"/>
        <v>54.359481926733011</v>
      </c>
      <c r="S92" s="108">
        <f t="shared" si="33"/>
        <v>53.723240391627478</v>
      </c>
      <c r="T92" s="108">
        <f t="shared" si="33"/>
        <v>52.986854117768786</v>
      </c>
      <c r="U92" s="108">
        <f t="shared" si="33"/>
        <v>52.285409151593406</v>
      </c>
    </row>
    <row r="93" spans="2:21" x14ac:dyDescent="0.2">
      <c r="B93" s="26" t="s">
        <v>124</v>
      </c>
      <c r="C93" s="34"/>
      <c r="D93" s="250">
        <f>'Input data'!$C$66*D$92</f>
        <v>48.023909319617729</v>
      </c>
      <c r="E93" s="34">
        <f t="shared" ref="E93:U93" si="34">IF(E92=0,0,IF(E87=1,D92*E43/((1+E24/100)*(1+E42/100))-E94-E95,IF(AND(E87=0,E88=1),(1-D98-E39*D99)*D92*E43/((1+E24/100)*(1+E42/100)),E92)))</f>
        <v>48.294458579391062</v>
      </c>
      <c r="F93" s="34">
        <f t="shared" si="34"/>
        <v>49.041541480454299</v>
      </c>
      <c r="G93" s="34">
        <f t="shared" si="34"/>
        <v>49.221291318041011</v>
      </c>
      <c r="H93" s="34">
        <f t="shared" si="34"/>
        <v>48.858093026043775</v>
      </c>
      <c r="I93" s="34">
        <f t="shared" si="34"/>
        <v>47.863455912255375</v>
      </c>
      <c r="J93" s="34">
        <f t="shared" si="34"/>
        <v>46.833513193428928</v>
      </c>
      <c r="K93" s="34">
        <f t="shared" si="34"/>
        <v>45.765793869993317</v>
      </c>
      <c r="L93" s="34">
        <f t="shared" si="34"/>
        <v>44.874625896294347</v>
      </c>
      <c r="M93" s="34">
        <f t="shared" si="34"/>
        <v>44.187979262752378</v>
      </c>
      <c r="N93" s="34">
        <f t="shared" si="34"/>
        <v>43.586110966358504</v>
      </c>
      <c r="O93" s="34">
        <f t="shared" si="34"/>
        <v>43.018457784604863</v>
      </c>
      <c r="P93" s="34">
        <f t="shared" si="34"/>
        <v>42.484099218624678</v>
      </c>
      <c r="Q93" s="34">
        <f t="shared" si="34"/>
        <v>41.981565499089065</v>
      </c>
      <c r="R93" s="34">
        <f t="shared" si="34"/>
        <v>41.480602502853252</v>
      </c>
      <c r="S93" s="34">
        <f t="shared" si="34"/>
        <v>40.979154513293096</v>
      </c>
      <c r="T93" s="34">
        <f t="shared" si="34"/>
        <v>40.479543050585157</v>
      </c>
      <c r="U93" s="34">
        <f t="shared" si="34"/>
        <v>39.931997464958194</v>
      </c>
    </row>
    <row r="94" spans="2:21" x14ac:dyDescent="0.2">
      <c r="B94" s="103" t="s">
        <v>125</v>
      </c>
      <c r="C94" s="34"/>
      <c r="D94" s="250">
        <f>'Input data'!$C$67*D$92</f>
        <v>6.4240999089860908</v>
      </c>
      <c r="E94" s="34">
        <f t="shared" ref="E94:U94" si="35">IF(E92=0,0,IF(E87=1,E39*D92*D99*E43/((1+E24/100)*(1+E42/100)),IF(AND(E87=0,E88=1),(E39*D92*D99*E43/((1+E24/100)*(1+E42/100)))*(1-ABS(E92-D92*E43/((1+E24/100)*(1+E42/100)))/((E39*D92*D99*E43/((1+E24/100)*(1+E42/100)))+(D98*D92*E43/((1+E24/100)*(1+E42/100))))),0)))</f>
        <v>6.1272804703985093</v>
      </c>
      <c r="F94" s="34">
        <f t="shared" si="35"/>
        <v>6.3040193937363052</v>
      </c>
      <c r="G94" s="34">
        <f t="shared" si="35"/>
        <v>6.4096239502342067</v>
      </c>
      <c r="H94" s="34">
        <f t="shared" si="35"/>
        <v>6.4444616276679882</v>
      </c>
      <c r="I94" s="34">
        <f t="shared" si="35"/>
        <v>6.3939686035003191</v>
      </c>
      <c r="J94" s="34">
        <f t="shared" si="35"/>
        <v>6.3355811993516999</v>
      </c>
      <c r="K94" s="34">
        <f t="shared" si="35"/>
        <v>6.2687673222486016</v>
      </c>
      <c r="L94" s="34">
        <f t="shared" si="35"/>
        <v>6.2230417564020994</v>
      </c>
      <c r="M94" s="34">
        <f t="shared" si="35"/>
        <v>6.2032195008017457</v>
      </c>
      <c r="N94" s="34">
        <f t="shared" si="35"/>
        <v>6.1933232407016519</v>
      </c>
      <c r="O94" s="34">
        <f t="shared" si="35"/>
        <v>6.112663150474134</v>
      </c>
      <c r="P94" s="34">
        <f t="shared" si="35"/>
        <v>6.0367340241497534</v>
      </c>
      <c r="Q94" s="34">
        <f t="shared" si="35"/>
        <v>5.965327016379816</v>
      </c>
      <c r="R94" s="34">
        <f t="shared" si="35"/>
        <v>5.8941431989083855</v>
      </c>
      <c r="S94" s="34">
        <f t="shared" si="35"/>
        <v>5.8228904668134485</v>
      </c>
      <c r="T94" s="34">
        <f t="shared" si="35"/>
        <v>5.7518986940971768</v>
      </c>
      <c r="U94" s="34">
        <f t="shared" si="35"/>
        <v>5.6740957718905012</v>
      </c>
    </row>
    <row r="95" spans="2:21" x14ac:dyDescent="0.2">
      <c r="B95" s="103" t="s">
        <v>126</v>
      </c>
      <c r="C95" s="34"/>
      <c r="D95" s="250">
        <f>'Input data'!$C$68*D$92</f>
        <v>6.6882509052437129</v>
      </c>
      <c r="E95" s="34">
        <f t="shared" ref="E95:U95" si="36">IF(E92=0,0,IF(E87=1,(1-D99)*D92*E43/((1+E24/100)*(1+E42/100)),IF(AND(E87=0,E88=1),(D98*D92*E43/((1+E24/100)*(1+E42/100)))*(1-ABS(E92-D92*E43/((1+E24/100)*(1+E42/100)))/((E39*D92*D99*E43/((1+E24/100)*(1+E42/100)))+(D98*D92*E43/((1+E24/100)*(1+E42/100))))),0)))</f>
        <v>6.6728902042009688</v>
      </c>
      <c r="F95" s="34">
        <f t="shared" si="36"/>
        <v>6.7628600163945123</v>
      </c>
      <c r="G95" s="34">
        <f t="shared" si="36"/>
        <v>6.7797696522886461</v>
      </c>
      <c r="H95" s="34">
        <f t="shared" si="36"/>
        <v>6.7279287010427993</v>
      </c>
      <c r="I95" s="34">
        <f t="shared" si="36"/>
        <v>6.5936587873455696</v>
      </c>
      <c r="J95" s="34">
        <f t="shared" si="36"/>
        <v>6.4551573742629067</v>
      </c>
      <c r="K95" s="34">
        <f t="shared" si="36"/>
        <v>6.3120732199623895</v>
      </c>
      <c r="L95" s="34">
        <f t="shared" si="36"/>
        <v>6.1939759439434026</v>
      </c>
      <c r="M95" s="34">
        <f t="shared" si="36"/>
        <v>6.1020853879396029</v>
      </c>
      <c r="N95" s="34">
        <f t="shared" si="36"/>
        <v>6.0207461950689591</v>
      </c>
      <c r="O95" s="34">
        <f t="shared" si="36"/>
        <v>5.9348727854356795</v>
      </c>
      <c r="P95" s="34">
        <f t="shared" si="36"/>
        <v>5.8529092218498171</v>
      </c>
      <c r="Q95" s="34">
        <f t="shared" si="36"/>
        <v>5.7747301649764191</v>
      </c>
      <c r="R95" s="34">
        <f t="shared" si="36"/>
        <v>5.6969364495643946</v>
      </c>
      <c r="S95" s="34">
        <f t="shared" si="36"/>
        <v>5.6192782455490295</v>
      </c>
      <c r="T95" s="34">
        <f t="shared" si="36"/>
        <v>5.5421007686008235</v>
      </c>
      <c r="U95" s="34">
        <f t="shared" si="36"/>
        <v>5.459254350652003</v>
      </c>
    </row>
    <row r="96" spans="2:21" x14ac:dyDescent="0.2">
      <c r="B96" s="103" t="s">
        <v>127</v>
      </c>
      <c r="C96" s="34"/>
      <c r="D96" s="250">
        <f>'Input data'!$C$69*D$92</f>
        <v>1.1861189831955719</v>
      </c>
      <c r="E96" s="34">
        <f>IF(E92=0,0,IF(E87=1,'Input data'!$C$58*(E92-D92*E43/((1+E24/100)*(1+E42/100))),0))</f>
        <v>2.3350232434286053</v>
      </c>
      <c r="F96" s="34">
        <f>IF(F92=0,0,IF(F87=1,'Input data'!$C$58*(F92-E92*F43/((1+F24/100)*(1+F42/100))),0))</f>
        <v>1.8825197485222307</v>
      </c>
      <c r="G96" s="34">
        <f>IF(G92=0,0,IF(G87=1,'Input data'!$C$58*(G92-F92*G43/((1+G24/100)*(1+G42/100))),0))</f>
        <v>1.2820562829076727</v>
      </c>
      <c r="H96" s="34">
        <f>IF(H92=0,0,IF(H87=1,'Input data'!$C$58*(H92-G92*H43/((1+H24/100)*(1+H42/100))),0))</f>
        <v>0.79381012062688883</v>
      </c>
      <c r="I96" s="34">
        <f>IF(I92=0,0,IF(I87=1,'Input data'!$C$58*(I92-H92*I43/((1+I24/100)*(1+I42/100))),0))</f>
        <v>0.70548262717833343</v>
      </c>
      <c r="J96" s="34">
        <f>IF(J92=0,0,IF(J87=1,'Input data'!$C$58*(J92-I92*J43/((1+J24/100)*(1+J42/100))),0))</f>
        <v>0.61162297147980382</v>
      </c>
      <c r="K96" s="34">
        <f>IF(K92=0,0,IF(K87=1,'Input data'!$C$58*(K92-J92*K43/((1+K24/100)*(1+K42/100))),0))</f>
        <v>0.51235975955424695</v>
      </c>
      <c r="L96" s="34">
        <f>IF(L92=0,0,IF(L87=1,'Input data'!$C$58*(L92-K92*L43/((1+L24/100)*(1+L42/100))),0))</f>
        <v>0.72765909626003145</v>
      </c>
      <c r="M96" s="34">
        <f>IF(M92=0,0,IF(M87=1,'Input data'!$C$58*(M92-L92*M43/((1+M24/100)*(1+M42/100))),0))</f>
        <v>0.85744251666444138</v>
      </c>
      <c r="N96" s="34">
        <f>IF(N92=0,0,IF(N87=1,'Input data'!$C$58*(N92-M92*N43/((1+N24/100)*(1+N42/100))),0))</f>
        <v>0.89811853053129598</v>
      </c>
      <c r="O96" s="34">
        <f>IF(O92=0,0,IF(O87=1,'Input data'!$C$58*(O92-N92*O43/((1+O24/100)*(1+O42/100))),0))</f>
        <v>1.0120711537562186</v>
      </c>
      <c r="P96" s="34">
        <f>IF(P92=0,0,IF(P87=1,'Input data'!$C$58*(P92-O92*P43/((1+P24/100)*(1+P42/100))),0))</f>
        <v>1.1232123752582224</v>
      </c>
      <c r="Q96" s="34">
        <f>IF(Q92=0,0,IF(Q87=1,'Input data'!$C$58*(Q92-P92*Q43/((1+Q24/100)*(1+Q42/100))),0))</f>
        <v>1.1420938523784967</v>
      </c>
      <c r="R96" s="34">
        <f>IF(R92=0,0,IF(R87=1,'Input data'!$C$58*(R92-Q92*R43/((1+R24/100)*(1+R42/100))),0))</f>
        <v>1.1576980001767989</v>
      </c>
      <c r="S96" s="34">
        <f>IF(S92=0,0,IF(S87=1,'Input data'!$C$58*(S92-R92*S43/((1+S24/100)*(1+S42/100))),0))</f>
        <v>1.1703891615955635</v>
      </c>
      <c r="T96" s="34">
        <f>IF(T92=0,0,IF(T87=1,'Input data'!$C$58*(T92-S92*T43/((1+T24/100)*(1+T42/100))),0))</f>
        <v>1.0907351010062187</v>
      </c>
      <c r="U96" s="34">
        <f>IF(U92=0,0,IF(U87=1,'Input data'!$C$58*(U92-T92*U43/((1+U24/100)*(1+U42/100))),0))</f>
        <v>1.096803136494054</v>
      </c>
    </row>
    <row r="97" spans="2:23" x14ac:dyDescent="0.2">
      <c r="B97" s="105" t="s">
        <v>128</v>
      </c>
      <c r="C97" s="49"/>
      <c r="D97" s="251">
        <f>'Input data'!$C$70*D$92</f>
        <v>0.13329569811152336</v>
      </c>
      <c r="E97" s="49">
        <f>IF(E92=0,0,IF(E87=1,'Input data'!$C$57*(E92-D92*E43/((1+E24/100)*(1+E42/100))),0))</f>
        <v>0.26240925450971603</v>
      </c>
      <c r="F97" s="49">
        <f>IF(F92=0,0,IF(F87=1,'Input data'!$C$57*(F92-E92*F43/((1+F24/100)*(1+F42/100))),0))</f>
        <v>0.2115570391856961</v>
      </c>
      <c r="G97" s="49">
        <f>IF(G92=0,0,IF(G87=1,'Input data'!$C$57*(G92-F92*G43/((1+G24/100)*(1+G42/100))),0))</f>
        <v>0.14407712402182191</v>
      </c>
      <c r="H97" s="49">
        <f>IF(H92=0,0,IF(H87=1,'Input data'!$C$57*(H92-G92*H43/((1+H24/100)*(1+H42/100))),0))</f>
        <v>8.9208157804078245E-2</v>
      </c>
      <c r="I97" s="49">
        <f>IF(I92=0,0,IF(I87=1,'Input data'!$C$57*(I92-H92*I43/((1+I24/100)*(1+I42/100))),0))</f>
        <v>7.9281938965025431E-2</v>
      </c>
      <c r="J97" s="49">
        <f>IF(J92=0,0,IF(J87=1,'Input data'!$C$57*(J92-I92*J43/((1+J24/100)*(1+J42/100))),0))</f>
        <v>6.8734017290282223E-2</v>
      </c>
      <c r="K97" s="49">
        <f>IF(K92=0,0,IF(K87=1,'Input data'!$C$57*(K92-J92*K43/((1+K24/100)*(1+K42/100))),0))</f>
        <v>5.7578845488489509E-2</v>
      </c>
      <c r="L97" s="49">
        <f>IF(L92=0,0,IF(L87=1,'Input data'!$C$57*(L92-K92*L43/((1+L24/100)*(1+L42/100))),0))</f>
        <v>8.1774124315112745E-2</v>
      </c>
      <c r="M97" s="49">
        <f>IF(M92=0,0,IF(M87=1,'Input data'!$C$57*(M92-L92*M43/((1+M24/100)*(1+M42/100))),0))</f>
        <v>9.6359148550689944E-2</v>
      </c>
      <c r="N97" s="49">
        <f>IF(N92=0,0,IF(N87=1,'Input data'!$C$57*(N92-M92*N43/((1+N24/100)*(1+N42/100))),0))</f>
        <v>0.1009303075339108</v>
      </c>
      <c r="O97" s="49">
        <f>IF(O92=0,0,IF(O87=1,'Input data'!$C$57*(O92-N92*O43/((1+O24/100)*(1+O42/100))),0))</f>
        <v>0.11373627124070969</v>
      </c>
      <c r="P97" s="49">
        <f>IF(P92=0,0,IF(P87=1,'Input data'!$C$57*(P92-O92*P43/((1+P24/100)*(1+P42/100))),0))</f>
        <v>0.12622629041363093</v>
      </c>
      <c r="Q97" s="49">
        <f>IF(Q92=0,0,IF(Q87=1,'Input data'!$C$57*(Q92-P92*Q43/((1+Q24/100)*(1+Q42/100))),0))</f>
        <v>0.12834818549502561</v>
      </c>
      <c r="R97" s="49">
        <f>IF(R92=0,0,IF(R87=1,'Input data'!$C$57*(R92-Q92*R43/((1+R24/100)*(1+R42/100))),0))</f>
        <v>0.1301017752301751</v>
      </c>
      <c r="S97" s="49">
        <f>IF(S92=0,0,IF(S87=1,'Input data'!$C$57*(S92-R92*S43/((1+S24/100)*(1+S42/100))),0))</f>
        <v>0.13152800437634435</v>
      </c>
      <c r="T97" s="49">
        <f>IF(T92=0,0,IF(T87=1,'Input data'!$C$57*(T92-S92*T43/((1+T24/100)*(1+T42/100))),0))</f>
        <v>0.12257650347940656</v>
      </c>
      <c r="U97" s="49">
        <f>IF(U92=0,0,IF(U87=1,'Input data'!$C$57*(U92-T92*U43/((1+U24/100)*(1+U42/100))),0))</f>
        <v>0.12325842759865573</v>
      </c>
    </row>
    <row r="98" spans="2:23" x14ac:dyDescent="0.2">
      <c r="B98" s="26" t="s">
        <v>73</v>
      </c>
      <c r="C98" s="36"/>
      <c r="D98" s="36">
        <f t="shared" ref="D98:U98" si="37">IF(D92&lt;&gt;0,(D95+D97)/(D93+D94+D95+D96+D97),0)</f>
        <v>0.10922220636546567</v>
      </c>
      <c r="E98" s="36">
        <f t="shared" si="37"/>
        <v>0.10888797234610882</v>
      </c>
      <c r="F98" s="36">
        <f t="shared" si="37"/>
        <v>0.10863155340977131</v>
      </c>
      <c r="G98" s="36">
        <f t="shared" si="37"/>
        <v>0.10846165203268741</v>
      </c>
      <c r="H98" s="36">
        <f t="shared" si="37"/>
        <v>0.10835729504604434</v>
      </c>
      <c r="I98" s="36">
        <f t="shared" si="37"/>
        <v>0.10826395607417764</v>
      </c>
      <c r="J98" s="36">
        <f t="shared" si="37"/>
        <v>0.10818230191940775</v>
      </c>
      <c r="K98" s="36">
        <f t="shared" si="37"/>
        <v>0.10811307819255284</v>
      </c>
      <c r="L98" s="36">
        <f t="shared" si="37"/>
        <v>0.10801435037085319</v>
      </c>
      <c r="M98" s="36">
        <f t="shared" si="37"/>
        <v>0.10789832849427908</v>
      </c>
      <c r="N98" s="36">
        <f t="shared" si="37"/>
        <v>0.10777745727350167</v>
      </c>
      <c r="O98" s="36">
        <f t="shared" si="37"/>
        <v>0.10764219927767041</v>
      </c>
      <c r="P98" s="36">
        <f t="shared" si="37"/>
        <v>0.10749359153439018</v>
      </c>
      <c r="Q98" s="36">
        <f t="shared" si="37"/>
        <v>0.10734418466933876</v>
      </c>
      <c r="R98" s="36">
        <f t="shared" si="37"/>
        <v>0.10719451360203154</v>
      </c>
      <c r="S98" s="36">
        <f>IF(S92&lt;&gt;0,(S95+S97)/(S93+S94+S95+S96+S97),0)</f>
        <v>0.10704503689657578</v>
      </c>
      <c r="T98" s="36">
        <f t="shared" si="37"/>
        <v>0.10690722003404649</v>
      </c>
      <c r="U98" s="34">
        <f t="shared" si="37"/>
        <v>0.10676999317467388</v>
      </c>
    </row>
    <row r="99" spans="2:23" x14ac:dyDescent="0.2">
      <c r="B99" s="35" t="s">
        <v>74</v>
      </c>
      <c r="C99" s="106"/>
      <c r="D99" s="106">
        <f t="shared" ref="D99:U99" si="38">IF(D92&lt;&gt;0,(D93+D94+D96)/(D93+D94+D95+D96+D97),1)</f>
        <v>0.89077779363453435</v>
      </c>
      <c r="E99" s="106">
        <f t="shared" si="38"/>
        <v>0.8911120276538913</v>
      </c>
      <c r="F99" s="106">
        <f t="shared" si="38"/>
        <v>0.89136844659022862</v>
      </c>
      <c r="G99" s="106">
        <f t="shared" si="38"/>
        <v>0.89153834796731257</v>
      </c>
      <c r="H99" s="106">
        <f t="shared" si="38"/>
        <v>0.89164270495395559</v>
      </c>
      <c r="I99" s="106">
        <f t="shared" si="38"/>
        <v>0.8917360439258224</v>
      </c>
      <c r="J99" s="106">
        <f t="shared" si="38"/>
        <v>0.8918176980805923</v>
      </c>
      <c r="K99" s="106">
        <f t="shared" si="38"/>
        <v>0.891886921807447</v>
      </c>
      <c r="L99" s="106">
        <f t="shared" si="38"/>
        <v>0.89198564962914695</v>
      </c>
      <c r="M99" s="106">
        <f t="shared" si="38"/>
        <v>0.89210167150572095</v>
      </c>
      <c r="N99" s="106">
        <f t="shared" si="38"/>
        <v>0.89222254272649837</v>
      </c>
      <c r="O99" s="106">
        <f t="shared" si="38"/>
        <v>0.89235780072232951</v>
      </c>
      <c r="P99" s="106">
        <f t="shared" si="38"/>
        <v>0.8925064084656098</v>
      </c>
      <c r="Q99" s="106">
        <f t="shared" si="38"/>
        <v>0.89265581533066118</v>
      </c>
      <c r="R99" s="106">
        <f t="shared" si="38"/>
        <v>0.89280548639796842</v>
      </c>
      <c r="S99" s="106">
        <f t="shared" si="38"/>
        <v>0.89295496310342437</v>
      </c>
      <c r="T99" s="106">
        <f t="shared" si="38"/>
        <v>0.89309277996595349</v>
      </c>
      <c r="U99" s="49">
        <f t="shared" si="38"/>
        <v>0.89323000682532616</v>
      </c>
    </row>
    <row r="100" spans="2:23" x14ac:dyDescent="0.2">
      <c r="C100" s="38"/>
      <c r="D100" s="38"/>
      <c r="E100" s="38"/>
      <c r="F100" s="38"/>
      <c r="G100" s="38"/>
      <c r="H100" s="38"/>
      <c r="I100" s="38"/>
      <c r="J100" s="38"/>
      <c r="K100" s="38"/>
      <c r="L100" s="38"/>
      <c r="M100" s="38"/>
      <c r="N100" s="38"/>
      <c r="O100" s="38"/>
      <c r="P100" s="38"/>
      <c r="Q100" s="38"/>
      <c r="R100" s="38"/>
      <c r="S100" s="38"/>
      <c r="T100" s="38"/>
      <c r="U100" s="38"/>
    </row>
    <row r="101" spans="2:23" x14ac:dyDescent="0.2">
      <c r="B101" s="111" t="s">
        <v>129</v>
      </c>
      <c r="C101" s="112">
        <f>'Baseline NFPC'!C96</f>
        <v>1.422372</v>
      </c>
      <c r="D101" s="112">
        <f>'Baseline NFPC'!D96</f>
        <v>1.7254640000000001</v>
      </c>
      <c r="E101" s="112">
        <f>'Baseline NFPC'!E96</f>
        <v>1.8</v>
      </c>
      <c r="F101" s="112">
        <f t="shared" ref="F101:U101" si="39">F103+F104</f>
        <v>1.7990942278989217</v>
      </c>
      <c r="G101" s="112">
        <f t="shared" si="39"/>
        <v>1.9393064891870158</v>
      </c>
      <c r="H101" s="112">
        <f>H103+H104</f>
        <v>2.0651772983228507</v>
      </c>
      <c r="I101" s="112">
        <f t="shared" si="39"/>
        <v>2.180776329159134</v>
      </c>
      <c r="J101" s="112">
        <f t="shared" si="39"/>
        <v>2.2924541198341357</v>
      </c>
      <c r="K101" s="112">
        <f t="shared" si="39"/>
        <v>2.4006191944976396</v>
      </c>
      <c r="L101" s="112">
        <f t="shared" si="39"/>
        <v>2.5056322003111475</v>
      </c>
      <c r="M101" s="112">
        <f t="shared" si="39"/>
        <v>2.6113353762557163</v>
      </c>
      <c r="N101" s="112">
        <f t="shared" si="39"/>
        <v>2.7165151216313022</v>
      </c>
      <c r="O101" s="112">
        <f t="shared" si="39"/>
        <v>2.7928728248834673</v>
      </c>
      <c r="P101" s="112">
        <f t="shared" si="39"/>
        <v>2.8633285851629737</v>
      </c>
      <c r="Q101" s="112">
        <f t="shared" si="39"/>
        <v>2.9285150040117558</v>
      </c>
      <c r="R101" s="112">
        <f t="shared" si="39"/>
        <v>2.9883091258861123</v>
      </c>
      <c r="S101" s="112">
        <f t="shared" si="39"/>
        <v>3.043434611864809</v>
      </c>
      <c r="T101" s="112">
        <f t="shared" si="39"/>
        <v>3.0945248541476582</v>
      </c>
      <c r="U101" s="112">
        <f t="shared" si="39"/>
        <v>3.1415413168808737</v>
      </c>
    </row>
    <row r="102" spans="2:23" x14ac:dyDescent="0.2">
      <c r="B102" s="33" t="s">
        <v>130</v>
      </c>
      <c r="C102" s="34"/>
      <c r="D102" s="34"/>
      <c r="E102" s="260">
        <f>((E36*D92)-(E38*(D95+D97)))/(D93+D94+D96)</f>
        <v>1.775559038079825</v>
      </c>
      <c r="F102" s="34">
        <f>IF(E92&gt;0,(E102*E93+
('Baseline NFPC'!F97*('Baseline NFPC'!E88+'Baseline NFPC'!E89+'Baseline NFPC'!E91)-'Baseline NFPC'!E97*'Baseline NFPC'!E88)/('Baseline NFPC'!E89+'Baseline NFPC'!E91)
*(E96+E94))/(E93+E94+E96),F37)</f>
        <v>1.8086572302541541</v>
      </c>
      <c r="G102" s="34">
        <f t="shared" ref="G102:U102" si="40">IF(F92&gt;0,(F102*F93+G37*(F96+F94))/(F93+F94+F96),G37)</f>
        <v>1.946802150630204</v>
      </c>
      <c r="H102" s="34">
        <f t="shared" si="40"/>
        <v>2.0688765816266814</v>
      </c>
      <c r="I102" s="34">
        <f t="shared" si="40"/>
        <v>2.1794441918135763</v>
      </c>
      <c r="J102" s="34">
        <f t="shared" si="40"/>
        <v>2.2856246266709639</v>
      </c>
      <c r="K102" s="34">
        <f t="shared" si="40"/>
        <v>2.3878753732313474</v>
      </c>
      <c r="L102" s="34">
        <f t="shared" si="40"/>
        <v>2.4865995769179201</v>
      </c>
      <c r="M102" s="34">
        <f t="shared" si="40"/>
        <v>2.5861143161241484</v>
      </c>
      <c r="N102" s="34">
        <f t="shared" si="40"/>
        <v>2.6850606735876297</v>
      </c>
      <c r="O102" s="34">
        <f t="shared" si="40"/>
        <v>2.7765799987558872</v>
      </c>
      <c r="P102" s="34">
        <f t="shared" si="40"/>
        <v>2.8614476025952778</v>
      </c>
      <c r="Q102" s="34">
        <f t="shared" si="40"/>
        <v>2.9403689633748313</v>
      </c>
      <c r="R102" s="34">
        <f t="shared" si="40"/>
        <v>3.0132068410483361</v>
      </c>
      <c r="S102" s="34">
        <f t="shared" si="40"/>
        <v>3.0807747185646108</v>
      </c>
      <c r="T102" s="34">
        <f t="shared" si="40"/>
        <v>3.143784700076349</v>
      </c>
      <c r="U102" s="34">
        <f t="shared" si="40"/>
        <v>3.2022032834150251</v>
      </c>
    </row>
    <row r="103" spans="2:23" x14ac:dyDescent="0.2">
      <c r="B103" s="26" t="s">
        <v>131</v>
      </c>
      <c r="C103" s="34"/>
      <c r="D103" s="34"/>
      <c r="E103" s="34">
        <f t="shared" ref="E103:U103" si="41">(E102*(D93+D94+D96)+E38*(D95+D97))/D92</f>
        <v>1.8</v>
      </c>
      <c r="F103" s="34">
        <f t="shared" si="41"/>
        <v>1.7990942278989217</v>
      </c>
      <c r="G103" s="34">
        <f t="shared" si="41"/>
        <v>1.9393064891870158</v>
      </c>
      <c r="H103" s="34">
        <f t="shared" si="41"/>
        <v>2.0651772983228507</v>
      </c>
      <c r="I103" s="34">
        <f t="shared" si="41"/>
        <v>2.180776329159134</v>
      </c>
      <c r="J103" s="34">
        <f t="shared" si="41"/>
        <v>2.2924541198341357</v>
      </c>
      <c r="K103" s="34">
        <f t="shared" si="41"/>
        <v>2.4006191944976396</v>
      </c>
      <c r="L103" s="34">
        <f t="shared" si="41"/>
        <v>2.5056322003111475</v>
      </c>
      <c r="M103" s="34">
        <f t="shared" si="41"/>
        <v>2.6113353762557163</v>
      </c>
      <c r="N103" s="34">
        <f t="shared" si="41"/>
        <v>2.7165151216313022</v>
      </c>
      <c r="O103" s="34">
        <f t="shared" si="41"/>
        <v>2.7928728248834673</v>
      </c>
      <c r="P103" s="34">
        <f t="shared" si="41"/>
        <v>2.8633285851629737</v>
      </c>
      <c r="Q103" s="34">
        <f t="shared" si="41"/>
        <v>2.9285150040117558</v>
      </c>
      <c r="R103" s="34">
        <f t="shared" si="41"/>
        <v>2.9883091258861123</v>
      </c>
      <c r="S103" s="34">
        <f t="shared" si="41"/>
        <v>3.043434611864809</v>
      </c>
      <c r="T103" s="34">
        <f t="shared" si="41"/>
        <v>3.0945248541476582</v>
      </c>
      <c r="U103" s="34">
        <f t="shared" si="41"/>
        <v>3.1415413168808737</v>
      </c>
    </row>
    <row r="104" spans="2:23" x14ac:dyDescent="0.2">
      <c r="B104" s="35" t="s">
        <v>132</v>
      </c>
      <c r="C104" s="49"/>
      <c r="D104" s="49"/>
      <c r="E104" s="49">
        <f>IF('Criteria results'!$F$5=4,E115,E120)</f>
        <v>0</v>
      </c>
      <c r="F104" s="49">
        <f>IF('Criteria results'!$F$5=4,F115,F120)</f>
        <v>0</v>
      </c>
      <c r="G104" s="49">
        <f>IF('Criteria results'!$F$5=4,G115,G120)</f>
        <v>0</v>
      </c>
      <c r="H104" s="49">
        <f>IF('Criteria results'!$F$5=4,H115,H120)</f>
        <v>0</v>
      </c>
      <c r="I104" s="49">
        <f>IF('Criteria results'!$F$5=4,I115,I120)</f>
        <v>0</v>
      </c>
      <c r="J104" s="49">
        <f>IF('Criteria results'!$F$5=4,J115,J120)</f>
        <v>0</v>
      </c>
      <c r="K104" s="49">
        <f>IF('Criteria results'!$F$5=4,K115,K120)</f>
        <v>0</v>
      </c>
      <c r="L104" s="49">
        <f>IF('Criteria results'!$F$5=4,L115,L120)</f>
        <v>0</v>
      </c>
      <c r="M104" s="49">
        <f>IF('Criteria results'!$F$5=4,M115,M120)</f>
        <v>0</v>
      </c>
      <c r="N104" s="49">
        <f>IF('Criteria results'!$F$5=4,N115,N120)</f>
        <v>0</v>
      </c>
      <c r="O104" s="49">
        <f>IF('Criteria results'!$F$5=4,O115,O120)</f>
        <v>0</v>
      </c>
      <c r="P104" s="49">
        <f>IF('Criteria results'!$F$5=4,P115,P120)</f>
        <v>0</v>
      </c>
      <c r="Q104" s="49">
        <f>IF('Criteria results'!$F$5=4,Q115,Q120)</f>
        <v>0</v>
      </c>
      <c r="R104" s="49">
        <f>IF('Criteria results'!$F$5=4,R115,R120)</f>
        <v>0</v>
      </c>
      <c r="S104" s="49">
        <f>IF('Criteria results'!$F$5=4,S115,S120)</f>
        <v>0</v>
      </c>
      <c r="T104" s="49">
        <f>IF('Criteria results'!$F$5=4,T115,T120)</f>
        <v>0</v>
      </c>
      <c r="U104" s="49">
        <f>IF('Criteria results'!$F$5=4,U115,U120)</f>
        <v>0</v>
      </c>
    </row>
    <row r="105" spans="2:23" x14ac:dyDescent="0.2">
      <c r="C105" s="38"/>
      <c r="D105" s="38"/>
      <c r="E105" s="34"/>
      <c r="F105" s="34"/>
      <c r="G105" s="34"/>
      <c r="H105" s="34"/>
      <c r="I105" s="34"/>
      <c r="J105" s="34"/>
      <c r="K105" s="34"/>
      <c r="L105" s="34"/>
      <c r="M105" s="34"/>
      <c r="N105" s="34"/>
      <c r="O105" s="34"/>
      <c r="P105" s="34"/>
      <c r="Q105" s="34"/>
      <c r="R105" s="34"/>
      <c r="S105" s="34"/>
      <c r="T105" s="34"/>
      <c r="U105" s="34"/>
    </row>
    <row r="106" spans="2:23" x14ac:dyDescent="0.2">
      <c r="B106" s="111" t="s">
        <v>180</v>
      </c>
      <c r="C106" s="112">
        <f t="shared" ref="C106:U106" si="42">((1+C101/100)/((1+C24/100)*(1+C42/100))-1)*100</f>
        <v>-4.1920800045848967</v>
      </c>
      <c r="D106" s="112">
        <f t="shared" si="42"/>
        <v>-1.1030666651806187</v>
      </c>
      <c r="E106" s="112">
        <f t="shared" si="42"/>
        <v>-0.39216468564253759</v>
      </c>
      <c r="F106" s="112">
        <f t="shared" si="42"/>
        <v>-0.71457644324709468</v>
      </c>
      <c r="G106" s="112">
        <f t="shared" si="42"/>
        <v>-0.90569419593659051</v>
      </c>
      <c r="H106" s="112">
        <f t="shared" si="42"/>
        <v>-0.82287232700354318</v>
      </c>
      <c r="I106" s="112">
        <f t="shared" si="42"/>
        <v>-1.1688942600286412</v>
      </c>
      <c r="J106" s="112">
        <f t="shared" si="42"/>
        <v>-1.0460430227470452</v>
      </c>
      <c r="K106" s="112">
        <f t="shared" si="42"/>
        <v>-0.92413142223205513</v>
      </c>
      <c r="L106" s="112">
        <f t="shared" si="42"/>
        <v>-0.3214911201757098</v>
      </c>
      <c r="M106" s="112">
        <f t="shared" si="42"/>
        <v>-0.2281602316626441</v>
      </c>
      <c r="N106" s="112">
        <f t="shared" si="42"/>
        <v>-0.22818403091255934</v>
      </c>
      <c r="O106" s="112">
        <f t="shared" si="42"/>
        <v>-0.34386442900731229</v>
      </c>
      <c r="P106" s="112">
        <f t="shared" si="42"/>
        <v>-0.46476490297683304</v>
      </c>
      <c r="Q106" s="112">
        <f t="shared" si="42"/>
        <v>-0.59024432365044621</v>
      </c>
      <c r="R106" s="112">
        <f t="shared" si="42"/>
        <v>-0.60815437230170577</v>
      </c>
      <c r="S106" s="112">
        <f t="shared" si="42"/>
        <v>-0.63052478405200008</v>
      </c>
      <c r="T106" s="112">
        <f t="shared" si="42"/>
        <v>-0.64693182106012603</v>
      </c>
      <c r="U106" s="112">
        <f t="shared" si="42"/>
        <v>-0.59876651007204629</v>
      </c>
    </row>
    <row r="107" spans="2:23" x14ac:dyDescent="0.2">
      <c r="D107" s="34"/>
      <c r="E107" s="34"/>
      <c r="F107" s="34"/>
      <c r="G107" s="34"/>
      <c r="H107" s="34"/>
      <c r="I107" s="34"/>
      <c r="J107" s="34"/>
      <c r="K107" s="34"/>
      <c r="L107" s="34"/>
      <c r="M107" s="34"/>
      <c r="N107" s="34"/>
      <c r="O107" s="34"/>
      <c r="P107" s="34"/>
      <c r="Q107" s="34"/>
      <c r="R107" s="34"/>
      <c r="S107" s="34"/>
      <c r="T107" s="34"/>
      <c r="U107" s="34"/>
    </row>
    <row r="108" spans="2:23" x14ac:dyDescent="0.2">
      <c r="B108" s="391"/>
      <c r="C108" s="391"/>
      <c r="D108" s="392"/>
      <c r="E108" s="393"/>
      <c r="F108" s="393"/>
      <c r="G108" s="394"/>
      <c r="H108" s="394"/>
      <c r="I108" s="249"/>
      <c r="J108" s="249"/>
      <c r="K108" s="249"/>
      <c r="L108" s="249"/>
      <c r="M108" s="249"/>
      <c r="N108" s="249"/>
      <c r="O108" s="249"/>
      <c r="P108" s="249"/>
      <c r="Q108" s="249"/>
      <c r="R108" s="249"/>
      <c r="S108" s="34"/>
      <c r="T108" s="34"/>
      <c r="U108" s="34"/>
    </row>
    <row r="109" spans="2:23" x14ac:dyDescent="0.2">
      <c r="R109" s="62"/>
      <c r="S109" s="62"/>
      <c r="T109" s="62"/>
      <c r="U109" s="62"/>
      <c r="V109" s="62"/>
      <c r="W109" s="62"/>
    </row>
    <row r="110" spans="2:23" s="25" customFormat="1" ht="12.75" outlineLevel="1" x14ac:dyDescent="0.2">
      <c r="B110" s="25" t="s">
        <v>133</v>
      </c>
      <c r="C110" s="110"/>
      <c r="D110" s="110"/>
      <c r="E110" s="110"/>
      <c r="F110" s="110"/>
      <c r="G110" s="110"/>
      <c r="H110" s="110"/>
      <c r="I110" s="110"/>
      <c r="J110" s="110"/>
      <c r="K110" s="110"/>
      <c r="L110" s="110"/>
      <c r="M110" s="110"/>
      <c r="N110" s="110"/>
      <c r="O110" s="110"/>
      <c r="P110" s="110"/>
      <c r="Q110" s="110"/>
      <c r="R110" s="110"/>
      <c r="S110" s="110"/>
      <c r="T110" s="110"/>
      <c r="U110" s="110"/>
    </row>
    <row r="111" spans="2:23" s="100" customFormat="1" ht="12.75" outlineLevel="1" x14ac:dyDescent="0.2">
      <c r="C111" s="121"/>
      <c r="D111" s="121"/>
      <c r="E111" s="121"/>
      <c r="F111" s="121"/>
      <c r="G111" s="121"/>
      <c r="H111" s="121"/>
      <c r="I111" s="121"/>
      <c r="J111" s="121"/>
      <c r="K111" s="121"/>
      <c r="L111" s="121"/>
      <c r="M111" s="121"/>
      <c r="N111" s="121"/>
      <c r="O111" s="121"/>
      <c r="P111" s="121"/>
      <c r="Q111" s="121"/>
      <c r="R111" s="121"/>
      <c r="S111" s="121"/>
      <c r="T111" s="121"/>
      <c r="U111" s="121"/>
    </row>
    <row r="112" spans="2:23" s="100" customFormat="1" ht="12.75" outlineLevel="1" x14ac:dyDescent="0.2">
      <c r="B112" s="104" t="s">
        <v>294</v>
      </c>
      <c r="C112" s="122"/>
      <c r="D112" s="122"/>
      <c r="E112" s="122"/>
      <c r="F112" s="37"/>
      <c r="G112" s="37"/>
      <c r="H112" s="37"/>
      <c r="I112" s="37"/>
      <c r="J112" s="37"/>
      <c r="K112" s="37"/>
      <c r="L112" s="37"/>
      <c r="M112" s="37"/>
      <c r="N112" s="37"/>
      <c r="O112" s="37"/>
      <c r="P112" s="37"/>
      <c r="Q112" s="37"/>
      <c r="R112" s="37"/>
      <c r="S112" s="122"/>
      <c r="T112" s="122"/>
      <c r="U112" s="122"/>
    </row>
    <row r="113" spans="1:51" outlineLevel="1" x14ac:dyDescent="0.2">
      <c r="B113" s="117" t="s">
        <v>43</v>
      </c>
      <c r="C113" s="34">
        <v>62.885486602783203</v>
      </c>
      <c r="D113" s="34">
        <v>62.455677032470703</v>
      </c>
      <c r="E113" s="34">
        <v>63.692066192626953</v>
      </c>
      <c r="F113" s="34">
        <v>64.202499389648438</v>
      </c>
      <c r="G113" s="34">
        <v>63.836818695068359</v>
      </c>
      <c r="H113" s="34">
        <v>62.913509368896484</v>
      </c>
      <c r="I113" s="34">
        <v>61.635852813720703</v>
      </c>
      <c r="J113" s="34">
        <v>60.304611206054688</v>
      </c>
      <c r="K113" s="34">
        <v>58.916572570800781</v>
      </c>
      <c r="L113" s="34">
        <v>58.101078033447266</v>
      </c>
      <c r="M113" s="34">
        <v>57.447086334228516</v>
      </c>
      <c r="N113" s="34">
        <v>56.799232482910156</v>
      </c>
      <c r="O113" s="34">
        <v>56.191806793212891</v>
      </c>
      <c r="P113" s="34">
        <v>55.623191833496094</v>
      </c>
      <c r="Q113" s="34">
        <v>54.992080688476563</v>
      </c>
      <c r="R113" s="34">
        <v>54.359504699707031</v>
      </c>
      <c r="S113" s="34">
        <v>53.723274230957031</v>
      </c>
      <c r="T113" s="34">
        <v>52.986896514892578</v>
      </c>
      <c r="U113" s="34">
        <v>52.28546142578125</v>
      </c>
      <c r="V113" s="113"/>
      <c r="W113" s="62"/>
    </row>
    <row r="114" spans="1:51" x14ac:dyDescent="0.2">
      <c r="B114" s="26" t="s">
        <v>129</v>
      </c>
      <c r="C114" s="1">
        <v>1.4223718643188477</v>
      </c>
      <c r="D114" s="1">
        <v>1.7254641056060791</v>
      </c>
      <c r="E114" s="1">
        <v>1.7999998331069946</v>
      </c>
      <c r="F114" s="1">
        <v>1.7990946769714355</v>
      </c>
      <c r="G114" s="1">
        <v>1.9393068552017212</v>
      </c>
      <c r="H114" s="1">
        <v>2.0651776790618896</v>
      </c>
      <c r="I114" s="1">
        <v>2.1807765960693359</v>
      </c>
      <c r="J114" s="1">
        <v>2.2924544811248779</v>
      </c>
      <c r="K114" s="1">
        <v>2.4006197452545166</v>
      </c>
      <c r="L114" s="1">
        <v>2.5056326389312744</v>
      </c>
      <c r="M114" s="1">
        <v>2.6113355159759521</v>
      </c>
      <c r="N114" s="1">
        <v>2.7165153026580811</v>
      </c>
      <c r="O114" s="1">
        <v>2.7928731441497803</v>
      </c>
      <c r="P114" s="1">
        <v>2.8633289337158203</v>
      </c>
      <c r="Q114" s="1">
        <v>2.9285151958465576</v>
      </c>
      <c r="R114" s="1">
        <v>2.988309383392334</v>
      </c>
      <c r="S114" s="1">
        <v>3.0434348583221436</v>
      </c>
      <c r="T114" s="1">
        <v>3.0945250988006592</v>
      </c>
      <c r="U114" s="1">
        <v>3.1415417194366455</v>
      </c>
      <c r="V114" s="114"/>
      <c r="W114" s="59"/>
      <c r="X114" s="59"/>
      <c r="Y114" s="59"/>
      <c r="Z114" s="59"/>
      <c r="AA114" s="59"/>
      <c r="AB114" s="59"/>
      <c r="AC114" s="59"/>
      <c r="AD114" s="59"/>
      <c r="AE114" s="59"/>
      <c r="AF114" s="59"/>
      <c r="AG114" s="59"/>
      <c r="AH114" s="59"/>
      <c r="AI114" s="59"/>
      <c r="AJ114" s="59"/>
      <c r="AK114" s="59"/>
      <c r="AL114" s="59"/>
      <c r="AM114" s="59"/>
      <c r="AN114" s="59"/>
      <c r="AO114" s="59"/>
      <c r="AP114" s="59"/>
      <c r="AQ114" s="59"/>
      <c r="AR114" s="59"/>
      <c r="AS114" s="59"/>
      <c r="AT114" s="59"/>
      <c r="AU114" s="59"/>
      <c r="AV114" s="59"/>
      <c r="AW114" s="60"/>
    </row>
    <row r="115" spans="1:51" x14ac:dyDescent="0.2">
      <c r="B115" s="26" t="s">
        <v>179</v>
      </c>
      <c r="C115" s="1">
        <v>0</v>
      </c>
      <c r="D115" s="1">
        <v>0</v>
      </c>
      <c r="E115" s="1">
        <v>0</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14"/>
      <c r="W115" s="59"/>
      <c r="X115" s="59"/>
      <c r="Y115" s="59"/>
      <c r="Z115" s="59"/>
      <c r="AA115" s="59"/>
      <c r="AB115" s="59"/>
      <c r="AC115" s="59"/>
      <c r="AD115" s="59"/>
      <c r="AE115" s="59"/>
      <c r="AF115" s="59"/>
      <c r="AG115" s="59"/>
      <c r="AH115" s="59"/>
      <c r="AI115" s="59"/>
      <c r="AJ115" s="59"/>
      <c r="AK115" s="59"/>
      <c r="AL115" s="59"/>
      <c r="AM115" s="59"/>
      <c r="AN115" s="59"/>
      <c r="AO115" s="59"/>
      <c r="AP115" s="59"/>
      <c r="AQ115" s="59"/>
      <c r="AR115" s="59"/>
      <c r="AS115" s="59"/>
      <c r="AT115" s="59"/>
      <c r="AU115" s="59"/>
      <c r="AV115" s="59"/>
      <c r="AW115" s="60"/>
    </row>
    <row r="116" spans="1:51" x14ac:dyDescent="0.2">
      <c r="C116" s="97"/>
      <c r="D116" s="97"/>
      <c r="E116" s="97"/>
      <c r="F116" s="97"/>
      <c r="G116" s="97"/>
      <c r="H116" s="97"/>
      <c r="I116" s="97"/>
      <c r="J116" s="97"/>
      <c r="K116" s="97"/>
      <c r="L116" s="97"/>
      <c r="M116" s="97"/>
      <c r="N116" s="97"/>
      <c r="O116" s="97"/>
      <c r="P116" s="97"/>
      <c r="Q116" s="97"/>
      <c r="R116" s="97"/>
      <c r="S116" s="101"/>
      <c r="T116" s="101"/>
      <c r="U116" s="101"/>
      <c r="V116" s="114"/>
      <c r="W116" s="59"/>
      <c r="X116" s="59"/>
      <c r="Y116" s="59"/>
      <c r="Z116" s="59"/>
      <c r="AA116" s="59"/>
      <c r="AB116" s="59"/>
      <c r="AC116" s="59"/>
      <c r="AD116" s="59"/>
      <c r="AE116" s="59"/>
      <c r="AF116" s="59"/>
      <c r="AG116" s="59"/>
      <c r="AH116" s="59"/>
      <c r="AI116" s="59"/>
      <c r="AJ116" s="59"/>
      <c r="AK116" s="59"/>
      <c r="AL116" s="59"/>
      <c r="AM116" s="59"/>
      <c r="AN116" s="59"/>
      <c r="AO116" s="59"/>
      <c r="AP116" s="59"/>
      <c r="AQ116" s="59"/>
      <c r="AR116" s="59"/>
      <c r="AS116" s="59"/>
      <c r="AT116" s="59"/>
      <c r="AU116" s="59"/>
      <c r="AV116" s="59"/>
      <c r="AW116" s="60"/>
    </row>
    <row r="117" spans="1:51" x14ac:dyDescent="0.2">
      <c r="B117" s="104" t="s">
        <v>295</v>
      </c>
      <c r="C117" s="37"/>
      <c r="D117" s="37"/>
      <c r="E117" s="37"/>
      <c r="F117" s="37"/>
      <c r="G117" s="37"/>
      <c r="H117" s="37"/>
      <c r="I117" s="37"/>
      <c r="J117" s="37"/>
      <c r="K117" s="37"/>
      <c r="L117" s="37"/>
      <c r="M117" s="37"/>
      <c r="N117" s="37"/>
      <c r="O117" s="37"/>
      <c r="P117" s="37"/>
      <c r="Q117" s="37"/>
      <c r="R117" s="37"/>
      <c r="S117" s="37"/>
      <c r="T117" s="123"/>
      <c r="U117" s="123"/>
      <c r="V117" s="114"/>
      <c r="W117" s="59"/>
      <c r="X117" s="59"/>
      <c r="Y117" s="59"/>
      <c r="Z117" s="59"/>
      <c r="AA117" s="59"/>
      <c r="AB117" s="59"/>
      <c r="AC117" s="59"/>
      <c r="AD117" s="59"/>
      <c r="AE117" s="59"/>
      <c r="AF117" s="59"/>
      <c r="AG117" s="59"/>
      <c r="AH117" s="59"/>
      <c r="AI117" s="59"/>
      <c r="AJ117" s="59"/>
      <c r="AK117" s="59"/>
      <c r="AL117" s="59"/>
      <c r="AM117" s="59"/>
      <c r="AN117" s="59"/>
      <c r="AO117" s="59"/>
      <c r="AP117" s="59"/>
      <c r="AQ117" s="59"/>
      <c r="AR117" s="59"/>
      <c r="AS117" s="59"/>
      <c r="AT117" s="59"/>
      <c r="AU117" s="59"/>
      <c r="AV117" s="59"/>
      <c r="AW117" s="60"/>
    </row>
    <row r="118" spans="1:51" outlineLevel="1" x14ac:dyDescent="0.2">
      <c r="B118" s="117" t="s">
        <v>43</v>
      </c>
      <c r="C118" s="34">
        <v>62.885486602783203</v>
      </c>
      <c r="D118" s="34">
        <v>62.455677032470703</v>
      </c>
      <c r="E118" s="34">
        <v>63.7373046875</v>
      </c>
      <c r="F118" s="34">
        <v>64.547554016113281</v>
      </c>
      <c r="G118" s="34">
        <v>64.745628356933594</v>
      </c>
      <c r="H118" s="34">
        <v>64.654449462890625</v>
      </c>
      <c r="I118" s="34">
        <v>64.285560607910156</v>
      </c>
      <c r="J118" s="34">
        <v>63.723865509033203</v>
      </c>
      <c r="K118" s="34">
        <v>62.972621917724609</v>
      </c>
      <c r="L118" s="34">
        <v>62.274009704589844</v>
      </c>
      <c r="M118" s="34">
        <v>61.624282836914063</v>
      </c>
      <c r="N118" s="34">
        <v>60.8638916015625</v>
      </c>
      <c r="O118" s="34">
        <v>60.280902862548828</v>
      </c>
      <c r="P118" s="34">
        <v>59.730136871337891</v>
      </c>
      <c r="Q118" s="34">
        <v>59.110237121582031</v>
      </c>
      <c r="R118" s="34">
        <v>58.486854553222656</v>
      </c>
      <c r="S118" s="34">
        <v>57.8577880859375</v>
      </c>
      <c r="T118" s="34">
        <v>57.126945495605469</v>
      </c>
      <c r="U118" s="34">
        <v>56.4322509765625</v>
      </c>
      <c r="V118" s="113"/>
      <c r="W118" s="62"/>
    </row>
    <row r="119" spans="1:51" x14ac:dyDescent="0.2">
      <c r="B119" s="26" t="s">
        <v>129</v>
      </c>
      <c r="C119" s="1">
        <v>1.4223718643188477</v>
      </c>
      <c r="D119" s="1">
        <v>1.7254641056060791</v>
      </c>
      <c r="E119" s="1">
        <v>1.7999998331069946</v>
      </c>
      <c r="F119" s="1">
        <v>1.799573540687561</v>
      </c>
      <c r="G119" s="1">
        <v>1.9441919326782227</v>
      </c>
      <c r="H119" s="1">
        <v>2.0761289596557617</v>
      </c>
      <c r="I119" s="1">
        <v>2.1993477344512939</v>
      </c>
      <c r="J119" s="1">
        <v>2.3155865669250488</v>
      </c>
      <c r="K119" s="1">
        <v>2.4261114597320557</v>
      </c>
      <c r="L119" s="1">
        <v>2.5318729877471924</v>
      </c>
      <c r="M119" s="1">
        <v>2.6368513107299805</v>
      </c>
      <c r="N119" s="1">
        <v>2.7401618957519531</v>
      </c>
      <c r="O119" s="1">
        <v>2.8138632774353027</v>
      </c>
      <c r="P119" s="1">
        <v>2.8818838596343994</v>
      </c>
      <c r="Q119" s="1">
        <v>2.9448494911193848</v>
      </c>
      <c r="R119" s="1">
        <v>3.0027012825012207</v>
      </c>
      <c r="S119" s="1">
        <v>3.0561316013336182</v>
      </c>
      <c r="T119" s="1">
        <v>3.1057453155517578</v>
      </c>
      <c r="U119" s="1">
        <v>3.1515381336212158</v>
      </c>
      <c r="V119" s="114"/>
      <c r="W119" s="59"/>
      <c r="X119" s="59"/>
      <c r="Y119" s="59"/>
      <c r="Z119" s="59"/>
      <c r="AA119" s="59"/>
      <c r="AB119" s="59"/>
      <c r="AC119" s="59"/>
      <c r="AD119" s="59"/>
      <c r="AE119" s="59"/>
      <c r="AF119" s="59"/>
      <c r="AG119" s="59"/>
      <c r="AH119" s="59"/>
      <c r="AI119" s="59"/>
      <c r="AJ119" s="59"/>
      <c r="AK119" s="59"/>
      <c r="AL119" s="59"/>
      <c r="AM119" s="59"/>
      <c r="AN119" s="59"/>
      <c r="AO119" s="59"/>
      <c r="AP119" s="59"/>
      <c r="AQ119" s="59"/>
      <c r="AR119" s="59"/>
      <c r="AS119" s="59"/>
      <c r="AT119" s="59"/>
      <c r="AU119" s="59"/>
      <c r="AV119" s="59"/>
      <c r="AW119" s="60"/>
    </row>
    <row r="120" spans="1:51" x14ac:dyDescent="0.2">
      <c r="B120" s="26" t="s">
        <v>179</v>
      </c>
      <c r="C120" s="1"/>
      <c r="D120" s="1">
        <v>0</v>
      </c>
      <c r="E120" s="1">
        <v>0</v>
      </c>
      <c r="F120" s="1">
        <v>0</v>
      </c>
      <c r="G120" s="1">
        <v>0</v>
      </c>
      <c r="H120" s="1">
        <v>0</v>
      </c>
      <c r="I120" s="1">
        <v>0</v>
      </c>
      <c r="J120" s="1">
        <v>0</v>
      </c>
      <c r="K120" s="1">
        <v>0</v>
      </c>
      <c r="L120" s="1">
        <v>0</v>
      </c>
      <c r="M120" s="1">
        <v>0</v>
      </c>
      <c r="N120" s="1">
        <v>0</v>
      </c>
      <c r="O120" s="1">
        <v>0</v>
      </c>
      <c r="P120" s="1">
        <v>0</v>
      </c>
      <c r="Q120" s="1">
        <v>0</v>
      </c>
      <c r="R120" s="1">
        <v>0</v>
      </c>
      <c r="S120" s="1">
        <v>0</v>
      </c>
      <c r="T120" s="1">
        <v>0</v>
      </c>
      <c r="U120" s="1">
        <v>0</v>
      </c>
      <c r="V120" s="1"/>
      <c r="W120" s="1"/>
      <c r="X120" s="114"/>
      <c r="Y120" s="59"/>
      <c r="Z120" s="59"/>
      <c r="AA120" s="59"/>
      <c r="AB120" s="59"/>
      <c r="AC120" s="59"/>
      <c r="AD120" s="59"/>
      <c r="AE120" s="59"/>
      <c r="AF120" s="59"/>
      <c r="AG120" s="59"/>
      <c r="AH120" s="59"/>
      <c r="AI120" s="59"/>
      <c r="AJ120" s="59"/>
      <c r="AK120" s="59"/>
      <c r="AL120" s="59"/>
      <c r="AM120" s="59"/>
      <c r="AN120" s="59"/>
      <c r="AO120" s="59"/>
      <c r="AP120" s="59"/>
      <c r="AQ120" s="59"/>
      <c r="AR120" s="59"/>
      <c r="AS120" s="59"/>
      <c r="AT120" s="59"/>
      <c r="AU120" s="59"/>
      <c r="AV120" s="59"/>
      <c r="AW120" s="59"/>
      <c r="AX120" s="59"/>
      <c r="AY120" s="60"/>
    </row>
    <row r="121" spans="1:51" x14ac:dyDescent="0.2">
      <c r="T121" s="62"/>
      <c r="U121" s="113"/>
      <c r="V121" s="113"/>
      <c r="W121" s="113"/>
      <c r="X121" s="113"/>
      <c r="Y121" s="62"/>
    </row>
    <row r="122" spans="1:51" x14ac:dyDescent="0.2">
      <c r="H122" s="118"/>
      <c r="I122" s="118"/>
      <c r="J122" s="118"/>
      <c r="K122" s="118"/>
      <c r="L122" s="118"/>
      <c r="M122" s="118"/>
      <c r="N122" s="118"/>
      <c r="O122" s="118"/>
      <c r="P122" s="118"/>
      <c r="Q122" s="118"/>
      <c r="R122" s="118"/>
      <c r="S122" s="118"/>
      <c r="T122" s="118"/>
      <c r="U122" s="118"/>
      <c r="V122" s="118"/>
      <c r="W122" s="118"/>
    </row>
    <row r="123" spans="1:51" x14ac:dyDescent="0.2">
      <c r="E123" s="34"/>
      <c r="F123" s="34"/>
      <c r="G123" s="118"/>
      <c r="H123" s="118"/>
      <c r="I123" s="118"/>
      <c r="J123" s="118"/>
      <c r="K123" s="118"/>
      <c r="L123" s="118"/>
      <c r="M123" s="118"/>
      <c r="N123" s="118"/>
      <c r="O123" s="118"/>
      <c r="P123" s="118"/>
      <c r="Q123" s="118"/>
      <c r="R123" s="118"/>
      <c r="S123" s="118"/>
      <c r="T123" s="118"/>
      <c r="U123" s="118"/>
      <c r="V123" s="118"/>
      <c r="W123" s="118"/>
    </row>
    <row r="124" spans="1:51" x14ac:dyDescent="0.2">
      <c r="A124" s="60"/>
      <c r="C124" s="34"/>
      <c r="D124" s="34"/>
      <c r="E124" s="34"/>
      <c r="F124" s="34"/>
      <c r="G124" s="34"/>
      <c r="H124" s="34"/>
      <c r="I124" s="34"/>
      <c r="J124" s="34"/>
      <c r="K124" s="34"/>
      <c r="L124" s="34"/>
      <c r="M124" s="34"/>
      <c r="N124" s="34"/>
      <c r="O124" s="34"/>
      <c r="P124" s="34"/>
      <c r="Q124" s="34"/>
      <c r="R124" s="34"/>
      <c r="S124" s="34"/>
      <c r="T124" s="34"/>
      <c r="U124" s="34"/>
      <c r="V124" s="34"/>
      <c r="W124" s="34"/>
    </row>
    <row r="125" spans="1:51" x14ac:dyDescent="0.2">
      <c r="C125" s="61"/>
      <c r="D125" s="61"/>
      <c r="E125" s="61"/>
      <c r="F125" s="61"/>
      <c r="G125" s="61"/>
      <c r="H125" s="61"/>
      <c r="I125" s="61"/>
      <c r="J125" s="61"/>
      <c r="K125" s="61"/>
      <c r="L125" s="61"/>
      <c r="M125" s="61"/>
      <c r="N125" s="61"/>
      <c r="O125" s="61"/>
      <c r="P125" s="61"/>
      <c r="Q125" s="61"/>
      <c r="R125" s="61"/>
      <c r="S125" s="61"/>
      <c r="T125" s="61"/>
      <c r="U125" s="61"/>
      <c r="V125" s="61"/>
      <c r="W125" s="61"/>
      <c r="X125" s="61"/>
    </row>
    <row r="127" spans="1:51" x14ac:dyDescent="0.2">
      <c r="E127" s="34"/>
      <c r="F127" s="34"/>
      <c r="G127" s="118"/>
      <c r="H127" s="118"/>
      <c r="I127" s="118"/>
      <c r="J127" s="118"/>
      <c r="K127" s="118"/>
      <c r="L127" s="118"/>
      <c r="M127" s="118"/>
      <c r="N127" s="118"/>
      <c r="O127" s="118"/>
      <c r="P127" s="118"/>
      <c r="Q127" s="118"/>
      <c r="R127" s="118"/>
      <c r="S127" s="118"/>
      <c r="T127" s="118"/>
      <c r="U127" s="118"/>
      <c r="V127" s="118"/>
      <c r="W127" s="118"/>
    </row>
    <row r="128" spans="1:51" x14ac:dyDescent="0.2">
      <c r="E128" s="34"/>
      <c r="F128" s="34"/>
      <c r="G128" s="118"/>
      <c r="H128" s="118"/>
      <c r="I128" s="118"/>
      <c r="J128" s="118"/>
      <c r="K128" s="118"/>
      <c r="L128" s="118"/>
      <c r="M128" s="118"/>
      <c r="N128" s="118"/>
      <c r="O128" s="118"/>
      <c r="P128" s="118"/>
      <c r="Q128" s="118"/>
      <c r="R128" s="118"/>
      <c r="S128" s="118"/>
      <c r="T128" s="118"/>
      <c r="U128" s="118"/>
      <c r="V128" s="118"/>
      <c r="W128" s="118"/>
      <c r="X128" s="53"/>
    </row>
    <row r="129" spans="5:24" x14ac:dyDescent="0.2">
      <c r="G129" s="53"/>
      <c r="H129" s="53"/>
      <c r="I129" s="53"/>
      <c r="J129" s="53"/>
      <c r="K129" s="53"/>
      <c r="L129" s="53"/>
      <c r="M129" s="53"/>
      <c r="N129" s="53"/>
      <c r="O129" s="53"/>
      <c r="P129" s="53"/>
      <c r="Q129" s="53"/>
      <c r="R129" s="53"/>
      <c r="S129" s="53"/>
      <c r="T129" s="53"/>
      <c r="U129" s="53"/>
      <c r="V129" s="53"/>
      <c r="W129" s="53"/>
      <c r="X129" s="53"/>
    </row>
    <row r="130" spans="5:24" x14ac:dyDescent="0.2">
      <c r="E130" s="34"/>
      <c r="F130" s="34"/>
      <c r="G130" s="118"/>
      <c r="H130" s="118"/>
      <c r="I130" s="118"/>
      <c r="J130" s="118"/>
      <c r="K130" s="118"/>
      <c r="L130" s="118"/>
      <c r="M130" s="118"/>
      <c r="N130" s="118"/>
      <c r="O130" s="118"/>
      <c r="P130" s="118"/>
      <c r="Q130" s="118"/>
      <c r="R130" s="118"/>
      <c r="S130" s="118"/>
      <c r="T130" s="118"/>
      <c r="U130" s="118"/>
      <c r="V130" s="118"/>
      <c r="W130" s="118"/>
      <c r="X130" s="53"/>
    </row>
    <row r="131" spans="5:24" x14ac:dyDescent="0.2">
      <c r="E131" s="34"/>
      <c r="F131" s="34"/>
      <c r="G131" s="118"/>
      <c r="H131" s="118"/>
      <c r="I131" s="118"/>
      <c r="J131" s="118"/>
      <c r="K131" s="118"/>
      <c r="L131" s="118"/>
      <c r="M131" s="118"/>
      <c r="N131" s="118"/>
      <c r="O131" s="118"/>
      <c r="P131" s="118"/>
      <c r="Q131" s="118"/>
      <c r="R131" s="118"/>
      <c r="S131" s="118"/>
      <c r="T131" s="118"/>
      <c r="U131" s="118"/>
      <c r="V131" s="118"/>
      <c r="W131" s="118"/>
      <c r="X131" s="53"/>
    </row>
    <row r="132" spans="5:24" x14ac:dyDescent="0.2">
      <c r="G132" s="53"/>
      <c r="H132" s="53"/>
      <c r="I132" s="53"/>
      <c r="J132" s="53"/>
      <c r="K132" s="53"/>
      <c r="L132" s="53"/>
      <c r="M132" s="53"/>
      <c r="N132" s="53"/>
      <c r="O132" s="53"/>
      <c r="P132" s="53"/>
      <c r="Q132" s="53"/>
      <c r="R132" s="53"/>
      <c r="S132" s="53"/>
      <c r="T132" s="53"/>
      <c r="U132" s="53"/>
      <c r="V132" s="53"/>
      <c r="W132" s="53"/>
      <c r="X132" s="53"/>
    </row>
    <row r="133" spans="5:24" x14ac:dyDescent="0.2">
      <c r="E133" s="34"/>
      <c r="F133" s="34"/>
      <c r="G133" s="118"/>
      <c r="H133" s="118"/>
      <c r="I133" s="118"/>
      <c r="J133" s="118"/>
      <c r="K133" s="118"/>
      <c r="L133" s="118"/>
      <c r="M133" s="118"/>
      <c r="N133" s="118"/>
      <c r="O133" s="118"/>
      <c r="P133" s="118"/>
      <c r="Q133" s="118"/>
      <c r="R133" s="118"/>
      <c r="S133" s="118"/>
      <c r="T133" s="118"/>
      <c r="U133" s="118"/>
      <c r="V133" s="118"/>
      <c r="W133" s="118"/>
      <c r="X133" s="118"/>
    </row>
    <row r="134" spans="5:24" x14ac:dyDescent="0.2">
      <c r="E134" s="34"/>
      <c r="F134" s="34"/>
      <c r="G134" s="118"/>
      <c r="H134" s="118"/>
      <c r="I134" s="118"/>
      <c r="J134" s="118"/>
      <c r="K134" s="118"/>
      <c r="L134" s="118"/>
      <c r="M134" s="118"/>
      <c r="N134" s="118"/>
      <c r="O134" s="118"/>
      <c r="P134" s="118"/>
      <c r="Q134" s="118"/>
      <c r="R134" s="118"/>
      <c r="S134" s="118"/>
      <c r="T134" s="118"/>
      <c r="U134" s="118"/>
      <c r="V134" s="118"/>
      <c r="W134" s="118"/>
      <c r="X134" s="118"/>
    </row>
    <row r="135" spans="5:24" x14ac:dyDescent="0.2">
      <c r="G135" s="118"/>
      <c r="H135" s="118"/>
      <c r="I135" s="118"/>
      <c r="J135" s="118"/>
      <c r="K135" s="118"/>
      <c r="L135" s="118"/>
      <c r="M135" s="118"/>
      <c r="N135" s="118"/>
      <c r="O135" s="118"/>
      <c r="P135" s="118"/>
      <c r="Q135" s="118"/>
      <c r="R135" s="118"/>
      <c r="S135" s="118"/>
      <c r="T135" s="118"/>
      <c r="U135" s="118"/>
      <c r="V135" s="118"/>
      <c r="W135" s="118"/>
      <c r="X135" s="118"/>
    </row>
    <row r="136" spans="5:24" x14ac:dyDescent="0.2">
      <c r="E136" s="34"/>
      <c r="F136" s="34"/>
      <c r="G136" s="118"/>
      <c r="H136" s="118"/>
      <c r="I136" s="118"/>
      <c r="J136" s="118"/>
      <c r="K136" s="118"/>
      <c r="L136" s="118"/>
      <c r="M136" s="118"/>
      <c r="N136" s="118"/>
      <c r="O136" s="118"/>
      <c r="P136" s="118"/>
      <c r="Q136" s="118"/>
      <c r="R136" s="118"/>
      <c r="S136" s="118"/>
      <c r="T136" s="118"/>
      <c r="U136" s="118"/>
      <c r="V136" s="118"/>
      <c r="W136" s="118"/>
      <c r="X136" s="118"/>
    </row>
    <row r="137" spans="5:24" x14ac:dyDescent="0.2">
      <c r="E137" s="34"/>
      <c r="F137" s="34"/>
      <c r="G137" s="118"/>
      <c r="H137" s="118"/>
      <c r="I137" s="118"/>
      <c r="J137" s="118"/>
      <c r="K137" s="118"/>
      <c r="L137" s="118"/>
      <c r="M137" s="118"/>
      <c r="N137" s="118"/>
      <c r="O137" s="118"/>
      <c r="P137" s="118"/>
      <c r="Q137" s="118"/>
      <c r="R137" s="118"/>
      <c r="S137" s="118"/>
      <c r="T137" s="118"/>
      <c r="U137" s="118"/>
      <c r="V137" s="118"/>
      <c r="W137" s="118"/>
      <c r="X137" s="118"/>
    </row>
    <row r="138" spans="5:24" x14ac:dyDescent="0.2">
      <c r="G138" s="118"/>
      <c r="H138" s="118"/>
      <c r="I138" s="118"/>
      <c r="J138" s="118"/>
      <c r="K138" s="118"/>
      <c r="L138" s="118"/>
      <c r="M138" s="118"/>
      <c r="N138" s="118"/>
      <c r="O138" s="118"/>
      <c r="P138" s="118"/>
      <c r="Q138" s="118"/>
      <c r="R138" s="118"/>
      <c r="S138" s="118"/>
      <c r="T138" s="118"/>
      <c r="U138" s="118"/>
      <c r="V138" s="118"/>
      <c r="W138" s="118"/>
      <c r="X138" s="118"/>
    </row>
    <row r="139" spans="5:24" x14ac:dyDescent="0.2">
      <c r="G139" s="118"/>
      <c r="H139" s="118"/>
      <c r="I139" s="118"/>
      <c r="J139" s="118"/>
      <c r="K139" s="118"/>
      <c r="L139" s="118"/>
      <c r="M139" s="118"/>
      <c r="N139" s="118"/>
      <c r="O139" s="118"/>
      <c r="P139" s="118"/>
      <c r="Q139" s="118"/>
      <c r="R139" s="118"/>
      <c r="S139" s="118"/>
      <c r="T139" s="118"/>
      <c r="U139" s="118"/>
      <c r="V139" s="118"/>
      <c r="W139" s="118"/>
      <c r="X139" s="118"/>
    </row>
  </sheetData>
  <conditionalFormatting sqref="E12:K12">
    <cfRule type="expression" dxfId="39" priority="6">
      <formula>AND(E10&gt;$C$5,E10&lt;=$C$6)</formula>
    </cfRule>
  </conditionalFormatting>
  <conditionalFormatting sqref="S10:U44 S50:U53 S86:U109 S111:U120">
    <cfRule type="expression" dxfId="38" priority="2">
      <formula>S$10&gt;$C$7</formula>
    </cfRule>
  </conditionalFormatting>
  <conditionalFormatting sqref="S55:U84">
    <cfRule type="expression" dxfId="37" priority="116">
      <formula>S$10&gt;$C$7</formula>
    </cfRule>
  </conditionalFormatting>
  <conditionalFormatting sqref="S79:U79">
    <cfRule type="expression" dxfId="36" priority="120">
      <formula>S$10&gt;$C$7</formula>
    </cfRule>
  </conditionalFormatting>
  <conditionalFormatting sqref="U46:W49 U120:W130">
    <cfRule type="expression" dxfId="35" priority="121">
      <formula>S$10&gt;$C$7</formula>
    </cfRule>
  </conditionalFormatting>
  <pageMargins left="0.7" right="0.7" top="0.75" bottom="0.75" header="0.3" footer="0.3"/>
  <pageSetup paperSize="9" orientation="portrait" r:id="rId1"/>
  <ignoredErrors>
    <ignoredError sqref="C47:C48 C5:C6" unlocked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rgb="FF92D050"/>
  </sheetPr>
  <dimension ref="A1:AZ129"/>
  <sheetViews>
    <sheetView zoomScaleNormal="100" workbookViewId="0"/>
  </sheetViews>
  <sheetFormatPr defaultColWidth="9.28515625" defaultRowHeight="11.25" outlineLevelRow="1" x14ac:dyDescent="0.2"/>
  <cols>
    <col min="1" max="1" width="9.28515625" style="26" customWidth="1"/>
    <col min="2" max="2" width="57.42578125" style="26" customWidth="1"/>
    <col min="3" max="38" width="9.28515625" style="26" customWidth="1"/>
    <col min="39" max="48" width="11.42578125" style="26" bestFit="1" customWidth="1"/>
    <col min="49" max="16384" width="9.28515625" style="26"/>
  </cols>
  <sheetData>
    <row r="1" spans="1:49" ht="24.75" customHeight="1" x14ac:dyDescent="0.2">
      <c r="B1" s="39"/>
    </row>
    <row r="2" spans="1:49" ht="11.25" customHeight="1" x14ac:dyDescent="0.2">
      <c r="B2" s="27"/>
    </row>
    <row r="3" spans="1:49" ht="11.25" customHeight="1" x14ac:dyDescent="0.2">
      <c r="B3" s="19" t="s">
        <v>15</v>
      </c>
      <c r="C3" s="20" t="str">
        <f>'Input data'!C3</f>
        <v>DE</v>
      </c>
    </row>
    <row r="4" spans="1:49" x14ac:dyDescent="0.2">
      <c r="B4" s="64" t="s">
        <v>38</v>
      </c>
      <c r="C4" s="21"/>
    </row>
    <row r="5" spans="1:49" x14ac:dyDescent="0.2">
      <c r="A5" s="29"/>
      <c r="B5" s="22" t="str">
        <f>'Input data'!B5</f>
        <v>Last year before the adjustment</v>
      </c>
      <c r="C5" s="23">
        <f>+'Input data'!C5</f>
        <v>2024</v>
      </c>
    </row>
    <row r="6" spans="1:49" x14ac:dyDescent="0.2">
      <c r="A6" s="29"/>
      <c r="B6" s="65" t="s">
        <v>44</v>
      </c>
      <c r="C6" s="23">
        <f>+C5+'Criteria results'!F5</f>
        <v>2028</v>
      </c>
      <c r="E6" s="43"/>
      <c r="F6" s="29"/>
    </row>
    <row r="7" spans="1:49" x14ac:dyDescent="0.2">
      <c r="A7" s="29"/>
      <c r="B7" s="24" t="s">
        <v>39</v>
      </c>
      <c r="C7" s="66">
        <f>C5+'Criteria results'!F5+10</f>
        <v>2038</v>
      </c>
      <c r="E7" s="43"/>
      <c r="F7" s="29"/>
    </row>
    <row r="8" spans="1:49" x14ac:dyDescent="0.2">
      <c r="A8" s="29"/>
      <c r="C8" s="29"/>
      <c r="E8" s="43"/>
      <c r="F8" s="29"/>
    </row>
    <row r="9" spans="1:49" s="67" customFormat="1" ht="12.75" x14ac:dyDescent="0.2">
      <c r="B9" s="25" t="s">
        <v>45</v>
      </c>
    </row>
    <row r="10" spans="1:49" x14ac:dyDescent="0.2">
      <c r="C10" s="31">
        <f>'Input data'!$C$5-1</f>
        <v>2023</v>
      </c>
      <c r="D10" s="31">
        <f>C10+1</f>
        <v>2024</v>
      </c>
      <c r="E10" s="31">
        <f t="shared" ref="E10:U10" si="0">D10+1</f>
        <v>2025</v>
      </c>
      <c r="F10" s="31">
        <f t="shared" si="0"/>
        <v>2026</v>
      </c>
      <c r="G10" s="31">
        <f t="shared" si="0"/>
        <v>2027</v>
      </c>
      <c r="H10" s="31">
        <f t="shared" si="0"/>
        <v>2028</v>
      </c>
      <c r="I10" s="31">
        <f t="shared" si="0"/>
        <v>2029</v>
      </c>
      <c r="J10" s="31">
        <f t="shared" si="0"/>
        <v>2030</v>
      </c>
      <c r="K10" s="31">
        <f t="shared" si="0"/>
        <v>2031</v>
      </c>
      <c r="L10" s="31">
        <f t="shared" si="0"/>
        <v>2032</v>
      </c>
      <c r="M10" s="31">
        <f t="shared" si="0"/>
        <v>2033</v>
      </c>
      <c r="N10" s="31">
        <f t="shared" si="0"/>
        <v>2034</v>
      </c>
      <c r="O10" s="31">
        <f t="shared" si="0"/>
        <v>2035</v>
      </c>
      <c r="P10" s="31">
        <f t="shared" si="0"/>
        <v>2036</v>
      </c>
      <c r="Q10" s="31">
        <f t="shared" si="0"/>
        <v>2037</v>
      </c>
      <c r="R10" s="31">
        <f t="shared" si="0"/>
        <v>2038</v>
      </c>
      <c r="S10" s="31">
        <f t="shared" si="0"/>
        <v>2039</v>
      </c>
      <c r="T10" s="31">
        <f t="shared" si="0"/>
        <v>2040</v>
      </c>
      <c r="U10" s="31">
        <f t="shared" si="0"/>
        <v>2041</v>
      </c>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row>
    <row r="11" spans="1:49" x14ac:dyDescent="0.2">
      <c r="B11" s="28" t="s">
        <v>46</v>
      </c>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row>
    <row r="12" spans="1:49" x14ac:dyDescent="0.2">
      <c r="B12" s="26" t="s">
        <v>48</v>
      </c>
      <c r="C12" s="2">
        <f>'Input data'!C13</f>
        <v>-1.2609140000000001</v>
      </c>
      <c r="D12" s="2">
        <f>'Input data'!D13</f>
        <v>-1.0152870000000001</v>
      </c>
      <c r="E12" s="3">
        <f>'Adjust. no safeguard'!E12</f>
        <v>-0.47528700000000002</v>
      </c>
      <c r="F12" s="3">
        <f>'Adjust. no safeguard'!F12</f>
        <v>6.4713000000000021E-2</v>
      </c>
      <c r="G12" s="3">
        <f>'Adjust. no safeguard'!G12</f>
        <v>0.60471300000000006</v>
      </c>
      <c r="H12" s="3">
        <f>'Adjust. no safeguard'!H12</f>
        <v>1.1447130000000001</v>
      </c>
      <c r="I12" s="116">
        <f>'Adjust. no safeguard'!I12</f>
        <v>1.1447130000000001</v>
      </c>
      <c r="J12" s="116">
        <f>'Adjust. no safeguard'!J12</f>
        <v>1.1447130000000001</v>
      </c>
      <c r="K12" s="116">
        <f>'Adjust. no safeguard'!K12</f>
        <v>1.1447130000000001</v>
      </c>
      <c r="L12" s="116">
        <f>IF(L10&lt;=$C$6,K12+'Criteria results'!$F$6,K12)</f>
        <v>1.1447130000000001</v>
      </c>
      <c r="M12" s="116">
        <f>IF(M10&lt;=$C$6,L12+'Criteria results'!$F$6,L12)</f>
        <v>1.1447130000000001</v>
      </c>
      <c r="N12" s="116">
        <f>IF(N10&lt;=$C$6,M12+'Criteria results'!$F$6,M12)</f>
        <v>1.1447130000000001</v>
      </c>
      <c r="O12" s="116">
        <f>IF(O10&lt;=$C$6,N12+'Criteria results'!$F$6,N12)</f>
        <v>1.1447130000000001</v>
      </c>
      <c r="P12" s="116">
        <f>IF(P10&lt;=$C$6,O12+'Criteria results'!$F$6,O12)</f>
        <v>1.1447130000000001</v>
      </c>
      <c r="Q12" s="116">
        <f>IF(Q10&lt;=$C$6,P12+'Criteria results'!$F$6,P12)</f>
        <v>1.1447130000000001</v>
      </c>
      <c r="R12" s="116">
        <f>IF(R10&lt;=$C$6,Q12+'Criteria results'!$F$6,Q12)</f>
        <v>1.1447130000000001</v>
      </c>
      <c r="S12" s="116">
        <f>IF(S10&lt;=$C$6,R12+'Criteria results'!$F$6,R12)</f>
        <v>1.1447130000000001</v>
      </c>
      <c r="T12" s="116">
        <f>IF(T10&lt;=$C$6,S12+'Criteria results'!$F$6,S12)</f>
        <v>1.1447130000000001</v>
      </c>
      <c r="U12" s="116">
        <f>IF(U10&lt;=$C$6,T12+'Criteria results'!$F$6,T12)</f>
        <v>1.1447130000000001</v>
      </c>
      <c r="V12" s="59"/>
      <c r="W12" s="59"/>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60"/>
    </row>
    <row r="13" spans="1:49" x14ac:dyDescent="0.2">
      <c r="B13" s="26" t="s">
        <v>49</v>
      </c>
      <c r="C13" s="2">
        <f>'Input data'!C14</f>
        <v>0</v>
      </c>
      <c r="D13" s="2">
        <f>'Input data'!D14</f>
        <v>0</v>
      </c>
      <c r="E13" s="2">
        <f>'Input data'!E14</f>
        <v>0</v>
      </c>
      <c r="F13" s="2">
        <f>'Input data'!F14</f>
        <v>0</v>
      </c>
      <c r="G13" s="2">
        <f>'Input data'!G14</f>
        <v>0</v>
      </c>
      <c r="H13" s="2">
        <f>'Input data'!H14</f>
        <v>0</v>
      </c>
      <c r="I13" s="2">
        <f>'Input data'!I14</f>
        <v>0</v>
      </c>
      <c r="J13" s="2">
        <f>'Input data'!J14</f>
        <v>0</v>
      </c>
      <c r="K13" s="2">
        <f>'Input data'!K14</f>
        <v>0</v>
      </c>
      <c r="L13" s="2">
        <f>'Input data'!L14</f>
        <v>0</v>
      </c>
      <c r="M13" s="2">
        <f>'Input data'!M14</f>
        <v>0</v>
      </c>
      <c r="N13" s="2">
        <f>'Input data'!N14</f>
        <v>0</v>
      </c>
      <c r="O13" s="2">
        <f>'Input data'!O14</f>
        <v>0</v>
      </c>
      <c r="P13" s="2">
        <f>'Input data'!P14</f>
        <v>0</v>
      </c>
      <c r="Q13" s="2">
        <f>'Input data'!Q14</f>
        <v>0</v>
      </c>
      <c r="R13" s="2">
        <f>'Input data'!R14</f>
        <v>0</v>
      </c>
      <c r="S13" s="2">
        <f>'Input data'!S14</f>
        <v>0</v>
      </c>
      <c r="T13" s="2">
        <f>'Input data'!T14</f>
        <v>0</v>
      </c>
      <c r="U13" s="2">
        <f>'Input data'!U14</f>
        <v>0</v>
      </c>
      <c r="V13" s="59"/>
      <c r="W13" s="59"/>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60"/>
    </row>
    <row r="14" spans="1:49" x14ac:dyDescent="0.2">
      <c r="B14" s="26" t="s">
        <v>84</v>
      </c>
      <c r="C14" s="2">
        <f>'Input data'!C15</f>
        <v>-1.0004850000000001</v>
      </c>
      <c r="D14" s="2">
        <f>'Input data'!D15</f>
        <v>-1.4394560000000001</v>
      </c>
      <c r="E14" s="2">
        <f>'Input data'!E15</f>
        <v>8.5767899999999994E-2</v>
      </c>
      <c r="F14" s="2">
        <f>'Input data'!F15</f>
        <v>0.1097981</v>
      </c>
      <c r="G14" s="2">
        <f>'Input data'!G15</f>
        <v>0</v>
      </c>
      <c r="H14" s="2">
        <f>'Input data'!H15</f>
        <v>0</v>
      </c>
      <c r="I14" s="2">
        <f>'Input data'!I15</f>
        <v>0</v>
      </c>
      <c r="J14" s="2">
        <f>'Input data'!J15</f>
        <v>0</v>
      </c>
      <c r="K14" s="2">
        <f>'Input data'!K15</f>
        <v>0</v>
      </c>
      <c r="L14" s="2">
        <f>'Input data'!L15</f>
        <v>0</v>
      </c>
      <c r="M14" s="2">
        <f>'Input data'!M15</f>
        <v>0</v>
      </c>
      <c r="N14" s="2">
        <f>'Input data'!N15</f>
        <v>0</v>
      </c>
      <c r="O14" s="2">
        <f>'Input data'!O15</f>
        <v>0</v>
      </c>
      <c r="P14" s="2">
        <f>'Input data'!P15</f>
        <v>0</v>
      </c>
      <c r="Q14" s="2">
        <f>'Input data'!Q15</f>
        <v>0</v>
      </c>
      <c r="R14" s="2">
        <f>'Input data'!R15</f>
        <v>0</v>
      </c>
      <c r="S14" s="2">
        <f>'Input data'!S15</f>
        <v>0</v>
      </c>
      <c r="T14" s="2">
        <f>'Input data'!T15</f>
        <v>0</v>
      </c>
      <c r="U14" s="2">
        <f>'Input data'!U15</f>
        <v>0</v>
      </c>
      <c r="V14" s="59"/>
      <c r="W14" s="59"/>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60"/>
    </row>
    <row r="15" spans="1:49" ht="5.65" customHeight="1" x14ac:dyDescent="0.2">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row>
    <row r="16" spans="1:49" ht="11.25" customHeight="1" x14ac:dyDescent="0.2">
      <c r="B16" s="30" t="str">
        <f>'Input data'!B19</f>
        <v>Cost of ageing and selected public revenue (based on the Commission-Council 2024 Ageing Report ("AR 2024"))</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row>
    <row r="17" spans="1:48" x14ac:dyDescent="0.2">
      <c r="A17" s="61"/>
      <c r="B17" s="26" t="s">
        <v>52</v>
      </c>
      <c r="C17" s="99">
        <f>'Input data'!C20</f>
        <v>23.099999999999998</v>
      </c>
      <c r="D17" s="99">
        <f>'Input data'!D20</f>
        <v>23.3</v>
      </c>
      <c r="E17" s="99">
        <f>'Input data'!E20</f>
        <v>23.4</v>
      </c>
      <c r="F17" s="99">
        <f>'Input data'!F20</f>
        <v>23.4</v>
      </c>
      <c r="G17" s="99">
        <f>'Input data'!G20</f>
        <v>23.6</v>
      </c>
      <c r="H17" s="99">
        <f>'Input data'!H20</f>
        <v>23.7</v>
      </c>
      <c r="I17" s="99">
        <f>'Input data'!I20</f>
        <v>23.799999999999997</v>
      </c>
      <c r="J17" s="99">
        <f>'Input data'!J20</f>
        <v>23.9</v>
      </c>
      <c r="K17" s="99">
        <f>'Input data'!K20</f>
        <v>24</v>
      </c>
      <c r="L17" s="99">
        <f>'Input data'!L20</f>
        <v>24.2</v>
      </c>
      <c r="M17" s="99">
        <f>'Input data'!M20</f>
        <v>24.3</v>
      </c>
      <c r="N17" s="99">
        <f>'Input data'!N20</f>
        <v>24.3</v>
      </c>
      <c r="O17" s="99">
        <f>'Input data'!O20</f>
        <v>24.4</v>
      </c>
      <c r="P17" s="99">
        <f>'Input data'!P20</f>
        <v>24.499999999999996</v>
      </c>
      <c r="Q17" s="99">
        <f>'Input data'!Q20</f>
        <v>24.499999999999996</v>
      </c>
      <c r="R17" s="99">
        <f>'Input data'!R20</f>
        <v>24.499999999999996</v>
      </c>
      <c r="S17" s="99">
        <f>'Input data'!S20</f>
        <v>24.5</v>
      </c>
      <c r="T17" s="99">
        <f>'Input data'!T20</f>
        <v>24.400000000000002</v>
      </c>
      <c r="U17" s="99">
        <f>'Input data'!U20</f>
        <v>24.400000000000002</v>
      </c>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row>
    <row r="18" spans="1:48" x14ac:dyDescent="0.2">
      <c r="A18" s="61"/>
      <c r="B18" s="26" t="s">
        <v>58</v>
      </c>
      <c r="C18" s="99">
        <f>'Input data'!C26</f>
        <v>0.71641730000000003</v>
      </c>
      <c r="D18" s="99">
        <f>'Input data'!D26</f>
        <v>0.71176019999999995</v>
      </c>
      <c r="E18" s="99">
        <f>'Input data'!E26</f>
        <v>0.70710320000000004</v>
      </c>
      <c r="F18" s="99">
        <f>'Input data'!F26</f>
        <v>0.70244620000000002</v>
      </c>
      <c r="G18" s="99">
        <f>'Input data'!G26</f>
        <v>0.69778910000000005</v>
      </c>
      <c r="H18" s="99">
        <f>'Input data'!H26</f>
        <v>0.69313210000000003</v>
      </c>
      <c r="I18" s="99">
        <f>'Input data'!I26</f>
        <v>0.68847510000000001</v>
      </c>
      <c r="J18" s="99">
        <f>'Input data'!J26</f>
        <v>0.68381800000000004</v>
      </c>
      <c r="K18" s="99">
        <f>'Input data'!K26</f>
        <v>0.67916100000000001</v>
      </c>
      <c r="L18" s="99">
        <f>'Input data'!L26</f>
        <v>0.67450399999999999</v>
      </c>
      <c r="M18" s="99">
        <f>'Input data'!M26</f>
        <v>0.66984699999999997</v>
      </c>
      <c r="N18" s="99">
        <f>'Input data'!N26</f>
        <v>0.6651899</v>
      </c>
      <c r="O18" s="99">
        <f>'Input data'!O26</f>
        <v>0.66053280000000003</v>
      </c>
      <c r="P18" s="99">
        <f>'Input data'!P26</f>
        <v>0.65587580000000001</v>
      </c>
      <c r="Q18" s="99">
        <f>'Input data'!Q26</f>
        <v>0.65121879999999999</v>
      </c>
      <c r="R18" s="99">
        <f>'Input data'!R26</f>
        <v>0.64656170000000002</v>
      </c>
      <c r="S18" s="99">
        <f>'Input data'!S26</f>
        <v>0.64190460000000005</v>
      </c>
      <c r="T18" s="99">
        <f>'Input data'!T26</f>
        <v>0.63724760000000003</v>
      </c>
      <c r="U18" s="99">
        <f>'Input data'!U26</f>
        <v>0.63259049999999994</v>
      </c>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row>
    <row r="20" spans="1:48" x14ac:dyDescent="0.2">
      <c r="B20" s="28" t="s">
        <v>85</v>
      </c>
    </row>
    <row r="21" spans="1:48" ht="10.5" customHeight="1" x14ac:dyDescent="0.2">
      <c r="B21" s="30" t="s">
        <v>86</v>
      </c>
    </row>
    <row r="22" spans="1:48" x14ac:dyDescent="0.2">
      <c r="B22" s="26" t="s">
        <v>61</v>
      </c>
      <c r="C22" s="98">
        <f>'Baseline NFPC'!C22</f>
        <v>3615.547</v>
      </c>
      <c r="D22" s="98">
        <f>'Baseline NFPC'!D22</f>
        <v>3606.922976747233</v>
      </c>
      <c r="E22" s="34">
        <f>IF(AND(E49&gt;1,D49&gt;1),
E26*(1+('Baseline NFPC'!E$29+E50)/100)-D22*$C$46*(E12-D12)/100,
IF(E49=1,E26,D22*(1+E51/100)))</f>
        <v>3598.5246569643273</v>
      </c>
      <c r="F22" s="34">
        <f>IF(AND(F49&gt;1,E49&gt;1),
F26*(1+('Baseline NFPC'!F$29+F50)/100)-E22*$C$46*(F12-E12)/100,
IF(F49=1,F26,E22*(1+F51/100)))</f>
        <v>3611.4128096625222</v>
      </c>
      <c r="G22" s="34">
        <f t="shared" ref="G22:U22" si="1">IF(AND(G49&gt;1,F49&gt;1),
G26*(1+G50/100)-F22*$C$46*(G12-F12)/100,
IF(G49=1,G26,F22*(1+G51/100)))</f>
        <v>3635.9199842230114</v>
      </c>
      <c r="H22" s="34">
        <f t="shared" si="1"/>
        <v>3661.6310006310255</v>
      </c>
      <c r="I22" s="34">
        <f t="shared" si="1"/>
        <v>3704.1989141495228</v>
      </c>
      <c r="J22" s="34">
        <f t="shared" si="1"/>
        <v>3746.2685597531695</v>
      </c>
      <c r="K22" s="34">
        <f t="shared" si="1"/>
        <v>3787.7192171198189</v>
      </c>
      <c r="L22" s="34">
        <f t="shared" si="1"/>
        <v>3809.9401635614317</v>
      </c>
      <c r="M22" s="34">
        <f t="shared" si="1"/>
        <v>3832.2135995293538</v>
      </c>
      <c r="N22" s="34">
        <f t="shared" si="1"/>
        <v>3858.1252190845521</v>
      </c>
      <c r="O22" s="34">
        <f t="shared" si="1"/>
        <v>3892.1064170023074</v>
      </c>
      <c r="P22" s="34">
        <f t="shared" si="1"/>
        <v>3934.3507951575525</v>
      </c>
      <c r="Q22" s="34">
        <f t="shared" si="1"/>
        <v>3985.1039597585932</v>
      </c>
      <c r="R22" s="34">
        <f t="shared" si="1"/>
        <v>4040.0983545522226</v>
      </c>
      <c r="S22" s="34">
        <f t="shared" si="1"/>
        <v>4099.4880023690584</v>
      </c>
      <c r="T22" s="34">
        <f t="shared" si="1"/>
        <v>4163.029984416019</v>
      </c>
      <c r="U22" s="34">
        <f t="shared" si="1"/>
        <v>4227.9733354335085</v>
      </c>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row>
    <row r="23" spans="1:48" x14ac:dyDescent="0.2">
      <c r="A23" s="61"/>
      <c r="B23" s="62" t="s">
        <v>60</v>
      </c>
      <c r="C23" s="98">
        <f>'Baseline NFPC'!C23</f>
        <v>-0.26643830000000002</v>
      </c>
      <c r="D23" s="98">
        <f>'Baseline NFPC'!D23</f>
        <v>-0.23852609999999999</v>
      </c>
      <c r="E23" s="34">
        <f t="shared" ref="E23:R23" si="2">100*(E22/D22-1)</f>
        <v>-0.23283890000000973</v>
      </c>
      <c r="F23" s="34">
        <f t="shared" si="2"/>
        <v>0.35815101817495698</v>
      </c>
      <c r="G23" s="34">
        <f t="shared" si="2"/>
        <v>0.67860352311204242</v>
      </c>
      <c r="H23" s="34">
        <f t="shared" si="2"/>
        <v>0.70713922527392281</v>
      </c>
      <c r="I23" s="34">
        <f t="shared" si="2"/>
        <v>1.1625396854888281</v>
      </c>
      <c r="J23" s="34">
        <f t="shared" si="2"/>
        <v>1.1357285766416814</v>
      </c>
      <c r="K23" s="34">
        <f t="shared" si="2"/>
        <v>1.1064518388233413</v>
      </c>
      <c r="L23" s="34">
        <f t="shared" si="2"/>
        <v>0.58665769999999284</v>
      </c>
      <c r="M23" s="34">
        <f t="shared" si="2"/>
        <v>0.58461379999998897</v>
      </c>
      <c r="N23" s="34">
        <f t="shared" si="2"/>
        <v>0.67615279999999611</v>
      </c>
      <c r="O23" s="34">
        <f t="shared" si="2"/>
        <v>0.88076969999999477</v>
      </c>
      <c r="P23" s="34">
        <f t="shared" si="2"/>
        <v>1.0853860000000104</v>
      </c>
      <c r="Q23" s="34">
        <f t="shared" si="2"/>
        <v>1.2900010000000073</v>
      </c>
      <c r="R23" s="34">
        <f t="shared" si="2"/>
        <v>1.3799990000000095</v>
      </c>
      <c r="S23" s="34">
        <f t="shared" ref="S23" si="3">100*(S22/R22-1)</f>
        <v>1.4700050000000076</v>
      </c>
      <c r="T23" s="34">
        <f t="shared" ref="T23" si="4">100*(T22/S22-1)</f>
        <v>1.5499979999999969</v>
      </c>
      <c r="U23" s="34">
        <f t="shared" ref="U23" si="5">100*(U22/T22-1)</f>
        <v>1.5600019999999937</v>
      </c>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row>
    <row r="24" spans="1:48" ht="5.25" customHeight="1" x14ac:dyDescent="0.2">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row>
    <row r="25" spans="1:48" ht="15" x14ac:dyDescent="0.2">
      <c r="A25" s="220"/>
      <c r="B25" s="30" t="s">
        <v>87</v>
      </c>
      <c r="C25" s="219"/>
      <c r="D25" s="219"/>
    </row>
    <row r="26" spans="1:48" x14ac:dyDescent="0.2">
      <c r="B26" s="26" t="s">
        <v>61</v>
      </c>
      <c r="C26" s="98">
        <f>'Input data'!C34</f>
        <v>3640.4940000000001</v>
      </c>
      <c r="D26" s="98">
        <f>+C26*(1+'Input data'!D33/100)</f>
        <v>3656.8929838343765</v>
      </c>
      <c r="E26" s="34">
        <f>+D26*(1+'Input data'!E33/100)</f>
        <v>3666.6689924169909</v>
      </c>
      <c r="F26" s="34">
        <f>+E26*(1+'Input data'!F33/100)</f>
        <v>3679.4239441740615</v>
      </c>
      <c r="G26" s="34">
        <f>+F26*(1+'Input data'!G33/100)</f>
        <v>3696.0923638226645</v>
      </c>
      <c r="H26" s="34">
        <f>+G26*(1+'Input data'!H33/100)</f>
        <v>3716.6950036021294</v>
      </c>
      <c r="I26" s="34">
        <f>+H26*(1+'Input data'!I33/100)</f>
        <v>3741.1497863176701</v>
      </c>
      <c r="J26" s="34">
        <f>+I26*(1+'Input data'!J33/100)</f>
        <v>3764.861092652307</v>
      </c>
      <c r="K26" s="34">
        <f>+J26*(1+'Input data'!K33/100)</f>
        <v>3787.7192171198189</v>
      </c>
      <c r="L26" s="34">
        <f>+K26*(1+'Input data'!L33/100)</f>
        <v>3809.9401825000277</v>
      </c>
      <c r="M26" s="34">
        <f>+L26*(1+'Input data'!M33/100)</f>
        <v>3832.2136338184287</v>
      </c>
      <c r="N26" s="34">
        <f>+M26*(1+'Input data'!N33/100)</f>
        <v>3858.1251654645603</v>
      </c>
      <c r="O26" s="34">
        <f>+N26*(1+'Input data'!O33/100)</f>
        <v>3892.1062587406673</v>
      </c>
      <c r="P26" s="34">
        <f>+O26*(1+'Input data'!P33/100)</f>
        <v>3934.3505184149749</v>
      </c>
      <c r="Q26" s="34">
        <f>+P26*(1+'Input data'!Q33/100)</f>
        <v>3985.1036401025276</v>
      </c>
      <c r="R26" s="34">
        <f>+Q26*(1+'Input data'!R33/100)</f>
        <v>4040.0980703359428</v>
      </c>
      <c r="S26" s="34">
        <f>+R26*(1+'Input data'!S33/100)</f>
        <v>4099.4875119698809</v>
      </c>
      <c r="T26" s="34">
        <f>+S26*(1+'Input data'!T33/100)</f>
        <v>4163.0295684054145</v>
      </c>
      <c r="U26" s="34">
        <f>+T26*(1+'Input data'!U33/100)</f>
        <v>4227.9728296725389</v>
      </c>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row>
    <row r="27" spans="1:48" ht="5.25" customHeight="1" x14ac:dyDescent="0.2">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row>
    <row r="28" spans="1:48" x14ac:dyDescent="0.2">
      <c r="B28" s="30" t="s">
        <v>88</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row>
    <row r="29" spans="1:48" x14ac:dyDescent="0.2">
      <c r="B29" s="26" t="s">
        <v>88</v>
      </c>
      <c r="C29" s="98">
        <f t="shared" ref="C29:R29" si="6">100*(C22/C26-1)</f>
        <v>-0.68526414272349623</v>
      </c>
      <c r="D29" s="98">
        <f t="shared" si="6"/>
        <v>-1.3664607443543031</v>
      </c>
      <c r="E29" s="34">
        <f t="shared" si="6"/>
        <v>-1.8584806971557177</v>
      </c>
      <c r="F29" s="34">
        <f t="shared" si="6"/>
        <v>-1.8484180008456752</v>
      </c>
      <c r="G29" s="34">
        <f t="shared" si="6"/>
        <v>-1.6279998895217029</v>
      </c>
      <c r="H29" s="34">
        <f t="shared" si="6"/>
        <v>-1.4815313852155509</v>
      </c>
      <c r="I29" s="34">
        <f t="shared" si="6"/>
        <v>-0.98768759014370433</v>
      </c>
      <c r="J29" s="34">
        <f t="shared" si="6"/>
        <v>-0.49384379507184661</v>
      </c>
      <c r="K29" s="34">
        <f t="shared" si="6"/>
        <v>0</v>
      </c>
      <c r="L29" s="34">
        <f t="shared" si="6"/>
        <v>-4.970838185514026E-7</v>
      </c>
      <c r="M29" s="34">
        <f t="shared" si="6"/>
        <v>-8.9475895581614395E-7</v>
      </c>
      <c r="N29" s="34">
        <f t="shared" si="6"/>
        <v>1.3897939910023638E-6</v>
      </c>
      <c r="O29" s="34">
        <f t="shared" si="6"/>
        <v>4.066220959941802E-6</v>
      </c>
      <c r="P29" s="34">
        <f t="shared" si="6"/>
        <v>7.0340091973264407E-6</v>
      </c>
      <c r="Q29" s="34">
        <f t="shared" si="6"/>
        <v>8.0212735786844291E-6</v>
      </c>
      <c r="R29" s="34">
        <f t="shared" si="6"/>
        <v>7.0348856517910008E-6</v>
      </c>
      <c r="S29" s="34">
        <f t="shared" ref="S29:U29" si="7">100*(S22/S26-1)</f>
        <v>1.1962450829905436E-5</v>
      </c>
      <c r="T29" s="34">
        <f t="shared" si="7"/>
        <v>9.9929774233231683E-6</v>
      </c>
      <c r="U29" s="34">
        <f t="shared" si="7"/>
        <v>1.1962256851738573E-5</v>
      </c>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row>
    <row r="30" spans="1:48" ht="5.25" customHeight="1" x14ac:dyDescent="0.2">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row>
    <row r="31" spans="1:48" x14ac:dyDescent="0.2">
      <c r="B31" s="30" t="s">
        <v>89</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row>
    <row r="32" spans="1:48" x14ac:dyDescent="0.2">
      <c r="B32" s="26" t="s">
        <v>60</v>
      </c>
      <c r="C32" s="2">
        <f t="shared" ref="C32:U32" si="8">100*((1+C23/100)*(1+C41/100)-1)</f>
        <v>5.8601126137103998</v>
      </c>
      <c r="D32" s="2">
        <f t="shared" si="8"/>
        <v>2.860079245940339</v>
      </c>
      <c r="E32" s="1">
        <f t="shared" si="8"/>
        <v>2.2007954281148434</v>
      </c>
      <c r="F32" s="1">
        <f t="shared" si="8"/>
        <v>2.5317620463281454</v>
      </c>
      <c r="G32" s="1">
        <f t="shared" si="8"/>
        <v>2.8710031944206182</v>
      </c>
      <c r="H32" s="1">
        <f t="shared" si="8"/>
        <v>2.9120117642938537</v>
      </c>
      <c r="I32" s="1">
        <f t="shared" si="8"/>
        <v>3.3892877794981846</v>
      </c>
      <c r="J32" s="1">
        <f t="shared" si="8"/>
        <v>3.3737884209608993</v>
      </c>
      <c r="K32" s="1">
        <f t="shared" si="8"/>
        <v>3.3557622703251688</v>
      </c>
      <c r="L32" s="1">
        <f t="shared" si="8"/>
        <v>2.8362415853304235</v>
      </c>
      <c r="M32" s="1">
        <f t="shared" si="8"/>
        <v>2.8459890230664753</v>
      </c>
      <c r="N32" s="1">
        <f t="shared" si="8"/>
        <v>2.9514338532799833</v>
      </c>
      <c r="O32" s="1">
        <f t="shared" si="8"/>
        <v>3.1475605951589936</v>
      </c>
      <c r="P32" s="1">
        <f t="shared" si="8"/>
        <v>3.3436335232400083</v>
      </c>
      <c r="Q32" s="1">
        <f t="shared" si="8"/>
        <v>3.5396519222100187</v>
      </c>
      <c r="R32" s="1">
        <f t="shared" si="8"/>
        <v>3.6184693779200305</v>
      </c>
      <c r="S32" s="1">
        <f t="shared" si="8"/>
        <v>3.6972716097499969</v>
      </c>
      <c r="T32" s="1">
        <f t="shared" si="8"/>
        <v>3.7658189563599898</v>
      </c>
      <c r="U32" s="1">
        <f t="shared" si="8"/>
        <v>3.76283844337999</v>
      </c>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row>
    <row r="34" spans="2:49" x14ac:dyDescent="0.2">
      <c r="B34" s="28" t="s">
        <v>138</v>
      </c>
    </row>
    <row r="35" spans="2:49" x14ac:dyDescent="0.2">
      <c r="B35" s="26" t="s">
        <v>63</v>
      </c>
      <c r="C35" s="98">
        <f>'Input data'!C37</f>
        <v>1.422372</v>
      </c>
      <c r="D35" s="98">
        <f>'Input data'!D37</f>
        <v>1.7254640000000001</v>
      </c>
      <c r="E35" s="98">
        <f>'Input data'!E37</f>
        <v>1.8</v>
      </c>
      <c r="F35" s="34">
        <f>F92</f>
        <v>1.7990942278989217</v>
      </c>
      <c r="G35" s="34">
        <f t="shared" ref="G35:U35" si="9">G92</f>
        <v>1.9393064891870158</v>
      </c>
      <c r="H35" s="34">
        <f t="shared" si="9"/>
        <v>2.0651772983228507</v>
      </c>
      <c r="I35" s="34">
        <f>I92</f>
        <v>2.4041847906542704</v>
      </c>
      <c r="J35" s="34">
        <f t="shared" si="9"/>
        <v>2.393849592872006</v>
      </c>
      <c r="K35" s="34">
        <f t="shared" si="9"/>
        <v>2.4894683249085965</v>
      </c>
      <c r="L35" s="34">
        <f t="shared" si="9"/>
        <v>2.5835007046270535</v>
      </c>
      <c r="M35" s="34">
        <f t="shared" si="9"/>
        <v>2.6791780771935736</v>
      </c>
      <c r="N35" s="34">
        <f t="shared" si="9"/>
        <v>2.7753683429045797</v>
      </c>
      <c r="O35" s="34">
        <f t="shared" si="9"/>
        <v>2.8437867353331758</v>
      </c>
      <c r="P35" s="34">
        <f t="shared" si="9"/>
        <v>2.9072462984445431</v>
      </c>
      <c r="Q35" s="34">
        <f t="shared" si="9"/>
        <v>2.966289296447064</v>
      </c>
      <c r="R35" s="34">
        <f t="shared" si="9"/>
        <v>3.0207709607675377</v>
      </c>
      <c r="S35" s="34">
        <f t="shared" si="9"/>
        <v>3.0713098668915806</v>
      </c>
      <c r="T35" s="34">
        <f t="shared" si="9"/>
        <v>3.1184458067990048</v>
      </c>
      <c r="U35" s="34">
        <f t="shared" si="9"/>
        <v>3.1621008440468295</v>
      </c>
    </row>
    <row r="36" spans="2:49" x14ac:dyDescent="0.2">
      <c r="B36" s="32" t="s">
        <v>91</v>
      </c>
      <c r="C36" s="2">
        <f>'Input data'!C$39</f>
        <v>2.4300000000000002</v>
      </c>
      <c r="D36" s="163">
        <f>'Input data'!D$39</f>
        <v>2.3224999999999998</v>
      </c>
      <c r="E36" s="163">
        <f>'Input data'!E$39</f>
        <v>2.544438</v>
      </c>
      <c r="F36" s="163">
        <f>'Input data'!F$39</f>
        <v>2.698655</v>
      </c>
      <c r="G36" s="1">
        <f>F36+($N$36-$F$36)/($N$10-$F$10)</f>
        <v>2.7743606249999999</v>
      </c>
      <c r="H36" s="1">
        <f>G36+($N$36-$F$36)/($N$10-$F$10)</f>
        <v>2.8500662499999998</v>
      </c>
      <c r="I36" s="1">
        <f>IF('Criteria results'!$F$5=4,
IF(H56&gt;90,F36+('Input data'!$C$52-$F$36)/($N$10-$F$10)*(I10-$F$10)+1+0.06*(H56-90),
F36+('Input data'!$C$52-$F$36)/($N$10-$F$10)*(I10-$F$10)+1),
F36+('Input data'!$C$52-$F$36)/($N$10-$F$10)*(I10-$F$10))</f>
        <v>3.9257718750000001</v>
      </c>
      <c r="J36" s="1">
        <f>$F$36+('Input data'!$C$52-$F$36)/($N$10-$F$10)*(J10-$F$10)</f>
        <v>3.0014775</v>
      </c>
      <c r="K36" s="1">
        <f>$F$36+('Input data'!$C$52-$F$36)/($N$10-$F$10)*(K10-$F$10)</f>
        <v>3.0771831249999999</v>
      </c>
      <c r="L36" s="1">
        <f>IF('Criteria results'!$F$5=7,
IF(K56&gt;90,F36+('Input data'!$C$52-$F$36)/($N$10-$F$10)*(L10-$F$10)+1+0.06*(K56-90),
F36+('Input data'!$C$52-$F$36)/($N$10-$F$10)*(L10-$F$10)+1),
F36+('Input data'!$C$52-$F$36)/($N$10-$F$10)*(L10-$F$10))</f>
        <v>3.1528887499999998</v>
      </c>
      <c r="M36" s="1">
        <f>$F$36+('Input data'!$C$52-$F$36)/($N$10-$F$10)*(M10-$F$10)</f>
        <v>3.2285943750000001</v>
      </c>
      <c r="N36" s="248">
        <f>'Baseline NFPC'!N36</f>
        <v>3.3043</v>
      </c>
      <c r="O36" s="1">
        <f>'Baseline NFPC'!O36</f>
        <v>3.3390849999999999</v>
      </c>
      <c r="P36" s="1">
        <f>'Baseline NFPC'!P36</f>
        <v>3.3738700000000001</v>
      </c>
      <c r="Q36" s="1">
        <f>'Baseline NFPC'!Q36</f>
        <v>3.408655</v>
      </c>
      <c r="R36" s="1">
        <f>'Baseline NFPC'!R36</f>
        <v>3.4434399999999998</v>
      </c>
      <c r="S36" s="1">
        <f>'Baseline NFPC'!S36</f>
        <v>3.4782250000000001</v>
      </c>
      <c r="T36" s="1">
        <f>'Baseline NFPC'!T36</f>
        <v>3.51301</v>
      </c>
      <c r="U36" s="1">
        <f>'Baseline NFPC'!U36</f>
        <v>3.5477949999999998</v>
      </c>
      <c r="V36" s="59"/>
      <c r="W36" s="59"/>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60"/>
    </row>
    <row r="37" spans="2:49" x14ac:dyDescent="0.2">
      <c r="B37" s="32" t="s">
        <v>92</v>
      </c>
      <c r="C37" s="2">
        <f>'Input data'!C$38</f>
        <v>3.43</v>
      </c>
      <c r="D37" s="163">
        <f>'Input data'!D$38</f>
        <v>3.5708329999999999</v>
      </c>
      <c r="E37" s="163">
        <f>'Input data'!E$38</f>
        <v>1.999333</v>
      </c>
      <c r="F37" s="163">
        <f>'Input data'!F$38</f>
        <v>1.7208330000000001</v>
      </c>
      <c r="G37" s="1">
        <f>F37+($N$37-$F$37)/($N$10-$F$10)</f>
        <v>1.877801375</v>
      </c>
      <c r="H37" s="1">
        <f>G37+($N$37-$F$37)/($N$10-$F$10)</f>
        <v>2.0347697500000002</v>
      </c>
      <c r="I37" s="1">
        <f>IF('Criteria results'!$F$5=4,
IF(H56&gt;90,F37+('Input data'!$C$53-$F$37)/($N$10-$F$10)*(I10-$F$10)+1+0.06*(H56-90),
F37+('Input data'!$C$53-$F$37)/($N$10-$F$10)*(I10-$F$10)+1),
F37+('Input data'!$C$53-$F$37)/($N$10-$F$10)*(I10-$F$10))</f>
        <v>3.1917381250000001</v>
      </c>
      <c r="J37" s="1">
        <f>$F$37+('Input data'!$C$53-$F$37)/($N$10-$F$10)*(J10-$F$10)</f>
        <v>2.3487065</v>
      </c>
      <c r="K37" s="1">
        <f>$F$37+('Input data'!$C$53-$F$37)/($N$10-$F$10)*(K10-$F$10)</f>
        <v>2.505674875</v>
      </c>
      <c r="L37" s="1">
        <f>IF('Criteria results'!$F$5=7,
IF(K56&gt;90,F37+('Input data'!$C$53-$F$37)/($N$10-$F$10)*(L10-$F$10)+1+0.06*(K56-90),
F37+('Input data'!$C$53-$F$37)/($N$10-$F$10)*(L10-$F$10)+1),
F37+('Input data'!$C$53-$F$37)/($N$10-$F$10)*(L10-$F$10))</f>
        <v>2.6626432499999999</v>
      </c>
      <c r="M37" s="1">
        <f>$F$37+('Input data'!$C$53-$F$37)/($N$10-$F$10)*(M10-$F$10)</f>
        <v>2.8196116249999998</v>
      </c>
      <c r="N37" s="248">
        <f>'Baseline NFPC'!N37</f>
        <v>2.9765799999999998</v>
      </c>
      <c r="O37" s="1">
        <f>'Baseline NFPC'!O37</f>
        <v>2.9277509999999998</v>
      </c>
      <c r="P37" s="1">
        <f>'Baseline NFPC'!P37</f>
        <v>2.8789219999999998</v>
      </c>
      <c r="Q37" s="1">
        <f>'Baseline NFPC'!Q37</f>
        <v>2.8300929999999997</v>
      </c>
      <c r="R37" s="1">
        <f>'Baseline NFPC'!R37</f>
        <v>2.7812639999999997</v>
      </c>
      <c r="S37" s="1">
        <f>'Baseline NFPC'!S37</f>
        <v>2.7324349999999997</v>
      </c>
      <c r="T37" s="1">
        <f>'Baseline NFPC'!T37</f>
        <v>2.6836059999999997</v>
      </c>
      <c r="U37" s="1">
        <f>'Baseline NFPC'!U37</f>
        <v>2.6347769999999997</v>
      </c>
      <c r="V37" s="59"/>
      <c r="W37" s="59"/>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60"/>
    </row>
    <row r="38" spans="2:49" s="5" customFormat="1" ht="12.75" x14ac:dyDescent="0.2">
      <c r="B38" s="26" t="s">
        <v>93</v>
      </c>
      <c r="C38" s="34">
        <f>'Baseline NFPC'!C38</f>
        <v>0.12643541</v>
      </c>
      <c r="D38" s="34">
        <f>'Baseline NFPC'!D38</f>
        <v>0.11798594</v>
      </c>
      <c r="E38" s="34">
        <f>'Baseline NFPC'!E38</f>
        <v>0.11258884</v>
      </c>
      <c r="F38" s="34">
        <f>'Baseline NFPC'!F38</f>
        <v>0.11390289111111111</v>
      </c>
      <c r="G38" s="34">
        <f>'Baseline NFPC'!G38</f>
        <v>0.11521694222222222</v>
      </c>
      <c r="H38" s="34">
        <f>'Baseline NFPC'!H38</f>
        <v>0.11653099333333333</v>
      </c>
      <c r="I38" s="34">
        <f>'Baseline NFPC'!I38</f>
        <v>0.11784504444444445</v>
      </c>
      <c r="J38" s="34">
        <f>'Baseline NFPC'!J38</f>
        <v>0.11915909555555555</v>
      </c>
      <c r="K38" s="34">
        <f>'Baseline NFPC'!K38</f>
        <v>0.12047314666666667</v>
      </c>
      <c r="L38" s="34">
        <f>'Baseline NFPC'!L38</f>
        <v>0.12178719777777779</v>
      </c>
      <c r="M38" s="34">
        <f>'Baseline NFPC'!M38</f>
        <v>0.12310124888888889</v>
      </c>
      <c r="N38" s="34">
        <f>'Baseline NFPC'!N38</f>
        <v>0.12441530000000001</v>
      </c>
      <c r="O38" s="34">
        <f>'Baseline NFPC'!O38</f>
        <v>0.12441530000000001</v>
      </c>
      <c r="P38" s="34">
        <f>'Baseline NFPC'!P38</f>
        <v>0.12441530000000001</v>
      </c>
      <c r="Q38" s="34">
        <f>'Baseline NFPC'!Q38</f>
        <v>0.12441530000000001</v>
      </c>
      <c r="R38" s="34">
        <f>'Baseline NFPC'!R38</f>
        <v>0.12441530000000001</v>
      </c>
      <c r="S38" s="34">
        <f>'Baseline NFPC'!S38</f>
        <v>0.12441530000000001</v>
      </c>
      <c r="T38" s="34">
        <f>'Baseline NFPC'!T38</f>
        <v>0.12441530000000001</v>
      </c>
      <c r="U38" s="34">
        <f>'Baseline NFPC'!U38</f>
        <v>0.12441530000000001</v>
      </c>
    </row>
    <row r="39" spans="2:49" x14ac:dyDescent="0.2">
      <c r="C39" s="1"/>
      <c r="D39" s="1"/>
      <c r="E39" s="97"/>
      <c r="F39" s="97"/>
      <c r="G39" s="97"/>
      <c r="H39" s="97"/>
      <c r="I39" s="97"/>
      <c r="J39" s="97"/>
      <c r="K39" s="97"/>
      <c r="L39" s="97"/>
      <c r="M39" s="1"/>
      <c r="N39" s="1"/>
      <c r="O39" s="1"/>
      <c r="P39" s="1"/>
      <c r="Q39" s="1"/>
      <c r="R39" s="1"/>
      <c r="S39" s="1"/>
      <c r="T39" s="1"/>
      <c r="U39" s="1"/>
      <c r="V39" s="59"/>
      <c r="W39" s="59"/>
      <c r="X39" s="59"/>
      <c r="Y39" s="59"/>
      <c r="Z39" s="59"/>
      <c r="AA39" s="59"/>
      <c r="AB39" s="59"/>
      <c r="AC39" s="59"/>
      <c r="AD39" s="59"/>
      <c r="AE39" s="59"/>
      <c r="AF39" s="59"/>
      <c r="AG39" s="59"/>
      <c r="AH39" s="59"/>
      <c r="AI39" s="59"/>
      <c r="AJ39" s="59"/>
      <c r="AK39" s="59"/>
      <c r="AL39" s="59"/>
      <c r="AM39" s="59"/>
      <c r="AN39" s="59"/>
      <c r="AO39" s="59"/>
      <c r="AP39" s="59"/>
      <c r="AQ39" s="59"/>
      <c r="AR39" s="59"/>
      <c r="AS39" s="59"/>
      <c r="AT39" s="59"/>
      <c r="AU39" s="59"/>
      <c r="AV39" s="59"/>
      <c r="AW39" s="60"/>
    </row>
    <row r="40" spans="2:49" x14ac:dyDescent="0.2">
      <c r="B40" s="28" t="s">
        <v>94</v>
      </c>
      <c r="C40" s="1"/>
      <c r="D40" s="1"/>
      <c r="E40" s="97"/>
      <c r="F40" s="97"/>
      <c r="G40" s="97"/>
      <c r="H40" s="97"/>
      <c r="I40" s="97"/>
      <c r="J40" s="97"/>
      <c r="K40" s="97"/>
      <c r="L40" s="97"/>
      <c r="M40" s="1"/>
      <c r="N40" s="1"/>
      <c r="O40" s="1"/>
      <c r="P40" s="1"/>
      <c r="Q40" s="1"/>
      <c r="R40" s="1"/>
      <c r="S40" s="1"/>
      <c r="T40" s="1"/>
      <c r="U40" s="1"/>
      <c r="V40" s="59"/>
      <c r="W40" s="59"/>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60"/>
    </row>
    <row r="41" spans="2:49" x14ac:dyDescent="0.2">
      <c r="B41" s="26" t="s">
        <v>139</v>
      </c>
      <c r="C41" s="2">
        <f>'Input data'!C42</f>
        <v>6.1429179999999999</v>
      </c>
      <c r="D41" s="2">
        <f>'Input data'!D42</f>
        <v>3.1060140000000001</v>
      </c>
      <c r="E41" s="2">
        <f>'Input data'!E42</f>
        <v>2.439314</v>
      </c>
      <c r="F41" s="2">
        <f>'Input data'!F42</f>
        <v>2.1658539999999999</v>
      </c>
      <c r="G41" s="1">
        <f>'Baseline NFPC'!G41</f>
        <v>2.1776222499999998</v>
      </c>
      <c r="H41" s="1">
        <f>'Baseline NFPC'!H41</f>
        <v>2.1893905</v>
      </c>
      <c r="I41" s="1">
        <f>'Baseline NFPC'!I41</f>
        <v>2.2011587499999998</v>
      </c>
      <c r="J41" s="1">
        <f>'Baseline NFPC'!J41</f>
        <v>2.2129269999999996</v>
      </c>
      <c r="K41" s="1">
        <f>'Baseline NFPC'!K41</f>
        <v>2.2246952499999999</v>
      </c>
      <c r="L41" s="1">
        <f>'Baseline NFPC'!L41</f>
        <v>2.2364634999999997</v>
      </c>
      <c r="M41" s="1">
        <f>'Baseline NFPC'!M41</f>
        <v>2.24823175</v>
      </c>
      <c r="N41" s="248">
        <f>'Baseline NFPC'!N41</f>
        <v>2.2599999999999998</v>
      </c>
      <c r="O41" s="1">
        <f>'Baseline NFPC'!O41</f>
        <v>2.2469999999999999</v>
      </c>
      <c r="P41" s="1">
        <f>'Baseline NFPC'!P41</f>
        <v>2.234</v>
      </c>
      <c r="Q41" s="1">
        <f>'Baseline NFPC'!Q41</f>
        <v>2.2209999999999996</v>
      </c>
      <c r="R41" s="1">
        <f>'Baseline NFPC'!R41</f>
        <v>2.2079999999999997</v>
      </c>
      <c r="S41" s="1">
        <f>'Baseline NFPC'!S41</f>
        <v>2.1949999999999998</v>
      </c>
      <c r="T41" s="1">
        <f>'Baseline NFPC'!T41</f>
        <v>2.1819999999999999</v>
      </c>
      <c r="U41" s="1">
        <f>'Baseline NFPC'!U41</f>
        <v>2.169</v>
      </c>
      <c r="V41" s="59"/>
      <c r="W41" s="59"/>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60"/>
    </row>
    <row r="42" spans="2:49" x14ac:dyDescent="0.2">
      <c r="B42" s="26" t="s">
        <v>95</v>
      </c>
      <c r="C42" s="1">
        <f>'Baseline NFPC'!C42</f>
        <v>0.99974450000000004</v>
      </c>
      <c r="D42" s="1">
        <f>'Baseline NFPC'!D42</f>
        <v>0.99998920000000002</v>
      </c>
      <c r="E42" s="1">
        <f>'Baseline NFPC'!E42</f>
        <v>0.99973610000000002</v>
      </c>
      <c r="F42" s="1">
        <f>'Baseline NFPC'!F42</f>
        <v>0.99982409999999999</v>
      </c>
      <c r="G42" s="1">
        <f>'Baseline NFPC'!G42</f>
        <v>1</v>
      </c>
      <c r="H42" s="1">
        <f>'Baseline NFPC'!H42</f>
        <v>1</v>
      </c>
      <c r="I42" s="1">
        <f>'Baseline NFPC'!I42</f>
        <v>1</v>
      </c>
      <c r="J42" s="1">
        <f>'Baseline NFPC'!J42</f>
        <v>1</v>
      </c>
      <c r="K42" s="1">
        <f>'Baseline NFPC'!K42</f>
        <v>1</v>
      </c>
      <c r="L42" s="1">
        <f>'Baseline NFPC'!L42</f>
        <v>1</v>
      </c>
      <c r="M42" s="1">
        <f>'Baseline NFPC'!M42</f>
        <v>1</v>
      </c>
      <c r="N42" s="1">
        <f>'Baseline NFPC'!N42</f>
        <v>1</v>
      </c>
      <c r="O42" s="1">
        <f>'Baseline NFPC'!O42</f>
        <v>1</v>
      </c>
      <c r="P42" s="1">
        <f>'Baseline NFPC'!P42</f>
        <v>1</v>
      </c>
      <c r="Q42" s="1">
        <f>'Baseline NFPC'!Q42</f>
        <v>1</v>
      </c>
      <c r="R42" s="1">
        <f>'Baseline NFPC'!R42</f>
        <v>1</v>
      </c>
      <c r="S42" s="1">
        <f>'Baseline NFPC'!S42</f>
        <v>1</v>
      </c>
      <c r="T42" s="1">
        <f>'Baseline NFPC'!T42</f>
        <v>1</v>
      </c>
      <c r="U42" s="1">
        <f>'Baseline NFPC'!U42</f>
        <v>1</v>
      </c>
      <c r="V42" s="63"/>
      <c r="W42" s="63"/>
      <c r="X42" s="63"/>
      <c r="Y42" s="63"/>
      <c r="Z42" s="63"/>
      <c r="AA42" s="63"/>
      <c r="AB42" s="63"/>
      <c r="AC42" s="63"/>
      <c r="AD42" s="63"/>
      <c r="AE42" s="63"/>
      <c r="AF42" s="63"/>
      <c r="AG42" s="63"/>
      <c r="AH42" s="63"/>
      <c r="AI42" s="63"/>
      <c r="AJ42" s="63"/>
      <c r="AK42" s="63"/>
      <c r="AL42" s="63"/>
      <c r="AM42" s="63"/>
      <c r="AN42" s="63"/>
      <c r="AO42" s="63"/>
      <c r="AP42" s="63"/>
      <c r="AQ42" s="63"/>
      <c r="AR42" s="63"/>
      <c r="AS42" s="63"/>
      <c r="AT42" s="63"/>
      <c r="AU42" s="63"/>
      <c r="AV42" s="63"/>
      <c r="AW42" s="60"/>
    </row>
    <row r="44" spans="2:49" s="67" customFormat="1" ht="12.75" x14ac:dyDescent="0.2">
      <c r="B44" s="74" t="s">
        <v>96</v>
      </c>
    </row>
    <row r="45" spans="2:49" x14ac:dyDescent="0.2">
      <c r="C45" s="36"/>
    </row>
    <row r="46" spans="2:49" x14ac:dyDescent="0.2">
      <c r="B46" s="54" t="s">
        <v>68</v>
      </c>
      <c r="C46" s="55">
        <f>'Input data'!C49</f>
        <v>0.75</v>
      </c>
    </row>
    <row r="47" spans="2:49" x14ac:dyDescent="0.2">
      <c r="B47" s="56" t="s">
        <v>243</v>
      </c>
      <c r="C47" s="57">
        <f>'Input data'!C50</f>
        <v>0.504</v>
      </c>
    </row>
    <row r="48" spans="2:49" x14ac:dyDescent="0.2">
      <c r="C48" s="58"/>
    </row>
    <row r="49" spans="2:46" outlineLevel="1" x14ac:dyDescent="0.2">
      <c r="B49" s="26" t="s">
        <v>97</v>
      </c>
      <c r="C49" s="34"/>
      <c r="D49" s="34">
        <f>IF(AND(ABS((D12-C12)-('Input data'!D13-'Input data'!C13))&gt;0.0001,ABS(D12-C12)&gt;0.0001,D$10&gt;$C$5),4,IF(C49=4,3,IF(C49=3,2,IF(C49=2,1,0))))</f>
        <v>0</v>
      </c>
      <c r="E49" s="34">
        <f>IF(AND(ABS((E12-D12)-('Baseline NFPC'!E12-'Baseline NFPC'!D12))&gt;0.0001,ABS(E12-D12)&gt;0.0001,E$10&gt;$C$5),4,IF(D49=4,3,IF(D49=3,2,IF(D49=2,1,0))))</f>
        <v>4</v>
      </c>
      <c r="F49" s="34">
        <f>IF(AND(ABS((F12-E12)-('Baseline NFPC'!F12-'Baseline NFPC'!E12))&gt;0.0001,ABS(F12-E12)&gt;0.0001,F$10&gt;$C$5),4,IF(E49=4,3,IF(E49=3,2,IF(E49=2,1,0))))</f>
        <v>4</v>
      </c>
      <c r="G49" s="34">
        <f>IF(AND(ABS((G12-F12)-('Baseline NFPC'!G12-'Baseline NFPC'!F12))&gt;0.0001,ABS(G12-F12)&gt;0.0001,G$10&gt;$C$5),4,IF(F49=4,3,IF(F49=3,2,IF(F49=2,1,0))))</f>
        <v>4</v>
      </c>
      <c r="H49" s="34">
        <f>IF(AND(ABS((H12-G12)-('Baseline NFPC'!H12-'Baseline NFPC'!G12))&gt;0.0001,ABS(H12-G12)&gt;0.0001,H$10&gt;$C$5),4,IF(G49=4,3,IF(G49=3,2,IF(G49=2,1,0))))</f>
        <v>4</v>
      </c>
      <c r="I49" s="34">
        <f>IF(AND(ABS((I12-H12)-('Baseline NFPC'!I12-'Baseline NFPC'!H12))&gt;0.0001,ABS(I12-H12)&gt;0.0001,I$10&gt;$C$5),4,IF(H49=4,3,IF(H49=3,2,IF(H49=2,1,0))))</f>
        <v>3</v>
      </c>
      <c r="J49" s="34">
        <f>IF(AND(ABS((J12-I12)-('Baseline NFPC'!J12-'Baseline NFPC'!I12))&gt;0.0001,ABS(J12-I12)&gt;0.0001,J$10&gt;$C$5),4,IF(I49=4,3,IF(I49=3,2,IF(I49=2,1,0))))</f>
        <v>2</v>
      </c>
      <c r="K49" s="34">
        <f>IF(AND(ABS((K12-J12)-('Baseline NFPC'!K12-'Baseline NFPC'!J12))&gt;0.0001,ABS(K12-J12)&gt;0.0001,K$10&gt;$C$5),4,IF(J49=4,3,IF(J49=3,2,IF(J49=2,1,0))))</f>
        <v>1</v>
      </c>
      <c r="L49" s="34">
        <f>IF(AND(ABS((L12-K12)-('Baseline NFPC'!L12-'Baseline NFPC'!K12))&gt;0.0001,ABS(L12-K12)&gt;0.0001,L$10&gt;$C$5),4,IF(K49=4,3,IF(K49=3,2,IF(K49=2,1,0))))</f>
        <v>0</v>
      </c>
      <c r="M49" s="34">
        <f>IF(AND(ABS((M12-L12)-('Baseline NFPC'!M12-'Baseline NFPC'!L12))&gt;0.0001,ABS(M12-L12)&gt;0.0001,M$10&gt;$C$5),4,IF(L49=4,3,IF(L49=3,2,IF(L49=2,1,0))))</f>
        <v>0</v>
      </c>
      <c r="N49" s="34">
        <f>IF(AND(ABS((N12-M12)-('Baseline NFPC'!N12-'Baseline NFPC'!M12))&gt;0.0001,ABS(N12-M12)&gt;0.0001,N$10&gt;$C$5),4,IF(M49=4,3,IF(M49=3,2,IF(M49=2,1,0))))</f>
        <v>0</v>
      </c>
      <c r="O49" s="34">
        <f>IF(AND(ABS((O12-N12)-('Baseline NFPC'!O12-'Baseline NFPC'!N12))&gt;0.0001,ABS(O12-N12)&gt;0.0001,O$10&gt;$C$5),4,IF(N49=4,3,IF(N49=3,2,IF(N49=2,1,0))))</f>
        <v>0</v>
      </c>
      <c r="P49" s="34">
        <f>IF(AND(ABS((P12-O12)-('Baseline NFPC'!P12-'Baseline NFPC'!O12))&gt;0.0001,ABS(P12-O12)&gt;0.0001,P$10&gt;$C$5),4,IF(O49=4,3,IF(O49=3,2,IF(O49=2,1,0))))</f>
        <v>0</v>
      </c>
      <c r="Q49" s="34">
        <f>IF(AND(ABS((Q12-P12)-('Baseline NFPC'!Q12-'Baseline NFPC'!P12))&gt;0.0001,ABS(Q12-P12)&gt;0.0001,Q$10&gt;$C$5),4,IF(P49=4,3,IF(P49=3,2,IF(P49=2,1,0))))</f>
        <v>0</v>
      </c>
      <c r="R49" s="34">
        <f>IF(AND(ABS((R12-Q12)-('Baseline NFPC'!R12-'Baseline NFPC'!Q12))&gt;0.0001,ABS(R12-Q12)&gt;0.0001,R$10&gt;$C$5),4,IF(Q49=4,3,IF(Q49=3,2,IF(Q49=2,1,0))))</f>
        <v>0</v>
      </c>
      <c r="S49" s="34">
        <f>IF(AND(ABS((S12-R12)-('Baseline NFPC'!S12-'Baseline NFPC'!R12))&gt;0.0001,ABS(S12-R12)&gt;0.0001,S$10&gt;$C$5),4,IF(R49=4,3,IF(R49=3,2,IF(R49=2,1,0))))</f>
        <v>0</v>
      </c>
      <c r="T49" s="34">
        <f>IF(AND(ABS((T12-S12)-('Baseline NFPC'!T12-'Baseline NFPC'!S12))&gt;0.0001,ABS(T12-S12)&gt;0.0001,T$10&gt;$C$5),4,IF(S49=4,3,IF(S49=3,2,IF(S49=2,1,0))))</f>
        <v>0</v>
      </c>
      <c r="U49" s="34">
        <f>IF(AND(ABS((U12-T12)-('Baseline NFPC'!U12-'Baseline NFPC'!T12))&gt;0.0001,ABS(U12-T12)&gt;0.0001,U$10&gt;$C$5),4,IF(T49=4,3,IF(T49=3,2,IF(T49=2,1,0))))</f>
        <v>0</v>
      </c>
      <c r="V49" s="34"/>
      <c r="W49" s="34"/>
      <c r="X49" s="34"/>
      <c r="Y49" s="34"/>
      <c r="Z49" s="34"/>
      <c r="AA49" s="34"/>
      <c r="AB49" s="34"/>
      <c r="AC49" s="34"/>
      <c r="AD49" s="34"/>
      <c r="AE49" s="34"/>
      <c r="AF49" s="34"/>
      <c r="AG49" s="34"/>
      <c r="AH49" s="34"/>
      <c r="AI49" s="34"/>
      <c r="AJ49" s="34"/>
      <c r="AK49" s="34"/>
      <c r="AL49" s="34"/>
      <c r="AM49" s="34"/>
      <c r="AN49" s="34"/>
      <c r="AO49" s="34"/>
      <c r="AP49" s="34"/>
      <c r="AQ49" s="34"/>
      <c r="AR49" s="34"/>
      <c r="AS49" s="34"/>
      <c r="AT49" s="34"/>
    </row>
    <row r="50" spans="2:46" outlineLevel="1" x14ac:dyDescent="0.2">
      <c r="B50" s="26" t="s">
        <v>98</v>
      </c>
      <c r="C50" s="34"/>
      <c r="D50" s="34">
        <f>IF(C49=4,2/3*(C29-'Baseline NFPC'!C29),IF(C49=3,1/3*(#REF!-'Baseline NFPC'!#REF!),0))</f>
        <v>0</v>
      </c>
      <c r="E50" s="34">
        <f>IF(D49=4,2/3*(D29-'Baseline NFPC'!D29),IF(D49=3,1/3*(C29-'Baseline NFPC'!C29),0))</f>
        <v>0</v>
      </c>
      <c r="F50" s="34">
        <f>IF(E49=4,2/3*(E29-'Baseline NFPC'!E29),IF(E49=3,1/3*(D29-'Baseline NFPC'!D29),0))</f>
        <v>-0.26560052345489338</v>
      </c>
      <c r="G50" s="34">
        <f t="shared" ref="G50:U50" si="10">IF(F49=4,2/3*F29,IF(F49=3,1/3*E29,0))</f>
        <v>-1.23227866723045</v>
      </c>
      <c r="H50" s="34">
        <f t="shared" si="10"/>
        <v>-1.0853332596811351</v>
      </c>
      <c r="I50" s="34">
        <f t="shared" si="10"/>
        <v>-0.98768759014370056</v>
      </c>
      <c r="J50" s="34">
        <f t="shared" si="10"/>
        <v>-0.49384379507185028</v>
      </c>
      <c r="K50" s="34">
        <f t="shared" si="10"/>
        <v>0</v>
      </c>
      <c r="L50" s="34">
        <f t="shared" si="10"/>
        <v>0</v>
      </c>
      <c r="M50" s="34">
        <f t="shared" si="10"/>
        <v>0</v>
      </c>
      <c r="N50" s="34">
        <f t="shared" si="10"/>
        <v>0</v>
      </c>
      <c r="O50" s="34">
        <f t="shared" si="10"/>
        <v>0</v>
      </c>
      <c r="P50" s="34">
        <f t="shared" si="10"/>
        <v>0</v>
      </c>
      <c r="Q50" s="34">
        <f t="shared" si="10"/>
        <v>0</v>
      </c>
      <c r="R50" s="34">
        <f t="shared" si="10"/>
        <v>0</v>
      </c>
      <c r="S50" s="34">
        <f t="shared" si="10"/>
        <v>0</v>
      </c>
      <c r="T50" s="34">
        <f t="shared" si="10"/>
        <v>0</v>
      </c>
      <c r="U50" s="34">
        <f t="shared" si="10"/>
        <v>0</v>
      </c>
      <c r="V50" s="34"/>
      <c r="W50" s="34"/>
      <c r="X50" s="34"/>
      <c r="Y50" s="34"/>
      <c r="Z50" s="34"/>
      <c r="AA50" s="34"/>
      <c r="AB50" s="34"/>
      <c r="AC50" s="34"/>
      <c r="AD50" s="34"/>
      <c r="AE50" s="34"/>
      <c r="AF50" s="34"/>
      <c r="AG50" s="34"/>
      <c r="AH50" s="34"/>
      <c r="AI50" s="34"/>
      <c r="AJ50" s="34"/>
      <c r="AK50" s="34"/>
      <c r="AL50" s="34"/>
      <c r="AM50" s="34"/>
      <c r="AN50" s="34"/>
      <c r="AO50" s="34"/>
      <c r="AP50" s="34"/>
      <c r="AQ50" s="34"/>
      <c r="AR50" s="34"/>
      <c r="AS50" s="34"/>
      <c r="AT50" s="34"/>
    </row>
    <row r="51" spans="2:46" outlineLevel="1" x14ac:dyDescent="0.2">
      <c r="B51" s="26" t="s">
        <v>99</v>
      </c>
      <c r="C51" s="34"/>
      <c r="D51" s="34">
        <f>'Input data'!D30-$C$46*((D12-C12)-('Input data'!D13-'Input data'!C13))</f>
        <v>-0.23852609999999999</v>
      </c>
      <c r="E51" s="34">
        <f>'Input data'!E30-$C$46*(E12-D12)</f>
        <v>-0.23283890000000002</v>
      </c>
      <c r="F51" s="34">
        <f>'Input data'!F30-$C$46*(F12-E12)</f>
        <v>0.22123519999999997</v>
      </c>
      <c r="G51" s="34">
        <f>'Input data'!G30-$C$46*(G12-F12)</f>
        <v>0.45016650000000002</v>
      </c>
      <c r="H51" s="34">
        <f>'Input data'!H30-$C$46*(H12-G12)</f>
        <v>0.55335909999999999</v>
      </c>
      <c r="I51" s="34">
        <f>'Input data'!I30-$C$46*(I12-H12)</f>
        <v>1.057734</v>
      </c>
      <c r="J51" s="34">
        <f>'Input data'!J30-$C$46*(J12-I12)</f>
        <v>0.63380049999999999</v>
      </c>
      <c r="K51" s="34">
        <f>'Input data'!K30-$C$46*(K12-J12)</f>
        <v>0.60714469999999998</v>
      </c>
      <c r="L51" s="34">
        <f>'Input data'!L30-$C$46*(L12-K12)</f>
        <v>0.58665769999999995</v>
      </c>
      <c r="M51" s="34">
        <f>'Input data'!M30-$C$46*(M12-L12)</f>
        <v>0.58461379999999996</v>
      </c>
      <c r="N51" s="34">
        <f>'Input data'!N30-$C$46*(N12-M12)</f>
        <v>0.6761528</v>
      </c>
      <c r="O51" s="34">
        <f>'Input data'!O30-$C$46*(O12-N12)</f>
        <v>0.88076969999999999</v>
      </c>
      <c r="P51" s="34">
        <f>'Input data'!P30-$C$46*(P12-O12)</f>
        <v>1.085386</v>
      </c>
      <c r="Q51" s="34">
        <f>'Input data'!Q30-$C$46*(Q12-P12)</f>
        <v>1.290001</v>
      </c>
      <c r="R51" s="34">
        <f>'Input data'!R30-$C$46*(R12-Q12)</f>
        <v>1.379999</v>
      </c>
      <c r="S51" s="34">
        <f>'Input data'!S30-$C$46*(S12-R12)</f>
        <v>1.470005</v>
      </c>
      <c r="T51" s="34">
        <f>'Input data'!T30-$C$46*(T12-S12)</f>
        <v>1.549998</v>
      </c>
      <c r="U51" s="34">
        <f>'Input data'!U30-$C$46*(U12-T12)</f>
        <v>1.5600020000000001</v>
      </c>
      <c r="V51" s="34"/>
      <c r="W51" s="34"/>
      <c r="X51" s="34"/>
      <c r="Y51" s="34"/>
      <c r="Z51" s="34"/>
      <c r="AA51" s="34"/>
      <c r="AB51" s="34"/>
      <c r="AC51" s="34"/>
      <c r="AD51" s="34"/>
      <c r="AE51" s="34"/>
      <c r="AF51" s="34"/>
      <c r="AG51" s="34"/>
      <c r="AH51" s="34"/>
      <c r="AI51" s="34"/>
      <c r="AJ51" s="34"/>
      <c r="AK51" s="34"/>
      <c r="AL51" s="34"/>
      <c r="AM51" s="34"/>
      <c r="AN51" s="34"/>
      <c r="AO51" s="34"/>
      <c r="AP51" s="34"/>
      <c r="AQ51" s="34"/>
      <c r="AR51" s="34"/>
      <c r="AS51" s="34"/>
      <c r="AT51" s="34"/>
    </row>
    <row r="53" spans="2:46" s="67" customFormat="1" ht="12.75" outlineLevel="1" x14ac:dyDescent="0.2">
      <c r="B53" s="71" t="s">
        <v>100</v>
      </c>
      <c r="C53" s="69"/>
      <c r="D53" s="68"/>
    </row>
    <row r="54" spans="2:46" outlineLevel="1" x14ac:dyDescent="0.2">
      <c r="B54" s="43"/>
      <c r="C54" s="44"/>
      <c r="D54" s="29"/>
    </row>
    <row r="55" spans="2:46" outlineLevel="1" x14ac:dyDescent="0.2">
      <c r="B55" s="83"/>
      <c r="C55" s="84">
        <f>'Input data'!$C$5-1</f>
        <v>2023</v>
      </c>
      <c r="D55" s="84">
        <f>C55+1</f>
        <v>2024</v>
      </c>
      <c r="E55" s="84">
        <f t="shared" ref="E55:U55" si="11">D55+1</f>
        <v>2025</v>
      </c>
      <c r="F55" s="84">
        <f t="shared" si="11"/>
        <v>2026</v>
      </c>
      <c r="G55" s="84">
        <f t="shared" si="11"/>
        <v>2027</v>
      </c>
      <c r="H55" s="84">
        <f t="shared" si="11"/>
        <v>2028</v>
      </c>
      <c r="I55" s="84">
        <f t="shared" si="11"/>
        <v>2029</v>
      </c>
      <c r="J55" s="84">
        <f t="shared" si="11"/>
        <v>2030</v>
      </c>
      <c r="K55" s="84">
        <f t="shared" si="11"/>
        <v>2031</v>
      </c>
      <c r="L55" s="84">
        <f t="shared" si="11"/>
        <v>2032</v>
      </c>
      <c r="M55" s="84">
        <f t="shared" si="11"/>
        <v>2033</v>
      </c>
      <c r="N55" s="84">
        <f t="shared" si="11"/>
        <v>2034</v>
      </c>
      <c r="O55" s="84">
        <f t="shared" si="11"/>
        <v>2035</v>
      </c>
      <c r="P55" s="84">
        <f t="shared" si="11"/>
        <v>2036</v>
      </c>
      <c r="Q55" s="84">
        <f t="shared" si="11"/>
        <v>2037</v>
      </c>
      <c r="R55" s="84">
        <f t="shared" si="11"/>
        <v>2038</v>
      </c>
      <c r="S55" s="84">
        <f t="shared" si="11"/>
        <v>2039</v>
      </c>
      <c r="T55" s="84">
        <f t="shared" si="11"/>
        <v>2040</v>
      </c>
      <c r="U55" s="84">
        <f t="shared" si="11"/>
        <v>2041</v>
      </c>
    </row>
    <row r="56" spans="2:46" ht="10.5" customHeight="1" outlineLevel="1" x14ac:dyDescent="0.2">
      <c r="B56" s="85" t="s">
        <v>101</v>
      </c>
      <c r="C56" s="45">
        <f>+'Input data'!C12</f>
        <v>62.885489999999997</v>
      </c>
      <c r="D56" s="45">
        <f>+C56+D57</f>
        <v>62.455679115154567</v>
      </c>
      <c r="E56" s="45">
        <f>+D56+E57</f>
        <v>63.692130003522081</v>
      </c>
      <c r="F56" s="45">
        <f>+E56+F57</f>
        <v>64.202561464572838</v>
      </c>
      <c r="G56" s="45">
        <f t="shared" ref="G56:R56" si="12">+F56+G57</f>
        <v>63.836881536064524</v>
      </c>
      <c r="H56" s="45">
        <f t="shared" si="12"/>
        <v>62.913564321630858</v>
      </c>
      <c r="I56" s="45">
        <f>+H56+I57</f>
        <v>61.771856429399051</v>
      </c>
      <c r="J56" s="45">
        <f t="shared" si="12"/>
        <v>60.499784305735673</v>
      </c>
      <c r="K56" s="45">
        <f t="shared" si="12"/>
        <v>59.161953147315913</v>
      </c>
      <c r="L56" s="45">
        <f t="shared" si="12"/>
        <v>58.390466021908942</v>
      </c>
      <c r="M56" s="46">
        <f t="shared" si="12"/>
        <v>57.774332216697466</v>
      </c>
      <c r="N56" s="46">
        <f>+M56+N57</f>
        <v>57.158756193491001</v>
      </c>
      <c r="O56" s="46">
        <f t="shared" si="12"/>
        <v>56.578305527695377</v>
      </c>
      <c r="P56" s="46">
        <f t="shared" si="12"/>
        <v>56.031933131983713</v>
      </c>
      <c r="Q56" s="46">
        <f t="shared" si="12"/>
        <v>55.418846172052781</v>
      </c>
      <c r="R56" s="46">
        <f t="shared" si="12"/>
        <v>54.801029635310293</v>
      </c>
      <c r="S56" s="46">
        <f t="shared" ref="S56" si="13">+R56+S57</f>
        <v>54.176735304112654</v>
      </c>
      <c r="T56" s="46">
        <f t="shared" ref="T56" si="14">+S56+T57</f>
        <v>53.449904495337286</v>
      </c>
      <c r="U56" s="46">
        <f t="shared" ref="U56" si="15">+T56+U57</f>
        <v>52.756277481201877</v>
      </c>
      <c r="V56" s="38"/>
      <c r="W56" s="38"/>
      <c r="X56" s="38"/>
      <c r="Y56" s="38"/>
      <c r="Z56" s="38"/>
      <c r="AA56" s="38"/>
      <c r="AB56" s="38"/>
      <c r="AC56" s="38"/>
      <c r="AD56" s="38"/>
      <c r="AE56" s="38"/>
      <c r="AF56" s="38"/>
      <c r="AG56" s="38"/>
      <c r="AH56" s="38"/>
      <c r="AI56" s="38"/>
      <c r="AJ56" s="38"/>
      <c r="AK56" s="38"/>
      <c r="AL56" s="38"/>
      <c r="AM56" s="38"/>
      <c r="AN56" s="38"/>
      <c r="AO56" s="38"/>
      <c r="AP56" s="38"/>
      <c r="AQ56" s="38"/>
      <c r="AR56" s="38"/>
      <c r="AS56" s="38"/>
      <c r="AT56" s="38"/>
    </row>
    <row r="57" spans="2:46" outlineLevel="1" x14ac:dyDescent="0.2">
      <c r="B57" s="86" t="s">
        <v>102</v>
      </c>
      <c r="C57" s="47"/>
      <c r="D57" s="47">
        <f>-D58+D66+D71</f>
        <v>-0.42981088484543095</v>
      </c>
      <c r="E57" s="47">
        <f>-E58+E66+E71</f>
        <v>1.2364508883675145</v>
      </c>
      <c r="F57" s="47">
        <f>-F58+F66+F71</f>
        <v>0.51043146105075754</v>
      </c>
      <c r="G57" s="47">
        <f t="shared" ref="G57:Q57" si="16">-G58+G66+G71</f>
        <v>-0.36567992850831132</v>
      </c>
      <c r="H57" s="47">
        <f t="shared" si="16"/>
        <v>-0.92331721443366432</v>
      </c>
      <c r="I57" s="47">
        <f t="shared" si="16"/>
        <v>-1.14170789223181</v>
      </c>
      <c r="J57" s="47">
        <f t="shared" si="16"/>
        <v>-1.2720721236633801</v>
      </c>
      <c r="K57" s="47">
        <f t="shared" si="16"/>
        <v>-1.3378311584197586</v>
      </c>
      <c r="L57" s="47">
        <f t="shared" si="16"/>
        <v>-0.77148712540697006</v>
      </c>
      <c r="M57" s="47">
        <f t="shared" si="16"/>
        <v>-0.61613380521147909</v>
      </c>
      <c r="N57" s="47">
        <f>-N58+N66+N71</f>
        <v>-0.61557602320646287</v>
      </c>
      <c r="O57" s="47">
        <f t="shared" si="16"/>
        <v>-0.58045066579562388</v>
      </c>
      <c r="P57" s="47">
        <f t="shared" si="16"/>
        <v>-0.54637239571166241</v>
      </c>
      <c r="Q57" s="47">
        <f t="shared" si="16"/>
        <v>-0.61308695993092988</v>
      </c>
      <c r="R57" s="47">
        <f>-R58+R66+R71</f>
        <v>-0.61781653674248793</v>
      </c>
      <c r="S57" s="47">
        <f>-S58+S66+S71</f>
        <v>-0.62429433119763877</v>
      </c>
      <c r="T57" s="47">
        <f t="shared" ref="T57:U57" si="17">-T58+T66+T71</f>
        <v>-0.72683080877536643</v>
      </c>
      <c r="U57" s="47">
        <f t="shared" si="17"/>
        <v>-0.69362701413540517</v>
      </c>
    </row>
    <row r="58" spans="2:46" outlineLevel="1" x14ac:dyDescent="0.2">
      <c r="B58" s="82" t="s">
        <v>103</v>
      </c>
      <c r="C58" s="48"/>
      <c r="D58" s="48">
        <f t="shared" ref="D58:Q58" si="18">D59+D60-D61-D62-D63-D64-D65</f>
        <v>-1.7039832151545689</v>
      </c>
      <c r="E58" s="48">
        <f t="shared" si="18"/>
        <v>-1.4119612713664818</v>
      </c>
      <c r="F58" s="48">
        <f t="shared" si="18"/>
        <v>-0.86688967242622028</v>
      </c>
      <c r="G58" s="48">
        <f t="shared" si="18"/>
        <v>-0.2157989443189382</v>
      </c>
      <c r="H58" s="48">
        <f t="shared" si="18"/>
        <v>0.39802118185136237</v>
      </c>
      <c r="I58" s="48">
        <f t="shared" si="18"/>
        <v>0.54226145456757524</v>
      </c>
      <c r="J58" s="48">
        <f t="shared" si="18"/>
        <v>0.68650162728379016</v>
      </c>
      <c r="K58" s="48">
        <f t="shared" si="18"/>
        <v>0.83074189999999937</v>
      </c>
      <c r="L58" s="48">
        <f t="shared" si="18"/>
        <v>0.62608464946975551</v>
      </c>
      <c r="M58" s="48">
        <f t="shared" si="18"/>
        <v>0.52142744904148497</v>
      </c>
      <c r="N58" s="48">
        <f t="shared" si="18"/>
        <v>0.51677150045617015</v>
      </c>
      <c r="O58" s="48">
        <f t="shared" si="18"/>
        <v>0.41211574937536466</v>
      </c>
      <c r="P58" s="48">
        <f t="shared" si="18"/>
        <v>0.30746024514063841</v>
      </c>
      <c r="Q58" s="48">
        <f t="shared" si="18"/>
        <v>0.30280374272188659</v>
      </c>
      <c r="R58" s="48">
        <f>R59+R60-R61-R62-R63-R64-R65</f>
        <v>0.29814614558237151</v>
      </c>
      <c r="S58" s="48">
        <f>S59+S60-S61-S62-S63-S64-S65</f>
        <v>0.29349152907521758</v>
      </c>
      <c r="T58" s="48">
        <f t="shared" ref="T58:U58" si="19">T59+T60-T61-T62-T63-T64-T65</f>
        <v>0.38883353646061869</v>
      </c>
      <c r="U58" s="48">
        <f t="shared" si="19"/>
        <v>0.38417742897745044</v>
      </c>
    </row>
    <row r="59" spans="2:46" outlineLevel="1" x14ac:dyDescent="0.2">
      <c r="B59" s="77" t="s">
        <v>104</v>
      </c>
      <c r="C59" s="1"/>
      <c r="D59" s="1">
        <f>D12</f>
        <v>-1.0152870000000001</v>
      </c>
      <c r="E59" s="1">
        <f t="shared" ref="E59:U59" si="20">IF(E12="",D59,E12)</f>
        <v>-0.47528700000000002</v>
      </c>
      <c r="F59" s="1">
        <f t="shared" si="20"/>
        <v>6.4713000000000021E-2</v>
      </c>
      <c r="G59" s="1">
        <f t="shared" si="20"/>
        <v>0.60471300000000006</v>
      </c>
      <c r="H59" s="1">
        <f t="shared" si="20"/>
        <v>1.1447130000000001</v>
      </c>
      <c r="I59" s="1">
        <f t="shared" si="20"/>
        <v>1.1447130000000001</v>
      </c>
      <c r="J59" s="1">
        <f t="shared" si="20"/>
        <v>1.1447130000000001</v>
      </c>
      <c r="K59" s="1">
        <f t="shared" si="20"/>
        <v>1.1447130000000001</v>
      </c>
      <c r="L59" s="1">
        <f t="shared" si="20"/>
        <v>1.1447130000000001</v>
      </c>
      <c r="M59" s="1">
        <f t="shared" si="20"/>
        <v>1.1447130000000001</v>
      </c>
      <c r="N59" s="1">
        <f t="shared" si="20"/>
        <v>1.1447130000000001</v>
      </c>
      <c r="O59" s="1">
        <f t="shared" si="20"/>
        <v>1.1447130000000001</v>
      </c>
      <c r="P59" s="1">
        <f t="shared" si="20"/>
        <v>1.1447130000000001</v>
      </c>
      <c r="Q59" s="1">
        <f t="shared" si="20"/>
        <v>1.1447130000000001</v>
      </c>
      <c r="R59" s="1">
        <f t="shared" si="20"/>
        <v>1.1447130000000001</v>
      </c>
      <c r="S59" s="1">
        <f t="shared" si="20"/>
        <v>1.1447130000000001</v>
      </c>
      <c r="T59" s="1">
        <f t="shared" si="20"/>
        <v>1.1447130000000001</v>
      </c>
      <c r="U59" s="1">
        <f t="shared" si="20"/>
        <v>1.1447130000000001</v>
      </c>
    </row>
    <row r="60" spans="2:46" outlineLevel="1" x14ac:dyDescent="0.2">
      <c r="B60" s="77" t="s">
        <v>105</v>
      </c>
      <c r="C60" s="1"/>
      <c r="D60" s="1">
        <v>0</v>
      </c>
      <c r="E60" s="1">
        <v>0</v>
      </c>
      <c r="F60" s="1">
        <v>0</v>
      </c>
      <c r="G60" s="1">
        <v>0</v>
      </c>
      <c r="H60" s="1">
        <v>0</v>
      </c>
      <c r="I60" s="1">
        <v>0</v>
      </c>
      <c r="J60" s="1">
        <v>0</v>
      </c>
      <c r="K60" s="1">
        <v>0</v>
      </c>
      <c r="L60" s="1">
        <v>0</v>
      </c>
      <c r="M60" s="1">
        <v>0</v>
      </c>
      <c r="N60" s="1">
        <v>0</v>
      </c>
      <c r="O60" s="1">
        <v>0</v>
      </c>
      <c r="P60" s="1">
        <v>0</v>
      </c>
      <c r="Q60" s="1">
        <v>0</v>
      </c>
      <c r="R60" s="1">
        <v>0</v>
      </c>
      <c r="S60" s="1">
        <v>0</v>
      </c>
      <c r="T60" s="1">
        <v>0</v>
      </c>
      <c r="U60" s="1">
        <v>0</v>
      </c>
    </row>
    <row r="61" spans="2:46" outlineLevel="1" x14ac:dyDescent="0.2">
      <c r="B61" s="77" t="s">
        <v>106</v>
      </c>
      <c r="C61" s="1"/>
      <c r="D61" s="1">
        <f t="shared" ref="D61:U61" si="21">-$C$47*D29</f>
        <v>0.6886962151545688</v>
      </c>
      <c r="E61" s="1">
        <f t="shared" si="21"/>
        <v>0.93667427136648174</v>
      </c>
      <c r="F61" s="1">
        <f t="shared" si="21"/>
        <v>0.9316026724262203</v>
      </c>
      <c r="G61" s="1">
        <f t="shared" si="21"/>
        <v>0.82051194431893826</v>
      </c>
      <c r="H61" s="1">
        <f t="shared" si="21"/>
        <v>0.74669181814863772</v>
      </c>
      <c r="I61" s="1">
        <f t="shared" si="21"/>
        <v>0.49779454543242696</v>
      </c>
      <c r="J61" s="1">
        <f t="shared" si="21"/>
        <v>0.2488972727162107</v>
      </c>
      <c r="K61" s="1">
        <f t="shared" si="21"/>
        <v>0</v>
      </c>
      <c r="L61" s="1">
        <f t="shared" si="21"/>
        <v>2.5053024454990691E-7</v>
      </c>
      <c r="M61" s="1">
        <f t="shared" si="21"/>
        <v>4.5095851373133657E-7</v>
      </c>
      <c r="N61" s="1">
        <f t="shared" si="21"/>
        <v>-7.0045617146519139E-7</v>
      </c>
      <c r="O61" s="1">
        <f t="shared" si="21"/>
        <v>-2.049375363810668E-6</v>
      </c>
      <c r="P61" s="1">
        <f t="shared" si="21"/>
        <v>-3.5451406354525259E-6</v>
      </c>
      <c r="Q61" s="1">
        <f t="shared" si="21"/>
        <v>-4.0427218836569521E-6</v>
      </c>
      <c r="R61" s="1">
        <f t="shared" si="21"/>
        <v>-3.5455823685026645E-6</v>
      </c>
      <c r="S61" s="1">
        <f t="shared" si="21"/>
        <v>-6.0290752182723398E-6</v>
      </c>
      <c r="T61" s="1">
        <f t="shared" si="21"/>
        <v>-5.0364606213548765E-6</v>
      </c>
      <c r="U61" s="1">
        <f t="shared" si="21"/>
        <v>-6.0289774532762408E-6</v>
      </c>
    </row>
    <row r="62" spans="2:46" outlineLevel="1" x14ac:dyDescent="0.2">
      <c r="B62" s="77" t="s">
        <v>107</v>
      </c>
      <c r="C62" s="1"/>
      <c r="D62" s="1">
        <f t="shared" ref="D62:U62" si="22">-D13</f>
        <v>0</v>
      </c>
      <c r="E62" s="1">
        <f t="shared" si="22"/>
        <v>0</v>
      </c>
      <c r="F62" s="1">
        <f t="shared" si="22"/>
        <v>0</v>
      </c>
      <c r="G62" s="1">
        <f t="shared" si="22"/>
        <v>0</v>
      </c>
      <c r="H62" s="1">
        <f t="shared" si="22"/>
        <v>0</v>
      </c>
      <c r="I62" s="1">
        <f t="shared" si="22"/>
        <v>0</v>
      </c>
      <c r="J62" s="1">
        <f t="shared" si="22"/>
        <v>0</v>
      </c>
      <c r="K62" s="1">
        <f t="shared" si="22"/>
        <v>0</v>
      </c>
      <c r="L62" s="1">
        <f t="shared" si="22"/>
        <v>0</v>
      </c>
      <c r="M62" s="1">
        <f t="shared" si="22"/>
        <v>0</v>
      </c>
      <c r="N62" s="1">
        <f t="shared" si="22"/>
        <v>0</v>
      </c>
      <c r="O62" s="1">
        <f t="shared" si="22"/>
        <v>0</v>
      </c>
      <c r="P62" s="1">
        <f t="shared" si="22"/>
        <v>0</v>
      </c>
      <c r="Q62" s="1">
        <f t="shared" si="22"/>
        <v>0</v>
      </c>
      <c r="R62" s="1">
        <f t="shared" si="22"/>
        <v>0</v>
      </c>
      <c r="S62" s="1">
        <f t="shared" si="22"/>
        <v>0</v>
      </c>
      <c r="T62" s="1">
        <f t="shared" si="22"/>
        <v>0</v>
      </c>
      <c r="U62" s="1">
        <f t="shared" si="22"/>
        <v>0</v>
      </c>
    </row>
    <row r="63" spans="2:46" outlineLevel="1" x14ac:dyDescent="0.2">
      <c r="B63" s="77" t="s">
        <v>108</v>
      </c>
      <c r="C63" s="1"/>
      <c r="D63" s="1">
        <f>IF(D$55&lt;=$C$6,0,HLOOKUP(D$55,'Input data'!$C$9:$AZ$26,12,FALSE)-HLOOKUP($C$6,'Input data'!$C$9:$AZ$26,12,FALSE))</f>
        <v>0</v>
      </c>
      <c r="E63" s="1">
        <f>IF(E$55&lt;=$C$6,0,HLOOKUP(E$55,'Input data'!$C$9:$AZ$26,12,FALSE)-HLOOKUP($C$6,'Input data'!$C$9:$AZ$26,12,FALSE))</f>
        <v>0</v>
      </c>
      <c r="F63" s="1">
        <f>IF(F$55&lt;=$C$6,0,HLOOKUP(F$55,'Input data'!$C$9:$AZ$26,12,FALSE)-HLOOKUP($C$6,'Input data'!$C$9:$AZ$26,12,FALSE))</f>
        <v>0</v>
      </c>
      <c r="G63" s="1">
        <f>IF(G$55&lt;=$C$6,0,HLOOKUP(G$55,'Input data'!$C$9:$AZ$26,12,FALSE)-HLOOKUP($C$6,'Input data'!$C$9:$AZ$26,12,FALSE))</f>
        <v>0</v>
      </c>
      <c r="H63" s="1">
        <f>IF(H$55&lt;=$C$6,0,HLOOKUP(H$55,'Input data'!$C$9:$AZ$26,12,FALSE)-HLOOKUP($C$6,'Input data'!$C$9:$AZ$26,12,FALSE))</f>
        <v>0</v>
      </c>
      <c r="I63" s="1">
        <f>IF(I$55&lt;=$C$6,0,HLOOKUP(I$55,'Input data'!$C$9:$AZ$26,12,FALSE)-HLOOKUP($C$6,'Input data'!$C$9:$AZ$26,12,FALSE))</f>
        <v>9.9999999999997868E-2</v>
      </c>
      <c r="J63" s="1">
        <f>IF(J$55&lt;=$C$6,0,HLOOKUP(J$55,'Input data'!$C$9:$AZ$26,12,FALSE)-HLOOKUP($C$6,'Input data'!$C$9:$AZ$26,12,FALSE))</f>
        <v>0.19999999999999929</v>
      </c>
      <c r="K63" s="1">
        <f>IF(K$55&lt;=$C$6,0,HLOOKUP(K$55,'Input data'!$C$9:$AZ$26,12,FALSE)-HLOOKUP($C$6,'Input data'!$C$9:$AZ$26,12,FALSE))</f>
        <v>0.30000000000000071</v>
      </c>
      <c r="L63" s="1">
        <f>IF(L$55&lt;=$C$6,0,HLOOKUP(L$55,'Input data'!$C$9:$AZ$26,12,FALSE)-HLOOKUP($C$6,'Input data'!$C$9:$AZ$26,12,FALSE))</f>
        <v>0.5</v>
      </c>
      <c r="M63" s="1">
        <f>IF(M$55&lt;=$C$6,0,HLOOKUP(M$55,'Input data'!$C$9:$AZ$26,12,FALSE)-HLOOKUP($C$6,'Input data'!$C$9:$AZ$26,12,FALSE))</f>
        <v>0.60000000000000142</v>
      </c>
      <c r="N63" s="1">
        <f>IF(N$55&lt;=$C$6,0,HLOOKUP(N$55,'Input data'!$C$9:$AZ$26,12,FALSE)-HLOOKUP($C$6,'Input data'!$C$9:$AZ$26,12,FALSE))</f>
        <v>0.60000000000000142</v>
      </c>
      <c r="O63" s="1">
        <f>IF(O$55&lt;=$C$6,0,HLOOKUP(O$55,'Input data'!$C$9:$AZ$26,12,FALSE)-HLOOKUP($C$6,'Input data'!$C$9:$AZ$26,12,FALSE))</f>
        <v>0.69999999999999929</v>
      </c>
      <c r="P63" s="1">
        <f>IF(P$55&lt;=$C$6,0,HLOOKUP(P$55,'Input data'!$C$9:$AZ$26,12,FALSE)-HLOOKUP($C$6,'Input data'!$C$9:$AZ$26,12,FALSE))</f>
        <v>0.79999999999999716</v>
      </c>
      <c r="Q63" s="1">
        <f>IF(Q$55&lt;=$C$6,0,HLOOKUP(Q$55,'Input data'!$C$9:$AZ$26,12,FALSE)-HLOOKUP($C$6,'Input data'!$C$9:$AZ$26,12,FALSE))</f>
        <v>0.79999999999999716</v>
      </c>
      <c r="R63" s="1">
        <f>IF(R$55&lt;=$C$6,0,HLOOKUP(R$55,'Input data'!$C$9:$AZ$26,12,FALSE)-HLOOKUP($C$6,'Input data'!$C$9:$AZ$26,12,FALSE))</f>
        <v>0.79999999999999716</v>
      </c>
      <c r="S63" s="1">
        <f>IF(S$55&lt;=$C$6,0,HLOOKUP(S$55,'Input data'!$C$9:$AZ$26,12,FALSE)-HLOOKUP($C$6,'Input data'!$C$9:$AZ$26,12,FALSE))</f>
        <v>0.80000000000000071</v>
      </c>
      <c r="T63" s="1">
        <f>IF(T$55&lt;=$C$6,0,HLOOKUP(T$55,'Input data'!$C$9:$AZ$26,12,FALSE)-HLOOKUP($C$6,'Input data'!$C$9:$AZ$26,12,FALSE))</f>
        <v>0.70000000000000284</v>
      </c>
      <c r="U63" s="1">
        <f>IF(U$55&lt;=$C$6,0,HLOOKUP(U$55,'Input data'!$C$9:$AZ$26,12,FALSE)-HLOOKUP($C$6,'Input data'!$C$9:$AZ$26,12,FALSE))</f>
        <v>0.70000000000000284</v>
      </c>
    </row>
    <row r="64" spans="2:46" outlineLevel="1" x14ac:dyDescent="0.2">
      <c r="B64" s="77" t="s">
        <v>109</v>
      </c>
      <c r="C64" s="1"/>
      <c r="D64" s="1">
        <f>IF(D$55&lt;=$C$5,0,-HLOOKUP(D$55,'Input data'!$C$9:$AZ$26,18,FALSE)+HLOOKUP($C$6,'Input data'!$C$9:$AZ$26,18,FALSE))</f>
        <v>0</v>
      </c>
      <c r="E64" s="1">
        <f>IF(E$55&lt;=$C$6,0,-HLOOKUP(E$55,'Input data'!$C$9:$AZ$26,18,FALSE)+HLOOKUP($C$6,'Input data'!$C$9:$AZ$26,18,FALSE))</f>
        <v>0</v>
      </c>
      <c r="F64" s="1">
        <f>IF(F$55&lt;=$C$6,0,-HLOOKUP(F$55,'Input data'!$C$9:$AZ$26,18,FALSE)+HLOOKUP($C$6,'Input data'!$C$9:$AZ$26,18,FALSE))</f>
        <v>0</v>
      </c>
      <c r="G64" s="1">
        <f>IF(G$55&lt;=$C$6,0,-HLOOKUP(G$55,'Input data'!$C$9:$AZ$26,18,FALSE)+HLOOKUP($C$6,'Input data'!$C$9:$AZ$26,18,FALSE))</f>
        <v>0</v>
      </c>
      <c r="H64" s="1">
        <f>IF(H$55&lt;=$C$6,0,-HLOOKUP(H$55,'Input data'!$C$9:$AZ$26,18,FALSE)+HLOOKUP($C$6,'Input data'!$C$9:$AZ$26,18,FALSE))</f>
        <v>0</v>
      </c>
      <c r="I64" s="1">
        <f>IF(I$55&lt;=$C$6,0,-HLOOKUP(I$55,'Input data'!$C$9:$AZ$26,18,FALSE)+HLOOKUP($C$6,'Input data'!$C$9:$AZ$26,18,FALSE))</f>
        <v>4.6570000000000222E-3</v>
      </c>
      <c r="J64" s="1">
        <f>IF(J$55&lt;=$C$6,0,-HLOOKUP(J$55,'Input data'!$C$9:$AZ$26,18,FALSE)+HLOOKUP($C$6,'Input data'!$C$9:$AZ$26,18,FALSE))</f>
        <v>9.3140999999999918E-3</v>
      </c>
      <c r="K64" s="1">
        <f>IF(K$55&lt;=$C$6,0,-HLOOKUP(K$55,'Input data'!$C$9:$AZ$26,18,FALSE)+HLOOKUP($C$6,'Input data'!$C$9:$AZ$26,18,FALSE))</f>
        <v>1.3971100000000014E-2</v>
      </c>
      <c r="L64" s="1">
        <f>IF(L$55&lt;=$C$6,0,-HLOOKUP(L$55,'Input data'!$C$9:$AZ$26,18,FALSE)+HLOOKUP($C$6,'Input data'!$C$9:$AZ$26,18,FALSE))</f>
        <v>1.8628100000000036E-2</v>
      </c>
      <c r="M64" s="1">
        <f>IF(M$55&lt;=$C$6,0,-HLOOKUP(M$55,'Input data'!$C$9:$AZ$26,18,FALSE)+HLOOKUP($C$6,'Input data'!$C$9:$AZ$26,18,FALSE))</f>
        <v>2.3285100000000059E-2</v>
      </c>
      <c r="N64" s="1">
        <f>IF(N$55&lt;=$C$6,0,-HLOOKUP(N$55,'Input data'!$C$9:$AZ$26,18,FALSE)+HLOOKUP($C$6,'Input data'!$C$9:$AZ$26,18,FALSE))</f>
        <v>2.7942200000000028E-2</v>
      </c>
      <c r="O64" s="1">
        <f>IF(O$55&lt;=$C$6,0,-HLOOKUP(O$55,'Input data'!$C$9:$AZ$26,18,FALSE)+HLOOKUP($C$6,'Input data'!$C$9:$AZ$26,18,FALSE))</f>
        <v>3.2599299999999998E-2</v>
      </c>
      <c r="P64" s="1">
        <f>IF(P$55&lt;=$C$6,0,-HLOOKUP(P$55,'Input data'!$C$9:$AZ$26,18,FALSE)+HLOOKUP($C$6,'Input data'!$C$9:$AZ$26,18,FALSE))</f>
        <v>3.725630000000002E-2</v>
      </c>
      <c r="Q64" s="1">
        <f>IF(Q$55&lt;=$C$6,0,-HLOOKUP(Q$55,'Input data'!$C$9:$AZ$26,18,FALSE)+HLOOKUP($C$6,'Input data'!$C$9:$AZ$26,18,FALSE))</f>
        <v>4.1913300000000042E-2</v>
      </c>
      <c r="R64" s="1">
        <f>IF(R$55&lt;=$C$6,0,-HLOOKUP(R$55,'Input data'!$C$9:$AZ$26,18,FALSE)+HLOOKUP($C$6,'Input data'!$C$9:$AZ$26,18,FALSE))</f>
        <v>4.6570400000000012E-2</v>
      </c>
      <c r="S64" s="1">
        <f>IF(S$55&lt;=$C$6,0,-HLOOKUP(S$55,'Input data'!$C$9:$AZ$26,18,FALSE)+HLOOKUP($C$6,'Input data'!$C$9:$AZ$26,18,FALSE))</f>
        <v>5.1227499999999981E-2</v>
      </c>
      <c r="T64" s="1">
        <f>IF(T$55&lt;=$C$6,0,-HLOOKUP(T$55,'Input data'!$C$9:$AZ$26,18,FALSE)+HLOOKUP($C$6,'Input data'!$C$9:$AZ$26,18,FALSE))</f>
        <v>5.5884500000000004E-2</v>
      </c>
      <c r="U64" s="1">
        <f>IF(U$55&lt;=$C$6,0,-HLOOKUP(U$55,'Input data'!$C$9:$AZ$26,18,FALSE)+HLOOKUP($C$6,'Input data'!$C$9:$AZ$26,18,FALSE))</f>
        <v>6.0541600000000084E-2</v>
      </c>
    </row>
    <row r="65" spans="2:21" outlineLevel="1" x14ac:dyDescent="0.2">
      <c r="B65" s="77" t="s">
        <v>110</v>
      </c>
      <c r="C65" s="37"/>
      <c r="D65" s="37">
        <v>0</v>
      </c>
      <c r="E65" s="37">
        <v>0</v>
      </c>
      <c r="F65" s="37">
        <v>0</v>
      </c>
      <c r="G65" s="37">
        <v>0</v>
      </c>
      <c r="H65" s="37">
        <v>0</v>
      </c>
      <c r="I65" s="37">
        <v>0</v>
      </c>
      <c r="J65" s="37">
        <v>0</v>
      </c>
      <c r="K65" s="37">
        <v>0</v>
      </c>
      <c r="L65" s="37">
        <v>0</v>
      </c>
      <c r="M65" s="37">
        <v>0</v>
      </c>
      <c r="N65" s="37">
        <v>0</v>
      </c>
      <c r="O65" s="37">
        <v>0</v>
      </c>
      <c r="P65" s="37">
        <v>0</v>
      </c>
      <c r="Q65" s="37">
        <v>0</v>
      </c>
      <c r="R65" s="37">
        <v>0</v>
      </c>
      <c r="S65" s="37">
        <v>0</v>
      </c>
      <c r="T65" s="37">
        <v>0</v>
      </c>
      <c r="U65" s="37">
        <v>0</v>
      </c>
    </row>
    <row r="66" spans="2:21" outlineLevel="1" x14ac:dyDescent="0.2">
      <c r="B66" s="82" t="s">
        <v>111</v>
      </c>
      <c r="C66" s="48"/>
      <c r="D66" s="48">
        <f t="shared" ref="D66:R66" si="23">SUM(D67:D70)</f>
        <v>-0.69368010000000002</v>
      </c>
      <c r="E66" s="48">
        <f>SUM(E67:E70)</f>
        <v>-0.24521838299896748</v>
      </c>
      <c r="F66" s="48">
        <f>SUM(F67:F70)</f>
        <v>-0.45532551137546273</v>
      </c>
      <c r="G66" s="48">
        <f t="shared" si="23"/>
        <v>-0.58147887282724953</v>
      </c>
      <c r="H66" s="48">
        <f t="shared" si="23"/>
        <v>-0.52529603258230195</v>
      </c>
      <c r="I66" s="48">
        <f t="shared" si="23"/>
        <v>-0.59944643766423467</v>
      </c>
      <c r="J66" s="48">
        <f t="shared" si="23"/>
        <v>-0.58557049637958991</v>
      </c>
      <c r="K66" s="48">
        <f t="shared" si="23"/>
        <v>-0.50708925841975916</v>
      </c>
      <c r="L66" s="48">
        <f t="shared" si="23"/>
        <v>-0.14540247593721456</v>
      </c>
      <c r="M66" s="48">
        <f t="shared" si="23"/>
        <v>-9.4706356169994121E-2</v>
      </c>
      <c r="N66" s="48">
        <f t="shared" si="23"/>
        <v>-9.8804522750292723E-2</v>
      </c>
      <c r="O66" s="48">
        <f t="shared" si="23"/>
        <v>-0.16833491642025922</v>
      </c>
      <c r="P66" s="48">
        <f t="shared" si="23"/>
        <v>-0.238912150571024</v>
      </c>
      <c r="Q66" s="48">
        <f t="shared" si="23"/>
        <v>-0.31028321720904328</v>
      </c>
      <c r="R66" s="48">
        <f t="shared" si="23"/>
        <v>-0.31967039116011642</v>
      </c>
      <c r="S66" s="48">
        <f>SUM(S67:S70)</f>
        <v>-0.33080280212242119</v>
      </c>
      <c r="T66" s="48">
        <f t="shared" ref="T66:U66" si="24">SUM(T67:T70)</f>
        <v>-0.33799727231474774</v>
      </c>
      <c r="U66" s="48">
        <f t="shared" si="24"/>
        <v>-0.30944958515795473</v>
      </c>
    </row>
    <row r="67" spans="2:21" outlineLevel="1" x14ac:dyDescent="0.2">
      <c r="B67" s="77" t="s">
        <v>112</v>
      </c>
      <c r="C67" s="34"/>
      <c r="D67" s="34">
        <f t="shared" ref="D67:U67" si="25">C56*D35/100*(1/(1+D32/100))</f>
        <v>1.0548956399101987</v>
      </c>
      <c r="E67" s="34">
        <f t="shared" si="25"/>
        <v>1.0999936148867984</v>
      </c>
      <c r="F67" s="34">
        <f t="shared" si="25"/>
        <v>1.1175867961788133</v>
      </c>
      <c r="G67" s="34">
        <f t="shared" si="25"/>
        <v>1.2103356650985519</v>
      </c>
      <c r="H67" s="34">
        <f t="shared" si="25"/>
        <v>1.2810407287144943</v>
      </c>
      <c r="I67" s="34">
        <f t="shared" si="25"/>
        <v>1.4629739474606158</v>
      </c>
      <c r="J67" s="34">
        <f t="shared" si="25"/>
        <v>1.4304644883700623</v>
      </c>
      <c r="K67" s="34">
        <f t="shared" si="25"/>
        <v>1.4572220588824782</v>
      </c>
      <c r="L67" s="34">
        <f t="shared" si="25"/>
        <v>1.4862945717087226</v>
      </c>
      <c r="M67" s="34">
        <f t="shared" si="25"/>
        <v>1.5210943855858923</v>
      </c>
      <c r="N67" s="34">
        <f t="shared" si="25"/>
        <v>1.5574824620236778</v>
      </c>
      <c r="O67" s="34">
        <f t="shared" si="25"/>
        <v>1.575871612797225</v>
      </c>
      <c r="P67" s="34">
        <f t="shared" si="25"/>
        <v>1.5916516935769132</v>
      </c>
      <c r="Q67" s="34">
        <f t="shared" si="25"/>
        <v>1.6052490077281039</v>
      </c>
      <c r="R67" s="34">
        <f t="shared" si="25"/>
        <v>1.6156158472598807</v>
      </c>
      <c r="S67" s="34">
        <f t="shared" si="25"/>
        <v>1.6230990499746305</v>
      </c>
      <c r="T67" s="34">
        <f t="shared" si="25"/>
        <v>1.6281586242404404</v>
      </c>
      <c r="U67" s="34">
        <f t="shared" si="25"/>
        <v>1.6288489275585296</v>
      </c>
    </row>
    <row r="68" spans="2:21" outlineLevel="1" x14ac:dyDescent="0.2">
      <c r="B68" s="77" t="s">
        <v>113</v>
      </c>
      <c r="C68" s="34"/>
      <c r="D68" s="34">
        <f t="shared" ref="D68:U68" si="26">-C56*(D23/100)*(1/(1+D32/100))</f>
        <v>0.14582752401370536</v>
      </c>
      <c r="E68" s="34">
        <f t="shared" si="26"/>
        <v>0.14228961294293135</v>
      </c>
      <c r="F68" s="34">
        <f t="shared" si="26"/>
        <v>-0.22248131462118065</v>
      </c>
      <c r="G68" s="34">
        <f t="shared" si="26"/>
        <v>-0.42352152744476751</v>
      </c>
      <c r="H68" s="34">
        <f t="shared" si="26"/>
        <v>-0.43864231375348628</v>
      </c>
      <c r="I68" s="34">
        <f t="shared" si="26"/>
        <v>-0.70741869733581109</v>
      </c>
      <c r="J68" s="34">
        <f t="shared" si="26"/>
        <v>-0.67866394035386113</v>
      </c>
      <c r="K68" s="34">
        <f t="shared" si="26"/>
        <v>-0.64766681724446207</v>
      </c>
      <c r="L68" s="34">
        <f t="shared" si="26"/>
        <v>-0.3375056772384295</v>
      </c>
      <c r="M68" s="34">
        <f t="shared" si="26"/>
        <v>-0.33191252813157718</v>
      </c>
      <c r="N68" s="34">
        <f t="shared" si="26"/>
        <v>-0.37944373414091503</v>
      </c>
      <c r="O68" s="34">
        <f t="shared" si="26"/>
        <v>-0.48807456283437001</v>
      </c>
      <c r="P68" s="34">
        <f t="shared" si="26"/>
        <v>-0.59422432354939392</v>
      </c>
      <c r="Q68" s="34">
        <f t="shared" si="26"/>
        <v>-0.69810211286491364</v>
      </c>
      <c r="R68" s="34">
        <f t="shared" si="26"/>
        <v>-0.73807259224853805</v>
      </c>
      <c r="S68" s="34">
        <f t="shared" si="26"/>
        <v>-0.77685542076962788</v>
      </c>
      <c r="T68" s="34">
        <f t="shared" si="26"/>
        <v>-0.80926293660555104</v>
      </c>
      <c r="U68" s="34">
        <f t="shared" si="26"/>
        <v>-0.80358208356100091</v>
      </c>
    </row>
    <row r="69" spans="2:21" outlineLevel="1" x14ac:dyDescent="0.2">
      <c r="B69" s="77" t="s">
        <v>114</v>
      </c>
      <c r="C69" s="34"/>
      <c r="D69" s="34">
        <f t="shared" ref="D69:U69" si="27">-C56*D41/100*(1/(1+D41/100))</f>
        <v>-1.8943920413494018</v>
      </c>
      <c r="E69" s="34">
        <f t="shared" si="27"/>
        <v>-1.4872123454975903</v>
      </c>
      <c r="F69" s="34">
        <f t="shared" si="27"/>
        <v>-1.3502344387651115</v>
      </c>
      <c r="G69" s="34">
        <f t="shared" si="27"/>
        <v>-1.368293010481034</v>
      </c>
      <c r="H69" s="34">
        <f t="shared" si="27"/>
        <v>-1.3676944475433099</v>
      </c>
      <c r="I69" s="34">
        <f t="shared" si="27"/>
        <v>-1.3550016877890394</v>
      </c>
      <c r="J69" s="34">
        <f t="shared" si="27"/>
        <v>-1.3373710443957911</v>
      </c>
      <c r="K69" s="34">
        <f t="shared" si="27"/>
        <v>-1.3166445000577753</v>
      </c>
      <c r="L69" s="34">
        <f t="shared" si="27"/>
        <v>-1.2941913704075076</v>
      </c>
      <c r="M69" s="34">
        <f t="shared" si="27"/>
        <v>-1.2838882136243093</v>
      </c>
      <c r="N69" s="34">
        <f t="shared" si="27"/>
        <v>-1.2768432506330556</v>
      </c>
      <c r="O69" s="34">
        <f t="shared" si="27"/>
        <v>-1.2561319663831141</v>
      </c>
      <c r="P69" s="34">
        <f t="shared" si="27"/>
        <v>-1.2363395205985432</v>
      </c>
      <c r="Q69" s="34">
        <f t="shared" si="27"/>
        <v>-1.2174301120722335</v>
      </c>
      <c r="R69" s="34">
        <f t="shared" si="27"/>
        <v>-1.1972136461714591</v>
      </c>
      <c r="S69" s="34">
        <f t="shared" si="27"/>
        <v>-1.1770464313274238</v>
      </c>
      <c r="T69" s="34">
        <f t="shared" si="27"/>
        <v>-1.1568929599496371</v>
      </c>
      <c r="U69" s="34">
        <f t="shared" si="27"/>
        <v>-1.1347164291554834</v>
      </c>
    </row>
    <row r="70" spans="2:21" outlineLevel="1" x14ac:dyDescent="0.2">
      <c r="B70" s="77" t="s">
        <v>115</v>
      </c>
      <c r="C70" s="49"/>
      <c r="D70" s="49">
        <f>'Baseline NFPC'!D70</f>
        <v>-1.1222574502478544E-5</v>
      </c>
      <c r="E70" s="49">
        <f>'Baseline NFPC'!E70</f>
        <v>-2.8926533110695818E-4</v>
      </c>
      <c r="F70" s="49">
        <f>'Baseline NFPC'!F70</f>
        <v>-1.9655416798392E-4</v>
      </c>
      <c r="G70" s="49">
        <f>'Baseline NFPC'!G70</f>
        <v>0</v>
      </c>
      <c r="H70" s="49">
        <f>'Baseline NFPC'!H70</f>
        <v>0</v>
      </c>
      <c r="I70" s="49">
        <f>'Baseline NFPC'!I70</f>
        <v>0</v>
      </c>
      <c r="J70" s="49">
        <f>'Baseline NFPC'!J70</f>
        <v>0</v>
      </c>
      <c r="K70" s="49">
        <f>'Baseline NFPC'!K70</f>
        <v>0</v>
      </c>
      <c r="L70" s="49">
        <f>'Baseline NFPC'!L70</f>
        <v>0</v>
      </c>
      <c r="M70" s="49">
        <f>'Baseline NFPC'!M70</f>
        <v>0</v>
      </c>
      <c r="N70" s="49">
        <f>'Baseline NFPC'!N70</f>
        <v>0</v>
      </c>
      <c r="O70" s="49">
        <f>'Baseline NFPC'!O70</f>
        <v>0</v>
      </c>
      <c r="P70" s="49">
        <f>'Baseline NFPC'!P70</f>
        <v>0</v>
      </c>
      <c r="Q70" s="49">
        <f>'Baseline NFPC'!Q70</f>
        <v>0</v>
      </c>
      <c r="R70" s="49">
        <f>'Baseline NFPC'!R70</f>
        <v>0</v>
      </c>
      <c r="S70" s="49">
        <f>'Baseline NFPC'!S70</f>
        <v>0</v>
      </c>
      <c r="T70" s="49">
        <f>'Baseline NFPC'!T70</f>
        <v>0</v>
      </c>
      <c r="U70" s="49">
        <f>'Baseline NFPC'!U70</f>
        <v>0</v>
      </c>
    </row>
    <row r="71" spans="2:21" outlineLevel="1" x14ac:dyDescent="0.2">
      <c r="B71" s="82" t="s">
        <v>116</v>
      </c>
      <c r="C71" s="50"/>
      <c r="D71" s="50">
        <f>'Input data'!D16</f>
        <v>-1.4401139999999999</v>
      </c>
      <c r="E71" s="50">
        <f>'Input data'!E16</f>
        <v>6.9708000000000006E-2</v>
      </c>
      <c r="F71" s="50">
        <f>'Input data'!F16</f>
        <v>9.8867300000000005E-2</v>
      </c>
      <c r="G71" s="50">
        <f>'Input data'!G16</f>
        <v>0</v>
      </c>
      <c r="H71" s="50">
        <f>'Input data'!H16</f>
        <v>0</v>
      </c>
      <c r="I71" s="50">
        <f>'Input data'!I16</f>
        <v>0</v>
      </c>
      <c r="J71" s="50">
        <f>'Input data'!J16</f>
        <v>0</v>
      </c>
      <c r="K71" s="50">
        <f>'Input data'!K16</f>
        <v>0</v>
      </c>
      <c r="L71" s="50">
        <f>'Input data'!L16</f>
        <v>0</v>
      </c>
      <c r="M71" s="50">
        <f>'Input data'!M16</f>
        <v>0</v>
      </c>
      <c r="N71" s="50">
        <f>'Input data'!N16</f>
        <v>0</v>
      </c>
      <c r="O71" s="50">
        <f>'Input data'!O16</f>
        <v>0</v>
      </c>
      <c r="P71" s="50">
        <f>'Input data'!P16</f>
        <v>0</v>
      </c>
      <c r="Q71" s="50">
        <f>'Input data'!Q16</f>
        <v>0</v>
      </c>
      <c r="R71" s="50">
        <f>'Input data'!R16</f>
        <v>0</v>
      </c>
      <c r="S71" s="50">
        <f>'Input data'!S16</f>
        <v>0</v>
      </c>
      <c r="T71" s="50">
        <f>'Input data'!T16</f>
        <v>0</v>
      </c>
      <c r="U71" s="50">
        <f>'Input data'!U16</f>
        <v>0</v>
      </c>
    </row>
    <row r="72" spans="2:21" outlineLevel="1" x14ac:dyDescent="0.2">
      <c r="B72" s="77" t="s">
        <v>117</v>
      </c>
      <c r="C72" s="34"/>
      <c r="D72" s="34">
        <f t="shared" ref="D72:U72" si="28">D14</f>
        <v>-1.4394560000000001</v>
      </c>
      <c r="E72" s="34">
        <f t="shared" si="28"/>
        <v>8.5767899999999994E-2</v>
      </c>
      <c r="F72" s="34">
        <f t="shared" si="28"/>
        <v>0.1097981</v>
      </c>
      <c r="G72" s="34">
        <f t="shared" si="28"/>
        <v>0</v>
      </c>
      <c r="H72" s="34">
        <f t="shared" si="28"/>
        <v>0</v>
      </c>
      <c r="I72" s="34">
        <f t="shared" si="28"/>
        <v>0</v>
      </c>
      <c r="J72" s="34">
        <f t="shared" si="28"/>
        <v>0</v>
      </c>
      <c r="K72" s="34">
        <f t="shared" si="28"/>
        <v>0</v>
      </c>
      <c r="L72" s="34">
        <f t="shared" si="28"/>
        <v>0</v>
      </c>
      <c r="M72" s="34">
        <f t="shared" si="28"/>
        <v>0</v>
      </c>
      <c r="N72" s="34">
        <f t="shared" si="28"/>
        <v>0</v>
      </c>
      <c r="O72" s="34">
        <f t="shared" si="28"/>
        <v>0</v>
      </c>
      <c r="P72" s="34">
        <f t="shared" si="28"/>
        <v>0</v>
      </c>
      <c r="Q72" s="34">
        <f t="shared" si="28"/>
        <v>0</v>
      </c>
      <c r="R72" s="34">
        <f t="shared" si="28"/>
        <v>0</v>
      </c>
      <c r="S72" s="34">
        <f t="shared" si="28"/>
        <v>0</v>
      </c>
      <c r="T72" s="34">
        <f t="shared" si="28"/>
        <v>0</v>
      </c>
      <c r="U72" s="34">
        <f t="shared" si="28"/>
        <v>0</v>
      </c>
    </row>
    <row r="73" spans="2:21" outlineLevel="1" x14ac:dyDescent="0.2">
      <c r="B73" s="87" t="s">
        <v>118</v>
      </c>
      <c r="C73" s="49"/>
      <c r="D73" s="49">
        <f t="shared" ref="D73:R73" si="29">+D71-D72</f>
        <v>-6.5799999999982539E-4</v>
      </c>
      <c r="E73" s="49">
        <f t="shared" si="29"/>
        <v>-1.6059899999999988E-2</v>
      </c>
      <c r="F73" s="49">
        <f t="shared" si="29"/>
        <v>-1.0930799999999991E-2</v>
      </c>
      <c r="G73" s="49">
        <f t="shared" si="29"/>
        <v>0</v>
      </c>
      <c r="H73" s="49">
        <f t="shared" si="29"/>
        <v>0</v>
      </c>
      <c r="I73" s="49">
        <f t="shared" si="29"/>
        <v>0</v>
      </c>
      <c r="J73" s="49">
        <f t="shared" si="29"/>
        <v>0</v>
      </c>
      <c r="K73" s="49">
        <f t="shared" si="29"/>
        <v>0</v>
      </c>
      <c r="L73" s="49">
        <f t="shared" si="29"/>
        <v>0</v>
      </c>
      <c r="M73" s="49">
        <f t="shared" si="29"/>
        <v>0</v>
      </c>
      <c r="N73" s="49">
        <f t="shared" si="29"/>
        <v>0</v>
      </c>
      <c r="O73" s="49">
        <f t="shared" si="29"/>
        <v>0</v>
      </c>
      <c r="P73" s="49">
        <f t="shared" si="29"/>
        <v>0</v>
      </c>
      <c r="Q73" s="49">
        <f t="shared" si="29"/>
        <v>0</v>
      </c>
      <c r="R73" s="49">
        <f t="shared" si="29"/>
        <v>0</v>
      </c>
      <c r="S73" s="49">
        <f t="shared" ref="S73:U73" si="30">+S71-S72</f>
        <v>0</v>
      </c>
      <c r="T73" s="49">
        <f t="shared" si="30"/>
        <v>0</v>
      </c>
      <c r="U73" s="49">
        <f t="shared" si="30"/>
        <v>0</v>
      </c>
    </row>
    <row r="74" spans="2:21" outlineLevel="1" x14ac:dyDescent="0.2">
      <c r="B74" s="77"/>
      <c r="C74" s="34"/>
      <c r="D74" s="34"/>
      <c r="E74" s="34"/>
      <c r="F74" s="34"/>
      <c r="G74" s="34"/>
      <c r="H74" s="34"/>
      <c r="I74" s="34"/>
      <c r="J74" s="34"/>
      <c r="K74" s="34"/>
      <c r="L74" s="34"/>
      <c r="M74" s="34"/>
      <c r="N74" s="34"/>
      <c r="O74" s="34"/>
      <c r="P74" s="34"/>
      <c r="Q74" s="34"/>
      <c r="R74" s="34"/>
      <c r="S74" s="34"/>
      <c r="T74" s="34"/>
      <c r="U74" s="34"/>
    </row>
    <row r="75" spans="2:21" x14ac:dyDescent="0.2">
      <c r="B75" s="51" t="s">
        <v>181</v>
      </c>
      <c r="C75" s="51"/>
      <c r="D75" s="51"/>
      <c r="E75" s="51"/>
      <c r="F75" s="51"/>
      <c r="G75" s="51"/>
      <c r="H75" s="51"/>
      <c r="I75" s="51">
        <f t="shared" ref="I75:U75" si="31">IF(I56&lt;H56,0,1)</f>
        <v>0</v>
      </c>
      <c r="J75" s="51">
        <f t="shared" si="31"/>
        <v>0</v>
      </c>
      <c r="K75" s="51">
        <f t="shared" si="31"/>
        <v>0</v>
      </c>
      <c r="L75" s="51">
        <f t="shared" si="31"/>
        <v>0</v>
      </c>
      <c r="M75" s="51">
        <f t="shared" si="31"/>
        <v>0</v>
      </c>
      <c r="N75" s="51">
        <f t="shared" si="31"/>
        <v>0</v>
      </c>
      <c r="O75" s="51">
        <f t="shared" si="31"/>
        <v>0</v>
      </c>
      <c r="P75" s="51">
        <f t="shared" si="31"/>
        <v>0</v>
      </c>
      <c r="Q75" s="51">
        <f t="shared" si="31"/>
        <v>0</v>
      </c>
      <c r="R75" s="51">
        <f t="shared" si="31"/>
        <v>0</v>
      </c>
      <c r="S75" s="51">
        <f t="shared" si="31"/>
        <v>0</v>
      </c>
      <c r="T75" s="51">
        <f t="shared" si="31"/>
        <v>0</v>
      </c>
      <c r="U75" s="51">
        <f t="shared" si="31"/>
        <v>0</v>
      </c>
    </row>
    <row r="77" spans="2:21" s="91" customFormat="1" ht="12.75" outlineLevel="1" x14ac:dyDescent="0.2">
      <c r="B77" s="92" t="s">
        <v>121</v>
      </c>
      <c r="C77" s="94"/>
      <c r="D77" s="93"/>
    </row>
    <row r="78" spans="2:21" x14ac:dyDescent="0.2">
      <c r="C78" s="34"/>
      <c r="D78" s="34"/>
      <c r="E78" s="34"/>
      <c r="F78" s="34"/>
      <c r="G78" s="34"/>
      <c r="H78" s="34"/>
      <c r="I78" s="34"/>
      <c r="J78" s="34"/>
      <c r="K78" s="34"/>
      <c r="L78" s="34"/>
      <c r="M78" s="34"/>
      <c r="N78" s="34"/>
      <c r="O78" s="34"/>
      <c r="P78" s="34"/>
      <c r="Q78" s="34"/>
      <c r="R78" s="34"/>
      <c r="S78" s="34"/>
      <c r="T78" s="34"/>
      <c r="U78" s="34"/>
    </row>
    <row r="79" spans="2:21" x14ac:dyDescent="0.2">
      <c r="B79" s="26" t="s">
        <v>122</v>
      </c>
      <c r="C79" s="109"/>
      <c r="D79" s="109">
        <f t="shared" ref="D79:U79" si="32">IF((D83-C83*D42/((1+D23/100)*(1+D41/100)))&gt;0,1,0)</f>
        <v>1</v>
      </c>
      <c r="E79" s="109">
        <f t="shared" si="32"/>
        <v>1</v>
      </c>
      <c r="F79" s="109">
        <f t="shared" si="32"/>
        <v>1</v>
      </c>
      <c r="G79" s="109">
        <f t="shared" si="32"/>
        <v>1</v>
      </c>
      <c r="H79" s="109">
        <f t="shared" si="32"/>
        <v>1</v>
      </c>
      <c r="I79" s="109">
        <f t="shared" si="32"/>
        <v>1</v>
      </c>
      <c r="J79" s="109">
        <f t="shared" si="32"/>
        <v>1</v>
      </c>
      <c r="K79" s="109">
        <f t="shared" si="32"/>
        <v>1</v>
      </c>
      <c r="L79" s="109">
        <f t="shared" si="32"/>
        <v>1</v>
      </c>
      <c r="M79" s="109">
        <f t="shared" si="32"/>
        <v>1</v>
      </c>
      <c r="N79" s="109">
        <f t="shared" si="32"/>
        <v>1</v>
      </c>
      <c r="O79" s="109">
        <f t="shared" si="32"/>
        <v>1</v>
      </c>
      <c r="P79" s="109">
        <f t="shared" si="32"/>
        <v>1</v>
      </c>
      <c r="Q79" s="109">
        <f t="shared" si="32"/>
        <v>1</v>
      </c>
      <c r="R79" s="109">
        <f t="shared" si="32"/>
        <v>1</v>
      </c>
      <c r="S79" s="109">
        <f t="shared" si="32"/>
        <v>1</v>
      </c>
      <c r="T79" s="109">
        <f t="shared" si="32"/>
        <v>1</v>
      </c>
      <c r="U79" s="109">
        <f t="shared" si="32"/>
        <v>1</v>
      </c>
    </row>
    <row r="80" spans="2:21" x14ac:dyDescent="0.2">
      <c r="B80" s="26" t="s">
        <v>123</v>
      </c>
      <c r="C80" s="109"/>
      <c r="D80" s="109">
        <f t="shared" ref="D80:U80" si="33">IF(AND(D79=0,ABS(D83-C83*D42/((1+D23/100)*(1+D41/100)))&lt;((C89*C83*D42/((1+D23/100)*(1+D41/100))+(D38*C83*C90*D42/((1+D23/100)*(1+D41/100)))))),1,0)</f>
        <v>0</v>
      </c>
      <c r="E80" s="109">
        <f t="shared" si="33"/>
        <v>0</v>
      </c>
      <c r="F80" s="109">
        <f t="shared" si="33"/>
        <v>0</v>
      </c>
      <c r="G80" s="109">
        <f t="shared" si="33"/>
        <v>0</v>
      </c>
      <c r="H80" s="109">
        <f t="shared" si="33"/>
        <v>0</v>
      </c>
      <c r="I80" s="109">
        <f t="shared" si="33"/>
        <v>0</v>
      </c>
      <c r="J80" s="109">
        <f t="shared" si="33"/>
        <v>0</v>
      </c>
      <c r="K80" s="109">
        <f t="shared" si="33"/>
        <v>0</v>
      </c>
      <c r="L80" s="109">
        <f t="shared" si="33"/>
        <v>0</v>
      </c>
      <c r="M80" s="109">
        <f t="shared" si="33"/>
        <v>0</v>
      </c>
      <c r="N80" s="109">
        <f t="shared" si="33"/>
        <v>0</v>
      </c>
      <c r="O80" s="109">
        <f t="shared" si="33"/>
        <v>0</v>
      </c>
      <c r="P80" s="109">
        <f t="shared" si="33"/>
        <v>0</v>
      </c>
      <c r="Q80" s="109">
        <f t="shared" si="33"/>
        <v>0</v>
      </c>
      <c r="R80" s="109">
        <f t="shared" si="33"/>
        <v>0</v>
      </c>
      <c r="S80" s="109">
        <f t="shared" si="33"/>
        <v>0</v>
      </c>
      <c r="T80" s="109">
        <f t="shared" si="33"/>
        <v>0</v>
      </c>
      <c r="U80" s="109">
        <f t="shared" si="33"/>
        <v>0</v>
      </c>
    </row>
    <row r="82" spans="2:21" x14ac:dyDescent="0.2">
      <c r="B82" s="51"/>
      <c r="C82" s="84">
        <f>'Input data'!$C$5-1</f>
        <v>2023</v>
      </c>
      <c r="D82" s="84">
        <f>C82+1</f>
        <v>2024</v>
      </c>
      <c r="E82" s="84">
        <f t="shared" ref="E82:U82" si="34">D82+1</f>
        <v>2025</v>
      </c>
      <c r="F82" s="84">
        <f t="shared" si="34"/>
        <v>2026</v>
      </c>
      <c r="G82" s="84">
        <f t="shared" si="34"/>
        <v>2027</v>
      </c>
      <c r="H82" s="84">
        <f t="shared" si="34"/>
        <v>2028</v>
      </c>
      <c r="I82" s="84">
        <f t="shared" si="34"/>
        <v>2029</v>
      </c>
      <c r="J82" s="84">
        <f t="shared" si="34"/>
        <v>2030</v>
      </c>
      <c r="K82" s="84">
        <f t="shared" si="34"/>
        <v>2031</v>
      </c>
      <c r="L82" s="84">
        <f t="shared" si="34"/>
        <v>2032</v>
      </c>
      <c r="M82" s="84">
        <f t="shared" si="34"/>
        <v>2033</v>
      </c>
      <c r="N82" s="84">
        <f t="shared" si="34"/>
        <v>2034</v>
      </c>
      <c r="O82" s="84">
        <f t="shared" si="34"/>
        <v>2035</v>
      </c>
      <c r="P82" s="84">
        <f t="shared" si="34"/>
        <v>2036</v>
      </c>
      <c r="Q82" s="84">
        <f t="shared" si="34"/>
        <v>2037</v>
      </c>
      <c r="R82" s="84">
        <f t="shared" si="34"/>
        <v>2038</v>
      </c>
      <c r="S82" s="84">
        <f t="shared" si="34"/>
        <v>2039</v>
      </c>
      <c r="T82" s="84">
        <f t="shared" si="34"/>
        <v>2040</v>
      </c>
      <c r="U82" s="84">
        <f t="shared" si="34"/>
        <v>2041</v>
      </c>
    </row>
    <row r="83" spans="2:21" x14ac:dyDescent="0.2">
      <c r="B83" s="104" t="s">
        <v>101</v>
      </c>
      <c r="C83" s="108">
        <f>C56</f>
        <v>62.885489999999997</v>
      </c>
      <c r="D83" s="108">
        <f>D56</f>
        <v>62.455679115154567</v>
      </c>
      <c r="E83" s="108">
        <f t="shared" ref="E83:U83" si="35">D83*(1+E97/100)*E42-E59-E60+E61+E62+E63+E64+E65+E72</f>
        <v>63.692061751928861</v>
      </c>
      <c r="F83" s="108">
        <f t="shared" si="35"/>
        <v>64.202497678293042</v>
      </c>
      <c r="G83" s="108">
        <f t="shared" si="35"/>
        <v>63.836818327493361</v>
      </c>
      <c r="H83" s="108">
        <f t="shared" si="35"/>
        <v>62.913501633185533</v>
      </c>
      <c r="I83" s="108">
        <f t="shared" si="35"/>
        <v>61.771794338255212</v>
      </c>
      <c r="J83" s="108">
        <f t="shared" si="35"/>
        <v>60.49972280318903</v>
      </c>
      <c r="K83" s="108">
        <f t="shared" si="35"/>
        <v>59.161892160263356</v>
      </c>
      <c r="L83" s="108">
        <f t="shared" si="35"/>
        <v>58.390405184744417</v>
      </c>
      <c r="M83" s="108">
        <f t="shared" si="35"/>
        <v>57.774271478207716</v>
      </c>
      <c r="N83" s="108">
        <f t="shared" si="35"/>
        <v>57.158695558875017</v>
      </c>
      <c r="O83" s="108">
        <f t="shared" si="35"/>
        <v>56.578245071650855</v>
      </c>
      <c r="P83" s="108">
        <f t="shared" si="35"/>
        <v>56.031872931225799</v>
      </c>
      <c r="Q83" s="108">
        <f t="shared" si="35"/>
        <v>55.418786304663413</v>
      </c>
      <c r="R83" s="108">
        <f t="shared" si="35"/>
        <v>54.800970113251665</v>
      </c>
      <c r="S83" s="108">
        <f t="shared" si="35"/>
        <v>54.17667614135501</v>
      </c>
      <c r="T83" s="108">
        <f t="shared" si="35"/>
        <v>53.449845701683664</v>
      </c>
      <c r="U83" s="108">
        <f t="shared" si="35"/>
        <v>52.756219027935607</v>
      </c>
    </row>
    <row r="84" spans="2:21" x14ac:dyDescent="0.2">
      <c r="B84" s="26" t="s">
        <v>124</v>
      </c>
      <c r="C84" s="34"/>
      <c r="D84" s="250">
        <f>'Input data'!$C$66*D$83</f>
        <v>48.023909319617729</v>
      </c>
      <c r="E84" s="34">
        <f t="shared" ref="E84:U84" si="36">IF(E83=0,0,IF(E79=1,D83*E42/((1+E23/100)*(1+E41/100))-E85-E86,IF(AND(E79=0,E80=1),(1-D89-E38*D90)*D83*E42/((1+E23/100)*(1+E41/100)),E83)))</f>
        <v>48.294458579391062</v>
      </c>
      <c r="F84" s="34">
        <f t="shared" si="36"/>
        <v>49.041541480454299</v>
      </c>
      <c r="G84" s="34">
        <f t="shared" si="36"/>
        <v>49.221291318041011</v>
      </c>
      <c r="H84" s="34">
        <f t="shared" si="36"/>
        <v>48.858093026043775</v>
      </c>
      <c r="I84" s="34">
        <f t="shared" si="36"/>
        <v>47.863455912255375</v>
      </c>
      <c r="J84" s="34">
        <f t="shared" si="36"/>
        <v>46.937649437978592</v>
      </c>
      <c r="K84" s="34">
        <f t="shared" si="36"/>
        <v>45.915056086081776</v>
      </c>
      <c r="L84" s="34">
        <f t="shared" si="36"/>
        <v>45.062961290263395</v>
      </c>
      <c r="M84" s="34">
        <f t="shared" si="36"/>
        <v>44.409747858909341</v>
      </c>
      <c r="N84" s="34">
        <f t="shared" si="36"/>
        <v>43.836264686324675</v>
      </c>
      <c r="O84" s="34">
        <f t="shared" si="36"/>
        <v>43.292769492860316</v>
      </c>
      <c r="P84" s="34">
        <f t="shared" si="36"/>
        <v>42.778438253011828</v>
      </c>
      <c r="Q84" s="34">
        <f t="shared" si="36"/>
        <v>42.292260543711322</v>
      </c>
      <c r="R84" s="34">
        <f t="shared" si="36"/>
        <v>41.804757366571614</v>
      </c>
      <c r="S84" s="34">
        <f t="shared" si="36"/>
        <v>41.314271821901102</v>
      </c>
      <c r="T84" s="34">
        <f t="shared" si="36"/>
        <v>40.823501943045819</v>
      </c>
      <c r="U84" s="34">
        <f t="shared" si="36"/>
        <v>40.283215133308275</v>
      </c>
    </row>
    <row r="85" spans="2:21" x14ac:dyDescent="0.2">
      <c r="B85" s="103" t="s">
        <v>125</v>
      </c>
      <c r="C85" s="34"/>
      <c r="D85" s="250">
        <f>'Input data'!$C$67*D$83</f>
        <v>6.4240999089860908</v>
      </c>
      <c r="E85" s="34">
        <f t="shared" ref="E85:U85" si="37">IF(E83=0,0,IF(E79=1,E38*D83*D90*E42/((1+E23/100)*(1+E41/100)),IF(AND(E79=0,E80=1),(E38*D83*D90*E42/((1+E23/100)*(1+E41/100)))*(1-ABS(E83-D83*E42/((1+E23/100)*(1+E41/100)))/((E38*D83*D90*E42/((1+E23/100)*(1+E41/100)))+(D89*D83*E42/((1+E23/100)*(1+E41/100))))),0)))</f>
        <v>6.1272804703985093</v>
      </c>
      <c r="F85" s="34">
        <f t="shared" si="37"/>
        <v>6.3040193937363052</v>
      </c>
      <c r="G85" s="34">
        <f t="shared" si="37"/>
        <v>6.4096239502342067</v>
      </c>
      <c r="H85" s="34">
        <f t="shared" si="37"/>
        <v>6.4444616276679882</v>
      </c>
      <c r="I85" s="34">
        <f t="shared" si="37"/>
        <v>6.3939686035003191</v>
      </c>
      <c r="J85" s="34">
        <f t="shared" si="37"/>
        <v>6.3496686249611143</v>
      </c>
      <c r="K85" s="34">
        <f t="shared" si="37"/>
        <v>6.2892125068185392</v>
      </c>
      <c r="L85" s="34">
        <f t="shared" si="37"/>
        <v>6.2491593896406794</v>
      </c>
      <c r="M85" s="34">
        <f t="shared" si="37"/>
        <v>6.234351933270907</v>
      </c>
      <c r="N85" s="34">
        <f t="shared" si="37"/>
        <v>6.2288685741407885</v>
      </c>
      <c r="O85" s="34">
        <f t="shared" si="37"/>
        <v>6.151641188208365</v>
      </c>
      <c r="P85" s="34">
        <f t="shared" si="37"/>
        <v>6.0785578240231279</v>
      </c>
      <c r="Q85" s="34">
        <f t="shared" si="37"/>
        <v>6.0094749065670143</v>
      </c>
      <c r="R85" s="34">
        <f t="shared" si="37"/>
        <v>5.9402036481327478</v>
      </c>
      <c r="S85" s="34">
        <f t="shared" si="37"/>
        <v>5.8705086132767876</v>
      </c>
      <c r="T85" s="34">
        <f t="shared" si="37"/>
        <v>5.8007731762496872</v>
      </c>
      <c r="U85" s="34">
        <f t="shared" si="37"/>
        <v>5.7240016822759561</v>
      </c>
    </row>
    <row r="86" spans="2:21" x14ac:dyDescent="0.2">
      <c r="B86" s="103" t="s">
        <v>126</v>
      </c>
      <c r="C86" s="34"/>
      <c r="D86" s="250">
        <f>'Input data'!$C$68*D$83</f>
        <v>6.6882509052437129</v>
      </c>
      <c r="E86" s="34">
        <f t="shared" ref="E86:U86" si="38">IF(E83=0,0,IF(E79=1,(1-D90)*D83*E42/((1+E23/100)*(1+E41/100)),IF(AND(E79=0,E80=1),(D89*D83*E42/((1+E23/100)*(1+E41/100)))*(1-ABS(E83-D83*E42/((1+E23/100)*(1+E41/100)))/((E38*D83*D90*E42/((1+E23/100)*(1+E41/100)))+(D89*D83*E42/((1+E23/100)*(1+E41/100))))),0)))</f>
        <v>6.6728902042009688</v>
      </c>
      <c r="F86" s="34">
        <f t="shared" si="38"/>
        <v>6.7628600163945123</v>
      </c>
      <c r="G86" s="34">
        <f t="shared" si="38"/>
        <v>6.7797696522886461</v>
      </c>
      <c r="H86" s="34">
        <f t="shared" si="38"/>
        <v>6.7279287010427993</v>
      </c>
      <c r="I86" s="34">
        <f t="shared" si="38"/>
        <v>6.5936587873455696</v>
      </c>
      <c r="J86" s="34">
        <f t="shared" si="38"/>
        <v>6.4684433170213538</v>
      </c>
      <c r="K86" s="34">
        <f t="shared" si="38"/>
        <v>6.3311448898555636</v>
      </c>
      <c r="L86" s="34">
        <f t="shared" si="38"/>
        <v>6.218076114746955</v>
      </c>
      <c r="M86" s="34">
        <f t="shared" si="38"/>
        <v>6.13050633431489</v>
      </c>
      <c r="N86" s="34">
        <f t="shared" si="38"/>
        <v>6.0528529742323798</v>
      </c>
      <c r="O86" s="34">
        <f t="shared" si="38"/>
        <v>5.970080198861675</v>
      </c>
      <c r="P86" s="34">
        <f t="shared" si="38"/>
        <v>5.8906871064941839</v>
      </c>
      <c r="Q86" s="34">
        <f t="shared" si="38"/>
        <v>5.8146073140598071</v>
      </c>
      <c r="R86" s="34">
        <f t="shared" si="38"/>
        <v>5.73854114217324</v>
      </c>
      <c r="S86" s="34">
        <f t="shared" si="38"/>
        <v>5.6622899482043829</v>
      </c>
      <c r="T86" s="34">
        <f t="shared" si="38"/>
        <v>5.5862472726105254</v>
      </c>
      <c r="U86" s="34">
        <f t="shared" si="38"/>
        <v>5.5043325054663015</v>
      </c>
    </row>
    <row r="87" spans="2:21" x14ac:dyDescent="0.2">
      <c r="B87" s="103" t="s">
        <v>127</v>
      </c>
      <c r="C87" s="34"/>
      <c r="D87" s="250">
        <f>'Input data'!$C$69*D$83</f>
        <v>1.1861189831955719</v>
      </c>
      <c r="E87" s="34">
        <f>IF(E83=0,0,IF(E79=1,'Input data'!$C$58*(E83-D83*E42/((1+E23/100)*(1+E41/100))),0))</f>
        <v>2.3350232434286053</v>
      </c>
      <c r="F87" s="34">
        <f>IF(F83=0,0,IF(F79=1,'Input data'!$C$58*(F83-E83*F42/((1+F23/100)*(1+F41/100))),0))</f>
        <v>1.8825197485222307</v>
      </c>
      <c r="G87" s="34">
        <f>IF(G83=0,0,IF(G79=1,'Input data'!$C$58*(G83-F83*G42/((1+G23/100)*(1+G41/100))),0))</f>
        <v>1.2820562829076727</v>
      </c>
      <c r="H87" s="34">
        <f>IF(H83=0,0,IF(H79=1,'Input data'!$C$58*(H83-G83*H42/((1+H23/100)*(1+H41/100))),0))</f>
        <v>0.79381012062688883</v>
      </c>
      <c r="I87" s="34">
        <f>IF(I83=0,0,IF(I79=1,'Input data'!$C$58*(I83-H83*I42/((1+I23/100)*(1+I41/100))),0))</f>
        <v>0.82769491383207283</v>
      </c>
      <c r="J87" s="34">
        <f>IF(J83=0,0,IF(J79=1,'Input data'!$C$58*(J83-I83*J42/((1+J23/100)*(1+J41/100))),0))</f>
        <v>0.6688016789003739</v>
      </c>
      <c r="K87" s="34">
        <f>IF(K83=0,0,IF(K79=1,'Input data'!$C$58*(K83-J83*K42/((1+K23/100)*(1+K41/100))),0))</f>
        <v>0.56318779204213676</v>
      </c>
      <c r="L87" s="34">
        <f>IF(L83=0,0,IF(L79=1,'Input data'!$C$58*(L83-K83*L42/((1+L23/100)*(1+L41/100))),0))</f>
        <v>0.77330463319245335</v>
      </c>
      <c r="M87" s="34">
        <f>IF(M83=0,0,IF(M79=1,'Input data'!$C$58*(M83-L83*M42/((1+M23/100)*(1+M41/100))),0))</f>
        <v>0.89867276002432361</v>
      </c>
      <c r="N87" s="34">
        <f>IF(N83=0,0,IF(N79=1,'Input data'!$C$58*(N83-M83*N42/((1+N23/100)*(1+N41/100))),0))</f>
        <v>0.93557020770911925</v>
      </c>
      <c r="O87" s="34">
        <f>IF(O83=0,0,IF(O79=1,'Input data'!$C$58*(O83-N83*O42/((1+O23/100)*(1+O41/100))),0))</f>
        <v>1.046184295246068</v>
      </c>
      <c r="P87" s="34">
        <f>IF(P83=0,0,IF(P79=1,'Input data'!$C$58*(P83-O83*P42/((1+P23/100)*(1+P41/100))),0))</f>
        <v>1.1544526805699564</v>
      </c>
      <c r="Q87" s="34">
        <f>IF(Q83=0,0,IF(Q79=1,'Input data'!$C$58*(Q83-P83*Q42/((1+Q23/100)*(1+Q41/100))),0))</f>
        <v>1.170862358242954</v>
      </c>
      <c r="R87" s="34">
        <f>IF(R83=0,0,IF(R79=1,'Input data'!$C$58*(R83-Q83*R42/((1+R23/100)*(1+R41/100))),0))</f>
        <v>1.1843689116262377</v>
      </c>
      <c r="S87" s="34">
        <f>IF(S83=0,0,IF(S79=1,'Input data'!$C$58*(S83-R83*S42/((1+S23/100)*(1+S41/100))),0))</f>
        <v>1.1952804748254793</v>
      </c>
      <c r="T87" s="34">
        <f>IF(T83=0,0,IF(T79=1,'Input data'!$C$58*(T83-S83*T42/((1+T23/100)*(1+T41/100))),0))</f>
        <v>1.1141189373547129</v>
      </c>
      <c r="U87" s="34">
        <f>IF(U83=0,0,IF(U79=1,'Input data'!$C$58*(U83-T83*U42/((1+U23/100)*(1+U41/100))),0))</f>
        <v>1.1189252072094222</v>
      </c>
    </row>
    <row r="88" spans="2:21" x14ac:dyDescent="0.2">
      <c r="B88" s="105" t="s">
        <v>128</v>
      </c>
      <c r="C88" s="49"/>
      <c r="D88" s="251">
        <f>'Input data'!$C$70*D$83</f>
        <v>0.13329569811152336</v>
      </c>
      <c r="E88" s="49">
        <f>IF(E83=0,0,IF(E79=1,'Input data'!$C$57*(E83-D83*E42/((1+E23/100)*(1+E41/100))),0))</f>
        <v>0.26240925450971603</v>
      </c>
      <c r="F88" s="49">
        <f>IF(F83=0,0,IF(F79=1,'Input data'!$C$57*(F83-E83*F42/((1+F23/100)*(1+F41/100))),0))</f>
        <v>0.2115570391856961</v>
      </c>
      <c r="G88" s="49">
        <f>IF(G83=0,0,IF(G79=1,'Input data'!$C$57*(G83-F83*G42/((1+G23/100)*(1+G41/100))),0))</f>
        <v>0.14407712402182191</v>
      </c>
      <c r="H88" s="49">
        <f>IF(H83=0,0,IF(H79=1,'Input data'!$C$57*(H83-G83*H42/((1+H23/100)*(1+H41/100))),0))</f>
        <v>8.9208157804078245E-2</v>
      </c>
      <c r="I88" s="49">
        <f>IF(I83=0,0,IF(I79=1,'Input data'!$C$57*(I83-H83*I42/((1+I23/100)*(1+I41/100))),0))</f>
        <v>9.3016121321876991E-2</v>
      </c>
      <c r="J88" s="49">
        <f>IF(J83=0,0,IF(J79=1,'Input data'!$C$57*(J83-I83*J42/((1+J23/100)*(1+J41/100))),0))</f>
        <v>7.5159744327598421E-2</v>
      </c>
      <c r="K88" s="49">
        <f>IF(K83=0,0,IF(K79=1,'Input data'!$C$57*(K83-J83*K42/((1+K23/100)*(1+K41/100))),0))</f>
        <v>6.3290885465341493E-2</v>
      </c>
      <c r="L88" s="49">
        <f>IF(L83=0,0,IF(L79=1,'Input data'!$C$57*(L83-K83*L42/((1+L23/100)*(1+L41/100))),0))</f>
        <v>8.690375690093019E-2</v>
      </c>
      <c r="M88" s="49">
        <f>IF(M83=0,0,IF(M79=1,'Input data'!$C$57*(M83-L83*M42/((1+M23/100)*(1+M41/100))),0))</f>
        <v>0.10099259168825572</v>
      </c>
      <c r="N88" s="49">
        <f>IF(N83=0,0,IF(N79=1,'Input data'!$C$57*(N83-M83*N42/((1+N23/100)*(1+N41/100))),0))</f>
        <v>0.10513911646805264</v>
      </c>
      <c r="O88" s="49">
        <f>IF(O83=0,0,IF(O79=1,'Input data'!$C$57*(O83-N83*O42/((1+O23/100)*(1+O41/100))),0))</f>
        <v>0.11756989647443192</v>
      </c>
      <c r="P88" s="49">
        <f>IF(P83=0,0,IF(P79=1,'Input data'!$C$57*(P83-O83*P42/((1+P23/100)*(1+P41/100))),0))</f>
        <v>0.12973706712670166</v>
      </c>
      <c r="Q88" s="49">
        <f>IF(Q83=0,0,IF(Q79=1,'Input data'!$C$57*(Q83-P83*Q42/((1+Q23/100)*(1+Q41/100))),0))</f>
        <v>0.13158118208231695</v>
      </c>
      <c r="R88" s="49">
        <f>IF(R83=0,0,IF(R79=1,'Input data'!$C$57*(R83-Q83*R42/((1+R23/100)*(1+R41/100))),0))</f>
        <v>0.13309904474782902</v>
      </c>
      <c r="S88" s="49">
        <f>IF(S83=0,0,IF(S79=1,'Input data'!$C$57*(S83-R83*S42/((1+S23/100)*(1+S41/100))),0))</f>
        <v>0.13432528314725684</v>
      </c>
      <c r="T88" s="49">
        <f>IF(T83=0,0,IF(T79=1,'Input data'!$C$57*(T83-S83*T42/((1+T23/100)*(1+T41/100))),0))</f>
        <v>0.12520437242291893</v>
      </c>
      <c r="U88" s="49">
        <f>IF(U83=0,0,IF(U79=1,'Input data'!$C$57*(U83-T83*U42/((1+U23/100)*(1+U41/100))),0))</f>
        <v>0.12574449967565451</v>
      </c>
    </row>
    <row r="89" spans="2:21" x14ac:dyDescent="0.2">
      <c r="B89" s="26" t="s">
        <v>73</v>
      </c>
      <c r="C89" s="36"/>
      <c r="D89" s="36">
        <f t="shared" ref="D89:E89" si="39">IF(D83&lt;&gt;0,(D86+D88)/(D84+D85+D86+D87+D88),0)</f>
        <v>0.10922220636546567</v>
      </c>
      <c r="E89" s="36">
        <f t="shared" si="39"/>
        <v>0.10888797234610882</v>
      </c>
      <c r="F89" s="36">
        <f t="shared" ref="F89" si="40">IF(F83&lt;&gt;0,(F86+F88)/(F84+F85+F86+F87+F88),0)</f>
        <v>0.10863155340977131</v>
      </c>
      <c r="G89" s="36">
        <f t="shared" ref="G89:U89" si="41">IF(G83&lt;&gt;0,(G86+G88)/(G84+G85+G86+G87+G88),0)</f>
        <v>0.10846165203268741</v>
      </c>
      <c r="H89" s="36">
        <f t="shared" si="41"/>
        <v>0.10835729504604434</v>
      </c>
      <c r="I89" s="36">
        <f t="shared" si="41"/>
        <v>0.10824802776574673</v>
      </c>
      <c r="J89" s="36">
        <f t="shared" si="41"/>
        <v>0.10815922384695668</v>
      </c>
      <c r="K89" s="36">
        <f t="shared" si="41"/>
        <v>0.10808369275950555</v>
      </c>
      <c r="L89" s="36">
        <f t="shared" si="41"/>
        <v>0.10797972460885026</v>
      </c>
      <c r="M89" s="36">
        <f t="shared" si="41"/>
        <v>0.10785941157827751</v>
      </c>
      <c r="N89" s="36">
        <f t="shared" si="41"/>
        <v>0.10773500043151846</v>
      </c>
      <c r="O89" s="36">
        <f t="shared" si="41"/>
        <v>0.10759701167165382</v>
      </c>
      <c r="P89" s="36">
        <f t="shared" si="41"/>
        <v>0.10744642037952984</v>
      </c>
      <c r="Q89" s="36">
        <f t="shared" si="41"/>
        <v>0.10729553807716212</v>
      </c>
      <c r="R89" s="36">
        <f t="shared" si="41"/>
        <v>0.10714482197644931</v>
      </c>
      <c r="S89" s="36">
        <f t="shared" si="41"/>
        <v>0.10699466346417061</v>
      </c>
      <c r="T89" s="36">
        <f t="shared" si="41"/>
        <v>0.10685627937843672</v>
      </c>
      <c r="U89" s="36">
        <f t="shared" si="41"/>
        <v>0.10671873589274287</v>
      </c>
    </row>
    <row r="90" spans="2:21" x14ac:dyDescent="0.2">
      <c r="B90" s="35" t="s">
        <v>74</v>
      </c>
      <c r="C90" s="106"/>
      <c r="D90" s="106">
        <f t="shared" ref="D90:E90" si="42">IF(D83&lt;&gt;0,(D84+D85+D87)/(D84+D85+D86+D87+D88),1)</f>
        <v>0.89077779363453435</v>
      </c>
      <c r="E90" s="106">
        <f t="shared" si="42"/>
        <v>0.8911120276538913</v>
      </c>
      <c r="F90" s="106">
        <f t="shared" ref="F90" si="43">IF(F83&lt;&gt;0,(F84+F85+F87)/(F84+F85+F86+F87+F88),1)</f>
        <v>0.89136844659022862</v>
      </c>
      <c r="G90" s="106">
        <f t="shared" ref="G90:U90" si="44">IF(G83&lt;&gt;0,(G84+G85+G87)/(G84+G85+G86+G87+G88),1)</f>
        <v>0.89153834796731257</v>
      </c>
      <c r="H90" s="106">
        <f t="shared" si="44"/>
        <v>0.89164270495395559</v>
      </c>
      <c r="I90" s="106">
        <f t="shared" si="44"/>
        <v>0.8917519722342534</v>
      </c>
      <c r="J90" s="106">
        <f t="shared" si="44"/>
        <v>0.89184077615304325</v>
      </c>
      <c r="K90" s="106">
        <f t="shared" si="44"/>
        <v>0.89191630724049442</v>
      </c>
      <c r="L90" s="106">
        <f t="shared" si="44"/>
        <v>0.8920202753911497</v>
      </c>
      <c r="M90" s="106">
        <f t="shared" si="44"/>
        <v>0.89214058842172261</v>
      </c>
      <c r="N90" s="106">
        <f t="shared" si="44"/>
        <v>0.89226499956848149</v>
      </c>
      <c r="O90" s="106">
        <f t="shared" si="44"/>
        <v>0.8924029883283463</v>
      </c>
      <c r="P90" s="106">
        <f t="shared" si="44"/>
        <v>0.89255357962047011</v>
      </c>
      <c r="Q90" s="106">
        <f t="shared" si="44"/>
        <v>0.89270446192283792</v>
      </c>
      <c r="R90" s="106">
        <f t="shared" si="44"/>
        <v>0.89285517802355063</v>
      </c>
      <c r="S90" s="106">
        <f t="shared" si="44"/>
        <v>0.89300533653582947</v>
      </c>
      <c r="T90" s="106">
        <f t="shared" si="44"/>
        <v>0.89314372062156322</v>
      </c>
      <c r="U90" s="106">
        <f t="shared" si="44"/>
        <v>0.89328126410725717</v>
      </c>
    </row>
    <row r="92" spans="2:21" x14ac:dyDescent="0.2">
      <c r="B92" s="111" t="s">
        <v>129</v>
      </c>
      <c r="C92" s="112">
        <f>C103</f>
        <v>1.4223718643188477</v>
      </c>
      <c r="D92" s="112">
        <f>D103</f>
        <v>1.7254641056060791</v>
      </c>
      <c r="E92" s="112">
        <f t="shared" ref="E92" si="45">E94+E95</f>
        <v>1.8</v>
      </c>
      <c r="F92" s="112">
        <f t="shared" ref="F92:U92" si="46">F94+F95</f>
        <v>1.7990942278989217</v>
      </c>
      <c r="G92" s="112">
        <f t="shared" si="46"/>
        <v>1.9393064891870158</v>
      </c>
      <c r="H92" s="112">
        <f>H94+H95</f>
        <v>2.0651772983228507</v>
      </c>
      <c r="I92" s="112">
        <f t="shared" si="46"/>
        <v>2.4041847906542704</v>
      </c>
      <c r="J92" s="112">
        <f t="shared" si="46"/>
        <v>2.393849592872006</v>
      </c>
      <c r="K92" s="112">
        <f t="shared" si="46"/>
        <v>2.4894683249085965</v>
      </c>
      <c r="L92" s="112">
        <f t="shared" si="46"/>
        <v>2.5835007046270535</v>
      </c>
      <c r="M92" s="112">
        <f t="shared" si="46"/>
        <v>2.6791780771935736</v>
      </c>
      <c r="N92" s="112">
        <f t="shared" si="46"/>
        <v>2.7753683429045797</v>
      </c>
      <c r="O92" s="112">
        <f t="shared" si="46"/>
        <v>2.8437867353331758</v>
      </c>
      <c r="P92" s="112">
        <f t="shared" si="46"/>
        <v>2.9072462984445431</v>
      </c>
      <c r="Q92" s="112">
        <f t="shared" si="46"/>
        <v>2.966289296447064</v>
      </c>
      <c r="R92" s="112">
        <f t="shared" si="46"/>
        <v>3.0207709607675377</v>
      </c>
      <c r="S92" s="112">
        <f t="shared" si="46"/>
        <v>3.0713098668915806</v>
      </c>
      <c r="T92" s="112">
        <f t="shared" si="46"/>
        <v>3.1184458067990048</v>
      </c>
      <c r="U92" s="112">
        <f t="shared" si="46"/>
        <v>3.1621008440468295</v>
      </c>
    </row>
    <row r="93" spans="2:21" x14ac:dyDescent="0.2">
      <c r="B93" s="33" t="s">
        <v>130</v>
      </c>
      <c r="C93" s="95"/>
      <c r="D93" s="95"/>
      <c r="E93" s="260">
        <f>((E35*D83)-(E37*(D86+D88)))/(D84+D85+D87)</f>
        <v>1.775559038079825</v>
      </c>
      <c r="F93" s="34">
        <f>IF(E83&gt;0,(E93*E84+
('Baseline NFPC'!F97*('Baseline NFPC'!E88+'Baseline NFPC'!E89+'Baseline NFPC'!E91)-'Baseline NFPC'!E97*'Baseline NFPC'!E88)/('Baseline NFPC'!E89+'Baseline NFPC'!E91)
*(E87+E85))/(E84+E85+E87),F36)</f>
        <v>1.8086572302541541</v>
      </c>
      <c r="G93" s="34">
        <f t="shared" ref="G93:U93" si="47">IF(F83&gt;0,(F93*F84+G36*(F87+F85))/(F84+F85+F87),G36)</f>
        <v>1.946802150630204</v>
      </c>
      <c r="H93" s="34">
        <f t="shared" si="47"/>
        <v>2.0688765816266814</v>
      </c>
      <c r="I93" s="34">
        <f t="shared" si="47"/>
        <v>2.3084770048561429</v>
      </c>
      <c r="J93" s="34">
        <f t="shared" si="47"/>
        <v>2.39932942462208</v>
      </c>
      <c r="K93" s="34">
        <f t="shared" si="47"/>
        <v>2.4875028531270931</v>
      </c>
      <c r="L93" s="34">
        <f t="shared" si="47"/>
        <v>2.5739100978752156</v>
      </c>
      <c r="M93" s="34">
        <f t="shared" si="47"/>
        <v>2.6621784907084658</v>
      </c>
      <c r="N93" s="34">
        <f t="shared" si="47"/>
        <v>2.7510419405206274</v>
      </c>
      <c r="O93" s="34">
        <f t="shared" si="47"/>
        <v>2.8336486148258295</v>
      </c>
      <c r="P93" s="34">
        <f t="shared" si="47"/>
        <v>2.9106613585801413</v>
      </c>
      <c r="Q93" s="34">
        <f t="shared" si="47"/>
        <v>2.9826847318095093</v>
      </c>
      <c r="R93" s="34">
        <f t="shared" si="47"/>
        <v>3.0495576749880833</v>
      </c>
      <c r="S93" s="34">
        <f t="shared" si="47"/>
        <v>3.1119756861409749</v>
      </c>
      <c r="T93" s="34">
        <f t="shared" si="47"/>
        <v>3.1705457628527589</v>
      </c>
      <c r="U93" s="34">
        <f t="shared" si="47"/>
        <v>3.2251902021214351</v>
      </c>
    </row>
    <row r="94" spans="2:21" x14ac:dyDescent="0.2">
      <c r="B94" s="26" t="s">
        <v>131</v>
      </c>
      <c r="C94" s="34"/>
      <c r="D94" s="34"/>
      <c r="E94" s="34">
        <f t="shared" ref="E94:U94" si="48">(E93*(D84+D85+D87)+E37*(D86+D88))/D83</f>
        <v>1.8</v>
      </c>
      <c r="F94" s="34">
        <f t="shared" si="48"/>
        <v>1.7990942278989217</v>
      </c>
      <c r="G94" s="34">
        <f t="shared" si="48"/>
        <v>1.9393064891870158</v>
      </c>
      <c r="H94" s="34">
        <f t="shared" si="48"/>
        <v>2.0651772983228507</v>
      </c>
      <c r="I94" s="34">
        <f t="shared" si="48"/>
        <v>2.4041847906542704</v>
      </c>
      <c r="J94" s="34">
        <f t="shared" si="48"/>
        <v>2.393849592872006</v>
      </c>
      <c r="K94" s="34">
        <f t="shared" si="48"/>
        <v>2.4894683249085965</v>
      </c>
      <c r="L94" s="34">
        <f t="shared" si="48"/>
        <v>2.5835007046270535</v>
      </c>
      <c r="M94" s="34">
        <f t="shared" si="48"/>
        <v>2.6791780771935736</v>
      </c>
      <c r="N94" s="34">
        <f t="shared" si="48"/>
        <v>2.7753683429045797</v>
      </c>
      <c r="O94" s="34">
        <f t="shared" si="48"/>
        <v>2.8437867353331758</v>
      </c>
      <c r="P94" s="34">
        <f t="shared" si="48"/>
        <v>2.9072462984445431</v>
      </c>
      <c r="Q94" s="34">
        <f t="shared" si="48"/>
        <v>2.966289296447064</v>
      </c>
      <c r="R94" s="34">
        <f t="shared" si="48"/>
        <v>3.0207709607675377</v>
      </c>
      <c r="S94" s="34">
        <f t="shared" si="48"/>
        <v>3.0713098668915806</v>
      </c>
      <c r="T94" s="34">
        <f t="shared" si="48"/>
        <v>3.1184458067990048</v>
      </c>
      <c r="U94" s="34">
        <f t="shared" si="48"/>
        <v>3.1621008440468295</v>
      </c>
    </row>
    <row r="95" spans="2:21" x14ac:dyDescent="0.2">
      <c r="B95" s="35" t="s">
        <v>132</v>
      </c>
      <c r="C95" s="49"/>
      <c r="D95" s="49"/>
      <c r="E95" s="49">
        <f>IF('Criteria results'!$F$5=4,E104,E109)</f>
        <v>0</v>
      </c>
      <c r="F95" s="49">
        <f>IF('Criteria results'!$F$5=4,F104,F109)</f>
        <v>0</v>
      </c>
      <c r="G95" s="49">
        <f>IF('Criteria results'!$F$5=4,G104,G109)</f>
        <v>0</v>
      </c>
      <c r="H95" s="49">
        <f>IF('Criteria results'!$F$5=4,H104,H109)</f>
        <v>0</v>
      </c>
      <c r="I95" s="49">
        <f>IF('Criteria results'!$F$5=4,I104,I109)</f>
        <v>0</v>
      </c>
      <c r="J95" s="49">
        <f>IF('Criteria results'!$F$5=4,J104,J109)</f>
        <v>0</v>
      </c>
      <c r="K95" s="49">
        <f>IF('Criteria results'!$F$5=4,K104,K109)</f>
        <v>0</v>
      </c>
      <c r="L95" s="49">
        <f>IF('Criteria results'!$F$5=4,L104,L109)</f>
        <v>0</v>
      </c>
      <c r="M95" s="49">
        <f>IF('Criteria results'!$F$5=4,M104,M109)</f>
        <v>0</v>
      </c>
      <c r="N95" s="49">
        <f>IF('Criteria results'!$F$5=4,N104,N109)</f>
        <v>0</v>
      </c>
      <c r="O95" s="49">
        <f>IF('Criteria results'!$F$5=4,O104,O109)</f>
        <v>0</v>
      </c>
      <c r="P95" s="49">
        <f>IF('Criteria results'!$F$5=4,P104,P109)</f>
        <v>0</v>
      </c>
      <c r="Q95" s="49">
        <f>IF('Criteria results'!$F$5=4,Q104,Q109)</f>
        <v>0</v>
      </c>
      <c r="R95" s="49">
        <f>IF('Criteria results'!$F$5=4,R104,R109)</f>
        <v>0</v>
      </c>
      <c r="S95" s="49">
        <f>IF('Criteria results'!$F$5=4,S104,S109)</f>
        <v>0</v>
      </c>
      <c r="T95" s="49">
        <f>IF('Criteria results'!$F$5=4,T104,T109)</f>
        <v>0</v>
      </c>
      <c r="U95" s="49">
        <f>IF('Criteria results'!$F$5=4,U104,U109)</f>
        <v>0</v>
      </c>
    </row>
    <row r="97" spans="1:52" x14ac:dyDescent="0.2">
      <c r="B97" s="111" t="s">
        <v>180</v>
      </c>
      <c r="C97" s="112">
        <f t="shared" ref="C97:U97" si="49">((1+C92/100)/((1+C23/100)*(1+C41/100))-1)*100</f>
        <v>-4.1920801327551267</v>
      </c>
      <c r="D97" s="112">
        <f t="shared" si="49"/>
        <v>-1.1030665625109792</v>
      </c>
      <c r="E97" s="112">
        <f t="shared" si="49"/>
        <v>-0.39216468564253759</v>
      </c>
      <c r="F97" s="112">
        <f t="shared" si="49"/>
        <v>-0.71457644324709468</v>
      </c>
      <c r="G97" s="112">
        <f t="shared" si="49"/>
        <v>-0.90569419593659051</v>
      </c>
      <c r="H97" s="112">
        <f t="shared" si="49"/>
        <v>-0.82287232700354318</v>
      </c>
      <c r="I97" s="112">
        <f t="shared" si="49"/>
        <v>-0.95280953182004247</v>
      </c>
      <c r="J97" s="112">
        <f t="shared" si="49"/>
        <v>-0.94795677227031971</v>
      </c>
      <c r="K97" s="112">
        <f t="shared" si="49"/>
        <v>-0.83816705173224149</v>
      </c>
      <c r="L97" s="112">
        <f t="shared" si="49"/>
        <v>-0.24577024287070204</v>
      </c>
      <c r="M97" s="112">
        <f t="shared" si="49"/>
        <v>-0.16219489691083888</v>
      </c>
      <c r="N97" s="112">
        <f t="shared" si="49"/>
        <v>-0.17101802644762243</v>
      </c>
      <c r="O97" s="112">
        <f t="shared" si="49"/>
        <v>-0.29450416284501069</v>
      </c>
      <c r="P97" s="112">
        <f t="shared" si="49"/>
        <v>-0.42226812617085496</v>
      </c>
      <c r="Q97" s="112">
        <f t="shared" si="49"/>
        <v>-0.55376139973285499</v>
      </c>
      <c r="R97" s="112">
        <f t="shared" si="49"/>
        <v>-0.57682613991579812</v>
      </c>
      <c r="S97" s="112">
        <f t="shared" si="49"/>
        <v>-0.60364340656342552</v>
      </c>
      <c r="T97" s="112">
        <f t="shared" si="49"/>
        <v>-0.62387899606251018</v>
      </c>
      <c r="U97" s="112">
        <f t="shared" si="49"/>
        <v>-0.57895255020512515</v>
      </c>
    </row>
    <row r="98" spans="1:52" ht="15" x14ac:dyDescent="0.2">
      <c r="A98" s="220"/>
      <c r="B98" s="391"/>
      <c r="C98" s="391"/>
      <c r="D98" s="392"/>
      <c r="E98" s="393"/>
      <c r="F98" s="393"/>
      <c r="G98" s="395"/>
      <c r="H98" s="395"/>
      <c r="I98" s="219"/>
      <c r="J98" s="219"/>
      <c r="K98" s="219"/>
      <c r="L98" s="219"/>
      <c r="M98" s="219"/>
      <c r="N98" s="219"/>
      <c r="O98" s="219"/>
      <c r="P98" s="219"/>
      <c r="Q98" s="219"/>
      <c r="R98" s="219"/>
      <c r="S98" s="75"/>
      <c r="T98" s="75"/>
      <c r="U98" s="75"/>
    </row>
    <row r="99" spans="1:52" s="25" customFormat="1" ht="12.75" outlineLevel="1" x14ac:dyDescent="0.2">
      <c r="B99" s="25" t="s">
        <v>133</v>
      </c>
      <c r="C99" s="110"/>
      <c r="D99" s="110"/>
      <c r="E99" s="110"/>
      <c r="F99" s="110"/>
      <c r="G99" s="110"/>
      <c r="H99" s="110"/>
      <c r="I99" s="110"/>
      <c r="J99" s="110"/>
      <c r="K99" s="110"/>
      <c r="L99" s="110"/>
      <c r="M99" s="110"/>
      <c r="N99" s="110"/>
      <c r="O99" s="110"/>
      <c r="P99" s="110"/>
      <c r="Q99" s="110"/>
      <c r="R99" s="110"/>
      <c r="S99" s="110"/>
      <c r="T99" s="110"/>
      <c r="U99" s="110"/>
    </row>
    <row r="100" spans="1:52" s="124" customFormat="1" ht="12.75" outlineLevel="1" x14ac:dyDescent="0.2">
      <c r="C100" s="125"/>
      <c r="D100" s="125"/>
      <c r="E100" s="125"/>
      <c r="F100" s="125"/>
      <c r="G100" s="125"/>
      <c r="H100" s="125"/>
      <c r="I100" s="125"/>
      <c r="J100" s="125"/>
      <c r="K100" s="125"/>
      <c r="L100" s="125"/>
      <c r="M100" s="125"/>
      <c r="N100" s="125"/>
      <c r="O100" s="125"/>
      <c r="P100" s="125"/>
      <c r="Q100" s="125"/>
      <c r="R100" s="125"/>
      <c r="S100" s="125"/>
      <c r="T100" s="125"/>
      <c r="U100" s="125"/>
    </row>
    <row r="101" spans="1:52" s="124" customFormat="1" ht="12.75" outlineLevel="1" x14ac:dyDescent="0.2">
      <c r="B101" s="104" t="s">
        <v>294</v>
      </c>
      <c r="C101" s="126"/>
      <c r="D101" s="126"/>
      <c r="E101" s="126"/>
      <c r="F101" s="126"/>
      <c r="G101" s="126"/>
      <c r="H101" s="126"/>
      <c r="I101" s="126"/>
      <c r="J101" s="126"/>
      <c r="K101" s="126"/>
      <c r="L101" s="126"/>
      <c r="M101" s="126"/>
      <c r="N101" s="126"/>
      <c r="O101" s="126"/>
      <c r="P101" s="126"/>
      <c r="Q101" s="126"/>
      <c r="R101" s="126"/>
      <c r="S101" s="126"/>
      <c r="T101" s="126"/>
      <c r="U101" s="126"/>
    </row>
    <row r="102" spans="1:52" outlineLevel="1" x14ac:dyDescent="0.2">
      <c r="B102" s="117" t="s">
        <v>43</v>
      </c>
      <c r="C102" s="34">
        <v>62.885486602783203</v>
      </c>
      <c r="D102" s="34">
        <v>62.455677032470703</v>
      </c>
      <c r="E102" s="34">
        <v>63.692066192626953</v>
      </c>
      <c r="F102" s="34">
        <v>64.202499389648438</v>
      </c>
      <c r="G102" s="34">
        <v>63.836818695068359</v>
      </c>
      <c r="H102" s="34">
        <v>62.913509368896484</v>
      </c>
      <c r="I102" s="34">
        <v>61.771800994873047</v>
      </c>
      <c r="J102" s="34">
        <v>60.499725341796875</v>
      </c>
      <c r="K102" s="34">
        <v>59.161895751953125</v>
      </c>
      <c r="L102" s="34">
        <v>58.390411376953125</v>
      </c>
      <c r="M102" s="34">
        <v>57.774276733398438</v>
      </c>
      <c r="N102" s="34">
        <v>57.158702850341797</v>
      </c>
      <c r="O102" s="34">
        <v>56.578254699707031</v>
      </c>
      <c r="P102" s="34">
        <v>56.031887054443359</v>
      </c>
      <c r="Q102" s="34">
        <v>55.418804168701172</v>
      </c>
      <c r="R102" s="34">
        <v>54.800994873046875</v>
      </c>
      <c r="S102" s="34">
        <v>54.176708221435547</v>
      </c>
      <c r="T102" s="34">
        <v>53.449882507324219</v>
      </c>
      <c r="U102" s="34">
        <v>52.756263732910156</v>
      </c>
      <c r="V102" s="34"/>
      <c r="W102" s="34"/>
      <c r="X102" s="34"/>
    </row>
    <row r="103" spans="1:52" s="5" customFormat="1" ht="12.75" x14ac:dyDescent="0.2">
      <c r="A103" s="26"/>
      <c r="B103" s="26" t="s">
        <v>129</v>
      </c>
      <c r="C103" s="1">
        <v>1.4223718643188477</v>
      </c>
      <c r="D103" s="1">
        <v>1.7254641056060791</v>
      </c>
      <c r="E103" s="1">
        <v>1.7999998331069946</v>
      </c>
      <c r="F103" s="1">
        <v>1.7990946769714355</v>
      </c>
      <c r="G103" s="1">
        <v>1.9393068552017212</v>
      </c>
      <c r="H103" s="1">
        <v>2.0651776790618896</v>
      </c>
      <c r="I103" s="1">
        <v>2.4041852951049805</v>
      </c>
      <c r="J103" s="1">
        <v>2.3938500881195068</v>
      </c>
      <c r="K103" s="1">
        <v>2.4894685745239258</v>
      </c>
      <c r="L103" s="1">
        <v>2.5835011005401611</v>
      </c>
      <c r="M103" s="1">
        <v>2.6791782379150391</v>
      </c>
      <c r="N103" s="1">
        <v>2.7753684520721436</v>
      </c>
      <c r="O103" s="1">
        <v>2.8437869548797607</v>
      </c>
      <c r="P103" s="1">
        <v>2.9072465896606445</v>
      </c>
      <c r="Q103" s="1">
        <v>2.9662895202636719</v>
      </c>
      <c r="R103" s="1">
        <v>3.0207710266113281</v>
      </c>
      <c r="S103" s="1">
        <v>3.0713100433349609</v>
      </c>
      <c r="T103" s="1">
        <v>3.118445873260498</v>
      </c>
      <c r="U103" s="1">
        <v>3.1621012687683105</v>
      </c>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row>
    <row r="104" spans="1:52" s="5" customFormat="1" ht="12.75" x14ac:dyDescent="0.2">
      <c r="B104" s="26" t="s">
        <v>179</v>
      </c>
      <c r="C104" s="1"/>
      <c r="D104" s="1"/>
      <c r="E104" s="1">
        <v>0</v>
      </c>
      <c r="F104" s="1">
        <v>0</v>
      </c>
      <c r="G104" s="1">
        <v>0</v>
      </c>
      <c r="H104" s="1">
        <v>0</v>
      </c>
      <c r="I104" s="1">
        <v>0</v>
      </c>
      <c r="J104" s="1">
        <v>0</v>
      </c>
      <c r="K104" s="1">
        <v>0</v>
      </c>
      <c r="L104" s="1">
        <v>0</v>
      </c>
      <c r="M104" s="1">
        <v>0</v>
      </c>
      <c r="N104" s="1">
        <v>0</v>
      </c>
      <c r="O104" s="1">
        <v>0</v>
      </c>
      <c r="P104" s="1">
        <v>0</v>
      </c>
      <c r="Q104" s="1">
        <v>0</v>
      </c>
      <c r="R104" s="1">
        <v>0</v>
      </c>
      <c r="S104" s="1">
        <v>0</v>
      </c>
      <c r="T104" s="1">
        <v>0</v>
      </c>
      <c r="U104" s="1">
        <v>0</v>
      </c>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row>
    <row r="105" spans="1:52" s="5" customFormat="1" ht="12.75" x14ac:dyDescent="0.2">
      <c r="B105" s="26"/>
      <c r="C105" s="1"/>
      <c r="D105" s="1"/>
      <c r="E105" s="218"/>
      <c r="F105" s="218"/>
      <c r="G105" s="218"/>
      <c r="H105" s="218"/>
      <c r="I105" s="218"/>
      <c r="J105" s="218"/>
      <c r="K105" s="218"/>
      <c r="L105" s="218"/>
      <c r="M105" s="218"/>
      <c r="N105" s="218"/>
      <c r="O105" s="218"/>
      <c r="P105" s="218"/>
      <c r="Q105" s="218"/>
      <c r="R105" s="218"/>
      <c r="S105" s="218"/>
      <c r="T105" s="218"/>
      <c r="U105" s="218"/>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row>
    <row r="106" spans="1:52" s="5" customFormat="1" ht="12.75" x14ac:dyDescent="0.2">
      <c r="B106" s="104" t="s">
        <v>295</v>
      </c>
      <c r="C106" s="37"/>
      <c r="D106" s="37"/>
      <c r="E106" s="221"/>
      <c r="F106" s="221"/>
      <c r="G106" s="221"/>
      <c r="H106" s="221"/>
      <c r="I106" s="221"/>
      <c r="J106" s="221"/>
      <c r="K106" s="221"/>
      <c r="L106" s="221"/>
      <c r="M106" s="221"/>
      <c r="N106" s="221"/>
      <c r="O106" s="221"/>
      <c r="P106" s="221"/>
      <c r="Q106" s="221"/>
      <c r="R106" s="221"/>
      <c r="S106" s="37"/>
      <c r="T106" s="37"/>
      <c r="U106" s="37"/>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row>
    <row r="107" spans="1:52" outlineLevel="1" x14ac:dyDescent="0.2">
      <c r="B107" s="117" t="s">
        <v>43</v>
      </c>
      <c r="C107" s="34">
        <v>62.885486602783203</v>
      </c>
      <c r="D107" s="34">
        <v>62.455677032470703</v>
      </c>
      <c r="E107" s="34">
        <v>63.7373046875</v>
      </c>
      <c r="F107" s="34">
        <v>64.547554016113281</v>
      </c>
      <c r="G107" s="34">
        <v>64.745628356933594</v>
      </c>
      <c r="H107" s="34">
        <v>64.654449462890625</v>
      </c>
      <c r="I107" s="34">
        <v>64.285560607910156</v>
      </c>
      <c r="J107" s="34">
        <v>63.723865509033203</v>
      </c>
      <c r="K107" s="34">
        <v>62.972621917724609</v>
      </c>
      <c r="L107" s="34">
        <v>62.413532257080078</v>
      </c>
      <c r="M107" s="34">
        <v>61.826751708984375</v>
      </c>
      <c r="N107" s="34">
        <v>61.11981201171875</v>
      </c>
      <c r="O107" s="34">
        <v>60.582382202148438</v>
      </c>
      <c r="P107" s="34">
        <v>60.069778442382813</v>
      </c>
      <c r="Q107" s="34">
        <v>59.481502532958984</v>
      </c>
      <c r="R107" s="34">
        <v>58.884410858154297</v>
      </c>
      <c r="S107" s="34">
        <v>58.277050018310547</v>
      </c>
      <c r="T107" s="34">
        <v>57.564018249511719</v>
      </c>
      <c r="U107" s="34">
        <v>56.884101867675781</v>
      </c>
      <c r="V107" s="34"/>
      <c r="W107" s="34"/>
      <c r="X107" s="34"/>
    </row>
    <row r="108" spans="1:52" x14ac:dyDescent="0.2">
      <c r="B108" s="26" t="s">
        <v>129</v>
      </c>
      <c r="C108" s="1">
        <v>1.4223718643188477</v>
      </c>
      <c r="D108" s="1">
        <v>1.7254641056060791</v>
      </c>
      <c r="E108" s="1">
        <v>1.7999998331069946</v>
      </c>
      <c r="F108" s="1">
        <v>1.799573540687561</v>
      </c>
      <c r="G108" s="1">
        <v>1.9441919326782227</v>
      </c>
      <c r="H108" s="1">
        <v>2.0761289596557617</v>
      </c>
      <c r="I108" s="1">
        <v>2.1993477344512939</v>
      </c>
      <c r="J108" s="1">
        <v>2.3155865669250488</v>
      </c>
      <c r="K108" s="1">
        <v>2.4261114597320557</v>
      </c>
      <c r="L108" s="1">
        <v>2.7602531909942627</v>
      </c>
      <c r="M108" s="1">
        <v>2.7418191432952881</v>
      </c>
      <c r="N108" s="1">
        <v>2.8308510780334473</v>
      </c>
      <c r="O108" s="1">
        <v>2.8921480178833008</v>
      </c>
      <c r="P108" s="1">
        <v>2.9492795467376709</v>
      </c>
      <c r="Q108" s="1">
        <v>3.0027177333831787</v>
      </c>
      <c r="R108" s="1">
        <v>3.05234694480896</v>
      </c>
      <c r="S108" s="1">
        <v>3.0986905097961426</v>
      </c>
      <c r="T108" s="1">
        <v>3.142204761505127</v>
      </c>
      <c r="U108" s="1">
        <v>3.1828122138977051</v>
      </c>
      <c r="V108" s="1"/>
      <c r="W108" s="1"/>
      <c r="X108" s="1"/>
      <c r="Y108" s="59"/>
      <c r="Z108" s="59"/>
      <c r="AA108" s="59"/>
      <c r="AB108" s="59"/>
      <c r="AC108" s="59"/>
      <c r="AD108" s="59"/>
      <c r="AE108" s="59"/>
      <c r="AF108" s="59"/>
      <c r="AG108" s="59"/>
      <c r="AH108" s="59"/>
      <c r="AI108" s="59"/>
      <c r="AJ108" s="59"/>
      <c r="AK108" s="59"/>
      <c r="AL108" s="59"/>
      <c r="AM108" s="59"/>
      <c r="AN108" s="59"/>
      <c r="AO108" s="59"/>
      <c r="AP108" s="59"/>
      <c r="AQ108" s="59"/>
      <c r="AR108" s="59"/>
      <c r="AS108" s="59"/>
      <c r="AT108" s="59"/>
      <c r="AU108" s="59"/>
      <c r="AV108" s="59"/>
      <c r="AW108" s="60"/>
    </row>
    <row r="109" spans="1:52" x14ac:dyDescent="0.2">
      <c r="B109" s="26" t="s">
        <v>179</v>
      </c>
      <c r="C109" s="34"/>
      <c r="D109" s="34"/>
      <c r="E109" s="34">
        <v>0</v>
      </c>
      <c r="F109" s="34">
        <v>0</v>
      </c>
      <c r="G109" s="34">
        <v>0</v>
      </c>
      <c r="H109" s="34">
        <v>0</v>
      </c>
      <c r="I109" s="34">
        <v>0</v>
      </c>
      <c r="J109" s="34">
        <v>0</v>
      </c>
      <c r="K109" s="34">
        <v>0</v>
      </c>
      <c r="L109" s="34">
        <v>0</v>
      </c>
      <c r="M109" s="34">
        <v>0</v>
      </c>
      <c r="N109" s="34">
        <v>0</v>
      </c>
      <c r="O109" s="34">
        <v>0</v>
      </c>
      <c r="P109" s="34">
        <v>0</v>
      </c>
      <c r="Q109" s="34">
        <v>0</v>
      </c>
      <c r="R109" s="34">
        <v>0</v>
      </c>
      <c r="S109" s="34">
        <v>0</v>
      </c>
      <c r="T109" s="34">
        <v>0</v>
      </c>
      <c r="U109" s="34">
        <v>0</v>
      </c>
      <c r="V109" s="34"/>
      <c r="W109" s="34"/>
    </row>
    <row r="112" spans="1:52" x14ac:dyDescent="0.2">
      <c r="E112" s="34"/>
      <c r="F112" s="34"/>
      <c r="G112" s="118"/>
      <c r="H112" s="118"/>
      <c r="I112" s="118"/>
      <c r="J112" s="118"/>
      <c r="K112" s="118"/>
      <c r="L112" s="118"/>
      <c r="M112" s="118"/>
      <c r="N112" s="118"/>
      <c r="O112" s="118"/>
      <c r="P112" s="118"/>
      <c r="Q112" s="118"/>
      <c r="R112" s="118"/>
      <c r="S112" s="118"/>
      <c r="T112" s="118"/>
      <c r="U112" s="118"/>
      <c r="V112" s="118"/>
      <c r="W112" s="118"/>
    </row>
    <row r="113" spans="5:23" x14ac:dyDescent="0.2">
      <c r="E113" s="34"/>
      <c r="F113" s="34"/>
      <c r="G113" s="118"/>
      <c r="H113" s="118"/>
      <c r="I113" s="118"/>
      <c r="J113" s="118"/>
      <c r="K113" s="118"/>
      <c r="L113" s="118"/>
      <c r="M113" s="118"/>
      <c r="N113" s="118"/>
      <c r="O113" s="118"/>
      <c r="P113" s="118"/>
      <c r="Q113" s="118"/>
      <c r="R113" s="118"/>
      <c r="S113" s="118"/>
      <c r="T113" s="118"/>
      <c r="U113" s="118"/>
      <c r="V113" s="118"/>
      <c r="W113" s="118"/>
    </row>
    <row r="115" spans="5:23" x14ac:dyDescent="0.2">
      <c r="E115" s="34"/>
      <c r="F115" s="34"/>
      <c r="G115" s="118"/>
      <c r="H115" s="118"/>
      <c r="I115" s="118"/>
      <c r="J115" s="118"/>
      <c r="K115" s="118"/>
      <c r="L115" s="118"/>
      <c r="M115" s="118"/>
      <c r="N115" s="118"/>
      <c r="O115" s="118"/>
      <c r="P115" s="118"/>
      <c r="Q115" s="118"/>
      <c r="R115" s="118"/>
      <c r="S115" s="118"/>
      <c r="T115" s="118"/>
      <c r="U115" s="118"/>
      <c r="V115" s="118"/>
      <c r="W115" s="118"/>
    </row>
    <row r="116" spans="5:23" x14ac:dyDescent="0.2">
      <c r="E116" s="34"/>
      <c r="F116" s="34"/>
      <c r="G116" s="118"/>
      <c r="H116" s="118"/>
      <c r="I116" s="118"/>
      <c r="J116" s="118"/>
      <c r="K116" s="118"/>
      <c r="L116" s="118"/>
      <c r="M116" s="118"/>
      <c r="N116" s="118"/>
      <c r="O116" s="118"/>
      <c r="P116" s="118"/>
      <c r="Q116" s="118"/>
      <c r="R116" s="118"/>
      <c r="S116" s="118"/>
      <c r="T116" s="118"/>
      <c r="U116" s="118"/>
      <c r="V116" s="118"/>
      <c r="W116" s="118"/>
    </row>
    <row r="117" spans="5:23" x14ac:dyDescent="0.2">
      <c r="G117" s="53"/>
      <c r="H117" s="53"/>
      <c r="I117" s="53"/>
      <c r="J117" s="53"/>
      <c r="K117" s="53"/>
      <c r="L117" s="53"/>
      <c r="M117" s="53"/>
      <c r="N117" s="53"/>
      <c r="O117" s="53"/>
      <c r="P117" s="53"/>
      <c r="Q117" s="53"/>
      <c r="R117" s="53"/>
      <c r="S117" s="53"/>
      <c r="T117" s="53"/>
      <c r="U117" s="53"/>
      <c r="V117" s="53"/>
      <c r="W117" s="53"/>
    </row>
    <row r="118" spans="5:23" x14ac:dyDescent="0.2">
      <c r="E118" s="34"/>
      <c r="F118" s="34"/>
      <c r="G118" s="118"/>
      <c r="H118" s="118"/>
      <c r="I118" s="118"/>
      <c r="J118" s="118"/>
      <c r="K118" s="118"/>
      <c r="L118" s="118"/>
      <c r="M118" s="118"/>
      <c r="N118" s="118"/>
      <c r="O118" s="118"/>
      <c r="P118" s="118"/>
      <c r="Q118" s="118"/>
      <c r="R118" s="118"/>
      <c r="S118" s="118"/>
      <c r="T118" s="118"/>
      <c r="U118" s="118"/>
      <c r="V118" s="118"/>
      <c r="W118" s="118"/>
    </row>
    <row r="119" spans="5:23" x14ac:dyDescent="0.2">
      <c r="E119" s="34"/>
      <c r="F119" s="34"/>
      <c r="G119" s="118"/>
      <c r="H119" s="118"/>
      <c r="I119" s="118"/>
      <c r="J119" s="118"/>
      <c r="K119" s="118"/>
      <c r="L119" s="118"/>
      <c r="M119" s="118"/>
      <c r="N119" s="118"/>
      <c r="O119" s="118"/>
      <c r="P119" s="118"/>
      <c r="Q119" s="118"/>
      <c r="R119" s="118"/>
      <c r="S119" s="118"/>
      <c r="T119" s="118"/>
      <c r="U119" s="118"/>
      <c r="V119" s="118"/>
      <c r="W119" s="118"/>
    </row>
    <row r="120" spans="5:23" x14ac:dyDescent="0.2">
      <c r="G120" s="53"/>
      <c r="H120" s="53"/>
      <c r="I120" s="53"/>
      <c r="J120" s="53"/>
      <c r="K120" s="53"/>
      <c r="L120" s="53"/>
      <c r="M120" s="53"/>
      <c r="N120" s="53"/>
      <c r="O120" s="53"/>
      <c r="P120" s="53"/>
      <c r="Q120" s="53"/>
      <c r="R120" s="53"/>
      <c r="S120" s="53"/>
      <c r="T120" s="53"/>
      <c r="U120" s="53"/>
      <c r="V120" s="53"/>
      <c r="W120" s="53"/>
    </row>
    <row r="121" spans="5:23" x14ac:dyDescent="0.2">
      <c r="E121" s="34"/>
      <c r="F121" s="34"/>
      <c r="G121" s="118"/>
      <c r="H121" s="118"/>
      <c r="I121" s="118"/>
      <c r="J121" s="118"/>
      <c r="K121" s="118"/>
      <c r="L121" s="118"/>
      <c r="M121" s="118"/>
      <c r="N121" s="118"/>
      <c r="O121" s="118"/>
      <c r="P121" s="118"/>
      <c r="Q121" s="118"/>
      <c r="R121" s="118"/>
      <c r="S121" s="118"/>
      <c r="T121" s="118"/>
      <c r="U121" s="118"/>
      <c r="V121" s="118"/>
      <c r="W121" s="118"/>
    </row>
    <row r="122" spans="5:23" x14ac:dyDescent="0.2">
      <c r="E122" s="34"/>
      <c r="F122" s="34"/>
      <c r="G122" s="118"/>
      <c r="H122" s="118"/>
      <c r="I122" s="118"/>
      <c r="J122" s="118"/>
      <c r="K122" s="118"/>
      <c r="L122" s="118"/>
      <c r="M122" s="118"/>
      <c r="N122" s="118"/>
      <c r="O122" s="118"/>
      <c r="P122" s="118"/>
      <c r="Q122" s="118"/>
      <c r="R122" s="118"/>
      <c r="S122" s="118"/>
      <c r="T122" s="118"/>
      <c r="U122" s="118"/>
      <c r="V122" s="118"/>
      <c r="W122" s="118"/>
    </row>
    <row r="123" spans="5:23" x14ac:dyDescent="0.2">
      <c r="G123" s="118"/>
      <c r="H123" s="118"/>
      <c r="I123" s="118"/>
      <c r="J123" s="118"/>
      <c r="K123" s="118"/>
      <c r="L123" s="118"/>
      <c r="M123" s="118"/>
      <c r="N123" s="118"/>
      <c r="O123" s="118"/>
      <c r="P123" s="118"/>
      <c r="Q123" s="118"/>
      <c r="R123" s="118"/>
      <c r="S123" s="118"/>
      <c r="T123" s="118"/>
      <c r="U123" s="118"/>
      <c r="V123" s="118"/>
      <c r="W123" s="118"/>
    </row>
    <row r="124" spans="5:23" x14ac:dyDescent="0.2">
      <c r="E124" s="34"/>
      <c r="F124" s="34"/>
      <c r="G124" s="118"/>
      <c r="H124" s="118"/>
      <c r="I124" s="118"/>
      <c r="J124" s="118"/>
      <c r="K124" s="118"/>
      <c r="L124" s="118"/>
      <c r="M124" s="118"/>
      <c r="N124" s="118"/>
      <c r="O124" s="118"/>
      <c r="P124" s="118"/>
      <c r="Q124" s="118"/>
      <c r="R124" s="118"/>
      <c r="S124" s="118"/>
      <c r="T124" s="118"/>
      <c r="U124" s="118"/>
      <c r="V124" s="118"/>
      <c r="W124" s="118"/>
    </row>
    <row r="125" spans="5:23" x14ac:dyDescent="0.2">
      <c r="E125" s="34"/>
      <c r="F125" s="34"/>
      <c r="G125" s="118"/>
      <c r="H125" s="118"/>
      <c r="I125" s="118"/>
      <c r="J125" s="118"/>
      <c r="K125" s="118"/>
      <c r="L125" s="118"/>
      <c r="M125" s="118"/>
      <c r="N125" s="118"/>
      <c r="O125" s="118"/>
      <c r="P125" s="118"/>
      <c r="Q125" s="118"/>
      <c r="R125" s="118"/>
      <c r="S125" s="118"/>
      <c r="T125" s="118"/>
      <c r="U125" s="118"/>
      <c r="V125" s="118"/>
      <c r="W125" s="118"/>
    </row>
    <row r="126" spans="5:23" x14ac:dyDescent="0.2">
      <c r="G126" s="118"/>
      <c r="H126" s="118"/>
      <c r="I126" s="118"/>
      <c r="J126" s="118"/>
      <c r="K126" s="118"/>
      <c r="L126" s="118"/>
      <c r="M126" s="118"/>
      <c r="N126" s="118"/>
      <c r="O126" s="118"/>
      <c r="P126" s="118"/>
      <c r="Q126" s="118"/>
      <c r="R126" s="118"/>
      <c r="S126" s="118"/>
      <c r="T126" s="118"/>
      <c r="U126" s="118"/>
      <c r="V126" s="118"/>
      <c r="W126" s="118"/>
    </row>
    <row r="127" spans="5:23" x14ac:dyDescent="0.2">
      <c r="G127" s="118"/>
      <c r="H127" s="118"/>
      <c r="I127" s="118"/>
      <c r="J127" s="118"/>
      <c r="K127" s="118"/>
      <c r="L127" s="118"/>
      <c r="M127" s="118"/>
      <c r="N127" s="118"/>
      <c r="O127" s="118"/>
      <c r="P127" s="118"/>
      <c r="Q127" s="118"/>
      <c r="R127" s="118"/>
      <c r="S127" s="118"/>
      <c r="T127" s="118"/>
      <c r="U127" s="118"/>
      <c r="V127" s="118"/>
      <c r="W127" s="118"/>
    </row>
    <row r="128" spans="5:23" x14ac:dyDescent="0.2">
      <c r="G128" s="118"/>
      <c r="H128" s="118"/>
      <c r="I128" s="118"/>
      <c r="J128" s="118"/>
      <c r="K128" s="118"/>
      <c r="L128" s="118"/>
      <c r="M128" s="118"/>
      <c r="N128" s="118"/>
      <c r="O128" s="118"/>
      <c r="P128" s="118"/>
      <c r="Q128" s="118"/>
      <c r="R128" s="118"/>
      <c r="S128" s="118"/>
      <c r="T128" s="118"/>
      <c r="U128" s="118"/>
      <c r="V128" s="118"/>
      <c r="W128" s="118"/>
    </row>
    <row r="129" spans="7:23" x14ac:dyDescent="0.2">
      <c r="G129" s="118"/>
      <c r="H129" s="118"/>
      <c r="I129" s="118"/>
      <c r="J129" s="118"/>
      <c r="K129" s="118"/>
      <c r="L129" s="118"/>
      <c r="M129" s="118"/>
      <c r="N129" s="118"/>
      <c r="O129" s="118"/>
      <c r="P129" s="118"/>
      <c r="Q129" s="118"/>
      <c r="R129" s="118"/>
      <c r="S129" s="118"/>
      <c r="T129" s="118"/>
      <c r="U129" s="118"/>
      <c r="V129" s="118"/>
      <c r="W129" s="118"/>
    </row>
  </sheetData>
  <conditionalFormatting sqref="E12:K12">
    <cfRule type="expression" dxfId="34" priority="50">
      <formula>AND(E10&gt;$C$5,E10&lt;=$C$6)</formula>
    </cfRule>
  </conditionalFormatting>
  <conditionalFormatting sqref="I36:M36">
    <cfRule type="expression" dxfId="31" priority="8">
      <formula>I10=$C$6+1</formula>
    </cfRule>
  </conditionalFormatting>
  <conditionalFormatting sqref="I37:M37">
    <cfRule type="expression" dxfId="30" priority="9">
      <formula>I10=$C$6+1</formula>
    </cfRule>
  </conditionalFormatting>
  <conditionalFormatting sqref="S10:U43 S49:U52 S78:U98 S100:U109">
    <cfRule type="expression" dxfId="24" priority="3">
      <formula>S$10&gt;$C$7</formula>
    </cfRule>
  </conditionalFormatting>
  <conditionalFormatting sqref="S54:U76">
    <cfRule type="expression" dxfId="23" priority="113">
      <formula>S$10&gt;$C$7</formula>
    </cfRule>
  </conditionalFormatting>
  <conditionalFormatting sqref="U45:W48 U109:W130">
    <cfRule type="expression" dxfId="22" priority="114">
      <formula>S$10&gt;$C$7</formula>
    </cfRule>
  </conditionalFormatting>
  <pageMargins left="0.7" right="0.7" top="0.75" bottom="0.75" header="0.3" footer="0.3"/>
  <pageSetup paperSize="9" orientation="portrait" r:id="rId1"/>
  <ignoredErrors>
    <ignoredError sqref="C5:C6 C46:C47" unlockedFormula="1"/>
    <ignoredError sqref="L36:L37" formula="1"/>
  </ignoredErrors>
  <extLst>
    <ext xmlns:x14="http://schemas.microsoft.com/office/spreadsheetml/2009/9/main" uri="{78C0D931-6437-407d-A8EE-F0AAD7539E65}">
      <x14:conditionalFormattings>
        <x14:conditionalFormatting xmlns:xm="http://schemas.microsoft.com/office/excel/2006/main">
          <x14:cfRule type="expression" priority="5" id="{47F7DBED-0C23-454F-801E-ED2E3DAA754C}">
            <xm:f>'Criteria results'!$F$5=7</xm:f>
            <x14:dxf>
              <fill>
                <patternFill>
                  <bgColor theme="0"/>
                </patternFill>
              </fill>
            </x14:dxf>
          </x14:cfRule>
          <xm:sqref>I35:K35</xm:sqref>
        </x14:conditionalFormatting>
        <x14:conditionalFormatting xmlns:xm="http://schemas.microsoft.com/office/excel/2006/main">
          <x14:cfRule type="expression" priority="55" id="{8951C7CF-B485-425C-9942-73B06456B0B5}">
            <xm:f>OR('Criteria results'!#REF!=7,'Criteria results'!#REF!=10)</xm:f>
            <x14:dxf>
              <font>
                <color theme="0"/>
              </font>
            </x14:dxf>
          </x14:cfRule>
          <xm:sqref>I75:K75</xm:sqref>
        </x14:conditionalFormatting>
        <x14:conditionalFormatting xmlns:xm="http://schemas.microsoft.com/office/excel/2006/main">
          <x14:cfRule type="expression" priority="52" id="{6869C80F-226A-4E6B-8E82-1C590454F27E}">
            <xm:f>AND($L$10&gt;2024,$L$10&lt;=2024+'Criteria results'!$F$5)</xm:f>
            <x14:dxf>
              <fill>
                <patternFill>
                  <bgColor theme="0" tint="-0.14996795556505021"/>
                </patternFill>
              </fill>
            </x14:dxf>
          </x14:cfRule>
          <xm:sqref>L12</xm:sqref>
        </x14:conditionalFormatting>
        <x14:conditionalFormatting xmlns:xm="http://schemas.microsoft.com/office/excel/2006/main">
          <x14:cfRule type="expression" priority="7" id="{61052BD5-AD8A-4BB2-862D-CE762EAD4EEA}">
            <xm:f>'Criteria results'!$F$5=7</xm:f>
            <x14:dxf>
              <fill>
                <patternFill>
                  <bgColor theme="0" tint="-0.34998626667073579"/>
                </patternFill>
              </fill>
            </x14:dxf>
          </x14:cfRule>
          <xm:sqref>L36:L37</xm:sqref>
        </x14:conditionalFormatting>
        <x14:conditionalFormatting xmlns:xm="http://schemas.microsoft.com/office/excel/2006/main">
          <x14:cfRule type="expression" priority="56" id="{116E26F3-65D6-4A9D-BBEB-1F21709D15A5}">
            <xm:f>OR('Criteria results'!#REF!=10)</xm:f>
            <x14:dxf>
              <font>
                <color theme="0"/>
              </font>
            </x14:dxf>
          </x14:cfRule>
          <xm:sqref>L75:N75</xm:sqref>
        </x14:conditionalFormatting>
        <x14:conditionalFormatting xmlns:xm="http://schemas.microsoft.com/office/excel/2006/main">
          <x14:cfRule type="expression" priority="53" id="{EF89FFEC-805B-44CB-80CA-34B558135CB5}">
            <xm:f>AND($M$10&gt;2024,$M$10&lt;=2024+'Criteria results'!#REF!)</xm:f>
            <x14:dxf>
              <fill>
                <patternFill>
                  <bgColor theme="0" tint="-0.14996795556505021"/>
                </patternFill>
              </fill>
            </x14:dxf>
          </x14:cfRule>
          <xm:sqref>M12</xm:sqref>
        </x14:conditionalFormatting>
        <x14:conditionalFormatting xmlns:xm="http://schemas.microsoft.com/office/excel/2006/main">
          <x14:cfRule type="expression" priority="54" id="{FBE5528E-1123-4677-9DE6-5E90CA8A7C56}">
            <xm:f>AND($N$10&gt;2024,$N$10&lt;=2024+'Criteria results'!#REF!)</xm:f>
            <x14:dxf>
              <fill>
                <patternFill>
                  <bgColor theme="0" tint="-0.14996795556505021"/>
                </patternFill>
              </fill>
            </x14:dxf>
          </x14:cfRule>
          <xm:sqref>N12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tabColor rgb="FF92D050"/>
  </sheetPr>
  <dimension ref="A1:AZ129"/>
  <sheetViews>
    <sheetView zoomScaleNormal="100" workbookViewId="0"/>
  </sheetViews>
  <sheetFormatPr defaultColWidth="9.28515625" defaultRowHeight="11.25" outlineLevelRow="1" x14ac:dyDescent="0.2"/>
  <cols>
    <col min="1" max="1" width="9.28515625" style="26" customWidth="1"/>
    <col min="2" max="2" width="57.42578125" style="26" customWidth="1"/>
    <col min="3" max="38" width="9.28515625" style="26" customWidth="1"/>
    <col min="39" max="48" width="11.42578125" style="26" bestFit="1" customWidth="1"/>
    <col min="49" max="16384" width="9.28515625" style="26"/>
  </cols>
  <sheetData>
    <row r="1" spans="1:49" ht="24.75" customHeight="1" x14ac:dyDescent="0.2">
      <c r="B1" s="39"/>
    </row>
    <row r="2" spans="1:49" ht="11.25" customHeight="1" x14ac:dyDescent="0.2">
      <c r="B2" s="27"/>
    </row>
    <row r="3" spans="1:49" ht="11.25" customHeight="1" x14ac:dyDescent="0.2">
      <c r="B3" s="19" t="s">
        <v>15</v>
      </c>
      <c r="C3" s="20" t="str">
        <f>'Input data'!C3</f>
        <v>DE</v>
      </c>
    </row>
    <row r="4" spans="1:49" x14ac:dyDescent="0.2">
      <c r="B4" s="64" t="s">
        <v>38</v>
      </c>
      <c r="C4" s="21"/>
    </row>
    <row r="5" spans="1:49" x14ac:dyDescent="0.2">
      <c r="A5" s="29"/>
      <c r="B5" s="22" t="str">
        <f>'Input data'!B5</f>
        <v>Last year before the adjustment</v>
      </c>
      <c r="C5" s="23">
        <f>+'Input data'!C5</f>
        <v>2024</v>
      </c>
      <c r="K5" s="78"/>
    </row>
    <row r="6" spans="1:49" x14ac:dyDescent="0.2">
      <c r="A6" s="29"/>
      <c r="B6" s="65" t="s">
        <v>44</v>
      </c>
      <c r="C6" s="23">
        <f>+C5+'Criteria results'!F5</f>
        <v>2028</v>
      </c>
      <c r="E6" s="43"/>
      <c r="F6" s="29"/>
    </row>
    <row r="7" spans="1:49" x14ac:dyDescent="0.2">
      <c r="A7" s="29"/>
      <c r="B7" s="24" t="s">
        <v>39</v>
      </c>
      <c r="C7" s="66">
        <f>C5+'Criteria results'!F5+10</f>
        <v>2038</v>
      </c>
      <c r="E7" s="43"/>
      <c r="F7" s="29"/>
    </row>
    <row r="8" spans="1:49" x14ac:dyDescent="0.2">
      <c r="A8" s="29"/>
      <c r="C8" s="29"/>
      <c r="E8" s="43"/>
      <c r="F8" s="29"/>
    </row>
    <row r="9" spans="1:49" s="67" customFormat="1" ht="12.75" x14ac:dyDescent="0.2">
      <c r="B9" s="25" t="s">
        <v>45</v>
      </c>
    </row>
    <row r="10" spans="1:49" x14ac:dyDescent="0.2">
      <c r="C10" s="31">
        <f>'Input data'!$C$5-1</f>
        <v>2023</v>
      </c>
      <c r="D10" s="31">
        <f>C10+1</f>
        <v>2024</v>
      </c>
      <c r="E10" s="31">
        <f t="shared" ref="E10:U10" si="0">D10+1</f>
        <v>2025</v>
      </c>
      <c r="F10" s="31">
        <f t="shared" si="0"/>
        <v>2026</v>
      </c>
      <c r="G10" s="31">
        <f t="shared" si="0"/>
        <v>2027</v>
      </c>
      <c r="H10" s="31">
        <f t="shared" si="0"/>
        <v>2028</v>
      </c>
      <c r="I10" s="31">
        <f t="shared" si="0"/>
        <v>2029</v>
      </c>
      <c r="J10" s="31">
        <f t="shared" si="0"/>
        <v>2030</v>
      </c>
      <c r="K10" s="31">
        <f t="shared" si="0"/>
        <v>2031</v>
      </c>
      <c r="L10" s="31">
        <f t="shared" si="0"/>
        <v>2032</v>
      </c>
      <c r="M10" s="31">
        <f t="shared" si="0"/>
        <v>2033</v>
      </c>
      <c r="N10" s="31">
        <f t="shared" si="0"/>
        <v>2034</v>
      </c>
      <c r="O10" s="31">
        <f t="shared" si="0"/>
        <v>2035</v>
      </c>
      <c r="P10" s="31">
        <f t="shared" si="0"/>
        <v>2036</v>
      </c>
      <c r="Q10" s="31">
        <f t="shared" si="0"/>
        <v>2037</v>
      </c>
      <c r="R10" s="31">
        <f t="shared" si="0"/>
        <v>2038</v>
      </c>
      <c r="S10" s="31">
        <f t="shared" si="0"/>
        <v>2039</v>
      </c>
      <c r="T10" s="31">
        <f t="shared" si="0"/>
        <v>2040</v>
      </c>
      <c r="U10" s="31">
        <f t="shared" si="0"/>
        <v>2041</v>
      </c>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row>
    <row r="11" spans="1:49" x14ac:dyDescent="0.2">
      <c r="B11" s="28" t="s">
        <v>46</v>
      </c>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row>
    <row r="12" spans="1:49" x14ac:dyDescent="0.2">
      <c r="B12" s="26" t="s">
        <v>48</v>
      </c>
      <c r="C12" s="2">
        <f>'Adjustment scenario'!C12</f>
        <v>-1.2609140000000001</v>
      </c>
      <c r="D12" s="2">
        <f>'Adjust. no safeguard'!D12</f>
        <v>-1.0152870000000001</v>
      </c>
      <c r="E12" s="3">
        <f>'Adjust. no safeguard'!E12</f>
        <v>-0.47528700000000002</v>
      </c>
      <c r="F12" s="3">
        <f>'Adjust. no safeguard'!F12</f>
        <v>6.4713000000000021E-2</v>
      </c>
      <c r="G12" s="3">
        <f>'Adjust. no safeguard'!G12</f>
        <v>0.60471300000000006</v>
      </c>
      <c r="H12" s="3">
        <f>'Adjust. no safeguard'!H12</f>
        <v>1.1447130000000001</v>
      </c>
      <c r="I12" s="3">
        <f>IF(AND('Criteria results'!$F$5=4,'Criteria results'!$F$5=4),'Adjust. no safeguard'!I12-0.25,IF(AND('Criteria results'!$F$5=4,'Criteria results'!$F$5=7),'Adjust. no safeguard'!I12-0.5/3,IF(AND('Criteria results'!$F$5=7,'Criteria results'!$F$5=7),'Adjust. no safeguard'!I12,'Adjust. no safeguard'!I12)))</f>
        <v>0.89471300000000009</v>
      </c>
      <c r="J12" s="3">
        <f>IF(AND('Criteria results'!$F$5=4,'Criteria results'!$F$5=4),'Adjust. no safeguard'!J12-0.5,IF(AND('Criteria results'!$F$5=4,'Criteria results'!$F$5=7),'Adjust. no safeguard'!J12-0.5*2/3,IF(AND('Criteria results'!$F$5=7,'Criteria results'!$F$5=7),'Adjust. no safeguard'!J12,'Adjust. no safeguard'!J12)))</f>
        <v>0.64471300000000009</v>
      </c>
      <c r="K12" s="3">
        <f>IF('Criteria results'!$F$5=4,'Adjust. no safeguard'!K12-0.5,'Adjust. no safeguard'!K12)</f>
        <v>0.64471300000000009</v>
      </c>
      <c r="L12" s="3">
        <f>IF('Criteria results'!$F$5=4,'Adjust. no safeguard'!L12-0.5,IF(AND('Criteria results'!$F$5=7,'Criteria results'!$F$5=7),'Adjust. no safeguard'!L12-0.25,'Adjust. no safeguard'!L12-1/3*0.5))</f>
        <v>0.64471300000000009</v>
      </c>
      <c r="M12" s="3">
        <f>IF('Criteria results'!$F$5=4,'Adjust. no safeguard'!L12-0.5,IF(AND('Criteria results'!$F$5=7,'Criteria results'!$F$5=7),'Adjust. no safeguard'!M12-0.5,'Adjust. no safeguard'!M12-2/3*0.5))</f>
        <v>0.64471300000000009</v>
      </c>
      <c r="N12" s="3">
        <f>'Adjust. no safeguard'!N12-0.5</f>
        <v>0.64471300000000009</v>
      </c>
      <c r="O12" s="3">
        <f>'Adjust. no safeguard'!O12-0.5</f>
        <v>0.64471300000000009</v>
      </c>
      <c r="P12" s="3">
        <f>'Adjust. no safeguard'!P12-0.5</f>
        <v>0.64471300000000009</v>
      </c>
      <c r="Q12" s="3">
        <f>'Adjust. no safeguard'!Q12-0.5</f>
        <v>0.64471300000000009</v>
      </c>
      <c r="R12" s="3">
        <f>'Adjust. no safeguard'!R12-0.5</f>
        <v>0.64471300000000009</v>
      </c>
      <c r="S12" s="3">
        <f>'Adjust. no safeguard'!S12-0.5</f>
        <v>0.64471300000000009</v>
      </c>
      <c r="T12" s="3">
        <f>'Adjust. no safeguard'!T12-0.5</f>
        <v>0.64471300000000009</v>
      </c>
      <c r="U12" s="3">
        <f>'Adjust. no safeguard'!U12-0.5</f>
        <v>0.64471300000000009</v>
      </c>
      <c r="V12" s="59"/>
      <c r="W12" s="59"/>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60"/>
    </row>
    <row r="13" spans="1:49" x14ac:dyDescent="0.2">
      <c r="B13" s="26" t="s">
        <v>49</v>
      </c>
      <c r="C13" s="2">
        <f>'Input data'!C14</f>
        <v>0</v>
      </c>
      <c r="D13" s="2">
        <f>'Input data'!D14</f>
        <v>0</v>
      </c>
      <c r="E13" s="2">
        <f>'Input data'!E14</f>
        <v>0</v>
      </c>
      <c r="F13" s="2">
        <f>'Input data'!F14</f>
        <v>0</v>
      </c>
      <c r="G13" s="2">
        <f>'Input data'!G14</f>
        <v>0</v>
      </c>
      <c r="H13" s="2">
        <f>'Input data'!H14</f>
        <v>0</v>
      </c>
      <c r="I13" s="2">
        <f>'Input data'!I14</f>
        <v>0</v>
      </c>
      <c r="J13" s="2">
        <f>'Input data'!J14</f>
        <v>0</v>
      </c>
      <c r="K13" s="2">
        <f>'Input data'!K14</f>
        <v>0</v>
      </c>
      <c r="L13" s="2">
        <f>'Input data'!L14</f>
        <v>0</v>
      </c>
      <c r="M13" s="2">
        <f>'Input data'!M14</f>
        <v>0</v>
      </c>
      <c r="N13" s="2">
        <f>'Input data'!N14</f>
        <v>0</v>
      </c>
      <c r="O13" s="2">
        <f>'Input data'!O14</f>
        <v>0</v>
      </c>
      <c r="P13" s="2">
        <f>'Input data'!P14</f>
        <v>0</v>
      </c>
      <c r="Q13" s="2">
        <f>'Input data'!Q14</f>
        <v>0</v>
      </c>
      <c r="R13" s="2">
        <f>'Input data'!R14</f>
        <v>0</v>
      </c>
      <c r="S13" s="2">
        <f>'Input data'!S14</f>
        <v>0</v>
      </c>
      <c r="T13" s="2">
        <f>'Input data'!T14</f>
        <v>0</v>
      </c>
      <c r="U13" s="2">
        <f>'Input data'!U14</f>
        <v>0</v>
      </c>
      <c r="V13" s="59"/>
      <c r="W13" s="59"/>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60"/>
    </row>
    <row r="14" spans="1:49" x14ac:dyDescent="0.2">
      <c r="B14" s="26" t="s">
        <v>84</v>
      </c>
      <c r="C14" s="2">
        <f>'Input data'!C15</f>
        <v>-1.0004850000000001</v>
      </c>
      <c r="D14" s="2">
        <f>'Input data'!D15</f>
        <v>-1.4394560000000001</v>
      </c>
      <c r="E14" s="2">
        <f>'Input data'!E15</f>
        <v>8.5767899999999994E-2</v>
      </c>
      <c r="F14" s="2">
        <f>'Input data'!F15</f>
        <v>0.1097981</v>
      </c>
      <c r="G14" s="2">
        <f>'Input data'!G15</f>
        <v>0</v>
      </c>
      <c r="H14" s="2">
        <f>'Input data'!H15</f>
        <v>0</v>
      </c>
      <c r="I14" s="2">
        <f>'Input data'!I15</f>
        <v>0</v>
      </c>
      <c r="J14" s="2">
        <f>'Input data'!J15</f>
        <v>0</v>
      </c>
      <c r="K14" s="2">
        <f>'Input data'!K15</f>
        <v>0</v>
      </c>
      <c r="L14" s="2">
        <f>'Input data'!L15</f>
        <v>0</v>
      </c>
      <c r="M14" s="2">
        <f>'Input data'!M15</f>
        <v>0</v>
      </c>
      <c r="N14" s="2">
        <f>'Input data'!N15</f>
        <v>0</v>
      </c>
      <c r="O14" s="2">
        <f>'Input data'!O15</f>
        <v>0</v>
      </c>
      <c r="P14" s="2">
        <f>'Input data'!P15</f>
        <v>0</v>
      </c>
      <c r="Q14" s="2">
        <f>'Input data'!Q15</f>
        <v>0</v>
      </c>
      <c r="R14" s="2">
        <f>'Input data'!R15</f>
        <v>0</v>
      </c>
      <c r="S14" s="2">
        <f>'Input data'!S15</f>
        <v>0</v>
      </c>
      <c r="T14" s="2">
        <f>'Input data'!T15</f>
        <v>0</v>
      </c>
      <c r="U14" s="2">
        <f>'Input data'!U15</f>
        <v>0</v>
      </c>
      <c r="V14" s="59"/>
      <c r="W14" s="59"/>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60"/>
    </row>
    <row r="15" spans="1:49" ht="5.65" customHeight="1" x14ac:dyDescent="0.2">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row>
    <row r="16" spans="1:49" ht="11.25" customHeight="1" x14ac:dyDescent="0.2">
      <c r="B16" s="30" t="str">
        <f>'Input data'!B19</f>
        <v>Cost of ageing and selected public revenue (based on the Commission-Council 2024 Ageing Report ("AR 2024"))</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row>
    <row r="17" spans="1:48" x14ac:dyDescent="0.2">
      <c r="A17" s="61"/>
      <c r="B17" s="26" t="s">
        <v>52</v>
      </c>
      <c r="C17" s="99">
        <f>'Input data'!C20</f>
        <v>23.099999999999998</v>
      </c>
      <c r="D17" s="99">
        <f>'Input data'!D20</f>
        <v>23.3</v>
      </c>
      <c r="E17" s="99">
        <f>'Input data'!E20</f>
        <v>23.4</v>
      </c>
      <c r="F17" s="99">
        <f>'Input data'!F20</f>
        <v>23.4</v>
      </c>
      <c r="G17" s="99">
        <f>'Input data'!G20</f>
        <v>23.6</v>
      </c>
      <c r="H17" s="99">
        <f>'Input data'!H20</f>
        <v>23.7</v>
      </c>
      <c r="I17" s="99">
        <f>'Input data'!I20</f>
        <v>23.799999999999997</v>
      </c>
      <c r="J17" s="99">
        <f>'Input data'!J20</f>
        <v>23.9</v>
      </c>
      <c r="K17" s="99">
        <f>'Input data'!K20</f>
        <v>24</v>
      </c>
      <c r="L17" s="99">
        <f>'Input data'!L20</f>
        <v>24.2</v>
      </c>
      <c r="M17" s="99">
        <f>'Input data'!M20</f>
        <v>24.3</v>
      </c>
      <c r="N17" s="99">
        <f>'Input data'!N20</f>
        <v>24.3</v>
      </c>
      <c r="O17" s="99">
        <f>'Input data'!O20</f>
        <v>24.4</v>
      </c>
      <c r="P17" s="99">
        <f>'Input data'!P20</f>
        <v>24.499999999999996</v>
      </c>
      <c r="Q17" s="99">
        <f>'Input data'!Q20</f>
        <v>24.499999999999996</v>
      </c>
      <c r="R17" s="99">
        <f>'Input data'!R20</f>
        <v>24.499999999999996</v>
      </c>
      <c r="S17" s="99">
        <f>'Input data'!S20</f>
        <v>24.5</v>
      </c>
      <c r="T17" s="99">
        <f>'Input data'!T20</f>
        <v>24.400000000000002</v>
      </c>
      <c r="U17" s="99">
        <f>'Input data'!U20</f>
        <v>24.400000000000002</v>
      </c>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row>
    <row r="18" spans="1:48" x14ac:dyDescent="0.2">
      <c r="A18" s="61"/>
      <c r="B18" s="26" t="s">
        <v>58</v>
      </c>
      <c r="C18" s="99">
        <f>'Input data'!C26</f>
        <v>0.71641730000000003</v>
      </c>
      <c r="D18" s="99">
        <f>'Input data'!D26</f>
        <v>0.71176019999999995</v>
      </c>
      <c r="E18" s="99">
        <f>'Input data'!E26</f>
        <v>0.70710320000000004</v>
      </c>
      <c r="F18" s="99">
        <f>'Input data'!F26</f>
        <v>0.70244620000000002</v>
      </c>
      <c r="G18" s="99">
        <f>'Input data'!G26</f>
        <v>0.69778910000000005</v>
      </c>
      <c r="H18" s="99">
        <f>'Input data'!H26</f>
        <v>0.69313210000000003</v>
      </c>
      <c r="I18" s="99">
        <f>'Input data'!I26</f>
        <v>0.68847510000000001</v>
      </c>
      <c r="J18" s="99">
        <f>'Input data'!J26</f>
        <v>0.68381800000000004</v>
      </c>
      <c r="K18" s="99">
        <f>'Input data'!K26</f>
        <v>0.67916100000000001</v>
      </c>
      <c r="L18" s="99">
        <f>'Input data'!L26</f>
        <v>0.67450399999999999</v>
      </c>
      <c r="M18" s="99">
        <f>'Input data'!M26</f>
        <v>0.66984699999999997</v>
      </c>
      <c r="N18" s="99">
        <f>'Input data'!N26</f>
        <v>0.6651899</v>
      </c>
      <c r="O18" s="99">
        <f>'Input data'!O26</f>
        <v>0.66053280000000003</v>
      </c>
      <c r="P18" s="99">
        <f>'Input data'!P26</f>
        <v>0.65587580000000001</v>
      </c>
      <c r="Q18" s="99">
        <f>'Input data'!Q26</f>
        <v>0.65121879999999999</v>
      </c>
      <c r="R18" s="99">
        <f>'Input data'!R26</f>
        <v>0.64656170000000002</v>
      </c>
      <c r="S18" s="99">
        <f>'Input data'!S26</f>
        <v>0.64190460000000005</v>
      </c>
      <c r="T18" s="99">
        <f>'Input data'!T26</f>
        <v>0.63724760000000003</v>
      </c>
      <c r="U18" s="99">
        <f>'Input data'!U26</f>
        <v>0.63259049999999994</v>
      </c>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row>
    <row r="20" spans="1:48" x14ac:dyDescent="0.2">
      <c r="B20" s="28" t="s">
        <v>85</v>
      </c>
    </row>
    <row r="21" spans="1:48" ht="10.5" customHeight="1" x14ac:dyDescent="0.2">
      <c r="B21" s="30" t="s">
        <v>86</v>
      </c>
    </row>
    <row r="22" spans="1:48" x14ac:dyDescent="0.2">
      <c r="B22" s="26" t="s">
        <v>61</v>
      </c>
      <c r="C22" s="98">
        <f>'Input data'!C31</f>
        <v>3615.547</v>
      </c>
      <c r="D22" s="98">
        <f>IF(AND(D49&gt;1,C49&gt;1),IF(AND(D49&gt;0,C49&gt;0),D26*(D50/100+1),0)+IF(D49&gt;0,C22*(1+D51/100),0)-C22*(1+'Input data'!D30/100),IF(D49=1,D26,C22*(1+D51/100)))</f>
        <v>3606.922976747233</v>
      </c>
      <c r="E22" s="34">
        <f>IF(AND(E49&gt;1,D49&gt;1),
E26*(1+('Baseline NFPC'!E$29+E50)/100)-D22*$C$46*(E12-D12)/100,
IF(E49=1,E26,D22*(1+E51/100)))</f>
        <v>3598.5246569643273</v>
      </c>
      <c r="F22" s="34">
        <f>IF(AND(F49&gt;1,E49&gt;1),
F26*(1+('Baseline NFPC'!F$29+F50)/100)-E22*$C$46*(F12-E12)/100,
IF(F49=1,F26,E22*(1+F51/100)))</f>
        <v>3611.4128096625222</v>
      </c>
      <c r="G22" s="34">
        <f t="shared" ref="G22:U22" si="1">IF(AND(G49&gt;1,F49&gt;1),
G26*(1+G50/100)-F22*$C$46*(G12-F12)/100,
IF(G49=1,G26,F22*(1+G51/100)))</f>
        <v>3635.9199842230114</v>
      </c>
      <c r="H22" s="34">
        <f t="shared" si="1"/>
        <v>3661.6310006310255</v>
      </c>
      <c r="I22" s="34">
        <f t="shared" si="1"/>
        <v>3711.0644722757061</v>
      </c>
      <c r="J22" s="34">
        <f t="shared" si="1"/>
        <v>3751.6353425711181</v>
      </c>
      <c r="K22" s="34">
        <f t="shared" si="1"/>
        <v>3778.8485175091282</v>
      </c>
      <c r="L22" s="34">
        <f t="shared" si="1"/>
        <v>3805.4788123513504</v>
      </c>
      <c r="M22" s="34">
        <f t="shared" si="1"/>
        <v>3832.2136338184287</v>
      </c>
      <c r="N22" s="34">
        <f t="shared" si="1"/>
        <v>3858.1252536054735</v>
      </c>
      <c r="O22" s="34">
        <f t="shared" si="1"/>
        <v>3892.1064518272783</v>
      </c>
      <c r="P22" s="34">
        <f t="shared" si="1"/>
        <v>3934.3508303605086</v>
      </c>
      <c r="Q22" s="34">
        <f t="shared" si="1"/>
        <v>3985.1039954156677</v>
      </c>
      <c r="R22" s="34">
        <f t="shared" si="1"/>
        <v>4040.0983907013642</v>
      </c>
      <c r="S22" s="34">
        <f t="shared" si="1"/>
        <v>4099.4880390495937</v>
      </c>
      <c r="T22" s="34">
        <f t="shared" si="1"/>
        <v>4163.0300216651012</v>
      </c>
      <c r="U22" s="34">
        <f t="shared" si="1"/>
        <v>4227.9733732636769</v>
      </c>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row>
    <row r="23" spans="1:48" x14ac:dyDescent="0.2">
      <c r="A23" s="61"/>
      <c r="B23" s="62" t="s">
        <v>60</v>
      </c>
      <c r="C23" s="98">
        <f>'Baseline NFPC'!C23</f>
        <v>-0.26643830000000002</v>
      </c>
      <c r="D23" s="98">
        <f t="shared" ref="D23:R23" si="2">100*(D22/C22-1)</f>
        <v>-0.23852610000000274</v>
      </c>
      <c r="E23" s="34">
        <f t="shared" si="2"/>
        <v>-0.23283890000000973</v>
      </c>
      <c r="F23" s="34">
        <f t="shared" si="2"/>
        <v>0.35815101817495698</v>
      </c>
      <c r="G23" s="34">
        <f t="shared" si="2"/>
        <v>0.67860352311204242</v>
      </c>
      <c r="H23" s="34">
        <f t="shared" si="2"/>
        <v>0.70713922527392281</v>
      </c>
      <c r="I23" s="34">
        <f t="shared" si="2"/>
        <v>1.3500396854888352</v>
      </c>
      <c r="J23" s="34">
        <f t="shared" si="2"/>
        <v>1.0932407830288371</v>
      </c>
      <c r="K23" s="34">
        <f t="shared" si="2"/>
        <v>0.72536833815410873</v>
      </c>
      <c r="L23" s="34">
        <f>100*(L22/K22-1)</f>
        <v>0.70471982983260073</v>
      </c>
      <c r="M23" s="34">
        <f t="shared" si="2"/>
        <v>0.70253502345896113</v>
      </c>
      <c r="N23" s="34">
        <f t="shared" si="2"/>
        <v>0.67615279999999611</v>
      </c>
      <c r="O23" s="34">
        <f t="shared" si="2"/>
        <v>0.88076969999999477</v>
      </c>
      <c r="P23" s="34">
        <f t="shared" si="2"/>
        <v>1.0853860000000104</v>
      </c>
      <c r="Q23" s="34">
        <f t="shared" si="2"/>
        <v>1.2900010000000073</v>
      </c>
      <c r="R23" s="34">
        <f t="shared" si="2"/>
        <v>1.3799990000000095</v>
      </c>
      <c r="S23" s="34">
        <f t="shared" ref="S23" si="3">100*(S22/R22-1)</f>
        <v>1.4700050000000076</v>
      </c>
      <c r="T23" s="34">
        <f t="shared" ref="T23" si="4">100*(T22/S22-1)</f>
        <v>1.5499979999999969</v>
      </c>
      <c r="U23" s="34">
        <f t="shared" ref="U23" si="5">100*(U22/T22-1)</f>
        <v>1.5600019999999937</v>
      </c>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row>
    <row r="24" spans="1:48" ht="5.25" customHeight="1" x14ac:dyDescent="0.2">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row>
    <row r="25" spans="1:48" x14ac:dyDescent="0.2">
      <c r="B25" s="30" t="s">
        <v>87</v>
      </c>
    </row>
    <row r="26" spans="1:48" x14ac:dyDescent="0.2">
      <c r="B26" s="26" t="s">
        <v>61</v>
      </c>
      <c r="C26" s="98">
        <f>'Input data'!C34</f>
        <v>3640.4940000000001</v>
      </c>
      <c r="D26" s="98">
        <f>+C26*(1+'Input data'!D33/100)</f>
        <v>3656.8929838343765</v>
      </c>
      <c r="E26" s="34">
        <f>+D26*(1+'Input data'!E33/100)</f>
        <v>3666.6689924169909</v>
      </c>
      <c r="F26" s="34">
        <f>+E26*(1+'Input data'!F33/100)</f>
        <v>3679.4239441740615</v>
      </c>
      <c r="G26" s="34">
        <f>+F26*(1+'Input data'!G33/100)</f>
        <v>3696.0923638226645</v>
      </c>
      <c r="H26" s="34">
        <f>+G26*(1+'Input data'!H33/100)</f>
        <v>3716.6950036021294</v>
      </c>
      <c r="I26" s="34">
        <f>+H26*(1+'Input data'!I33/100)</f>
        <v>3741.1497863176701</v>
      </c>
      <c r="J26" s="34">
        <f>+I26*(1+'Input data'!J33/100)</f>
        <v>3764.861092652307</v>
      </c>
      <c r="K26" s="34">
        <f>+J26*(1+'Input data'!K33/100)</f>
        <v>3787.7192171198189</v>
      </c>
      <c r="L26" s="34">
        <f>+K26*(1+'Input data'!L33/100)</f>
        <v>3809.9401825000277</v>
      </c>
      <c r="M26" s="34">
        <f>+L26*(1+'Input data'!M33/100)</f>
        <v>3832.2136338184287</v>
      </c>
      <c r="N26" s="34">
        <f>+M26*(1+'Input data'!N33/100)</f>
        <v>3858.1251654645603</v>
      </c>
      <c r="O26" s="34">
        <f>+N26*(1+'Input data'!O33/100)</f>
        <v>3892.1062587406673</v>
      </c>
      <c r="P26" s="34">
        <f>+O26*(1+'Input data'!P33/100)</f>
        <v>3934.3505184149749</v>
      </c>
      <c r="Q26" s="34">
        <f>+P26*(1+'Input data'!Q33/100)</f>
        <v>3985.1036401025276</v>
      </c>
      <c r="R26" s="34">
        <f>+Q26*(1+'Input data'!R33/100)</f>
        <v>4040.0980703359428</v>
      </c>
      <c r="S26" s="34">
        <f>+R26*(1+'Input data'!S33/100)</f>
        <v>4099.4875119698809</v>
      </c>
      <c r="T26" s="34">
        <f>+S26*(1+'Input data'!T33/100)</f>
        <v>4163.0295684054145</v>
      </c>
      <c r="U26" s="34">
        <f>+T26*(1+'Input data'!U33/100)</f>
        <v>4227.9728296725389</v>
      </c>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row>
    <row r="27" spans="1:48" ht="5.25" customHeight="1" x14ac:dyDescent="0.2">
      <c r="C27" s="34"/>
      <c r="D27" s="34"/>
      <c r="E27" s="34"/>
      <c r="F27" s="34"/>
      <c r="G27" s="34"/>
      <c r="H27" s="34"/>
      <c r="I27" s="34"/>
      <c r="J27" s="34"/>
      <c r="K27" s="34"/>
      <c r="L27" s="34"/>
      <c r="M27" s="34"/>
      <c r="N27" s="34"/>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row>
    <row r="28" spans="1:48" x14ac:dyDescent="0.2">
      <c r="B28" s="30" t="s">
        <v>88</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row>
    <row r="29" spans="1:48" x14ac:dyDescent="0.2">
      <c r="B29" s="26" t="s">
        <v>88</v>
      </c>
      <c r="C29" s="98">
        <f t="shared" ref="C29" si="6">100*(C22/C26-1)</f>
        <v>-0.68526414272349623</v>
      </c>
      <c r="D29" s="98">
        <f t="shared" ref="D29:R29" si="7">100*(D22/D26-1)</f>
        <v>-1.3664607443543031</v>
      </c>
      <c r="E29" s="34">
        <f t="shared" si="7"/>
        <v>-1.8584806971557177</v>
      </c>
      <c r="F29" s="34">
        <f t="shared" si="7"/>
        <v>-1.8484180008456752</v>
      </c>
      <c r="G29" s="34">
        <f t="shared" si="7"/>
        <v>-1.6279998895217029</v>
      </c>
      <c r="H29" s="34">
        <f t="shared" si="7"/>
        <v>-1.4815313852155509</v>
      </c>
      <c r="I29" s="34">
        <f t="shared" si="7"/>
        <v>-0.80417293506914733</v>
      </c>
      <c r="J29" s="34">
        <f t="shared" si="7"/>
        <v>-0.35129450345461333</v>
      </c>
      <c r="K29" s="34">
        <f t="shared" si="7"/>
        <v>-0.23419633563640518</v>
      </c>
      <c r="L29" s="34">
        <f t="shared" si="7"/>
        <v>-0.11709816781820814</v>
      </c>
      <c r="M29" s="34">
        <f t="shared" si="7"/>
        <v>0</v>
      </c>
      <c r="N29" s="34">
        <f t="shared" si="7"/>
        <v>2.2845529690229682E-6</v>
      </c>
      <c r="O29" s="34">
        <f t="shared" si="7"/>
        <v>4.9609799379624064E-6</v>
      </c>
      <c r="P29" s="34">
        <f t="shared" si="7"/>
        <v>7.9287682197559661E-6</v>
      </c>
      <c r="Q29" s="34">
        <f t="shared" si="7"/>
        <v>8.9160326011139546E-6</v>
      </c>
      <c r="R29" s="34">
        <f t="shared" si="7"/>
        <v>7.9296446742205262E-6</v>
      </c>
      <c r="S29" s="34">
        <f t="shared" ref="S29:U29" si="8">100*(S22/S26-1)</f>
        <v>1.2857209874539421E-5</v>
      </c>
      <c r="T29" s="34">
        <f t="shared" si="8"/>
        <v>1.0887736423548233E-5</v>
      </c>
      <c r="U29" s="34">
        <f t="shared" si="8"/>
        <v>1.2857015874168098E-5</v>
      </c>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row>
    <row r="30" spans="1:48" ht="5.25" customHeight="1" x14ac:dyDescent="0.2">
      <c r="C30" s="34"/>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row>
    <row r="31" spans="1:48" x14ac:dyDescent="0.2">
      <c r="B31" s="30" t="s">
        <v>89</v>
      </c>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row>
    <row r="32" spans="1:48" x14ac:dyDescent="0.2">
      <c r="B32" s="26" t="s">
        <v>60</v>
      </c>
      <c r="C32" s="2">
        <f t="shared" ref="C32:U32" si="9">100*((1+C23/100)*(1+C41/100)-1)</f>
        <v>5.8601126137103998</v>
      </c>
      <c r="D32" s="2">
        <f t="shared" si="9"/>
        <v>2.860079245940339</v>
      </c>
      <c r="E32" s="1">
        <f t="shared" si="9"/>
        <v>2.2007954281148434</v>
      </c>
      <c r="F32" s="1">
        <f t="shared" si="9"/>
        <v>2.5317620463281454</v>
      </c>
      <c r="G32" s="1">
        <f t="shared" si="9"/>
        <v>2.8710031944206182</v>
      </c>
      <c r="H32" s="1">
        <f t="shared" si="9"/>
        <v>2.9120117642938537</v>
      </c>
      <c r="I32" s="1">
        <f t="shared" si="9"/>
        <v>3.5809149521544459</v>
      </c>
      <c r="J32" s="1">
        <f t="shared" si="9"/>
        <v>3.3303604034914835</v>
      </c>
      <c r="K32" s="1">
        <f t="shared" si="9"/>
        <v>2.9662008231180259</v>
      </c>
      <c r="L32" s="1">
        <f t="shared" si="9"/>
        <v>2.9569441316040557</v>
      </c>
      <c r="M32" s="1">
        <f t="shared" si="9"/>
        <v>2.9665613889112263</v>
      </c>
      <c r="N32" s="1">
        <f t="shared" si="9"/>
        <v>2.9514338532799833</v>
      </c>
      <c r="O32" s="1">
        <f t="shared" si="9"/>
        <v>3.1475605951589936</v>
      </c>
      <c r="P32" s="1">
        <f t="shared" si="9"/>
        <v>3.3436335232400083</v>
      </c>
      <c r="Q32" s="1">
        <f t="shared" si="9"/>
        <v>3.5396519222100187</v>
      </c>
      <c r="R32" s="1">
        <f t="shared" si="9"/>
        <v>3.6184693779200305</v>
      </c>
      <c r="S32" s="1">
        <f t="shared" si="9"/>
        <v>3.6972716097499969</v>
      </c>
      <c r="T32" s="1">
        <f t="shared" si="9"/>
        <v>3.7658189563599898</v>
      </c>
      <c r="U32" s="1">
        <f t="shared" si="9"/>
        <v>3.76283844337999</v>
      </c>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row>
    <row r="34" spans="2:49" x14ac:dyDescent="0.2">
      <c r="B34" s="28" t="s">
        <v>138</v>
      </c>
    </row>
    <row r="35" spans="2:49" x14ac:dyDescent="0.2">
      <c r="B35" s="26" t="s">
        <v>63</v>
      </c>
      <c r="C35" s="98">
        <f>'Input data'!C37</f>
        <v>1.422372</v>
      </c>
      <c r="D35" s="98">
        <f>'Input data'!D37</f>
        <v>1.7254640000000001</v>
      </c>
      <c r="E35" s="98">
        <f>'Input data'!E37</f>
        <v>1.8</v>
      </c>
      <c r="F35" s="34">
        <f t="shared" ref="F35:U35" si="10">F92</f>
        <v>1.7990942278989217</v>
      </c>
      <c r="G35" s="34">
        <f t="shared" si="10"/>
        <v>1.9393064891870158</v>
      </c>
      <c r="H35" s="34">
        <f t="shared" si="10"/>
        <v>2.0651772983228507</v>
      </c>
      <c r="I35" s="34">
        <f t="shared" si="10"/>
        <v>2.180776329159134</v>
      </c>
      <c r="J35" s="34">
        <f t="shared" si="10"/>
        <v>2.2940858911256736</v>
      </c>
      <c r="K35" s="34">
        <f t="shared" si="10"/>
        <v>2.4064043539333615</v>
      </c>
      <c r="L35" s="34">
        <f t="shared" si="10"/>
        <v>2.5168768507715864</v>
      </c>
      <c r="M35" s="34">
        <f t="shared" si="10"/>
        <v>2.6265317362366032</v>
      </c>
      <c r="N35" s="34">
        <f t="shared" si="10"/>
        <v>2.7343583888208394</v>
      </c>
      <c r="O35" s="34">
        <f t="shared" si="10"/>
        <v>2.8126045910301425</v>
      </c>
      <c r="P35" s="34">
        <f t="shared" si="10"/>
        <v>2.8842561032832199</v>
      </c>
      <c r="Q35" s="34">
        <f t="shared" si="10"/>
        <v>2.9500704995849518</v>
      </c>
      <c r="R35" s="34">
        <f t="shared" si="10"/>
        <v>3.0101222679015058</v>
      </c>
      <c r="S35" s="34">
        <f t="shared" si="10"/>
        <v>3.0652289855867281</v>
      </c>
      <c r="T35" s="34">
        <f t="shared" si="10"/>
        <v>3.1160998695365141</v>
      </c>
      <c r="U35" s="34">
        <f t="shared" si="10"/>
        <v>3.1628503557449683</v>
      </c>
    </row>
    <row r="36" spans="2:49" x14ac:dyDescent="0.2">
      <c r="B36" s="32" t="s">
        <v>91</v>
      </c>
      <c r="C36" s="2">
        <f>'Input data'!C$39</f>
        <v>2.4300000000000002</v>
      </c>
      <c r="D36" s="163">
        <f>'Input data'!D$39</f>
        <v>2.3224999999999998</v>
      </c>
      <c r="E36" s="163">
        <f>'Input data'!E$39</f>
        <v>2.544438</v>
      </c>
      <c r="F36" s="163">
        <f>'Input data'!F$39</f>
        <v>2.698655</v>
      </c>
      <c r="G36" s="1">
        <f t="shared" ref="G36:M36" si="11">F36+($N$36-$F$36)/($N$10-$F$10)</f>
        <v>2.7743606249999999</v>
      </c>
      <c r="H36" s="1">
        <f t="shared" si="11"/>
        <v>2.8500662499999998</v>
      </c>
      <c r="I36" s="1">
        <f t="shared" si="11"/>
        <v>2.9257718749999997</v>
      </c>
      <c r="J36" s="1">
        <f t="shared" si="11"/>
        <v>3.0014774999999996</v>
      </c>
      <c r="K36" s="1">
        <f t="shared" si="11"/>
        <v>3.0771831249999995</v>
      </c>
      <c r="L36" s="1">
        <f t="shared" si="11"/>
        <v>3.1528887499999994</v>
      </c>
      <c r="M36" s="1">
        <f t="shared" si="11"/>
        <v>3.2285943749999992</v>
      </c>
      <c r="N36" s="248">
        <f>'Input data'!$C$52</f>
        <v>3.3043</v>
      </c>
      <c r="O36" s="1">
        <f>'Baseline NFPC'!O36</f>
        <v>3.3390849999999999</v>
      </c>
      <c r="P36" s="1">
        <f>'Baseline NFPC'!P36</f>
        <v>3.3738700000000001</v>
      </c>
      <c r="Q36" s="1">
        <f>'Baseline NFPC'!Q36</f>
        <v>3.408655</v>
      </c>
      <c r="R36" s="1">
        <f>'Baseline NFPC'!R36</f>
        <v>3.4434399999999998</v>
      </c>
      <c r="S36" s="1">
        <f>'Baseline NFPC'!S36</f>
        <v>3.4782250000000001</v>
      </c>
      <c r="T36" s="1">
        <f>'Baseline NFPC'!T36</f>
        <v>3.51301</v>
      </c>
      <c r="U36" s="1">
        <f>'Baseline NFPC'!U36</f>
        <v>3.5477949999999998</v>
      </c>
      <c r="V36" s="59"/>
      <c r="W36" s="59"/>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60"/>
    </row>
    <row r="37" spans="2:49" x14ac:dyDescent="0.2">
      <c r="B37" s="32" t="s">
        <v>92</v>
      </c>
      <c r="C37" s="2">
        <f>'Input data'!C$38</f>
        <v>3.43</v>
      </c>
      <c r="D37" s="163">
        <f>'Input data'!D$38</f>
        <v>3.5708329999999999</v>
      </c>
      <c r="E37" s="163">
        <f>'Input data'!E$38</f>
        <v>1.999333</v>
      </c>
      <c r="F37" s="163">
        <f>'Input data'!F$38</f>
        <v>1.7208330000000001</v>
      </c>
      <c r="G37" s="1">
        <f t="shared" ref="G37:M37" si="12">F37+($N$37-$F$37)/($N$10-$F$10)</f>
        <v>1.877801375</v>
      </c>
      <c r="H37" s="1">
        <f t="shared" si="12"/>
        <v>2.0347697500000002</v>
      </c>
      <c r="I37" s="1">
        <f t="shared" si="12"/>
        <v>2.1917381250000001</v>
      </c>
      <c r="J37" s="1">
        <f t="shared" si="12"/>
        <v>2.3487065</v>
      </c>
      <c r="K37" s="1">
        <f t="shared" si="12"/>
        <v>2.505674875</v>
      </c>
      <c r="L37" s="1">
        <f t="shared" si="12"/>
        <v>2.6626432499999999</v>
      </c>
      <c r="M37" s="1">
        <f t="shared" si="12"/>
        <v>2.8196116249999998</v>
      </c>
      <c r="N37" s="248">
        <f>'Input data'!$C$53</f>
        <v>2.9765799999999998</v>
      </c>
      <c r="O37" s="1">
        <f>'Baseline NFPC'!O37</f>
        <v>2.9277509999999998</v>
      </c>
      <c r="P37" s="1">
        <f>'Baseline NFPC'!P37</f>
        <v>2.8789219999999998</v>
      </c>
      <c r="Q37" s="1">
        <f>'Baseline NFPC'!Q37</f>
        <v>2.8300929999999997</v>
      </c>
      <c r="R37" s="1">
        <f>'Baseline NFPC'!R37</f>
        <v>2.7812639999999997</v>
      </c>
      <c r="S37" s="1">
        <f>'Baseline NFPC'!S37</f>
        <v>2.7324349999999997</v>
      </c>
      <c r="T37" s="1">
        <f>'Baseline NFPC'!T37</f>
        <v>2.6836059999999997</v>
      </c>
      <c r="U37" s="1">
        <f>'Baseline NFPC'!U37</f>
        <v>2.6347769999999997</v>
      </c>
      <c r="V37" s="59"/>
      <c r="W37" s="59"/>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60"/>
    </row>
    <row r="38" spans="2:49" s="5" customFormat="1" ht="12.75" x14ac:dyDescent="0.2">
      <c r="B38" s="26" t="s">
        <v>93</v>
      </c>
      <c r="C38" s="34">
        <f>'Baseline NFPC'!C38</f>
        <v>0.12643541</v>
      </c>
      <c r="D38" s="34">
        <f>'Baseline NFPC'!D38</f>
        <v>0.11798594</v>
      </c>
      <c r="E38" s="34">
        <f>'Baseline NFPC'!E38</f>
        <v>0.11258884</v>
      </c>
      <c r="F38" s="34">
        <f>'Baseline NFPC'!F38</f>
        <v>0.11390289111111111</v>
      </c>
      <c r="G38" s="34">
        <f>'Baseline NFPC'!G38</f>
        <v>0.11521694222222222</v>
      </c>
      <c r="H38" s="34">
        <f>'Baseline NFPC'!H38</f>
        <v>0.11653099333333333</v>
      </c>
      <c r="I38" s="34">
        <f>'Baseline NFPC'!I38</f>
        <v>0.11784504444444445</v>
      </c>
      <c r="J38" s="34">
        <f>'Baseline NFPC'!J38</f>
        <v>0.11915909555555555</v>
      </c>
      <c r="K38" s="34">
        <f>'Baseline NFPC'!K38</f>
        <v>0.12047314666666667</v>
      </c>
      <c r="L38" s="34">
        <f>'Baseline NFPC'!L38</f>
        <v>0.12178719777777779</v>
      </c>
      <c r="M38" s="34">
        <f>'Baseline NFPC'!M38</f>
        <v>0.12310124888888889</v>
      </c>
      <c r="N38" s="34">
        <f>'Baseline NFPC'!N38</f>
        <v>0.12441530000000001</v>
      </c>
      <c r="O38" s="34">
        <f>'Baseline NFPC'!O38</f>
        <v>0.12441530000000001</v>
      </c>
      <c r="P38" s="34">
        <f>'Baseline NFPC'!P38</f>
        <v>0.12441530000000001</v>
      </c>
      <c r="Q38" s="34">
        <f>'Baseline NFPC'!Q38</f>
        <v>0.12441530000000001</v>
      </c>
      <c r="R38" s="34">
        <f>'Baseline NFPC'!R38</f>
        <v>0.12441530000000001</v>
      </c>
      <c r="S38" s="34">
        <f>'Baseline NFPC'!S38</f>
        <v>0.12441530000000001</v>
      </c>
      <c r="T38" s="34">
        <f>'Baseline NFPC'!T38</f>
        <v>0.12441530000000001</v>
      </c>
      <c r="U38" s="34">
        <f>'Baseline NFPC'!U38</f>
        <v>0.12441530000000001</v>
      </c>
    </row>
    <row r="39" spans="2:49" x14ac:dyDescent="0.2">
      <c r="C39" s="1"/>
      <c r="D39" s="1"/>
      <c r="E39" s="1"/>
      <c r="F39" s="1"/>
      <c r="G39" s="1"/>
      <c r="H39" s="1"/>
      <c r="I39" s="1"/>
      <c r="J39" s="1"/>
      <c r="K39" s="1"/>
      <c r="L39" s="1"/>
      <c r="M39" s="1"/>
      <c r="N39" s="1"/>
      <c r="O39" s="1"/>
      <c r="P39" s="1"/>
      <c r="Q39" s="1"/>
      <c r="R39" s="1"/>
      <c r="S39" s="1"/>
      <c r="T39" s="1"/>
      <c r="U39" s="1"/>
      <c r="V39" s="59"/>
      <c r="W39" s="59"/>
      <c r="X39" s="59"/>
      <c r="Y39" s="59"/>
      <c r="Z39" s="59"/>
      <c r="AA39" s="59"/>
      <c r="AB39" s="59"/>
      <c r="AC39" s="59"/>
      <c r="AD39" s="59"/>
      <c r="AE39" s="59"/>
      <c r="AF39" s="59"/>
      <c r="AG39" s="59"/>
      <c r="AH39" s="59"/>
      <c r="AI39" s="59"/>
      <c r="AJ39" s="59"/>
      <c r="AK39" s="59"/>
      <c r="AL39" s="59"/>
      <c r="AM39" s="59"/>
      <c r="AN39" s="59"/>
      <c r="AO39" s="59"/>
      <c r="AP39" s="59"/>
      <c r="AQ39" s="59"/>
      <c r="AR39" s="59"/>
      <c r="AS39" s="59"/>
      <c r="AT39" s="59"/>
      <c r="AU39" s="59"/>
      <c r="AV39" s="59"/>
      <c r="AW39" s="60"/>
    </row>
    <row r="40" spans="2:49" x14ac:dyDescent="0.2">
      <c r="B40" s="28" t="s">
        <v>94</v>
      </c>
      <c r="C40" s="1"/>
      <c r="D40" s="1"/>
      <c r="E40" s="1"/>
      <c r="F40" s="1"/>
      <c r="G40" s="1"/>
      <c r="H40" s="1"/>
      <c r="I40" s="1"/>
      <c r="J40" s="1"/>
      <c r="K40" s="1"/>
      <c r="L40" s="1"/>
      <c r="M40" s="1"/>
      <c r="N40" s="1"/>
      <c r="O40" s="1"/>
      <c r="P40" s="1"/>
      <c r="Q40" s="1"/>
      <c r="R40" s="1"/>
      <c r="S40" s="1"/>
      <c r="T40" s="1"/>
      <c r="U40" s="1"/>
      <c r="V40" s="59"/>
      <c r="W40" s="59"/>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60"/>
    </row>
    <row r="41" spans="2:49" x14ac:dyDescent="0.2">
      <c r="B41" s="26" t="s">
        <v>139</v>
      </c>
      <c r="C41" s="2">
        <f>'Input data'!C42</f>
        <v>6.1429179999999999</v>
      </c>
      <c r="D41" s="2">
        <f>'Input data'!D42</f>
        <v>3.1060140000000001</v>
      </c>
      <c r="E41" s="2">
        <f>'Input data'!E42</f>
        <v>2.439314</v>
      </c>
      <c r="F41" s="1">
        <f>'Baseline NFPC'!F41</f>
        <v>2.1658539999999999</v>
      </c>
      <c r="G41" s="1">
        <f>'Baseline NFPC'!G41</f>
        <v>2.1776222499999998</v>
      </c>
      <c r="H41" s="1">
        <f>'Baseline NFPC'!H41</f>
        <v>2.1893905</v>
      </c>
      <c r="I41" s="1">
        <f>'Baseline NFPC'!I41</f>
        <v>2.2011587499999998</v>
      </c>
      <c r="J41" s="1">
        <f>'Baseline NFPC'!J41</f>
        <v>2.2129269999999996</v>
      </c>
      <c r="K41" s="1">
        <f>'Baseline NFPC'!K41</f>
        <v>2.2246952499999999</v>
      </c>
      <c r="L41" s="1">
        <f>'Baseline NFPC'!L41</f>
        <v>2.2364634999999997</v>
      </c>
      <c r="M41" s="1">
        <f>'Baseline NFPC'!M41</f>
        <v>2.24823175</v>
      </c>
      <c r="N41" s="248">
        <f>'Baseline NFPC'!N41</f>
        <v>2.2599999999999998</v>
      </c>
      <c r="O41" s="1">
        <f>'Baseline NFPC'!O41</f>
        <v>2.2469999999999999</v>
      </c>
      <c r="P41" s="1">
        <f>'Baseline NFPC'!P41</f>
        <v>2.234</v>
      </c>
      <c r="Q41" s="1">
        <f>'Baseline NFPC'!Q41</f>
        <v>2.2209999999999996</v>
      </c>
      <c r="R41" s="1">
        <f>'Baseline NFPC'!R41</f>
        <v>2.2079999999999997</v>
      </c>
      <c r="S41" s="1">
        <f>'Baseline NFPC'!S41</f>
        <v>2.1949999999999998</v>
      </c>
      <c r="T41" s="1">
        <f>'Baseline NFPC'!T41</f>
        <v>2.1819999999999999</v>
      </c>
      <c r="U41" s="1">
        <f>'Baseline NFPC'!U41</f>
        <v>2.169</v>
      </c>
      <c r="V41" s="59"/>
      <c r="W41" s="59"/>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60"/>
    </row>
    <row r="42" spans="2:49" x14ac:dyDescent="0.2">
      <c r="B42" s="26" t="s">
        <v>95</v>
      </c>
      <c r="C42" s="1">
        <f>'Baseline NFPC'!C42</f>
        <v>0.99974450000000004</v>
      </c>
      <c r="D42" s="1">
        <f>'Baseline NFPC'!D42</f>
        <v>0.99998920000000002</v>
      </c>
      <c r="E42" s="1">
        <f>'Baseline NFPC'!E42</f>
        <v>0.99973610000000002</v>
      </c>
      <c r="F42" s="1">
        <f>'Baseline NFPC'!F42</f>
        <v>0.99982409999999999</v>
      </c>
      <c r="G42" s="1">
        <f>'Baseline NFPC'!G42</f>
        <v>1</v>
      </c>
      <c r="H42" s="1">
        <f>'Baseline NFPC'!H42</f>
        <v>1</v>
      </c>
      <c r="I42" s="1">
        <f>'Baseline NFPC'!I42</f>
        <v>1</v>
      </c>
      <c r="J42" s="1">
        <f>'Baseline NFPC'!J42</f>
        <v>1</v>
      </c>
      <c r="K42" s="1">
        <f>'Baseline NFPC'!K42</f>
        <v>1</v>
      </c>
      <c r="L42" s="1">
        <f>'Baseline NFPC'!L42</f>
        <v>1</v>
      </c>
      <c r="M42" s="1">
        <f>'Baseline NFPC'!M42</f>
        <v>1</v>
      </c>
      <c r="N42" s="1">
        <f>'Baseline NFPC'!N42</f>
        <v>1</v>
      </c>
      <c r="O42" s="1">
        <f>'Baseline NFPC'!O42</f>
        <v>1</v>
      </c>
      <c r="P42" s="1">
        <f>'Baseline NFPC'!P42</f>
        <v>1</v>
      </c>
      <c r="Q42" s="1">
        <f>'Baseline NFPC'!Q42</f>
        <v>1</v>
      </c>
      <c r="R42" s="1">
        <f>'Baseline NFPC'!R42</f>
        <v>1</v>
      </c>
      <c r="S42" s="1">
        <f>'Baseline NFPC'!S42</f>
        <v>1</v>
      </c>
      <c r="T42" s="1">
        <f>'Baseline NFPC'!T42</f>
        <v>1</v>
      </c>
      <c r="U42" s="1">
        <f>'Baseline NFPC'!U42</f>
        <v>1</v>
      </c>
      <c r="V42" s="63"/>
      <c r="W42" s="63"/>
      <c r="X42" s="63"/>
      <c r="Y42" s="63"/>
      <c r="Z42" s="63"/>
      <c r="AA42" s="63"/>
      <c r="AB42" s="63"/>
      <c r="AC42" s="63"/>
      <c r="AD42" s="63"/>
      <c r="AE42" s="63"/>
      <c r="AF42" s="63"/>
      <c r="AG42" s="63"/>
      <c r="AH42" s="63"/>
      <c r="AI42" s="63"/>
      <c r="AJ42" s="63"/>
      <c r="AK42" s="63"/>
      <c r="AL42" s="63"/>
      <c r="AM42" s="63"/>
      <c r="AN42" s="63"/>
      <c r="AO42" s="63"/>
      <c r="AP42" s="63"/>
      <c r="AQ42" s="63"/>
      <c r="AR42" s="63"/>
      <c r="AS42" s="63"/>
      <c r="AT42" s="63"/>
      <c r="AU42" s="63"/>
      <c r="AV42" s="63"/>
      <c r="AW42" s="60"/>
    </row>
    <row r="43" spans="2:49" x14ac:dyDescent="0.2">
      <c r="S43" s="1"/>
      <c r="T43" s="1"/>
      <c r="U43" s="1"/>
    </row>
    <row r="44" spans="2:49" s="67" customFormat="1" ht="12.75" x14ac:dyDescent="0.2">
      <c r="B44" s="74" t="s">
        <v>96</v>
      </c>
    </row>
    <row r="45" spans="2:49" x14ac:dyDescent="0.2">
      <c r="C45" s="36"/>
    </row>
    <row r="46" spans="2:49" x14ac:dyDescent="0.2">
      <c r="B46" s="54" t="s">
        <v>68</v>
      </c>
      <c r="C46" s="55">
        <f>'Input data'!C49</f>
        <v>0.75</v>
      </c>
    </row>
    <row r="47" spans="2:49" x14ac:dyDescent="0.2">
      <c r="B47" s="56" t="s">
        <v>243</v>
      </c>
      <c r="C47" s="57">
        <f>'Input data'!C50</f>
        <v>0.504</v>
      </c>
    </row>
    <row r="48" spans="2:49" x14ac:dyDescent="0.2">
      <c r="C48" s="58"/>
    </row>
    <row r="49" spans="2:46" outlineLevel="1" x14ac:dyDescent="0.2">
      <c r="B49" s="26" t="s">
        <v>97</v>
      </c>
      <c r="C49" s="34"/>
      <c r="D49" s="34">
        <f>IF(AND(ABS((D12-C12)-('Input data'!D13-'Input data'!C13))&gt;0.0001,ABS(D12-C12)&gt;0.0001,D$10&gt;$C$5),4,IF(C49=4,3,IF(C49=3,2,IF(C49=2,1,0))))</f>
        <v>0</v>
      </c>
      <c r="E49" s="34">
        <f>IF(AND(ABS((E12-D12)-('Baseline NFPC'!E12-'Baseline NFPC'!D12))&gt;0.0001,ABS(E12-D12)&gt;0.0001,E$10&gt;$C$5),4,IF(D49=4,3,IF(D49=3,2,IF(D49=2,1,0))))</f>
        <v>4</v>
      </c>
      <c r="F49" s="34">
        <f>IF(AND(ABS((F12-E12)-('Baseline NFPC'!F12-'Baseline NFPC'!E12))&gt;0.0001,ABS(F12-E12)&gt;0.0001,F$10&gt;$C$5),4,IF(E49=4,3,IF(E49=3,2,IF(E49=2,1,0))))</f>
        <v>4</v>
      </c>
      <c r="G49" s="34">
        <f>IF(AND(ABS((G12-F12)-('Baseline NFPC'!G12-'Baseline NFPC'!F12))&gt;0.0001,ABS(G12-F12)&gt;0.0001,G$10&gt;$C$5),4,IF(F49=4,3,IF(F49=3,2,IF(F49=2,1,0))))</f>
        <v>4</v>
      </c>
      <c r="H49" s="34">
        <f>IF(AND(ABS((H12-G12)-('Baseline NFPC'!H12-'Baseline NFPC'!G12))&gt;0.0001,ABS(H12-G12)&gt;0.0001,H$10&gt;$C$5),4,IF(G49=4,3,IF(G49=3,2,IF(G49=2,1,0))))</f>
        <v>4</v>
      </c>
      <c r="I49" s="34">
        <f>IF(AND(ABS((I12-H12)-('Baseline NFPC'!I12-'Baseline NFPC'!H12))&gt;0.0001,ABS(I12-H12)&gt;0.0001,I$10&gt;$C$5),4,IF(H49=4,3,IF(H49=3,2,IF(H49=2,1,0))))</f>
        <v>4</v>
      </c>
      <c r="J49" s="34">
        <f>IF(AND(ABS((J12-I12)-('Baseline NFPC'!J12-'Baseline NFPC'!I12))&gt;0.0001,ABS(J12-I12)&gt;0.0001,J$10&gt;$C$5),4,IF(I49=4,3,IF(I49=3,2,IF(I49=2,1,0))))</f>
        <v>4</v>
      </c>
      <c r="K49" s="34">
        <f>IF(AND(ABS((K12-J12)-('Baseline NFPC'!K12-'Baseline NFPC'!J12))&gt;0.0001,ABS(K12-J12)&gt;0.0001,K$10&gt;$C$5),4,IF(J49=4,3,IF(J49=3,2,IF(J49=2,1,0))))</f>
        <v>3</v>
      </c>
      <c r="L49" s="34">
        <f>IF(AND(ABS((L12-K12)-('Baseline NFPC'!L12-'Baseline NFPC'!K12))&gt;0.0001,ABS(L12-K12)&gt;0.0001,L$10&gt;$C$5),4,IF(K49=4,3,IF(K49=3,2,IF(K49=2,1,0))))</f>
        <v>2</v>
      </c>
      <c r="M49" s="34">
        <f>IF(AND(ABS((M12-L12)-('Baseline NFPC'!M12-'Baseline NFPC'!L12))&gt;0.0001,ABS(M12-L12)&gt;0.0001,M$10&gt;$C$5),4,IF(L49=4,3,IF(L49=3,2,IF(L49=2,1,0))))</f>
        <v>1</v>
      </c>
      <c r="N49" s="34">
        <f>IF(AND(ABS((N12-M12)-('Baseline NFPC'!N12-'Baseline NFPC'!M12))&gt;0.0001,ABS(N12-M12)&gt;0.0001,N$10&gt;$C$5),4,IF(M49=4,3,IF(M49=3,2,IF(M49=2,1,0))))</f>
        <v>0</v>
      </c>
      <c r="O49" s="34">
        <f>IF(AND(ABS((O12-N12)-('Baseline NFPC'!O12-'Baseline NFPC'!N12))&gt;0.0001,ABS(O12-N12)&gt;0.0001,O$10&gt;$C$5),4,IF(N49=4,3,IF(N49=3,2,IF(N49=2,1,0))))</f>
        <v>0</v>
      </c>
      <c r="P49" s="34">
        <f>IF(AND(ABS((P12-O12)-('Baseline NFPC'!P12-'Baseline NFPC'!O12))&gt;0.0001,ABS(P12-O12)&gt;0.0001,P$10&gt;$C$5),4,IF(O49=4,3,IF(O49=3,2,IF(O49=2,1,0))))</f>
        <v>0</v>
      </c>
      <c r="Q49" s="34">
        <f>IF(AND(ABS((Q12-P12)-('Baseline NFPC'!Q12-'Baseline NFPC'!P12))&gt;0.0001,ABS(Q12-P12)&gt;0.0001,Q$10&gt;$C$5),4,IF(P49=4,3,IF(P49=3,2,IF(P49=2,1,0))))</f>
        <v>0</v>
      </c>
      <c r="R49" s="34">
        <f>IF(AND(ABS((R12-Q12)-('Baseline NFPC'!R12-'Baseline NFPC'!Q12))&gt;0.0001,ABS(R12-Q12)&gt;0.0001,R$10&gt;$C$5),4,IF(Q49=4,3,IF(Q49=3,2,IF(Q49=2,1,0))))</f>
        <v>0</v>
      </c>
      <c r="S49" s="34">
        <f>IF(AND(ABS((S12-R12)-('Baseline NFPC'!S12-'Baseline NFPC'!R12))&gt;0.0001,ABS(S12-R12)&gt;0.0001,S$10&gt;$C$5),4,IF(R49=4,3,IF(R49=3,2,IF(R49=2,1,0))))</f>
        <v>0</v>
      </c>
      <c r="T49" s="34">
        <f>IF(AND(ABS((T12-S12)-('Baseline NFPC'!T12-'Baseline NFPC'!S12))&gt;0.0001,ABS(T12-S12)&gt;0.0001,T$10&gt;$C$5),4,IF(S49=4,3,IF(S49=3,2,IF(S49=2,1,0))))</f>
        <v>0</v>
      </c>
      <c r="U49" s="34">
        <f>IF(AND(ABS((U12-T12)-('Baseline NFPC'!U12-'Baseline NFPC'!T12))&gt;0.0001,ABS(U12-T12)&gt;0.0001,U$10&gt;$C$5),4,IF(T49=4,3,IF(T49=3,2,IF(T49=2,1,0))))</f>
        <v>0</v>
      </c>
      <c r="V49" s="34"/>
      <c r="W49" s="34"/>
      <c r="X49" s="34"/>
      <c r="Y49" s="34"/>
      <c r="Z49" s="34"/>
      <c r="AA49" s="34"/>
      <c r="AB49" s="34"/>
      <c r="AC49" s="34"/>
      <c r="AD49" s="34"/>
      <c r="AE49" s="34"/>
      <c r="AF49" s="34"/>
      <c r="AG49" s="34"/>
      <c r="AH49" s="34"/>
      <c r="AI49" s="34"/>
      <c r="AJ49" s="34"/>
      <c r="AK49" s="34"/>
      <c r="AL49" s="34"/>
      <c r="AM49" s="34"/>
      <c r="AN49" s="34"/>
      <c r="AO49" s="34"/>
      <c r="AP49" s="34"/>
      <c r="AQ49" s="34"/>
      <c r="AR49" s="34"/>
      <c r="AS49" s="34"/>
      <c r="AT49" s="34"/>
    </row>
    <row r="50" spans="2:46" outlineLevel="1" x14ac:dyDescent="0.2">
      <c r="B50" s="26" t="s">
        <v>98</v>
      </c>
      <c r="C50" s="34"/>
      <c r="D50" s="34">
        <f>IF(C49=4,2/3*(C29-'Baseline NFPC'!C29),IF(C49=3,1/3*(#REF!-'Baseline NFPC'!#REF!),0))</f>
        <v>0</v>
      </c>
      <c r="E50" s="34">
        <f>IF(D49=4,2/3*(D29-'Baseline NFPC'!D29),IF(D49=3,1/3*(C29-'Baseline NFPC'!C29),0))</f>
        <v>0</v>
      </c>
      <c r="F50" s="34">
        <f>IF(E49=4,2/3*(E29-'Baseline NFPC'!E29),IF(E49=3,1/3*(D29-'Baseline NFPC'!D29),0))</f>
        <v>-0.26560052345489338</v>
      </c>
      <c r="G50" s="34">
        <f t="shared" ref="G50:U50" si="13">IF(F49=4,2/3*F29,IF(F49=3,1/3*E29,0))</f>
        <v>-1.23227866723045</v>
      </c>
      <c r="H50" s="34">
        <f t="shared" si="13"/>
        <v>-1.0853332596811351</v>
      </c>
      <c r="I50" s="34">
        <f t="shared" si="13"/>
        <v>-0.98768759014370056</v>
      </c>
      <c r="J50" s="34">
        <f t="shared" si="13"/>
        <v>-0.53611529004609815</v>
      </c>
      <c r="K50" s="34">
        <f t="shared" si="13"/>
        <v>-0.23419633563640888</v>
      </c>
      <c r="L50" s="34">
        <f t="shared" si="13"/>
        <v>-0.11709816781820444</v>
      </c>
      <c r="M50" s="34">
        <f t="shared" si="13"/>
        <v>0</v>
      </c>
      <c r="N50" s="34">
        <f t="shared" si="13"/>
        <v>0</v>
      </c>
      <c r="O50" s="34">
        <f t="shared" si="13"/>
        <v>0</v>
      </c>
      <c r="P50" s="34">
        <f t="shared" si="13"/>
        <v>0</v>
      </c>
      <c r="Q50" s="34">
        <f t="shared" si="13"/>
        <v>0</v>
      </c>
      <c r="R50" s="34">
        <f t="shared" si="13"/>
        <v>0</v>
      </c>
      <c r="S50" s="34">
        <f t="shared" si="13"/>
        <v>0</v>
      </c>
      <c r="T50" s="34">
        <f t="shared" si="13"/>
        <v>0</v>
      </c>
      <c r="U50" s="34">
        <f t="shared" si="13"/>
        <v>0</v>
      </c>
      <c r="V50" s="34"/>
      <c r="W50" s="34"/>
      <c r="X50" s="34"/>
      <c r="Y50" s="34"/>
      <c r="Z50" s="34"/>
      <c r="AA50" s="34"/>
      <c r="AB50" s="34"/>
      <c r="AC50" s="34"/>
      <c r="AD50" s="34"/>
      <c r="AE50" s="34"/>
      <c r="AF50" s="34"/>
      <c r="AG50" s="34"/>
      <c r="AH50" s="34"/>
      <c r="AI50" s="34"/>
      <c r="AJ50" s="34"/>
      <c r="AK50" s="34"/>
      <c r="AL50" s="34"/>
      <c r="AM50" s="34"/>
      <c r="AN50" s="34"/>
      <c r="AO50" s="34"/>
      <c r="AP50" s="34"/>
      <c r="AQ50" s="34"/>
      <c r="AR50" s="34"/>
      <c r="AS50" s="34"/>
      <c r="AT50" s="34"/>
    </row>
    <row r="51" spans="2:46" outlineLevel="1" x14ac:dyDescent="0.2">
      <c r="B51" s="26" t="s">
        <v>99</v>
      </c>
      <c r="C51" s="34"/>
      <c r="D51" s="34">
        <f>'Input data'!D30-$C$46*((D12-C12)-('Input data'!D13-'Input data'!C13))</f>
        <v>-0.23852609999999999</v>
      </c>
      <c r="E51" s="34">
        <f>'Input data'!E30-$C$46*(E12-D12)</f>
        <v>-0.23283890000000002</v>
      </c>
      <c r="F51" s="34">
        <f>'Input data'!F30-$C$46*(F12-E12)</f>
        <v>0.22123519999999997</v>
      </c>
      <c r="G51" s="34">
        <f>'Input data'!G30-$C$46*(G12-F12)</f>
        <v>0.45016650000000002</v>
      </c>
      <c r="H51" s="34">
        <f>'Input data'!H30-$C$46*(H12-G12)</f>
        <v>0.55335909999999999</v>
      </c>
      <c r="I51" s="34">
        <f>'Input data'!I30-$C$46*(I12-H12)</f>
        <v>1.245234</v>
      </c>
      <c r="J51" s="34">
        <f>'Input data'!J30-$C$46*(J12-I12)</f>
        <v>0.82130049999999999</v>
      </c>
      <c r="K51" s="34">
        <f>'Input data'!K30-$C$46*(K12-J12)</f>
        <v>0.60714469999999998</v>
      </c>
      <c r="L51" s="34">
        <f>'Input data'!L30-$C$46*(L12-K12)</f>
        <v>0.58665769999999995</v>
      </c>
      <c r="M51" s="34">
        <f>'Input data'!M30-$C$46*(M12-L12)</f>
        <v>0.58461379999999996</v>
      </c>
      <c r="N51" s="34">
        <f>'Input data'!N30-$C$46*(N12-M12)</f>
        <v>0.6761528</v>
      </c>
      <c r="O51" s="34">
        <f>'Input data'!O30-$C$46*(O12-N12)</f>
        <v>0.88076969999999999</v>
      </c>
      <c r="P51" s="34">
        <f>'Input data'!P30-$C$46*(P12-O12)</f>
        <v>1.085386</v>
      </c>
      <c r="Q51" s="34">
        <f>'Input data'!Q30-$C$46*(Q12-P12)</f>
        <v>1.290001</v>
      </c>
      <c r="R51" s="34">
        <f>'Input data'!R30-$C$46*(R12-Q12)</f>
        <v>1.379999</v>
      </c>
      <c r="S51" s="34">
        <f>'Input data'!S30-$C$46*(S12-R12)</f>
        <v>1.470005</v>
      </c>
      <c r="T51" s="34">
        <f>'Input data'!T30-$C$46*(T12-S12)</f>
        <v>1.549998</v>
      </c>
      <c r="U51" s="34">
        <f>'Input data'!U30-$C$46*(U12-T12)</f>
        <v>1.5600020000000001</v>
      </c>
      <c r="V51" s="34"/>
      <c r="W51" s="34"/>
      <c r="X51" s="34"/>
      <c r="Y51" s="34"/>
      <c r="Z51" s="34"/>
      <c r="AA51" s="34"/>
      <c r="AB51" s="34"/>
      <c r="AC51" s="34"/>
      <c r="AD51" s="34"/>
      <c r="AE51" s="34"/>
      <c r="AF51" s="34"/>
      <c r="AG51" s="34"/>
      <c r="AH51" s="34"/>
      <c r="AI51" s="34"/>
      <c r="AJ51" s="34"/>
      <c r="AK51" s="34"/>
      <c r="AL51" s="34"/>
      <c r="AM51" s="34"/>
      <c r="AN51" s="34"/>
      <c r="AO51" s="34"/>
      <c r="AP51" s="34"/>
      <c r="AQ51" s="34"/>
      <c r="AR51" s="34"/>
      <c r="AS51" s="34"/>
      <c r="AT51" s="34"/>
    </row>
    <row r="53" spans="2:46" s="67" customFormat="1" ht="12.75" outlineLevel="1" x14ac:dyDescent="0.2">
      <c r="B53" s="71" t="s">
        <v>100</v>
      </c>
      <c r="C53" s="69"/>
      <c r="D53" s="68"/>
    </row>
    <row r="54" spans="2:46" outlineLevel="1" x14ac:dyDescent="0.2">
      <c r="B54" s="43"/>
      <c r="C54" s="44"/>
      <c r="D54" s="29"/>
    </row>
    <row r="55" spans="2:46" outlineLevel="1" x14ac:dyDescent="0.2">
      <c r="B55" s="83"/>
      <c r="C55" s="84">
        <f>'Input data'!$C$5-1</f>
        <v>2023</v>
      </c>
      <c r="D55" s="84">
        <f>C55+1</f>
        <v>2024</v>
      </c>
      <c r="E55" s="84">
        <f t="shared" ref="E55:U55" si="14">D55+1</f>
        <v>2025</v>
      </c>
      <c r="F55" s="84">
        <f t="shared" si="14"/>
        <v>2026</v>
      </c>
      <c r="G55" s="84">
        <f t="shared" si="14"/>
        <v>2027</v>
      </c>
      <c r="H55" s="84">
        <f t="shared" si="14"/>
        <v>2028</v>
      </c>
      <c r="I55" s="84">
        <f t="shared" si="14"/>
        <v>2029</v>
      </c>
      <c r="J55" s="84">
        <f t="shared" si="14"/>
        <v>2030</v>
      </c>
      <c r="K55" s="84">
        <f t="shared" si="14"/>
        <v>2031</v>
      </c>
      <c r="L55" s="84">
        <f t="shared" si="14"/>
        <v>2032</v>
      </c>
      <c r="M55" s="84">
        <f t="shared" si="14"/>
        <v>2033</v>
      </c>
      <c r="N55" s="84">
        <f t="shared" si="14"/>
        <v>2034</v>
      </c>
      <c r="O55" s="84">
        <f t="shared" si="14"/>
        <v>2035</v>
      </c>
      <c r="P55" s="84">
        <f t="shared" si="14"/>
        <v>2036</v>
      </c>
      <c r="Q55" s="84">
        <f t="shared" si="14"/>
        <v>2037</v>
      </c>
      <c r="R55" s="84">
        <f t="shared" si="14"/>
        <v>2038</v>
      </c>
      <c r="S55" s="84">
        <f t="shared" si="14"/>
        <v>2039</v>
      </c>
      <c r="T55" s="84">
        <f t="shared" si="14"/>
        <v>2040</v>
      </c>
      <c r="U55" s="84">
        <f t="shared" si="14"/>
        <v>2041</v>
      </c>
    </row>
    <row r="56" spans="2:46" ht="10.5" customHeight="1" outlineLevel="1" x14ac:dyDescent="0.2">
      <c r="B56" s="85" t="s">
        <v>101</v>
      </c>
      <c r="C56" s="45">
        <f>+'Input data'!C12</f>
        <v>62.885489999999997</v>
      </c>
      <c r="D56" s="45">
        <f t="shared" ref="D56:R56" si="15">+C56+D57</f>
        <v>62.455679115154567</v>
      </c>
      <c r="E56" s="45">
        <f t="shared" si="15"/>
        <v>63.692130003522081</v>
      </c>
      <c r="F56" s="45">
        <f t="shared" si="15"/>
        <v>64.202561464572838</v>
      </c>
      <c r="G56" s="45">
        <f t="shared" si="15"/>
        <v>63.836881536064524</v>
      </c>
      <c r="H56" s="45">
        <f t="shared" si="15"/>
        <v>62.913564321630858</v>
      </c>
      <c r="I56" s="45">
        <f t="shared" si="15"/>
        <v>61.67838733319757</v>
      </c>
      <c r="J56" s="45">
        <f t="shared" si="15"/>
        <v>60.801483640185992</v>
      </c>
      <c r="K56" s="45">
        <f t="shared" si="15"/>
        <v>60.258217193327553</v>
      </c>
      <c r="L56" s="45">
        <f t="shared" si="15"/>
        <v>59.933589000095409</v>
      </c>
      <c r="M56" s="46">
        <f t="shared" si="15"/>
        <v>59.714240559908845</v>
      </c>
      <c r="N56" s="46">
        <f t="shared" si="15"/>
        <v>59.571559759834095</v>
      </c>
      <c r="O56" s="46">
        <f t="shared" si="15"/>
        <v>59.465993985882136</v>
      </c>
      <c r="P56" s="46">
        <f t="shared" si="15"/>
        <v>59.394198333084745</v>
      </c>
      <c r="Q56" s="46">
        <f t="shared" si="15"/>
        <v>59.253188289772872</v>
      </c>
      <c r="R56" s="46">
        <f t="shared" si="15"/>
        <v>59.107164465630802</v>
      </c>
      <c r="S56" s="46">
        <f t="shared" ref="S56" si="16">+R56+S57</f>
        <v>58.953409898589911</v>
      </c>
      <c r="T56" s="46">
        <f t="shared" ref="T56" si="17">+S56+T57</f>
        <v>58.695445150871443</v>
      </c>
      <c r="U56" s="46">
        <f t="shared" ref="U56" si="18">+T56+U57</f>
        <v>58.471872470087021</v>
      </c>
      <c r="V56" s="38"/>
      <c r="W56" s="38"/>
      <c r="X56" s="38"/>
      <c r="Y56" s="38"/>
      <c r="Z56" s="38"/>
      <c r="AA56" s="38"/>
      <c r="AB56" s="38"/>
      <c r="AC56" s="38"/>
      <c r="AD56" s="38"/>
      <c r="AE56" s="38"/>
      <c r="AF56" s="38"/>
      <c r="AG56" s="38"/>
      <c r="AH56" s="38"/>
      <c r="AI56" s="38"/>
      <c r="AJ56" s="38"/>
      <c r="AK56" s="38"/>
      <c r="AL56" s="38"/>
      <c r="AM56" s="38"/>
      <c r="AN56" s="38"/>
      <c r="AO56" s="38"/>
      <c r="AP56" s="38"/>
      <c r="AQ56" s="38"/>
      <c r="AR56" s="38"/>
      <c r="AS56" s="38"/>
      <c r="AT56" s="38"/>
    </row>
    <row r="57" spans="2:46" outlineLevel="1" x14ac:dyDescent="0.2">
      <c r="B57" s="86" t="s">
        <v>102</v>
      </c>
      <c r="C57" s="47"/>
      <c r="D57" s="47">
        <f t="shared" ref="D57:R57" si="19">-D58+D66+D71</f>
        <v>-0.42981088484542962</v>
      </c>
      <c r="E57" s="47">
        <f t="shared" si="19"/>
        <v>1.2364508883675145</v>
      </c>
      <c r="F57" s="47">
        <f t="shared" si="19"/>
        <v>0.51043146105075754</v>
      </c>
      <c r="G57" s="47">
        <f t="shared" si="19"/>
        <v>-0.36567992850831132</v>
      </c>
      <c r="H57" s="47">
        <f t="shared" si="19"/>
        <v>-0.92331721443366432</v>
      </c>
      <c r="I57" s="47">
        <f t="shared" si="19"/>
        <v>-1.2351769884332908</v>
      </c>
      <c r="J57" s="47">
        <f t="shared" si="19"/>
        <v>-0.87690369301157767</v>
      </c>
      <c r="K57" s="47">
        <f t="shared" si="19"/>
        <v>-0.54326644685844039</v>
      </c>
      <c r="L57" s="47">
        <f t="shared" si="19"/>
        <v>-0.32462819323214553</v>
      </c>
      <c r="M57" s="47">
        <f t="shared" si="19"/>
        <v>-0.21934844018656507</v>
      </c>
      <c r="N57" s="47">
        <f t="shared" si="19"/>
        <v>-0.14268080007474737</v>
      </c>
      <c r="O57" s="47">
        <f t="shared" si="19"/>
        <v>-0.10556577395195588</v>
      </c>
      <c r="P57" s="47">
        <f t="shared" si="19"/>
        <v>-7.1795652797388199E-2</v>
      </c>
      <c r="Q57" s="47">
        <f t="shared" si="19"/>
        <v>-0.14101004331187572</v>
      </c>
      <c r="R57" s="47">
        <f t="shared" si="19"/>
        <v>-0.14602382414206949</v>
      </c>
      <c r="S57" s="47">
        <f t="shared" ref="S57:U57" si="20">-S58+S66+S71</f>
        <v>-0.15375456704088974</v>
      </c>
      <c r="T57" s="47">
        <f t="shared" si="20"/>
        <v>-0.25796474771847033</v>
      </c>
      <c r="U57" s="47">
        <f t="shared" si="20"/>
        <v>-0.22357268078441916</v>
      </c>
    </row>
    <row r="58" spans="2:46" outlineLevel="1" x14ac:dyDescent="0.2">
      <c r="B58" s="82" t="s">
        <v>103</v>
      </c>
      <c r="C58" s="48"/>
      <c r="D58" s="48">
        <f t="shared" ref="D58:R58" si="21">D59+D60-D61-D62-D63-D64-D65</f>
        <v>-1.7039832151545689</v>
      </c>
      <c r="E58" s="48">
        <f t="shared" si="21"/>
        <v>-1.4119612713664818</v>
      </c>
      <c r="F58" s="48">
        <f t="shared" si="21"/>
        <v>-0.86688967242622028</v>
      </c>
      <c r="G58" s="48">
        <f t="shared" si="21"/>
        <v>-0.2157989443189382</v>
      </c>
      <c r="H58" s="48">
        <f t="shared" si="21"/>
        <v>0.39802118185136237</v>
      </c>
      <c r="I58" s="48">
        <f t="shared" si="21"/>
        <v>0.38475284072515192</v>
      </c>
      <c r="J58" s="48">
        <f t="shared" si="21"/>
        <v>0.25834647025887569</v>
      </c>
      <c r="K58" s="48">
        <f t="shared" si="21"/>
        <v>0.21270694683925118</v>
      </c>
      <c r="L58" s="48">
        <f t="shared" si="21"/>
        <v>6.7067423419623129E-2</v>
      </c>
      <c r="M58" s="48">
        <f t="shared" si="21"/>
        <v>2.1427899999998612E-2</v>
      </c>
      <c r="N58" s="48">
        <f t="shared" si="21"/>
        <v>1.6771951414695008E-2</v>
      </c>
      <c r="O58" s="48">
        <f t="shared" si="21"/>
        <v>-8.7883799666110485E-2</v>
      </c>
      <c r="P58" s="48">
        <f t="shared" si="21"/>
        <v>-0.19253930390081431</v>
      </c>
      <c r="Q58" s="48">
        <f t="shared" si="21"/>
        <v>-0.19719580631956612</v>
      </c>
      <c r="R58" s="48">
        <f t="shared" si="21"/>
        <v>-0.20185340345908132</v>
      </c>
      <c r="S58" s="48">
        <f t="shared" ref="S58:U58" si="22">S59+S60-S61-S62-S63-S64-S65</f>
        <v>-0.20650801996622381</v>
      </c>
      <c r="T58" s="48">
        <f t="shared" si="22"/>
        <v>-0.11116601258084524</v>
      </c>
      <c r="U58" s="48">
        <f t="shared" si="22"/>
        <v>-0.11582212006400228</v>
      </c>
    </row>
    <row r="59" spans="2:46" outlineLevel="1" x14ac:dyDescent="0.2">
      <c r="B59" s="77" t="s">
        <v>104</v>
      </c>
      <c r="C59" s="1"/>
      <c r="D59" s="1">
        <f>D12</f>
        <v>-1.0152870000000001</v>
      </c>
      <c r="E59" s="1">
        <f t="shared" ref="E59:U59" si="23">IF(E12="",D59,E12)</f>
        <v>-0.47528700000000002</v>
      </c>
      <c r="F59" s="1">
        <f t="shared" si="23"/>
        <v>6.4713000000000021E-2</v>
      </c>
      <c r="G59" s="1">
        <f t="shared" si="23"/>
        <v>0.60471300000000006</v>
      </c>
      <c r="H59" s="1">
        <f t="shared" si="23"/>
        <v>1.1447130000000001</v>
      </c>
      <c r="I59" s="1">
        <f t="shared" si="23"/>
        <v>0.89471300000000009</v>
      </c>
      <c r="J59" s="1">
        <f t="shared" si="23"/>
        <v>0.64471300000000009</v>
      </c>
      <c r="K59" s="1">
        <f t="shared" si="23"/>
        <v>0.64471300000000009</v>
      </c>
      <c r="L59" s="1">
        <f t="shared" si="23"/>
        <v>0.64471300000000009</v>
      </c>
      <c r="M59" s="1">
        <f t="shared" si="23"/>
        <v>0.64471300000000009</v>
      </c>
      <c r="N59" s="1">
        <f t="shared" si="23"/>
        <v>0.64471300000000009</v>
      </c>
      <c r="O59" s="1">
        <f t="shared" si="23"/>
        <v>0.64471300000000009</v>
      </c>
      <c r="P59" s="1">
        <f t="shared" si="23"/>
        <v>0.64471300000000009</v>
      </c>
      <c r="Q59" s="1">
        <f t="shared" si="23"/>
        <v>0.64471300000000009</v>
      </c>
      <c r="R59" s="1">
        <f t="shared" si="23"/>
        <v>0.64471300000000009</v>
      </c>
      <c r="S59" s="1">
        <f t="shared" si="23"/>
        <v>0.64471300000000009</v>
      </c>
      <c r="T59" s="1">
        <f t="shared" si="23"/>
        <v>0.64471300000000009</v>
      </c>
      <c r="U59" s="1">
        <f t="shared" si="23"/>
        <v>0.64471300000000009</v>
      </c>
    </row>
    <row r="60" spans="2:46" outlineLevel="1" x14ac:dyDescent="0.2">
      <c r="B60" s="77" t="s">
        <v>105</v>
      </c>
      <c r="C60" s="1"/>
      <c r="D60" s="1">
        <v>0</v>
      </c>
      <c r="E60" s="1">
        <v>0</v>
      </c>
      <c r="F60" s="1">
        <v>0</v>
      </c>
      <c r="G60" s="1">
        <v>0</v>
      </c>
      <c r="H60" s="1">
        <v>0</v>
      </c>
      <c r="I60" s="1">
        <v>0</v>
      </c>
      <c r="J60" s="1">
        <v>0</v>
      </c>
      <c r="K60" s="1">
        <v>0</v>
      </c>
      <c r="L60" s="1">
        <v>0</v>
      </c>
      <c r="M60" s="1">
        <v>0</v>
      </c>
      <c r="N60" s="1">
        <v>0</v>
      </c>
      <c r="O60" s="1">
        <v>0</v>
      </c>
      <c r="P60" s="1">
        <v>0</v>
      </c>
      <c r="Q60" s="1">
        <v>0</v>
      </c>
      <c r="R60" s="1">
        <v>0</v>
      </c>
      <c r="S60" s="1">
        <v>0</v>
      </c>
      <c r="T60" s="1">
        <v>0</v>
      </c>
      <c r="U60" s="1">
        <v>0</v>
      </c>
    </row>
    <row r="61" spans="2:46" outlineLevel="1" x14ac:dyDescent="0.2">
      <c r="B61" s="77" t="s">
        <v>106</v>
      </c>
      <c r="C61" s="1"/>
      <c r="D61" s="1">
        <f t="shared" ref="D61:U61" si="24">-$C$47*D29</f>
        <v>0.6886962151545688</v>
      </c>
      <c r="E61" s="1">
        <f t="shared" si="24"/>
        <v>0.93667427136648174</v>
      </c>
      <c r="F61" s="1">
        <f t="shared" si="24"/>
        <v>0.9316026724262203</v>
      </c>
      <c r="G61" s="1">
        <f t="shared" si="24"/>
        <v>0.82051194431893826</v>
      </c>
      <c r="H61" s="1">
        <f t="shared" si="24"/>
        <v>0.74669181814863772</v>
      </c>
      <c r="I61" s="1">
        <f t="shared" si="24"/>
        <v>0.40530315927485028</v>
      </c>
      <c r="J61" s="1">
        <f t="shared" si="24"/>
        <v>0.17705242974112512</v>
      </c>
      <c r="K61" s="1">
        <f t="shared" si="24"/>
        <v>0.11803495316074822</v>
      </c>
      <c r="L61" s="1">
        <f t="shared" si="24"/>
        <v>5.9017476580376906E-2</v>
      </c>
      <c r="M61" s="1">
        <f t="shared" si="24"/>
        <v>0</v>
      </c>
      <c r="N61" s="1">
        <f t="shared" si="24"/>
        <v>-1.1514146963875761E-6</v>
      </c>
      <c r="O61" s="1">
        <f t="shared" si="24"/>
        <v>-2.5003338887330529E-6</v>
      </c>
      <c r="P61" s="1">
        <f t="shared" si="24"/>
        <v>-3.9960991827570073E-6</v>
      </c>
      <c r="Q61" s="1">
        <f t="shared" si="24"/>
        <v>-4.4936804309614334E-6</v>
      </c>
      <c r="R61" s="1">
        <f t="shared" si="24"/>
        <v>-3.9965409158071454E-6</v>
      </c>
      <c r="S61" s="1">
        <f t="shared" si="24"/>
        <v>-6.4800337767678687E-6</v>
      </c>
      <c r="T61" s="1">
        <f t="shared" si="24"/>
        <v>-5.4874191574683094E-6</v>
      </c>
      <c r="U61" s="1">
        <f t="shared" si="24"/>
        <v>-6.4799360005807213E-6</v>
      </c>
    </row>
    <row r="62" spans="2:46" outlineLevel="1" x14ac:dyDescent="0.2">
      <c r="B62" s="77" t="s">
        <v>107</v>
      </c>
      <c r="C62" s="1"/>
      <c r="D62" s="1">
        <f t="shared" ref="D62:U62" si="25">-D13</f>
        <v>0</v>
      </c>
      <c r="E62" s="1">
        <f t="shared" si="25"/>
        <v>0</v>
      </c>
      <c r="F62" s="1">
        <f t="shared" si="25"/>
        <v>0</v>
      </c>
      <c r="G62" s="1">
        <f t="shared" si="25"/>
        <v>0</v>
      </c>
      <c r="H62" s="1">
        <f t="shared" si="25"/>
        <v>0</v>
      </c>
      <c r="I62" s="1">
        <f t="shared" si="25"/>
        <v>0</v>
      </c>
      <c r="J62" s="1">
        <f t="shared" si="25"/>
        <v>0</v>
      </c>
      <c r="K62" s="1">
        <f t="shared" si="25"/>
        <v>0</v>
      </c>
      <c r="L62" s="1">
        <f t="shared" si="25"/>
        <v>0</v>
      </c>
      <c r="M62" s="1">
        <f t="shared" si="25"/>
        <v>0</v>
      </c>
      <c r="N62" s="1">
        <f t="shared" si="25"/>
        <v>0</v>
      </c>
      <c r="O62" s="1">
        <f t="shared" si="25"/>
        <v>0</v>
      </c>
      <c r="P62" s="1">
        <f t="shared" si="25"/>
        <v>0</v>
      </c>
      <c r="Q62" s="1">
        <f t="shared" si="25"/>
        <v>0</v>
      </c>
      <c r="R62" s="1">
        <f t="shared" si="25"/>
        <v>0</v>
      </c>
      <c r="S62" s="1">
        <f t="shared" si="25"/>
        <v>0</v>
      </c>
      <c r="T62" s="1">
        <f t="shared" si="25"/>
        <v>0</v>
      </c>
      <c r="U62" s="1">
        <f t="shared" si="25"/>
        <v>0</v>
      </c>
    </row>
    <row r="63" spans="2:46" outlineLevel="1" x14ac:dyDescent="0.2">
      <c r="B63" s="77" t="s">
        <v>108</v>
      </c>
      <c r="C63" s="1"/>
      <c r="D63" s="1">
        <f>IF(D$55&lt;=$C$6,0,HLOOKUP(D$55,'Input data'!$C$9:$AZ$26,12,FALSE)-HLOOKUP($C$6,'Input data'!$C$9:$AZ$26,12,FALSE))</f>
        <v>0</v>
      </c>
      <c r="E63" s="1">
        <f>IF(E$55&lt;=$C$6,0,HLOOKUP(E$55,'Input data'!$C$9:$AZ$26,12,FALSE)-HLOOKUP($C$6,'Input data'!$C$9:$AZ$26,12,FALSE))</f>
        <v>0</v>
      </c>
      <c r="F63" s="1">
        <f>IF(F$55&lt;=$C$6,0,HLOOKUP(F$55,'Input data'!$C$9:$AZ$26,12,FALSE)-HLOOKUP($C$6,'Input data'!$C$9:$AZ$26,12,FALSE))</f>
        <v>0</v>
      </c>
      <c r="G63" s="1">
        <f>IF(G$55&lt;=$C$6,0,HLOOKUP(G$55,'Input data'!$C$9:$AZ$26,12,FALSE)-HLOOKUP($C$6,'Input data'!$C$9:$AZ$26,12,FALSE))</f>
        <v>0</v>
      </c>
      <c r="H63" s="1">
        <f>IF(H$55&lt;=$C$6,0,HLOOKUP(H$55,'Input data'!$C$9:$AZ$26,12,FALSE)-HLOOKUP($C$6,'Input data'!$C$9:$AZ$26,12,FALSE))</f>
        <v>0</v>
      </c>
      <c r="I63" s="1">
        <f>IF(I$55&lt;=$C$6,0,HLOOKUP(I$55,'Input data'!$C$9:$AZ$26,12,FALSE)-HLOOKUP($C$6,'Input data'!$C$9:$AZ$26,12,FALSE))</f>
        <v>9.9999999999997868E-2</v>
      </c>
      <c r="J63" s="1">
        <f>IF(J$55&lt;=$C$6,0,HLOOKUP(J$55,'Input data'!$C$9:$AZ$26,12,FALSE)-HLOOKUP($C$6,'Input data'!$C$9:$AZ$26,12,FALSE))</f>
        <v>0.19999999999999929</v>
      </c>
      <c r="K63" s="1">
        <f>IF(K$55&lt;=$C$6,0,HLOOKUP(K$55,'Input data'!$C$9:$AZ$26,12,FALSE)-HLOOKUP($C$6,'Input data'!$C$9:$AZ$26,12,FALSE))</f>
        <v>0.30000000000000071</v>
      </c>
      <c r="L63" s="1">
        <f>IF(L$55&lt;=$C$6,0,HLOOKUP(L$55,'Input data'!$C$9:$AZ$26,12,FALSE)-HLOOKUP($C$6,'Input data'!$C$9:$AZ$26,12,FALSE))</f>
        <v>0.5</v>
      </c>
      <c r="M63" s="1">
        <f>IF(M$55&lt;=$C$6,0,HLOOKUP(M$55,'Input data'!$C$9:$AZ$26,12,FALSE)-HLOOKUP($C$6,'Input data'!$C$9:$AZ$26,12,FALSE))</f>
        <v>0.60000000000000142</v>
      </c>
      <c r="N63" s="1">
        <f>IF(N$55&lt;=$C$6,0,HLOOKUP(N$55,'Input data'!$C$9:$AZ$26,12,FALSE)-HLOOKUP($C$6,'Input data'!$C$9:$AZ$26,12,FALSE))</f>
        <v>0.60000000000000142</v>
      </c>
      <c r="O63" s="1">
        <f>IF(O$55&lt;=$C$6,0,HLOOKUP(O$55,'Input data'!$C$9:$AZ$26,12,FALSE)-HLOOKUP($C$6,'Input data'!$C$9:$AZ$26,12,FALSE))</f>
        <v>0.69999999999999929</v>
      </c>
      <c r="P63" s="1">
        <f>IF(P$55&lt;=$C$6,0,HLOOKUP(P$55,'Input data'!$C$9:$AZ$26,12,FALSE)-HLOOKUP($C$6,'Input data'!$C$9:$AZ$26,12,FALSE))</f>
        <v>0.79999999999999716</v>
      </c>
      <c r="Q63" s="1">
        <f>IF(Q$55&lt;=$C$6,0,HLOOKUP(Q$55,'Input data'!$C$9:$AZ$26,12,FALSE)-HLOOKUP($C$6,'Input data'!$C$9:$AZ$26,12,FALSE))</f>
        <v>0.79999999999999716</v>
      </c>
      <c r="R63" s="1">
        <f>IF(R$55&lt;=$C$6,0,HLOOKUP(R$55,'Input data'!$C$9:$AZ$26,12,FALSE)-HLOOKUP($C$6,'Input data'!$C$9:$AZ$26,12,FALSE))</f>
        <v>0.79999999999999716</v>
      </c>
      <c r="S63" s="1">
        <f>IF(S$55&lt;=$C$6,0,HLOOKUP(S$55,'Input data'!$C$9:$AZ$26,12,FALSE)-HLOOKUP($C$6,'Input data'!$C$9:$AZ$26,12,FALSE))</f>
        <v>0.80000000000000071</v>
      </c>
      <c r="T63" s="1">
        <f>IF(T$55&lt;=$C$6,0,HLOOKUP(T$55,'Input data'!$C$9:$AZ$26,12,FALSE)-HLOOKUP($C$6,'Input data'!$C$9:$AZ$26,12,FALSE))</f>
        <v>0.70000000000000284</v>
      </c>
      <c r="U63" s="1">
        <f>IF(U$55&lt;=$C$6,0,HLOOKUP(U$55,'Input data'!$C$9:$AZ$26,12,FALSE)-HLOOKUP($C$6,'Input data'!$C$9:$AZ$26,12,FALSE))</f>
        <v>0.70000000000000284</v>
      </c>
    </row>
    <row r="64" spans="2:46" outlineLevel="1" x14ac:dyDescent="0.2">
      <c r="B64" s="77" t="s">
        <v>109</v>
      </c>
      <c r="C64" s="1"/>
      <c r="D64" s="1">
        <f>IF(D$55&lt;=$C$5,0,-HLOOKUP(D$55,'Input data'!$C$9:$AZ$26,18,FALSE)+HLOOKUP($C$6,'Input data'!$C$9:$AZ$26,18,FALSE))</f>
        <v>0</v>
      </c>
      <c r="E64" s="1">
        <f>IF(E$55&lt;=$C$6,0,-HLOOKUP(E$55,'Input data'!$C$9:$AZ$26,18,FALSE)+HLOOKUP($C$6,'Input data'!$C$9:$AZ$26,18,FALSE))</f>
        <v>0</v>
      </c>
      <c r="F64" s="1">
        <f>IF(F$55&lt;=$C$6,0,-HLOOKUP(F$55,'Input data'!$C$9:$AZ$26,18,FALSE)+HLOOKUP($C$6,'Input data'!$C$9:$AZ$26,18,FALSE))</f>
        <v>0</v>
      </c>
      <c r="G64" s="1">
        <f>IF(G$55&lt;=$C$6,0,-HLOOKUP(G$55,'Input data'!$C$9:$AZ$26,18,FALSE)+HLOOKUP($C$6,'Input data'!$C$9:$AZ$26,18,FALSE))</f>
        <v>0</v>
      </c>
      <c r="H64" s="1">
        <f>IF(H$55&lt;=$C$6,0,-HLOOKUP(H$55,'Input data'!$C$9:$AZ$26,18,FALSE)+HLOOKUP($C$6,'Input data'!$C$9:$AZ$26,18,FALSE))</f>
        <v>0</v>
      </c>
      <c r="I64" s="1">
        <f>IF(I$55&lt;=$C$6,0,-HLOOKUP(I$55,'Input data'!$C$9:$AZ$26,18,FALSE)+HLOOKUP($C$6,'Input data'!$C$9:$AZ$26,18,FALSE))</f>
        <v>4.6570000000000222E-3</v>
      </c>
      <c r="J64" s="1">
        <f>IF(J$55&lt;=$C$6,0,-HLOOKUP(J$55,'Input data'!$C$9:$AZ$26,18,FALSE)+HLOOKUP($C$6,'Input data'!$C$9:$AZ$26,18,FALSE))</f>
        <v>9.3140999999999918E-3</v>
      </c>
      <c r="K64" s="1">
        <f>IF(K$55&lt;=$C$6,0,-HLOOKUP(K$55,'Input data'!$C$9:$AZ$26,18,FALSE)+HLOOKUP($C$6,'Input data'!$C$9:$AZ$26,18,FALSE))</f>
        <v>1.3971100000000014E-2</v>
      </c>
      <c r="L64" s="1">
        <f>IF(L$55&lt;=$C$6,0,-HLOOKUP(L$55,'Input data'!$C$9:$AZ$26,18,FALSE)+HLOOKUP($C$6,'Input data'!$C$9:$AZ$26,18,FALSE))</f>
        <v>1.8628100000000036E-2</v>
      </c>
      <c r="M64" s="1">
        <f>IF(M$55&lt;=$C$6,0,-HLOOKUP(M$55,'Input data'!$C$9:$AZ$26,18,FALSE)+HLOOKUP($C$6,'Input data'!$C$9:$AZ$26,18,FALSE))</f>
        <v>2.3285100000000059E-2</v>
      </c>
      <c r="N64" s="1">
        <f>IF(N$55&lt;=$C$6,0,-HLOOKUP(N$55,'Input data'!$C$9:$AZ$26,18,FALSE)+HLOOKUP($C$6,'Input data'!$C$9:$AZ$26,18,FALSE))</f>
        <v>2.7942200000000028E-2</v>
      </c>
      <c r="O64" s="1">
        <f>IF(O$55&lt;=$C$6,0,-HLOOKUP(O$55,'Input data'!$C$9:$AZ$26,18,FALSE)+HLOOKUP($C$6,'Input data'!$C$9:$AZ$26,18,FALSE))</f>
        <v>3.2599299999999998E-2</v>
      </c>
      <c r="P64" s="1">
        <f>IF(P$55&lt;=$C$6,0,-HLOOKUP(P$55,'Input data'!$C$9:$AZ$26,18,FALSE)+HLOOKUP($C$6,'Input data'!$C$9:$AZ$26,18,FALSE))</f>
        <v>3.725630000000002E-2</v>
      </c>
      <c r="Q64" s="1">
        <f>IF(Q$55&lt;=$C$6,0,-HLOOKUP(Q$55,'Input data'!$C$9:$AZ$26,18,FALSE)+HLOOKUP($C$6,'Input data'!$C$9:$AZ$26,18,FALSE))</f>
        <v>4.1913300000000042E-2</v>
      </c>
      <c r="R64" s="1">
        <f>IF(R$55&lt;=$C$6,0,-HLOOKUP(R$55,'Input data'!$C$9:$AZ$26,18,FALSE)+HLOOKUP($C$6,'Input data'!$C$9:$AZ$26,18,FALSE))</f>
        <v>4.6570400000000012E-2</v>
      </c>
      <c r="S64" s="1">
        <f>IF(S$55&lt;=$C$6,0,-HLOOKUP(S$55,'Input data'!$C$9:$AZ$26,18,FALSE)+HLOOKUP($C$6,'Input data'!$C$9:$AZ$26,18,FALSE))</f>
        <v>5.1227499999999981E-2</v>
      </c>
      <c r="T64" s="1">
        <f>IF(T$55&lt;=$C$6,0,-HLOOKUP(T$55,'Input data'!$C$9:$AZ$26,18,FALSE)+HLOOKUP($C$6,'Input data'!$C$9:$AZ$26,18,FALSE))</f>
        <v>5.5884500000000004E-2</v>
      </c>
      <c r="U64" s="1">
        <f>IF(U$55&lt;=$C$6,0,-HLOOKUP(U$55,'Input data'!$C$9:$AZ$26,18,FALSE)+HLOOKUP($C$6,'Input data'!$C$9:$AZ$26,18,FALSE))</f>
        <v>6.0541600000000084E-2</v>
      </c>
    </row>
    <row r="65" spans="2:21" outlineLevel="1" x14ac:dyDescent="0.2">
      <c r="B65" s="77" t="s">
        <v>110</v>
      </c>
      <c r="C65" s="37"/>
      <c r="D65" s="37">
        <v>0</v>
      </c>
      <c r="E65" s="37">
        <v>0</v>
      </c>
      <c r="F65" s="37">
        <v>0</v>
      </c>
      <c r="G65" s="37">
        <v>0</v>
      </c>
      <c r="H65" s="37">
        <v>0</v>
      </c>
      <c r="I65" s="37">
        <v>0</v>
      </c>
      <c r="J65" s="37">
        <v>0</v>
      </c>
      <c r="K65" s="37">
        <v>0</v>
      </c>
      <c r="L65" s="37">
        <v>0</v>
      </c>
      <c r="M65" s="37">
        <v>0</v>
      </c>
      <c r="N65" s="37">
        <v>0</v>
      </c>
      <c r="O65" s="37">
        <v>0</v>
      </c>
      <c r="P65" s="37">
        <v>0</v>
      </c>
      <c r="Q65" s="37">
        <v>0</v>
      </c>
      <c r="R65" s="37">
        <v>0</v>
      </c>
      <c r="S65" s="37">
        <v>0</v>
      </c>
      <c r="T65" s="37">
        <v>0</v>
      </c>
      <c r="U65" s="37">
        <v>0</v>
      </c>
    </row>
    <row r="66" spans="2:21" outlineLevel="1" x14ac:dyDescent="0.2">
      <c r="B66" s="82" t="s">
        <v>111</v>
      </c>
      <c r="C66" s="48"/>
      <c r="D66" s="48">
        <f t="shared" ref="D66:R66" si="26">SUM(D67:D70)</f>
        <v>-0.69368009999999847</v>
      </c>
      <c r="E66" s="48">
        <f t="shared" si="26"/>
        <v>-0.24521838299896748</v>
      </c>
      <c r="F66" s="48">
        <f t="shared" si="26"/>
        <v>-0.45532551137546273</v>
      </c>
      <c r="G66" s="48">
        <f t="shared" si="26"/>
        <v>-0.58147887282724953</v>
      </c>
      <c r="H66" s="48">
        <f t="shared" si="26"/>
        <v>-0.52529603258230195</v>
      </c>
      <c r="I66" s="48">
        <f t="shared" si="26"/>
        <v>-0.85042414770813879</v>
      </c>
      <c r="J66" s="48">
        <f t="shared" si="26"/>
        <v>-0.61855722275270197</v>
      </c>
      <c r="K66" s="48">
        <f t="shared" si="26"/>
        <v>-0.33055950001918921</v>
      </c>
      <c r="L66" s="48">
        <f t="shared" si="26"/>
        <v>-0.25756076981252241</v>
      </c>
      <c r="M66" s="48">
        <f t="shared" si="26"/>
        <v>-0.19792054018656646</v>
      </c>
      <c r="N66" s="48">
        <f t="shared" si="26"/>
        <v>-0.12590884866005236</v>
      </c>
      <c r="O66" s="48">
        <f t="shared" si="26"/>
        <v>-0.19344957361806636</v>
      </c>
      <c r="P66" s="48">
        <f t="shared" si="26"/>
        <v>-0.26433495669820251</v>
      </c>
      <c r="Q66" s="48">
        <f t="shared" si="26"/>
        <v>-0.33820584963144185</v>
      </c>
      <c r="R66" s="48">
        <f t="shared" si="26"/>
        <v>-0.34787722760115081</v>
      </c>
      <c r="S66" s="48">
        <f t="shared" ref="S66:U66" si="27">SUM(S67:S70)</f>
        <v>-0.36026258700711355</v>
      </c>
      <c r="T66" s="48">
        <f t="shared" si="27"/>
        <v>-0.36913076029931557</v>
      </c>
      <c r="U66" s="48">
        <f t="shared" si="27"/>
        <v>-0.33939480084842144</v>
      </c>
    </row>
    <row r="67" spans="2:21" outlineLevel="1" x14ac:dyDescent="0.2">
      <c r="B67" s="77" t="s">
        <v>112</v>
      </c>
      <c r="C67" s="34"/>
      <c r="D67" s="34">
        <f t="shared" ref="D67:U67" si="28">C56*D35/100*(1/(1+D32/100))</f>
        <v>1.0548956399101987</v>
      </c>
      <c r="E67" s="34">
        <f t="shared" si="28"/>
        <v>1.0999936148867984</v>
      </c>
      <c r="F67" s="34">
        <f t="shared" si="28"/>
        <v>1.1175867961788133</v>
      </c>
      <c r="G67" s="34">
        <f t="shared" si="28"/>
        <v>1.2103356650985519</v>
      </c>
      <c r="H67" s="34">
        <f t="shared" si="28"/>
        <v>1.2810407287144943</v>
      </c>
      <c r="I67" s="34">
        <f t="shared" si="28"/>
        <v>1.3245723106328815</v>
      </c>
      <c r="J67" s="34">
        <f t="shared" si="28"/>
        <v>1.3693508627662925</v>
      </c>
      <c r="K67" s="34">
        <f t="shared" si="28"/>
        <v>1.4209804167553723</v>
      </c>
      <c r="L67" s="34">
        <f t="shared" si="28"/>
        <v>1.4730673409341954</v>
      </c>
      <c r="M67" s="34">
        <f t="shared" si="28"/>
        <v>1.5288213129768977</v>
      </c>
      <c r="N67" s="34">
        <f t="shared" si="28"/>
        <v>1.5859918458226536</v>
      </c>
      <c r="O67" s="34">
        <f t="shared" si="28"/>
        <v>1.6243839554572996</v>
      </c>
      <c r="P67" s="34">
        <f t="shared" si="28"/>
        <v>1.6596586576667378</v>
      </c>
      <c r="Q67" s="34">
        <f t="shared" si="28"/>
        <v>1.6922702471568352</v>
      </c>
      <c r="R67" s="34">
        <f t="shared" si="28"/>
        <v>1.7213083978753745</v>
      </c>
      <c r="S67" s="34">
        <f t="shared" si="28"/>
        <v>1.7471722347500847</v>
      </c>
      <c r="T67" s="34">
        <f t="shared" si="28"/>
        <v>1.7703779022935093</v>
      </c>
      <c r="U67" s="34">
        <f t="shared" si="28"/>
        <v>1.7891271322280125</v>
      </c>
    </row>
    <row r="68" spans="2:21" outlineLevel="1" x14ac:dyDescent="0.2">
      <c r="B68" s="77" t="s">
        <v>113</v>
      </c>
      <c r="C68" s="34"/>
      <c r="D68" s="34">
        <f t="shared" ref="D68:U68" si="29">-C56*(D23/100)*(1/(1+D32/100))</f>
        <v>0.14582752401370702</v>
      </c>
      <c r="E68" s="34">
        <f t="shared" si="29"/>
        <v>0.14228961294293135</v>
      </c>
      <c r="F68" s="34">
        <f t="shared" si="29"/>
        <v>-0.22248131462118065</v>
      </c>
      <c r="G68" s="34">
        <f t="shared" si="29"/>
        <v>-0.42352152744476751</v>
      </c>
      <c r="H68" s="34">
        <f t="shared" si="29"/>
        <v>-0.43864231375348628</v>
      </c>
      <c r="I68" s="34">
        <f t="shared" si="29"/>
        <v>-0.81999477055198089</v>
      </c>
      <c r="J68" s="34">
        <f t="shared" si="29"/>
        <v>-0.65256066272098689</v>
      </c>
      <c r="K68" s="34">
        <f t="shared" si="29"/>
        <v>-0.42832959546744592</v>
      </c>
      <c r="L68" s="34">
        <f t="shared" si="29"/>
        <v>-0.4124555261878875</v>
      </c>
      <c r="M68" s="34">
        <f t="shared" si="29"/>
        <v>-0.40892348725842004</v>
      </c>
      <c r="N68" s="34">
        <f t="shared" si="29"/>
        <v>-0.39218444506559286</v>
      </c>
      <c r="O68" s="34">
        <f t="shared" si="29"/>
        <v>-0.50867732126147192</v>
      </c>
      <c r="P68" s="34">
        <f t="shared" si="29"/>
        <v>-0.62455281615240166</v>
      </c>
      <c r="Q68" s="34">
        <f t="shared" si="29"/>
        <v>-0.73999259048545085</v>
      </c>
      <c r="R68" s="34">
        <f t="shared" si="29"/>
        <v>-0.78913866492726825</v>
      </c>
      <c r="S68" s="34">
        <f t="shared" si="29"/>
        <v>-0.83789887575142863</v>
      </c>
      <c r="T68" s="34">
        <f t="shared" si="29"/>
        <v>-0.88061433287992841</v>
      </c>
      <c r="U68" s="34">
        <f t="shared" si="29"/>
        <v>-0.88244513353606291</v>
      </c>
    </row>
    <row r="69" spans="2:21" outlineLevel="1" x14ac:dyDescent="0.2">
      <c r="B69" s="77" t="s">
        <v>114</v>
      </c>
      <c r="C69" s="34"/>
      <c r="D69" s="34">
        <f t="shared" ref="D69:U69" si="30">-C56*D41/100*(1/(1+D41/100))</f>
        <v>-1.8943920413494018</v>
      </c>
      <c r="E69" s="34">
        <f t="shared" si="30"/>
        <v>-1.4872123454975903</v>
      </c>
      <c r="F69" s="34">
        <f t="shared" si="30"/>
        <v>-1.3502344387651115</v>
      </c>
      <c r="G69" s="34">
        <f t="shared" si="30"/>
        <v>-1.368293010481034</v>
      </c>
      <c r="H69" s="34">
        <f t="shared" si="30"/>
        <v>-1.3676944475433099</v>
      </c>
      <c r="I69" s="34">
        <f t="shared" si="30"/>
        <v>-1.3550016877890394</v>
      </c>
      <c r="J69" s="34">
        <f t="shared" si="30"/>
        <v>-1.3353474227980076</v>
      </c>
      <c r="K69" s="34">
        <f t="shared" si="30"/>
        <v>-1.3232103213071156</v>
      </c>
      <c r="L69" s="34">
        <f t="shared" si="30"/>
        <v>-1.3181725845588304</v>
      </c>
      <c r="M69" s="34">
        <f t="shared" si="30"/>
        <v>-1.3178183659050442</v>
      </c>
      <c r="N69" s="34">
        <f t="shared" si="30"/>
        <v>-1.3197162494171131</v>
      </c>
      <c r="O69" s="34">
        <f t="shared" si="30"/>
        <v>-1.3091562078138941</v>
      </c>
      <c r="P69" s="34">
        <f t="shared" si="30"/>
        <v>-1.2994407982125387</v>
      </c>
      <c r="Q69" s="34">
        <f t="shared" si="30"/>
        <v>-1.2904835063028262</v>
      </c>
      <c r="R69" s="34">
        <f t="shared" si="30"/>
        <v>-1.280046960549257</v>
      </c>
      <c r="S69" s="34">
        <f t="shared" si="30"/>
        <v>-1.2695359460057696</v>
      </c>
      <c r="T69" s="34">
        <f t="shared" si="30"/>
        <v>-1.2588943297128965</v>
      </c>
      <c r="U69" s="34">
        <f t="shared" si="30"/>
        <v>-1.246076799540371</v>
      </c>
    </row>
    <row r="70" spans="2:21" outlineLevel="1" x14ac:dyDescent="0.2">
      <c r="B70" s="77" t="s">
        <v>115</v>
      </c>
      <c r="C70" s="49"/>
      <c r="D70" s="49">
        <f>'Baseline NFPC'!D70</f>
        <v>-1.1222574502478544E-5</v>
      </c>
      <c r="E70" s="49">
        <f>'Baseline NFPC'!E70</f>
        <v>-2.8926533110695818E-4</v>
      </c>
      <c r="F70" s="49">
        <f>'Baseline NFPC'!F70</f>
        <v>-1.9655416798392E-4</v>
      </c>
      <c r="G70" s="49">
        <f>'Baseline NFPC'!G70</f>
        <v>0</v>
      </c>
      <c r="H70" s="49">
        <f>'Baseline NFPC'!H70</f>
        <v>0</v>
      </c>
      <c r="I70" s="49">
        <f>'Baseline NFPC'!I70</f>
        <v>0</v>
      </c>
      <c r="J70" s="49">
        <f>'Baseline NFPC'!J70</f>
        <v>0</v>
      </c>
      <c r="K70" s="49">
        <f>'Baseline NFPC'!K70</f>
        <v>0</v>
      </c>
      <c r="L70" s="49">
        <f>'Baseline NFPC'!L70</f>
        <v>0</v>
      </c>
      <c r="M70" s="49">
        <f>'Baseline NFPC'!M70</f>
        <v>0</v>
      </c>
      <c r="N70" s="49">
        <f>'Baseline NFPC'!N70</f>
        <v>0</v>
      </c>
      <c r="O70" s="49">
        <f>'Baseline NFPC'!O70</f>
        <v>0</v>
      </c>
      <c r="P70" s="49">
        <f>'Baseline NFPC'!P70</f>
        <v>0</v>
      </c>
      <c r="Q70" s="49">
        <f>'Baseline NFPC'!Q70</f>
        <v>0</v>
      </c>
      <c r="R70" s="49">
        <f>'Baseline NFPC'!R70</f>
        <v>0</v>
      </c>
      <c r="S70" s="49">
        <f>'Baseline NFPC'!S70</f>
        <v>0</v>
      </c>
      <c r="T70" s="49">
        <f>'Baseline NFPC'!T70</f>
        <v>0</v>
      </c>
      <c r="U70" s="49">
        <f>'Baseline NFPC'!U70</f>
        <v>0</v>
      </c>
    </row>
    <row r="71" spans="2:21" outlineLevel="1" x14ac:dyDescent="0.2">
      <c r="B71" s="82" t="s">
        <v>116</v>
      </c>
      <c r="C71" s="50"/>
      <c r="D71" s="50">
        <f>'Input data'!D16</f>
        <v>-1.4401139999999999</v>
      </c>
      <c r="E71" s="50">
        <f>'Input data'!E16</f>
        <v>6.9708000000000006E-2</v>
      </c>
      <c r="F71" s="50">
        <f>'Input data'!F16</f>
        <v>9.8867300000000005E-2</v>
      </c>
      <c r="G71" s="50">
        <f>'Input data'!G16</f>
        <v>0</v>
      </c>
      <c r="H71" s="50">
        <f>'Input data'!H16</f>
        <v>0</v>
      </c>
      <c r="I71" s="50">
        <f>'Input data'!I16</f>
        <v>0</v>
      </c>
      <c r="J71" s="50">
        <f>'Input data'!J16</f>
        <v>0</v>
      </c>
      <c r="K71" s="50">
        <f>'Input data'!K16</f>
        <v>0</v>
      </c>
      <c r="L71" s="50">
        <f>'Input data'!L16</f>
        <v>0</v>
      </c>
      <c r="M71" s="50">
        <f>'Input data'!M16</f>
        <v>0</v>
      </c>
      <c r="N71" s="50">
        <f>'Input data'!N16</f>
        <v>0</v>
      </c>
      <c r="O71" s="50">
        <f>'Input data'!O16</f>
        <v>0</v>
      </c>
      <c r="P71" s="50">
        <f>'Input data'!P16</f>
        <v>0</v>
      </c>
      <c r="Q71" s="50">
        <f>'Input data'!Q16</f>
        <v>0</v>
      </c>
      <c r="R71" s="50">
        <f>'Input data'!R16</f>
        <v>0</v>
      </c>
      <c r="S71" s="50">
        <f>'Input data'!S16</f>
        <v>0</v>
      </c>
      <c r="T71" s="50">
        <f>'Input data'!T16</f>
        <v>0</v>
      </c>
      <c r="U71" s="50">
        <f>'Input data'!U16</f>
        <v>0</v>
      </c>
    </row>
    <row r="72" spans="2:21" outlineLevel="1" x14ac:dyDescent="0.2">
      <c r="B72" s="77" t="s">
        <v>117</v>
      </c>
      <c r="C72" s="34"/>
      <c r="D72" s="34">
        <f t="shared" ref="D72:U72" si="31">D14</f>
        <v>-1.4394560000000001</v>
      </c>
      <c r="E72" s="34">
        <f t="shared" si="31"/>
        <v>8.5767899999999994E-2</v>
      </c>
      <c r="F72" s="34">
        <f t="shared" si="31"/>
        <v>0.1097981</v>
      </c>
      <c r="G72" s="34">
        <f t="shared" si="31"/>
        <v>0</v>
      </c>
      <c r="H72" s="34">
        <f t="shared" si="31"/>
        <v>0</v>
      </c>
      <c r="I72" s="34">
        <f t="shared" si="31"/>
        <v>0</v>
      </c>
      <c r="J72" s="34">
        <f t="shared" si="31"/>
        <v>0</v>
      </c>
      <c r="K72" s="34">
        <f t="shared" si="31"/>
        <v>0</v>
      </c>
      <c r="L72" s="34">
        <f t="shared" si="31"/>
        <v>0</v>
      </c>
      <c r="M72" s="34">
        <f t="shared" si="31"/>
        <v>0</v>
      </c>
      <c r="N72" s="34">
        <f t="shared" si="31"/>
        <v>0</v>
      </c>
      <c r="O72" s="34">
        <f t="shared" si="31"/>
        <v>0</v>
      </c>
      <c r="P72" s="34">
        <f t="shared" si="31"/>
        <v>0</v>
      </c>
      <c r="Q72" s="34">
        <f t="shared" si="31"/>
        <v>0</v>
      </c>
      <c r="R72" s="34">
        <f t="shared" si="31"/>
        <v>0</v>
      </c>
      <c r="S72" s="34">
        <f t="shared" si="31"/>
        <v>0</v>
      </c>
      <c r="T72" s="34">
        <f t="shared" si="31"/>
        <v>0</v>
      </c>
      <c r="U72" s="34">
        <f t="shared" si="31"/>
        <v>0</v>
      </c>
    </row>
    <row r="73" spans="2:21" outlineLevel="1" x14ac:dyDescent="0.2">
      <c r="B73" s="87" t="s">
        <v>118</v>
      </c>
      <c r="C73" s="49"/>
      <c r="D73" s="49">
        <f t="shared" ref="D73:R73" si="32">+D71-D72</f>
        <v>-6.5799999999982539E-4</v>
      </c>
      <c r="E73" s="49">
        <f t="shared" si="32"/>
        <v>-1.6059899999999988E-2</v>
      </c>
      <c r="F73" s="49">
        <f t="shared" si="32"/>
        <v>-1.0930799999999991E-2</v>
      </c>
      <c r="G73" s="49">
        <f t="shared" si="32"/>
        <v>0</v>
      </c>
      <c r="H73" s="49">
        <f t="shared" si="32"/>
        <v>0</v>
      </c>
      <c r="I73" s="49">
        <f t="shared" si="32"/>
        <v>0</v>
      </c>
      <c r="J73" s="49">
        <f t="shared" si="32"/>
        <v>0</v>
      </c>
      <c r="K73" s="49">
        <f t="shared" si="32"/>
        <v>0</v>
      </c>
      <c r="L73" s="49">
        <f t="shared" si="32"/>
        <v>0</v>
      </c>
      <c r="M73" s="49">
        <f t="shared" si="32"/>
        <v>0</v>
      </c>
      <c r="N73" s="49">
        <f t="shared" si="32"/>
        <v>0</v>
      </c>
      <c r="O73" s="49">
        <f t="shared" si="32"/>
        <v>0</v>
      </c>
      <c r="P73" s="49">
        <f t="shared" si="32"/>
        <v>0</v>
      </c>
      <c r="Q73" s="49">
        <f t="shared" si="32"/>
        <v>0</v>
      </c>
      <c r="R73" s="49">
        <f t="shared" si="32"/>
        <v>0</v>
      </c>
      <c r="S73" s="49">
        <f t="shared" ref="S73:U73" si="33">+S71-S72</f>
        <v>0</v>
      </c>
      <c r="T73" s="49">
        <f t="shared" si="33"/>
        <v>0</v>
      </c>
      <c r="U73" s="49">
        <f t="shared" si="33"/>
        <v>0</v>
      </c>
    </row>
    <row r="75" spans="2:21" x14ac:dyDescent="0.2">
      <c r="B75" s="51" t="s">
        <v>181</v>
      </c>
      <c r="C75" s="51"/>
      <c r="D75" s="51"/>
      <c r="E75" s="51"/>
      <c r="F75" s="51"/>
      <c r="G75" s="51"/>
      <c r="H75" s="51"/>
      <c r="I75" s="51">
        <f t="shared" ref="I75:U75" si="34">IF(I56&lt;H56,0,1)</f>
        <v>0</v>
      </c>
      <c r="J75" s="51">
        <f t="shared" si="34"/>
        <v>0</v>
      </c>
      <c r="K75" s="51">
        <f t="shared" si="34"/>
        <v>0</v>
      </c>
      <c r="L75" s="51">
        <f t="shared" si="34"/>
        <v>0</v>
      </c>
      <c r="M75" s="51">
        <f t="shared" si="34"/>
        <v>0</v>
      </c>
      <c r="N75" s="51">
        <f t="shared" si="34"/>
        <v>0</v>
      </c>
      <c r="O75" s="51">
        <f t="shared" si="34"/>
        <v>0</v>
      </c>
      <c r="P75" s="51">
        <f t="shared" si="34"/>
        <v>0</v>
      </c>
      <c r="Q75" s="51">
        <f t="shared" si="34"/>
        <v>0</v>
      </c>
      <c r="R75" s="51">
        <f t="shared" si="34"/>
        <v>0</v>
      </c>
      <c r="S75" s="51">
        <f t="shared" si="34"/>
        <v>0</v>
      </c>
      <c r="T75" s="51">
        <f t="shared" si="34"/>
        <v>0</v>
      </c>
      <c r="U75" s="51">
        <f t="shared" si="34"/>
        <v>0</v>
      </c>
    </row>
    <row r="77" spans="2:21" s="91" customFormat="1" ht="12.75" outlineLevel="1" x14ac:dyDescent="0.2">
      <c r="B77" s="92" t="s">
        <v>121</v>
      </c>
      <c r="C77" s="94"/>
      <c r="D77" s="93"/>
    </row>
    <row r="78" spans="2:21" x14ac:dyDescent="0.2">
      <c r="C78" s="34"/>
      <c r="D78" s="34"/>
      <c r="E78" s="34"/>
      <c r="F78" s="34"/>
      <c r="G78" s="34"/>
      <c r="H78" s="34"/>
      <c r="I78" s="34"/>
      <c r="J78" s="34"/>
      <c r="K78" s="34"/>
      <c r="L78" s="34"/>
      <c r="M78" s="34"/>
      <c r="N78" s="34"/>
      <c r="O78" s="34"/>
      <c r="P78" s="34"/>
      <c r="Q78" s="34"/>
      <c r="R78" s="34"/>
      <c r="S78" s="34"/>
      <c r="T78" s="34"/>
      <c r="U78" s="34"/>
    </row>
    <row r="79" spans="2:21" x14ac:dyDescent="0.2">
      <c r="B79" s="26" t="s">
        <v>122</v>
      </c>
      <c r="C79" s="29"/>
      <c r="D79" s="29">
        <f t="shared" ref="D79:U79" si="35">IF((D83-C83*D42/((1+D23/100)*(1+D41/100)))&gt;0,1,0)</f>
        <v>1</v>
      </c>
      <c r="E79" s="29">
        <f t="shared" si="35"/>
        <v>1</v>
      </c>
      <c r="F79" s="29">
        <f t="shared" si="35"/>
        <v>1</v>
      </c>
      <c r="G79" s="29">
        <f t="shared" si="35"/>
        <v>1</v>
      </c>
      <c r="H79" s="29">
        <f t="shared" si="35"/>
        <v>1</v>
      </c>
      <c r="I79" s="29">
        <f t="shared" si="35"/>
        <v>1</v>
      </c>
      <c r="J79" s="29">
        <f t="shared" si="35"/>
        <v>1</v>
      </c>
      <c r="K79" s="29">
        <f t="shared" si="35"/>
        <v>1</v>
      </c>
      <c r="L79" s="29">
        <f t="shared" si="35"/>
        <v>1</v>
      </c>
      <c r="M79" s="29">
        <f t="shared" si="35"/>
        <v>1</v>
      </c>
      <c r="N79" s="29">
        <f t="shared" si="35"/>
        <v>1</v>
      </c>
      <c r="O79" s="29">
        <f t="shared" si="35"/>
        <v>1</v>
      </c>
      <c r="P79" s="29">
        <f t="shared" si="35"/>
        <v>1</v>
      </c>
      <c r="Q79" s="29">
        <f t="shared" si="35"/>
        <v>1</v>
      </c>
      <c r="R79" s="29">
        <f t="shared" si="35"/>
        <v>1</v>
      </c>
      <c r="S79" s="29">
        <f t="shared" si="35"/>
        <v>1</v>
      </c>
      <c r="T79" s="29">
        <f t="shared" si="35"/>
        <v>1</v>
      </c>
      <c r="U79" s="29">
        <f t="shared" si="35"/>
        <v>1</v>
      </c>
    </row>
    <row r="80" spans="2:21" x14ac:dyDescent="0.2">
      <c r="B80" s="26" t="s">
        <v>123</v>
      </c>
      <c r="C80" s="29"/>
      <c r="D80" s="29">
        <f t="shared" ref="D80:U80" si="36">IF(AND(D79=0,ABS(D83-C83*D42/((1+D23/100)*(1+D41/100)))&lt;((C89*C83*D42/((1+D23/100)*(1+D41/100))+(D38*C83*C90*D42/((1+D23/100)*(1+D41/100)))))),1,0)</f>
        <v>0</v>
      </c>
      <c r="E80" s="29">
        <f t="shared" si="36"/>
        <v>0</v>
      </c>
      <c r="F80" s="29">
        <f t="shared" si="36"/>
        <v>0</v>
      </c>
      <c r="G80" s="29">
        <f t="shared" si="36"/>
        <v>0</v>
      </c>
      <c r="H80" s="29">
        <f t="shared" si="36"/>
        <v>0</v>
      </c>
      <c r="I80" s="29">
        <f t="shared" si="36"/>
        <v>0</v>
      </c>
      <c r="J80" s="29">
        <f t="shared" si="36"/>
        <v>0</v>
      </c>
      <c r="K80" s="29">
        <f t="shared" si="36"/>
        <v>0</v>
      </c>
      <c r="L80" s="29">
        <f t="shared" si="36"/>
        <v>0</v>
      </c>
      <c r="M80" s="29">
        <f t="shared" si="36"/>
        <v>0</v>
      </c>
      <c r="N80" s="29">
        <f t="shared" si="36"/>
        <v>0</v>
      </c>
      <c r="O80" s="29">
        <f t="shared" si="36"/>
        <v>0</v>
      </c>
      <c r="P80" s="29">
        <f t="shared" si="36"/>
        <v>0</v>
      </c>
      <c r="Q80" s="29">
        <f t="shared" si="36"/>
        <v>0</v>
      </c>
      <c r="R80" s="29">
        <f t="shared" si="36"/>
        <v>0</v>
      </c>
      <c r="S80" s="29">
        <f t="shared" si="36"/>
        <v>0</v>
      </c>
      <c r="T80" s="29">
        <f t="shared" si="36"/>
        <v>0</v>
      </c>
      <c r="U80" s="29">
        <f t="shared" si="36"/>
        <v>0</v>
      </c>
    </row>
    <row r="82" spans="2:22" x14ac:dyDescent="0.2">
      <c r="B82" s="51"/>
      <c r="C82" s="84">
        <f>'Input data'!$C$5-1</f>
        <v>2023</v>
      </c>
      <c r="D82" s="84">
        <f>C82+1</f>
        <v>2024</v>
      </c>
      <c r="E82" s="84">
        <f t="shared" ref="E82:U82" si="37">D82+1</f>
        <v>2025</v>
      </c>
      <c r="F82" s="84">
        <f t="shared" si="37"/>
        <v>2026</v>
      </c>
      <c r="G82" s="84">
        <f t="shared" si="37"/>
        <v>2027</v>
      </c>
      <c r="H82" s="84">
        <f t="shared" si="37"/>
        <v>2028</v>
      </c>
      <c r="I82" s="84">
        <f t="shared" si="37"/>
        <v>2029</v>
      </c>
      <c r="J82" s="84">
        <f t="shared" si="37"/>
        <v>2030</v>
      </c>
      <c r="K82" s="84">
        <f t="shared" si="37"/>
        <v>2031</v>
      </c>
      <c r="L82" s="84">
        <f t="shared" si="37"/>
        <v>2032</v>
      </c>
      <c r="M82" s="84">
        <f t="shared" si="37"/>
        <v>2033</v>
      </c>
      <c r="N82" s="84">
        <f t="shared" si="37"/>
        <v>2034</v>
      </c>
      <c r="O82" s="84">
        <f t="shared" si="37"/>
        <v>2035</v>
      </c>
      <c r="P82" s="84">
        <f t="shared" si="37"/>
        <v>2036</v>
      </c>
      <c r="Q82" s="84">
        <f t="shared" si="37"/>
        <v>2037</v>
      </c>
      <c r="R82" s="84">
        <f t="shared" si="37"/>
        <v>2038</v>
      </c>
      <c r="S82" s="84">
        <f t="shared" si="37"/>
        <v>2039</v>
      </c>
      <c r="T82" s="84">
        <f t="shared" si="37"/>
        <v>2040</v>
      </c>
      <c r="U82" s="84">
        <f t="shared" si="37"/>
        <v>2041</v>
      </c>
    </row>
    <row r="83" spans="2:22" x14ac:dyDescent="0.2">
      <c r="B83" s="104" t="s">
        <v>101</v>
      </c>
      <c r="C83" s="108">
        <f>C56</f>
        <v>62.885489999999997</v>
      </c>
      <c r="D83" s="108">
        <f>D56</f>
        <v>62.455679115154567</v>
      </c>
      <c r="E83" s="108">
        <f t="shared" ref="E83:U83" si="38">D83*(1+E97/100)*E42-E59-E60+E61+E62+E63+E64+E65+E72</f>
        <v>63.692061751928861</v>
      </c>
      <c r="F83" s="108">
        <f t="shared" si="38"/>
        <v>64.202497678293042</v>
      </c>
      <c r="G83" s="108">
        <f t="shared" si="38"/>
        <v>63.836818327493361</v>
      </c>
      <c r="H83" s="108">
        <f t="shared" si="38"/>
        <v>62.913501633185533</v>
      </c>
      <c r="I83" s="108">
        <f t="shared" si="38"/>
        <v>61.678325492133389</v>
      </c>
      <c r="J83" s="108">
        <f t="shared" si="38"/>
        <v>60.801422419310484</v>
      </c>
      <c r="K83" s="108">
        <f t="shared" si="38"/>
        <v>60.258156305291642</v>
      </c>
      <c r="L83" s="108">
        <f t="shared" si="38"/>
        <v>59.933528372312296</v>
      </c>
      <c r="M83" s="108">
        <f t="shared" si="38"/>
        <v>59.714180132338733</v>
      </c>
      <c r="N83" s="108">
        <f t="shared" si="38"/>
        <v>59.571499459676907</v>
      </c>
      <c r="O83" s="108">
        <f t="shared" si="38"/>
        <v>59.465933881540536</v>
      </c>
      <c r="P83" s="108">
        <f t="shared" si="38"/>
        <v>59.394138495915655</v>
      </c>
      <c r="Q83" s="108">
        <f t="shared" si="38"/>
        <v>59.25312879333201</v>
      </c>
      <c r="R83" s="108">
        <f t="shared" si="38"/>
        <v>59.1071053184953</v>
      </c>
      <c r="S83" s="108">
        <f t="shared" si="38"/>
        <v>58.953351111960622</v>
      </c>
      <c r="T83" s="108">
        <f t="shared" si="38"/>
        <v>58.695386732328629</v>
      </c>
      <c r="U83" s="108">
        <f t="shared" si="38"/>
        <v>58.471814389337879</v>
      </c>
    </row>
    <row r="84" spans="2:22" x14ac:dyDescent="0.2">
      <c r="B84" s="26" t="s">
        <v>124</v>
      </c>
      <c r="C84" s="34"/>
      <c r="D84" s="250">
        <f>'Input data'!$C$66*D$83</f>
        <v>48.023909319617729</v>
      </c>
      <c r="E84" s="34">
        <f t="shared" ref="E84:U84" si="39">IF(E83=0,0,IF(E79=1,D83*E42/((1+E23/100)*(1+E41/100))-E85-E86,IF(AND(E79=0,E80=1),(1-D89-E38*D90)*D83*E42/((1+E23/100)*(1+E41/100)),E83)))</f>
        <v>48.294458579391062</v>
      </c>
      <c r="F84" s="34">
        <f t="shared" si="39"/>
        <v>49.041541480454299</v>
      </c>
      <c r="G84" s="34">
        <f t="shared" si="39"/>
        <v>49.221291318041011</v>
      </c>
      <c r="H84" s="34">
        <f t="shared" si="39"/>
        <v>48.858093026043775</v>
      </c>
      <c r="I84" s="34">
        <f t="shared" si="39"/>
        <v>47.774907372842875</v>
      </c>
      <c r="J84" s="34">
        <f t="shared" si="39"/>
        <v>46.886451971428478</v>
      </c>
      <c r="K84" s="34">
        <f t="shared" si="39"/>
        <v>46.320971391259171</v>
      </c>
      <c r="L84" s="34">
        <f t="shared" si="39"/>
        <v>45.849927947774255</v>
      </c>
      <c r="M84" s="34">
        <f t="shared" si="39"/>
        <v>45.538749684538843</v>
      </c>
      <c r="N84" s="34">
        <f t="shared" si="39"/>
        <v>45.319445107450903</v>
      </c>
      <c r="O84" s="34">
        <f t="shared" si="39"/>
        <v>45.134000023694099</v>
      </c>
      <c r="P84" s="34">
        <f t="shared" si="39"/>
        <v>44.977876462570663</v>
      </c>
      <c r="Q84" s="34">
        <f t="shared" si="39"/>
        <v>44.848316839407012</v>
      </c>
      <c r="R84" s="34">
        <f t="shared" si="39"/>
        <v>44.717477996975923</v>
      </c>
      <c r="S84" s="34">
        <f t="shared" si="39"/>
        <v>44.582899354114417</v>
      </c>
      <c r="T84" s="34">
        <f t="shared" si="39"/>
        <v>44.446903570791868</v>
      </c>
      <c r="U84" s="34">
        <f t="shared" si="39"/>
        <v>44.262394788214934</v>
      </c>
      <c r="V84" s="34"/>
    </row>
    <row r="85" spans="2:22" x14ac:dyDescent="0.2">
      <c r="B85" s="103" t="s">
        <v>125</v>
      </c>
      <c r="C85" s="34"/>
      <c r="D85" s="250">
        <f>'Input data'!$C$67*D$83</f>
        <v>6.4240999089860908</v>
      </c>
      <c r="E85" s="34">
        <f t="shared" ref="E85:U85" si="40">IF(E83=0,0,IF(E79=1,E38*D83*D90*E42/((1+E23/100)*(1+E41/100)),IF(AND(E79=0,E80=1),(E38*D83*D90*E42/((1+E23/100)*(1+E41/100)))*(1-ABS(E83-D83*E42/((1+E23/100)*(1+E41/100)))/((E38*D83*D90*E42/((1+E23/100)*(1+E41/100)))+(D89*D83*E42/((1+E23/100)*(1+E41/100))))),0)))</f>
        <v>6.1272804703985093</v>
      </c>
      <c r="F85" s="34">
        <f t="shared" si="40"/>
        <v>6.3040193937363052</v>
      </c>
      <c r="G85" s="34">
        <f t="shared" si="40"/>
        <v>6.4096239502342067</v>
      </c>
      <c r="H85" s="34">
        <f t="shared" si="40"/>
        <v>6.4444616276679882</v>
      </c>
      <c r="I85" s="34">
        <f t="shared" si="40"/>
        <v>6.382139608495712</v>
      </c>
      <c r="J85" s="34">
        <f t="shared" si="40"/>
        <v>6.3427426934131299</v>
      </c>
      <c r="K85" s="34">
        <f t="shared" si="40"/>
        <v>6.3448127354068404</v>
      </c>
      <c r="L85" s="34">
        <f t="shared" si="40"/>
        <v>6.3582929205118672</v>
      </c>
      <c r="M85" s="34">
        <f t="shared" si="40"/>
        <v>6.3928440448821098</v>
      </c>
      <c r="N85" s="34">
        <f t="shared" si="40"/>
        <v>6.4396195580816293</v>
      </c>
      <c r="O85" s="34">
        <f t="shared" si="40"/>
        <v>6.4132689312043807</v>
      </c>
      <c r="P85" s="34">
        <f t="shared" si="40"/>
        <v>6.391084715680468</v>
      </c>
      <c r="Q85" s="34">
        <f t="shared" si="40"/>
        <v>6.3726750753752048</v>
      </c>
      <c r="R85" s="34">
        <f t="shared" si="40"/>
        <v>6.3540836657346329</v>
      </c>
      <c r="S85" s="34">
        <f t="shared" si="40"/>
        <v>6.3349608530299255</v>
      </c>
      <c r="T85" s="34">
        <f t="shared" si="40"/>
        <v>6.3156366732209257</v>
      </c>
      <c r="U85" s="34">
        <f t="shared" si="40"/>
        <v>6.2894190890889234</v>
      </c>
    </row>
    <row r="86" spans="2:22" x14ac:dyDescent="0.2">
      <c r="B86" s="103" t="s">
        <v>126</v>
      </c>
      <c r="C86" s="34"/>
      <c r="D86" s="250">
        <f>'Input data'!$C$68*D$83</f>
        <v>6.6882509052437129</v>
      </c>
      <c r="E86" s="34">
        <f t="shared" ref="E86:U86" si="41">IF(E83=0,0,IF(E79=1,(1-D90)*D83*E42/((1+E23/100)*(1+E41/100)),IF(AND(E79=0,E80=1),(D89*D83*E42/((1+E23/100)*(1+E41/100)))*(1-ABS(E83-D83*E42/((1+E23/100)*(1+E41/100)))/((E38*D83*D90*E42/((1+E23/100)*(1+E41/100)))+(D89*D83*E42/((1+E23/100)*(1+E41/100))))),0)))</f>
        <v>6.6728902042009688</v>
      </c>
      <c r="F86" s="34">
        <f t="shared" si="41"/>
        <v>6.7628600163945123</v>
      </c>
      <c r="G86" s="34">
        <f t="shared" si="41"/>
        <v>6.7797696522886461</v>
      </c>
      <c r="H86" s="34">
        <f t="shared" si="41"/>
        <v>6.7279287010427993</v>
      </c>
      <c r="I86" s="34">
        <f t="shared" si="41"/>
        <v>6.5814603607197499</v>
      </c>
      <c r="J86" s="34">
        <f t="shared" si="41"/>
        <v>6.4612247349239871</v>
      </c>
      <c r="K86" s="34">
        <f t="shared" si="41"/>
        <v>6.3841001394914674</v>
      </c>
      <c r="L86" s="34">
        <f t="shared" si="41"/>
        <v>6.3193090749754424</v>
      </c>
      <c r="M86" s="34">
        <f t="shared" si="41"/>
        <v>6.2751945364701092</v>
      </c>
      <c r="N86" s="34">
        <f t="shared" si="41"/>
        <v>6.2432165046740806</v>
      </c>
      <c r="O86" s="34">
        <f t="shared" si="41"/>
        <v>6.2063988157698367</v>
      </c>
      <c r="P86" s="34">
        <f t="shared" si="41"/>
        <v>6.1729810335715127</v>
      </c>
      <c r="Q86" s="34">
        <f t="shared" si="41"/>
        <v>6.1426725299648393</v>
      </c>
      <c r="R86" s="34">
        <f t="shared" si="41"/>
        <v>6.1123835828251831</v>
      </c>
      <c r="S86" s="34">
        <f t="shared" si="41"/>
        <v>6.081812398453736</v>
      </c>
      <c r="T86" s="34">
        <f t="shared" si="41"/>
        <v>6.0513043388109438</v>
      </c>
      <c r="U86" s="34">
        <f t="shared" si="41"/>
        <v>6.0150530404287315</v>
      </c>
    </row>
    <row r="87" spans="2:22" x14ac:dyDescent="0.2">
      <c r="B87" s="103" t="s">
        <v>127</v>
      </c>
      <c r="C87" s="34"/>
      <c r="D87" s="250">
        <f>'Input data'!$C$69*D$83</f>
        <v>1.1861189831955719</v>
      </c>
      <c r="E87" s="34">
        <f>IF(E83=0,0,IF(E79=1,'Input data'!$C$58*(E83-D83*E42/((1+E23/100)*(1+E41/100))),0))</f>
        <v>2.3350232434286053</v>
      </c>
      <c r="F87" s="34">
        <f>IF(F83=0,0,IF(F79=1,'Input data'!$C$58*(F83-E83*F42/((1+F23/100)*(1+F41/100))),0))</f>
        <v>1.8825197485222307</v>
      </c>
      <c r="G87" s="34">
        <f>IF(G83=0,0,IF(G79=1,'Input data'!$C$58*(G83-F83*G42/((1+G23/100)*(1+G41/100))),0))</f>
        <v>1.2820562829076727</v>
      </c>
      <c r="H87" s="34">
        <f>IF(H83=0,0,IF(H79=1,'Input data'!$C$58*(H83-G83*H42/((1+H23/100)*(1+H41/100))),0))</f>
        <v>0.79381012062688883</v>
      </c>
      <c r="I87" s="34">
        <f>IF(I83=0,0,IF(I79=1,'Input data'!$C$58*(I83-H83*I42/((1+I23/100)*(1+I41/100))),0))</f>
        <v>0.84487170571830639</v>
      </c>
      <c r="J87" s="34">
        <f>IF(J83=0,0,IF(J79=1,'Input data'!$C$58*(J83-I83*J42/((1+J23/100)*(1+J41/100))),0))</f>
        <v>0.99876238409113882</v>
      </c>
      <c r="K87" s="34">
        <f>IF(K83=0,0,IF(K79=1,'Input data'!$C$58*(K83-J83*K42/((1+K23/100)*(1+K41/100))),0))</f>
        <v>1.0862046647997814</v>
      </c>
      <c r="L87" s="34">
        <f>IF(L83=0,0,IF(L79=1,'Input data'!$C$58*(L83-K83*L42/((1+L23/100)*(1+L41/100))),0))</f>
        <v>1.2639554693580821</v>
      </c>
      <c r="M87" s="34">
        <f>IF(M83=0,0,IF(M79=1,'Input data'!$C$58*(M83-L83*M42/((1+M23/100)*(1+M41/100))),0))</f>
        <v>1.3551054927911805</v>
      </c>
      <c r="N87" s="34">
        <f>IF(N83=0,0,IF(N79=1,'Input data'!$C$58*(N83-M83*N42/((1+N23/100)*(1+N41/100))),0))</f>
        <v>1.4106858148709509</v>
      </c>
      <c r="O87" s="34">
        <f>IF(O83=0,0,IF(O79=1,'Input data'!$C$58*(O83-N83*O42/((1+O23/100)*(1+O41/100))),0))</f>
        <v>1.5392820298487999</v>
      </c>
      <c r="P87" s="34">
        <f>IF(P83=0,0,IF(P79=1,'Input data'!$C$58*(P83-O83*P42/((1+P23/100)*(1+P41/100))),0))</f>
        <v>1.6650755614177173</v>
      </c>
      <c r="Q87" s="34">
        <f>IF(Q83=0,0,IF(Q79=1,'Input data'!$C$58*(Q83-P83*Q42/((1+Q23/100)*(1+Q41/100))),0))</f>
        <v>1.6985785675190688</v>
      </c>
      <c r="R87" s="34">
        <f>IF(R83=0,0,IF(R79=1,'Input data'!$C$58*(R83-Q83*R42/((1+R23/100)*(1+R41/100))),0))</f>
        <v>1.7288701341647195</v>
      </c>
      <c r="S87" s="34">
        <f>IF(S83=0,0,IF(S79=1,'Input data'!$C$58*(S83-R83*S42/((1+S23/100)*(1+S41/100))),0))</f>
        <v>1.7563054001073584</v>
      </c>
      <c r="T87" s="34">
        <f>IF(T83=0,0,IF(T79=1,'Input data'!$C$58*(T83-S83*T42/((1+T23/100)*(1+T41/100))),0))</f>
        <v>1.6914567196921475</v>
      </c>
      <c r="U87" s="34">
        <f>IF(U83=0,0,IF(U79=1,'Input data'!$C$58*(U83-T83*U42/((1+U23/100)*(1+U41/100))),0))</f>
        <v>1.7124974863599054</v>
      </c>
    </row>
    <row r="88" spans="2:22" x14ac:dyDescent="0.2">
      <c r="B88" s="105" t="s">
        <v>128</v>
      </c>
      <c r="C88" s="49"/>
      <c r="D88" s="251">
        <f>'Input data'!$C$70*D$83</f>
        <v>0.13329569811152336</v>
      </c>
      <c r="E88" s="49">
        <f>IF(E83=0,0,IF(E79=1,'Input data'!$C$57*(E83-D83*E42/((1+E23/100)*(1+E41/100))),0))</f>
        <v>0.26240925450971603</v>
      </c>
      <c r="F88" s="49">
        <f>IF(F83=0,0,IF(F79=1,'Input data'!$C$57*(F83-E83*F42/((1+F23/100)*(1+F41/100))),0))</f>
        <v>0.2115570391856961</v>
      </c>
      <c r="G88" s="49">
        <f>IF(G83=0,0,IF(G79=1,'Input data'!$C$57*(G83-F83*G42/((1+G23/100)*(1+G41/100))),0))</f>
        <v>0.14407712402182191</v>
      </c>
      <c r="H88" s="49">
        <f>IF(H83=0,0,IF(H79=1,'Input data'!$C$57*(H83-G83*H42/((1+H23/100)*(1+H41/100))),0))</f>
        <v>8.9208157804078245E-2</v>
      </c>
      <c r="I88" s="49">
        <f>IF(I83=0,0,IF(I79=1,'Input data'!$C$57*(I83-H83*I42/((1+I23/100)*(1+I41/100))),0))</f>
        <v>9.4946444356741849E-2</v>
      </c>
      <c r="J88" s="49">
        <f>IF(J83=0,0,IF(J79=1,'Input data'!$C$57*(J83-I83*J42/((1+J23/100)*(1+J41/100))),0))</f>
        <v>0.11224063545374974</v>
      </c>
      <c r="K88" s="49">
        <f>IF(K83=0,0,IF(K79=1,'Input data'!$C$57*(K83-J83*K42/((1+K23/100)*(1+K41/100))),0))</f>
        <v>0.12206737433438383</v>
      </c>
      <c r="L88" s="49">
        <f>IF(L83=0,0,IF(L79=1,'Input data'!$C$57*(L83-K83*L42/((1+L23/100)*(1+L41/100))),0))</f>
        <v>0.14204295969265099</v>
      </c>
      <c r="M88" s="49">
        <f>IF(M83=0,0,IF(M79=1,'Input data'!$C$57*(M83-L83*M42/((1+M23/100)*(1+M41/100))),0))</f>
        <v>0.15228637365648881</v>
      </c>
      <c r="N88" s="49">
        <f>IF(N83=0,0,IF(N79=1,'Input data'!$C$57*(N83-M83*N42/((1+N23/100)*(1+N41/100))),0))</f>
        <v>0.15853247459934156</v>
      </c>
      <c r="O88" s="49">
        <f>IF(O83=0,0,IF(O79=1,'Input data'!$C$57*(O83-N83*O42/((1+O23/100)*(1+O41/100))),0))</f>
        <v>0.17298408102342139</v>
      </c>
      <c r="P88" s="49">
        <f>IF(P83=0,0,IF(P79=1,'Input data'!$C$57*(P83-O83*P42/((1+P23/100)*(1+P41/100))),0))</f>
        <v>0.18712072267529423</v>
      </c>
      <c r="Q88" s="49">
        <f>IF(Q83=0,0,IF(Q79=1,'Input data'!$C$57*(Q83-P83*Q42/((1+Q23/100)*(1+Q41/100))),0))</f>
        <v>0.19088578106588275</v>
      </c>
      <c r="R88" s="49">
        <f>IF(R83=0,0,IF(R79=1,'Input data'!$C$57*(R83-Q83*R42/((1+R23/100)*(1+R41/100))),0))</f>
        <v>0.19428993879484183</v>
      </c>
      <c r="S88" s="49">
        <f>IF(S83=0,0,IF(S79=1,'Input data'!$C$57*(S83-R83*S42/((1+S23/100)*(1+S41/100))),0))</f>
        <v>0.19737310625518481</v>
      </c>
      <c r="T88" s="49">
        <f>IF(T83=0,0,IF(T79=1,'Input data'!$C$57*(T83-S83*T42/((1+T23/100)*(1+T41/100))),0))</f>
        <v>0.19008542981274062</v>
      </c>
      <c r="U88" s="49">
        <f>IF(U83=0,0,IF(U79=1,'Input data'!$C$57*(U83-T83*U42/((1+U23/100)*(1+U41/100))),0))</f>
        <v>0.19244998524538467</v>
      </c>
    </row>
    <row r="89" spans="2:22" x14ac:dyDescent="0.2">
      <c r="B89" s="26" t="s">
        <v>73</v>
      </c>
      <c r="C89" s="36"/>
      <c r="D89" s="34">
        <f t="shared" ref="D89:E89" si="42">IF(D83&lt;&gt;0,(D86+D88)/(D84+D85+D86+D87+D88),0)</f>
        <v>0.10922220636546567</v>
      </c>
      <c r="E89" s="34">
        <f t="shared" si="42"/>
        <v>0.10888797234610882</v>
      </c>
      <c r="F89" s="34">
        <f t="shared" ref="F89:U89" si="43">IF(F83&lt;&gt;0,(F86+F88)/(F84+F85+F86+F87+F88),0)</f>
        <v>0.10863155340977131</v>
      </c>
      <c r="G89" s="34">
        <f t="shared" si="43"/>
        <v>0.10846165203268741</v>
      </c>
      <c r="H89" s="34">
        <f t="shared" si="43"/>
        <v>0.10835729504604434</v>
      </c>
      <c r="I89" s="34">
        <f t="shared" si="43"/>
        <v>0.10824559116683571</v>
      </c>
      <c r="J89" s="34">
        <f t="shared" si="43"/>
        <v>0.10811367742426384</v>
      </c>
      <c r="K89" s="34">
        <f t="shared" si="43"/>
        <v>0.10797156622023139</v>
      </c>
      <c r="L89" s="34">
        <f t="shared" si="43"/>
        <v>0.10780863750469706</v>
      </c>
      <c r="M89" s="34">
        <f t="shared" si="43"/>
        <v>0.10763743043749402</v>
      </c>
      <c r="N89" s="34">
        <f t="shared" si="43"/>
        <v>0.10746328424394745</v>
      </c>
      <c r="O89" s="34">
        <f t="shared" si="43"/>
        <v>0.1072779401648908</v>
      </c>
      <c r="P89" s="34">
        <f t="shared" si="43"/>
        <v>0.10708298692949593</v>
      </c>
      <c r="Q89" s="34">
        <f t="shared" si="43"/>
        <v>0.10688985442644613</v>
      </c>
      <c r="R89" s="34">
        <f t="shared" si="43"/>
        <v>0.10669907598480539</v>
      </c>
      <c r="S89" s="34">
        <f t="shared" si="43"/>
        <v>0.10651108692335187</v>
      </c>
      <c r="T89" s="34">
        <f t="shared" si="43"/>
        <v>0.10633526953466704</v>
      </c>
      <c r="U89" s="34">
        <f t="shared" si="43"/>
        <v>0.10616231239792059</v>
      </c>
    </row>
    <row r="90" spans="2:22" x14ac:dyDescent="0.2">
      <c r="B90" s="35" t="s">
        <v>74</v>
      </c>
      <c r="C90" s="106"/>
      <c r="D90" s="49">
        <f t="shared" ref="D90:E90" si="44">IF(D83&lt;&gt;0,(D84+D85+D87)/(D84+D85+D86+D87+D88),1)</f>
        <v>0.89077779363453435</v>
      </c>
      <c r="E90" s="49">
        <f t="shared" si="44"/>
        <v>0.8911120276538913</v>
      </c>
      <c r="F90" s="49">
        <f t="shared" ref="F90:U90" si="45">IF(F83&lt;&gt;0,(F84+F85+F87)/(F84+F85+F86+F87+F88),1)</f>
        <v>0.89136844659022862</v>
      </c>
      <c r="G90" s="49">
        <f t="shared" si="45"/>
        <v>0.89153834796731257</v>
      </c>
      <c r="H90" s="49">
        <f t="shared" si="45"/>
        <v>0.89164270495395559</v>
      </c>
      <c r="I90" s="49">
        <f t="shared" si="45"/>
        <v>0.89175440883316426</v>
      </c>
      <c r="J90" s="49">
        <f t="shared" si="45"/>
        <v>0.89188632257573608</v>
      </c>
      <c r="K90" s="49">
        <f t="shared" si="45"/>
        <v>0.89202843377976859</v>
      </c>
      <c r="L90" s="49">
        <f t="shared" si="45"/>
        <v>0.89219136249530284</v>
      </c>
      <c r="M90" s="49">
        <f t="shared" si="45"/>
        <v>0.89236256956250604</v>
      </c>
      <c r="N90" s="49">
        <f t="shared" si="45"/>
        <v>0.89253671575605253</v>
      </c>
      <c r="O90" s="49">
        <f t="shared" si="45"/>
        <v>0.89272205983510922</v>
      </c>
      <c r="P90" s="49">
        <f t="shared" si="45"/>
        <v>0.89291701307050408</v>
      </c>
      <c r="Q90" s="49">
        <f t="shared" si="45"/>
        <v>0.89311014557355384</v>
      </c>
      <c r="R90" s="49">
        <f t="shared" si="45"/>
        <v>0.89330092401519468</v>
      </c>
      <c r="S90" s="49">
        <f t="shared" si="45"/>
        <v>0.89348891307664813</v>
      </c>
      <c r="T90" s="49">
        <f t="shared" si="45"/>
        <v>0.89366473046533301</v>
      </c>
      <c r="U90" s="49">
        <f t="shared" si="45"/>
        <v>0.89383768760207949</v>
      </c>
    </row>
    <row r="92" spans="2:22" x14ac:dyDescent="0.2">
      <c r="B92" s="111" t="s">
        <v>129</v>
      </c>
      <c r="C92" s="52">
        <f>C104</f>
        <v>1.4223718643188477</v>
      </c>
      <c r="D92" s="52">
        <f>D104</f>
        <v>1.7254641056060791</v>
      </c>
      <c r="E92" s="52">
        <f t="shared" ref="E92" si="46">E94+E95</f>
        <v>1.8</v>
      </c>
      <c r="F92" s="52">
        <f t="shared" ref="F92:U92" si="47">F94+F95</f>
        <v>1.7990942278989217</v>
      </c>
      <c r="G92" s="52">
        <f t="shared" si="47"/>
        <v>1.9393064891870158</v>
      </c>
      <c r="H92" s="52">
        <f t="shared" si="47"/>
        <v>2.0651772983228507</v>
      </c>
      <c r="I92" s="52">
        <f t="shared" si="47"/>
        <v>2.180776329159134</v>
      </c>
      <c r="J92" s="52">
        <f t="shared" si="47"/>
        <v>2.2940858911256736</v>
      </c>
      <c r="K92" s="52">
        <f t="shared" si="47"/>
        <v>2.4064043539333615</v>
      </c>
      <c r="L92" s="52">
        <f t="shared" si="47"/>
        <v>2.5168768507715864</v>
      </c>
      <c r="M92" s="52">
        <f t="shared" si="47"/>
        <v>2.6265317362366032</v>
      </c>
      <c r="N92" s="52">
        <f t="shared" si="47"/>
        <v>2.7343583888208394</v>
      </c>
      <c r="O92" s="52">
        <f t="shared" si="47"/>
        <v>2.8126045910301425</v>
      </c>
      <c r="P92" s="52">
        <f t="shared" si="47"/>
        <v>2.8842561032832199</v>
      </c>
      <c r="Q92" s="52">
        <f t="shared" si="47"/>
        <v>2.9500704995849518</v>
      </c>
      <c r="R92" s="52">
        <f t="shared" si="47"/>
        <v>3.0101222679015058</v>
      </c>
      <c r="S92" s="52">
        <f t="shared" si="47"/>
        <v>3.0652289855867281</v>
      </c>
      <c r="T92" s="52">
        <f t="shared" si="47"/>
        <v>3.1160998695365141</v>
      </c>
      <c r="U92" s="52">
        <f t="shared" si="47"/>
        <v>3.1628503557449683</v>
      </c>
    </row>
    <row r="93" spans="2:22" x14ac:dyDescent="0.2">
      <c r="B93" s="33" t="s">
        <v>130</v>
      </c>
      <c r="C93" s="95"/>
      <c r="D93" s="95"/>
      <c r="E93" s="260">
        <f>((E35*D83)-(E37*(D86+D88)))/(D84+D85+D87)</f>
        <v>1.775559038079825</v>
      </c>
      <c r="F93" s="34">
        <f>IF(E83&gt;0,(E93*E84+
('Baseline NFPC'!F97*('Baseline NFPC'!E88+'Baseline NFPC'!E89+'Baseline NFPC'!E91)-'Baseline NFPC'!E97*'Baseline NFPC'!E88)/('Baseline NFPC'!E89+'Baseline NFPC'!E91)
*(E87+E85))/(E84+E85+E87),F36)</f>
        <v>1.8086572302541541</v>
      </c>
      <c r="G93" s="34">
        <f t="shared" ref="G93:U93" si="48">IF(F83&gt;0,(F93*F84+G36*(F87+F85))/(F84+F85+F87),G36)</f>
        <v>1.946802150630204</v>
      </c>
      <c r="H93" s="34">
        <f t="shared" si="48"/>
        <v>2.0688765816266814</v>
      </c>
      <c r="I93" s="34">
        <f t="shared" si="48"/>
        <v>2.1794441918135763</v>
      </c>
      <c r="J93" s="34">
        <f t="shared" si="48"/>
        <v>2.2874557696046263</v>
      </c>
      <c r="K93" s="34">
        <f t="shared" si="48"/>
        <v>2.3943708684759981</v>
      </c>
      <c r="L93" s="34">
        <f t="shared" si="48"/>
        <v>2.4992332131576078</v>
      </c>
      <c r="M93" s="34">
        <f t="shared" si="48"/>
        <v>2.6032007776416641</v>
      </c>
      <c r="N93" s="34">
        <f t="shared" si="48"/>
        <v>2.7051414396646942</v>
      </c>
      <c r="O93" s="34">
        <f t="shared" si="48"/>
        <v>2.7987407229579864</v>
      </c>
      <c r="P93" s="34">
        <f t="shared" si="48"/>
        <v>2.8848970996678691</v>
      </c>
      <c r="Q93" s="34">
        <f t="shared" si="48"/>
        <v>2.9644587896856298</v>
      </c>
      <c r="R93" s="34">
        <f t="shared" si="48"/>
        <v>3.0375126486529984</v>
      </c>
      <c r="S93" s="34">
        <f t="shared" si="48"/>
        <v>3.1049790964405259</v>
      </c>
      <c r="T93" s="34">
        <f t="shared" si="48"/>
        <v>3.167656628056772</v>
      </c>
      <c r="U93" s="34">
        <f t="shared" si="48"/>
        <v>3.2256846835448116</v>
      </c>
    </row>
    <row r="94" spans="2:22" x14ac:dyDescent="0.2">
      <c r="B94" s="26" t="s">
        <v>131</v>
      </c>
      <c r="C94" s="34"/>
      <c r="D94" s="34"/>
      <c r="E94" s="34">
        <f t="shared" ref="E94:U94" si="49">(E93*(D84+D85+D87)+E37*(D86+D88))/D83</f>
        <v>1.8</v>
      </c>
      <c r="F94" s="34">
        <f t="shared" si="49"/>
        <v>1.7990942278989217</v>
      </c>
      <c r="G94" s="34">
        <f t="shared" si="49"/>
        <v>1.9393064891870158</v>
      </c>
      <c r="H94" s="34">
        <f t="shared" si="49"/>
        <v>2.0651772983228507</v>
      </c>
      <c r="I94" s="34">
        <f t="shared" si="49"/>
        <v>2.180776329159134</v>
      </c>
      <c r="J94" s="34">
        <f t="shared" si="49"/>
        <v>2.2940858911256736</v>
      </c>
      <c r="K94" s="34">
        <f t="shared" si="49"/>
        <v>2.4064043539333615</v>
      </c>
      <c r="L94" s="34">
        <f t="shared" si="49"/>
        <v>2.5168768507715864</v>
      </c>
      <c r="M94" s="34">
        <f t="shared" si="49"/>
        <v>2.6265317362366032</v>
      </c>
      <c r="N94" s="34">
        <f t="shared" si="49"/>
        <v>2.7343583888208394</v>
      </c>
      <c r="O94" s="34">
        <f t="shared" si="49"/>
        <v>2.8126045910301425</v>
      </c>
      <c r="P94" s="34">
        <f t="shared" si="49"/>
        <v>2.8842561032832199</v>
      </c>
      <c r="Q94" s="34">
        <f t="shared" si="49"/>
        <v>2.9500704995849518</v>
      </c>
      <c r="R94" s="34">
        <f t="shared" si="49"/>
        <v>3.0101222679015058</v>
      </c>
      <c r="S94" s="34">
        <f t="shared" si="49"/>
        <v>3.0652289855867281</v>
      </c>
      <c r="T94" s="34">
        <f t="shared" si="49"/>
        <v>3.1160998695365141</v>
      </c>
      <c r="U94" s="34">
        <f t="shared" si="49"/>
        <v>3.1628503557449683</v>
      </c>
    </row>
    <row r="95" spans="2:22" x14ac:dyDescent="0.2">
      <c r="B95" s="35" t="s">
        <v>132</v>
      </c>
      <c r="C95" s="49"/>
      <c r="D95" s="49"/>
      <c r="E95" s="49">
        <f>IF('Criteria results'!$F$5=4,E105,E110)</f>
        <v>0</v>
      </c>
      <c r="F95" s="49">
        <f>IF('Criteria results'!$F$5=4,F105,F110)</f>
        <v>0</v>
      </c>
      <c r="G95" s="49">
        <f>IF('Criteria results'!$F$5=4,G105,G110)</f>
        <v>0</v>
      </c>
      <c r="H95" s="49">
        <f>IF('Criteria results'!$F$5=4,H105,H110)</f>
        <v>0</v>
      </c>
      <c r="I95" s="49">
        <f>IF('Criteria results'!$F$5=4,I105,I110)</f>
        <v>0</v>
      </c>
      <c r="J95" s="49">
        <f>IF('Criteria results'!$F$5=4,J105,J110)</f>
        <v>0</v>
      </c>
      <c r="K95" s="49">
        <f>IF('Criteria results'!$F$5=4,K105,K110)</f>
        <v>0</v>
      </c>
      <c r="L95" s="49">
        <f>IF('Criteria results'!$F$5=4,L105,L110)</f>
        <v>0</v>
      </c>
      <c r="M95" s="49">
        <f>IF('Criteria results'!$F$5=4,M105,M110)</f>
        <v>0</v>
      </c>
      <c r="N95" s="49">
        <f>IF('Criteria results'!$F$5=4,N105,N110)</f>
        <v>0</v>
      </c>
      <c r="O95" s="49">
        <f>IF('Criteria results'!$F$5=4,O105,O110)</f>
        <v>0</v>
      </c>
      <c r="P95" s="49">
        <f>IF('Criteria results'!$F$5=4,P105,P110)</f>
        <v>0</v>
      </c>
      <c r="Q95" s="49">
        <f>IF('Criteria results'!$F$5=4,Q105,Q110)</f>
        <v>0</v>
      </c>
      <c r="R95" s="49">
        <f>IF('Criteria results'!$F$5=4,R105,R110)</f>
        <v>0</v>
      </c>
      <c r="S95" s="49">
        <f>IF('Criteria results'!$F$5=4,S105,S110)</f>
        <v>0</v>
      </c>
      <c r="T95" s="49">
        <f>IF('Criteria results'!$F$5=4,T105,T110)</f>
        <v>0</v>
      </c>
      <c r="U95" s="49">
        <f>IF('Criteria results'!$F$5=4,U105,U110)</f>
        <v>0</v>
      </c>
    </row>
    <row r="96" spans="2:22" x14ac:dyDescent="0.2">
      <c r="E96" s="96"/>
      <c r="F96" s="96"/>
      <c r="G96" s="96"/>
      <c r="H96" s="96"/>
      <c r="I96" s="96"/>
      <c r="J96" s="96"/>
      <c r="K96" s="96"/>
      <c r="L96" s="96"/>
      <c r="M96" s="96"/>
      <c r="N96" s="96"/>
      <c r="O96" s="96"/>
      <c r="P96" s="96"/>
      <c r="Q96" s="96"/>
      <c r="R96" s="96"/>
      <c r="S96" s="96"/>
      <c r="T96" s="96"/>
      <c r="U96" s="96"/>
    </row>
    <row r="97" spans="1:52" x14ac:dyDescent="0.2">
      <c r="B97" s="111" t="s">
        <v>180</v>
      </c>
      <c r="C97" s="52"/>
      <c r="D97" s="52">
        <f t="shared" ref="D97:U97" si="50">((1+D92/100)/((1+D23/100)*(1+D41/100))-1)*100</f>
        <v>-1.1030665625109792</v>
      </c>
      <c r="E97" s="52">
        <f t="shared" si="50"/>
        <v>-0.39216468564253759</v>
      </c>
      <c r="F97" s="52">
        <f t="shared" si="50"/>
        <v>-0.71457644324709468</v>
      </c>
      <c r="G97" s="52">
        <f t="shared" si="50"/>
        <v>-0.90569419593659051</v>
      </c>
      <c r="H97" s="52">
        <f t="shared" si="50"/>
        <v>-0.82287232700354318</v>
      </c>
      <c r="I97" s="52">
        <f t="shared" si="50"/>
        <v>-1.3517341719196496</v>
      </c>
      <c r="J97" s="52">
        <f t="shared" si="50"/>
        <v>-1.0028751552973336</v>
      </c>
      <c r="K97" s="52">
        <f t="shared" si="50"/>
        <v>-0.54367012156379957</v>
      </c>
      <c r="L97" s="52">
        <f t="shared" si="50"/>
        <v>-0.42742846006575963</v>
      </c>
      <c r="M97" s="52">
        <f t="shared" si="50"/>
        <v>-0.33023308546773489</v>
      </c>
      <c r="N97" s="52">
        <f t="shared" si="50"/>
        <v>-0.21085229834536534</v>
      </c>
      <c r="O97" s="52">
        <f t="shared" si="50"/>
        <v>-0.32473478015007107</v>
      </c>
      <c r="P97" s="52">
        <f t="shared" si="50"/>
        <v>-0.44451448463294074</v>
      </c>
      <c r="Q97" s="52">
        <f t="shared" si="50"/>
        <v>-0.56942573369670457</v>
      </c>
      <c r="R97" s="52">
        <f t="shared" si="50"/>
        <v>-0.58710296887298785</v>
      </c>
      <c r="S97" s="52">
        <f t="shared" si="50"/>
        <v>-0.60950747724769494</v>
      </c>
      <c r="T97" s="52">
        <f t="shared" si="50"/>
        <v>-0.62613979570356193</v>
      </c>
      <c r="U97" s="52">
        <f t="shared" si="50"/>
        <v>-0.57823021867545732</v>
      </c>
    </row>
    <row r="99" spans="1:52" x14ac:dyDescent="0.2">
      <c r="B99" s="391"/>
      <c r="C99" s="391"/>
      <c r="D99" s="392"/>
      <c r="E99" s="393"/>
      <c r="F99" s="393"/>
      <c r="G99" s="391"/>
      <c r="H99" s="391"/>
    </row>
    <row r="100" spans="1:52" s="25" customFormat="1" ht="12.75" outlineLevel="1" x14ac:dyDescent="0.2">
      <c r="B100" s="25" t="s">
        <v>133</v>
      </c>
      <c r="C100" s="110"/>
      <c r="D100" s="110"/>
      <c r="E100" s="110"/>
      <c r="F100" s="110"/>
      <c r="G100" s="110"/>
      <c r="H100" s="110"/>
      <c r="I100" s="110"/>
      <c r="J100" s="110"/>
      <c r="K100" s="110"/>
      <c r="L100" s="110"/>
      <c r="M100" s="110"/>
      <c r="N100" s="110"/>
      <c r="O100" s="110"/>
      <c r="P100" s="110"/>
      <c r="Q100" s="110"/>
      <c r="R100" s="110"/>
      <c r="S100" s="110"/>
      <c r="T100" s="110"/>
      <c r="U100" s="110"/>
    </row>
    <row r="101" spans="1:52" s="124" customFormat="1" ht="12.75" outlineLevel="1" x14ac:dyDescent="0.2">
      <c r="C101" s="125"/>
      <c r="D101" s="125"/>
      <c r="E101" s="125"/>
      <c r="F101" s="125"/>
      <c r="G101" s="125"/>
      <c r="H101" s="125"/>
      <c r="I101" s="125"/>
      <c r="J101" s="125"/>
      <c r="K101" s="125"/>
      <c r="L101" s="125"/>
      <c r="M101" s="125"/>
      <c r="N101" s="125"/>
      <c r="O101" s="125"/>
      <c r="P101" s="125"/>
      <c r="Q101" s="125"/>
      <c r="R101" s="125"/>
      <c r="S101" s="125"/>
      <c r="T101" s="125"/>
      <c r="U101" s="125"/>
    </row>
    <row r="102" spans="1:52" s="124" customFormat="1" ht="12.75" outlineLevel="1" x14ac:dyDescent="0.2">
      <c r="B102" s="104" t="s">
        <v>294</v>
      </c>
      <c r="C102" s="126"/>
      <c r="D102" s="126"/>
      <c r="E102" s="126"/>
      <c r="F102" s="126"/>
      <c r="G102" s="126"/>
      <c r="H102" s="126"/>
      <c r="I102" s="126"/>
      <c r="J102" s="126"/>
      <c r="K102" s="126"/>
      <c r="L102" s="126"/>
      <c r="M102" s="126"/>
      <c r="N102" s="126"/>
      <c r="O102" s="126"/>
      <c r="P102" s="126"/>
      <c r="Q102" s="126"/>
      <c r="R102" s="126"/>
      <c r="S102" s="126"/>
      <c r="T102" s="126"/>
      <c r="U102" s="126"/>
    </row>
    <row r="103" spans="1:52" outlineLevel="1" x14ac:dyDescent="0.2">
      <c r="B103" s="117" t="s">
        <v>43</v>
      </c>
      <c r="C103" s="34">
        <v>62.885486602783203</v>
      </c>
      <c r="D103" s="34">
        <v>62.455677032470703</v>
      </c>
      <c r="E103" s="34">
        <v>63.692066192626953</v>
      </c>
      <c r="F103" s="34">
        <v>64.202499389648438</v>
      </c>
      <c r="G103" s="34">
        <v>63.836818695068359</v>
      </c>
      <c r="H103" s="34">
        <v>62.913509368896484</v>
      </c>
      <c r="I103" s="34">
        <v>61.678325653076172</v>
      </c>
      <c r="J103" s="34">
        <v>60.801418304443359</v>
      </c>
      <c r="K103" s="34">
        <v>60.258148193359375</v>
      </c>
      <c r="L103" s="34">
        <v>59.933525085449219</v>
      </c>
      <c r="M103" s="34">
        <v>59.714176177978516</v>
      </c>
      <c r="N103" s="34">
        <v>59.571498870849609</v>
      </c>
      <c r="O103" s="34">
        <v>59.465938568115234</v>
      </c>
      <c r="P103" s="34">
        <v>59.394149780273438</v>
      </c>
      <c r="Q103" s="34">
        <v>59.253147125244141</v>
      </c>
      <c r="R103" s="34">
        <v>59.107131958007813</v>
      </c>
      <c r="S103" s="34">
        <v>58.953388214111328</v>
      </c>
      <c r="T103" s="34">
        <v>58.695430755615234</v>
      </c>
      <c r="U103" s="34">
        <v>58.471866607666016</v>
      </c>
      <c r="V103" s="34"/>
      <c r="W103" s="34"/>
      <c r="X103" s="34"/>
    </row>
    <row r="104" spans="1:52" s="5" customFormat="1" ht="12.75" x14ac:dyDescent="0.2">
      <c r="A104" s="26"/>
      <c r="B104" s="26" t="s">
        <v>129</v>
      </c>
      <c r="C104" s="1">
        <v>1.4223718643188477</v>
      </c>
      <c r="D104" s="1">
        <v>1.7254641056060791</v>
      </c>
      <c r="E104" s="1">
        <v>1.7999998331069946</v>
      </c>
      <c r="F104" s="1">
        <v>1.7990946769714355</v>
      </c>
      <c r="G104" s="1">
        <v>1.9393068552017212</v>
      </c>
      <c r="H104" s="1">
        <v>2.0651776790618896</v>
      </c>
      <c r="I104" s="1">
        <v>2.1807765960693359</v>
      </c>
      <c r="J104" s="1">
        <v>2.294086217880249</v>
      </c>
      <c r="K104" s="1">
        <v>2.4064044952392578</v>
      </c>
      <c r="L104" s="1">
        <v>2.5168769359588623</v>
      </c>
      <c r="M104" s="1">
        <v>2.6265318393707275</v>
      </c>
      <c r="N104" s="1">
        <v>2.734358549118042</v>
      </c>
      <c r="O104" s="1">
        <v>2.8126046657562256</v>
      </c>
      <c r="P104" s="1">
        <v>2.88425612449646</v>
      </c>
      <c r="Q104" s="1">
        <v>2.9500706195831299</v>
      </c>
      <c r="R104" s="1">
        <v>3.010122537612915</v>
      </c>
      <c r="S104" s="97">
        <v>3.0652289390563965</v>
      </c>
      <c r="T104" s="97">
        <v>3.1161000728607178</v>
      </c>
      <c r="U104" s="97">
        <v>3.1628506183624268</v>
      </c>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row>
    <row r="105" spans="1:52" s="5" customFormat="1" ht="12.75" x14ac:dyDescent="0.2">
      <c r="B105" s="26" t="s">
        <v>179</v>
      </c>
      <c r="C105" s="1"/>
      <c r="D105" s="1"/>
      <c r="E105" s="1">
        <v>0</v>
      </c>
      <c r="F105" s="1">
        <v>0</v>
      </c>
      <c r="G105" s="1">
        <v>0</v>
      </c>
      <c r="H105" s="1">
        <v>0</v>
      </c>
      <c r="I105" s="1">
        <v>0</v>
      </c>
      <c r="J105" s="1">
        <v>0</v>
      </c>
      <c r="K105" s="1">
        <v>0</v>
      </c>
      <c r="L105" s="1">
        <v>0</v>
      </c>
      <c r="M105" s="1">
        <v>0</v>
      </c>
      <c r="N105" s="1">
        <v>0</v>
      </c>
      <c r="O105" s="1">
        <v>0</v>
      </c>
      <c r="P105" s="1">
        <v>0</v>
      </c>
      <c r="Q105" s="1">
        <v>0</v>
      </c>
      <c r="R105" s="1">
        <v>0</v>
      </c>
      <c r="S105" s="1">
        <v>0</v>
      </c>
      <c r="T105" s="1">
        <v>0</v>
      </c>
      <c r="U105" s="1">
        <v>0</v>
      </c>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row>
    <row r="106" spans="1:52" s="5" customFormat="1" ht="12.75" x14ac:dyDescent="0.2">
      <c r="B106" s="26"/>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row>
    <row r="107" spans="1:52" s="5" customFormat="1" ht="12.75" x14ac:dyDescent="0.2">
      <c r="B107" s="104" t="s">
        <v>295</v>
      </c>
      <c r="C107" s="37"/>
      <c r="D107" s="37"/>
      <c r="E107" s="37"/>
      <c r="F107" s="37"/>
      <c r="G107" s="37"/>
      <c r="H107" s="37"/>
      <c r="I107" s="37"/>
      <c r="J107" s="37"/>
      <c r="K107" s="37"/>
      <c r="L107" s="37"/>
      <c r="M107" s="37"/>
      <c r="N107" s="37"/>
      <c r="O107" s="37"/>
      <c r="P107" s="37"/>
      <c r="Q107" s="37"/>
      <c r="R107" s="37"/>
      <c r="S107" s="37"/>
      <c r="T107" s="37"/>
      <c r="U107" s="37"/>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row>
    <row r="108" spans="1:52" outlineLevel="1" x14ac:dyDescent="0.2">
      <c r="B108" s="117" t="s">
        <v>43</v>
      </c>
      <c r="C108" s="34">
        <v>62.885486602783203</v>
      </c>
      <c r="D108" s="34">
        <v>62.455677032470703</v>
      </c>
      <c r="E108" s="34">
        <v>63.7373046875</v>
      </c>
      <c r="F108" s="34">
        <v>64.547554016113281</v>
      </c>
      <c r="G108" s="34">
        <v>64.745628356933594</v>
      </c>
      <c r="H108" s="34">
        <v>64.654449462890625</v>
      </c>
      <c r="I108" s="34">
        <v>64.285560607910156</v>
      </c>
      <c r="J108" s="34">
        <v>63.723865509033203</v>
      </c>
      <c r="K108" s="34">
        <v>62.972621917724609</v>
      </c>
      <c r="L108" s="34">
        <v>62.314441680908203</v>
      </c>
      <c r="M108" s="34">
        <v>62.019981384277344</v>
      </c>
      <c r="N108" s="34">
        <v>61.904800415039063</v>
      </c>
      <c r="O108" s="34">
        <v>61.823070526123047</v>
      </c>
      <c r="P108" s="34">
        <v>61.771324157714844</v>
      </c>
      <c r="Q108" s="34">
        <v>61.646919250488281</v>
      </c>
      <c r="R108" s="34">
        <v>61.516441345214844</v>
      </c>
      <c r="S108" s="34">
        <v>61.37713623046875</v>
      </c>
      <c r="T108" s="34">
        <v>61.132724761962891</v>
      </c>
      <c r="U108" s="34">
        <v>60.923458099365234</v>
      </c>
      <c r="V108" s="34"/>
      <c r="W108" s="34"/>
      <c r="X108" s="34"/>
    </row>
    <row r="109" spans="1:52" x14ac:dyDescent="0.2">
      <c r="B109" s="26" t="s">
        <v>129</v>
      </c>
      <c r="C109" s="1">
        <v>1.4223718643188477</v>
      </c>
      <c r="D109" s="1">
        <v>1.7254641056060791</v>
      </c>
      <c r="E109" s="1">
        <v>1.7999998331069946</v>
      </c>
      <c r="F109" s="1">
        <v>1.799573540687561</v>
      </c>
      <c r="G109" s="1">
        <v>1.9441919326782227</v>
      </c>
      <c r="H109" s="1">
        <v>2.0761289596557617</v>
      </c>
      <c r="I109" s="1">
        <v>2.1993477344512939</v>
      </c>
      <c r="J109" s="1">
        <v>2.3155865669250488</v>
      </c>
      <c r="K109" s="1">
        <v>2.4261114597320557</v>
      </c>
      <c r="L109" s="1">
        <v>2.5318729877471924</v>
      </c>
      <c r="M109" s="1">
        <v>2.6382296085357666</v>
      </c>
      <c r="N109" s="1">
        <v>2.7446267604827881</v>
      </c>
      <c r="O109" s="1">
        <v>2.8216369152069092</v>
      </c>
      <c r="P109" s="1">
        <v>2.8921585083007813</v>
      </c>
      <c r="Q109" s="1">
        <v>2.9569478034973145</v>
      </c>
      <c r="R109" s="1">
        <v>3.0161104202270508</v>
      </c>
      <c r="S109" s="1">
        <v>3.0704474449157715</v>
      </c>
      <c r="T109" s="1">
        <v>3.1206529140472412</v>
      </c>
      <c r="U109" s="1">
        <v>3.1668562889099121</v>
      </c>
      <c r="V109" s="1"/>
      <c r="W109" s="1"/>
      <c r="X109" s="1"/>
      <c r="Y109" s="59"/>
      <c r="Z109" s="59"/>
      <c r="AA109" s="59"/>
      <c r="AB109" s="59"/>
      <c r="AC109" s="59"/>
      <c r="AD109" s="59"/>
      <c r="AE109" s="59"/>
      <c r="AF109" s="59"/>
      <c r="AG109" s="59"/>
      <c r="AH109" s="59"/>
      <c r="AI109" s="59"/>
      <c r="AJ109" s="59"/>
      <c r="AK109" s="59"/>
      <c r="AL109" s="59"/>
      <c r="AM109" s="59"/>
      <c r="AN109" s="59"/>
      <c r="AO109" s="59"/>
      <c r="AP109" s="59"/>
      <c r="AQ109" s="59"/>
      <c r="AR109" s="59"/>
      <c r="AS109" s="59"/>
      <c r="AT109" s="59"/>
      <c r="AU109" s="59"/>
      <c r="AV109" s="59"/>
      <c r="AW109" s="60"/>
    </row>
    <row r="110" spans="1:52" x14ac:dyDescent="0.2">
      <c r="B110" s="26" t="s">
        <v>179</v>
      </c>
      <c r="C110" s="34"/>
      <c r="D110" s="34"/>
      <c r="E110" s="34">
        <v>0</v>
      </c>
      <c r="F110" s="34">
        <v>0</v>
      </c>
      <c r="G110" s="34">
        <v>0</v>
      </c>
      <c r="H110" s="34">
        <v>0</v>
      </c>
      <c r="I110" s="34">
        <v>0</v>
      </c>
      <c r="J110" s="34">
        <v>0</v>
      </c>
      <c r="K110" s="34">
        <v>0</v>
      </c>
      <c r="L110" s="34">
        <v>0</v>
      </c>
      <c r="M110" s="34">
        <v>0</v>
      </c>
      <c r="N110" s="34">
        <v>0</v>
      </c>
      <c r="O110" s="34">
        <v>0</v>
      </c>
      <c r="P110" s="34">
        <v>0</v>
      </c>
      <c r="Q110" s="34">
        <v>0</v>
      </c>
      <c r="R110" s="34">
        <v>0</v>
      </c>
      <c r="S110" s="34">
        <v>0</v>
      </c>
      <c r="T110" s="34">
        <v>0</v>
      </c>
      <c r="U110" s="34">
        <v>0</v>
      </c>
      <c r="V110" s="34"/>
      <c r="W110" s="34"/>
    </row>
    <row r="114" spans="5:23" x14ac:dyDescent="0.2">
      <c r="E114" s="34"/>
      <c r="F114" s="34"/>
      <c r="G114" s="118"/>
      <c r="H114" s="118"/>
      <c r="I114" s="118"/>
      <c r="J114" s="118"/>
      <c r="K114" s="118"/>
      <c r="L114" s="118"/>
      <c r="M114" s="118"/>
      <c r="N114" s="118"/>
      <c r="O114" s="118"/>
      <c r="P114" s="118"/>
      <c r="Q114" s="118"/>
      <c r="R114" s="118"/>
      <c r="S114" s="118"/>
      <c r="T114" s="118"/>
      <c r="U114" s="118"/>
      <c r="V114" s="118"/>
      <c r="W114" s="118"/>
    </row>
    <row r="115" spans="5:23" x14ac:dyDescent="0.2">
      <c r="E115" s="34"/>
      <c r="F115" s="34"/>
      <c r="G115" s="118"/>
      <c r="H115" s="118"/>
      <c r="I115" s="118"/>
      <c r="J115" s="118"/>
      <c r="K115" s="118"/>
      <c r="L115" s="118"/>
      <c r="M115" s="118"/>
      <c r="N115" s="118"/>
      <c r="O115" s="118"/>
      <c r="P115" s="118"/>
      <c r="Q115" s="118"/>
      <c r="R115" s="118"/>
      <c r="S115" s="118"/>
      <c r="T115" s="118"/>
      <c r="U115" s="118"/>
      <c r="V115" s="118"/>
      <c r="W115" s="118"/>
    </row>
    <row r="117" spans="5:23" x14ac:dyDescent="0.2">
      <c r="E117" s="34"/>
      <c r="F117" s="34"/>
      <c r="G117" s="118"/>
      <c r="H117" s="118"/>
      <c r="I117" s="118"/>
      <c r="J117" s="118"/>
      <c r="K117" s="118"/>
      <c r="L117" s="118"/>
      <c r="M117" s="118"/>
      <c r="N117" s="118"/>
      <c r="O117" s="118"/>
      <c r="P117" s="118"/>
      <c r="Q117" s="118"/>
      <c r="R117" s="118"/>
      <c r="S117" s="118"/>
      <c r="T117" s="118"/>
      <c r="U117" s="118"/>
      <c r="V117" s="118"/>
      <c r="W117" s="118"/>
    </row>
    <row r="118" spans="5:23" x14ac:dyDescent="0.2">
      <c r="E118" s="34"/>
      <c r="F118" s="34"/>
      <c r="G118" s="118"/>
      <c r="H118" s="118"/>
      <c r="I118" s="118"/>
      <c r="J118" s="118"/>
      <c r="K118" s="118"/>
      <c r="L118" s="118"/>
      <c r="M118" s="118"/>
      <c r="N118" s="118"/>
      <c r="O118" s="118"/>
      <c r="P118" s="118"/>
      <c r="Q118" s="118"/>
      <c r="R118" s="118"/>
      <c r="S118" s="118"/>
      <c r="T118" s="118"/>
      <c r="U118" s="118"/>
      <c r="V118" s="118"/>
      <c r="W118" s="118"/>
    </row>
    <row r="119" spans="5:23" x14ac:dyDescent="0.2">
      <c r="G119" s="53"/>
      <c r="H119" s="53"/>
      <c r="I119" s="53"/>
      <c r="J119" s="53"/>
      <c r="K119" s="53"/>
      <c r="L119" s="53"/>
      <c r="M119" s="53"/>
      <c r="N119" s="53"/>
      <c r="O119" s="53"/>
      <c r="P119" s="53"/>
      <c r="Q119" s="53"/>
      <c r="R119" s="53"/>
      <c r="S119" s="53"/>
      <c r="T119" s="53"/>
      <c r="U119" s="53"/>
      <c r="V119" s="53"/>
      <c r="W119" s="53"/>
    </row>
    <row r="120" spans="5:23" x14ac:dyDescent="0.2">
      <c r="E120" s="34"/>
      <c r="F120" s="34"/>
      <c r="G120" s="118"/>
      <c r="H120" s="118"/>
      <c r="I120" s="118"/>
      <c r="J120" s="118"/>
      <c r="K120" s="118"/>
      <c r="L120" s="118"/>
      <c r="M120" s="118"/>
      <c r="N120" s="118"/>
      <c r="O120" s="118"/>
      <c r="P120" s="118"/>
      <c r="Q120" s="118"/>
      <c r="R120" s="118"/>
      <c r="S120" s="118"/>
      <c r="T120" s="118"/>
      <c r="U120" s="118"/>
      <c r="V120" s="118"/>
      <c r="W120" s="118"/>
    </row>
    <row r="121" spans="5:23" x14ac:dyDescent="0.2">
      <c r="E121" s="34"/>
      <c r="F121" s="34"/>
      <c r="G121" s="118"/>
      <c r="H121" s="118"/>
      <c r="I121" s="118"/>
      <c r="J121" s="118"/>
      <c r="K121" s="118"/>
      <c r="L121" s="118"/>
      <c r="M121" s="118"/>
      <c r="N121" s="118"/>
      <c r="O121" s="118"/>
      <c r="P121" s="118"/>
      <c r="Q121" s="118"/>
      <c r="R121" s="118"/>
      <c r="S121" s="118"/>
      <c r="T121" s="118"/>
      <c r="U121" s="118"/>
      <c r="V121" s="118"/>
      <c r="W121" s="118"/>
    </row>
    <row r="122" spans="5:23" x14ac:dyDescent="0.2">
      <c r="G122" s="53"/>
      <c r="H122" s="53"/>
      <c r="I122" s="53"/>
      <c r="J122" s="53"/>
      <c r="K122" s="53"/>
      <c r="L122" s="53"/>
      <c r="M122" s="53"/>
      <c r="N122" s="53"/>
      <c r="O122" s="53"/>
      <c r="P122" s="53"/>
      <c r="Q122" s="53"/>
      <c r="R122" s="53"/>
      <c r="S122" s="53"/>
      <c r="T122" s="53"/>
      <c r="U122" s="53"/>
      <c r="V122" s="53"/>
      <c r="W122" s="53"/>
    </row>
    <row r="123" spans="5:23" x14ac:dyDescent="0.2">
      <c r="E123" s="34"/>
      <c r="F123" s="34"/>
      <c r="G123" s="118"/>
      <c r="H123" s="118"/>
      <c r="I123" s="118"/>
      <c r="J123" s="118"/>
      <c r="K123" s="118"/>
      <c r="L123" s="118"/>
      <c r="M123" s="118"/>
      <c r="N123" s="118"/>
      <c r="O123" s="118"/>
      <c r="P123" s="118"/>
      <c r="Q123" s="118"/>
      <c r="R123" s="118"/>
      <c r="S123" s="118"/>
      <c r="T123" s="118"/>
      <c r="U123" s="118"/>
      <c r="V123" s="118"/>
      <c r="W123" s="118"/>
    </row>
    <row r="124" spans="5:23" x14ac:dyDescent="0.2">
      <c r="E124" s="34"/>
      <c r="F124" s="34"/>
      <c r="G124" s="118"/>
      <c r="H124" s="118"/>
      <c r="I124" s="118"/>
      <c r="J124" s="118"/>
      <c r="K124" s="118"/>
      <c r="L124" s="118"/>
      <c r="M124" s="118"/>
      <c r="N124" s="118"/>
      <c r="O124" s="118"/>
      <c r="P124" s="118"/>
      <c r="Q124" s="118"/>
      <c r="R124" s="118"/>
      <c r="S124" s="118"/>
      <c r="T124" s="118"/>
      <c r="U124" s="118"/>
      <c r="V124" s="118"/>
      <c r="W124" s="118"/>
    </row>
    <row r="125" spans="5:23" x14ac:dyDescent="0.2">
      <c r="G125" s="118"/>
      <c r="H125" s="118"/>
      <c r="I125" s="118"/>
      <c r="J125" s="118"/>
      <c r="K125" s="118"/>
      <c r="L125" s="118"/>
      <c r="M125" s="118"/>
      <c r="N125" s="118"/>
      <c r="O125" s="118"/>
      <c r="P125" s="118"/>
      <c r="Q125" s="118"/>
      <c r="R125" s="118"/>
      <c r="S125" s="118"/>
      <c r="T125" s="118"/>
      <c r="U125" s="118"/>
      <c r="V125" s="118"/>
      <c r="W125" s="118"/>
    </row>
    <row r="126" spans="5:23" x14ac:dyDescent="0.2">
      <c r="E126" s="34"/>
      <c r="F126" s="34"/>
      <c r="G126" s="118"/>
      <c r="H126" s="118"/>
      <c r="I126" s="118"/>
      <c r="J126" s="118"/>
      <c r="K126" s="118"/>
      <c r="L126" s="118"/>
      <c r="M126" s="118"/>
      <c r="N126" s="118"/>
      <c r="O126" s="118"/>
      <c r="P126" s="118"/>
      <c r="Q126" s="118"/>
      <c r="R126" s="118"/>
      <c r="S126" s="118"/>
      <c r="T126" s="118"/>
      <c r="U126" s="118"/>
      <c r="V126" s="118"/>
      <c r="W126" s="118"/>
    </row>
    <row r="127" spans="5:23" x14ac:dyDescent="0.2">
      <c r="E127" s="34"/>
      <c r="F127" s="34"/>
      <c r="G127" s="118"/>
      <c r="H127" s="118"/>
      <c r="I127" s="118"/>
      <c r="J127" s="118"/>
      <c r="K127" s="118"/>
      <c r="L127" s="118"/>
      <c r="M127" s="118"/>
      <c r="N127" s="118"/>
      <c r="O127" s="118"/>
      <c r="P127" s="118"/>
      <c r="Q127" s="118"/>
      <c r="R127" s="118"/>
      <c r="S127" s="118"/>
      <c r="T127" s="118"/>
      <c r="U127" s="118"/>
      <c r="V127" s="118"/>
      <c r="W127" s="118"/>
    </row>
    <row r="128" spans="5:23" x14ac:dyDescent="0.2">
      <c r="G128" s="118"/>
      <c r="H128" s="118"/>
      <c r="I128" s="118"/>
      <c r="J128" s="118"/>
      <c r="K128" s="118"/>
      <c r="L128" s="118"/>
      <c r="M128" s="118"/>
      <c r="N128" s="118"/>
      <c r="O128" s="118"/>
      <c r="P128" s="118"/>
      <c r="Q128" s="118"/>
      <c r="R128" s="118"/>
      <c r="S128" s="118"/>
      <c r="T128" s="118"/>
      <c r="U128" s="118"/>
      <c r="V128" s="118"/>
      <c r="W128" s="118"/>
    </row>
    <row r="129" spans="7:23" x14ac:dyDescent="0.2">
      <c r="G129" s="118"/>
      <c r="H129" s="118"/>
      <c r="I129" s="118"/>
      <c r="J129" s="118"/>
      <c r="K129" s="118"/>
      <c r="L129" s="118"/>
      <c r="M129" s="118"/>
      <c r="N129" s="118"/>
      <c r="O129" s="118"/>
      <c r="P129" s="118"/>
      <c r="Q129" s="118"/>
      <c r="R129" s="118"/>
      <c r="S129" s="118"/>
      <c r="T129" s="118"/>
      <c r="U129" s="118"/>
      <c r="V129" s="118"/>
      <c r="W129" s="118"/>
    </row>
  </sheetData>
  <conditionalFormatting sqref="E12:K12">
    <cfRule type="expression" dxfId="21" priority="60">
      <formula>AND(E10&gt;$C$5,E10&lt;=$C$6)</formula>
    </cfRule>
  </conditionalFormatting>
  <conditionalFormatting sqref="I12:L12">
    <cfRule type="expression" dxfId="19" priority="62">
      <formula>I10=$C$6+1</formula>
    </cfRule>
  </conditionalFormatting>
  <conditionalFormatting sqref="J12:M12">
    <cfRule type="expression" dxfId="18" priority="65">
      <formula>J10=$C$6+2</formula>
    </cfRule>
  </conditionalFormatting>
  <conditionalFormatting sqref="S10:U43 S49:U52 S78:U99 S101:U110">
    <cfRule type="expression" dxfId="15" priority="1">
      <formula>S$10&gt;$C$7</formula>
    </cfRule>
  </conditionalFormatting>
  <conditionalFormatting sqref="S54:U76">
    <cfRule type="expression" dxfId="14" priority="110">
      <formula>S$10&gt;$C$7</formula>
    </cfRule>
  </conditionalFormatting>
  <conditionalFormatting sqref="U45:W48 U110:W130">
    <cfRule type="expression" dxfId="13" priority="111">
      <formula>S$10&gt;$C$7</formula>
    </cfRule>
  </conditionalFormatting>
  <pageMargins left="0.7" right="0.7" top="0.75" bottom="0.75" header="0.3" footer="0.3"/>
  <pageSetup paperSize="9" orientation="portrait" r:id="rId1"/>
  <ignoredErrors>
    <ignoredError sqref="C5:C6 C46:C47" unlockedFormula="1"/>
  </ignoredErrors>
  <extLst>
    <ext xmlns:x14="http://schemas.microsoft.com/office/spreadsheetml/2009/9/main" uri="{78C0D931-6437-407d-A8EE-F0AAD7539E65}">
      <x14:conditionalFormattings>
        <x14:conditionalFormatting xmlns:xm="http://schemas.microsoft.com/office/excel/2006/main">
          <x14:cfRule type="expression" priority="76" id="{B88CB253-25A7-48C5-B892-AF3EE434A6A9}">
            <xm:f>OR('Criteria results'!#REF!=7,'Criteria results'!#REF!=10)</xm:f>
            <x14:dxf>
              <font>
                <color theme="0"/>
              </font>
            </x14:dxf>
          </x14:cfRule>
          <xm:sqref>I75:K75</xm:sqref>
        </x14:conditionalFormatting>
        <x14:conditionalFormatting xmlns:xm="http://schemas.microsoft.com/office/excel/2006/main">
          <x14:cfRule type="expression" priority="69" id="{D31BC8EE-7345-483F-A9F0-CB3AD006CBA1}">
            <xm:f>'Criteria results'!$F$5=7</xm:f>
            <x14:dxf>
              <border>
                <left style="thin">
                  <color auto="1"/>
                </left>
                <top style="thin">
                  <color auto="1"/>
                </top>
                <bottom style="thin">
                  <color auto="1"/>
                </bottom>
                <vertical/>
                <horizontal/>
              </border>
            </x14:dxf>
          </x14:cfRule>
          <xm:sqref>L12</xm:sqref>
        </x14:conditionalFormatting>
        <x14:conditionalFormatting xmlns:xm="http://schemas.microsoft.com/office/excel/2006/main">
          <x14:cfRule type="expression" priority="77" id="{4D283B7C-3A09-4829-8C79-6D87AFE7DCC7}">
            <xm:f>'Criteria results'!#REF!=10</xm:f>
            <x14:dxf>
              <font>
                <color theme="0"/>
              </font>
            </x14:dxf>
          </x14:cfRule>
          <xm:sqref>L75:N75</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tabColor rgb="FF92D050"/>
  </sheetPr>
  <dimension ref="A1:AZ132"/>
  <sheetViews>
    <sheetView zoomScaleNormal="100" workbookViewId="0"/>
  </sheetViews>
  <sheetFormatPr defaultColWidth="9.28515625" defaultRowHeight="11.25" outlineLevelRow="1" x14ac:dyDescent="0.2"/>
  <cols>
    <col min="1" max="1" width="9.28515625" style="26" customWidth="1"/>
    <col min="2" max="2" width="56" style="26" customWidth="1"/>
    <col min="3" max="38" width="9.28515625" style="26" customWidth="1"/>
    <col min="39" max="48" width="11.42578125" style="26" bestFit="1" customWidth="1"/>
    <col min="49" max="16384" width="9.28515625" style="26"/>
  </cols>
  <sheetData>
    <row r="1" spans="1:49" ht="24.75" customHeight="1" x14ac:dyDescent="0.2">
      <c r="B1" s="39"/>
    </row>
    <row r="2" spans="1:49" ht="11.25" customHeight="1" x14ac:dyDescent="0.2">
      <c r="B2" s="27"/>
    </row>
    <row r="3" spans="1:49" ht="11.25" customHeight="1" x14ac:dyDescent="0.2">
      <c r="B3" s="19" t="s">
        <v>15</v>
      </c>
      <c r="C3" s="20" t="str">
        <f>'Input data'!C3</f>
        <v>DE</v>
      </c>
    </row>
    <row r="4" spans="1:49" x14ac:dyDescent="0.2">
      <c r="B4" s="64" t="s">
        <v>38</v>
      </c>
      <c r="C4" s="21"/>
    </row>
    <row r="5" spans="1:49" x14ac:dyDescent="0.2">
      <c r="A5" s="29"/>
      <c r="B5" s="22" t="str">
        <f>'Input data'!B5</f>
        <v>Last year before the adjustment</v>
      </c>
      <c r="C5" s="23">
        <f>+'Input data'!C5</f>
        <v>2024</v>
      </c>
    </row>
    <row r="6" spans="1:49" x14ac:dyDescent="0.2">
      <c r="A6" s="29"/>
      <c r="B6" s="65" t="s">
        <v>44</v>
      </c>
      <c r="C6" s="23">
        <f>+C5+'Criteria results'!F5</f>
        <v>2028</v>
      </c>
      <c r="E6" s="43"/>
      <c r="F6" s="29"/>
    </row>
    <row r="7" spans="1:49" x14ac:dyDescent="0.2">
      <c r="A7" s="29"/>
      <c r="B7" s="24" t="s">
        <v>39</v>
      </c>
      <c r="C7" s="66">
        <f>C5+'Criteria results'!F5+10</f>
        <v>2038</v>
      </c>
      <c r="E7" s="43"/>
      <c r="F7" s="29"/>
    </row>
    <row r="8" spans="1:49" x14ac:dyDescent="0.2">
      <c r="A8" s="29"/>
      <c r="C8" s="29"/>
      <c r="E8" s="43"/>
      <c r="F8" s="29"/>
    </row>
    <row r="9" spans="1:49" s="67" customFormat="1" ht="12.75" x14ac:dyDescent="0.2">
      <c r="B9" s="25" t="s">
        <v>45</v>
      </c>
    </row>
    <row r="10" spans="1:49" x14ac:dyDescent="0.2">
      <c r="C10" s="31">
        <f>'Input data'!$C$5-1</f>
        <v>2023</v>
      </c>
      <c r="D10" s="31">
        <f>C10+1</f>
        <v>2024</v>
      </c>
      <c r="E10" s="31">
        <f t="shared" ref="E10:U10" si="0">D10+1</f>
        <v>2025</v>
      </c>
      <c r="F10" s="31">
        <f t="shared" si="0"/>
        <v>2026</v>
      </c>
      <c r="G10" s="31">
        <f t="shared" si="0"/>
        <v>2027</v>
      </c>
      <c r="H10" s="31">
        <f t="shared" si="0"/>
        <v>2028</v>
      </c>
      <c r="I10" s="31">
        <f t="shared" si="0"/>
        <v>2029</v>
      </c>
      <c r="J10" s="31">
        <f t="shared" si="0"/>
        <v>2030</v>
      </c>
      <c r="K10" s="31">
        <f t="shared" si="0"/>
        <v>2031</v>
      </c>
      <c r="L10" s="31">
        <f t="shared" si="0"/>
        <v>2032</v>
      </c>
      <c r="M10" s="31">
        <f t="shared" si="0"/>
        <v>2033</v>
      </c>
      <c r="N10" s="31">
        <f t="shared" si="0"/>
        <v>2034</v>
      </c>
      <c r="O10" s="31">
        <f t="shared" si="0"/>
        <v>2035</v>
      </c>
      <c r="P10" s="31">
        <f t="shared" si="0"/>
        <v>2036</v>
      </c>
      <c r="Q10" s="31">
        <f t="shared" si="0"/>
        <v>2037</v>
      </c>
      <c r="R10" s="31">
        <f t="shared" si="0"/>
        <v>2038</v>
      </c>
      <c r="S10" s="31">
        <f t="shared" si="0"/>
        <v>2039</v>
      </c>
      <c r="T10" s="31">
        <f t="shared" si="0"/>
        <v>2040</v>
      </c>
      <c r="U10" s="31">
        <f t="shared" si="0"/>
        <v>2041</v>
      </c>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row>
    <row r="11" spans="1:49" x14ac:dyDescent="0.2">
      <c r="B11" s="28" t="s">
        <v>46</v>
      </c>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row>
    <row r="12" spans="1:49" x14ac:dyDescent="0.2">
      <c r="B12" s="26" t="s">
        <v>48</v>
      </c>
      <c r="C12" s="2">
        <f>'Input data'!C13</f>
        <v>-1.2609140000000001</v>
      </c>
      <c r="D12" s="2">
        <f>'Input data'!D13</f>
        <v>-1.0152870000000001</v>
      </c>
      <c r="E12" s="3">
        <f>'Adjust. no safeguard'!E12</f>
        <v>-0.47528700000000002</v>
      </c>
      <c r="F12" s="3">
        <f>'Adjust. no safeguard'!F12</f>
        <v>6.4713000000000021E-2</v>
      </c>
      <c r="G12" s="3">
        <f>'Adjust. no safeguard'!G12</f>
        <v>0.60471300000000006</v>
      </c>
      <c r="H12" s="3">
        <f>'Adjust. no safeguard'!H12</f>
        <v>1.1447130000000001</v>
      </c>
      <c r="I12" s="116">
        <f>'Adjust. no safeguard'!I12</f>
        <v>1.1447130000000001</v>
      </c>
      <c r="J12" s="116">
        <f>'Adjust. no safeguard'!J12</f>
        <v>1.1447130000000001</v>
      </c>
      <c r="K12" s="116">
        <f>'Adjust. no safeguard'!K12</f>
        <v>1.1447130000000001</v>
      </c>
      <c r="L12" s="116">
        <f>IF(L10&lt;=$C$6,K12+'Criteria results'!$F$6,K12)</f>
        <v>1.1447130000000001</v>
      </c>
      <c r="M12" s="116">
        <f>IF(M10&lt;=$C$6,L12+'Criteria results'!$F$6,L12)</f>
        <v>1.1447130000000001</v>
      </c>
      <c r="N12" s="116">
        <f>IF(N10&lt;=$C$6,M12+'Criteria results'!$F$6,M12)</f>
        <v>1.1447130000000001</v>
      </c>
      <c r="O12" s="116">
        <f>IF(O10&lt;=$C$6,N12+'Criteria results'!$F$6,N12)</f>
        <v>1.1447130000000001</v>
      </c>
      <c r="P12" s="116">
        <f>IF(P10&lt;=$C$6,O12+'Criteria results'!$F$6,O12)</f>
        <v>1.1447130000000001</v>
      </c>
      <c r="Q12" s="116">
        <f>IF(Q10&lt;=$C$6,P12+'Criteria results'!$F$6,P12)</f>
        <v>1.1447130000000001</v>
      </c>
      <c r="R12" s="116">
        <f>IF(R10&lt;=$C$6,Q12+'Criteria results'!$F$6,Q12)</f>
        <v>1.1447130000000001</v>
      </c>
      <c r="S12" s="116">
        <f>IF(S10&lt;=$C$6,R12+'Criteria results'!$F$6,R12)</f>
        <v>1.1447130000000001</v>
      </c>
      <c r="T12" s="116">
        <f>IF(T10&lt;=$C$6,S12+'Criteria results'!$F$6,S12)</f>
        <v>1.1447130000000001</v>
      </c>
      <c r="U12" s="116">
        <f>IF(U10&lt;=$C$6,T12+'Criteria results'!$F$6,T12)</f>
        <v>1.1447130000000001</v>
      </c>
      <c r="V12" s="59"/>
      <c r="W12" s="59"/>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60"/>
    </row>
    <row r="13" spans="1:49" x14ac:dyDescent="0.2">
      <c r="B13" s="26" t="s">
        <v>49</v>
      </c>
      <c r="C13" s="2">
        <f>'Input data'!C14</f>
        <v>0</v>
      </c>
      <c r="D13" s="2">
        <f>'Input data'!D14</f>
        <v>0</v>
      </c>
      <c r="E13" s="2">
        <f>'Input data'!E14</f>
        <v>0</v>
      </c>
      <c r="F13" s="2">
        <f>'Input data'!F14</f>
        <v>0</v>
      </c>
      <c r="G13" s="2">
        <f>'Input data'!G14</f>
        <v>0</v>
      </c>
      <c r="H13" s="2">
        <f>'Input data'!H14</f>
        <v>0</v>
      </c>
      <c r="I13" s="2">
        <f>'Input data'!I14</f>
        <v>0</v>
      </c>
      <c r="J13" s="2">
        <f>'Input data'!J14</f>
        <v>0</v>
      </c>
      <c r="K13" s="2">
        <f>'Input data'!K14</f>
        <v>0</v>
      </c>
      <c r="L13" s="2">
        <f>'Input data'!L14</f>
        <v>0</v>
      </c>
      <c r="M13" s="2">
        <f>'Input data'!M14</f>
        <v>0</v>
      </c>
      <c r="N13" s="2">
        <f>'Input data'!N14</f>
        <v>0</v>
      </c>
      <c r="O13" s="2">
        <f>'Input data'!O14</f>
        <v>0</v>
      </c>
      <c r="P13" s="2">
        <f>'Input data'!P14</f>
        <v>0</v>
      </c>
      <c r="Q13" s="2">
        <f>'Input data'!Q14</f>
        <v>0</v>
      </c>
      <c r="R13" s="2">
        <f>'Input data'!R14</f>
        <v>0</v>
      </c>
      <c r="S13" s="2">
        <f>'Input data'!S14</f>
        <v>0</v>
      </c>
      <c r="T13" s="2">
        <f>'Input data'!T14</f>
        <v>0</v>
      </c>
      <c r="U13" s="2">
        <f>'Input data'!U14</f>
        <v>0</v>
      </c>
      <c r="V13" s="59"/>
      <c r="W13" s="59"/>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60"/>
    </row>
    <row r="14" spans="1:49" x14ac:dyDescent="0.2">
      <c r="B14" s="26" t="s">
        <v>84</v>
      </c>
      <c r="C14" s="2">
        <f>'Input data'!C15</f>
        <v>-1.0004850000000001</v>
      </c>
      <c r="D14" s="2">
        <f>'Input data'!D15</f>
        <v>-1.4394560000000001</v>
      </c>
      <c r="E14" s="2">
        <f>'Input data'!E15</f>
        <v>8.5767899999999994E-2</v>
      </c>
      <c r="F14" s="2">
        <f>'Input data'!F15</f>
        <v>0.1097981</v>
      </c>
      <c r="G14" s="2">
        <f>'Input data'!G15</f>
        <v>0</v>
      </c>
      <c r="H14" s="2">
        <f>'Input data'!H15</f>
        <v>0</v>
      </c>
      <c r="I14" s="2">
        <f>'Input data'!I15</f>
        <v>0</v>
      </c>
      <c r="J14" s="2">
        <f>'Input data'!J15</f>
        <v>0</v>
      </c>
      <c r="K14" s="2">
        <f>'Input data'!K15</f>
        <v>0</v>
      </c>
      <c r="L14" s="2">
        <f>'Input data'!L15</f>
        <v>0</v>
      </c>
      <c r="M14" s="2">
        <f>'Input data'!M15</f>
        <v>0</v>
      </c>
      <c r="N14" s="2">
        <f>'Input data'!N15</f>
        <v>0</v>
      </c>
      <c r="O14" s="2">
        <f>'Input data'!O15</f>
        <v>0</v>
      </c>
      <c r="P14" s="2">
        <f>'Input data'!P15</f>
        <v>0</v>
      </c>
      <c r="Q14" s="2">
        <f>'Input data'!Q15</f>
        <v>0</v>
      </c>
      <c r="R14" s="2">
        <f>'Input data'!R15</f>
        <v>0</v>
      </c>
      <c r="S14" s="2">
        <f>'Input data'!S15</f>
        <v>0</v>
      </c>
      <c r="T14" s="2">
        <f>'Input data'!T15</f>
        <v>0</v>
      </c>
      <c r="U14" s="2">
        <f>'Input data'!U15</f>
        <v>0</v>
      </c>
      <c r="V14" s="59"/>
      <c r="W14" s="59"/>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60"/>
    </row>
    <row r="15" spans="1:49" ht="5.65" customHeight="1" x14ac:dyDescent="0.2">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row>
    <row r="16" spans="1:49" ht="11.25" customHeight="1" x14ac:dyDescent="0.2">
      <c r="B16" s="30" t="str">
        <f>'Input data'!B19</f>
        <v>Cost of ageing and selected public revenue (based on the Commission-Council 2024 Ageing Report ("AR 2024"))</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row>
    <row r="17" spans="1:52" x14ac:dyDescent="0.2">
      <c r="A17" s="61"/>
      <c r="B17" s="26" t="s">
        <v>52</v>
      </c>
      <c r="C17" s="99">
        <f>'Input data'!C20</f>
        <v>23.099999999999998</v>
      </c>
      <c r="D17" s="99">
        <f>'Input data'!D20</f>
        <v>23.3</v>
      </c>
      <c r="E17" s="99">
        <f>'Input data'!E20</f>
        <v>23.4</v>
      </c>
      <c r="F17" s="99">
        <f>'Input data'!F20</f>
        <v>23.4</v>
      </c>
      <c r="G17" s="99">
        <f>'Input data'!G20</f>
        <v>23.6</v>
      </c>
      <c r="H17" s="99">
        <f>'Input data'!H20</f>
        <v>23.7</v>
      </c>
      <c r="I17" s="99">
        <f>'Input data'!I20</f>
        <v>23.799999999999997</v>
      </c>
      <c r="J17" s="99">
        <f>'Input data'!J20</f>
        <v>23.9</v>
      </c>
      <c r="K17" s="99">
        <f>'Input data'!K20</f>
        <v>24</v>
      </c>
      <c r="L17" s="99">
        <f>'Input data'!L20</f>
        <v>24.2</v>
      </c>
      <c r="M17" s="99">
        <f>'Input data'!M20</f>
        <v>24.3</v>
      </c>
      <c r="N17" s="99">
        <f>'Input data'!N20</f>
        <v>24.3</v>
      </c>
      <c r="O17" s="99">
        <f>'Input data'!O20</f>
        <v>24.4</v>
      </c>
      <c r="P17" s="99">
        <f>'Input data'!P20</f>
        <v>24.499999999999996</v>
      </c>
      <c r="Q17" s="99">
        <f>'Input data'!Q20</f>
        <v>24.499999999999996</v>
      </c>
      <c r="R17" s="99">
        <f>'Input data'!R20</f>
        <v>24.499999999999996</v>
      </c>
      <c r="S17" s="99">
        <f>'Input data'!S20</f>
        <v>24.5</v>
      </c>
      <c r="T17" s="99">
        <f>'Input data'!T20</f>
        <v>24.400000000000002</v>
      </c>
      <c r="U17" s="99">
        <f>'Input data'!U20</f>
        <v>24.400000000000002</v>
      </c>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row>
    <row r="18" spans="1:52" x14ac:dyDescent="0.2">
      <c r="A18" s="61"/>
      <c r="B18" s="26" t="s">
        <v>58</v>
      </c>
      <c r="C18" s="99">
        <f>'Input data'!C26</f>
        <v>0.71641730000000003</v>
      </c>
      <c r="D18" s="99">
        <f>'Input data'!D26</f>
        <v>0.71176019999999995</v>
      </c>
      <c r="E18" s="99">
        <f>'Input data'!E26</f>
        <v>0.70710320000000004</v>
      </c>
      <c r="F18" s="99">
        <f>'Input data'!F26</f>
        <v>0.70244620000000002</v>
      </c>
      <c r="G18" s="99">
        <f>'Input data'!G26</f>
        <v>0.69778910000000005</v>
      </c>
      <c r="H18" s="99">
        <f>'Input data'!H26</f>
        <v>0.69313210000000003</v>
      </c>
      <c r="I18" s="99">
        <f>'Input data'!I26</f>
        <v>0.68847510000000001</v>
      </c>
      <c r="J18" s="99">
        <f>'Input data'!J26</f>
        <v>0.68381800000000004</v>
      </c>
      <c r="K18" s="99">
        <f>'Input data'!K26</f>
        <v>0.67916100000000001</v>
      </c>
      <c r="L18" s="99">
        <f>'Input data'!L26</f>
        <v>0.67450399999999999</v>
      </c>
      <c r="M18" s="99">
        <f>'Input data'!M26</f>
        <v>0.66984699999999997</v>
      </c>
      <c r="N18" s="99">
        <f>'Input data'!N26</f>
        <v>0.6651899</v>
      </c>
      <c r="O18" s="99">
        <f>'Input data'!O26</f>
        <v>0.66053280000000003</v>
      </c>
      <c r="P18" s="99">
        <f>'Input data'!P26</f>
        <v>0.65587580000000001</v>
      </c>
      <c r="Q18" s="99">
        <f>'Input data'!Q26</f>
        <v>0.65121879999999999</v>
      </c>
      <c r="R18" s="99">
        <f>'Input data'!R26</f>
        <v>0.64656170000000002</v>
      </c>
      <c r="S18" s="99">
        <f>'Input data'!S26</f>
        <v>0.64190460000000005</v>
      </c>
      <c r="T18" s="99">
        <f>'Input data'!T26</f>
        <v>0.63724760000000003</v>
      </c>
      <c r="U18" s="99">
        <f>'Input data'!U26</f>
        <v>0.63259049999999994</v>
      </c>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row>
    <row r="19" spans="1:52" x14ac:dyDescent="0.2">
      <c r="I19" s="38"/>
      <c r="J19" s="38"/>
      <c r="K19" s="38"/>
    </row>
    <row r="20" spans="1:52" x14ac:dyDescent="0.2">
      <c r="B20" s="28" t="s">
        <v>85</v>
      </c>
      <c r="I20" s="38"/>
      <c r="J20" s="38"/>
      <c r="K20" s="38"/>
    </row>
    <row r="21" spans="1:52" ht="10.5" customHeight="1" x14ac:dyDescent="0.2">
      <c r="B21" s="30" t="s">
        <v>86</v>
      </c>
    </row>
    <row r="22" spans="1:52" x14ac:dyDescent="0.2">
      <c r="B22" s="26" t="s">
        <v>61</v>
      </c>
      <c r="C22" s="98">
        <f>'Input data'!C31</f>
        <v>3615.547</v>
      </c>
      <c r="D22" s="98">
        <f>IF(AND(D50&gt;1,C50&gt;1),IF(AND(D50&gt;0,C50&gt;0),D27*(D51/100+1),0)+IF(D50&gt;0,C22*(1+D52/100),0)-C22*(1+'Input data'!D30/100),IF(D50=1,D27,C22*(1+D52/100)))</f>
        <v>3606.922976747233</v>
      </c>
      <c r="E22" s="34">
        <f>IF(AND(E50&gt;1,D50&gt;1),
E27*(1+('Baseline NFPC'!E$29+E51)/100)-D22*$C$47*(E12-D12)/100,
IF(E50=1,E27,D22*(1+E52/100)))</f>
        <v>3598.5246569643273</v>
      </c>
      <c r="F22" s="34">
        <f>IF(AND(F50&gt;1,E50&gt;1),
F27*(1+('Baseline NFPC'!F$29+F51)/100)-E22*$C$47*(F12-E12)/100,
IF(F50=1,F27,E22*(1+F52/100)))</f>
        <v>3611.4128096625222</v>
      </c>
      <c r="G22" s="34">
        <f t="shared" ref="G22:U22" si="1">IF(AND(G50&gt;1,F50&gt;1),
G27*(1+G51/100)-F22*$C$47*(G12-F12)/100,
IF(G50=1,G27,F22*(1+G52/100)))</f>
        <v>3635.9199842230114</v>
      </c>
      <c r="H22" s="34">
        <f t="shared" si="1"/>
        <v>3661.6310006310255</v>
      </c>
      <c r="I22" s="4">
        <f t="shared" si="1"/>
        <v>3685.7989858080828</v>
      </c>
      <c r="J22" s="4">
        <f t="shared" si="1"/>
        <v>3709.1387449247054</v>
      </c>
      <c r="K22" s="4">
        <f t="shared" si="1"/>
        <v>3731.5408437498595</v>
      </c>
      <c r="L22" s="4">
        <f t="shared" si="1"/>
        <v>3734.7745112196139</v>
      </c>
      <c r="M22" s="4">
        <f t="shared" si="1"/>
        <v>3737.934645854988</v>
      </c>
      <c r="N22" s="4">
        <f t="shared" si="1"/>
        <v>3744.5191223958318</v>
      </c>
      <c r="O22" s="4">
        <f t="shared" si="1"/>
        <v>3758.7771166246212</v>
      </c>
      <c r="P22" s="4">
        <f t="shared" si="1"/>
        <v>3780.7804716365454</v>
      </c>
      <c r="Q22" s="4">
        <f t="shared" si="1"/>
        <v>3810.6486751702787</v>
      </c>
      <c r="R22" s="4">
        <f t="shared" si="1"/>
        <v>3844.1823454052901</v>
      </c>
      <c r="S22" s="4">
        <f t="shared" si="1"/>
        <v>3881.4711063648388</v>
      </c>
      <c r="T22" s="4">
        <f t="shared" si="1"/>
        <v>3922.2264753522477</v>
      </c>
      <c r="U22" s="4">
        <f t="shared" si="1"/>
        <v>3963.8021544355111</v>
      </c>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row>
    <row r="23" spans="1:52" x14ac:dyDescent="0.2">
      <c r="A23" s="61"/>
      <c r="B23" s="62" t="s">
        <v>142</v>
      </c>
      <c r="C23" s="98">
        <f>'Baseline NFPC'!C23</f>
        <v>-0.26643830000000002</v>
      </c>
      <c r="D23" s="98">
        <f t="shared" ref="D23:R23" si="2">100*(D22/C22-1)</f>
        <v>-0.23852610000000274</v>
      </c>
      <c r="E23" s="34">
        <f t="shared" si="2"/>
        <v>-0.23283890000000973</v>
      </c>
      <c r="F23" s="34">
        <f t="shared" si="2"/>
        <v>0.35815101817495698</v>
      </c>
      <c r="G23" s="34">
        <f t="shared" si="2"/>
        <v>0.67860352311204242</v>
      </c>
      <c r="H23" s="34">
        <f t="shared" si="2"/>
        <v>0.70713922527392281</v>
      </c>
      <c r="I23" s="4">
        <f>100*(I22/H22-1)</f>
        <v>0.66003333413149345</v>
      </c>
      <c r="J23" s="4">
        <f>100*(J22/I22-1)</f>
        <v>0.63323472621514831</v>
      </c>
      <c r="K23" s="4">
        <f t="shared" si="2"/>
        <v>0.60397036524468817</v>
      </c>
      <c r="L23" s="4">
        <f t="shared" si="2"/>
        <v>8.6657700000003501E-2</v>
      </c>
      <c r="M23" s="4">
        <f t="shared" si="2"/>
        <v>8.4613799999999628E-2</v>
      </c>
      <c r="N23" s="4">
        <f t="shared" si="2"/>
        <v>0.17615280000000677</v>
      </c>
      <c r="O23" s="4">
        <f t="shared" si="2"/>
        <v>0.38076970000000543</v>
      </c>
      <c r="P23" s="4">
        <f t="shared" si="2"/>
        <v>0.58538599999999885</v>
      </c>
      <c r="Q23" s="4">
        <f t="shared" si="2"/>
        <v>0.79000099999999573</v>
      </c>
      <c r="R23" s="4">
        <f t="shared" si="2"/>
        <v>0.87999899999999798</v>
      </c>
      <c r="S23" s="4">
        <f t="shared" ref="S23" si="3">100*(S22/R22-1)</f>
        <v>0.97000499999999601</v>
      </c>
      <c r="T23" s="4">
        <f t="shared" ref="T23" si="4">100*(T22/S22-1)</f>
        <v>1.0499980000000075</v>
      </c>
      <c r="U23" s="4">
        <f t="shared" ref="U23" si="5">100*(U22/T22-1)</f>
        <v>1.0600020000000043</v>
      </c>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row>
    <row r="24" spans="1:52" s="5" customFormat="1" ht="10.15" customHeight="1" x14ac:dyDescent="0.2">
      <c r="B24" s="32" t="s">
        <v>143</v>
      </c>
      <c r="C24" s="34"/>
      <c r="D24" s="34"/>
      <c r="E24" s="34"/>
      <c r="F24" s="34"/>
      <c r="G24" s="34"/>
      <c r="H24" s="34"/>
      <c r="I24" s="4">
        <f>IF('Criteria results'!$F$5=4,'Input data'!I30-0.5,'Input data'!I30)</f>
        <v>0.55773399999999995</v>
      </c>
      <c r="J24" s="4">
        <f>IF('Criteria results'!$F$5=4,'Input data'!J30-0.5,'Input data'!J30)</f>
        <v>0.13380049999999999</v>
      </c>
      <c r="K24" s="4">
        <f>IF('Criteria results'!$F$5=4,'Input data'!K30-0.5,'Input data'!K30)</f>
        <v>0.10714469999999998</v>
      </c>
      <c r="L24" s="4">
        <f>'Input data'!L30-0.5</f>
        <v>8.6657699999999949E-2</v>
      </c>
      <c r="M24" s="4">
        <f>'Input data'!M30-0.5</f>
        <v>8.4613799999999961E-2</v>
      </c>
      <c r="N24" s="4">
        <f>'Input data'!N30-0.5</f>
        <v>0.1761528</v>
      </c>
      <c r="O24" s="4">
        <f>'Input data'!O30-0.5</f>
        <v>0.38076969999999999</v>
      </c>
      <c r="P24" s="4">
        <f>'Input data'!P30-0.5</f>
        <v>0.58538599999999996</v>
      </c>
      <c r="Q24" s="4">
        <f>'Input data'!Q30-0.5</f>
        <v>0.79000099999999995</v>
      </c>
      <c r="R24" s="4">
        <f>'Input data'!R30-0.5</f>
        <v>0.87999899999999998</v>
      </c>
      <c r="S24" s="4">
        <f>'Input data'!S30-0.5</f>
        <v>0.97000500000000001</v>
      </c>
      <c r="T24" s="4">
        <f>'Input data'!T30-0.5</f>
        <v>1.049998</v>
      </c>
      <c r="U24" s="4">
        <f>'Input data'!U30-0.5</f>
        <v>1.0600020000000001</v>
      </c>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row>
    <row r="25" spans="1:52" s="5" customFormat="1" ht="10.15" customHeight="1" x14ac:dyDescent="0.2">
      <c r="B25" s="32"/>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row>
    <row r="26" spans="1:52" x14ac:dyDescent="0.2">
      <c r="B26" s="30" t="s">
        <v>144</v>
      </c>
    </row>
    <row r="27" spans="1:52" x14ac:dyDescent="0.2">
      <c r="B27" s="26" t="s">
        <v>61</v>
      </c>
      <c r="C27" s="98">
        <f>'Input data'!C34</f>
        <v>3640.4940000000001</v>
      </c>
      <c r="D27" s="98">
        <f>+C27*(1+'Input data'!D33/100)</f>
        <v>3656.8929838343765</v>
      </c>
      <c r="E27" s="34">
        <f>+D27*(1+'Input data'!E33/100)</f>
        <v>3666.6689924169909</v>
      </c>
      <c r="F27" s="34">
        <f>+E27*(1+'Input data'!F33/100)</f>
        <v>3679.4239441740615</v>
      </c>
      <c r="G27" s="34">
        <f>+F27*(1+'Input data'!G33/100)</f>
        <v>3696.0923638226645</v>
      </c>
      <c r="H27" s="34">
        <f>+G27*(1+'Input data'!H33/100)</f>
        <v>3716.6950036021294</v>
      </c>
      <c r="I27" s="4">
        <f>IF('Criteria results'!$F$5=4,H27*(1+'Input data'!I33/100-0.005),H27*(1+'Input data'!I33/100))</f>
        <v>3722.5663112996599</v>
      </c>
      <c r="J27" s="4">
        <f>IF('Criteria results'!$F$5=4,I27*(1+'Input data'!J33/100-0.005),I27*(1+'Input data'!J33/100))</f>
        <v>3727.5470045148886</v>
      </c>
      <c r="K27" s="4">
        <f>IF('Criteria results'!$F$5=4,J27*(1+'Input data'!K33/100-0.005),J27*(1+'Input data'!K33/100))</f>
        <v>3731.5408437498595</v>
      </c>
      <c r="L27" s="4">
        <f>+K27*(1+'Input data'!L33/100-0.005)</f>
        <v>3734.7745298773179</v>
      </c>
      <c r="M27" s="4">
        <f>+L27*(1+'Input data'!M33/100-0.005)</f>
        <v>3737.934679467578</v>
      </c>
      <c r="N27" s="4">
        <f>+M27*(1+'Input data'!N33/100-0.005)</f>
        <v>3744.5190700951343</v>
      </c>
      <c r="O27" s="4">
        <f>+N27*(1+'Input data'!O33/100-0.005)</f>
        <v>3758.7769630227635</v>
      </c>
      <c r="P27" s="4">
        <f>+O27*(1+'Input data'!P33/100-0.005)</f>
        <v>3780.7802043722158</v>
      </c>
      <c r="Q27" s="4">
        <f>+P27*(1+'Input data'!Q33/100-0.005)</f>
        <v>3810.6483679867565</v>
      </c>
      <c r="R27" s="4">
        <f>+Q27*(1+'Input data'!R33/100-0.005)</f>
        <v>3844.1820736250406</v>
      </c>
      <c r="S27" s="4">
        <f>+R27*(1+'Input data'!S33/100-0.005)</f>
        <v>3881.4706397392038</v>
      </c>
      <c r="T27" s="4">
        <f>+S27*(1+'Input data'!T33/100-0.005)</f>
        <v>3922.2260814564661</v>
      </c>
      <c r="U27" s="4">
        <f>+T27*(1+'Input data'!U33/100-0.005)</f>
        <v>3963.8016779199052</v>
      </c>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row>
    <row r="28" spans="1:52" ht="5.25" customHeight="1" x14ac:dyDescent="0.2">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row>
    <row r="29" spans="1:52" x14ac:dyDescent="0.2">
      <c r="B29" s="30" t="s">
        <v>88</v>
      </c>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row>
    <row r="30" spans="1:52" x14ac:dyDescent="0.2">
      <c r="B30" s="26" t="s">
        <v>88</v>
      </c>
      <c r="C30" s="98">
        <f>100*(C22/C27-1)</f>
        <v>-0.68526414272349623</v>
      </c>
      <c r="D30" s="98">
        <f t="shared" ref="D30:U30" si="6">100*(D22/D27-1)</f>
        <v>-1.3664607443543031</v>
      </c>
      <c r="E30" s="34">
        <f t="shared" si="6"/>
        <v>-1.8584806971557177</v>
      </c>
      <c r="F30" s="34">
        <f t="shared" si="6"/>
        <v>-1.8484180008456752</v>
      </c>
      <c r="G30" s="34">
        <f t="shared" si="6"/>
        <v>-1.6279998895217029</v>
      </c>
      <c r="H30" s="34">
        <f t="shared" si="6"/>
        <v>-1.4815313852155509</v>
      </c>
      <c r="I30" s="34">
        <f t="shared" si="6"/>
        <v>-0.98768759014370433</v>
      </c>
      <c r="J30" s="34">
        <f t="shared" si="6"/>
        <v>-0.49384379507184661</v>
      </c>
      <c r="K30" s="34">
        <f t="shared" si="6"/>
        <v>0</v>
      </c>
      <c r="L30" s="34">
        <f t="shared" si="6"/>
        <v>-4.9956707659504218E-7</v>
      </c>
      <c r="M30" s="34">
        <f t="shared" si="6"/>
        <v>-8.9922892465565951E-7</v>
      </c>
      <c r="N30" s="34">
        <f t="shared" si="6"/>
        <v>1.3967266898617936E-6</v>
      </c>
      <c r="O30" s="34">
        <f t="shared" si="6"/>
        <v>4.0864850170407863E-6</v>
      </c>
      <c r="P30" s="34">
        <f t="shared" si="6"/>
        <v>7.0690258313632626E-6</v>
      </c>
      <c r="Q30" s="34">
        <f t="shared" si="6"/>
        <v>8.0611878283676219E-6</v>
      </c>
      <c r="R30" s="34">
        <f t="shared" si="6"/>
        <v>7.0699109455674147E-6</v>
      </c>
      <c r="S30" s="34">
        <f t="shared" si="6"/>
        <v>1.2021877227041955E-5</v>
      </c>
      <c r="T30" s="34">
        <f t="shared" si="6"/>
        <v>1.0042658771247659E-5</v>
      </c>
      <c r="U30" s="34">
        <f t="shared" si="6"/>
        <v>1.202168131708703E-5</v>
      </c>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row>
    <row r="31" spans="1:52" ht="5.25" customHeight="1" x14ac:dyDescent="0.2">
      <c r="C31" s="34"/>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row>
    <row r="32" spans="1:52" x14ac:dyDescent="0.2">
      <c r="B32" s="30" t="s">
        <v>89</v>
      </c>
      <c r="C32" s="34"/>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row>
    <row r="33" spans="2:49" x14ac:dyDescent="0.2">
      <c r="B33" s="26" t="s">
        <v>60</v>
      </c>
      <c r="C33" s="2">
        <f>100*((1+C23/100)*(1+C42/100)-1)</f>
        <v>5.8601126137103998</v>
      </c>
      <c r="D33" s="2">
        <f t="shared" ref="D33:U33" si="7">100*((1+D23/100)*(1+D42/100)-1)</f>
        <v>2.860079245940339</v>
      </c>
      <c r="E33" s="1">
        <f t="shared" si="7"/>
        <v>2.2007954281148434</v>
      </c>
      <c r="F33" s="1">
        <f t="shared" si="7"/>
        <v>2.5317620463281454</v>
      </c>
      <c r="G33" s="1">
        <f t="shared" si="7"/>
        <v>2.8710031944206182</v>
      </c>
      <c r="H33" s="1">
        <f t="shared" si="7"/>
        <v>2.9120117642938537</v>
      </c>
      <c r="I33" s="1">
        <f t="shared" si="7"/>
        <v>2.8757204656186364</v>
      </c>
      <c r="J33" s="1">
        <f t="shared" si="7"/>
        <v>2.8601747484449325</v>
      </c>
      <c r="K33" s="1">
        <f t="shared" si="7"/>
        <v>2.8421021152716941</v>
      </c>
      <c r="L33" s="1">
        <f t="shared" si="7"/>
        <v>2.3250592678304427</v>
      </c>
      <c r="M33" s="1">
        <f t="shared" si="7"/>
        <v>2.3347478643164665</v>
      </c>
      <c r="N33" s="1">
        <f t="shared" si="7"/>
        <v>2.4401338532800132</v>
      </c>
      <c r="O33" s="1">
        <f t="shared" si="7"/>
        <v>2.6363255951590059</v>
      </c>
      <c r="P33" s="1">
        <f t="shared" si="7"/>
        <v>2.8324635232400031</v>
      </c>
      <c r="Q33" s="1">
        <f t="shared" si="7"/>
        <v>3.0285469222099959</v>
      </c>
      <c r="R33" s="1">
        <f t="shared" si="7"/>
        <v>3.1074293779200124</v>
      </c>
      <c r="S33" s="1">
        <f t="shared" si="7"/>
        <v>3.1862966097499834</v>
      </c>
      <c r="T33" s="1">
        <f t="shared" si="7"/>
        <v>3.2549089563600031</v>
      </c>
      <c r="U33" s="1">
        <f t="shared" si="7"/>
        <v>3.251993443380008</v>
      </c>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row>
    <row r="35" spans="2:49" x14ac:dyDescent="0.2">
      <c r="B35" s="28" t="s">
        <v>145</v>
      </c>
    </row>
    <row r="36" spans="2:49" x14ac:dyDescent="0.2">
      <c r="B36" s="26" t="s">
        <v>63</v>
      </c>
      <c r="C36" s="98">
        <f>'Input data'!C37</f>
        <v>1.422372</v>
      </c>
      <c r="D36" s="98">
        <f>'Input data'!D37</f>
        <v>1.7254640000000001</v>
      </c>
      <c r="E36" s="98">
        <f>'Input data'!E37</f>
        <v>1.8</v>
      </c>
      <c r="F36" s="34">
        <f t="shared" ref="F36:U36" si="8">F93</f>
        <v>1.7990942278989217</v>
      </c>
      <c r="G36" s="34">
        <f t="shared" si="8"/>
        <v>1.9393064891870158</v>
      </c>
      <c r="H36" s="34">
        <f t="shared" si="8"/>
        <v>2.0651772983228507</v>
      </c>
      <c r="I36" s="34">
        <f>I93</f>
        <v>2.2924805599067026</v>
      </c>
      <c r="J36" s="34">
        <f t="shared" si="8"/>
        <v>2.455402096599915</v>
      </c>
      <c r="K36" s="34">
        <f t="shared" si="8"/>
        <v>2.6086607961374653</v>
      </c>
      <c r="L36" s="34">
        <f t="shared" si="8"/>
        <v>2.7532925282296326</v>
      </c>
      <c r="M36" s="34">
        <f t="shared" si="8"/>
        <v>2.8949582551823028</v>
      </c>
      <c r="N36" s="34">
        <f t="shared" si="8"/>
        <v>3.0321969476005823</v>
      </c>
      <c r="O36" s="34">
        <f t="shared" si="8"/>
        <v>3.1366226147658578</v>
      </c>
      <c r="P36" s="34">
        <f t="shared" si="8"/>
        <v>3.231473684825231</v>
      </c>
      <c r="Q36" s="34">
        <f t="shared" si="8"/>
        <v>3.317753417802491</v>
      </c>
      <c r="R36" s="34">
        <f t="shared" si="8"/>
        <v>3.3955856767579551</v>
      </c>
      <c r="S36" s="34">
        <f t="shared" si="8"/>
        <v>3.4661042092379755</v>
      </c>
      <c r="T36" s="34">
        <f t="shared" si="8"/>
        <v>3.5303060602354757</v>
      </c>
      <c r="U36" s="34">
        <f t="shared" si="8"/>
        <v>3.5884382433344957</v>
      </c>
    </row>
    <row r="37" spans="2:49" x14ac:dyDescent="0.2">
      <c r="B37" s="32" t="s">
        <v>91</v>
      </c>
      <c r="C37" s="2">
        <f>'Input data'!C$39</f>
        <v>2.4300000000000002</v>
      </c>
      <c r="D37" s="163">
        <f>'Input data'!D$39</f>
        <v>2.3224999999999998</v>
      </c>
      <c r="E37" s="163">
        <f>'Input data'!E$39</f>
        <v>2.544438</v>
      </c>
      <c r="F37" s="163">
        <f>'Input data'!F$39</f>
        <v>2.698655</v>
      </c>
      <c r="G37" s="1">
        <f>$F$37+('Input data'!$C$52-$F$37)/($N$10-$F$10)*(G10-$F$10)</f>
        <v>2.7743606249999999</v>
      </c>
      <c r="H37" s="1">
        <f>$F$37+('Input data'!$C$52-$F$37)/($N$10-$F$10)*(H10-$F$10)</f>
        <v>2.8500662500000002</v>
      </c>
      <c r="I37" s="4">
        <f>IF('Criteria results'!$F$5=4,
$F$37+('Input data'!$C$52-$F$37)/($N$10-$F$10)*(I10-$F$10)+0.5,
$F$37+('Input data'!$C$52-$F$37)/($N$10-$F$10)*(I10-$F$10))</f>
        <v>3.4257718750000001</v>
      </c>
      <c r="J37" s="4">
        <f>IF('Criteria results'!$F$5=4,
$F$37+('Input data'!$C$52-$F$37)/($N$10-$F$10)*(J10-$F$10)+0.5,
$F$37+('Input data'!$C$52-$F$37)/($N$10-$F$10)*(J10-$F$10))</f>
        <v>3.5014775</v>
      </c>
      <c r="K37" s="4">
        <f>IF('Criteria results'!$F$5=4,
$F$37+('Input data'!$C$52-$F$37)/($N$10-$F$10)*(K10-$F$10)+0.5,
$F$37+('Input data'!$C$52-$F$37)/($N$10-$F$10)*(K10-$F$10))</f>
        <v>3.5771831249999999</v>
      </c>
      <c r="L37" s="3">
        <f>$F$37+('Input data'!$C$52-$F$37)/($N$10-$F$10)*(L10-$F$10)+0.5</f>
        <v>3.6528887499999998</v>
      </c>
      <c r="M37" s="3">
        <f>$F$37+('Input data'!$C$52-$F$37)/($N$10-$F$10)*(M10-$F$10)+0.5</f>
        <v>3.7285943750000001</v>
      </c>
      <c r="N37" s="3">
        <f>'Baseline NFPC'!N36+0.5</f>
        <v>3.8043</v>
      </c>
      <c r="O37" s="3">
        <f>'Baseline NFPC'!O36+0.5</f>
        <v>3.8390849999999999</v>
      </c>
      <c r="P37" s="3">
        <f>'Baseline NFPC'!P36+0.5</f>
        <v>3.8738700000000001</v>
      </c>
      <c r="Q37" s="3">
        <f>'Baseline NFPC'!Q36+0.5</f>
        <v>3.908655</v>
      </c>
      <c r="R37" s="3">
        <f>'Baseline NFPC'!R36+0.5</f>
        <v>3.9434399999999998</v>
      </c>
      <c r="S37" s="3">
        <f>'Baseline NFPC'!S36+0.5</f>
        <v>3.9782250000000001</v>
      </c>
      <c r="T37" s="3">
        <f>'Baseline NFPC'!T36+0.5</f>
        <v>4.0130099999999995</v>
      </c>
      <c r="U37" s="3">
        <f>'Baseline NFPC'!U36+0.5</f>
        <v>4.0477949999999998</v>
      </c>
      <c r="V37" s="59"/>
      <c r="W37" s="59"/>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60"/>
    </row>
    <row r="38" spans="2:49" x14ac:dyDescent="0.2">
      <c r="B38" s="32" t="s">
        <v>92</v>
      </c>
      <c r="C38" s="2">
        <f>'Input data'!C$38</f>
        <v>3.43</v>
      </c>
      <c r="D38" s="163">
        <f>'Input data'!D$38</f>
        <v>3.5708329999999999</v>
      </c>
      <c r="E38" s="163">
        <f>'Input data'!E$38</f>
        <v>1.999333</v>
      </c>
      <c r="F38" s="163">
        <f>'Input data'!F$38</f>
        <v>1.7208330000000001</v>
      </c>
      <c r="G38" s="1">
        <f>$F$38+('Input data'!$C$53-$F$38)/($N$10-$F$10)*(G10-$F$10)</f>
        <v>1.877801375</v>
      </c>
      <c r="H38" s="1">
        <f>$F$38+('Input data'!$C$53-$F$38)/($N$10-$F$10)*(H10-$F$10)</f>
        <v>2.0347697500000002</v>
      </c>
      <c r="I38" s="4">
        <f>IF('Criteria results'!$F$5=4,
$F$38+('Input data'!$C$53-$F$38)/($N$10-$F$10)*(I10-$F$10)+0.5,
$F$38+('Input data'!$C$53-$F$38)/($N$10-$F$10)*(I10-$F$10))</f>
        <v>2.6917381250000001</v>
      </c>
      <c r="J38" s="4">
        <f>IF('Criteria results'!$F$5=4,
$F$38+('Input data'!$C$53-$F$38)/($N$10-$F$10)*(J10-$F$10)+0.5,
$F$38+('Input data'!$C$53-$F$38)/($N$10-$F$10)*(J10-$F$10))</f>
        <v>2.8487065</v>
      </c>
      <c r="K38" s="4">
        <f>IF('Criteria results'!$F$5=4,
$F$38+('Input data'!$C$53-$F$38)/($N$10-$F$10)*(K10-$F$10)+0.5,
$F$38+('Input data'!$C$53-$F$38)/($N$10-$F$10)*(K10-$F$10))</f>
        <v>3.005674875</v>
      </c>
      <c r="L38" s="3">
        <f>$F$38+('Input data'!$C$53-$F$38)/($N$10-$F$10)*(L10-$F$10)+0.5</f>
        <v>3.1626432499999999</v>
      </c>
      <c r="M38" s="3">
        <f>$F$38+('Input data'!$C$53-$F$38)/($N$10-$F$10)*(M10-$F$10)+0.5</f>
        <v>3.3196116249999998</v>
      </c>
      <c r="N38" s="3">
        <f>'Baseline NFPC'!N37+0.5</f>
        <v>3.4765799999999998</v>
      </c>
      <c r="O38" s="3">
        <f>'Baseline NFPC'!O37+0.5</f>
        <v>3.4277509999999998</v>
      </c>
      <c r="P38" s="3">
        <f>'Baseline NFPC'!P37+0.5</f>
        <v>3.3789219999999998</v>
      </c>
      <c r="Q38" s="3">
        <f>'Baseline NFPC'!Q37+0.5</f>
        <v>3.3300929999999997</v>
      </c>
      <c r="R38" s="3">
        <f>'Baseline NFPC'!R37+0.5</f>
        <v>3.2812639999999997</v>
      </c>
      <c r="S38" s="3">
        <f>'Baseline NFPC'!S37+0.5</f>
        <v>3.2324349999999997</v>
      </c>
      <c r="T38" s="3">
        <f>'Baseline NFPC'!T37+0.5</f>
        <v>3.1836059999999997</v>
      </c>
      <c r="U38" s="3">
        <f>'Baseline NFPC'!U37+0.5</f>
        <v>3.1347769999999997</v>
      </c>
      <c r="V38" s="59"/>
      <c r="W38" s="59"/>
      <c r="X38" s="59"/>
      <c r="Y38" s="59"/>
      <c r="Z38" s="59"/>
      <c r="AA38" s="59"/>
      <c r="AB38" s="59"/>
      <c r="AC38" s="59"/>
      <c r="AD38" s="59"/>
      <c r="AE38" s="59"/>
      <c r="AF38" s="59"/>
      <c r="AG38" s="59"/>
      <c r="AH38" s="59"/>
      <c r="AI38" s="59"/>
      <c r="AJ38" s="59"/>
      <c r="AK38" s="59"/>
      <c r="AL38" s="59"/>
      <c r="AM38" s="59"/>
      <c r="AN38" s="59"/>
      <c r="AO38" s="59"/>
      <c r="AP38" s="59"/>
      <c r="AQ38" s="59"/>
      <c r="AR38" s="59"/>
      <c r="AS38" s="59"/>
      <c r="AT38" s="59"/>
      <c r="AU38" s="59"/>
      <c r="AV38" s="59"/>
      <c r="AW38" s="60"/>
    </row>
    <row r="39" spans="2:49" s="5" customFormat="1" ht="12.75" x14ac:dyDescent="0.2">
      <c r="B39" s="26" t="s">
        <v>93</v>
      </c>
      <c r="C39" s="34">
        <f>'Baseline NFPC'!C38</f>
        <v>0.12643541</v>
      </c>
      <c r="D39" s="34">
        <f>'Baseline NFPC'!D38</f>
        <v>0.11798594</v>
      </c>
      <c r="E39" s="34">
        <f>'Baseline NFPC'!E38</f>
        <v>0.11258884</v>
      </c>
      <c r="F39" s="34">
        <f>'Baseline NFPC'!F38</f>
        <v>0.11390289111111111</v>
      </c>
      <c r="G39" s="34">
        <f>'Baseline NFPC'!G38</f>
        <v>0.11521694222222222</v>
      </c>
      <c r="H39" s="34">
        <f>'Baseline NFPC'!H38</f>
        <v>0.11653099333333333</v>
      </c>
      <c r="I39" s="34">
        <f>'Baseline NFPC'!I38</f>
        <v>0.11784504444444445</v>
      </c>
      <c r="J39" s="34">
        <f>'Baseline NFPC'!J38</f>
        <v>0.11915909555555555</v>
      </c>
      <c r="K39" s="34">
        <f>'Baseline NFPC'!K38</f>
        <v>0.12047314666666667</v>
      </c>
      <c r="L39" s="34">
        <f>'Baseline NFPC'!L38</f>
        <v>0.12178719777777779</v>
      </c>
      <c r="M39" s="34">
        <f>'Baseline NFPC'!M38</f>
        <v>0.12310124888888889</v>
      </c>
      <c r="N39" s="34">
        <f>'Baseline NFPC'!N38</f>
        <v>0.12441530000000001</v>
      </c>
      <c r="O39" s="34">
        <f>'Baseline NFPC'!O38</f>
        <v>0.12441530000000001</v>
      </c>
      <c r="P39" s="34">
        <f>'Baseline NFPC'!P38</f>
        <v>0.12441530000000001</v>
      </c>
      <c r="Q39" s="34">
        <f>'Baseline NFPC'!Q38</f>
        <v>0.12441530000000001</v>
      </c>
      <c r="R39" s="34">
        <f>'Baseline NFPC'!R38</f>
        <v>0.12441530000000001</v>
      </c>
      <c r="S39" s="34">
        <f>'Baseline NFPC'!S38</f>
        <v>0.12441530000000001</v>
      </c>
      <c r="T39" s="34">
        <f>'Baseline NFPC'!T38</f>
        <v>0.12441530000000001</v>
      </c>
      <c r="U39" s="34">
        <f>'Baseline NFPC'!U38</f>
        <v>0.12441530000000001</v>
      </c>
    </row>
    <row r="40" spans="2:49" x14ac:dyDescent="0.2">
      <c r="C40" s="1"/>
      <c r="D40" s="1"/>
      <c r="E40" s="1"/>
      <c r="F40" s="1"/>
      <c r="G40" s="1"/>
      <c r="H40" s="1"/>
      <c r="I40" s="1"/>
      <c r="J40" s="1"/>
      <c r="K40" s="1"/>
      <c r="L40" s="1"/>
      <c r="M40" s="1"/>
      <c r="N40" s="1"/>
      <c r="O40" s="1"/>
      <c r="P40" s="1"/>
      <c r="Q40" s="1"/>
      <c r="R40" s="1"/>
      <c r="S40" s="1"/>
      <c r="T40" s="1"/>
      <c r="U40" s="1"/>
      <c r="V40" s="59"/>
      <c r="W40" s="59"/>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60"/>
    </row>
    <row r="41" spans="2:49" x14ac:dyDescent="0.2">
      <c r="B41" s="28" t="s">
        <v>94</v>
      </c>
      <c r="C41" s="1"/>
      <c r="D41" s="1"/>
      <c r="E41" s="1"/>
      <c r="F41" s="1"/>
      <c r="G41" s="1"/>
      <c r="H41" s="1"/>
      <c r="I41" s="1"/>
      <c r="J41" s="1"/>
      <c r="K41" s="1"/>
      <c r="L41" s="1"/>
      <c r="M41" s="1"/>
      <c r="N41" s="1"/>
      <c r="O41" s="1"/>
      <c r="P41" s="1"/>
      <c r="Q41" s="1"/>
      <c r="R41" s="1"/>
      <c r="S41" s="1"/>
      <c r="T41" s="1"/>
      <c r="U41" s="1"/>
      <c r="V41" s="59"/>
      <c r="W41" s="59"/>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60"/>
    </row>
    <row r="42" spans="2:49" x14ac:dyDescent="0.2">
      <c r="B42" s="26" t="s">
        <v>139</v>
      </c>
      <c r="C42" s="2">
        <f>'Input data'!C42</f>
        <v>6.1429179999999999</v>
      </c>
      <c r="D42" s="2">
        <f>'Input data'!D42</f>
        <v>3.1060140000000001</v>
      </c>
      <c r="E42" s="2">
        <f>'Input data'!E42</f>
        <v>2.439314</v>
      </c>
      <c r="F42" s="2">
        <f>'Input data'!F42</f>
        <v>2.1658539999999999</v>
      </c>
      <c r="G42" s="1">
        <f>'Baseline NFPC'!G41</f>
        <v>2.1776222499999998</v>
      </c>
      <c r="H42" s="1">
        <f>'Baseline NFPC'!H41</f>
        <v>2.1893905</v>
      </c>
      <c r="I42" s="1">
        <f>'Baseline NFPC'!I41</f>
        <v>2.2011587499999998</v>
      </c>
      <c r="J42" s="1">
        <f>'Baseline NFPC'!J41</f>
        <v>2.2129269999999996</v>
      </c>
      <c r="K42" s="1">
        <f>'Baseline NFPC'!K41</f>
        <v>2.2246952499999999</v>
      </c>
      <c r="L42" s="1">
        <f>'Baseline NFPC'!L41</f>
        <v>2.2364634999999997</v>
      </c>
      <c r="M42" s="1">
        <f>'Baseline NFPC'!M41</f>
        <v>2.24823175</v>
      </c>
      <c r="N42" s="248">
        <f>'Baseline NFPC'!N41</f>
        <v>2.2599999999999998</v>
      </c>
      <c r="O42" s="1">
        <f>'Baseline NFPC'!O41</f>
        <v>2.2469999999999999</v>
      </c>
      <c r="P42" s="1">
        <f>'Baseline NFPC'!P41</f>
        <v>2.234</v>
      </c>
      <c r="Q42" s="1">
        <f>'Baseline NFPC'!Q41</f>
        <v>2.2209999999999996</v>
      </c>
      <c r="R42" s="1">
        <f>'Baseline NFPC'!R41</f>
        <v>2.2079999999999997</v>
      </c>
      <c r="S42" s="1">
        <f>'Baseline NFPC'!S41</f>
        <v>2.1949999999999998</v>
      </c>
      <c r="T42" s="1">
        <f>'Baseline NFPC'!T41</f>
        <v>2.1819999999999999</v>
      </c>
      <c r="U42" s="1">
        <f>'Baseline NFPC'!U41</f>
        <v>2.169</v>
      </c>
      <c r="V42" s="59"/>
      <c r="W42" s="59"/>
      <c r="X42" s="59"/>
      <c r="Y42" s="59"/>
      <c r="Z42" s="59"/>
      <c r="AA42" s="59"/>
      <c r="AB42" s="59"/>
      <c r="AC42" s="59"/>
      <c r="AD42" s="59"/>
      <c r="AE42" s="59"/>
      <c r="AF42" s="59"/>
      <c r="AG42" s="59"/>
      <c r="AH42" s="59"/>
      <c r="AI42" s="59"/>
      <c r="AJ42" s="59"/>
      <c r="AK42" s="59"/>
      <c r="AL42" s="59"/>
      <c r="AM42" s="59"/>
      <c r="AN42" s="59"/>
      <c r="AO42" s="59"/>
      <c r="AP42" s="59"/>
      <c r="AQ42" s="59"/>
      <c r="AR42" s="59"/>
      <c r="AS42" s="59"/>
      <c r="AT42" s="59"/>
      <c r="AU42" s="59"/>
      <c r="AV42" s="59"/>
      <c r="AW42" s="60"/>
    </row>
    <row r="43" spans="2:49" x14ac:dyDescent="0.2">
      <c r="B43" s="26" t="s">
        <v>95</v>
      </c>
      <c r="C43" s="1">
        <f>'Baseline NFPC'!C42</f>
        <v>0.99974450000000004</v>
      </c>
      <c r="D43" s="1">
        <f>'Baseline NFPC'!D42</f>
        <v>0.99998920000000002</v>
      </c>
      <c r="E43" s="1">
        <f>'Baseline NFPC'!E42</f>
        <v>0.99973610000000002</v>
      </c>
      <c r="F43" s="1">
        <f>'Baseline NFPC'!F42</f>
        <v>0.99982409999999999</v>
      </c>
      <c r="G43" s="1">
        <f>'Baseline NFPC'!G42</f>
        <v>1</v>
      </c>
      <c r="H43" s="1">
        <f>'Baseline NFPC'!H42</f>
        <v>1</v>
      </c>
      <c r="I43" s="1">
        <f>'Baseline NFPC'!I42</f>
        <v>1</v>
      </c>
      <c r="J43" s="1">
        <f>'Baseline NFPC'!J42</f>
        <v>1</v>
      </c>
      <c r="K43" s="1">
        <f>'Baseline NFPC'!K42</f>
        <v>1</v>
      </c>
      <c r="L43" s="1">
        <f>'Baseline NFPC'!L42</f>
        <v>1</v>
      </c>
      <c r="M43" s="1">
        <f>'Baseline NFPC'!M42</f>
        <v>1</v>
      </c>
      <c r="N43" s="1">
        <f>'Baseline NFPC'!N42</f>
        <v>1</v>
      </c>
      <c r="O43" s="1">
        <f>'Baseline NFPC'!O42</f>
        <v>1</v>
      </c>
      <c r="P43" s="1">
        <f>'Baseline NFPC'!P42</f>
        <v>1</v>
      </c>
      <c r="Q43" s="1">
        <f>'Baseline NFPC'!Q42</f>
        <v>1</v>
      </c>
      <c r="R43" s="1">
        <f>'Baseline NFPC'!R42</f>
        <v>1</v>
      </c>
      <c r="S43" s="1">
        <f>'Baseline NFPC'!S42</f>
        <v>1</v>
      </c>
      <c r="T43" s="1">
        <f>'Baseline NFPC'!T42</f>
        <v>1</v>
      </c>
      <c r="U43" s="1">
        <f>'Baseline NFPC'!U42</f>
        <v>1</v>
      </c>
      <c r="V43" s="63"/>
      <c r="W43" s="63"/>
      <c r="X43" s="63"/>
      <c r="Y43" s="63"/>
      <c r="Z43" s="63"/>
      <c r="AA43" s="63"/>
      <c r="AB43" s="63"/>
      <c r="AC43" s="63"/>
      <c r="AD43" s="63"/>
      <c r="AE43" s="63"/>
      <c r="AF43" s="63"/>
      <c r="AG43" s="63"/>
      <c r="AH43" s="63"/>
      <c r="AI43" s="63"/>
      <c r="AJ43" s="63"/>
      <c r="AK43" s="63"/>
      <c r="AL43" s="63"/>
      <c r="AM43" s="63"/>
      <c r="AN43" s="63"/>
      <c r="AO43" s="63"/>
      <c r="AP43" s="63"/>
      <c r="AQ43" s="63"/>
      <c r="AR43" s="63"/>
      <c r="AS43" s="63"/>
      <c r="AT43" s="63"/>
      <c r="AU43" s="63"/>
      <c r="AV43" s="63"/>
      <c r="AW43" s="60"/>
    </row>
    <row r="45" spans="2:49" s="67" customFormat="1" ht="12.75" x14ac:dyDescent="0.2">
      <c r="B45" s="74" t="s">
        <v>96</v>
      </c>
    </row>
    <row r="46" spans="2:49" x14ac:dyDescent="0.2">
      <c r="C46" s="36"/>
    </row>
    <row r="47" spans="2:49" x14ac:dyDescent="0.2">
      <c r="B47" s="54" t="s">
        <v>68</v>
      </c>
      <c r="C47" s="55">
        <f>'Input data'!C49</f>
        <v>0.75</v>
      </c>
    </row>
    <row r="48" spans="2:49" x14ac:dyDescent="0.2">
      <c r="B48" s="56" t="s">
        <v>243</v>
      </c>
      <c r="C48" s="57">
        <f>'Input data'!C50</f>
        <v>0.504</v>
      </c>
    </row>
    <row r="49" spans="2:46" x14ac:dyDescent="0.2">
      <c r="C49" s="58"/>
    </row>
    <row r="50" spans="2:46" outlineLevel="1" x14ac:dyDescent="0.2">
      <c r="B50" s="26" t="s">
        <v>97</v>
      </c>
      <c r="C50" s="34">
        <v>0</v>
      </c>
      <c r="D50" s="34">
        <v>0</v>
      </c>
      <c r="E50" s="34">
        <f>IF(AND(ABS((E12-D12)-('Baseline NFPC'!E12-'Baseline NFPC'!D12))&gt;0.0001,ABS(E12-D12)&gt;0.0001,E$10&gt;$C$5),4,IF(D50=4,3,IF(D50=3,2,IF(D50=2,1,0))))</f>
        <v>4</v>
      </c>
      <c r="F50" s="34">
        <f>IF(AND(ABS((F12-E12)-('Baseline NFPC'!F12-'Baseline NFPC'!E12))&gt;0.0001,ABS(F12-E12)&gt;0.0001,F$10&gt;$C$5),4,IF(E50=4,3,IF(E50=3,2,IF(E50=2,1,0))))</f>
        <v>4</v>
      </c>
      <c r="G50" s="34">
        <f>IF(AND(ABS((G12-F12)-('Baseline NFPC'!G12-'Baseline NFPC'!F12))&gt;0.0001,ABS(G12-F12)&gt;0.0001,G$10&gt;$C$5),4,IF(F50=4,3,IF(F50=3,2,IF(F50=2,1,0))))</f>
        <v>4</v>
      </c>
      <c r="H50" s="34">
        <f>IF(AND(ABS((H12-G12)-('Baseline NFPC'!H12-'Baseline NFPC'!G12))&gt;0.0001,ABS(H12-G12)&gt;0.0001,H$10&gt;$C$5),4,IF(G50=4,3,IF(G50=3,2,IF(G50=2,1,0))))</f>
        <v>4</v>
      </c>
      <c r="I50" s="34">
        <f>IF(AND(ABS((I12-H12)-('Baseline NFPC'!I12-'Baseline NFPC'!H12))&gt;0.0001,ABS(I12-H12)&gt;0.0001,I$10&gt;$C$5),4,IF(H50=4,3,IF(H50=3,2,IF(H50=2,1,0))))</f>
        <v>3</v>
      </c>
      <c r="J50" s="34">
        <f>IF(AND(ABS((J12-I12)-('Baseline NFPC'!J12-'Baseline NFPC'!I12))&gt;0.0001,ABS(J12-I12)&gt;0.0001,J$10&gt;$C$5),4,IF(I50=4,3,IF(I50=3,2,IF(I50=2,1,0))))</f>
        <v>2</v>
      </c>
      <c r="K50" s="34">
        <f>IF(AND(ABS((K12-J12)-('Baseline NFPC'!K12-'Baseline NFPC'!J12))&gt;0.0001,ABS(K12-J12)&gt;0.0001,K$10&gt;$C$5),4,IF(J50=4,3,IF(J50=3,2,IF(J50=2,1,0))))</f>
        <v>1</v>
      </c>
      <c r="L50" s="34">
        <f>IF(AND(ABS((L12-K12)-('Baseline NFPC'!L12-'Baseline NFPC'!K12))&gt;0.0001,ABS(L12-K12)&gt;0.0001,L$10&gt;$C$5),4,IF(K50=4,3,IF(K50=3,2,IF(K50=2,1,0))))</f>
        <v>0</v>
      </c>
      <c r="M50" s="34">
        <f>IF(AND(ABS((M12-L12)-('Baseline NFPC'!M12-'Baseline NFPC'!L12))&gt;0.0001,ABS(M12-L12)&gt;0.0001,M$10&gt;$C$5),4,IF(L50=4,3,IF(L50=3,2,IF(L50=2,1,0))))</f>
        <v>0</v>
      </c>
      <c r="N50" s="34">
        <f>IF(AND(ABS((N12-M12)-('Baseline NFPC'!N12-'Baseline NFPC'!M12))&gt;0.0001,ABS(N12-M12)&gt;0.0001,N$10&gt;$C$5),4,IF(M50=4,3,IF(M50=3,2,IF(M50=2,1,0))))</f>
        <v>0</v>
      </c>
      <c r="O50" s="34">
        <f>IF(AND(ABS((O12-N12)-('Baseline NFPC'!O12-'Baseline NFPC'!N12))&gt;0.0001,ABS(O12-N12)&gt;0.0001,O$10&gt;$C$5),4,IF(N50=4,3,IF(N50=3,2,IF(N50=2,1,0))))</f>
        <v>0</v>
      </c>
      <c r="P50" s="34">
        <f>IF(AND(ABS((P12-O12)-('Baseline NFPC'!P12-'Baseline NFPC'!O12))&gt;0.0001,ABS(P12-O12)&gt;0.0001,P$10&gt;$C$5),4,IF(O50=4,3,IF(O50=3,2,IF(O50=2,1,0))))</f>
        <v>0</v>
      </c>
      <c r="Q50" s="34">
        <f>IF(AND(ABS((Q12-P12)-('Baseline NFPC'!Q12-'Baseline NFPC'!P12))&gt;0.0001,ABS(Q12-P12)&gt;0.0001,Q$10&gt;$C$5),4,IF(P50=4,3,IF(P50=3,2,IF(P50=2,1,0))))</f>
        <v>0</v>
      </c>
      <c r="R50" s="34">
        <f>IF(AND(ABS((R12-Q12)-('Baseline NFPC'!R12-'Baseline NFPC'!Q12))&gt;0.0001,ABS(R12-Q12)&gt;0.0001,R$10&gt;$C$5),4,IF(Q50=4,3,IF(Q50=3,2,IF(Q50=2,1,0))))</f>
        <v>0</v>
      </c>
      <c r="S50" s="34">
        <f>IF(AND(ABS((S12-R12)-('Baseline NFPC'!S12-'Baseline NFPC'!R12))&gt;0.0001,ABS(S12-R12)&gt;0.0001,S$10&gt;$C$5),4,IF(R50=4,3,IF(R50=3,2,IF(R50=2,1,0))))</f>
        <v>0</v>
      </c>
      <c r="T50" s="34">
        <f>IF(AND(ABS((T12-S12)-('Baseline NFPC'!T12-'Baseline NFPC'!S12))&gt;0.0001,ABS(T12-S12)&gt;0.0001,T$10&gt;$C$5),4,IF(S50=4,3,IF(S50=3,2,IF(S50=2,1,0))))</f>
        <v>0</v>
      </c>
      <c r="U50" s="34">
        <f>IF(AND(ABS((U12-T12)-('Baseline NFPC'!U12-'Baseline NFPC'!T12))&gt;0.0001,ABS(U12-T12)&gt;0.0001,U$10&gt;$C$5),4,IF(T50=4,3,IF(T50=3,2,IF(T50=2,1,0))))</f>
        <v>0</v>
      </c>
      <c r="V50" s="34"/>
      <c r="W50" s="34"/>
      <c r="X50" s="34"/>
      <c r="Y50" s="34"/>
      <c r="Z50" s="34"/>
      <c r="AA50" s="34"/>
      <c r="AB50" s="34"/>
      <c r="AC50" s="34"/>
      <c r="AD50" s="34"/>
      <c r="AE50" s="34"/>
      <c r="AF50" s="34"/>
      <c r="AG50" s="34"/>
      <c r="AH50" s="34"/>
      <c r="AI50" s="34"/>
      <c r="AJ50" s="34"/>
      <c r="AK50" s="34"/>
      <c r="AL50" s="34"/>
      <c r="AM50" s="34"/>
      <c r="AN50" s="34"/>
      <c r="AO50" s="34"/>
      <c r="AP50" s="34"/>
      <c r="AQ50" s="34"/>
      <c r="AR50" s="34"/>
      <c r="AS50" s="34"/>
      <c r="AT50" s="34"/>
    </row>
    <row r="51" spans="2:46" outlineLevel="1" x14ac:dyDescent="0.2">
      <c r="B51" s="26" t="s">
        <v>98</v>
      </c>
      <c r="C51" s="34">
        <v>0</v>
      </c>
      <c r="D51" s="34">
        <v>0</v>
      </c>
      <c r="E51" s="34">
        <f>IF(D50=4,2/3*(D30-'Baseline NFPC'!D29),IF(D50=3,1/3*(C30-'Baseline NFPC'!C29),0))</f>
        <v>0</v>
      </c>
      <c r="F51" s="34">
        <f>IF(E50=4,2/3*(E30-'Baseline NFPC'!E29),IF(E50=3,1/3*(D30-'Baseline NFPC'!D29),0))</f>
        <v>-0.26560052345489338</v>
      </c>
      <c r="G51" s="34">
        <f t="shared" ref="G51:U51" si="9">IF(F50=4,2/3*F30,IF(F50=3,1/3*E30,0))</f>
        <v>-1.23227866723045</v>
      </c>
      <c r="H51" s="34">
        <f t="shared" si="9"/>
        <v>-1.0853332596811351</v>
      </c>
      <c r="I51" s="34">
        <f t="shared" si="9"/>
        <v>-0.98768759014370056</v>
      </c>
      <c r="J51" s="34">
        <f t="shared" si="9"/>
        <v>-0.49384379507185028</v>
      </c>
      <c r="K51" s="34">
        <f t="shared" si="9"/>
        <v>0</v>
      </c>
      <c r="L51" s="34">
        <f t="shared" si="9"/>
        <v>0</v>
      </c>
      <c r="M51" s="34">
        <f t="shared" si="9"/>
        <v>0</v>
      </c>
      <c r="N51" s="34">
        <f t="shared" si="9"/>
        <v>0</v>
      </c>
      <c r="O51" s="34">
        <f t="shared" si="9"/>
        <v>0</v>
      </c>
      <c r="P51" s="34">
        <f t="shared" si="9"/>
        <v>0</v>
      </c>
      <c r="Q51" s="34">
        <f t="shared" si="9"/>
        <v>0</v>
      </c>
      <c r="R51" s="34">
        <f t="shared" si="9"/>
        <v>0</v>
      </c>
      <c r="S51" s="34">
        <f t="shared" si="9"/>
        <v>0</v>
      </c>
      <c r="T51" s="34">
        <f t="shared" si="9"/>
        <v>0</v>
      </c>
      <c r="U51" s="34">
        <f t="shared" si="9"/>
        <v>0</v>
      </c>
      <c r="V51" s="34"/>
      <c r="W51" s="34"/>
      <c r="X51" s="34"/>
      <c r="Y51" s="34"/>
      <c r="Z51" s="34"/>
      <c r="AA51" s="34"/>
      <c r="AB51" s="34"/>
      <c r="AC51" s="34"/>
      <c r="AD51" s="34"/>
      <c r="AE51" s="34"/>
      <c r="AF51" s="34"/>
      <c r="AG51" s="34"/>
      <c r="AH51" s="34"/>
      <c r="AI51" s="34"/>
      <c r="AJ51" s="34"/>
      <c r="AK51" s="34"/>
      <c r="AL51" s="34"/>
      <c r="AM51" s="34"/>
      <c r="AN51" s="34"/>
      <c r="AO51" s="34"/>
      <c r="AP51" s="34"/>
      <c r="AQ51" s="34"/>
      <c r="AR51" s="34"/>
      <c r="AS51" s="34"/>
      <c r="AT51" s="34"/>
    </row>
    <row r="52" spans="2:46" outlineLevel="1" x14ac:dyDescent="0.2">
      <c r="B52" s="26" t="s">
        <v>99</v>
      </c>
      <c r="C52" s="34"/>
      <c r="D52" s="34">
        <f>'Input data'!D30-$C$47*((D12-C12)-('Input data'!D13-'Input data'!C13))</f>
        <v>-0.23852609999999999</v>
      </c>
      <c r="E52" s="34">
        <f>'Input data'!E30-$C$47*(E12-D12)</f>
        <v>-0.23283890000000002</v>
      </c>
      <c r="F52" s="34">
        <f>'Input data'!F30-$C$47*(F12-E12)</f>
        <v>0.22123519999999997</v>
      </c>
      <c r="G52" s="34">
        <f>'Input data'!G30-$C$47*(G12-F12)</f>
        <v>0.45016650000000002</v>
      </c>
      <c r="H52" s="34">
        <f>'Input data'!H30-$C$47*(H12-G12)</f>
        <v>0.55335909999999999</v>
      </c>
      <c r="I52" s="4">
        <f>'Adverse (r-g)'!I24-$C$47*(I12-H12)</f>
        <v>0.55773399999999995</v>
      </c>
      <c r="J52" s="4">
        <f>'Adverse (r-g)'!J24-$C$47*(J12-I12)</f>
        <v>0.13380049999999999</v>
      </c>
      <c r="K52" s="4">
        <f>'Adverse (r-g)'!K24-$C$47*(K12-J12)</f>
        <v>0.10714469999999998</v>
      </c>
      <c r="L52" s="4">
        <f>'Adverse (r-g)'!L24-$C$47*(L12-K12)</f>
        <v>8.6657699999999949E-2</v>
      </c>
      <c r="M52" s="4">
        <f>'Adverse (r-g)'!M24-$C$47*(M12-L12)</f>
        <v>8.4613799999999961E-2</v>
      </c>
      <c r="N52" s="4">
        <f>'Adverse (r-g)'!N24-$C$47*(N12-M12)</f>
        <v>0.1761528</v>
      </c>
      <c r="O52" s="4">
        <f>'Adverse (r-g)'!O24-$C$47*(O12-N12)</f>
        <v>0.38076969999999999</v>
      </c>
      <c r="P52" s="4">
        <f>'Adverse (r-g)'!P24-$C$47*(P12-O12)</f>
        <v>0.58538599999999996</v>
      </c>
      <c r="Q52" s="4">
        <f>'Adverse (r-g)'!Q24-$C$47*(Q12-P12)</f>
        <v>0.79000099999999995</v>
      </c>
      <c r="R52" s="4">
        <f>'Adverse (r-g)'!R24-$C$47*(R12-Q12)</f>
        <v>0.87999899999999998</v>
      </c>
      <c r="S52" s="4">
        <f>'Adverse (r-g)'!S24-$C$47*(S12-R12)</f>
        <v>0.97000500000000001</v>
      </c>
      <c r="T52" s="4">
        <f>'Adverse (r-g)'!T24-$C$47*(T12-S12)</f>
        <v>1.049998</v>
      </c>
      <c r="U52" s="4">
        <f>'Adverse (r-g)'!U24-$C$47*(U12-T12)</f>
        <v>1.0600020000000001</v>
      </c>
      <c r="V52" s="34"/>
      <c r="W52" s="34"/>
      <c r="X52" s="34"/>
      <c r="Y52" s="34"/>
      <c r="Z52" s="34"/>
      <c r="AA52" s="34"/>
      <c r="AB52" s="34"/>
      <c r="AC52" s="34"/>
      <c r="AD52" s="34"/>
      <c r="AE52" s="34"/>
      <c r="AF52" s="34"/>
      <c r="AG52" s="34"/>
      <c r="AH52" s="34"/>
      <c r="AI52" s="34"/>
      <c r="AJ52" s="34"/>
      <c r="AK52" s="34"/>
      <c r="AL52" s="34"/>
      <c r="AM52" s="34"/>
      <c r="AN52" s="34"/>
      <c r="AO52" s="34"/>
      <c r="AP52" s="34"/>
      <c r="AQ52" s="34"/>
      <c r="AR52" s="34"/>
      <c r="AS52" s="34"/>
      <c r="AT52" s="34"/>
    </row>
    <row r="54" spans="2:46" s="67" customFormat="1" ht="12.75" outlineLevel="1" x14ac:dyDescent="0.2">
      <c r="B54" s="71" t="s">
        <v>100</v>
      </c>
      <c r="C54" s="69"/>
      <c r="D54" s="68"/>
    </row>
    <row r="55" spans="2:46" outlineLevel="1" x14ac:dyDescent="0.2">
      <c r="B55" s="43"/>
      <c r="C55" s="44"/>
      <c r="D55" s="29"/>
    </row>
    <row r="56" spans="2:46" outlineLevel="1" x14ac:dyDescent="0.2">
      <c r="B56" s="83"/>
      <c r="C56" s="84">
        <f>'Input data'!$C$5-1</f>
        <v>2023</v>
      </c>
      <c r="D56" s="84">
        <f>C56+1</f>
        <v>2024</v>
      </c>
      <c r="E56" s="84">
        <f t="shared" ref="E56:U56" si="10">D56+1</f>
        <v>2025</v>
      </c>
      <c r="F56" s="84">
        <f t="shared" si="10"/>
        <v>2026</v>
      </c>
      <c r="G56" s="84">
        <f t="shared" si="10"/>
        <v>2027</v>
      </c>
      <c r="H56" s="84">
        <f t="shared" si="10"/>
        <v>2028</v>
      </c>
      <c r="I56" s="84">
        <f t="shared" si="10"/>
        <v>2029</v>
      </c>
      <c r="J56" s="84">
        <f t="shared" si="10"/>
        <v>2030</v>
      </c>
      <c r="K56" s="84">
        <f t="shared" si="10"/>
        <v>2031</v>
      </c>
      <c r="L56" s="84">
        <f t="shared" si="10"/>
        <v>2032</v>
      </c>
      <c r="M56" s="84">
        <f t="shared" si="10"/>
        <v>2033</v>
      </c>
      <c r="N56" s="84">
        <f t="shared" si="10"/>
        <v>2034</v>
      </c>
      <c r="O56" s="84">
        <f t="shared" si="10"/>
        <v>2035</v>
      </c>
      <c r="P56" s="84">
        <f t="shared" si="10"/>
        <v>2036</v>
      </c>
      <c r="Q56" s="84">
        <f t="shared" si="10"/>
        <v>2037</v>
      </c>
      <c r="R56" s="84">
        <f t="shared" si="10"/>
        <v>2038</v>
      </c>
      <c r="S56" s="84">
        <f t="shared" si="10"/>
        <v>2039</v>
      </c>
      <c r="T56" s="84">
        <f t="shared" si="10"/>
        <v>2040</v>
      </c>
      <c r="U56" s="84">
        <f t="shared" si="10"/>
        <v>2041</v>
      </c>
    </row>
    <row r="57" spans="2:46" ht="10.5" customHeight="1" outlineLevel="1" x14ac:dyDescent="0.2">
      <c r="B57" s="85" t="s">
        <v>101</v>
      </c>
      <c r="C57" s="45">
        <f>+'Input data'!C12</f>
        <v>62.885489999999997</v>
      </c>
      <c r="D57" s="45">
        <f t="shared" ref="D57:R57" si="11">+C57+D58</f>
        <v>62.455679115154567</v>
      </c>
      <c r="E57" s="45">
        <f t="shared" si="11"/>
        <v>63.692130003522081</v>
      </c>
      <c r="F57" s="45">
        <f t="shared" si="11"/>
        <v>64.202561464572838</v>
      </c>
      <c r="G57" s="45">
        <f t="shared" si="11"/>
        <v>63.836881536064524</v>
      </c>
      <c r="H57" s="45">
        <f t="shared" si="11"/>
        <v>62.913564321630858</v>
      </c>
      <c r="I57" s="45">
        <f t="shared" si="11"/>
        <v>62.014622970612756</v>
      </c>
      <c r="J57" s="45">
        <f t="shared" si="11"/>
        <v>61.084083031568625</v>
      </c>
      <c r="K57" s="45">
        <f t="shared" si="11"/>
        <v>60.114686352760124</v>
      </c>
      <c r="L57" s="45">
        <f t="shared" si="11"/>
        <v>59.740183363217895</v>
      </c>
      <c r="M57" s="46">
        <f t="shared" si="11"/>
        <v>59.545791182267592</v>
      </c>
      <c r="N57" s="46">
        <f t="shared" si="11"/>
        <v>59.373170589244829</v>
      </c>
      <c r="O57" s="46">
        <f t="shared" si="11"/>
        <v>59.25046718067501</v>
      </c>
      <c r="P57" s="46">
        <f t="shared" si="11"/>
        <v>59.172910371267896</v>
      </c>
      <c r="Q57" s="46">
        <f t="shared" si="11"/>
        <v>59.036208048794144</v>
      </c>
      <c r="R57" s="46">
        <f t="shared" si="11"/>
        <v>58.903051501839876</v>
      </c>
      <c r="S57" s="46">
        <f t="shared" ref="S57" si="12">+R57+S58</f>
        <v>58.769285817128051</v>
      </c>
      <c r="T57" s="46">
        <f t="shared" ref="T57" si="13">+S57+T58</f>
        <v>58.537199196518827</v>
      </c>
      <c r="U57" s="46">
        <f t="shared" ref="U57" si="14">+T57+U58</f>
        <v>58.343764168965123</v>
      </c>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c r="AT57" s="38"/>
    </row>
    <row r="58" spans="2:46" outlineLevel="1" x14ac:dyDescent="0.2">
      <c r="B58" s="86" t="s">
        <v>102</v>
      </c>
      <c r="C58" s="47"/>
      <c r="D58" s="47">
        <f t="shared" ref="D58:R58" si="15">-D59+D67+D72</f>
        <v>-0.42981088484542962</v>
      </c>
      <c r="E58" s="47">
        <f t="shared" si="15"/>
        <v>1.2364508883675145</v>
      </c>
      <c r="F58" s="47">
        <f t="shared" si="15"/>
        <v>0.51043146105075754</v>
      </c>
      <c r="G58" s="47">
        <f t="shared" si="15"/>
        <v>-0.36567992850831132</v>
      </c>
      <c r="H58" s="47">
        <f t="shared" si="15"/>
        <v>-0.92331721443366432</v>
      </c>
      <c r="I58" s="47">
        <f t="shared" si="15"/>
        <v>-0.89894135101810213</v>
      </c>
      <c r="J58" s="47">
        <f t="shared" si="15"/>
        <v>-0.93053993904413213</v>
      </c>
      <c r="K58" s="47">
        <f t="shared" si="15"/>
        <v>-0.96939667880849933</v>
      </c>
      <c r="L58" s="47">
        <f t="shared" si="15"/>
        <v>-0.37450298954222905</v>
      </c>
      <c r="M58" s="47">
        <f t="shared" si="15"/>
        <v>-0.19439218095030086</v>
      </c>
      <c r="N58" s="47">
        <f t="shared" si="15"/>
        <v>-0.17262059302276156</v>
      </c>
      <c r="O58" s="47">
        <f t="shared" si="15"/>
        <v>-0.12270340856982087</v>
      </c>
      <c r="P58" s="47">
        <f t="shared" si="15"/>
        <v>-7.7556809407116734E-2</v>
      </c>
      <c r="Q58" s="47">
        <f t="shared" si="15"/>
        <v>-0.13670232247375402</v>
      </c>
      <c r="R58" s="47">
        <f t="shared" si="15"/>
        <v>-0.13315654695426682</v>
      </c>
      <c r="S58" s="47">
        <f t="shared" ref="S58:U58" si="16">-S59+S67+S72</f>
        <v>-0.13376568471182493</v>
      </c>
      <c r="T58" s="47">
        <f t="shared" si="16"/>
        <v>-0.23208662060922525</v>
      </c>
      <c r="U58" s="47">
        <f t="shared" si="16"/>
        <v>-0.19343502755370623</v>
      </c>
    </row>
    <row r="59" spans="2:46" outlineLevel="1" x14ac:dyDescent="0.2">
      <c r="B59" s="82" t="s">
        <v>103</v>
      </c>
      <c r="C59" s="48"/>
      <c r="D59" s="48">
        <f t="shared" ref="D59:R59" si="17">D60+D61-D62-D63-D64-D65-D66</f>
        <v>-1.7039832151545689</v>
      </c>
      <c r="E59" s="48">
        <f t="shared" si="17"/>
        <v>-1.4119612713664818</v>
      </c>
      <c r="F59" s="48">
        <f t="shared" si="17"/>
        <v>-0.86688967242622028</v>
      </c>
      <c r="G59" s="48">
        <f t="shared" si="17"/>
        <v>-0.2157989443189382</v>
      </c>
      <c r="H59" s="48">
        <f t="shared" si="17"/>
        <v>0.39802118185136237</v>
      </c>
      <c r="I59" s="48">
        <f t="shared" si="17"/>
        <v>0.54226145456757524</v>
      </c>
      <c r="J59" s="48">
        <f t="shared" si="17"/>
        <v>0.68650162728379016</v>
      </c>
      <c r="K59" s="48">
        <f t="shared" si="17"/>
        <v>0.83074189999999937</v>
      </c>
      <c r="L59" s="48">
        <f t="shared" si="17"/>
        <v>0.62608464821819354</v>
      </c>
      <c r="M59" s="48">
        <f t="shared" si="17"/>
        <v>0.52142744678862063</v>
      </c>
      <c r="N59" s="48">
        <f t="shared" si="17"/>
        <v>0.51677150395025029</v>
      </c>
      <c r="O59" s="48">
        <f t="shared" si="17"/>
        <v>0.41211575958844948</v>
      </c>
      <c r="P59" s="48">
        <f t="shared" si="17"/>
        <v>0.30746026278902183</v>
      </c>
      <c r="Q59" s="48">
        <f t="shared" si="17"/>
        <v>0.30280376283866839</v>
      </c>
      <c r="R59" s="48">
        <f t="shared" si="17"/>
        <v>0.29814616323511944</v>
      </c>
      <c r="S59" s="48">
        <f t="shared" ref="S59:U59" si="18">S60+S61-S62-S63-S64-S65-S66</f>
        <v>0.29349155902612178</v>
      </c>
      <c r="T59" s="48">
        <f t="shared" si="18"/>
        <v>0.38883356150001791</v>
      </c>
      <c r="U59" s="48">
        <f t="shared" si="18"/>
        <v>0.38417745892738098</v>
      </c>
    </row>
    <row r="60" spans="2:46" outlineLevel="1" x14ac:dyDescent="0.2">
      <c r="B60" s="77" t="s">
        <v>104</v>
      </c>
      <c r="C60" s="1"/>
      <c r="D60" s="1">
        <f>D12</f>
        <v>-1.0152870000000001</v>
      </c>
      <c r="E60" s="1">
        <f t="shared" ref="E60:U60" si="19">IF(E12="",D60,E12)</f>
        <v>-0.47528700000000002</v>
      </c>
      <c r="F60" s="1">
        <f t="shared" si="19"/>
        <v>6.4713000000000021E-2</v>
      </c>
      <c r="G60" s="1">
        <f t="shared" si="19"/>
        <v>0.60471300000000006</v>
      </c>
      <c r="H60" s="1">
        <f t="shared" si="19"/>
        <v>1.1447130000000001</v>
      </c>
      <c r="I60" s="1">
        <f t="shared" si="19"/>
        <v>1.1447130000000001</v>
      </c>
      <c r="J60" s="1">
        <f t="shared" si="19"/>
        <v>1.1447130000000001</v>
      </c>
      <c r="K60" s="1">
        <f t="shared" si="19"/>
        <v>1.1447130000000001</v>
      </c>
      <c r="L60" s="1">
        <f t="shared" si="19"/>
        <v>1.1447130000000001</v>
      </c>
      <c r="M60" s="1">
        <f t="shared" si="19"/>
        <v>1.1447130000000001</v>
      </c>
      <c r="N60" s="1">
        <f t="shared" si="19"/>
        <v>1.1447130000000001</v>
      </c>
      <c r="O60" s="1">
        <f t="shared" si="19"/>
        <v>1.1447130000000001</v>
      </c>
      <c r="P60" s="1">
        <f t="shared" si="19"/>
        <v>1.1447130000000001</v>
      </c>
      <c r="Q60" s="1">
        <f t="shared" si="19"/>
        <v>1.1447130000000001</v>
      </c>
      <c r="R60" s="1">
        <f t="shared" si="19"/>
        <v>1.1447130000000001</v>
      </c>
      <c r="S60" s="1">
        <f t="shared" si="19"/>
        <v>1.1447130000000001</v>
      </c>
      <c r="T60" s="1">
        <f t="shared" si="19"/>
        <v>1.1447130000000001</v>
      </c>
      <c r="U60" s="1">
        <f t="shared" si="19"/>
        <v>1.1447130000000001</v>
      </c>
    </row>
    <row r="61" spans="2:46" outlineLevel="1" x14ac:dyDescent="0.2">
      <c r="B61" s="77" t="s">
        <v>105</v>
      </c>
      <c r="C61" s="1"/>
      <c r="D61" s="1">
        <v>0</v>
      </c>
      <c r="E61" s="1">
        <v>0</v>
      </c>
      <c r="F61" s="1">
        <v>0</v>
      </c>
      <c r="G61" s="1">
        <v>0</v>
      </c>
      <c r="H61" s="1">
        <v>0</v>
      </c>
      <c r="I61" s="1">
        <v>0</v>
      </c>
      <c r="J61" s="1">
        <v>0</v>
      </c>
      <c r="K61" s="1">
        <v>0</v>
      </c>
      <c r="L61" s="1">
        <v>0</v>
      </c>
      <c r="M61" s="1">
        <v>0</v>
      </c>
      <c r="N61" s="1">
        <v>0</v>
      </c>
      <c r="O61" s="1">
        <v>0</v>
      </c>
      <c r="P61" s="1">
        <v>0</v>
      </c>
      <c r="Q61" s="1">
        <v>0</v>
      </c>
      <c r="R61" s="1">
        <v>0</v>
      </c>
      <c r="S61" s="1">
        <v>0</v>
      </c>
      <c r="T61" s="1">
        <v>0</v>
      </c>
      <c r="U61" s="1">
        <v>0</v>
      </c>
    </row>
    <row r="62" spans="2:46" outlineLevel="1" x14ac:dyDescent="0.2">
      <c r="B62" s="77" t="s">
        <v>106</v>
      </c>
      <c r="C62" s="1"/>
      <c r="D62" s="1">
        <f t="shared" ref="D62:U62" si="20">-$C$48*D30</f>
        <v>0.6886962151545688</v>
      </c>
      <c r="E62" s="1">
        <f t="shared" si="20"/>
        <v>0.93667427136648174</v>
      </c>
      <c r="F62" s="1">
        <f t="shared" si="20"/>
        <v>0.9316026724262203</v>
      </c>
      <c r="G62" s="1">
        <f t="shared" si="20"/>
        <v>0.82051194431893826</v>
      </c>
      <c r="H62" s="1">
        <f t="shared" si="20"/>
        <v>0.74669181814863772</v>
      </c>
      <c r="I62" s="1">
        <f t="shared" si="20"/>
        <v>0.49779454543242696</v>
      </c>
      <c r="J62" s="1">
        <f t="shared" si="20"/>
        <v>0.2488972727162107</v>
      </c>
      <c r="K62" s="1">
        <f t="shared" si="20"/>
        <v>0</v>
      </c>
      <c r="L62" s="1">
        <f t="shared" si="20"/>
        <v>2.5178180660390128E-7</v>
      </c>
      <c r="M62" s="1">
        <f t="shared" si="20"/>
        <v>4.532113780264524E-7</v>
      </c>
      <c r="N62" s="1">
        <f t="shared" si="20"/>
        <v>-7.0395025169034393E-7</v>
      </c>
      <c r="O62" s="1">
        <f t="shared" si="20"/>
        <v>-2.0595884485885564E-6</v>
      </c>
      <c r="P62" s="1">
        <f t="shared" si="20"/>
        <v>-3.5627890190070842E-6</v>
      </c>
      <c r="Q62" s="1">
        <f t="shared" si="20"/>
        <v>-4.0628386654972815E-6</v>
      </c>
      <c r="R62" s="1">
        <f t="shared" si="20"/>
        <v>-3.5632351165659772E-6</v>
      </c>
      <c r="S62" s="1">
        <f t="shared" si="20"/>
        <v>-6.0590261224291455E-6</v>
      </c>
      <c r="T62" s="1">
        <f t="shared" si="20"/>
        <v>-5.0615000207088203E-6</v>
      </c>
      <c r="U62" s="1">
        <f t="shared" si="20"/>
        <v>-6.0589273838118629E-6</v>
      </c>
    </row>
    <row r="63" spans="2:46" outlineLevel="1" x14ac:dyDescent="0.2">
      <c r="B63" s="77" t="s">
        <v>107</v>
      </c>
      <c r="C63" s="1"/>
      <c r="D63" s="1">
        <f t="shared" ref="D63:U63" si="21">-D13</f>
        <v>0</v>
      </c>
      <c r="E63" s="1">
        <f t="shared" si="21"/>
        <v>0</v>
      </c>
      <c r="F63" s="1">
        <f t="shared" si="21"/>
        <v>0</v>
      </c>
      <c r="G63" s="1">
        <f t="shared" si="21"/>
        <v>0</v>
      </c>
      <c r="H63" s="1">
        <f t="shared" si="21"/>
        <v>0</v>
      </c>
      <c r="I63" s="1">
        <f t="shared" si="21"/>
        <v>0</v>
      </c>
      <c r="J63" s="1">
        <f t="shared" si="21"/>
        <v>0</v>
      </c>
      <c r="K63" s="1">
        <f t="shared" si="21"/>
        <v>0</v>
      </c>
      <c r="L63" s="1">
        <f t="shared" si="21"/>
        <v>0</v>
      </c>
      <c r="M63" s="1">
        <f t="shared" si="21"/>
        <v>0</v>
      </c>
      <c r="N63" s="1">
        <f t="shared" si="21"/>
        <v>0</v>
      </c>
      <c r="O63" s="1">
        <f t="shared" si="21"/>
        <v>0</v>
      </c>
      <c r="P63" s="1">
        <f t="shared" si="21"/>
        <v>0</v>
      </c>
      <c r="Q63" s="1">
        <f t="shared" si="21"/>
        <v>0</v>
      </c>
      <c r="R63" s="1">
        <f t="shared" si="21"/>
        <v>0</v>
      </c>
      <c r="S63" s="1">
        <f t="shared" si="21"/>
        <v>0</v>
      </c>
      <c r="T63" s="1">
        <f t="shared" si="21"/>
        <v>0</v>
      </c>
      <c r="U63" s="1">
        <f t="shared" si="21"/>
        <v>0</v>
      </c>
    </row>
    <row r="64" spans="2:46" outlineLevel="1" x14ac:dyDescent="0.2">
      <c r="B64" s="77" t="s">
        <v>108</v>
      </c>
      <c r="C64" s="1"/>
      <c r="D64" s="1">
        <f>IF(D$56&lt;=$C$6,0,HLOOKUP(D$56,'Input data'!$C$9:$AZ$26,12,FALSE)-HLOOKUP($C$6,'Input data'!$C$9:$AZ$26,12,FALSE))</f>
        <v>0</v>
      </c>
      <c r="E64" s="1">
        <f>IF(E$56&lt;=$C$6,0,HLOOKUP(E$56,'Input data'!$C$9:$AZ$26,12,FALSE)-HLOOKUP($C$6,'Input data'!$C$9:$AZ$26,12,FALSE))</f>
        <v>0</v>
      </c>
      <c r="F64" s="1">
        <f>IF(F$56&lt;=$C$6,0,HLOOKUP(F$56,'Input data'!$C$9:$AZ$26,12,FALSE)-HLOOKUP($C$6,'Input data'!$C$9:$AZ$26,12,FALSE))</f>
        <v>0</v>
      </c>
      <c r="G64" s="1">
        <f>IF(G$56&lt;=$C$6,0,HLOOKUP(G$56,'Input data'!$C$9:$AZ$26,12,FALSE)-HLOOKUP($C$6,'Input data'!$C$9:$AZ$26,12,FALSE))</f>
        <v>0</v>
      </c>
      <c r="H64" s="1">
        <f>IF(H$56&lt;=$C$6,0,HLOOKUP(H$56,'Input data'!$C$9:$AZ$26,12,FALSE)-HLOOKUP($C$6,'Input data'!$C$9:$AZ$26,12,FALSE))</f>
        <v>0</v>
      </c>
      <c r="I64" s="1">
        <f>IF(I$56&lt;=$C$6,0,HLOOKUP(I$56,'Input data'!$C$9:$AZ$26,12,FALSE)-HLOOKUP($C$6,'Input data'!$C$9:$AZ$26,12,FALSE))</f>
        <v>9.9999999999997868E-2</v>
      </c>
      <c r="J64" s="1">
        <f>IF(J$56&lt;=$C$6,0,HLOOKUP(J$56,'Input data'!$C$9:$AZ$26,12,FALSE)-HLOOKUP($C$6,'Input data'!$C$9:$AZ$26,12,FALSE))</f>
        <v>0.19999999999999929</v>
      </c>
      <c r="K64" s="1">
        <f>IF(K$56&lt;=$C$6,0,HLOOKUP(K$56,'Input data'!$C$9:$AZ$26,12,FALSE)-HLOOKUP($C$6,'Input data'!$C$9:$AZ$26,12,FALSE))</f>
        <v>0.30000000000000071</v>
      </c>
      <c r="L64" s="1">
        <f>IF(L$56&lt;=$C$6,0,HLOOKUP(L$56,'Input data'!$C$9:$AZ$26,12,FALSE)-HLOOKUP($C$6,'Input data'!$C$9:$AZ$26,12,FALSE))</f>
        <v>0.5</v>
      </c>
      <c r="M64" s="1">
        <f>IF(M$56&lt;=$C$6,0,HLOOKUP(M$56,'Input data'!$C$9:$AZ$26,12,FALSE)-HLOOKUP($C$6,'Input data'!$C$9:$AZ$26,12,FALSE))</f>
        <v>0.60000000000000142</v>
      </c>
      <c r="N64" s="1">
        <f>IF(N$56&lt;=$C$6,0,HLOOKUP(N$56,'Input data'!$C$9:$AZ$26,12,FALSE)-HLOOKUP($C$6,'Input data'!$C$9:$AZ$26,12,FALSE))</f>
        <v>0.60000000000000142</v>
      </c>
      <c r="O64" s="1">
        <f>IF(O$56&lt;=$C$6,0,HLOOKUP(O$56,'Input data'!$C$9:$AZ$26,12,FALSE)-HLOOKUP($C$6,'Input data'!$C$9:$AZ$26,12,FALSE))</f>
        <v>0.69999999999999929</v>
      </c>
      <c r="P64" s="1">
        <f>IF(P$56&lt;=$C$6,0,HLOOKUP(P$56,'Input data'!$C$9:$AZ$26,12,FALSE)-HLOOKUP($C$6,'Input data'!$C$9:$AZ$26,12,FALSE))</f>
        <v>0.79999999999999716</v>
      </c>
      <c r="Q64" s="1">
        <f>IF(Q$56&lt;=$C$6,0,HLOOKUP(Q$56,'Input data'!$C$9:$AZ$26,12,FALSE)-HLOOKUP($C$6,'Input data'!$C$9:$AZ$26,12,FALSE))</f>
        <v>0.79999999999999716</v>
      </c>
      <c r="R64" s="1">
        <f>IF(R$56&lt;=$C$6,0,HLOOKUP(R$56,'Input data'!$C$9:$AZ$26,12,FALSE)-HLOOKUP($C$6,'Input data'!$C$9:$AZ$26,12,FALSE))</f>
        <v>0.79999999999999716</v>
      </c>
      <c r="S64" s="1">
        <f>IF(S$56&lt;=$C$6,0,HLOOKUP(S$56,'Input data'!$C$9:$AZ$26,12,FALSE)-HLOOKUP($C$6,'Input data'!$C$9:$AZ$26,12,FALSE))</f>
        <v>0.80000000000000071</v>
      </c>
      <c r="T64" s="1">
        <f>IF(T$56&lt;=$C$6,0,HLOOKUP(T$56,'Input data'!$C$9:$AZ$26,12,FALSE)-HLOOKUP($C$6,'Input data'!$C$9:$AZ$26,12,FALSE))</f>
        <v>0.70000000000000284</v>
      </c>
      <c r="U64" s="1">
        <f>IF(U$56&lt;=$C$6,0,HLOOKUP(U$56,'Input data'!$C$9:$AZ$26,12,FALSE)-HLOOKUP($C$6,'Input data'!$C$9:$AZ$26,12,FALSE))</f>
        <v>0.70000000000000284</v>
      </c>
    </row>
    <row r="65" spans="2:21" outlineLevel="1" x14ac:dyDescent="0.2">
      <c r="B65" s="77" t="s">
        <v>109</v>
      </c>
      <c r="C65" s="1"/>
      <c r="D65" s="1">
        <f>IF(D$56&lt;=$C$5,0,-HLOOKUP(D$56,'Input data'!$C$9:$AZ$26,18,FALSE)+HLOOKUP($C$6,'Input data'!$C$9:$AZ$26,18,FALSE))</f>
        <v>0</v>
      </c>
      <c r="E65" s="1">
        <f>IF(E$56&lt;=$C$6,0,-HLOOKUP(E$56,'Input data'!$C$9:$AZ$26,18,FALSE)+HLOOKUP($C$6,'Input data'!$C$9:$AZ$26,18,FALSE))</f>
        <v>0</v>
      </c>
      <c r="F65" s="1">
        <f>IF(F$56&lt;=$C$6,0,-HLOOKUP(F$56,'Input data'!$C$9:$AZ$26,18,FALSE)+HLOOKUP($C$6,'Input data'!$C$9:$AZ$26,18,FALSE))</f>
        <v>0</v>
      </c>
      <c r="G65" s="1">
        <f>IF(G$56&lt;=$C$6,0,-HLOOKUP(G$56,'Input data'!$C$9:$AZ$26,18,FALSE)+HLOOKUP($C$6,'Input data'!$C$9:$AZ$26,18,FALSE))</f>
        <v>0</v>
      </c>
      <c r="H65" s="1">
        <f>IF(H$56&lt;=$C$6,0,-HLOOKUP(H$56,'Input data'!$C$9:$AZ$26,18,FALSE)+HLOOKUP($C$6,'Input data'!$C$9:$AZ$26,18,FALSE))</f>
        <v>0</v>
      </c>
      <c r="I65" s="1">
        <f>IF(I$56&lt;=$C$6,0,-HLOOKUP(I$56,'Input data'!$C$9:$AZ$26,18,FALSE)+HLOOKUP($C$6,'Input data'!$C$9:$AZ$26,18,FALSE))</f>
        <v>4.6570000000000222E-3</v>
      </c>
      <c r="J65" s="1">
        <f>IF(J$56&lt;=$C$6,0,-HLOOKUP(J$56,'Input data'!$C$9:$AZ$26,18,FALSE)+HLOOKUP($C$6,'Input data'!$C$9:$AZ$26,18,FALSE))</f>
        <v>9.3140999999999918E-3</v>
      </c>
      <c r="K65" s="1">
        <f>IF(K$56&lt;=$C$6,0,-HLOOKUP(K$56,'Input data'!$C$9:$AZ$26,18,FALSE)+HLOOKUP($C$6,'Input data'!$C$9:$AZ$26,18,FALSE))</f>
        <v>1.3971100000000014E-2</v>
      </c>
      <c r="L65" s="1">
        <f>IF(L$56&lt;=$C$6,0,-HLOOKUP(L$56,'Input data'!$C$9:$AZ$26,18,FALSE)+HLOOKUP($C$6,'Input data'!$C$9:$AZ$26,18,FALSE))</f>
        <v>1.8628100000000036E-2</v>
      </c>
      <c r="M65" s="1">
        <f>IF(M$56&lt;=$C$6,0,-HLOOKUP(M$56,'Input data'!$C$9:$AZ$26,18,FALSE)+HLOOKUP($C$6,'Input data'!$C$9:$AZ$26,18,FALSE))</f>
        <v>2.3285100000000059E-2</v>
      </c>
      <c r="N65" s="1">
        <f>IF(N$56&lt;=$C$6,0,-HLOOKUP(N$56,'Input data'!$C$9:$AZ$26,18,FALSE)+HLOOKUP($C$6,'Input data'!$C$9:$AZ$26,18,FALSE))</f>
        <v>2.7942200000000028E-2</v>
      </c>
      <c r="O65" s="1">
        <f>IF(O$56&lt;=$C$6,0,-HLOOKUP(O$56,'Input data'!$C$9:$AZ$26,18,FALSE)+HLOOKUP($C$6,'Input data'!$C$9:$AZ$26,18,FALSE))</f>
        <v>3.2599299999999998E-2</v>
      </c>
      <c r="P65" s="1">
        <f>IF(P$56&lt;=$C$6,0,-HLOOKUP(P$56,'Input data'!$C$9:$AZ$26,18,FALSE)+HLOOKUP($C$6,'Input data'!$C$9:$AZ$26,18,FALSE))</f>
        <v>3.725630000000002E-2</v>
      </c>
      <c r="Q65" s="1">
        <f>IF(Q$56&lt;=$C$6,0,-HLOOKUP(Q$56,'Input data'!$C$9:$AZ$26,18,FALSE)+HLOOKUP($C$6,'Input data'!$C$9:$AZ$26,18,FALSE))</f>
        <v>4.1913300000000042E-2</v>
      </c>
      <c r="R65" s="1">
        <f>IF(R$56&lt;=$C$6,0,-HLOOKUP(R$56,'Input data'!$C$9:$AZ$26,18,FALSE)+HLOOKUP($C$6,'Input data'!$C$9:$AZ$26,18,FALSE))</f>
        <v>4.6570400000000012E-2</v>
      </c>
      <c r="S65" s="1">
        <f>IF(S$56&lt;=$C$6,0,-HLOOKUP(S$56,'Input data'!$C$9:$AZ$26,18,FALSE)+HLOOKUP($C$6,'Input data'!$C$9:$AZ$26,18,FALSE))</f>
        <v>5.1227499999999981E-2</v>
      </c>
      <c r="T65" s="1">
        <f>IF(T$56&lt;=$C$6,0,-HLOOKUP(T$56,'Input data'!$C$9:$AZ$26,18,FALSE)+HLOOKUP($C$6,'Input data'!$C$9:$AZ$26,18,FALSE))</f>
        <v>5.5884500000000004E-2</v>
      </c>
      <c r="U65" s="1">
        <f>IF(U$56&lt;=$C$6,0,-HLOOKUP(U$56,'Input data'!$C$9:$AZ$26,18,FALSE)+HLOOKUP($C$6,'Input data'!$C$9:$AZ$26,18,FALSE))</f>
        <v>6.0541600000000084E-2</v>
      </c>
    </row>
    <row r="66" spans="2:21" outlineLevel="1" x14ac:dyDescent="0.2">
      <c r="B66" s="77" t="s">
        <v>110</v>
      </c>
      <c r="C66" s="37"/>
      <c r="D66" s="37">
        <v>0</v>
      </c>
      <c r="E66" s="37">
        <v>0</v>
      </c>
      <c r="F66" s="37">
        <v>0</v>
      </c>
      <c r="G66" s="37">
        <v>0</v>
      </c>
      <c r="H66" s="37">
        <v>0</v>
      </c>
      <c r="I66" s="37">
        <v>0</v>
      </c>
      <c r="J66" s="37">
        <v>0</v>
      </c>
      <c r="K66" s="37">
        <v>0</v>
      </c>
      <c r="L66" s="37">
        <v>0</v>
      </c>
      <c r="M66" s="37">
        <v>0</v>
      </c>
      <c r="N66" s="37">
        <v>0</v>
      </c>
      <c r="O66" s="37">
        <v>0</v>
      </c>
      <c r="P66" s="37">
        <v>0</v>
      </c>
      <c r="Q66" s="37">
        <v>0</v>
      </c>
      <c r="R66" s="37">
        <v>0</v>
      </c>
      <c r="S66" s="37">
        <v>0</v>
      </c>
      <c r="T66" s="37">
        <v>0</v>
      </c>
      <c r="U66" s="37">
        <v>0</v>
      </c>
    </row>
    <row r="67" spans="2:21" outlineLevel="1" x14ac:dyDescent="0.2">
      <c r="B67" s="82" t="s">
        <v>111</v>
      </c>
      <c r="C67" s="48"/>
      <c r="D67" s="48">
        <f t="shared" ref="D67:R67" si="22">SUM(D68:D71)</f>
        <v>-0.69368009999999847</v>
      </c>
      <c r="E67" s="48">
        <f t="shared" si="22"/>
        <v>-0.24521838299896748</v>
      </c>
      <c r="F67" s="48">
        <f t="shared" si="22"/>
        <v>-0.45532551137546273</v>
      </c>
      <c r="G67" s="48">
        <f t="shared" si="22"/>
        <v>-0.58147887282724953</v>
      </c>
      <c r="H67" s="48">
        <f t="shared" si="22"/>
        <v>-0.52529603258230195</v>
      </c>
      <c r="I67" s="48">
        <f t="shared" si="22"/>
        <v>-0.35667989645052689</v>
      </c>
      <c r="J67" s="48">
        <f t="shared" si="22"/>
        <v>-0.24403831176034196</v>
      </c>
      <c r="K67" s="48">
        <f t="shared" si="22"/>
        <v>-0.13865477880849997</v>
      </c>
      <c r="L67" s="48">
        <f t="shared" si="22"/>
        <v>0.25158165867596449</v>
      </c>
      <c r="M67" s="48">
        <f t="shared" si="22"/>
        <v>0.32703526583831977</v>
      </c>
      <c r="N67" s="48">
        <f t="shared" si="22"/>
        <v>0.34415091092748873</v>
      </c>
      <c r="O67" s="48">
        <f t="shared" si="22"/>
        <v>0.28941235101862861</v>
      </c>
      <c r="P67" s="48">
        <f t="shared" si="22"/>
        <v>0.2299034533819051</v>
      </c>
      <c r="Q67" s="48">
        <f t="shared" si="22"/>
        <v>0.16610144036491437</v>
      </c>
      <c r="R67" s="48">
        <f t="shared" si="22"/>
        <v>0.16498961628085262</v>
      </c>
      <c r="S67" s="48">
        <f t="shared" ref="S67:U67" si="23">SUM(S68:S71)</f>
        <v>0.15972587431429686</v>
      </c>
      <c r="T67" s="48">
        <f t="shared" si="23"/>
        <v>0.15674694089079266</v>
      </c>
      <c r="U67" s="48">
        <f t="shared" si="23"/>
        <v>0.19074243137367475</v>
      </c>
    </row>
    <row r="68" spans="2:21" outlineLevel="1" x14ac:dyDescent="0.2">
      <c r="B68" s="77" t="s">
        <v>112</v>
      </c>
      <c r="C68" s="34"/>
      <c r="D68" s="34">
        <f t="shared" ref="D68:U68" si="24">C57*D36/100*(1/(1+D33/100))</f>
        <v>1.0548956399101987</v>
      </c>
      <c r="E68" s="34">
        <f t="shared" si="24"/>
        <v>1.0999936148867984</v>
      </c>
      <c r="F68" s="34">
        <f t="shared" si="24"/>
        <v>1.1175867961788133</v>
      </c>
      <c r="G68" s="34">
        <f t="shared" si="24"/>
        <v>1.2103356650985519</v>
      </c>
      <c r="H68" s="34">
        <f t="shared" si="24"/>
        <v>1.2810407287144943</v>
      </c>
      <c r="I68" s="34">
        <f t="shared" si="24"/>
        <v>1.401964647333674</v>
      </c>
      <c r="J68" s="34">
        <f t="shared" si="24"/>
        <v>1.4803672620067942</v>
      </c>
      <c r="K68" s="34">
        <f t="shared" si="24"/>
        <v>1.5494398635867273</v>
      </c>
      <c r="L68" s="34">
        <f t="shared" si="24"/>
        <v>1.6175247584142605</v>
      </c>
      <c r="M68" s="34">
        <f t="shared" si="24"/>
        <v>1.6899962192974449</v>
      </c>
      <c r="N68" s="34">
        <f t="shared" si="24"/>
        <v>1.7625373910964715</v>
      </c>
      <c r="O68" s="34">
        <f t="shared" si="24"/>
        <v>1.8144767800354722</v>
      </c>
      <c r="P68" s="34">
        <f t="shared" si="24"/>
        <v>1.8619249111413261</v>
      </c>
      <c r="Q68" s="34">
        <f t="shared" si="24"/>
        <v>1.9055022272013946</v>
      </c>
      <c r="R68" s="34">
        <f t="shared" si="24"/>
        <v>1.9442100697305933</v>
      </c>
      <c r="S68" s="34">
        <f t="shared" si="24"/>
        <v>1.978597172836196</v>
      </c>
      <c r="T68" s="34">
        <f t="shared" si="24"/>
        <v>2.0093336769451349</v>
      </c>
      <c r="U68" s="34">
        <f t="shared" si="24"/>
        <v>2.0344122883173767</v>
      </c>
    </row>
    <row r="69" spans="2:21" outlineLevel="1" x14ac:dyDescent="0.2">
      <c r="B69" s="77" t="s">
        <v>113</v>
      </c>
      <c r="C69" s="34"/>
      <c r="D69" s="34">
        <f t="shared" ref="D69:U69" si="25">-C57*(D23/100)*(1/(1+D33/100))</f>
        <v>0.14582752401370702</v>
      </c>
      <c r="E69" s="34">
        <f t="shared" si="25"/>
        <v>0.14228961294293135</v>
      </c>
      <c r="F69" s="34">
        <f t="shared" si="25"/>
        <v>-0.22248131462118065</v>
      </c>
      <c r="G69" s="34">
        <f t="shared" si="25"/>
        <v>-0.42352152744476751</v>
      </c>
      <c r="H69" s="34">
        <f t="shared" si="25"/>
        <v>-0.43864231375348628</v>
      </c>
      <c r="I69" s="34">
        <f t="shared" si="25"/>
        <v>-0.40364285599516142</v>
      </c>
      <c r="J69" s="34">
        <f t="shared" si="25"/>
        <v>-0.38177859306743311</v>
      </c>
      <c r="K69" s="34">
        <f t="shared" si="25"/>
        <v>-0.35873416801478319</v>
      </c>
      <c r="L69" s="34">
        <f t="shared" si="25"/>
        <v>-5.0910309681975956E-2</v>
      </c>
      <c r="M69" s="34">
        <f t="shared" si="25"/>
        <v>-4.9395186215348254E-2</v>
      </c>
      <c r="N69" s="34">
        <f t="shared" si="25"/>
        <v>-0.10239305095008228</v>
      </c>
      <c r="O69" s="34">
        <f t="shared" si="25"/>
        <v>-0.22026806028198476</v>
      </c>
      <c r="P69" s="34">
        <f t="shared" si="25"/>
        <v>-0.33729031467954596</v>
      </c>
      <c r="Q69" s="34">
        <f t="shared" si="25"/>
        <v>-0.4537253000521016</v>
      </c>
      <c r="R69" s="34">
        <f t="shared" si="25"/>
        <v>-0.50386091826915358</v>
      </c>
      <c r="S69" s="34">
        <f t="shared" si="25"/>
        <v>-0.55371940218119242</v>
      </c>
      <c r="T69" s="34">
        <f t="shared" si="25"/>
        <v>-0.5976242020172966</v>
      </c>
      <c r="U69" s="34">
        <f t="shared" si="25"/>
        <v>-0.60095254487008554</v>
      </c>
    </row>
    <row r="70" spans="2:21" outlineLevel="1" x14ac:dyDescent="0.2">
      <c r="B70" s="77" t="s">
        <v>114</v>
      </c>
      <c r="C70" s="34"/>
      <c r="D70" s="34">
        <f t="shared" ref="D70:U70" si="26">-C57*D42/100*(1/(1+D42/100))</f>
        <v>-1.8943920413494018</v>
      </c>
      <c r="E70" s="34">
        <f t="shared" si="26"/>
        <v>-1.4872123454975903</v>
      </c>
      <c r="F70" s="34">
        <f t="shared" si="26"/>
        <v>-1.3502344387651115</v>
      </c>
      <c r="G70" s="34">
        <f t="shared" si="26"/>
        <v>-1.368293010481034</v>
      </c>
      <c r="H70" s="34">
        <f t="shared" si="26"/>
        <v>-1.3676944475433099</v>
      </c>
      <c r="I70" s="34">
        <f t="shared" si="26"/>
        <v>-1.3550016877890394</v>
      </c>
      <c r="J70" s="34">
        <f t="shared" si="26"/>
        <v>-1.3426269806997031</v>
      </c>
      <c r="K70" s="34">
        <f t="shared" si="26"/>
        <v>-1.3293604743804439</v>
      </c>
      <c r="L70" s="34">
        <f t="shared" si="26"/>
        <v>-1.3150327900563201</v>
      </c>
      <c r="M70" s="34">
        <f t="shared" si="26"/>
        <v>-1.3135657672437768</v>
      </c>
      <c r="N70" s="34">
        <f t="shared" si="26"/>
        <v>-1.3159934292189004</v>
      </c>
      <c r="O70" s="34">
        <f t="shared" si="26"/>
        <v>-1.3047963687348589</v>
      </c>
      <c r="P70" s="34">
        <f t="shared" si="26"/>
        <v>-1.2947311430798751</v>
      </c>
      <c r="Q70" s="34">
        <f t="shared" si="26"/>
        <v>-1.2856754867843787</v>
      </c>
      <c r="R70" s="34">
        <f t="shared" si="26"/>
        <v>-1.2753595351805871</v>
      </c>
      <c r="S70" s="34">
        <f t="shared" si="26"/>
        <v>-1.2651518963407067</v>
      </c>
      <c r="T70" s="34">
        <f t="shared" si="26"/>
        <v>-1.2549625340370456</v>
      </c>
      <c r="U70" s="34">
        <f t="shared" si="26"/>
        <v>-1.2427173120736166</v>
      </c>
    </row>
    <row r="71" spans="2:21" outlineLevel="1" x14ac:dyDescent="0.2">
      <c r="B71" s="77" t="s">
        <v>115</v>
      </c>
      <c r="C71" s="49"/>
      <c r="D71" s="49">
        <f>'Baseline NFPC'!D70</f>
        <v>-1.1222574502478544E-5</v>
      </c>
      <c r="E71" s="49">
        <f>'Baseline NFPC'!E70</f>
        <v>-2.8926533110695818E-4</v>
      </c>
      <c r="F71" s="49">
        <f>'Baseline NFPC'!F70</f>
        <v>-1.9655416798392E-4</v>
      </c>
      <c r="G71" s="49">
        <f>'Baseline NFPC'!G70</f>
        <v>0</v>
      </c>
      <c r="H71" s="49">
        <f>'Baseline NFPC'!H70</f>
        <v>0</v>
      </c>
      <c r="I71" s="49">
        <f>'Baseline NFPC'!I70</f>
        <v>0</v>
      </c>
      <c r="J71" s="49">
        <f>'Baseline NFPC'!J70</f>
        <v>0</v>
      </c>
      <c r="K71" s="49">
        <f>'Baseline NFPC'!K70</f>
        <v>0</v>
      </c>
      <c r="L71" s="49">
        <f>'Baseline NFPC'!L70</f>
        <v>0</v>
      </c>
      <c r="M71" s="49">
        <f>'Baseline NFPC'!M70</f>
        <v>0</v>
      </c>
      <c r="N71" s="49">
        <f>'Baseline NFPC'!N70</f>
        <v>0</v>
      </c>
      <c r="O71" s="49">
        <f>'Baseline NFPC'!O70</f>
        <v>0</v>
      </c>
      <c r="P71" s="49">
        <f>'Baseline NFPC'!P70</f>
        <v>0</v>
      </c>
      <c r="Q71" s="49">
        <f>'Baseline NFPC'!Q70</f>
        <v>0</v>
      </c>
      <c r="R71" s="49">
        <f>'Baseline NFPC'!R70</f>
        <v>0</v>
      </c>
      <c r="S71" s="49">
        <f>'Baseline NFPC'!S70</f>
        <v>0</v>
      </c>
      <c r="T71" s="49">
        <f>'Baseline NFPC'!T70</f>
        <v>0</v>
      </c>
      <c r="U71" s="49">
        <f>'Baseline NFPC'!U70</f>
        <v>0</v>
      </c>
    </row>
    <row r="72" spans="2:21" outlineLevel="1" x14ac:dyDescent="0.2">
      <c r="B72" s="82" t="s">
        <v>116</v>
      </c>
      <c r="C72" s="50"/>
      <c r="D72" s="50">
        <f>'Input data'!D16</f>
        <v>-1.4401139999999999</v>
      </c>
      <c r="E72" s="50">
        <f>'Input data'!E16</f>
        <v>6.9708000000000006E-2</v>
      </c>
      <c r="F72" s="50">
        <f>'Input data'!F16</f>
        <v>9.8867300000000005E-2</v>
      </c>
      <c r="G72" s="50">
        <f>'Input data'!G16</f>
        <v>0</v>
      </c>
      <c r="H72" s="50">
        <f>'Input data'!H16</f>
        <v>0</v>
      </c>
      <c r="I72" s="50">
        <f>'Input data'!I16</f>
        <v>0</v>
      </c>
      <c r="J72" s="50">
        <f>'Input data'!J16</f>
        <v>0</v>
      </c>
      <c r="K72" s="50">
        <f>'Input data'!K16</f>
        <v>0</v>
      </c>
      <c r="L72" s="50">
        <f>'Input data'!L16</f>
        <v>0</v>
      </c>
      <c r="M72" s="50">
        <f>'Input data'!M16</f>
        <v>0</v>
      </c>
      <c r="N72" s="50">
        <f>'Input data'!N16</f>
        <v>0</v>
      </c>
      <c r="O72" s="50">
        <f>'Input data'!O16</f>
        <v>0</v>
      </c>
      <c r="P72" s="50">
        <f>'Input data'!P16</f>
        <v>0</v>
      </c>
      <c r="Q72" s="50">
        <f>'Input data'!Q16</f>
        <v>0</v>
      </c>
      <c r="R72" s="50">
        <f>'Input data'!R16</f>
        <v>0</v>
      </c>
      <c r="S72" s="50">
        <f>'Input data'!S16</f>
        <v>0</v>
      </c>
      <c r="T72" s="50">
        <f>'Input data'!T16</f>
        <v>0</v>
      </c>
      <c r="U72" s="50">
        <f>'Input data'!U16</f>
        <v>0</v>
      </c>
    </row>
    <row r="73" spans="2:21" outlineLevel="1" x14ac:dyDescent="0.2">
      <c r="B73" s="77" t="s">
        <v>117</v>
      </c>
      <c r="C73" s="34"/>
      <c r="D73" s="34">
        <f t="shared" ref="D73:U73" si="27">D14</f>
        <v>-1.4394560000000001</v>
      </c>
      <c r="E73" s="34">
        <f t="shared" si="27"/>
        <v>8.5767899999999994E-2</v>
      </c>
      <c r="F73" s="34">
        <f t="shared" si="27"/>
        <v>0.1097981</v>
      </c>
      <c r="G73" s="34">
        <f t="shared" si="27"/>
        <v>0</v>
      </c>
      <c r="H73" s="34">
        <f t="shared" si="27"/>
        <v>0</v>
      </c>
      <c r="I73" s="34">
        <f t="shared" si="27"/>
        <v>0</v>
      </c>
      <c r="J73" s="34">
        <f t="shared" si="27"/>
        <v>0</v>
      </c>
      <c r="K73" s="34">
        <f t="shared" si="27"/>
        <v>0</v>
      </c>
      <c r="L73" s="34">
        <f t="shared" si="27"/>
        <v>0</v>
      </c>
      <c r="M73" s="34">
        <f t="shared" si="27"/>
        <v>0</v>
      </c>
      <c r="N73" s="34">
        <f t="shared" si="27"/>
        <v>0</v>
      </c>
      <c r="O73" s="34">
        <f t="shared" si="27"/>
        <v>0</v>
      </c>
      <c r="P73" s="34">
        <f t="shared" si="27"/>
        <v>0</v>
      </c>
      <c r="Q73" s="34">
        <f t="shared" si="27"/>
        <v>0</v>
      </c>
      <c r="R73" s="34">
        <f t="shared" si="27"/>
        <v>0</v>
      </c>
      <c r="S73" s="34">
        <f t="shared" si="27"/>
        <v>0</v>
      </c>
      <c r="T73" s="34">
        <f t="shared" si="27"/>
        <v>0</v>
      </c>
      <c r="U73" s="34">
        <f t="shared" si="27"/>
        <v>0</v>
      </c>
    </row>
    <row r="74" spans="2:21" outlineLevel="1" x14ac:dyDescent="0.2">
      <c r="B74" s="87" t="s">
        <v>118</v>
      </c>
      <c r="C74" s="49"/>
      <c r="D74" s="49">
        <f t="shared" ref="D74:R74" si="28">+D72-D73</f>
        <v>-6.5799999999982539E-4</v>
      </c>
      <c r="E74" s="49">
        <f t="shared" si="28"/>
        <v>-1.6059899999999988E-2</v>
      </c>
      <c r="F74" s="49">
        <f t="shared" si="28"/>
        <v>-1.0930799999999991E-2</v>
      </c>
      <c r="G74" s="49">
        <f t="shared" si="28"/>
        <v>0</v>
      </c>
      <c r="H74" s="49">
        <f t="shared" si="28"/>
        <v>0</v>
      </c>
      <c r="I74" s="49">
        <f t="shared" si="28"/>
        <v>0</v>
      </c>
      <c r="J74" s="49">
        <f t="shared" si="28"/>
        <v>0</v>
      </c>
      <c r="K74" s="49">
        <f t="shared" si="28"/>
        <v>0</v>
      </c>
      <c r="L74" s="49">
        <f t="shared" si="28"/>
        <v>0</v>
      </c>
      <c r="M74" s="49">
        <f t="shared" si="28"/>
        <v>0</v>
      </c>
      <c r="N74" s="49">
        <f t="shared" si="28"/>
        <v>0</v>
      </c>
      <c r="O74" s="49">
        <f t="shared" si="28"/>
        <v>0</v>
      </c>
      <c r="P74" s="49">
        <f t="shared" si="28"/>
        <v>0</v>
      </c>
      <c r="Q74" s="49">
        <f t="shared" si="28"/>
        <v>0</v>
      </c>
      <c r="R74" s="49">
        <f t="shared" si="28"/>
        <v>0</v>
      </c>
      <c r="S74" s="49">
        <f t="shared" ref="S74:U74" si="29">+S72-S73</f>
        <v>0</v>
      </c>
      <c r="T74" s="49">
        <f t="shared" si="29"/>
        <v>0</v>
      </c>
      <c r="U74" s="49">
        <f t="shared" si="29"/>
        <v>0</v>
      </c>
    </row>
    <row r="76" spans="2:21" x14ac:dyDescent="0.2">
      <c r="B76" s="51" t="s">
        <v>181</v>
      </c>
      <c r="C76" s="51"/>
      <c r="D76" s="51"/>
      <c r="E76" s="51"/>
      <c r="F76" s="51"/>
      <c r="G76" s="51"/>
      <c r="H76" s="51"/>
      <c r="I76" s="51">
        <f t="shared" ref="I76:U76" si="30">IF(I57&lt;H57,0,1)</f>
        <v>0</v>
      </c>
      <c r="J76" s="51">
        <f t="shared" si="30"/>
        <v>0</v>
      </c>
      <c r="K76" s="51">
        <f t="shared" si="30"/>
        <v>0</v>
      </c>
      <c r="L76" s="51">
        <f t="shared" si="30"/>
        <v>0</v>
      </c>
      <c r="M76" s="51">
        <f t="shared" si="30"/>
        <v>0</v>
      </c>
      <c r="N76" s="51">
        <f t="shared" si="30"/>
        <v>0</v>
      </c>
      <c r="O76" s="51">
        <f t="shared" si="30"/>
        <v>0</v>
      </c>
      <c r="P76" s="51">
        <f t="shared" si="30"/>
        <v>0</v>
      </c>
      <c r="Q76" s="51">
        <f t="shared" si="30"/>
        <v>0</v>
      </c>
      <c r="R76" s="51">
        <f t="shared" si="30"/>
        <v>0</v>
      </c>
      <c r="S76" s="51">
        <f t="shared" si="30"/>
        <v>0</v>
      </c>
      <c r="T76" s="51">
        <f t="shared" si="30"/>
        <v>0</v>
      </c>
      <c r="U76" s="51">
        <f t="shared" si="30"/>
        <v>0</v>
      </c>
    </row>
    <row r="78" spans="2:21" s="91" customFormat="1" ht="12.75" outlineLevel="1" x14ac:dyDescent="0.2">
      <c r="B78" s="92" t="s">
        <v>121</v>
      </c>
      <c r="C78" s="94"/>
      <c r="D78" s="93"/>
    </row>
    <row r="79" spans="2:21" x14ac:dyDescent="0.2">
      <c r="C79" s="34"/>
      <c r="D79" s="34"/>
      <c r="E79" s="34"/>
      <c r="F79" s="34"/>
      <c r="G79" s="34"/>
      <c r="H79" s="34"/>
      <c r="I79" s="34"/>
      <c r="J79" s="34"/>
      <c r="K79" s="34"/>
      <c r="L79" s="34"/>
      <c r="M79" s="34"/>
      <c r="N79" s="34"/>
      <c r="O79" s="34"/>
      <c r="P79" s="34"/>
      <c r="Q79" s="34"/>
      <c r="R79" s="34"/>
      <c r="S79" s="34"/>
      <c r="T79" s="34"/>
      <c r="U79" s="34"/>
    </row>
    <row r="80" spans="2:21" x14ac:dyDescent="0.2">
      <c r="B80" s="26" t="s">
        <v>122</v>
      </c>
      <c r="C80" s="29"/>
      <c r="D80" s="29">
        <f t="shared" ref="D80:U80" si="31">IF((D84-C84*D43/((1+D23/100)*(1+D42/100)))&gt;0,1,0)</f>
        <v>1</v>
      </c>
      <c r="E80" s="29">
        <f t="shared" si="31"/>
        <v>1</v>
      </c>
      <c r="F80" s="29">
        <f t="shared" si="31"/>
        <v>1</v>
      </c>
      <c r="G80" s="29">
        <f t="shared" si="31"/>
        <v>1</v>
      </c>
      <c r="H80" s="29">
        <f t="shared" si="31"/>
        <v>1</v>
      </c>
      <c r="I80" s="29">
        <f t="shared" si="31"/>
        <v>1</v>
      </c>
      <c r="J80" s="29">
        <f t="shared" si="31"/>
        <v>1</v>
      </c>
      <c r="K80" s="29">
        <f t="shared" si="31"/>
        <v>1</v>
      </c>
      <c r="L80" s="29">
        <f t="shared" si="31"/>
        <v>1</v>
      </c>
      <c r="M80" s="29">
        <f t="shared" si="31"/>
        <v>1</v>
      </c>
      <c r="N80" s="29">
        <f t="shared" si="31"/>
        <v>1</v>
      </c>
      <c r="O80" s="29">
        <f t="shared" si="31"/>
        <v>1</v>
      </c>
      <c r="P80" s="29">
        <f t="shared" si="31"/>
        <v>1</v>
      </c>
      <c r="Q80" s="29">
        <f t="shared" si="31"/>
        <v>1</v>
      </c>
      <c r="R80" s="29">
        <f t="shared" si="31"/>
        <v>1</v>
      </c>
      <c r="S80" s="29">
        <f t="shared" si="31"/>
        <v>1</v>
      </c>
      <c r="T80" s="29">
        <f t="shared" si="31"/>
        <v>1</v>
      </c>
      <c r="U80" s="29">
        <f t="shared" si="31"/>
        <v>1</v>
      </c>
    </row>
    <row r="81" spans="2:21" x14ac:dyDescent="0.2">
      <c r="B81" s="26" t="s">
        <v>123</v>
      </c>
      <c r="C81" s="29"/>
      <c r="D81" s="29">
        <f t="shared" ref="D81:U81" si="32">IF(AND(D80=0,ABS(D84-C84*D43/((1+D23/100)*(1+D42/100)))&lt;((C90*C84*D43/((1+D23/100)*(1+D42/100))+(D39*C84*C91*D43/((1+D23/100)*(1+D42/100)))))),1,0)</f>
        <v>0</v>
      </c>
      <c r="E81" s="29">
        <f t="shared" si="32"/>
        <v>0</v>
      </c>
      <c r="F81" s="29">
        <f t="shared" si="32"/>
        <v>0</v>
      </c>
      <c r="G81" s="29">
        <f t="shared" si="32"/>
        <v>0</v>
      </c>
      <c r="H81" s="29">
        <f t="shared" si="32"/>
        <v>0</v>
      </c>
      <c r="I81" s="29">
        <f t="shared" si="32"/>
        <v>0</v>
      </c>
      <c r="J81" s="29">
        <f t="shared" si="32"/>
        <v>0</v>
      </c>
      <c r="K81" s="29">
        <f t="shared" si="32"/>
        <v>0</v>
      </c>
      <c r="L81" s="29">
        <f t="shared" si="32"/>
        <v>0</v>
      </c>
      <c r="M81" s="29">
        <f t="shared" si="32"/>
        <v>0</v>
      </c>
      <c r="N81" s="29">
        <f t="shared" si="32"/>
        <v>0</v>
      </c>
      <c r="O81" s="29">
        <f t="shared" si="32"/>
        <v>0</v>
      </c>
      <c r="P81" s="29">
        <f t="shared" si="32"/>
        <v>0</v>
      </c>
      <c r="Q81" s="29">
        <f t="shared" si="32"/>
        <v>0</v>
      </c>
      <c r="R81" s="29">
        <f t="shared" si="32"/>
        <v>0</v>
      </c>
      <c r="S81" s="29">
        <f t="shared" si="32"/>
        <v>0</v>
      </c>
      <c r="T81" s="29">
        <f t="shared" si="32"/>
        <v>0</v>
      </c>
      <c r="U81" s="29">
        <f t="shared" si="32"/>
        <v>0</v>
      </c>
    </row>
    <row r="83" spans="2:21" x14ac:dyDescent="0.2">
      <c r="B83" s="51"/>
      <c r="C83" s="84">
        <f>'Input data'!$C$5-1</f>
        <v>2023</v>
      </c>
      <c r="D83" s="84">
        <f>C83+1</f>
        <v>2024</v>
      </c>
      <c r="E83" s="84">
        <f t="shared" ref="E83:U83" si="33">D83+1</f>
        <v>2025</v>
      </c>
      <c r="F83" s="84">
        <f t="shared" si="33"/>
        <v>2026</v>
      </c>
      <c r="G83" s="84">
        <f t="shared" si="33"/>
        <v>2027</v>
      </c>
      <c r="H83" s="84">
        <f t="shared" si="33"/>
        <v>2028</v>
      </c>
      <c r="I83" s="84">
        <f t="shared" si="33"/>
        <v>2029</v>
      </c>
      <c r="J83" s="84">
        <f t="shared" si="33"/>
        <v>2030</v>
      </c>
      <c r="K83" s="84">
        <f t="shared" si="33"/>
        <v>2031</v>
      </c>
      <c r="L83" s="84">
        <f t="shared" si="33"/>
        <v>2032</v>
      </c>
      <c r="M83" s="84">
        <f t="shared" si="33"/>
        <v>2033</v>
      </c>
      <c r="N83" s="84">
        <f t="shared" si="33"/>
        <v>2034</v>
      </c>
      <c r="O83" s="84">
        <f t="shared" si="33"/>
        <v>2035</v>
      </c>
      <c r="P83" s="84">
        <f t="shared" si="33"/>
        <v>2036</v>
      </c>
      <c r="Q83" s="84">
        <f t="shared" si="33"/>
        <v>2037</v>
      </c>
      <c r="R83" s="84">
        <f t="shared" si="33"/>
        <v>2038</v>
      </c>
      <c r="S83" s="84">
        <f t="shared" si="33"/>
        <v>2039</v>
      </c>
      <c r="T83" s="84">
        <f t="shared" si="33"/>
        <v>2040</v>
      </c>
      <c r="U83" s="84">
        <f t="shared" si="33"/>
        <v>2041</v>
      </c>
    </row>
    <row r="84" spans="2:21" x14ac:dyDescent="0.2">
      <c r="B84" s="104" t="s">
        <v>101</v>
      </c>
      <c r="C84" s="108">
        <f>C57</f>
        <v>62.885489999999997</v>
      </c>
      <c r="D84" s="108">
        <f>D57</f>
        <v>62.455679115154567</v>
      </c>
      <c r="E84" s="108">
        <f t="shared" ref="E84:U84" si="34">D84*(1+E98/100)*E43-E60-E61+E62+E63+E64+E65+E66+E73</f>
        <v>63.692061751928861</v>
      </c>
      <c r="F84" s="108">
        <f t="shared" si="34"/>
        <v>64.202497678293042</v>
      </c>
      <c r="G84" s="108">
        <f t="shared" si="34"/>
        <v>63.836818327493361</v>
      </c>
      <c r="H84" s="108">
        <f t="shared" si="34"/>
        <v>62.913501633185533</v>
      </c>
      <c r="I84" s="108">
        <f t="shared" si="34"/>
        <v>62.014560637571044</v>
      </c>
      <c r="J84" s="108">
        <f t="shared" si="34"/>
        <v>61.08402094381826</v>
      </c>
      <c r="K84" s="108">
        <f t="shared" si="34"/>
        <v>60.114624405942756</v>
      </c>
      <c r="L84" s="108">
        <f t="shared" si="34"/>
        <v>59.740121157151343</v>
      </c>
      <c r="M84" s="108">
        <f t="shared" si="34"/>
        <v>59.545728635666819</v>
      </c>
      <c r="N84" s="108">
        <f t="shared" si="34"/>
        <v>59.373107681149662</v>
      </c>
      <c r="O84" s="108">
        <f t="shared" si="34"/>
        <v>59.250403965936627</v>
      </c>
      <c r="P84" s="108">
        <f t="shared" si="34"/>
        <v>59.172846911243909</v>
      </c>
      <c r="Q84" s="108">
        <f t="shared" si="34"/>
        <v>59.036144410634556</v>
      </c>
      <c r="R84" s="108">
        <f t="shared" si="34"/>
        <v>58.902987685829494</v>
      </c>
      <c r="S84" s="108">
        <f t="shared" si="34"/>
        <v>58.769221828069469</v>
      </c>
      <c r="T84" s="108">
        <f t="shared" si="34"/>
        <v>58.537135036791341</v>
      </c>
      <c r="U84" s="108">
        <f t="shared" si="34"/>
        <v>58.343699800174285</v>
      </c>
    </row>
    <row r="85" spans="2:21" x14ac:dyDescent="0.2">
      <c r="B85" s="26" t="s">
        <v>124</v>
      </c>
      <c r="C85" s="34"/>
      <c r="D85" s="250">
        <f>'Input data'!$C$66*D$84</f>
        <v>48.023909319617729</v>
      </c>
      <c r="E85" s="34">
        <f t="shared" ref="E85:U85" si="35">IF(E84=0,0,IF(E80=1,D84*E43/((1+E23/100)*(1+E42/100))-E86-E87,IF(AND(E80=0,E81=1),(1-D90-E39*D91)*D84*E43/((1+E23/100)*(1+E42/100)),E84)))</f>
        <v>48.294458579391062</v>
      </c>
      <c r="F85" s="34">
        <f t="shared" si="35"/>
        <v>49.041541480454299</v>
      </c>
      <c r="G85" s="34">
        <f t="shared" si="35"/>
        <v>49.221291318041011</v>
      </c>
      <c r="H85" s="34">
        <f t="shared" si="35"/>
        <v>48.858093026043775</v>
      </c>
      <c r="I85" s="34">
        <f t="shared" si="35"/>
        <v>48.10239573571026</v>
      </c>
      <c r="J85" s="34">
        <f t="shared" si="35"/>
        <v>47.357006837133056</v>
      </c>
      <c r="K85" s="34">
        <f t="shared" si="35"/>
        <v>46.589911798993171</v>
      </c>
      <c r="L85" s="34">
        <f t="shared" si="35"/>
        <v>46.017767784824585</v>
      </c>
      <c r="M85" s="34">
        <f t="shared" si="35"/>
        <v>45.664325198151069</v>
      </c>
      <c r="N85" s="34">
        <f t="shared" si="35"/>
        <v>45.407698885896778</v>
      </c>
      <c r="O85" s="34">
        <f t="shared" si="35"/>
        <v>45.196740808077124</v>
      </c>
      <c r="P85" s="34">
        <f t="shared" si="35"/>
        <v>45.025252410059935</v>
      </c>
      <c r="Q85" s="34">
        <f t="shared" si="35"/>
        <v>44.889318685886415</v>
      </c>
      <c r="R85" s="34">
        <f t="shared" si="35"/>
        <v>44.759960983568007</v>
      </c>
      <c r="S85" s="34">
        <f t="shared" si="35"/>
        <v>44.633466907756784</v>
      </c>
      <c r="T85" s="34">
        <f t="shared" si="35"/>
        <v>44.511063642728757</v>
      </c>
      <c r="U85" s="34">
        <f t="shared" si="35"/>
        <v>44.344521250114653</v>
      </c>
    </row>
    <row r="86" spans="2:21" x14ac:dyDescent="0.2">
      <c r="B86" s="103" t="s">
        <v>125</v>
      </c>
      <c r="C86" s="34"/>
      <c r="D86" s="250">
        <f>'Input data'!$C$67*D$84</f>
        <v>6.4240999089860908</v>
      </c>
      <c r="E86" s="34">
        <f t="shared" ref="E86:U86" si="36">IF(E84=0,0,IF(E80=1,E39*D84*D91*E43/((1+E23/100)*(1+E42/100)),IF(AND(E80=0,E81=1),(E39*D84*D91*E43/((1+E23/100)*(1+E42/100)))*(1-ABS(E84-D84*E43/((1+E23/100)*(1+E42/100)))/((E39*D84*D91*E43/((1+E23/100)*(1+E42/100)))+(D90*D84*E43/((1+E23/100)*(1+E42/100))))),0)))</f>
        <v>6.1272804703985093</v>
      </c>
      <c r="F86" s="34">
        <f t="shared" si="36"/>
        <v>6.3040193937363052</v>
      </c>
      <c r="G86" s="34">
        <f t="shared" si="36"/>
        <v>6.4096239502342067</v>
      </c>
      <c r="H86" s="34">
        <f t="shared" si="36"/>
        <v>6.4444616276679882</v>
      </c>
      <c r="I86" s="34">
        <f t="shared" si="36"/>
        <v>6.4258880230277606</v>
      </c>
      <c r="J86" s="34">
        <f t="shared" si="36"/>
        <v>6.4063987883148386</v>
      </c>
      <c r="K86" s="34">
        <f t="shared" si="36"/>
        <v>6.3816508342809541</v>
      </c>
      <c r="L86" s="34">
        <f t="shared" si="36"/>
        <v>6.3815683081834154</v>
      </c>
      <c r="M86" s="34">
        <f t="shared" si="36"/>
        <v>6.4104726508482397</v>
      </c>
      <c r="N86" s="34">
        <f t="shared" si="36"/>
        <v>6.4521598872142389</v>
      </c>
      <c r="O86" s="34">
        <f t="shared" si="36"/>
        <v>6.4221840179015901</v>
      </c>
      <c r="P86" s="34">
        <f t="shared" si="36"/>
        <v>6.3978165518119834</v>
      </c>
      <c r="Q86" s="34">
        <f t="shared" si="36"/>
        <v>6.3785011902334112</v>
      </c>
      <c r="R86" s="34">
        <f t="shared" si="36"/>
        <v>6.3601202416612699</v>
      </c>
      <c r="S86" s="34">
        <f t="shared" si="36"/>
        <v>6.3421461971281969</v>
      </c>
      <c r="T86" s="34">
        <f t="shared" si="36"/>
        <v>6.3247534321113541</v>
      </c>
      <c r="U86" s="34">
        <f t="shared" si="36"/>
        <v>6.3010887635306894</v>
      </c>
    </row>
    <row r="87" spans="2:21" x14ac:dyDescent="0.2">
      <c r="B87" s="103" t="s">
        <v>126</v>
      </c>
      <c r="C87" s="34"/>
      <c r="D87" s="250">
        <f>'Input data'!$C$68*D$84</f>
        <v>6.6882509052437129</v>
      </c>
      <c r="E87" s="34">
        <f t="shared" ref="E87:U87" si="37">IF(E84=0,0,IF(E80=1,(1-D91)*D84*E43/((1+E23/100)*(1+E42/100)),IF(AND(E80=0,E81=1),(D90*D84*E43/((1+E23/100)*(1+E42/100)))*(1-ABS(E84-D84*E43/((1+E23/100)*(1+E42/100)))/((E39*D84*D91*E43/((1+E23/100)*(1+E42/100)))+(D90*D84*E43/((1+E23/100)*(1+E42/100))))),0)))</f>
        <v>6.6728902042009688</v>
      </c>
      <c r="F87" s="34">
        <f t="shared" si="37"/>
        <v>6.7628600163945123</v>
      </c>
      <c r="G87" s="34">
        <f t="shared" si="37"/>
        <v>6.7797696522886461</v>
      </c>
      <c r="H87" s="34">
        <f t="shared" si="37"/>
        <v>6.7279287010427993</v>
      </c>
      <c r="I87" s="34">
        <f t="shared" si="37"/>
        <v>6.626575083015033</v>
      </c>
      <c r="J87" s="34">
        <f t="shared" si="37"/>
        <v>6.526751171615679</v>
      </c>
      <c r="K87" s="34">
        <f t="shared" si="37"/>
        <v>6.4243653839804846</v>
      </c>
      <c r="L87" s="34">
        <f t="shared" si="37"/>
        <v>6.3493466207697633</v>
      </c>
      <c r="M87" s="34">
        <f t="shared" si="37"/>
        <v>6.3023637739125276</v>
      </c>
      <c r="N87" s="34">
        <f t="shared" si="37"/>
        <v>6.2674848722528695</v>
      </c>
      <c r="O87" s="34">
        <f t="shared" si="37"/>
        <v>6.2291200420169091</v>
      </c>
      <c r="P87" s="34">
        <f t="shared" si="37"/>
        <v>6.1953152875204065</v>
      </c>
      <c r="Q87" s="34">
        <f t="shared" si="37"/>
        <v>6.1656281137090385</v>
      </c>
      <c r="R87" s="34">
        <f t="shared" si="37"/>
        <v>6.136844649868598</v>
      </c>
      <c r="S87" s="34">
        <f t="shared" si="37"/>
        <v>6.1085052530015096</v>
      </c>
      <c r="T87" s="34">
        <f t="shared" si="37"/>
        <v>6.0808200343048817</v>
      </c>
      <c r="U87" s="34">
        <f t="shared" si="37"/>
        <v>6.047857186957601</v>
      </c>
    </row>
    <row r="88" spans="2:21" x14ac:dyDescent="0.2">
      <c r="B88" s="103" t="s">
        <v>127</v>
      </c>
      <c r="C88" s="34"/>
      <c r="D88" s="250">
        <f>'Input data'!$C$69*D$84</f>
        <v>1.1861189831955719</v>
      </c>
      <c r="E88" s="34">
        <f>IF(E84=0,0,IF(E80=1,'Input data'!$C$58*(E84-D84*E43/((1+E23/100)*(1+E42/100))),0))</f>
        <v>2.3350232434286053</v>
      </c>
      <c r="F88" s="34">
        <f>IF(F84=0,0,IF(F80=1,'Input data'!$C$58*(F84-E84*F43/((1+F23/100)*(1+F42/100))),0))</f>
        <v>1.8825197485222307</v>
      </c>
      <c r="G88" s="34">
        <f>IF(G84=0,0,IF(G80=1,'Input data'!$C$58*(G84-F84*G43/((1+G23/100)*(1+G42/100))),0))</f>
        <v>1.2820562829076727</v>
      </c>
      <c r="H88" s="34">
        <f>IF(H84=0,0,IF(H80=1,'Input data'!$C$58*(H84-G84*H43/((1+H23/100)*(1+H42/100))),0))</f>
        <v>0.79381012062688883</v>
      </c>
      <c r="I88" s="34">
        <f>IF(I84=0,0,IF(I80=1,'Input data'!$C$58*(I84-H84*I43/((1+I23/100)*(1+I42/100))),0))</f>
        <v>0.77284921831296383</v>
      </c>
      <c r="J88" s="34">
        <f>IF(J84=0,0,IF(J80=1,'Input data'!$C$58*(J84-I84*J43/((1+J23/100)*(1+J42/100))),0))</f>
        <v>0.71366290991898829</v>
      </c>
      <c r="K88" s="34">
        <f>IF(K84=0,0,IF(K80=1,'Input data'!$C$58*(K84-J84*K43/((1+K23/100)*(1+K42/100))),0))</f>
        <v>0.64608907984598041</v>
      </c>
      <c r="L88" s="34">
        <f>IF(L84=0,0,IF(L80=1,'Input data'!$C$58*(L84-K84*L43/((1+L23/100)*(1+L42/100))),0))</f>
        <v>0.89127698661793875</v>
      </c>
      <c r="M88" s="34">
        <f>IF(M84=0,0,IF(M80=1,'Input data'!$C$58*(M84-L84*M43/((1+M23/100)*(1+M42/100))),0))</f>
        <v>1.050510894297594</v>
      </c>
      <c r="N88" s="34">
        <f>IF(N84=0,0,IF(N80=1,'Input data'!$C$58*(N84-M84*N43/((1+N23/100)*(1+N42/100))),0))</f>
        <v>1.1199089800008675</v>
      </c>
      <c r="O88" s="34">
        <f>IF(O84=0,0,IF(O80=1,'Input data'!$C$58*(O84-N84*O43/((1+O23/100)*(1+O42/100))),0))</f>
        <v>1.2606838067687749</v>
      </c>
      <c r="P88" s="34">
        <f>IF(P84=0,0,IF(P80=1,'Input data'!$C$58*(P84-O84*P43/((1+P23/100)*(1+P42/100))),0))</f>
        <v>1.3974208951902982</v>
      </c>
      <c r="Q88" s="34">
        <f>IF(Q84=0,0,IF(Q80=1,'Input data'!$C$58*(Q84-P84*Q43/((1+Q23/100)*(1+Q42/100))),0))</f>
        <v>1.4407817711188018</v>
      </c>
      <c r="R88" s="34">
        <f>IF(R84=0,0,IF(R80=1,'Input data'!$C$58*(R84-Q84*R43/((1+R23/100)*(1+R42/100))),0))</f>
        <v>1.47976611181592</v>
      </c>
      <c r="S88" s="34">
        <f>IF(S84=0,0,IF(S80=1,'Input data'!$C$58*(S84-R84*S43/((1+S23/100)*(1+S42/100))),0))</f>
        <v>1.5148635329628866</v>
      </c>
      <c r="T88" s="34">
        <f>IF(T84=0,0,IF(T80=1,'Input data'!$C$58*(T84-S84*T43/((1+T23/100)*(1+T42/100))),0))</f>
        <v>1.456784855808783</v>
      </c>
      <c r="U88" s="34">
        <f>IF(U84=0,0,IF(U80=1,'Input data'!$C$58*(U84-T84*U43/((1+U23/100)*(1+U42/100))),0))</f>
        <v>1.4835155408740117</v>
      </c>
    </row>
    <row r="89" spans="2:21" x14ac:dyDescent="0.2">
      <c r="B89" s="105" t="s">
        <v>128</v>
      </c>
      <c r="C89" s="49"/>
      <c r="D89" s="251">
        <f>'Input data'!$C$70*D$84</f>
        <v>0.13329569811152336</v>
      </c>
      <c r="E89" s="49">
        <f>IF(E84=0,0,IF(E80=1,'Input data'!$C$57*(E84-D84*E43/((1+E23/100)*(1+E42/100))),0))</f>
        <v>0.26240925450971603</v>
      </c>
      <c r="F89" s="49">
        <f>IF(F84=0,0,IF(F80=1,'Input data'!$C$57*(F84-E84*F43/((1+F23/100)*(1+F42/100))),0))</f>
        <v>0.2115570391856961</v>
      </c>
      <c r="G89" s="49">
        <f>IF(G84=0,0,IF(G80=1,'Input data'!$C$57*(G84-F84*G43/((1+G23/100)*(1+G42/100))),0))</f>
        <v>0.14407712402182191</v>
      </c>
      <c r="H89" s="49">
        <f>IF(H84=0,0,IF(H80=1,'Input data'!$C$57*(H84-G84*H43/((1+H23/100)*(1+H42/100))),0))</f>
        <v>8.9208157804078245E-2</v>
      </c>
      <c r="I89" s="49">
        <f>IF(I84=0,0,IF(I80=1,'Input data'!$C$57*(I84-H84*I43/((1+I23/100)*(1+I42/100))),0))</f>
        <v>8.6852577505026632E-2</v>
      </c>
      <c r="J89" s="49">
        <f>IF(J84=0,0,IF(J80=1,'Input data'!$C$57*(J84-I84*J43/((1+J23/100)*(1+J42/100))),0))</f>
        <v>8.0201236835697604E-2</v>
      </c>
      <c r="K89" s="49">
        <f>IF(K84=0,0,IF(K80=1,'Input data'!$C$57*(K84-J84*K43/((1+K23/100)*(1+K42/100))),0))</f>
        <v>7.2607308842163945E-2</v>
      </c>
      <c r="L89" s="49">
        <f>IF(L84=0,0,IF(L80=1,'Input data'!$C$57*(L84-K84*L43/((1+L23/100)*(1+L42/100))),0))</f>
        <v>0.10016145675563612</v>
      </c>
      <c r="M89" s="49">
        <f>IF(M84=0,0,IF(M80=1,'Input data'!$C$57*(M84-L84*M43/((1+M23/100)*(1+M42/100))),0))</f>
        <v>0.11805611845739013</v>
      </c>
      <c r="N89" s="49">
        <f>IF(N84=0,0,IF(N80=1,'Input data'!$C$57*(N84-M84*N43/((1+N23/100)*(1+N42/100))),0))</f>
        <v>0.12585505578490808</v>
      </c>
      <c r="O89" s="49">
        <f>IF(O84=0,0,IF(O80=1,'Input data'!$C$57*(O84-N84*O43/((1+O23/100)*(1+O42/100))),0))</f>
        <v>0.14167529117222682</v>
      </c>
      <c r="P89" s="49">
        <f>IF(P84=0,0,IF(P80=1,'Input data'!$C$57*(P84-O84*P43/((1+P23/100)*(1+P42/100))),0))</f>
        <v>0.15704176666128253</v>
      </c>
      <c r="Q89" s="49">
        <f>IF(Q84=0,0,IF(Q80=1,'Input data'!$C$57*(Q84-P84*Q43/((1+Q23/100)*(1+Q42/100))),0))</f>
        <v>0.16191464968688349</v>
      </c>
      <c r="R89" s="49">
        <f>IF(R84=0,0,IF(R80=1,'Input data'!$C$57*(R84-Q84*R43/((1+R23/100)*(1+R42/100))),0))</f>
        <v>0.16629569891569659</v>
      </c>
      <c r="S89" s="49">
        <f>IF(S84=0,0,IF(S80=1,'Input data'!$C$57*(S84-R84*S43/((1+S23/100)*(1+S42/100))),0))</f>
        <v>0.17023993722009384</v>
      </c>
      <c r="T89" s="49">
        <f>IF(T84=0,0,IF(T80=1,'Input data'!$C$57*(T84-S84*T43/((1+T23/100)*(1+T42/100))),0))</f>
        <v>0.16371307183757169</v>
      </c>
      <c r="U89" s="49">
        <f>IF(U84=0,0,IF(U80=1,'Input data'!$C$57*(U84-T84*U43/((1+U23/100)*(1+U42/100))),0))</f>
        <v>0.16671705869733466</v>
      </c>
    </row>
    <row r="90" spans="2:21" x14ac:dyDescent="0.2">
      <c r="B90" s="26" t="s">
        <v>73</v>
      </c>
      <c r="C90" s="36"/>
      <c r="D90" s="34">
        <f t="shared" ref="D90:E90" si="38">IF(D84&lt;&gt;0,(D87+D89)/(D85+D86+D87+D88+D89),0)</f>
        <v>0.10922220636546567</v>
      </c>
      <c r="E90" s="34">
        <f t="shared" si="38"/>
        <v>0.10888797234610882</v>
      </c>
      <c r="F90" s="34">
        <f t="shared" ref="F90:U90" si="39">IF(F84&lt;&gt;0,(F87+F89)/(F85+F86+F87+F88+F89),0)</f>
        <v>0.10863155340977131</v>
      </c>
      <c r="G90" s="34">
        <f t="shared" si="39"/>
        <v>0.10846165203268741</v>
      </c>
      <c r="H90" s="34">
        <f t="shared" si="39"/>
        <v>0.10835729504604434</v>
      </c>
      <c r="I90" s="34">
        <f t="shared" si="39"/>
        <v>0.10825566756418784</v>
      </c>
      <c r="J90" s="34">
        <f t="shared" si="39"/>
        <v>0.10816171408440989</v>
      </c>
      <c r="K90" s="34">
        <f t="shared" si="39"/>
        <v>0.10807640831205753</v>
      </c>
      <c r="L90" s="34">
        <f t="shared" si="39"/>
        <v>0.10795940738987511</v>
      </c>
      <c r="M90" s="34">
        <f t="shared" si="39"/>
        <v>0.10782334920534001</v>
      </c>
      <c r="N90" s="34">
        <f t="shared" si="39"/>
        <v>0.1076807359044067</v>
      </c>
      <c r="O90" s="34">
        <f t="shared" si="39"/>
        <v>0.10752323877575147</v>
      </c>
      <c r="P90" s="34">
        <f t="shared" si="39"/>
        <v>0.10735256770237679</v>
      </c>
      <c r="Q90" s="34">
        <f t="shared" si="39"/>
        <v>0.10718082670480258</v>
      </c>
      <c r="R90" s="34">
        <f t="shared" si="39"/>
        <v>0.10700883938864554</v>
      </c>
      <c r="S90" s="34">
        <f t="shared" si="39"/>
        <v>0.10683730352241515</v>
      </c>
      <c r="T90" s="34">
        <f t="shared" si="39"/>
        <v>0.1066764388489065</v>
      </c>
      <c r="U90" s="34">
        <f t="shared" si="39"/>
        <v>0.10651662933512439</v>
      </c>
    </row>
    <row r="91" spans="2:21" x14ac:dyDescent="0.2">
      <c r="B91" s="35" t="s">
        <v>74</v>
      </c>
      <c r="C91" s="106"/>
      <c r="D91" s="49">
        <f t="shared" ref="D91:E91" si="40">IF(D84&lt;&gt;0,(D85+D86+D88)/(D85+D86+D87+D88+D89),1)</f>
        <v>0.89077779363453435</v>
      </c>
      <c r="E91" s="49">
        <f t="shared" si="40"/>
        <v>0.8911120276538913</v>
      </c>
      <c r="F91" s="49">
        <f t="shared" ref="F91:U91" si="41">IF(F84&lt;&gt;0,(F85+F86+F88)/(F85+F86+F87+F88+F89),1)</f>
        <v>0.89136844659022862</v>
      </c>
      <c r="G91" s="49">
        <f t="shared" si="41"/>
        <v>0.89153834796731257</v>
      </c>
      <c r="H91" s="49">
        <f t="shared" si="41"/>
        <v>0.89164270495395559</v>
      </c>
      <c r="I91" s="49">
        <f t="shared" si="41"/>
        <v>0.89174433243581208</v>
      </c>
      <c r="J91" s="49">
        <f t="shared" si="41"/>
        <v>0.89183828591559011</v>
      </c>
      <c r="K91" s="49">
        <f t="shared" si="41"/>
        <v>0.89192359168794244</v>
      </c>
      <c r="L91" s="49">
        <f t="shared" si="41"/>
        <v>0.89204059261012481</v>
      </c>
      <c r="M91" s="49">
        <f t="shared" si="41"/>
        <v>0.89217665079466002</v>
      </c>
      <c r="N91" s="49">
        <f t="shared" si="41"/>
        <v>0.89231926409559326</v>
      </c>
      <c r="O91" s="49">
        <f t="shared" si="41"/>
        <v>0.89247676122424857</v>
      </c>
      <c r="P91" s="49">
        <f t="shared" si="41"/>
        <v>0.89264743229762322</v>
      </c>
      <c r="Q91" s="49">
        <f t="shared" si="41"/>
        <v>0.89281917329519733</v>
      </c>
      <c r="R91" s="49">
        <f t="shared" si="41"/>
        <v>0.89299116061135442</v>
      </c>
      <c r="S91" s="49">
        <f t="shared" si="41"/>
        <v>0.89316269647758484</v>
      </c>
      <c r="T91" s="49">
        <f t="shared" si="41"/>
        <v>0.89332356115109357</v>
      </c>
      <c r="U91" s="49">
        <f t="shared" si="41"/>
        <v>0.8934833706648756</v>
      </c>
    </row>
    <row r="92" spans="2:21" x14ac:dyDescent="0.2">
      <c r="C92" s="38"/>
      <c r="D92" s="38"/>
      <c r="E92" s="38"/>
      <c r="F92" s="38"/>
      <c r="G92" s="38"/>
      <c r="H92" s="38"/>
      <c r="I92" s="38"/>
      <c r="J92" s="38"/>
      <c r="K92" s="38"/>
      <c r="L92" s="38"/>
      <c r="M92" s="38"/>
      <c r="N92" s="38"/>
      <c r="O92" s="38"/>
      <c r="P92" s="38"/>
      <c r="Q92" s="38"/>
      <c r="R92" s="38"/>
      <c r="S92" s="38"/>
      <c r="T92" s="38"/>
      <c r="U92" s="38"/>
    </row>
    <row r="93" spans="2:21" x14ac:dyDescent="0.2">
      <c r="B93" s="111" t="s">
        <v>129</v>
      </c>
      <c r="C93" s="112">
        <f>C105</f>
        <v>1.4223718643188477</v>
      </c>
      <c r="D93" s="112">
        <f>D105</f>
        <v>1.7254641056060791</v>
      </c>
      <c r="E93" s="112">
        <f t="shared" ref="E93" si="42">E95+E96</f>
        <v>1.8</v>
      </c>
      <c r="F93" s="112">
        <f t="shared" ref="F93:U93" si="43">F95+F96</f>
        <v>1.7990942278989217</v>
      </c>
      <c r="G93" s="112">
        <f t="shared" si="43"/>
        <v>1.9393064891870158</v>
      </c>
      <c r="H93" s="112">
        <f t="shared" si="43"/>
        <v>2.0651772983228507</v>
      </c>
      <c r="I93" s="112">
        <f t="shared" si="43"/>
        <v>2.2924805599067026</v>
      </c>
      <c r="J93" s="112">
        <f t="shared" si="43"/>
        <v>2.455402096599915</v>
      </c>
      <c r="K93" s="112">
        <f t="shared" si="43"/>
        <v>2.6086607961374653</v>
      </c>
      <c r="L93" s="112">
        <f t="shared" si="43"/>
        <v>2.7532925282296326</v>
      </c>
      <c r="M93" s="112">
        <f t="shared" si="43"/>
        <v>2.8949582551823028</v>
      </c>
      <c r="N93" s="112">
        <f t="shared" si="43"/>
        <v>3.0321969476005823</v>
      </c>
      <c r="O93" s="112">
        <f t="shared" si="43"/>
        <v>3.1366226147658578</v>
      </c>
      <c r="P93" s="112">
        <f t="shared" si="43"/>
        <v>3.231473684825231</v>
      </c>
      <c r="Q93" s="112">
        <f t="shared" si="43"/>
        <v>3.317753417802491</v>
      </c>
      <c r="R93" s="112">
        <f t="shared" si="43"/>
        <v>3.3955856767579551</v>
      </c>
      <c r="S93" s="112">
        <f t="shared" si="43"/>
        <v>3.4661042092379755</v>
      </c>
      <c r="T93" s="112">
        <f t="shared" si="43"/>
        <v>3.5303060602354757</v>
      </c>
      <c r="U93" s="112">
        <f t="shared" si="43"/>
        <v>3.5884382433344957</v>
      </c>
    </row>
    <row r="94" spans="2:21" x14ac:dyDescent="0.2">
      <c r="B94" s="33" t="s">
        <v>130</v>
      </c>
      <c r="C94" s="34"/>
      <c r="D94" s="34"/>
      <c r="E94" s="260">
        <f>((E36*D84)-(E38*(D87+D89)))/(D85+D86+D88)</f>
        <v>1.775559038079825</v>
      </c>
      <c r="F94" s="34">
        <f>IF(E84&gt;0,(E94*E85+
('Baseline NFPC'!F97*('Baseline NFPC'!E88+'Baseline NFPC'!E89+'Baseline NFPC'!E91)-'Baseline NFPC'!E97*'Baseline NFPC'!E88)/('Baseline NFPC'!E89+'Baseline NFPC'!E91)
*(E88+E86))/(E85+E86+E88),F37)</f>
        <v>1.8086572302541541</v>
      </c>
      <c r="G94" s="34">
        <f t="shared" ref="G94:U94" si="44">IF(F84&gt;0,(F94*F85+G37*(F88+F86))/(F85+F86+F88),G37)</f>
        <v>1.946802150630204</v>
      </c>
      <c r="H94" s="34">
        <f t="shared" si="44"/>
        <v>2.0688765816266814</v>
      </c>
      <c r="I94" s="34">
        <f t="shared" si="44"/>
        <v>2.2439605983348598</v>
      </c>
      <c r="J94" s="34">
        <f t="shared" si="44"/>
        <v>2.4076558657607348</v>
      </c>
      <c r="K94" s="34">
        <f t="shared" si="44"/>
        <v>2.5605111215119485</v>
      </c>
      <c r="L94" s="34">
        <f t="shared" si="44"/>
        <v>2.703690571110005</v>
      </c>
      <c r="M94" s="34">
        <f t="shared" si="44"/>
        <v>2.8435644884283846</v>
      </c>
      <c r="N94" s="34">
        <f t="shared" si="44"/>
        <v>2.978491362504716</v>
      </c>
      <c r="O94" s="34">
        <f t="shared" si="44"/>
        <v>3.1014906614100739</v>
      </c>
      <c r="P94" s="34">
        <f t="shared" si="44"/>
        <v>3.2137095019485011</v>
      </c>
      <c r="Q94" s="34">
        <f t="shared" si="44"/>
        <v>3.3162694211142716</v>
      </c>
      <c r="R94" s="34">
        <f t="shared" si="44"/>
        <v>3.4093097232297329</v>
      </c>
      <c r="S94" s="34">
        <f t="shared" si="44"/>
        <v>3.4941052376740238</v>
      </c>
      <c r="T94" s="34">
        <f t="shared" si="44"/>
        <v>3.5717772274849544</v>
      </c>
      <c r="U94" s="34">
        <f t="shared" si="44"/>
        <v>3.642612305216768</v>
      </c>
    </row>
    <row r="95" spans="2:21" x14ac:dyDescent="0.2">
      <c r="B95" s="26" t="s">
        <v>131</v>
      </c>
      <c r="C95" s="34"/>
      <c r="D95" s="34"/>
      <c r="E95" s="34">
        <f t="shared" ref="E95:U95" si="45">(E94*(D85+D86+D88)+E38*(D87+D89))/D84</f>
        <v>1.8</v>
      </c>
      <c r="F95" s="34">
        <f t="shared" si="45"/>
        <v>1.7990942278989217</v>
      </c>
      <c r="G95" s="34">
        <f t="shared" si="45"/>
        <v>1.9393064891870158</v>
      </c>
      <c r="H95" s="34">
        <f t="shared" si="45"/>
        <v>2.0651772983228507</v>
      </c>
      <c r="I95" s="34">
        <f t="shared" si="45"/>
        <v>2.2924805599067026</v>
      </c>
      <c r="J95" s="34">
        <f t="shared" si="45"/>
        <v>2.455402096599915</v>
      </c>
      <c r="K95" s="34">
        <f t="shared" si="45"/>
        <v>2.6086607961374653</v>
      </c>
      <c r="L95" s="34">
        <f t="shared" si="45"/>
        <v>2.7532925282296326</v>
      </c>
      <c r="M95" s="34">
        <f t="shared" si="45"/>
        <v>2.8949582551823028</v>
      </c>
      <c r="N95" s="34">
        <f t="shared" si="45"/>
        <v>3.0321969476005823</v>
      </c>
      <c r="O95" s="34">
        <f t="shared" si="45"/>
        <v>3.1366226147658578</v>
      </c>
      <c r="P95" s="34">
        <f t="shared" si="45"/>
        <v>3.231473684825231</v>
      </c>
      <c r="Q95" s="34">
        <f t="shared" si="45"/>
        <v>3.317753417802491</v>
      </c>
      <c r="R95" s="34">
        <f t="shared" si="45"/>
        <v>3.3955856767579551</v>
      </c>
      <c r="S95" s="34">
        <f t="shared" si="45"/>
        <v>3.4661042092379755</v>
      </c>
      <c r="T95" s="34">
        <f t="shared" si="45"/>
        <v>3.5303060602354757</v>
      </c>
      <c r="U95" s="34">
        <f t="shared" si="45"/>
        <v>3.5884382433344957</v>
      </c>
    </row>
    <row r="96" spans="2:21" x14ac:dyDescent="0.2">
      <c r="B96" s="35" t="s">
        <v>132</v>
      </c>
      <c r="C96" s="49"/>
      <c r="D96" s="49"/>
      <c r="E96" s="49">
        <f>IF('Criteria results'!$F$5=4,E106,E111)</f>
        <v>0</v>
      </c>
      <c r="F96" s="49">
        <f>IF('Criteria results'!$F$5=4,F106,F111)</f>
        <v>0</v>
      </c>
      <c r="G96" s="49">
        <f>IF('Criteria results'!$F$5=4,G106,G111)</f>
        <v>0</v>
      </c>
      <c r="H96" s="49">
        <f>IF('Criteria results'!$F$5=4,H106,H111)</f>
        <v>0</v>
      </c>
      <c r="I96" s="49">
        <f>IF('Criteria results'!$F$5=4,I106,I111)</f>
        <v>0</v>
      </c>
      <c r="J96" s="49">
        <f>IF('Criteria results'!$F$5=4,J106,J111)</f>
        <v>0</v>
      </c>
      <c r="K96" s="49">
        <f>IF('Criteria results'!$F$5=4,K106,K111)</f>
        <v>0</v>
      </c>
      <c r="L96" s="49">
        <f>IF('Criteria results'!$F$5=4,L106,L111)</f>
        <v>0</v>
      </c>
      <c r="M96" s="49">
        <f>IF('Criteria results'!$F$5=4,M106,M111)</f>
        <v>0</v>
      </c>
      <c r="N96" s="49">
        <f>IF('Criteria results'!$F$5=4,N106,N111)</f>
        <v>0</v>
      </c>
      <c r="O96" s="49">
        <f>IF('Criteria results'!$F$5=4,O106,O111)</f>
        <v>0</v>
      </c>
      <c r="P96" s="49">
        <f>IF('Criteria results'!$F$5=4,P106,P111)</f>
        <v>0</v>
      </c>
      <c r="Q96" s="49">
        <f>IF('Criteria results'!$F$5=4,Q106,Q111)</f>
        <v>0</v>
      </c>
      <c r="R96" s="49">
        <f>IF('Criteria results'!$F$5=4,R106,R111)</f>
        <v>0</v>
      </c>
      <c r="S96" s="49">
        <f>IF('Criteria results'!$F$5=4,S106,S111)</f>
        <v>0</v>
      </c>
      <c r="T96" s="49">
        <f>IF('Criteria results'!$F$5=4,T106,T111)</f>
        <v>0</v>
      </c>
      <c r="U96" s="49">
        <f>IF('Criteria results'!$F$5=4,U106,U111)</f>
        <v>0</v>
      </c>
    </row>
    <row r="98" spans="1:52" x14ac:dyDescent="0.2">
      <c r="B98" s="111" t="s">
        <v>180</v>
      </c>
      <c r="C98" s="112">
        <f t="shared" ref="C98:U98" si="46">((1+C93/100)/((1+C23/100)*(1+C42/100))-1)*100</f>
        <v>-4.1920801327551267</v>
      </c>
      <c r="D98" s="112">
        <f t="shared" si="46"/>
        <v>-1.1030665625109792</v>
      </c>
      <c r="E98" s="112">
        <f t="shared" si="46"/>
        <v>-0.39216468564253759</v>
      </c>
      <c r="F98" s="112">
        <f t="shared" si="46"/>
        <v>-0.71457644324709468</v>
      </c>
      <c r="G98" s="112">
        <f t="shared" si="46"/>
        <v>-0.90569419593659051</v>
      </c>
      <c r="H98" s="112">
        <f t="shared" si="46"/>
        <v>-0.82287232700354318</v>
      </c>
      <c r="I98" s="112">
        <f t="shared" si="46"/>
        <v>-0.56693639964043863</v>
      </c>
      <c r="J98" s="112">
        <f t="shared" si="46"/>
        <v>-0.39351736746989774</v>
      </c>
      <c r="K98" s="112">
        <f t="shared" si="46"/>
        <v>-0.22699003067107038</v>
      </c>
      <c r="L98" s="112">
        <f t="shared" si="46"/>
        <v>0.41850282175581732</v>
      </c>
      <c r="M98" s="112">
        <f t="shared" si="46"/>
        <v>0.54742929704445498</v>
      </c>
      <c r="N98" s="112">
        <f t="shared" si="46"/>
        <v>0.57796009439869955</v>
      </c>
      <c r="O98" s="112">
        <f t="shared" si="46"/>
        <v>0.4874463468033996</v>
      </c>
      <c r="P98" s="112">
        <f t="shared" si="46"/>
        <v>0.38801964663139898</v>
      </c>
      <c r="Q98" s="112">
        <f t="shared" si="46"/>
        <v>0.2807052066946536</v>
      </c>
      <c r="R98" s="112">
        <f t="shared" si="46"/>
        <v>0.27947190670591926</v>
      </c>
      <c r="S98" s="112">
        <f t="shared" si="46"/>
        <v>0.27116740175900933</v>
      </c>
      <c r="T98" s="112">
        <f t="shared" si="46"/>
        <v>0.26671574907093376</v>
      </c>
      <c r="U98" s="112">
        <f t="shared" si="46"/>
        <v>0.32584823666284013</v>
      </c>
    </row>
    <row r="100" spans="1:52" x14ac:dyDescent="0.2">
      <c r="B100" s="391"/>
      <c r="C100" s="391"/>
      <c r="D100" s="392"/>
      <c r="E100" s="393"/>
      <c r="F100" s="393"/>
      <c r="G100" s="391"/>
      <c r="H100" s="391"/>
    </row>
    <row r="101" spans="1:52" s="25" customFormat="1" ht="12.75" outlineLevel="1" x14ac:dyDescent="0.2">
      <c r="B101" s="25" t="s">
        <v>133</v>
      </c>
      <c r="C101" s="110"/>
      <c r="D101" s="110"/>
      <c r="E101" s="110"/>
      <c r="F101" s="110"/>
      <c r="G101" s="110"/>
      <c r="H101" s="110"/>
      <c r="I101" s="110"/>
      <c r="J101" s="110"/>
      <c r="K101" s="110"/>
      <c r="L101" s="110"/>
      <c r="M101" s="110"/>
      <c r="N101" s="110"/>
      <c r="O101" s="110"/>
      <c r="P101" s="110"/>
      <c r="Q101" s="110"/>
      <c r="R101" s="110"/>
      <c r="S101" s="110"/>
      <c r="T101" s="110"/>
      <c r="U101" s="110"/>
    </row>
    <row r="102" spans="1:52" s="124" customFormat="1" ht="12.75" outlineLevel="1" x14ac:dyDescent="0.2">
      <c r="C102" s="125"/>
      <c r="D102" s="125"/>
      <c r="E102" s="125"/>
      <c r="F102" s="125"/>
      <c r="G102" s="125"/>
      <c r="H102" s="125"/>
      <c r="I102" s="125"/>
      <c r="J102" s="125"/>
      <c r="K102" s="125"/>
      <c r="L102" s="125"/>
      <c r="M102" s="125"/>
      <c r="N102" s="125"/>
      <c r="O102" s="125"/>
      <c r="P102" s="125"/>
      <c r="Q102" s="125"/>
      <c r="R102" s="125"/>
      <c r="S102" s="125"/>
      <c r="T102" s="125"/>
      <c r="U102" s="125"/>
    </row>
    <row r="103" spans="1:52" s="124" customFormat="1" ht="12.75" outlineLevel="1" x14ac:dyDescent="0.2">
      <c r="B103" s="104" t="s">
        <v>294</v>
      </c>
      <c r="C103" s="126"/>
      <c r="D103" s="126"/>
      <c r="E103" s="126"/>
      <c r="F103" s="126"/>
      <c r="G103" s="126"/>
      <c r="H103" s="126"/>
      <c r="I103" s="126"/>
      <c r="J103" s="126"/>
      <c r="K103" s="126"/>
      <c r="L103" s="126"/>
      <c r="M103" s="126"/>
      <c r="N103" s="126"/>
      <c r="O103" s="126"/>
      <c r="P103" s="126"/>
      <c r="Q103" s="126"/>
      <c r="R103" s="126"/>
      <c r="S103" s="126"/>
      <c r="T103" s="126"/>
      <c r="U103" s="126"/>
    </row>
    <row r="104" spans="1:52" outlineLevel="1" x14ac:dyDescent="0.2">
      <c r="B104" s="117" t="s">
        <v>43</v>
      </c>
      <c r="C104" s="34">
        <v>62.885486602783203</v>
      </c>
      <c r="D104" s="34">
        <v>62.455677032470703</v>
      </c>
      <c r="E104" s="34">
        <v>63.692066192626953</v>
      </c>
      <c r="F104" s="34">
        <v>64.202499389648438</v>
      </c>
      <c r="G104" s="34">
        <v>63.836818695068359</v>
      </c>
      <c r="H104" s="34">
        <v>62.913509368896484</v>
      </c>
      <c r="I104" s="34">
        <v>62.014572143554688</v>
      </c>
      <c r="J104" s="34">
        <v>61.084033966064453</v>
      </c>
      <c r="K104" s="34">
        <v>60.114631652832031</v>
      </c>
      <c r="L104" s="34">
        <v>59.740131378173828</v>
      </c>
      <c r="M104" s="34">
        <v>59.545742034912109</v>
      </c>
      <c r="N104" s="34">
        <v>59.373123168945313</v>
      </c>
      <c r="O104" s="34">
        <v>59.250419616699219</v>
      </c>
      <c r="P104" s="34">
        <v>59.172859191894531</v>
      </c>
      <c r="Q104" s="34">
        <v>59.036155700683594</v>
      </c>
      <c r="R104" s="34">
        <v>58.902999877929688</v>
      </c>
      <c r="S104" s="34">
        <v>58.769229888916016</v>
      </c>
      <c r="T104" s="34">
        <v>58.537143707275391</v>
      </c>
      <c r="U104" s="34">
        <v>58.343708038330078</v>
      </c>
      <c r="V104" s="34"/>
      <c r="W104" s="34"/>
      <c r="X104" s="34"/>
    </row>
    <row r="105" spans="1:52" s="5" customFormat="1" ht="12.75" x14ac:dyDescent="0.2">
      <c r="A105" s="26"/>
      <c r="B105" s="26" t="s">
        <v>129</v>
      </c>
      <c r="C105" s="1">
        <v>1.4223718643188477</v>
      </c>
      <c r="D105" s="1">
        <v>1.7254641056060791</v>
      </c>
      <c r="E105" s="1">
        <v>1.7999998331069946</v>
      </c>
      <c r="F105" s="1">
        <v>1.7990946769714355</v>
      </c>
      <c r="G105" s="1">
        <v>1.9393068552017212</v>
      </c>
      <c r="H105" s="1">
        <v>2.0651776790618896</v>
      </c>
      <c r="I105" s="1">
        <v>2.2924809455871582</v>
      </c>
      <c r="J105" s="1">
        <v>2.4554023742675781</v>
      </c>
      <c r="K105" s="1">
        <v>2.6086611747741699</v>
      </c>
      <c r="L105" s="1">
        <v>2.7532930374145508</v>
      </c>
      <c r="M105" s="1">
        <v>2.8949587345123291</v>
      </c>
      <c r="N105" s="1">
        <v>3.0321972370147705</v>
      </c>
      <c r="O105" s="1">
        <v>3.1366229057312012</v>
      </c>
      <c r="P105" s="1">
        <v>3.2314739227294922</v>
      </c>
      <c r="Q105" s="1">
        <v>3.3177535533905029</v>
      </c>
      <c r="R105" s="1">
        <v>3.3955855369567871</v>
      </c>
      <c r="S105" s="1">
        <v>3.46610426902771</v>
      </c>
      <c r="T105" s="1">
        <v>3.5303061008453369</v>
      </c>
      <c r="U105" s="1">
        <v>3.5884382724761963</v>
      </c>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row>
    <row r="106" spans="1:52" s="5" customFormat="1" ht="12.75" x14ac:dyDescent="0.2">
      <c r="B106" s="26" t="s">
        <v>179</v>
      </c>
      <c r="C106" s="1"/>
      <c r="D106" s="1"/>
      <c r="E106" s="1">
        <v>0</v>
      </c>
      <c r="F106" s="1">
        <v>0</v>
      </c>
      <c r="G106" s="1">
        <v>0</v>
      </c>
      <c r="H106" s="1">
        <v>0</v>
      </c>
      <c r="I106" s="1">
        <v>0</v>
      </c>
      <c r="J106" s="1">
        <v>0</v>
      </c>
      <c r="K106" s="1">
        <v>0</v>
      </c>
      <c r="L106" s="1">
        <v>0</v>
      </c>
      <c r="M106" s="1">
        <v>0</v>
      </c>
      <c r="N106" s="1">
        <v>0</v>
      </c>
      <c r="O106" s="1">
        <v>0</v>
      </c>
      <c r="P106" s="1">
        <v>0</v>
      </c>
      <c r="Q106" s="1">
        <v>0</v>
      </c>
      <c r="R106" s="1">
        <v>0</v>
      </c>
      <c r="S106" s="1">
        <v>0</v>
      </c>
      <c r="T106" s="1">
        <v>0</v>
      </c>
      <c r="U106" s="1">
        <v>0</v>
      </c>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row>
    <row r="107" spans="1:52" s="5" customFormat="1" ht="12.75" x14ac:dyDescent="0.2">
      <c r="B107" s="26"/>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row>
    <row r="108" spans="1:52" s="5" customFormat="1" ht="12.75" x14ac:dyDescent="0.2">
      <c r="B108" s="104" t="s">
        <v>295</v>
      </c>
      <c r="C108" s="37"/>
      <c r="D108" s="37"/>
      <c r="E108" s="37"/>
      <c r="F108" s="37"/>
      <c r="G108" s="37"/>
      <c r="H108" s="37"/>
      <c r="I108" s="37"/>
      <c r="J108" s="37"/>
      <c r="K108" s="37"/>
      <c r="L108" s="37"/>
      <c r="M108" s="37"/>
      <c r="N108" s="37"/>
      <c r="O108" s="37"/>
      <c r="P108" s="37"/>
      <c r="Q108" s="37"/>
      <c r="R108" s="37"/>
      <c r="S108" s="37"/>
      <c r="T108" s="37"/>
      <c r="U108" s="37"/>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row>
    <row r="109" spans="1:52" outlineLevel="1" x14ac:dyDescent="0.2">
      <c r="B109" s="117" t="s">
        <v>43</v>
      </c>
      <c r="C109" s="34">
        <v>62.885486602783203</v>
      </c>
      <c r="D109" s="34">
        <v>62.455677032470703</v>
      </c>
      <c r="E109" s="34">
        <v>63.7373046875</v>
      </c>
      <c r="F109" s="34">
        <v>64.547554016113281</v>
      </c>
      <c r="G109" s="34">
        <v>64.745628356933594</v>
      </c>
      <c r="H109" s="34">
        <v>64.654449462890625</v>
      </c>
      <c r="I109" s="34">
        <v>64.285560607910156</v>
      </c>
      <c r="J109" s="34">
        <v>63.723865509033203</v>
      </c>
      <c r="K109" s="34">
        <v>62.972621917724609</v>
      </c>
      <c r="L109" s="34">
        <v>62.65704345703125</v>
      </c>
      <c r="M109" s="34">
        <v>62.420307159423828</v>
      </c>
      <c r="N109" s="34">
        <v>62.098262786865234</v>
      </c>
      <c r="O109" s="34">
        <v>61.97576904296875</v>
      </c>
      <c r="P109" s="34">
        <v>61.901576995849609</v>
      </c>
      <c r="Q109" s="34">
        <v>61.770374298095703</v>
      </c>
      <c r="R109" s="34">
        <v>61.64703369140625</v>
      </c>
      <c r="S109" s="34">
        <v>61.526596069335938</v>
      </c>
      <c r="T109" s="34">
        <v>61.310920715332031</v>
      </c>
      <c r="U109" s="34">
        <v>61.138286590576172</v>
      </c>
      <c r="V109" s="34"/>
      <c r="W109" s="34"/>
      <c r="X109" s="34"/>
    </row>
    <row r="110" spans="1:52" x14ac:dyDescent="0.2">
      <c r="B110" s="26" t="s">
        <v>129</v>
      </c>
      <c r="C110" s="1">
        <v>1.4223718643188477</v>
      </c>
      <c r="D110" s="1">
        <v>1.7254641056060791</v>
      </c>
      <c r="E110" s="1">
        <v>1.7999998331069946</v>
      </c>
      <c r="F110" s="1">
        <v>1.799573540687561</v>
      </c>
      <c r="G110" s="1">
        <v>1.9441919326782227</v>
      </c>
      <c r="H110" s="1">
        <v>2.0761289596557617</v>
      </c>
      <c r="I110" s="1">
        <v>2.1993477344512939</v>
      </c>
      <c r="J110" s="1">
        <v>2.3155865669250488</v>
      </c>
      <c r="K110" s="1">
        <v>2.4261114597320557</v>
      </c>
      <c r="L110" s="1">
        <v>2.6460630893707275</v>
      </c>
      <c r="M110" s="1">
        <v>2.8054699897766113</v>
      </c>
      <c r="N110" s="1">
        <v>2.9567031860351563</v>
      </c>
      <c r="O110" s="1">
        <v>3.0719892978668213</v>
      </c>
      <c r="P110" s="1">
        <v>3.1763215065002441</v>
      </c>
      <c r="Q110" s="1">
        <v>3.2708389759063721</v>
      </c>
      <c r="R110" s="1">
        <v>3.3557677268981934</v>
      </c>
      <c r="S110" s="1">
        <v>3.4323837757110596</v>
      </c>
      <c r="T110" s="1">
        <v>3.5018131732940674</v>
      </c>
      <c r="U110" s="1">
        <v>3.5644073486328125</v>
      </c>
      <c r="V110" s="1"/>
      <c r="W110" s="1"/>
      <c r="X110" s="1"/>
      <c r="Y110" s="59"/>
      <c r="Z110" s="59"/>
      <c r="AA110" s="59"/>
      <c r="AB110" s="59"/>
      <c r="AC110" s="59"/>
      <c r="AD110" s="59"/>
      <c r="AE110" s="59"/>
      <c r="AF110" s="59"/>
      <c r="AG110" s="59"/>
      <c r="AH110" s="59"/>
      <c r="AI110" s="59"/>
      <c r="AJ110" s="59"/>
      <c r="AK110" s="59"/>
      <c r="AL110" s="59"/>
      <c r="AM110" s="59"/>
      <c r="AN110" s="59"/>
      <c r="AO110" s="59"/>
      <c r="AP110" s="59"/>
      <c r="AQ110" s="59"/>
      <c r="AR110" s="59"/>
      <c r="AS110" s="59"/>
      <c r="AT110" s="59"/>
      <c r="AU110" s="59"/>
      <c r="AV110" s="59"/>
      <c r="AW110" s="60"/>
    </row>
    <row r="111" spans="1:52" x14ac:dyDescent="0.2">
      <c r="B111" s="26" t="s">
        <v>179</v>
      </c>
      <c r="C111" s="34"/>
      <c r="D111" s="34"/>
      <c r="E111" s="34">
        <v>0</v>
      </c>
      <c r="F111" s="34">
        <v>0</v>
      </c>
      <c r="G111" s="34">
        <v>0</v>
      </c>
      <c r="H111" s="34">
        <v>0</v>
      </c>
      <c r="I111" s="34">
        <v>0</v>
      </c>
      <c r="J111" s="34">
        <v>0</v>
      </c>
      <c r="K111" s="34">
        <v>0</v>
      </c>
      <c r="L111" s="34">
        <v>0</v>
      </c>
      <c r="M111" s="34">
        <v>0</v>
      </c>
      <c r="N111" s="34">
        <v>0</v>
      </c>
      <c r="O111" s="34">
        <v>0</v>
      </c>
      <c r="P111" s="34">
        <v>0</v>
      </c>
      <c r="Q111" s="34">
        <v>0</v>
      </c>
      <c r="R111" s="34">
        <v>0</v>
      </c>
      <c r="S111" s="34">
        <v>0</v>
      </c>
      <c r="T111" s="34">
        <v>0</v>
      </c>
      <c r="U111" s="34">
        <v>0</v>
      </c>
    </row>
    <row r="113" spans="2:25" x14ac:dyDescent="0.2">
      <c r="C113" s="34"/>
      <c r="D113" s="34"/>
      <c r="E113" s="34"/>
      <c r="F113" s="34"/>
      <c r="G113" s="34"/>
      <c r="H113" s="34"/>
      <c r="I113" s="34"/>
      <c r="J113" s="34"/>
      <c r="K113" s="34"/>
      <c r="L113" s="34"/>
      <c r="M113" s="34"/>
      <c r="N113" s="34"/>
      <c r="O113" s="34"/>
      <c r="P113" s="34"/>
      <c r="Q113" s="34"/>
      <c r="R113" s="34"/>
      <c r="S113" s="34"/>
      <c r="T113" s="34"/>
      <c r="U113" s="34"/>
      <c r="V113" s="34"/>
      <c r="W113" s="34"/>
    </row>
    <row r="114" spans="2:25" x14ac:dyDescent="0.2">
      <c r="C114" s="34"/>
      <c r="D114" s="34"/>
      <c r="E114" s="34"/>
      <c r="F114" s="34"/>
      <c r="G114" s="34"/>
      <c r="H114" s="34"/>
      <c r="I114" s="34"/>
      <c r="J114" s="34"/>
      <c r="K114" s="34"/>
      <c r="L114" s="34"/>
      <c r="M114" s="34"/>
      <c r="N114" s="34"/>
      <c r="O114" s="34"/>
      <c r="P114" s="34"/>
      <c r="Q114" s="34"/>
      <c r="R114" s="34"/>
      <c r="S114" s="34"/>
      <c r="T114" s="34"/>
      <c r="U114" s="34"/>
      <c r="V114" s="34"/>
      <c r="W114" s="34"/>
    </row>
    <row r="115" spans="2:25" x14ac:dyDescent="0.2">
      <c r="C115" s="34"/>
      <c r="D115" s="34"/>
      <c r="E115" s="34"/>
      <c r="F115" s="34"/>
      <c r="G115" s="119"/>
      <c r="H115" s="119"/>
      <c r="I115" s="119"/>
      <c r="J115" s="119"/>
      <c r="K115" s="119"/>
      <c r="L115" s="119"/>
      <c r="M115" s="119"/>
      <c r="N115" s="119"/>
      <c r="O115" s="119"/>
      <c r="P115" s="119"/>
      <c r="Q115" s="119"/>
      <c r="R115" s="119"/>
      <c r="S115" s="119"/>
      <c r="T115" s="119"/>
      <c r="U115" s="119"/>
      <c r="V115" s="119"/>
      <c r="W115" s="119"/>
    </row>
    <row r="116" spans="2:25" x14ac:dyDescent="0.2">
      <c r="C116" s="34"/>
      <c r="D116" s="34"/>
      <c r="E116" s="34"/>
      <c r="F116" s="34"/>
      <c r="G116" s="119"/>
      <c r="H116" s="119"/>
      <c r="I116" s="119"/>
      <c r="J116" s="119"/>
      <c r="K116" s="119"/>
      <c r="L116" s="119"/>
      <c r="M116" s="119"/>
      <c r="N116" s="119"/>
      <c r="O116" s="119"/>
      <c r="P116" s="119"/>
      <c r="Q116" s="119"/>
      <c r="R116" s="119"/>
      <c r="S116" s="119"/>
      <c r="T116" s="119"/>
      <c r="U116" s="119"/>
      <c r="V116" s="119"/>
      <c r="W116" s="119"/>
    </row>
    <row r="117" spans="2:25" x14ac:dyDescent="0.2">
      <c r="C117" s="36"/>
      <c r="D117" s="120"/>
      <c r="E117" s="120"/>
      <c r="F117" s="120"/>
      <c r="G117" s="120"/>
      <c r="H117" s="120"/>
      <c r="I117" s="120"/>
      <c r="J117" s="120"/>
      <c r="K117" s="120"/>
      <c r="L117" s="120"/>
      <c r="M117" s="120"/>
      <c r="N117" s="120"/>
      <c r="O117" s="120"/>
      <c r="P117" s="120"/>
      <c r="Q117" s="120"/>
      <c r="R117" s="120"/>
      <c r="S117" s="120"/>
      <c r="T117" s="120"/>
      <c r="U117" s="120"/>
      <c r="V117" s="120"/>
      <c r="W117" s="120"/>
    </row>
    <row r="118" spans="2:25" x14ac:dyDescent="0.2">
      <c r="C118" s="36"/>
      <c r="D118" s="36"/>
      <c r="E118" s="34"/>
      <c r="F118" s="34"/>
      <c r="G118" s="119"/>
      <c r="H118" s="119"/>
      <c r="I118" s="119"/>
      <c r="J118" s="119"/>
      <c r="K118" s="119"/>
      <c r="L118" s="119"/>
      <c r="M118" s="119"/>
      <c r="N118" s="119"/>
      <c r="O118" s="119"/>
      <c r="P118" s="119"/>
      <c r="Q118" s="119"/>
      <c r="R118" s="119"/>
      <c r="S118" s="119"/>
      <c r="T118" s="119"/>
      <c r="U118" s="119"/>
      <c r="V118" s="119"/>
      <c r="W118" s="119"/>
    </row>
    <row r="119" spans="2:25" x14ac:dyDescent="0.2">
      <c r="E119" s="34"/>
      <c r="F119" s="34"/>
      <c r="G119" s="119"/>
      <c r="H119" s="119"/>
      <c r="I119" s="119"/>
      <c r="J119" s="119"/>
      <c r="K119" s="119"/>
      <c r="L119" s="119"/>
      <c r="M119" s="119"/>
      <c r="N119" s="119"/>
      <c r="O119" s="119"/>
      <c r="P119" s="119"/>
      <c r="Q119" s="119"/>
      <c r="R119" s="119"/>
      <c r="S119" s="119"/>
      <c r="T119" s="119"/>
      <c r="U119" s="119"/>
      <c r="V119" s="119"/>
      <c r="W119" s="119"/>
      <c r="X119" s="53"/>
      <c r="Y119" s="53"/>
    </row>
    <row r="120" spans="2:25" x14ac:dyDescent="0.2">
      <c r="B120" s="33"/>
      <c r="C120" s="95"/>
      <c r="D120" s="95"/>
      <c r="G120" s="120"/>
      <c r="H120" s="120"/>
      <c r="I120" s="120"/>
      <c r="J120" s="120"/>
      <c r="K120" s="120"/>
      <c r="L120" s="120"/>
      <c r="M120" s="120"/>
      <c r="N120" s="120"/>
      <c r="O120" s="120"/>
      <c r="P120" s="120"/>
      <c r="Q120" s="120"/>
      <c r="R120" s="120"/>
      <c r="S120" s="120"/>
      <c r="T120" s="120"/>
      <c r="U120" s="120"/>
      <c r="V120" s="120"/>
      <c r="W120" s="120"/>
      <c r="X120" s="53"/>
      <c r="Y120" s="53"/>
    </row>
    <row r="121" spans="2:25" x14ac:dyDescent="0.2">
      <c r="C121" s="95"/>
      <c r="D121" s="95"/>
      <c r="E121" s="34"/>
      <c r="F121" s="34"/>
      <c r="G121" s="119"/>
      <c r="H121" s="119"/>
      <c r="I121" s="119"/>
      <c r="J121" s="119"/>
      <c r="K121" s="119"/>
      <c r="L121" s="119"/>
      <c r="M121" s="119"/>
      <c r="N121" s="119"/>
      <c r="O121" s="119"/>
      <c r="P121" s="119"/>
      <c r="Q121" s="119"/>
      <c r="R121" s="119"/>
      <c r="S121" s="119"/>
      <c r="T121" s="119"/>
      <c r="U121" s="119"/>
      <c r="V121" s="119"/>
      <c r="W121" s="119"/>
      <c r="X121" s="53"/>
      <c r="Y121" s="53"/>
    </row>
    <row r="122" spans="2:25" x14ac:dyDescent="0.2">
      <c r="E122" s="34"/>
      <c r="F122" s="34"/>
      <c r="G122" s="119"/>
      <c r="H122" s="119"/>
      <c r="I122" s="119"/>
      <c r="J122" s="119"/>
      <c r="K122" s="119"/>
      <c r="L122" s="119"/>
      <c r="M122" s="119"/>
      <c r="N122" s="119"/>
      <c r="O122" s="119"/>
      <c r="P122" s="119"/>
      <c r="Q122" s="119"/>
      <c r="R122" s="119"/>
      <c r="S122" s="119"/>
      <c r="T122" s="119"/>
      <c r="U122" s="119"/>
      <c r="V122" s="119"/>
      <c r="W122" s="119"/>
      <c r="X122" s="53"/>
      <c r="Y122" s="53"/>
    </row>
    <row r="123" spans="2:25" x14ac:dyDescent="0.2">
      <c r="C123" s="95"/>
      <c r="D123" s="95"/>
      <c r="E123" s="95"/>
      <c r="F123" s="95"/>
      <c r="G123" s="120"/>
      <c r="H123" s="120"/>
      <c r="I123" s="120"/>
      <c r="J123" s="120"/>
      <c r="K123" s="120"/>
      <c r="L123" s="120"/>
      <c r="M123" s="120"/>
      <c r="N123" s="120"/>
      <c r="O123" s="120"/>
      <c r="P123" s="120"/>
      <c r="Q123" s="120"/>
      <c r="R123" s="120"/>
      <c r="S123" s="120"/>
      <c r="T123" s="120"/>
      <c r="U123" s="120"/>
      <c r="V123" s="120"/>
      <c r="W123" s="120"/>
      <c r="X123" s="53"/>
      <c r="Y123" s="53"/>
    </row>
    <row r="124" spans="2:25" x14ac:dyDescent="0.2">
      <c r="E124" s="34"/>
      <c r="F124" s="34"/>
      <c r="G124" s="119"/>
      <c r="H124" s="119"/>
      <c r="I124" s="119"/>
      <c r="J124" s="119"/>
      <c r="K124" s="119"/>
      <c r="L124" s="119"/>
      <c r="M124" s="119"/>
      <c r="N124" s="119"/>
      <c r="O124" s="119"/>
      <c r="P124" s="119"/>
      <c r="Q124" s="119"/>
      <c r="R124" s="119"/>
      <c r="S124" s="119"/>
      <c r="T124" s="119"/>
      <c r="U124" s="119"/>
      <c r="V124" s="119"/>
      <c r="W124" s="119"/>
      <c r="X124" s="53"/>
      <c r="Y124" s="53"/>
    </row>
    <row r="125" spans="2:25" x14ac:dyDescent="0.2">
      <c r="E125" s="34"/>
      <c r="F125" s="34"/>
      <c r="G125" s="119"/>
      <c r="H125" s="119"/>
      <c r="I125" s="119"/>
      <c r="J125" s="119"/>
      <c r="K125" s="119"/>
      <c r="L125" s="119"/>
      <c r="M125" s="119"/>
      <c r="N125" s="119"/>
      <c r="O125" s="119"/>
      <c r="P125" s="119"/>
      <c r="Q125" s="119"/>
      <c r="R125" s="119"/>
      <c r="S125" s="119"/>
      <c r="T125" s="119"/>
      <c r="U125" s="119"/>
      <c r="V125" s="119"/>
      <c r="W125" s="119"/>
      <c r="X125" s="119"/>
      <c r="Y125" s="53"/>
    </row>
    <row r="126" spans="2:25" x14ac:dyDescent="0.2">
      <c r="G126" s="119"/>
      <c r="H126" s="119"/>
      <c r="I126" s="119"/>
      <c r="J126" s="119"/>
      <c r="K126" s="119"/>
      <c r="L126" s="119"/>
      <c r="M126" s="119"/>
      <c r="N126" s="119"/>
      <c r="O126" s="119"/>
      <c r="P126" s="119"/>
      <c r="Q126" s="119"/>
      <c r="R126" s="119"/>
      <c r="S126" s="119"/>
      <c r="T126" s="119"/>
      <c r="U126" s="119"/>
      <c r="V126" s="119"/>
      <c r="W126" s="119"/>
      <c r="X126" s="119"/>
      <c r="Y126" s="53"/>
    </row>
    <row r="127" spans="2:25" x14ac:dyDescent="0.2">
      <c r="C127" s="95"/>
      <c r="D127" s="95"/>
      <c r="E127" s="34"/>
      <c r="F127" s="34"/>
      <c r="G127" s="119"/>
      <c r="H127" s="119"/>
      <c r="I127" s="119"/>
      <c r="J127" s="119"/>
      <c r="K127" s="119"/>
      <c r="L127" s="119"/>
      <c r="M127" s="119"/>
      <c r="N127" s="119"/>
      <c r="O127" s="119"/>
      <c r="P127" s="119"/>
      <c r="Q127" s="119"/>
      <c r="R127" s="119"/>
      <c r="S127" s="119"/>
      <c r="T127" s="119"/>
      <c r="U127" s="119"/>
      <c r="V127" s="119"/>
      <c r="W127" s="119"/>
      <c r="X127" s="119"/>
      <c r="Y127" s="53"/>
    </row>
    <row r="128" spans="2:25" x14ac:dyDescent="0.2">
      <c r="E128" s="34"/>
      <c r="F128" s="34"/>
      <c r="G128" s="119"/>
      <c r="H128" s="119"/>
      <c r="I128" s="119"/>
      <c r="J128" s="119"/>
      <c r="K128" s="119"/>
      <c r="L128" s="119"/>
      <c r="M128" s="119"/>
      <c r="N128" s="119"/>
      <c r="O128" s="119"/>
      <c r="P128" s="119"/>
      <c r="Q128" s="119"/>
      <c r="R128" s="119"/>
      <c r="S128" s="119"/>
      <c r="T128" s="119"/>
      <c r="U128" s="119"/>
      <c r="V128" s="119"/>
      <c r="W128" s="119"/>
      <c r="X128" s="119"/>
      <c r="Y128" s="53"/>
    </row>
    <row r="129" spans="6:25" x14ac:dyDescent="0.2">
      <c r="G129" s="119"/>
      <c r="H129" s="119"/>
      <c r="I129" s="119"/>
      <c r="J129" s="119"/>
      <c r="K129" s="119"/>
      <c r="L129" s="119"/>
      <c r="M129" s="119"/>
      <c r="N129" s="119"/>
      <c r="O129" s="119"/>
      <c r="P129" s="119"/>
      <c r="Q129" s="119"/>
      <c r="R129" s="119"/>
      <c r="S129" s="119"/>
      <c r="T129" s="119"/>
      <c r="U129" s="119"/>
      <c r="V129" s="119"/>
      <c r="W129" s="119"/>
      <c r="X129" s="119"/>
      <c r="Y129" s="53"/>
    </row>
    <row r="130" spans="6:25" x14ac:dyDescent="0.2">
      <c r="F130" s="34"/>
      <c r="G130" s="119"/>
      <c r="H130" s="119"/>
      <c r="I130" s="119"/>
      <c r="J130" s="119"/>
      <c r="K130" s="119"/>
      <c r="L130" s="119"/>
      <c r="M130" s="119"/>
      <c r="N130" s="119"/>
      <c r="O130" s="119"/>
      <c r="P130" s="119"/>
      <c r="Q130" s="119"/>
      <c r="R130" s="119"/>
      <c r="S130" s="119"/>
      <c r="T130" s="119"/>
      <c r="U130" s="119"/>
      <c r="V130" s="119"/>
      <c r="W130" s="119"/>
      <c r="X130" s="119"/>
      <c r="Y130" s="53"/>
    </row>
    <row r="131" spans="6:25" x14ac:dyDescent="0.2">
      <c r="G131" s="119"/>
      <c r="H131" s="119"/>
      <c r="I131" s="119"/>
      <c r="J131" s="119"/>
      <c r="K131" s="119"/>
      <c r="L131" s="119"/>
      <c r="M131" s="119"/>
      <c r="N131" s="119"/>
      <c r="O131" s="119"/>
      <c r="P131" s="119"/>
      <c r="Q131" s="119"/>
      <c r="R131" s="119"/>
      <c r="S131" s="119"/>
      <c r="T131" s="119"/>
      <c r="U131" s="119"/>
      <c r="V131" s="119"/>
      <c r="W131" s="119"/>
      <c r="X131" s="119"/>
      <c r="Y131" s="53"/>
    </row>
    <row r="132" spans="6:25" x14ac:dyDescent="0.2">
      <c r="G132" s="119"/>
      <c r="H132" s="119"/>
      <c r="I132" s="119"/>
      <c r="J132" s="119"/>
      <c r="K132" s="119"/>
      <c r="L132" s="119"/>
      <c r="M132" s="119"/>
      <c r="N132" s="119"/>
      <c r="O132" s="119"/>
      <c r="P132" s="119"/>
      <c r="Q132" s="119"/>
      <c r="R132" s="119"/>
      <c r="S132" s="119"/>
      <c r="T132" s="119"/>
      <c r="U132" s="119"/>
      <c r="V132" s="119"/>
      <c r="W132" s="119"/>
      <c r="X132" s="119"/>
    </row>
  </sheetData>
  <conditionalFormatting sqref="E12:K12">
    <cfRule type="expression" dxfId="12" priority="80">
      <formula>AND(E10&gt;$C$5,E10&lt;=$C$6)</formula>
    </cfRule>
  </conditionalFormatting>
  <conditionalFormatting sqref="I22:K24 I27:K27 I37:K38">
    <cfRule type="expression" dxfId="11" priority="23">
      <formula>I$10&lt;=$C$6</formula>
    </cfRule>
  </conditionalFormatting>
  <conditionalFormatting sqref="S10:U44 S50:U53 S79:U100 S102:U111">
    <cfRule type="expression" dxfId="4" priority="1">
      <formula>S$10&gt;$C$7</formula>
    </cfRule>
  </conditionalFormatting>
  <conditionalFormatting sqref="S55:U77">
    <cfRule type="expression" dxfId="3" priority="107">
      <formula>S$10&gt;$C$7</formula>
    </cfRule>
  </conditionalFormatting>
  <conditionalFormatting sqref="U46:W49 U112:W130">
    <cfRule type="expression" dxfId="2" priority="108">
      <formula>S$10&gt;$C$7</formula>
    </cfRule>
  </conditionalFormatting>
  <pageMargins left="0.7" right="0.7" top="0.75" bottom="0.75" header="0.3" footer="0.3"/>
  <pageSetup paperSize="9" orientation="portrait" r:id="rId1"/>
  <ignoredErrors>
    <ignoredError sqref="C5:C6 C47:C48" unlockedFormula="1"/>
  </ignoredErrors>
  <extLst>
    <ext xmlns:x14="http://schemas.microsoft.com/office/spreadsheetml/2009/9/main" uri="{78C0D931-6437-407d-A8EE-F0AAD7539E65}">
      <x14:conditionalFormattings>
        <x14:conditionalFormatting xmlns:xm="http://schemas.microsoft.com/office/excel/2006/main">
          <x14:cfRule type="expression" priority="9" id="{4EACEE69-D13B-4A8D-9236-28646E633B5B}">
            <xm:f>'Criteria results'!$F$5=7</xm:f>
            <x14:dxf>
              <fill>
                <patternFill>
                  <bgColor theme="0"/>
                </patternFill>
              </fill>
            </x14:dxf>
          </x14:cfRule>
          <xm:sqref>I52:K52</xm:sqref>
        </x14:conditionalFormatting>
        <x14:conditionalFormatting xmlns:xm="http://schemas.microsoft.com/office/excel/2006/main">
          <x14:cfRule type="expression" priority="85" id="{3B57B2B3-DFDF-4C5A-9FDD-41F823A47376}">
            <xm:f>OR('Criteria results'!#REF!=7,'Criteria results'!#REF!=10)</xm:f>
            <x14:dxf>
              <font>
                <color theme="0"/>
              </font>
            </x14:dxf>
          </x14:cfRule>
          <xm:sqref>I76:K76</xm:sqref>
        </x14:conditionalFormatting>
        <x14:conditionalFormatting xmlns:xm="http://schemas.microsoft.com/office/excel/2006/main">
          <x14:cfRule type="expression" priority="82" id="{57B4AF88-7351-4B19-BA3B-6B998AD74D0C}">
            <xm:f>AND($L$10&gt;2024,$L$10&lt;=2024+'Criteria results'!$F$5)</xm:f>
            <x14:dxf>
              <fill>
                <patternFill>
                  <bgColor theme="0" tint="-0.14996795556505021"/>
                </patternFill>
              </fill>
            </x14:dxf>
          </x14:cfRule>
          <xm:sqref>L12</xm:sqref>
        </x14:conditionalFormatting>
        <x14:conditionalFormatting xmlns:xm="http://schemas.microsoft.com/office/excel/2006/main">
          <x14:cfRule type="expression" priority="86" id="{AD631567-B5C1-4C77-8394-9CE24A7E7ABD}">
            <xm:f>'Criteria results'!#REF!=10</xm:f>
            <x14:dxf>
              <font>
                <color theme="0"/>
              </font>
            </x14:dxf>
          </x14:cfRule>
          <xm:sqref>L76:N76</xm:sqref>
        </x14:conditionalFormatting>
        <x14:conditionalFormatting xmlns:xm="http://schemas.microsoft.com/office/excel/2006/main">
          <x14:cfRule type="expression" priority="83" id="{354A6338-46EF-4602-BA31-438E78236E93}">
            <xm:f>AND($M$10&gt;2024,$M$10&lt;=2024+'Criteria results'!$F$5)</xm:f>
            <x14:dxf>
              <fill>
                <patternFill>
                  <bgColor theme="0" tint="-0.14996795556505021"/>
                </patternFill>
              </fill>
            </x14:dxf>
          </x14:cfRule>
          <xm:sqref>M12</xm:sqref>
        </x14:conditionalFormatting>
        <x14:conditionalFormatting xmlns:xm="http://schemas.microsoft.com/office/excel/2006/main">
          <x14:cfRule type="expression" priority="84" id="{9F1C1270-F5DB-4E73-982C-3D38BC86117F}">
            <xm:f>AND($N$10&gt;2024,$N$10&lt;=2024+'Criteria results'!#REF!)</xm:f>
            <x14:dxf>
              <fill>
                <patternFill>
                  <bgColor theme="0" tint="-0.14996795556505021"/>
                </patternFill>
              </fill>
            </x14:dxf>
          </x14:cfRule>
          <xm:sqref>N12</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5">
    <tabColor rgb="FF00B050"/>
  </sheetPr>
  <dimension ref="A1:AV31"/>
  <sheetViews>
    <sheetView workbookViewId="0"/>
  </sheetViews>
  <sheetFormatPr defaultColWidth="8.85546875" defaultRowHeight="12.75" x14ac:dyDescent="0.2"/>
  <cols>
    <col min="1" max="1" width="8.85546875" style="5"/>
    <col min="2" max="2" width="43.42578125" style="5" customWidth="1"/>
    <col min="3" max="16384" width="8.85546875" style="5"/>
  </cols>
  <sheetData>
    <row r="1" spans="1:48" s="26" customFormat="1" ht="24.75" customHeight="1" x14ac:dyDescent="0.2">
      <c r="B1" s="39"/>
    </row>
    <row r="2" spans="1:48" s="26" customFormat="1" ht="11.25" customHeight="1" x14ac:dyDescent="0.2">
      <c r="B2" s="27"/>
    </row>
    <row r="3" spans="1:48" s="26" customFormat="1" ht="11.25" customHeight="1" x14ac:dyDescent="0.2">
      <c r="B3" s="19" t="s">
        <v>15</v>
      </c>
      <c r="C3" s="20" t="str">
        <f>'Input data'!C3</f>
        <v>DE</v>
      </c>
    </row>
    <row r="4" spans="1:48" s="26" customFormat="1" ht="11.25" x14ac:dyDescent="0.2">
      <c r="B4" s="64" t="s">
        <v>38</v>
      </c>
      <c r="C4" s="21"/>
    </row>
    <row r="5" spans="1:48" s="26" customFormat="1" ht="11.25" x14ac:dyDescent="0.2">
      <c r="A5" s="29"/>
      <c r="B5" s="22" t="str">
        <f>'Input data'!B5</f>
        <v>Last year before the adjustment</v>
      </c>
      <c r="C5" s="23">
        <f>+'Input data'!C5</f>
        <v>2024</v>
      </c>
    </row>
    <row r="6" spans="1:48" s="26" customFormat="1" ht="11.25" x14ac:dyDescent="0.2">
      <c r="A6" s="29"/>
      <c r="B6" s="65" t="s">
        <v>146</v>
      </c>
      <c r="C6" s="23">
        <f>C5+'Criteria results'!F5+1</f>
        <v>2029</v>
      </c>
      <c r="E6" s="43"/>
      <c r="F6" s="29"/>
    </row>
    <row r="7" spans="1:48" s="26" customFormat="1" ht="11.25" x14ac:dyDescent="0.2">
      <c r="A7" s="29"/>
      <c r="B7" s="24" t="s">
        <v>147</v>
      </c>
      <c r="C7" s="66">
        <f>C6+4</f>
        <v>2033</v>
      </c>
      <c r="E7" s="43"/>
      <c r="F7" s="29"/>
    </row>
    <row r="8" spans="1:48" s="26" customFormat="1" ht="11.25" x14ac:dyDescent="0.2">
      <c r="A8" s="29"/>
      <c r="C8" s="29"/>
      <c r="E8" s="43"/>
      <c r="F8" s="29"/>
    </row>
    <row r="9" spans="1:48" s="67" customFormat="1" ht="11.25" x14ac:dyDescent="0.2">
      <c r="B9" s="88" t="s">
        <v>148</v>
      </c>
    </row>
    <row r="10" spans="1:48" s="26" customFormat="1" ht="11.25" x14ac:dyDescent="0.2">
      <c r="C10" s="31">
        <f>'Input data'!$C$5-1</f>
        <v>2023</v>
      </c>
      <c r="D10" s="31">
        <f>C10+1</f>
        <v>2024</v>
      </c>
      <c r="E10" s="31">
        <f t="shared" ref="E10:U10" si="0">D10+1</f>
        <v>2025</v>
      </c>
      <c r="F10" s="31">
        <f t="shared" si="0"/>
        <v>2026</v>
      </c>
      <c r="G10" s="31">
        <f t="shared" si="0"/>
        <v>2027</v>
      </c>
      <c r="H10" s="31">
        <f t="shared" si="0"/>
        <v>2028</v>
      </c>
      <c r="I10" s="31">
        <f t="shared" si="0"/>
        <v>2029</v>
      </c>
      <c r="J10" s="31">
        <f t="shared" si="0"/>
        <v>2030</v>
      </c>
      <c r="K10" s="31">
        <f t="shared" si="0"/>
        <v>2031</v>
      </c>
      <c r="L10" s="31">
        <f t="shared" si="0"/>
        <v>2032</v>
      </c>
      <c r="M10" s="31">
        <f t="shared" si="0"/>
        <v>2033</v>
      </c>
      <c r="N10" s="31">
        <f t="shared" si="0"/>
        <v>2034</v>
      </c>
      <c r="O10" s="31">
        <f t="shared" si="0"/>
        <v>2035</v>
      </c>
      <c r="P10" s="31">
        <f t="shared" si="0"/>
        <v>2036</v>
      </c>
      <c r="Q10" s="31">
        <f t="shared" si="0"/>
        <v>2037</v>
      </c>
      <c r="R10" s="31">
        <f t="shared" si="0"/>
        <v>2038</v>
      </c>
      <c r="S10" s="31">
        <f t="shared" si="0"/>
        <v>2039</v>
      </c>
      <c r="T10" s="31">
        <f t="shared" si="0"/>
        <v>2040</v>
      </c>
      <c r="U10" s="31">
        <f t="shared" si="0"/>
        <v>2041</v>
      </c>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row>
    <row r="11" spans="1:48" x14ac:dyDescent="0.2">
      <c r="B11" s="89" t="s">
        <v>182</v>
      </c>
      <c r="C11" s="81">
        <f>'Adjust. no safeguard'!C57</f>
        <v>62.885489999999997</v>
      </c>
      <c r="D11" s="81">
        <f>'Adjust. no safeguard'!D57</f>
        <v>62.455679115154567</v>
      </c>
      <c r="E11" s="81">
        <f>'Adjust. no safeguard'!E57</f>
        <v>63.692130003522081</v>
      </c>
      <c r="F11" s="81">
        <f>'Adjust. no safeguard'!F57</f>
        <v>64.202561464572838</v>
      </c>
      <c r="G11" s="81">
        <f>'Adjust. no safeguard'!G57</f>
        <v>63.836881536064524</v>
      </c>
      <c r="H11" s="81">
        <f>'Adjust. no safeguard'!H57</f>
        <v>62.913564321630858</v>
      </c>
      <c r="I11" s="81">
        <f>'Adjust. no safeguard'!I57</f>
        <v>61.635909824928312</v>
      </c>
      <c r="J11" s="81">
        <f>'Adjust. no safeguard'!J57</f>
        <v>60.304670063414193</v>
      </c>
      <c r="K11" s="81">
        <f>'Adjust. no safeguard'!K57</f>
        <v>58.91663375828481</v>
      </c>
      <c r="L11" s="81">
        <f>'Adjust. no safeguard'!L57</f>
        <v>58.10113736297572</v>
      </c>
      <c r="M11" s="81">
        <f>'Adjust. no safeguard'!M57</f>
        <v>57.447146224328243</v>
      </c>
      <c r="N11" s="81">
        <f>'Adjust. no safeguard'!N57</f>
        <v>56.799289509973164</v>
      </c>
      <c r="O11" s="81">
        <f>'Adjust. no safeguard'!O57</f>
        <v>56.191861208044116</v>
      </c>
      <c r="P11" s="81">
        <f>'Adjust. no safeguard'!P57</f>
        <v>55.623240913679027</v>
      </c>
      <c r="Q11" s="81">
        <f>'Adjust. no safeguard'!Q57</f>
        <v>54.992124148833753</v>
      </c>
      <c r="R11" s="81">
        <f>'Adjust. no safeguard'!R57</f>
        <v>54.359540995818683</v>
      </c>
      <c r="S11" s="81">
        <f>'Adjust. no safeguard'!S57</f>
        <v>53.723299088267922</v>
      </c>
      <c r="T11" s="81">
        <f>'Adjust. no safeguard'!T57</f>
        <v>52.98691243468199</v>
      </c>
      <c r="U11" s="81">
        <f>'Adjust. no safeguard'!U57</f>
        <v>52.285467119324466</v>
      </c>
    </row>
    <row r="12" spans="1:48" s="26" customFormat="1" ht="11.25" x14ac:dyDescent="0.2">
      <c r="A12" s="29"/>
      <c r="C12" s="43"/>
      <c r="D12" s="29"/>
    </row>
    <row r="13" spans="1:48" s="67" customFormat="1" ht="11.25" x14ac:dyDescent="0.2">
      <c r="B13" s="88" t="s">
        <v>149</v>
      </c>
    </row>
    <row r="14" spans="1:48" x14ac:dyDescent="0.2">
      <c r="B14" s="5" t="s">
        <v>150</v>
      </c>
      <c r="C14" s="81">
        <f t="shared" ref="C14:H18" si="1">C$11</f>
        <v>62.885489999999997</v>
      </c>
      <c r="D14" s="81">
        <f t="shared" si="1"/>
        <v>62.455679115154567</v>
      </c>
      <c r="E14" s="81">
        <f t="shared" si="1"/>
        <v>63.692130003522081</v>
      </c>
      <c r="F14" s="81">
        <f t="shared" si="1"/>
        <v>64.202561464572838</v>
      </c>
      <c r="G14" s="81">
        <f t="shared" si="1"/>
        <v>63.836881536064524</v>
      </c>
      <c r="H14" s="81">
        <f>H$11</f>
        <v>62.913564321630858</v>
      </c>
      <c r="I14" s="81">
        <f>IF('Criteria results'!$F$5=4,I$11+'Input data'!C74,I$11)</f>
        <v>61.635909824928312</v>
      </c>
      <c r="J14" s="81">
        <f>IF('Criteria results'!$F$5=4,J$11+'Input data'!D74,J$11)</f>
        <v>56.786287037291146</v>
      </c>
      <c r="K14" s="81">
        <f>IF('Criteria results'!$F$5=4,K$11+'Input data'!E74,K$11)</f>
        <v>54.058551940657857</v>
      </c>
      <c r="L14" s="81">
        <f>IF('Criteria results'!$F$5=4,L$11+'Input data'!F74,L$11+'Input data'!C74)</f>
        <v>52.227564059753064</v>
      </c>
      <c r="M14" s="81">
        <f>IF('Criteria results'!$F$5=4,M$11+'Input data'!G74,M$11+'Input data'!D74)</f>
        <v>50.574850844689571</v>
      </c>
      <c r="N14" s="81" t="str">
        <f>IF('Criteria results'!$F$5=4,"",Stochastic!N$11+'Input data'!E74)</f>
        <v/>
      </c>
      <c r="O14" s="81" t="str">
        <f>IF('Criteria results'!$F$5=4,"",Stochastic!O$11+'Input data'!F74)</f>
        <v/>
      </c>
      <c r="P14" s="81" t="str">
        <f>IF('Criteria results'!$F$5=4,"",Stochastic!P$11+'Input data'!G74)</f>
        <v/>
      </c>
    </row>
    <row r="15" spans="1:48" x14ac:dyDescent="0.2">
      <c r="B15" s="5" t="s">
        <v>151</v>
      </c>
      <c r="C15" s="81">
        <f t="shared" si="1"/>
        <v>62.885489999999997</v>
      </c>
      <c r="D15" s="81">
        <f t="shared" si="1"/>
        <v>62.455679115154567</v>
      </c>
      <c r="E15" s="81">
        <f t="shared" si="1"/>
        <v>63.692130003522081</v>
      </c>
      <c r="F15" s="81">
        <f t="shared" si="1"/>
        <v>64.202561464572838</v>
      </c>
      <c r="G15" s="81">
        <f t="shared" si="1"/>
        <v>63.836881536064524</v>
      </c>
      <c r="H15" s="81">
        <f t="shared" si="1"/>
        <v>62.913564321630858</v>
      </c>
      <c r="I15" s="81">
        <f>IF('Criteria results'!$F$5=4,I$11+'Input data'!C75,I$11)</f>
        <v>61.635909824928312</v>
      </c>
      <c r="J15" s="81">
        <f>IF('Criteria results'!$F$5=4,J$11+'Input data'!D75,J$11)</f>
        <v>58.812226978697396</v>
      </c>
      <c r="K15" s="81">
        <f>IF('Criteria results'!$F$5=4,K$11+'Input data'!E75,K$11)</f>
        <v>56.84101119969106</v>
      </c>
      <c r="L15" s="81">
        <f>IF('Criteria results'!$F$5=4,L$11+'Input data'!F75,L$11+'Input data'!C75)</f>
        <v>55.676679812926892</v>
      </c>
      <c r="M15" s="81">
        <f>IF('Criteria results'!$F$5=4,M$11+'Input data'!G75,M$11+'Input data'!D75)</f>
        <v>54.716460036584103</v>
      </c>
      <c r="N15" s="81" t="str">
        <f>IF('Criteria results'!$F$5=4,"",Stochastic!N$11+'Input data'!E75)</f>
        <v/>
      </c>
      <c r="O15" s="81" t="str">
        <f>IF('Criteria results'!$F$5=4,"",Stochastic!O$11+'Input data'!F75)</f>
        <v/>
      </c>
      <c r="P15" s="81" t="str">
        <f>IF('Criteria results'!$F$5=4,"",Stochastic!P$11+'Input data'!G75)</f>
        <v/>
      </c>
    </row>
    <row r="16" spans="1:48" x14ac:dyDescent="0.2">
      <c r="B16" s="5" t="s">
        <v>183</v>
      </c>
      <c r="C16" s="81">
        <f t="shared" si="1"/>
        <v>62.885489999999997</v>
      </c>
      <c r="D16" s="81">
        <f t="shared" si="1"/>
        <v>62.455679115154567</v>
      </c>
      <c r="E16" s="81">
        <f t="shared" si="1"/>
        <v>63.692130003522081</v>
      </c>
      <c r="F16" s="81">
        <f t="shared" si="1"/>
        <v>64.202561464572838</v>
      </c>
      <c r="G16" s="81">
        <f t="shared" si="1"/>
        <v>63.836881536064524</v>
      </c>
      <c r="H16" s="81">
        <f t="shared" si="1"/>
        <v>62.913564321630858</v>
      </c>
      <c r="I16" s="81">
        <f>I11</f>
        <v>61.635909824928312</v>
      </c>
      <c r="J16" s="81">
        <f t="shared" ref="J16:M16" si="2">J11</f>
        <v>60.304670063414193</v>
      </c>
      <c r="K16" s="81">
        <f t="shared" si="2"/>
        <v>58.91663375828481</v>
      </c>
      <c r="L16" s="81">
        <f t="shared" si="2"/>
        <v>58.10113736297572</v>
      </c>
      <c r="M16" s="81">
        <f t="shared" si="2"/>
        <v>57.447146224328243</v>
      </c>
      <c r="N16" s="81" t="str">
        <f>IF('Criteria results'!$F$5=4,"",Stochastic!N$11)</f>
        <v/>
      </c>
      <c r="O16" s="81" t="str">
        <f>IF('Criteria results'!$F$5=4,"",Stochastic!O$11)</f>
        <v/>
      </c>
      <c r="P16" s="81" t="str">
        <f>IF('Criteria results'!$F$5=4,"",Stochastic!P$11)</f>
        <v/>
      </c>
    </row>
    <row r="17" spans="2:18" x14ac:dyDescent="0.2">
      <c r="B17" s="5" t="s">
        <v>152</v>
      </c>
      <c r="C17" s="81">
        <f t="shared" si="1"/>
        <v>62.885489999999997</v>
      </c>
      <c r="D17" s="81">
        <f t="shared" si="1"/>
        <v>62.455679115154567</v>
      </c>
      <c r="E17" s="81">
        <f t="shared" si="1"/>
        <v>63.692130003522081</v>
      </c>
      <c r="F17" s="81">
        <f t="shared" si="1"/>
        <v>64.202561464572838</v>
      </c>
      <c r="G17" s="81">
        <f t="shared" si="1"/>
        <v>63.836881536064524</v>
      </c>
      <c r="H17" s="81">
        <f t="shared" si="1"/>
        <v>62.913564321630858</v>
      </c>
      <c r="I17" s="81">
        <f>IF('Criteria results'!$F$5=4,I$11+'Input data'!C76,I$11)</f>
        <v>61.635909824928312</v>
      </c>
      <c r="J17" s="81">
        <f>IF('Criteria results'!$F$5=4,J$11+'Input data'!D76,J$11)</f>
        <v>61.710046497740365</v>
      </c>
      <c r="K17" s="81">
        <f>IF('Criteria results'!$F$5=4,K$11+'Input data'!E76,K$11)</f>
        <v>60.906177673079732</v>
      </c>
      <c r="L17" s="81">
        <f>IF('Criteria results'!$F$5=4,L$11+'Input data'!F76,L$11+'Input data'!C76)</f>
        <v>60.536348544616345</v>
      </c>
      <c r="M17" s="81">
        <f>IF('Criteria results'!$F$5=4,M$11+'Input data'!G76,M$11+'Input data'!D76)</f>
        <v>60.298273848839962</v>
      </c>
      <c r="N17" s="81" t="str">
        <f>IF('Criteria results'!$F$5=4,"",Stochastic!N$11+'Input data'!E76)</f>
        <v/>
      </c>
      <c r="O17" s="81" t="str">
        <f>IF('Criteria results'!$F$5=4,"",Stochastic!O$11+'Input data'!F76)</f>
        <v/>
      </c>
      <c r="P17" s="81" t="str">
        <f>IF('Criteria results'!$F$5=4,"",Stochastic!P$11+'Input data'!G76)</f>
        <v/>
      </c>
    </row>
    <row r="18" spans="2:18" x14ac:dyDescent="0.2">
      <c r="B18" s="5" t="s">
        <v>153</v>
      </c>
      <c r="C18" s="81">
        <f t="shared" si="1"/>
        <v>62.885489999999997</v>
      </c>
      <c r="D18" s="81">
        <f t="shared" si="1"/>
        <v>62.455679115154567</v>
      </c>
      <c r="E18" s="81">
        <f t="shared" si="1"/>
        <v>63.692130003522081</v>
      </c>
      <c r="F18" s="81">
        <f t="shared" si="1"/>
        <v>64.202561464572838</v>
      </c>
      <c r="G18" s="81">
        <f t="shared" si="1"/>
        <v>63.836881536064524</v>
      </c>
      <c r="H18" s="81">
        <f t="shared" si="1"/>
        <v>62.913564321630858</v>
      </c>
      <c r="I18" s="81">
        <f>IF('Criteria results'!$F$5=4,I$11+'Input data'!C77,I$11)</f>
        <v>61.635909824928312</v>
      </c>
      <c r="J18" s="81">
        <f>IF('Criteria results'!$F$5=4,J$11+'Input data'!D77,J$11)</f>
        <v>63.786401478209115</v>
      </c>
      <c r="K18" s="81">
        <f>IF('Criteria results'!$F$5=4,K$11+'Input data'!E77,K$11)</f>
        <v>63.766273650862935</v>
      </c>
      <c r="L18" s="81">
        <f>IF('Criteria results'!$F$5=4,L$11+'Input data'!F77,L$11+'Input data'!C77)</f>
        <v>64.063951694030408</v>
      </c>
      <c r="M18" s="81">
        <f>IF('Criteria results'!$F$5=4,M$11+'Input data'!G77,M$11+'Input data'!D77)</f>
        <v>64.453375624963002</v>
      </c>
      <c r="N18" s="81" t="str">
        <f>IF('Criteria results'!$F$5=4,"",Stochastic!N$11+'Input data'!E77)</f>
        <v/>
      </c>
      <c r="O18" s="81" t="str">
        <f>IF('Criteria results'!$F$5=4,"",Stochastic!O$11+'Input data'!F77)</f>
        <v/>
      </c>
      <c r="P18" s="81" t="str">
        <f>IF('Criteria results'!$F$5=4,"",Stochastic!P$11+'Input data'!G77)</f>
        <v/>
      </c>
    </row>
    <row r="20" spans="2:18" s="67" customFormat="1" ht="11.25" x14ac:dyDescent="0.2">
      <c r="B20" s="88" t="s">
        <v>154</v>
      </c>
    </row>
    <row r="21" spans="2:18" s="26" customFormat="1" x14ac:dyDescent="0.2">
      <c r="B21" s="79" t="str">
        <f>"Stochastic debt projections "&amp;E21&amp;"-"&amp;I21</f>
        <v>Stochastic debt projections 2029-2033</v>
      </c>
      <c r="C21" s="80">
        <f>IF('Criteria results'!$F$5=4,G10,J10)</f>
        <v>2027</v>
      </c>
      <c r="D21" s="80">
        <f>IF('Criteria results'!$F$5=4,H10,K10)</f>
        <v>2028</v>
      </c>
      <c r="E21" s="80">
        <f>IF('Criteria results'!$F$5=4,I10,L10)</f>
        <v>2029</v>
      </c>
      <c r="F21" s="80">
        <f>IF('Criteria results'!$F$5=4,J10,M10)</f>
        <v>2030</v>
      </c>
      <c r="G21" s="80">
        <f>IF('Criteria results'!$F$5=4,K10,N10)</f>
        <v>2031</v>
      </c>
      <c r="H21" s="80">
        <f>IF('Criteria results'!$F$5=4,L10,O10)</f>
        <v>2032</v>
      </c>
      <c r="I21" s="80">
        <f>IF('Criteria results'!$F$5=4,M10,P10)</f>
        <v>2033</v>
      </c>
    </row>
    <row r="22" spans="2:18" x14ac:dyDescent="0.2">
      <c r="B22" s="5" t="s">
        <v>150</v>
      </c>
      <c r="C22" s="81">
        <f>IF('Criteria results'!$F$5=4,G$11,J$11)</f>
        <v>63.836881536064524</v>
      </c>
      <c r="D22" s="81">
        <f>IF('Criteria results'!$F$5=4,H$11,K$11)</f>
        <v>62.913564321630858</v>
      </c>
      <c r="E22" s="81">
        <f>IF('Criteria results'!$F$5=4,I$11+'Input data'!C74,L$11+'Input data'!C74)</f>
        <v>61.635909824928312</v>
      </c>
      <c r="F22" s="81">
        <f>IF('Criteria results'!$F$5=4,J$11+'Input data'!D74,M$11+'Input data'!D74)</f>
        <v>56.786287037291146</v>
      </c>
      <c r="G22" s="81">
        <f>IF('Criteria results'!$F$5=4,K$11+'Input data'!E74,N$11+'Input data'!E74)</f>
        <v>54.058551940657857</v>
      </c>
      <c r="H22" s="81">
        <f>IF('Criteria results'!$F$5=4,L$11+'Input data'!F74,O$11+'Input data'!F74)</f>
        <v>52.227564059753064</v>
      </c>
      <c r="I22" s="81">
        <f>IF('Criteria results'!$F$5=4,M$11+'Input data'!G74,P$11+'Input data'!G74)</f>
        <v>50.574850844689571</v>
      </c>
      <c r="P22" s="81"/>
      <c r="Q22" s="81"/>
      <c r="R22" s="81"/>
    </row>
    <row r="23" spans="2:18" x14ac:dyDescent="0.2">
      <c r="B23" s="5" t="s">
        <v>155</v>
      </c>
      <c r="C23" s="81">
        <v>0</v>
      </c>
      <c r="D23" s="81">
        <v>0</v>
      </c>
      <c r="E23" s="81">
        <f>'Input data'!C75-'Input data'!C74</f>
        <v>0</v>
      </c>
      <c r="F23" s="81">
        <f>'Input data'!D75-'Input data'!D74</f>
        <v>2.02593994140625</v>
      </c>
      <c r="G23" s="81">
        <f>'Input data'!E75-'Input data'!E74</f>
        <v>2.7824592590332031</v>
      </c>
      <c r="H23" s="81">
        <f>'Input data'!F75-'Input data'!F74</f>
        <v>3.4491157531738281</v>
      </c>
      <c r="I23" s="81">
        <f>'Input data'!G75-'Input data'!G74</f>
        <v>4.1416091918945313</v>
      </c>
      <c r="P23" s="81"/>
      <c r="Q23" s="81"/>
      <c r="R23" s="81"/>
    </row>
    <row r="24" spans="2:18" x14ac:dyDescent="0.2">
      <c r="B24" s="5" t="s">
        <v>156</v>
      </c>
      <c r="C24" s="81">
        <v>0</v>
      </c>
      <c r="D24" s="81">
        <v>0</v>
      </c>
      <c r="E24" s="81">
        <f>-'Input data'!C75</f>
        <v>0</v>
      </c>
      <c r="F24" s="81">
        <f>-'Input data'!D75</f>
        <v>1.4924430847167969</v>
      </c>
      <c r="G24" s="81">
        <f>-'Input data'!E75</f>
        <v>2.07562255859375</v>
      </c>
      <c r="H24" s="81">
        <f>-'Input data'!F75</f>
        <v>2.4244575500488281</v>
      </c>
      <c r="I24" s="81">
        <f>-'Input data'!G75</f>
        <v>2.7306861877441406</v>
      </c>
      <c r="P24" s="81"/>
      <c r="Q24" s="81"/>
      <c r="R24" s="81"/>
    </row>
    <row r="25" spans="2:18" x14ac:dyDescent="0.2">
      <c r="B25" s="5" t="s">
        <v>157</v>
      </c>
      <c r="C25" s="81">
        <v>0</v>
      </c>
      <c r="D25" s="81">
        <v>0</v>
      </c>
      <c r="E25" s="81">
        <f>'Input data'!C76</f>
        <v>0</v>
      </c>
      <c r="F25" s="81">
        <f>'Input data'!D76</f>
        <v>1.4053764343261719</v>
      </c>
      <c r="G25" s="81">
        <f>'Input data'!E76</f>
        <v>1.9895439147949219</v>
      </c>
      <c r="H25" s="81">
        <f>'Input data'!F76</f>
        <v>2.435211181640625</v>
      </c>
      <c r="I25" s="81">
        <f>'Input data'!G76</f>
        <v>2.8511276245117188</v>
      </c>
      <c r="P25" s="81"/>
      <c r="Q25" s="81"/>
      <c r="R25" s="81"/>
    </row>
    <row r="26" spans="2:18" x14ac:dyDescent="0.2">
      <c r="B26" s="5" t="s">
        <v>158</v>
      </c>
      <c r="C26" s="81">
        <v>0</v>
      </c>
      <c r="D26" s="81">
        <v>0</v>
      </c>
      <c r="E26" s="81">
        <f>'Input data'!C77-'Input data'!C76</f>
        <v>0</v>
      </c>
      <c r="F26" s="81">
        <f>'Input data'!D77-'Input data'!D76</f>
        <v>2.07635498046875</v>
      </c>
      <c r="G26" s="81">
        <f>'Input data'!E77-'Input data'!E76</f>
        <v>2.8600959777832031</v>
      </c>
      <c r="H26" s="81">
        <f>'Input data'!F77-'Input data'!F76</f>
        <v>3.5276031494140625</v>
      </c>
      <c r="I26" s="81">
        <f>'Input data'!G77-'Input data'!G76</f>
        <v>4.1551017761230469</v>
      </c>
      <c r="P26" s="81"/>
      <c r="Q26" s="81"/>
      <c r="R26" s="81"/>
    </row>
    <row r="27" spans="2:18" x14ac:dyDescent="0.2">
      <c r="B27" s="5" t="s">
        <v>150</v>
      </c>
      <c r="C27" s="81">
        <f>IF('Criteria results'!$F$5=4,G$11,J$11)</f>
        <v>63.836881536064524</v>
      </c>
      <c r="D27" s="81">
        <f>IF('Criteria results'!$F$5=4,H$11,K$11)</f>
        <v>62.913564321630858</v>
      </c>
      <c r="E27" s="81">
        <f>IF('Criteria results'!$F$5=4,I$11+'Input data'!C74,L$11+'Input data'!C74)</f>
        <v>61.635909824928312</v>
      </c>
      <c r="F27" s="81">
        <f>IF('Criteria results'!$F$5=4,J$11+'Input data'!D74,M$11+'Input data'!D74)</f>
        <v>56.786287037291146</v>
      </c>
      <c r="G27" s="81">
        <f>IF('Criteria results'!$F$5=4,K$11+'Input data'!E74,N$11+'Input data'!E74)</f>
        <v>54.058551940657857</v>
      </c>
      <c r="H27" s="81">
        <f>IF('Criteria results'!$F$5=4,L$11+'Input data'!F74,O$11+'Input data'!F74)</f>
        <v>52.227564059753064</v>
      </c>
      <c r="I27" s="81">
        <f>IF('Criteria results'!$F$5=4,M$11+'Input data'!G74,P$11+'Input data'!G74)</f>
        <v>50.574850844689571</v>
      </c>
    </row>
    <row r="28" spans="2:18" x14ac:dyDescent="0.2">
      <c r="B28" s="5" t="s">
        <v>151</v>
      </c>
      <c r="C28" s="81">
        <f>IF('Criteria results'!$F$5=4,G$11,J$11)</f>
        <v>63.836881536064524</v>
      </c>
      <c r="D28" s="81">
        <f>IF('Criteria results'!$F$5=4,H$11,K$11)</f>
        <v>62.913564321630858</v>
      </c>
      <c r="E28" s="81">
        <f>IF('Criteria results'!$F$5=4,I$11+'Input data'!C75,L$11+'Input data'!C75)</f>
        <v>61.635909824928312</v>
      </c>
      <c r="F28" s="81">
        <f>IF('Criteria results'!$F$5=4,J$11+'Input data'!D75,M$11+'Input data'!D75)</f>
        <v>58.812226978697396</v>
      </c>
      <c r="G28" s="81">
        <f>IF('Criteria results'!$F$5=4,K$11+'Input data'!E75,N$11+'Input data'!E75)</f>
        <v>56.84101119969106</v>
      </c>
      <c r="H28" s="81">
        <f>IF('Criteria results'!$F$5=4,L$11+'Input data'!F75,O$11+'Input data'!F75)</f>
        <v>55.676679812926892</v>
      </c>
      <c r="I28" s="81">
        <f>IF('Criteria results'!$F$5=4,M$11+'Input data'!G75,P$11+'Input data'!G75)</f>
        <v>54.716460036584103</v>
      </c>
      <c r="P28" s="81"/>
      <c r="Q28" s="81"/>
      <c r="R28" s="81"/>
    </row>
    <row r="29" spans="2:18" x14ac:dyDescent="0.2">
      <c r="B29" s="5" t="s">
        <v>159</v>
      </c>
      <c r="C29" s="81">
        <f>IF('Criteria results'!$F$5=4,G$11,J$11)</f>
        <v>63.836881536064524</v>
      </c>
      <c r="D29" s="81">
        <f>IF('Criteria results'!$F$5=4,H$11,K$11)</f>
        <v>62.913564321630858</v>
      </c>
      <c r="E29" s="81">
        <f>IF('Criteria results'!$F$5=4,I$11,L$11)</f>
        <v>61.635909824928312</v>
      </c>
      <c r="F29" s="81">
        <f>IF('Criteria results'!$F$5=4,J$11,M$11)</f>
        <v>60.304670063414193</v>
      </c>
      <c r="G29" s="81">
        <f>IF('Criteria results'!$F$5=4,K$11,N$11)</f>
        <v>58.91663375828481</v>
      </c>
      <c r="H29" s="81">
        <f>IF('Criteria results'!$F$5=4,L$11,O$11)</f>
        <v>58.10113736297572</v>
      </c>
      <c r="I29" s="81">
        <f>IF('Criteria results'!$F$5=4,M$11,P$11)</f>
        <v>57.447146224328243</v>
      </c>
      <c r="P29" s="81"/>
      <c r="Q29" s="81"/>
      <c r="R29" s="81"/>
    </row>
    <row r="30" spans="2:18" x14ac:dyDescent="0.2">
      <c r="B30" s="5" t="s">
        <v>152</v>
      </c>
      <c r="C30" s="81">
        <f>IF('Criteria results'!$F$5=4,G$11,J$11)</f>
        <v>63.836881536064524</v>
      </c>
      <c r="D30" s="81">
        <f>IF('Criteria results'!$F$5=4,H$11,K$11)</f>
        <v>62.913564321630858</v>
      </c>
      <c r="E30" s="81">
        <f>IF('Criteria results'!$F$5=4,I$11+'Input data'!C76,L$11+'Input data'!C76)</f>
        <v>61.635909824928312</v>
      </c>
      <c r="F30" s="81">
        <f>IF('Criteria results'!$F$5=4,J$11+'Input data'!D76,M$11+'Input data'!D76)</f>
        <v>61.710046497740365</v>
      </c>
      <c r="G30" s="81">
        <f>IF('Criteria results'!$F$5=4,K$11+'Input data'!E76,N$11+'Input data'!E76)</f>
        <v>60.906177673079732</v>
      </c>
      <c r="H30" s="81">
        <f>IF('Criteria results'!$F$5=4,L$11+'Input data'!F76,O$11+'Input data'!F76)</f>
        <v>60.536348544616345</v>
      </c>
      <c r="I30" s="81">
        <f>IF('Criteria results'!$F$5=4,M$11+'Input data'!G76,P$11+'Input data'!G76)</f>
        <v>60.298273848839962</v>
      </c>
      <c r="J30" s="81"/>
      <c r="K30" s="81"/>
      <c r="L30" s="81"/>
      <c r="M30" s="81"/>
      <c r="N30" s="81"/>
      <c r="O30" s="81"/>
    </row>
    <row r="31" spans="2:18" x14ac:dyDescent="0.2">
      <c r="B31" s="5" t="s">
        <v>153</v>
      </c>
      <c r="C31" s="81">
        <f>IF('Criteria results'!$F$5=4,G$11,J$11)</f>
        <v>63.836881536064524</v>
      </c>
      <c r="D31" s="81">
        <f>IF('Criteria results'!$F$5=4,H$11,K$11)</f>
        <v>62.913564321630858</v>
      </c>
      <c r="E31" s="81">
        <f>IF('Criteria results'!$F$5=4,I$11+'Input data'!C77,L$11+'Input data'!C77)</f>
        <v>61.635909824928312</v>
      </c>
      <c r="F31" s="81">
        <f>IF('Criteria results'!$F$5=4,J$11+'Input data'!D77,M$11+'Input data'!D77)</f>
        <v>63.786401478209115</v>
      </c>
      <c r="G31" s="81">
        <f>IF('Criteria results'!$F$5=4,K$11+'Input data'!E77,N$11+'Input data'!E77)</f>
        <v>63.766273650862935</v>
      </c>
      <c r="H31" s="81">
        <f>IF('Criteria results'!$F$5=4,L$11+'Input data'!F77,O$11+'Input data'!F77)</f>
        <v>64.063951694030408</v>
      </c>
      <c r="I31" s="81">
        <f>IF('Criteria results'!$F$5=4,M$11+'Input data'!G77,P$11+'Input data'!G77)</f>
        <v>64.453375624963002</v>
      </c>
    </row>
  </sheetData>
  <pageMargins left="0.7" right="0.7" top="0.75" bottom="0.75" header="0.3" footer="0.3"/>
  <pageSetup paperSize="9" orientation="portrait" verticalDpi="0" r:id="rId1"/>
  <ignoredErrors>
    <ignoredError sqref="C5:C6" unlockedFormula="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D891-C40B-4DD5-A43C-645C26D0DC6D}">
  <sheetPr codeName="Sheet22">
    <tabColor rgb="FF7030A0"/>
  </sheetPr>
  <dimension ref="A1:Y63"/>
  <sheetViews>
    <sheetView zoomScale="90" zoomScaleNormal="90" workbookViewId="0"/>
  </sheetViews>
  <sheetFormatPr defaultRowHeight="12.75" x14ac:dyDescent="0.2"/>
  <cols>
    <col min="1" max="1" width="9.140625" style="324"/>
    <col min="2" max="2" width="4.5703125" style="324" customWidth="1"/>
    <col min="3" max="3" width="67" style="324" customWidth="1"/>
    <col min="4" max="4" width="16.5703125" style="324" customWidth="1"/>
    <col min="5" max="5" width="13.7109375" style="324" customWidth="1"/>
    <col min="6" max="24" width="10.7109375" style="324" customWidth="1"/>
    <col min="25" max="16384" width="9.140625" style="324"/>
  </cols>
  <sheetData>
    <row r="1" spans="1:25" x14ac:dyDescent="0.2">
      <c r="A1" s="265"/>
      <c r="B1" s="265"/>
      <c r="C1" s="265"/>
      <c r="D1" s="265"/>
      <c r="E1" s="265"/>
      <c r="F1" s="265"/>
      <c r="G1" s="265"/>
      <c r="H1" s="265"/>
      <c r="I1" s="265"/>
      <c r="J1" s="265"/>
      <c r="K1" s="265"/>
      <c r="L1" s="265"/>
      <c r="M1" s="265"/>
      <c r="N1" s="265"/>
      <c r="O1" s="265"/>
      <c r="P1" s="265"/>
      <c r="Q1" s="265"/>
      <c r="R1" s="265"/>
      <c r="S1" s="265"/>
      <c r="T1" s="265"/>
      <c r="U1" s="265"/>
      <c r="V1" s="265"/>
      <c r="W1" s="265"/>
      <c r="X1" s="265"/>
      <c r="Y1" s="265"/>
    </row>
    <row r="2" spans="1:25" x14ac:dyDescent="0.2">
      <c r="A2" s="265"/>
      <c r="B2" s="329"/>
      <c r="C2" s="330" t="s">
        <v>211</v>
      </c>
      <c r="D2" s="331"/>
      <c r="E2" s="331"/>
      <c r="F2" s="331"/>
      <c r="G2" s="347"/>
      <c r="H2" s="347"/>
      <c r="I2" s="347"/>
      <c r="J2" s="347"/>
      <c r="K2" s="265"/>
      <c r="L2" s="265"/>
      <c r="M2" s="265"/>
      <c r="N2" s="265"/>
      <c r="O2" s="265"/>
      <c r="P2" s="265"/>
      <c r="Q2" s="265"/>
      <c r="R2" s="265"/>
      <c r="S2" s="265"/>
      <c r="T2" s="265"/>
      <c r="U2" s="265"/>
      <c r="V2" s="265"/>
      <c r="W2" s="265"/>
      <c r="X2" s="265"/>
      <c r="Y2" s="265"/>
    </row>
    <row r="3" spans="1:25" x14ac:dyDescent="0.2">
      <c r="A3" s="265"/>
      <c r="B3" s="326"/>
      <c r="C3" s="347"/>
      <c r="D3" s="347"/>
      <c r="E3" s="347"/>
      <c r="F3" s="347"/>
      <c r="G3" s="347"/>
      <c r="H3" s="347"/>
      <c r="I3" s="347"/>
      <c r="J3" s="347"/>
      <c r="K3" s="265"/>
      <c r="L3" s="265"/>
      <c r="M3" s="265"/>
      <c r="N3" s="265"/>
      <c r="O3" s="265"/>
      <c r="P3" s="265"/>
      <c r="Q3" s="265"/>
      <c r="R3" s="265"/>
      <c r="S3" s="265"/>
      <c r="T3" s="265"/>
      <c r="U3" s="265"/>
      <c r="V3" s="265"/>
      <c r="W3" s="265"/>
      <c r="X3" s="265"/>
      <c r="Y3" s="265"/>
    </row>
    <row r="4" spans="1:25" x14ac:dyDescent="0.2">
      <c r="A4" s="265"/>
      <c r="B4" s="332"/>
      <c r="C4" s="330"/>
      <c r="D4" s="333" t="s">
        <v>232</v>
      </c>
      <c r="E4" s="334">
        <f>F4-1</f>
        <v>2022</v>
      </c>
      <c r="F4" s="335">
        <f>'Input data'!$C$5-1</f>
        <v>2023</v>
      </c>
      <c r="G4" s="335">
        <f>F4+1</f>
        <v>2024</v>
      </c>
      <c r="H4" s="335">
        <f t="shared" ref="H4:X4" si="0">G4+1</f>
        <v>2025</v>
      </c>
      <c r="I4" s="335">
        <f t="shared" si="0"/>
        <v>2026</v>
      </c>
      <c r="J4" s="335">
        <f t="shared" si="0"/>
        <v>2027</v>
      </c>
      <c r="K4" s="335">
        <f t="shared" si="0"/>
        <v>2028</v>
      </c>
      <c r="L4" s="335">
        <f t="shared" si="0"/>
        <v>2029</v>
      </c>
      <c r="M4" s="335">
        <f t="shared" si="0"/>
        <v>2030</v>
      </c>
      <c r="N4" s="335">
        <f t="shared" si="0"/>
        <v>2031</v>
      </c>
      <c r="O4" s="335">
        <f t="shared" si="0"/>
        <v>2032</v>
      </c>
      <c r="P4" s="335">
        <f t="shared" si="0"/>
        <v>2033</v>
      </c>
      <c r="Q4" s="335">
        <f t="shared" si="0"/>
        <v>2034</v>
      </c>
      <c r="R4" s="335">
        <f t="shared" si="0"/>
        <v>2035</v>
      </c>
      <c r="S4" s="335">
        <f t="shared" si="0"/>
        <v>2036</v>
      </c>
      <c r="T4" s="335">
        <f t="shared" si="0"/>
        <v>2037</v>
      </c>
      <c r="U4" s="335">
        <f t="shared" si="0"/>
        <v>2038</v>
      </c>
      <c r="V4" s="335">
        <f t="shared" si="0"/>
        <v>2039</v>
      </c>
      <c r="W4" s="335">
        <f t="shared" si="0"/>
        <v>2040</v>
      </c>
      <c r="X4" s="335">
        <f t="shared" si="0"/>
        <v>2041</v>
      </c>
      <c r="Y4" s="265"/>
    </row>
    <row r="5" spans="1:25" x14ac:dyDescent="0.2">
      <c r="A5" s="265"/>
      <c r="B5" s="332">
        <v>1</v>
      </c>
      <c r="C5" s="336" t="s">
        <v>212</v>
      </c>
      <c r="D5" s="337">
        <v>57</v>
      </c>
      <c r="E5" s="338" t="s">
        <v>213</v>
      </c>
      <c r="F5" s="325">
        <f ca="1">INDEX(OFFSET('Adjustment scenario'!$C$1:$U$1,$D5-1,0),MATCH(F$4,'Adjustment scenario'!$C$10:$U$10,0))</f>
        <v>62.885489999999997</v>
      </c>
      <c r="G5" s="325">
        <f ca="1">INDEX(OFFSET('Adjustment scenario'!$C$1:$U$1,$D5-1,0),MATCH(G$4,'Adjustment scenario'!$C$10:$U$10,0))</f>
        <v>62.455679115154567</v>
      </c>
      <c r="H5" s="325">
        <f ca="1">INDEX(OFFSET('Adjustment scenario'!$C$1:$U$1,$D5-1,0),MATCH(H$4,'Adjustment scenario'!$C$10:$U$10,0))</f>
        <v>63.692130003522081</v>
      </c>
      <c r="I5" s="325">
        <f ca="1">INDEX(OFFSET('Adjustment scenario'!$C$1:$U$1,$D5-1,0),MATCH(I$4,'Adjustment scenario'!$C$10:$U$10,0))</f>
        <v>64.202561464572838</v>
      </c>
      <c r="J5" s="325">
        <f ca="1">INDEX(OFFSET('Adjustment scenario'!$C$1:$U$1,$D5-1,0),MATCH(J$4,'Adjustment scenario'!$C$10:$U$10,0))</f>
        <v>63.836881536064524</v>
      </c>
      <c r="K5" s="325">
        <f ca="1">INDEX(OFFSET('Adjustment scenario'!$C$1:$U$1,$D5-1,0),MATCH(K$4,'Adjustment scenario'!$C$10:$U$10,0))</f>
        <v>62.913564321630858</v>
      </c>
      <c r="L5" s="325">
        <f ca="1">INDEX(OFFSET('Adjustment scenario'!$C$1:$U$1,$D5-1,0),MATCH(L$4,'Adjustment scenario'!$C$10:$U$10,0))</f>
        <v>61.635909824928312</v>
      </c>
      <c r="M5" s="325">
        <f ca="1">INDEX(OFFSET('Adjustment scenario'!$C$1:$U$1,$D5-1,0),MATCH(M$4,'Adjustment scenario'!$C$10:$U$10,0))</f>
        <v>60.304670063414193</v>
      </c>
      <c r="N5" s="325">
        <f ca="1">INDEX(OFFSET('Adjustment scenario'!$C$1:$U$1,$D5-1,0),MATCH(N$4,'Adjustment scenario'!$C$10:$U$10,0))</f>
        <v>58.91663375828481</v>
      </c>
      <c r="O5" s="325">
        <f ca="1">INDEX(OFFSET('Adjustment scenario'!$C$1:$U$1,$D5-1,0),MATCH(O$4,'Adjustment scenario'!$C$10:$U$10,0))</f>
        <v>58.10113736297572</v>
      </c>
      <c r="P5" s="325">
        <f ca="1">INDEX(OFFSET('Adjustment scenario'!$C$1:$U$1,$D5-1,0),MATCH(P$4,'Adjustment scenario'!$C$10:$U$10,0))</f>
        <v>57.447146224328243</v>
      </c>
      <c r="Q5" s="325">
        <f ca="1">INDEX(OFFSET('Adjustment scenario'!$C$1:$U$1,$D5-1,0),MATCH(Q$4,'Adjustment scenario'!$C$10:$U$10,0))</f>
        <v>56.799289509973164</v>
      </c>
      <c r="R5" s="325">
        <f ca="1">INDEX(OFFSET('Adjustment scenario'!$C$1:$U$1,$D5-1,0),MATCH(R$4,'Adjustment scenario'!$C$10:$U$10,0))</f>
        <v>56.191861208044116</v>
      </c>
      <c r="S5" s="325">
        <f ca="1">INDEX(OFFSET('Adjustment scenario'!$C$1:$U$1,$D5-1,0),MATCH(S$4,'Adjustment scenario'!$C$10:$U$10,0))</f>
        <v>55.623240913679027</v>
      </c>
      <c r="T5" s="325">
        <f ca="1">INDEX(OFFSET('Adjustment scenario'!$C$1:$U$1,$D5-1,0),MATCH(T$4,'Adjustment scenario'!$C$10:$U$10,0))</f>
        <v>54.992124148833753</v>
      </c>
      <c r="U5" s="325">
        <f ca="1">INDEX(OFFSET('Adjustment scenario'!$C$1:$U$1,$D5-1,0),MATCH(U$4,'Adjustment scenario'!$C$10:$U$10,0))</f>
        <v>54.359540995818683</v>
      </c>
      <c r="V5" s="325">
        <f ca="1">INDEX(OFFSET('Adjustment scenario'!$C$1:$U$1,$D5-1,0),MATCH(V$4,'Adjustment scenario'!$C$10:$U$10,0))</f>
        <v>53.723299088267922</v>
      </c>
      <c r="W5" s="325">
        <f ca="1">INDEX(OFFSET('Adjustment scenario'!$C$1:$U$1,$D5-1,0),MATCH(W$4,'Adjustment scenario'!$C$10:$U$10,0))</f>
        <v>52.98691243468199</v>
      </c>
      <c r="X5" s="325">
        <f ca="1">INDEX(OFFSET('Adjustment scenario'!$C$1:$U$1,$D5-1,0),MATCH(X$4,'Adjustment scenario'!$C$10:$U$10,0))</f>
        <v>52.285467119324466</v>
      </c>
      <c r="Y5" s="265"/>
    </row>
    <row r="6" spans="1:25" x14ac:dyDescent="0.2">
      <c r="A6" s="265"/>
      <c r="B6" s="332">
        <v>2</v>
      </c>
      <c r="C6" s="336" t="s">
        <v>214</v>
      </c>
      <c r="D6" s="337">
        <v>77</v>
      </c>
      <c r="E6" s="338" t="s">
        <v>213</v>
      </c>
      <c r="F6" s="325">
        <f ca="1">INDEX(OFFSET('Adjustment scenario'!$C$1:$U$1,$D6-1,0),MATCH(F$4,'Adjustment scenario'!$C$10:$U$10,0))</f>
        <v>-2.4799370000000001</v>
      </c>
      <c r="G6" s="325">
        <f ca="1">INDEX(OFFSET('Adjustment scenario'!$C$1:$U$1,$D6-1,0),MATCH(G$4,'Adjustment scenario'!$C$10:$U$10,0))</f>
        <v>-2.758867632490265</v>
      </c>
      <c r="H6" s="325">
        <f ca="1">INDEX(OFFSET('Adjustment scenario'!$C$1:$U$1,$D6-1,0),MATCH(H$4,'Adjustment scenario'!$C$10:$U$10,0))</f>
        <v>-2.511665620922173</v>
      </c>
      <c r="I6" s="325">
        <f ca="1">INDEX(OFFSET('Adjustment scenario'!$C$1:$U$1,$D6-1,0),MATCH(I$4,'Adjustment scenario'!$C$10:$U$10,0))</f>
        <v>-1.9842799144370495</v>
      </c>
      <c r="J6" s="325">
        <f ca="1">INDEX(OFFSET('Adjustment scenario'!$C$1:$U$1,$D6-1,0),MATCH(J$4,'Adjustment scenario'!$C$10:$U$10,0))</f>
        <v>-1.42613460941749</v>
      </c>
      <c r="K6" s="325">
        <f ca="1">INDEX(OFFSET('Adjustment scenario'!$C$1:$U$1,$D6-1,0),MATCH(K$4,'Adjustment scenario'!$C$10:$U$10,0))</f>
        <v>-0.88301954686313189</v>
      </c>
      <c r="L6" s="325">
        <f ca="1">INDEX(OFFSET('Adjustment scenario'!$C$1:$U$1,$D6-1,0),MATCH(L$4,'Adjustment scenario'!$C$10:$U$10,0))</f>
        <v>-0.78476588842230144</v>
      </c>
      <c r="M6" s="325">
        <f ca="1">INDEX(OFFSET('Adjustment scenario'!$C$1:$U$1,$D6-1,0),MATCH(M$4,'Adjustment scenario'!$C$10:$U$10,0))</f>
        <v>-0.68035836272148631</v>
      </c>
      <c r="N6" s="325">
        <f ca="1">INDEX(OFFSET('Adjustment scenario'!$C$1:$U$1,$D6-1,0),MATCH(N$4,'Adjustment scenario'!$C$10:$U$10,0))</f>
        <v>-0.5699400290194947</v>
      </c>
      <c r="O6" s="325">
        <f ca="1">INDEX(OFFSET('Adjustment scenario'!$C$1:$U$1,$D6-1,0),MATCH(O$4,'Adjustment scenario'!$C$10:$U$10,0))</f>
        <v>-0.80943470054658795</v>
      </c>
      <c r="P6" s="325">
        <f ca="1">INDEX(OFFSET('Adjustment scenario'!$C$1:$U$1,$D6-1,0),MATCH(P$4,'Adjustment scenario'!$C$10:$U$10,0))</f>
        <v>-0.95380320251657325</v>
      </c>
      <c r="Q6" s="325">
        <f ca="1">INDEX(OFFSET('Adjustment scenario'!$C$1:$U$1,$D6-1,0),MATCH(Q$4,'Adjustment scenario'!$C$10:$U$10,0))</f>
        <v>-0.99905043200330024</v>
      </c>
      <c r="R6" s="325">
        <f ca="1">INDEX(OFFSET('Adjustment scenario'!$C$1:$U$1,$D6-1,0),MATCH(R$4,'Adjustment scenario'!$C$10:$U$10,0))</f>
        <v>-1.1258090568903663</v>
      </c>
      <c r="S6" s="325">
        <f ca="1">INDEX(OFFSET('Adjustment scenario'!$C$1:$U$1,$D6-1,0),MATCH(S$4,'Adjustment scenario'!$C$10:$U$10,0))</f>
        <v>-1.2494403298166064</v>
      </c>
      <c r="T6" s="325">
        <f ca="1">INDEX(OFFSET('Adjustment scenario'!$C$1:$U$1,$D6-1,0),MATCH(T$4,'Adjustment scenario'!$C$10:$U$10,0))</f>
        <v>-1.2704437287864441</v>
      </c>
      <c r="U6" s="325">
        <f ca="1">INDEX(OFFSET('Adjustment scenario'!$C$1:$U$1,$D6-1,0),MATCH(U$4,'Adjustment scenario'!$C$10:$U$10,0))</f>
        <v>-1.2878014893557648</v>
      </c>
      <c r="V6" s="325">
        <f ca="1">INDEX(OFFSET('Adjustment scenario'!$C$1:$U$1,$D6-1,0),MATCH(V$4,'Adjustment scenario'!$C$10:$U$10,0))</f>
        <v>-1.3019188996038273</v>
      </c>
      <c r="W6" s="325">
        <f ca="1">INDEX(OFFSET('Adjustment scenario'!$C$1:$U$1,$D6-1,0),MATCH(W$4,'Adjustment scenario'!$C$10:$U$10,0))</f>
        <v>-1.2133133549484976</v>
      </c>
      <c r="X6" s="325">
        <f ca="1">INDEX(OFFSET('Adjustment scenario'!$C$1:$U$1,$D6-1,0),MATCH(X$4,'Adjustment scenario'!$C$10:$U$10,0))</f>
        <v>-1.2200633297054815</v>
      </c>
      <c r="Y6" s="265"/>
    </row>
    <row r="7" spans="1:25" x14ac:dyDescent="0.2">
      <c r="A7" s="265"/>
      <c r="B7" s="332">
        <v>3</v>
      </c>
      <c r="C7" s="336" t="s">
        <v>40</v>
      </c>
      <c r="D7" s="337">
        <v>12</v>
      </c>
      <c r="E7" s="338" t="s">
        <v>215</v>
      </c>
      <c r="F7" s="325">
        <f ca="1">INDEX(OFFSET('Adjustment scenario'!$C$1:$U$1,$D7-1,0),MATCH(F$4,'Adjustment scenario'!$C$10:$U$10,0))</f>
        <v>-1.2609140000000001</v>
      </c>
      <c r="G7" s="325">
        <f ca="1">INDEX(OFFSET('Adjustment scenario'!$C$1:$U$1,$D7-1,0),MATCH(G$4,'Adjustment scenario'!$C$10:$U$10,0))</f>
        <v>-1.0152870000000001</v>
      </c>
      <c r="H7" s="325">
        <f ca="1">INDEX(OFFSET('Adjustment scenario'!$C$1:$U$1,$D7-1,0),MATCH(H$4,'Adjustment scenario'!$C$10:$U$10,0))</f>
        <v>-0.47528700000000002</v>
      </c>
      <c r="I7" s="325">
        <f ca="1">INDEX(OFFSET('Adjustment scenario'!$C$1:$U$1,$D7-1,0),MATCH(I$4,'Adjustment scenario'!$C$10:$U$10,0))</f>
        <v>6.4713000000000021E-2</v>
      </c>
      <c r="J7" s="325">
        <f ca="1">INDEX(OFFSET('Adjustment scenario'!$C$1:$U$1,$D7-1,0),MATCH(J$4,'Adjustment scenario'!$C$10:$U$10,0))</f>
        <v>0.60471300000000006</v>
      </c>
      <c r="K7" s="325">
        <f ca="1">INDEX(OFFSET('Adjustment scenario'!$C$1:$U$1,$D7-1,0),MATCH(K$4,'Adjustment scenario'!$C$10:$U$10,0))</f>
        <v>1.1447130000000001</v>
      </c>
      <c r="L7" s="325">
        <f ca="1">INDEX(OFFSET('Adjustment scenario'!$C$1:$U$1,$D7-1,0),MATCH(L$4,'Adjustment scenario'!$C$10:$U$10,0))</f>
        <v>1.1447130000000001</v>
      </c>
      <c r="M7" s="325">
        <f ca="1">INDEX(OFFSET('Adjustment scenario'!$C$1:$U$1,$D7-1,0),MATCH(M$4,'Adjustment scenario'!$C$10:$U$10,0))</f>
        <v>1.1447130000000001</v>
      </c>
      <c r="N7" s="325">
        <f ca="1">INDEX(OFFSET('Adjustment scenario'!$C$1:$U$1,$D7-1,0),MATCH(N$4,'Adjustment scenario'!$C$10:$U$10,0))</f>
        <v>1.1447130000000001</v>
      </c>
      <c r="O7" s="325">
        <f ca="1">INDEX(OFFSET('Adjustment scenario'!$C$1:$U$1,$D7-1,0),MATCH(O$4,'Adjustment scenario'!$C$10:$U$10,0))</f>
        <v>1.1447130000000001</v>
      </c>
      <c r="P7" s="325">
        <f ca="1">INDEX(OFFSET('Adjustment scenario'!$C$1:$U$1,$D7-1,0),MATCH(P$4,'Adjustment scenario'!$C$10:$U$10,0))</f>
        <v>1.1447130000000001</v>
      </c>
      <c r="Q7" s="325">
        <f ca="1">INDEX(OFFSET('Adjustment scenario'!$C$1:$U$1,$D7-1,0),MATCH(Q$4,'Adjustment scenario'!$C$10:$U$10,0))</f>
        <v>1.1447130000000001</v>
      </c>
      <c r="R7" s="325">
        <f ca="1">INDEX(OFFSET('Adjustment scenario'!$C$1:$U$1,$D7-1,0),MATCH(R$4,'Adjustment scenario'!$C$10:$U$10,0))</f>
        <v>1.1447130000000001</v>
      </c>
      <c r="S7" s="325">
        <f ca="1">INDEX(OFFSET('Adjustment scenario'!$C$1:$U$1,$D7-1,0),MATCH(S$4,'Adjustment scenario'!$C$10:$U$10,0))</f>
        <v>1.1447130000000001</v>
      </c>
      <c r="T7" s="325">
        <f ca="1">INDEX(OFFSET('Adjustment scenario'!$C$1:$U$1,$D7-1,0),MATCH(T$4,'Adjustment scenario'!$C$10:$U$10,0))</f>
        <v>1.1447130000000001</v>
      </c>
      <c r="U7" s="325">
        <f ca="1">INDEX(OFFSET('Adjustment scenario'!$C$1:$U$1,$D7-1,0),MATCH(U$4,'Adjustment scenario'!$C$10:$U$10,0))</f>
        <v>1.1447130000000001</v>
      </c>
      <c r="V7" s="325">
        <f ca="1">INDEX(OFFSET('Adjustment scenario'!$C$1:$U$1,$D7-1,0),MATCH(V$4,'Adjustment scenario'!$C$10:$U$10,0))</f>
        <v>1.1447130000000001</v>
      </c>
      <c r="W7" s="325">
        <f ca="1">INDEX(OFFSET('Adjustment scenario'!$C$1:$U$1,$D7-1,0),MATCH(W$4,'Adjustment scenario'!$C$10:$U$10,0))</f>
        <v>1.1447130000000001</v>
      </c>
      <c r="X7" s="325">
        <f ca="1">INDEX(OFFSET('Adjustment scenario'!$C$1:$U$1,$D7-1,0),MATCH(X$4,'Adjustment scenario'!$C$10:$U$10,0))</f>
        <v>1.1447130000000001</v>
      </c>
      <c r="Y7" s="265"/>
    </row>
    <row r="8" spans="1:25" x14ac:dyDescent="0.2">
      <c r="A8" s="265"/>
      <c r="B8" s="332">
        <v>4</v>
      </c>
      <c r="C8" s="336" t="s">
        <v>216</v>
      </c>
      <c r="D8" s="337">
        <v>62</v>
      </c>
      <c r="E8" s="338" t="s">
        <v>215</v>
      </c>
      <c r="F8" s="325">
        <f ca="1">INDEX(OFFSET('Adjustment scenario'!$C$1:$U$1,$D8-1,0),MATCH(F$4,'Adjustment scenario'!$C$10:$U$10,0))</f>
        <v>0</v>
      </c>
      <c r="G8" s="325">
        <f ca="1">INDEX(OFFSET('Adjustment scenario'!$C$1:$U$1,$D8-1,0),MATCH(G$4,'Adjustment scenario'!$C$10:$U$10,0))</f>
        <v>0.6886962151545688</v>
      </c>
      <c r="H8" s="325">
        <f ca="1">INDEX(OFFSET('Adjustment scenario'!$C$1:$U$1,$D8-1,0),MATCH(H$4,'Adjustment scenario'!$C$10:$U$10,0))</f>
        <v>0.93667427136648174</v>
      </c>
      <c r="I8" s="325">
        <f ca="1">INDEX(OFFSET('Adjustment scenario'!$C$1:$U$1,$D8-1,0),MATCH(I$4,'Adjustment scenario'!$C$10:$U$10,0))</f>
        <v>0.9316026724262203</v>
      </c>
      <c r="J8" s="325">
        <f ca="1">INDEX(OFFSET('Adjustment scenario'!$C$1:$U$1,$D8-1,0),MATCH(J$4,'Adjustment scenario'!$C$10:$U$10,0))</f>
        <v>0.82051194431893826</v>
      </c>
      <c r="K8" s="325">
        <f ca="1">INDEX(OFFSET('Adjustment scenario'!$C$1:$U$1,$D8-1,0),MATCH(K$4,'Adjustment scenario'!$C$10:$U$10,0))</f>
        <v>0.74669181814863772</v>
      </c>
      <c r="L8" s="325">
        <f ca="1">INDEX(OFFSET('Adjustment scenario'!$C$1:$U$1,$D8-1,0),MATCH(L$4,'Adjustment scenario'!$C$10:$U$10,0))</f>
        <v>0.49779454543242696</v>
      </c>
      <c r="M8" s="325">
        <f ca="1">INDEX(OFFSET('Adjustment scenario'!$C$1:$U$1,$D8-1,0),MATCH(M$4,'Adjustment scenario'!$C$10:$U$10,0))</f>
        <v>0.2488972727162107</v>
      </c>
      <c r="N8" s="325">
        <f ca="1">INDEX(OFFSET('Adjustment scenario'!$C$1:$U$1,$D8-1,0),MATCH(N$4,'Adjustment scenario'!$C$10:$U$10,0))</f>
        <v>0</v>
      </c>
      <c r="O8" s="325">
        <f ca="1">INDEX(OFFSET('Adjustment scenario'!$C$1:$U$1,$D8-1,0),MATCH(O$4,'Adjustment scenario'!$C$10:$U$10,0))</f>
        <v>2.5053024454990691E-7</v>
      </c>
      <c r="P8" s="325">
        <f ca="1">INDEX(OFFSET('Adjustment scenario'!$C$1:$U$1,$D8-1,0),MATCH(P$4,'Adjustment scenario'!$C$10:$U$10,0))</f>
        <v>4.5095851373133657E-7</v>
      </c>
      <c r="Q8" s="325">
        <f ca="1">INDEX(OFFSET('Adjustment scenario'!$C$1:$U$1,$D8-1,0),MATCH(Q$4,'Adjustment scenario'!$C$10:$U$10,0))</f>
        <v>-7.0045617146519139E-7</v>
      </c>
      <c r="R8" s="325">
        <f ca="1">INDEX(OFFSET('Adjustment scenario'!$C$1:$U$1,$D8-1,0),MATCH(R$4,'Adjustment scenario'!$C$10:$U$10,0))</f>
        <v>-2.049375363810668E-6</v>
      </c>
      <c r="S8" s="325">
        <f ca="1">INDEX(OFFSET('Adjustment scenario'!$C$1:$U$1,$D8-1,0),MATCH(S$4,'Adjustment scenario'!$C$10:$U$10,0))</f>
        <v>-3.5451406354525259E-6</v>
      </c>
      <c r="T8" s="325">
        <f ca="1">INDEX(OFFSET('Adjustment scenario'!$C$1:$U$1,$D8-1,0),MATCH(T$4,'Adjustment scenario'!$C$10:$U$10,0))</f>
        <v>-4.0427218836569521E-6</v>
      </c>
      <c r="U8" s="325">
        <f ca="1">INDEX(OFFSET('Adjustment scenario'!$C$1:$U$1,$D8-1,0),MATCH(U$4,'Adjustment scenario'!$C$10:$U$10,0))</f>
        <v>-3.5455823685026645E-6</v>
      </c>
      <c r="V8" s="325">
        <f ca="1">INDEX(OFFSET('Adjustment scenario'!$C$1:$U$1,$D8-1,0),MATCH(V$4,'Adjustment scenario'!$C$10:$U$10,0))</f>
        <v>-6.0290752182723398E-6</v>
      </c>
      <c r="W8" s="325">
        <f ca="1">INDEX(OFFSET('Adjustment scenario'!$C$1:$U$1,$D8-1,0),MATCH(W$4,'Adjustment scenario'!$C$10:$U$10,0))</f>
        <v>-5.0364606213548765E-6</v>
      </c>
      <c r="X8" s="325">
        <f ca="1">INDEX(OFFSET('Adjustment scenario'!$C$1:$U$1,$D8-1,0),MATCH(X$4,'Adjustment scenario'!$C$10:$U$10,0))</f>
        <v>-6.0289774532762408E-6</v>
      </c>
      <c r="Y8" s="265"/>
    </row>
    <row r="9" spans="1:25" x14ac:dyDescent="0.2">
      <c r="A9" s="265"/>
      <c r="B9" s="332">
        <v>5</v>
      </c>
      <c r="C9" s="336" t="s">
        <v>217</v>
      </c>
      <c r="D9" s="337">
        <v>14</v>
      </c>
      <c r="E9" s="338" t="s">
        <v>213</v>
      </c>
      <c r="F9" s="325">
        <f ca="1">INDEX(OFFSET('Adjustment scenario'!$C$1:$U$1,$D9-1,0),MATCH(F$4,'Adjustment scenario'!$C$10:$U$10,0))</f>
        <v>0</v>
      </c>
      <c r="G9" s="325">
        <f ca="1">INDEX(OFFSET('Adjustment scenario'!$C$1:$U$1,$D9-1,0),MATCH(G$4,'Adjustment scenario'!$C$10:$U$10,0))</f>
        <v>0</v>
      </c>
      <c r="H9" s="325">
        <f ca="1">INDEX(OFFSET('Adjustment scenario'!$C$1:$U$1,$D9-1,0),MATCH(H$4,'Adjustment scenario'!$C$10:$U$10,0))</f>
        <v>0</v>
      </c>
      <c r="I9" s="325">
        <f ca="1">INDEX(OFFSET('Adjustment scenario'!$C$1:$U$1,$D9-1,0),MATCH(I$4,'Adjustment scenario'!$C$10:$U$10,0))</f>
        <v>0</v>
      </c>
      <c r="J9" s="325">
        <f ca="1">INDEX(OFFSET('Adjustment scenario'!$C$1:$U$1,$D9-1,0),MATCH(J$4,'Adjustment scenario'!$C$10:$U$10,0))</f>
        <v>0</v>
      </c>
      <c r="K9" s="325">
        <f ca="1">INDEX(OFFSET('Adjustment scenario'!$C$1:$U$1,$D9-1,0),MATCH(K$4,'Adjustment scenario'!$C$10:$U$10,0))</f>
        <v>0</v>
      </c>
      <c r="L9" s="325">
        <f ca="1">INDEX(OFFSET('Adjustment scenario'!$C$1:$U$1,$D9-1,0),MATCH(L$4,'Adjustment scenario'!$C$10:$U$10,0))</f>
        <v>0</v>
      </c>
      <c r="M9" s="325">
        <f ca="1">INDEX(OFFSET('Adjustment scenario'!$C$1:$U$1,$D9-1,0),MATCH(M$4,'Adjustment scenario'!$C$10:$U$10,0))</f>
        <v>0</v>
      </c>
      <c r="N9" s="325">
        <f ca="1">INDEX(OFFSET('Adjustment scenario'!$C$1:$U$1,$D9-1,0),MATCH(N$4,'Adjustment scenario'!$C$10:$U$10,0))</f>
        <v>0</v>
      </c>
      <c r="O9" s="325">
        <f ca="1">INDEX(OFFSET('Adjustment scenario'!$C$1:$U$1,$D9-1,0),MATCH(O$4,'Adjustment scenario'!$C$10:$U$10,0))</f>
        <v>0</v>
      </c>
      <c r="P9" s="325">
        <f ca="1">INDEX(OFFSET('Adjustment scenario'!$C$1:$U$1,$D9-1,0),MATCH(P$4,'Adjustment scenario'!$C$10:$U$10,0))</f>
        <v>0</v>
      </c>
      <c r="Q9" s="325">
        <f ca="1">INDEX(OFFSET('Adjustment scenario'!$C$1:$U$1,$D9-1,0),MATCH(Q$4,'Adjustment scenario'!$C$10:$U$10,0))</f>
        <v>0</v>
      </c>
      <c r="R9" s="325">
        <f ca="1">INDEX(OFFSET('Adjustment scenario'!$C$1:$U$1,$D9-1,0),MATCH(R$4,'Adjustment scenario'!$C$10:$U$10,0))</f>
        <v>0</v>
      </c>
      <c r="S9" s="325">
        <f ca="1">INDEX(OFFSET('Adjustment scenario'!$C$1:$U$1,$D9-1,0),MATCH(S$4,'Adjustment scenario'!$C$10:$U$10,0))</f>
        <v>0</v>
      </c>
      <c r="T9" s="325">
        <f ca="1">INDEX(OFFSET('Adjustment scenario'!$C$1:$U$1,$D9-1,0),MATCH(T$4,'Adjustment scenario'!$C$10:$U$10,0))</f>
        <v>0</v>
      </c>
      <c r="U9" s="325">
        <f ca="1">INDEX(OFFSET('Adjustment scenario'!$C$1:$U$1,$D9-1,0),MATCH(U$4,'Adjustment scenario'!$C$10:$U$10,0))</f>
        <v>0</v>
      </c>
      <c r="V9" s="325">
        <f ca="1">INDEX(OFFSET('Adjustment scenario'!$C$1:$U$1,$D9-1,0),MATCH(V$4,'Adjustment scenario'!$C$10:$U$10,0))</f>
        <v>0</v>
      </c>
      <c r="W9" s="325">
        <f ca="1">INDEX(OFFSET('Adjustment scenario'!$C$1:$U$1,$D9-1,0),MATCH(W$4,'Adjustment scenario'!$C$10:$U$10,0))</f>
        <v>0</v>
      </c>
      <c r="X9" s="325">
        <f ca="1">INDEX(OFFSET('Adjustment scenario'!$C$1:$U$1,$D9-1,0),MATCH(X$4,'Adjustment scenario'!$C$10:$U$10,0))</f>
        <v>0</v>
      </c>
      <c r="Y9" s="265"/>
    </row>
    <row r="10" spans="1:25" x14ac:dyDescent="0.2">
      <c r="A10" s="265"/>
      <c r="B10" s="332">
        <v>6</v>
      </c>
      <c r="C10" s="336" t="s">
        <v>218</v>
      </c>
      <c r="D10" s="337">
        <v>68</v>
      </c>
      <c r="E10" s="338" t="s">
        <v>213</v>
      </c>
      <c r="F10" s="325">
        <f ca="1">INDEX(OFFSET('Adjustment scenario'!$C$1:$U$1,$D10-1,0),MATCH(F$4,'Adjustment scenario'!$C$10:$U$10,0))</f>
        <v>0</v>
      </c>
      <c r="G10" s="325">
        <f ca="1">INDEX(OFFSET('Adjustment scenario'!$C$1:$U$1,$D10-1,0),MATCH(G$4,'Adjustment scenario'!$C$10:$U$10,0))</f>
        <v>1.0548956399101987</v>
      </c>
      <c r="H10" s="325">
        <f ca="1">INDEX(OFFSET('Adjustment scenario'!$C$1:$U$1,$D10-1,0),MATCH(H$4,'Adjustment scenario'!$C$10:$U$10,0))</f>
        <v>1.0999936148867984</v>
      </c>
      <c r="I10" s="325">
        <f ca="1">INDEX(OFFSET('Adjustment scenario'!$C$1:$U$1,$D10-1,0),MATCH(I$4,'Adjustment scenario'!$C$10:$U$10,0))</f>
        <v>1.1175867961788133</v>
      </c>
      <c r="J10" s="325">
        <f ca="1">INDEX(OFFSET('Adjustment scenario'!$C$1:$U$1,$D10-1,0),MATCH(J$4,'Adjustment scenario'!$C$10:$U$10,0))</f>
        <v>1.2103356650985519</v>
      </c>
      <c r="K10" s="325">
        <f ca="1">INDEX(OFFSET('Adjustment scenario'!$C$1:$U$1,$D10-1,0),MATCH(K$4,'Adjustment scenario'!$C$10:$U$10,0))</f>
        <v>1.2810407287144943</v>
      </c>
      <c r="L10" s="325">
        <f ca="1">INDEX(OFFSET('Adjustment scenario'!$C$1:$U$1,$D10-1,0),MATCH(L$4,'Adjustment scenario'!$C$10:$U$10,0))</f>
        <v>1.3270273429898767</v>
      </c>
      <c r="M10" s="325">
        <f ca="1">INDEX(OFFSET('Adjustment scenario'!$C$1:$U$1,$D10-1,0),MATCH(M$4,'Adjustment scenario'!$C$10:$U$10,0))</f>
        <v>1.3668599900052765</v>
      </c>
      <c r="N10" s="325">
        <f ca="1">INDEX(OFFSET('Adjustment scenario'!$C$1:$U$1,$D10-1,0),MATCH(N$4,'Adjustment scenario'!$C$10:$U$10,0))</f>
        <v>1.4006819290194941</v>
      </c>
      <c r="O10" s="325">
        <f ca="1">INDEX(OFFSET('Adjustment scenario'!$C$1:$U$1,$D10-1,0),MATCH(O$4,'Adjustment scenario'!$C$10:$U$10,0))</f>
        <v>1.4355193500163435</v>
      </c>
      <c r="P10" s="325">
        <f ca="1">INDEX(OFFSET('Adjustment scenario'!$C$1:$U$1,$D10-1,0),MATCH(P$4,'Adjustment scenario'!$C$10:$U$10,0))</f>
        <v>1.4752306515580582</v>
      </c>
      <c r="Q10" s="325">
        <f ca="1">INDEX(OFFSET('Adjustment scenario'!$C$1:$U$1,$D10-1,0),MATCH(Q$4,'Adjustment scenario'!$C$10:$U$10,0))</f>
        <v>1.5158219324594704</v>
      </c>
      <c r="R10" s="325">
        <f ca="1">INDEX(OFFSET('Adjustment scenario'!$C$1:$U$1,$D10-1,0),MATCH(R$4,'Adjustment scenario'!$C$10:$U$10,0))</f>
        <v>1.5379248062657309</v>
      </c>
      <c r="S10" s="325">
        <f ca="1">INDEX(OFFSET('Adjustment scenario'!$C$1:$U$1,$D10-1,0),MATCH(S$4,'Adjustment scenario'!$C$10:$U$10,0))</f>
        <v>1.5569005749572447</v>
      </c>
      <c r="T10" s="325">
        <f ca="1">INDEX(OFFSET('Adjustment scenario'!$C$1:$U$1,$D10-1,0),MATCH(T$4,'Adjustment scenario'!$C$10:$U$10,0))</f>
        <v>1.5732474715083307</v>
      </c>
      <c r="U10" s="325">
        <f ca="1">INDEX(OFFSET('Adjustment scenario'!$C$1:$U$1,$D10-1,0),MATCH(U$4,'Adjustment scenario'!$C$10:$U$10,0))</f>
        <v>1.5859476349381363</v>
      </c>
      <c r="V10" s="325">
        <f ca="1">INDEX(OFFSET('Adjustment scenario'!$C$1:$U$1,$D10-1,0),MATCH(V$4,'Adjustment scenario'!$C$10:$U$10,0))</f>
        <v>1.5954104286790449</v>
      </c>
      <c r="W10" s="325">
        <f ca="1">INDEX(OFFSET('Adjustment scenario'!$C$1:$U$1,$D10-1,0),MATCH(W$4,'Adjustment scenario'!$C$10:$U$10,0))</f>
        <v>1.6021468914091164</v>
      </c>
      <c r="X10" s="325">
        <f ca="1">INDEX(OFFSET('Adjustment scenario'!$C$1:$U$1,$D10-1,0),MATCH(X$4,'Adjustment scenario'!$C$10:$U$10,0))</f>
        <v>1.6042407586829319</v>
      </c>
      <c r="Y10" s="265"/>
    </row>
    <row r="11" spans="1:25" x14ac:dyDescent="0.2">
      <c r="A11" s="265"/>
      <c r="B11" s="332">
        <v>7</v>
      </c>
      <c r="C11" s="339" t="s">
        <v>91</v>
      </c>
      <c r="D11" s="337">
        <v>37</v>
      </c>
      <c r="E11" s="338" t="s">
        <v>219</v>
      </c>
      <c r="F11" s="325">
        <f ca="1">INDEX(OFFSET('Adjustment scenario'!$C$1:$U$1,$D11-1,0),MATCH(F$4,'Adjustment scenario'!$C$10:$U$10,0))</f>
        <v>2.4300000000000002</v>
      </c>
      <c r="G11" s="325">
        <f ca="1">INDEX(OFFSET('Adjustment scenario'!$C$1:$U$1,$D11-1,0),MATCH(G$4,'Adjustment scenario'!$C$10:$U$10,0))</f>
        <v>2.3224999999999998</v>
      </c>
      <c r="H11" s="325">
        <f ca="1">INDEX(OFFSET('Adjustment scenario'!$C$1:$U$1,$D11-1,0),MATCH(H$4,'Adjustment scenario'!$C$10:$U$10,0))</f>
        <v>2.544438</v>
      </c>
      <c r="I11" s="325">
        <f ca="1">INDEX(OFFSET('Adjustment scenario'!$C$1:$U$1,$D11-1,0),MATCH(I$4,'Adjustment scenario'!$C$10:$U$10,0))</f>
        <v>2.698655</v>
      </c>
      <c r="J11" s="325">
        <f ca="1">INDEX(OFFSET('Adjustment scenario'!$C$1:$U$1,$D11-1,0),MATCH(J$4,'Adjustment scenario'!$C$10:$U$10,0))</f>
        <v>2.7743606249999999</v>
      </c>
      <c r="K11" s="325">
        <f ca="1">INDEX(OFFSET('Adjustment scenario'!$C$1:$U$1,$D11-1,0),MATCH(K$4,'Adjustment scenario'!$C$10:$U$10,0))</f>
        <v>2.8500662499999998</v>
      </c>
      <c r="L11" s="325">
        <f ca="1">INDEX(OFFSET('Adjustment scenario'!$C$1:$U$1,$D11-1,0),MATCH(L$4,'Adjustment scenario'!$C$10:$U$10,0))</f>
        <v>2.9257718749999997</v>
      </c>
      <c r="M11" s="325">
        <f ca="1">INDEX(OFFSET('Adjustment scenario'!$C$1:$U$1,$D11-1,0),MATCH(M$4,'Adjustment scenario'!$C$10:$U$10,0))</f>
        <v>3.0014774999999996</v>
      </c>
      <c r="N11" s="325">
        <f ca="1">INDEX(OFFSET('Adjustment scenario'!$C$1:$U$1,$D11-1,0),MATCH(N$4,'Adjustment scenario'!$C$10:$U$10,0))</f>
        <v>3.0771831249999995</v>
      </c>
      <c r="O11" s="325">
        <f ca="1">INDEX(OFFSET('Adjustment scenario'!$C$1:$U$1,$D11-1,0),MATCH(O$4,'Adjustment scenario'!$C$10:$U$10,0))</f>
        <v>3.1528887499999994</v>
      </c>
      <c r="P11" s="325">
        <f ca="1">INDEX(OFFSET('Adjustment scenario'!$C$1:$U$1,$D11-1,0),MATCH(P$4,'Adjustment scenario'!$C$10:$U$10,0))</f>
        <v>3.2285943749999992</v>
      </c>
      <c r="Q11" s="325">
        <f ca="1">INDEX(OFFSET('Adjustment scenario'!$C$1:$U$1,$D11-1,0),MATCH(Q$4,'Adjustment scenario'!$C$10:$U$10,0))</f>
        <v>3.3043</v>
      </c>
      <c r="R11" s="325">
        <f ca="1">INDEX(OFFSET('Adjustment scenario'!$C$1:$U$1,$D11-1,0),MATCH(R$4,'Adjustment scenario'!$C$10:$U$10,0))</f>
        <v>3.3390849999999999</v>
      </c>
      <c r="S11" s="325">
        <f ca="1">INDEX(OFFSET('Adjustment scenario'!$C$1:$U$1,$D11-1,0),MATCH(S$4,'Adjustment scenario'!$C$10:$U$10,0))</f>
        <v>3.3738700000000001</v>
      </c>
      <c r="T11" s="325">
        <f ca="1">INDEX(OFFSET('Adjustment scenario'!$C$1:$U$1,$D11-1,0),MATCH(T$4,'Adjustment scenario'!$C$10:$U$10,0))</f>
        <v>3.408655</v>
      </c>
      <c r="U11" s="325">
        <f ca="1">INDEX(OFFSET('Adjustment scenario'!$C$1:$U$1,$D11-1,0),MATCH(U$4,'Adjustment scenario'!$C$10:$U$10,0))</f>
        <v>3.4434399999999998</v>
      </c>
      <c r="V11" s="325">
        <f ca="1">INDEX(OFFSET('Adjustment scenario'!$C$1:$U$1,$D11-1,0),MATCH(V$4,'Adjustment scenario'!$C$10:$U$10,0))</f>
        <v>3.4782250000000001</v>
      </c>
      <c r="W11" s="325">
        <f ca="1">INDEX(OFFSET('Adjustment scenario'!$C$1:$U$1,$D11-1,0),MATCH(W$4,'Adjustment scenario'!$C$10:$U$10,0))</f>
        <v>3.51301</v>
      </c>
      <c r="X11" s="325">
        <f ca="1">INDEX(OFFSET('Adjustment scenario'!$C$1:$U$1,$D11-1,0),MATCH(X$4,'Adjustment scenario'!$C$10:$U$10,0))</f>
        <v>3.5477949999999998</v>
      </c>
      <c r="Y11" s="265"/>
    </row>
    <row r="12" spans="1:25" x14ac:dyDescent="0.2">
      <c r="A12" s="265"/>
      <c r="B12" s="332">
        <v>8</v>
      </c>
      <c r="C12" s="339" t="s">
        <v>92</v>
      </c>
      <c r="D12" s="337">
        <v>38</v>
      </c>
      <c r="E12" s="338" t="s">
        <v>219</v>
      </c>
      <c r="F12" s="325">
        <f ca="1">INDEX(OFFSET('Adjustment scenario'!$C$1:$U$1,$D12-1,0),MATCH(F$4,'Adjustment scenario'!$C$10:$U$10,0))</f>
        <v>3.43</v>
      </c>
      <c r="G12" s="325">
        <f ca="1">INDEX(OFFSET('Adjustment scenario'!$C$1:$U$1,$D12-1,0),MATCH(G$4,'Adjustment scenario'!$C$10:$U$10,0))</f>
        <v>3.5708329999999999</v>
      </c>
      <c r="H12" s="325">
        <f ca="1">INDEX(OFFSET('Adjustment scenario'!$C$1:$U$1,$D12-1,0),MATCH(H$4,'Adjustment scenario'!$C$10:$U$10,0))</f>
        <v>1.999333</v>
      </c>
      <c r="I12" s="325">
        <f ca="1">INDEX(OFFSET('Adjustment scenario'!$C$1:$U$1,$D12-1,0),MATCH(I$4,'Adjustment scenario'!$C$10:$U$10,0))</f>
        <v>1.7208330000000001</v>
      </c>
      <c r="J12" s="325">
        <f ca="1">INDEX(OFFSET('Adjustment scenario'!$C$1:$U$1,$D12-1,0),MATCH(J$4,'Adjustment scenario'!$C$10:$U$10,0))</f>
        <v>1.877801375</v>
      </c>
      <c r="K12" s="325">
        <f ca="1">INDEX(OFFSET('Adjustment scenario'!$C$1:$U$1,$D12-1,0),MATCH(K$4,'Adjustment scenario'!$C$10:$U$10,0))</f>
        <v>2.0347697500000002</v>
      </c>
      <c r="L12" s="325">
        <f ca="1">INDEX(OFFSET('Adjustment scenario'!$C$1:$U$1,$D12-1,0),MATCH(L$4,'Adjustment scenario'!$C$10:$U$10,0))</f>
        <v>2.1917381250000001</v>
      </c>
      <c r="M12" s="325">
        <f ca="1">INDEX(OFFSET('Adjustment scenario'!$C$1:$U$1,$D12-1,0),MATCH(M$4,'Adjustment scenario'!$C$10:$U$10,0))</f>
        <v>2.3487065</v>
      </c>
      <c r="N12" s="325">
        <f ca="1">INDEX(OFFSET('Adjustment scenario'!$C$1:$U$1,$D12-1,0),MATCH(N$4,'Adjustment scenario'!$C$10:$U$10,0))</f>
        <v>2.505674875</v>
      </c>
      <c r="O12" s="325">
        <f ca="1">INDEX(OFFSET('Adjustment scenario'!$C$1:$U$1,$D12-1,0),MATCH(O$4,'Adjustment scenario'!$C$10:$U$10,0))</f>
        <v>2.6626432499999999</v>
      </c>
      <c r="P12" s="325">
        <f ca="1">INDEX(OFFSET('Adjustment scenario'!$C$1:$U$1,$D12-1,0),MATCH(P$4,'Adjustment scenario'!$C$10:$U$10,0))</f>
        <v>2.8196116249999998</v>
      </c>
      <c r="Q12" s="325">
        <f ca="1">INDEX(OFFSET('Adjustment scenario'!$C$1:$U$1,$D12-1,0),MATCH(Q$4,'Adjustment scenario'!$C$10:$U$10,0))</f>
        <v>2.9765799999999998</v>
      </c>
      <c r="R12" s="325">
        <f ca="1">INDEX(OFFSET('Adjustment scenario'!$C$1:$U$1,$D12-1,0),MATCH(R$4,'Adjustment scenario'!$C$10:$U$10,0))</f>
        <v>2.9277509999999998</v>
      </c>
      <c r="S12" s="325">
        <f ca="1">INDEX(OFFSET('Adjustment scenario'!$C$1:$U$1,$D12-1,0),MATCH(S$4,'Adjustment scenario'!$C$10:$U$10,0))</f>
        <v>2.8789219999999998</v>
      </c>
      <c r="T12" s="325">
        <f ca="1">INDEX(OFFSET('Adjustment scenario'!$C$1:$U$1,$D12-1,0),MATCH(T$4,'Adjustment scenario'!$C$10:$U$10,0))</f>
        <v>2.8300929999999997</v>
      </c>
      <c r="U12" s="325">
        <f ca="1">INDEX(OFFSET('Adjustment scenario'!$C$1:$U$1,$D12-1,0),MATCH(U$4,'Adjustment scenario'!$C$10:$U$10,0))</f>
        <v>2.7812639999999997</v>
      </c>
      <c r="V12" s="325">
        <f ca="1">INDEX(OFFSET('Adjustment scenario'!$C$1:$U$1,$D12-1,0),MATCH(V$4,'Adjustment scenario'!$C$10:$U$10,0))</f>
        <v>2.7324349999999997</v>
      </c>
      <c r="W12" s="325">
        <f ca="1">INDEX(OFFSET('Adjustment scenario'!$C$1:$U$1,$D12-1,0),MATCH(W$4,'Adjustment scenario'!$C$10:$U$10,0))</f>
        <v>2.6836059999999997</v>
      </c>
      <c r="X12" s="325">
        <f ca="1">INDEX(OFFSET('Adjustment scenario'!$C$1:$U$1,$D12-1,0),MATCH(X$4,'Adjustment scenario'!$C$10:$U$10,0))</f>
        <v>2.6347769999999997</v>
      </c>
      <c r="Y12" s="265"/>
    </row>
    <row r="13" spans="1:25" x14ac:dyDescent="0.2">
      <c r="A13" s="265"/>
      <c r="B13" s="332">
        <v>9</v>
      </c>
      <c r="C13" s="336" t="s">
        <v>220</v>
      </c>
      <c r="D13" s="337">
        <v>36</v>
      </c>
      <c r="E13" s="338" t="s">
        <v>219</v>
      </c>
      <c r="F13" s="325">
        <f ca="1">INDEX(OFFSET('Adjustment scenario'!$C$1:$U$1,$D13-1,0),MATCH(F$4,'Adjustment scenario'!$C$10:$U$10,0))</f>
        <v>1.422372</v>
      </c>
      <c r="G13" s="325">
        <f ca="1">INDEX(OFFSET('Adjustment scenario'!$C$1:$U$1,$D13-1,0),MATCH(G$4,'Adjustment scenario'!$C$10:$U$10,0))</f>
        <v>1.7254640000000001</v>
      </c>
      <c r="H13" s="325">
        <f ca="1">INDEX(OFFSET('Adjustment scenario'!$C$1:$U$1,$D13-1,0),MATCH(H$4,'Adjustment scenario'!$C$10:$U$10,0))</f>
        <v>1.8</v>
      </c>
      <c r="I13" s="325">
        <f ca="1">INDEX(OFFSET('Adjustment scenario'!$C$1:$U$1,$D13-1,0),MATCH(I$4,'Adjustment scenario'!$C$10:$U$10,0))</f>
        <v>1.7990942278989217</v>
      </c>
      <c r="J13" s="325">
        <f ca="1">INDEX(OFFSET('Adjustment scenario'!$C$1:$U$1,$D13-1,0),MATCH(J$4,'Adjustment scenario'!$C$10:$U$10,0))</f>
        <v>1.9393064891870158</v>
      </c>
      <c r="K13" s="325">
        <f ca="1">INDEX(OFFSET('Adjustment scenario'!$C$1:$U$1,$D13-1,0),MATCH(K$4,'Adjustment scenario'!$C$10:$U$10,0))</f>
        <v>2.0651772983228507</v>
      </c>
      <c r="L13" s="325">
        <f ca="1">INDEX(OFFSET('Adjustment scenario'!$C$1:$U$1,$D13-1,0),MATCH(L$4,'Adjustment scenario'!$C$10:$U$10,0))</f>
        <v>2.180776329159134</v>
      </c>
      <c r="M13" s="325">
        <f ca="1">INDEX(OFFSET('Adjustment scenario'!$C$1:$U$1,$D13-1,0),MATCH(M$4,'Adjustment scenario'!$C$10:$U$10,0))</f>
        <v>2.2924541198341357</v>
      </c>
      <c r="N13" s="325">
        <f ca="1">INDEX(OFFSET('Adjustment scenario'!$C$1:$U$1,$D13-1,0),MATCH(N$4,'Adjustment scenario'!$C$10:$U$10,0))</f>
        <v>2.4006191944976396</v>
      </c>
      <c r="O13" s="325">
        <f ca="1">INDEX(OFFSET('Adjustment scenario'!$C$1:$U$1,$D13-1,0),MATCH(O$4,'Adjustment scenario'!$C$10:$U$10,0))</f>
        <v>2.5056322003111475</v>
      </c>
      <c r="P13" s="325">
        <f ca="1">INDEX(OFFSET('Adjustment scenario'!$C$1:$U$1,$D13-1,0),MATCH(P$4,'Adjustment scenario'!$C$10:$U$10,0))</f>
        <v>2.6113353762557163</v>
      </c>
      <c r="Q13" s="325">
        <f ca="1">INDEX(OFFSET('Adjustment scenario'!$C$1:$U$1,$D13-1,0),MATCH(Q$4,'Adjustment scenario'!$C$10:$U$10,0))</f>
        <v>2.7165151216313022</v>
      </c>
      <c r="R13" s="325">
        <f ca="1">INDEX(OFFSET('Adjustment scenario'!$C$1:$U$1,$D13-1,0),MATCH(R$4,'Adjustment scenario'!$C$10:$U$10,0))</f>
        <v>2.7928728248834673</v>
      </c>
      <c r="S13" s="325">
        <f ca="1">INDEX(OFFSET('Adjustment scenario'!$C$1:$U$1,$D13-1,0),MATCH(S$4,'Adjustment scenario'!$C$10:$U$10,0))</f>
        <v>2.8633285851629737</v>
      </c>
      <c r="T13" s="325">
        <f ca="1">INDEX(OFFSET('Adjustment scenario'!$C$1:$U$1,$D13-1,0),MATCH(T$4,'Adjustment scenario'!$C$10:$U$10,0))</f>
        <v>2.9285150040117558</v>
      </c>
      <c r="U13" s="325">
        <f ca="1">INDEX(OFFSET('Adjustment scenario'!$C$1:$U$1,$D13-1,0),MATCH(U$4,'Adjustment scenario'!$C$10:$U$10,0))</f>
        <v>2.9883091258861123</v>
      </c>
      <c r="V13" s="325">
        <f ca="1">INDEX(OFFSET('Adjustment scenario'!$C$1:$U$1,$D13-1,0),MATCH(V$4,'Adjustment scenario'!$C$10:$U$10,0))</f>
        <v>3.043434611864809</v>
      </c>
      <c r="W13" s="325">
        <f ca="1">INDEX(OFFSET('Adjustment scenario'!$C$1:$U$1,$D13-1,0),MATCH(W$4,'Adjustment scenario'!$C$10:$U$10,0))</f>
        <v>3.0945248541476582</v>
      </c>
      <c r="X13" s="325">
        <f ca="1">INDEX(OFFSET('Adjustment scenario'!$C$1:$U$1,$D13-1,0),MATCH(X$4,'Adjustment scenario'!$C$10:$U$10,0))</f>
        <v>3.1415413168808737</v>
      </c>
      <c r="Y13" s="265"/>
    </row>
    <row r="14" spans="1:25" x14ac:dyDescent="0.2">
      <c r="A14" s="265"/>
      <c r="B14" s="332">
        <v>10</v>
      </c>
      <c r="C14" s="336" t="s">
        <v>221</v>
      </c>
      <c r="D14" s="337">
        <v>72</v>
      </c>
      <c r="E14" s="338" t="s">
        <v>213</v>
      </c>
      <c r="F14" s="325">
        <f ca="1">INDEX(OFFSET('Adjustment scenario'!$C$1:$U$1,$D14-1,0),MATCH(F$4,'Adjustment scenario'!$C$10:$U$10,0))</f>
        <v>0</v>
      </c>
      <c r="G14" s="325">
        <f ca="1">INDEX(OFFSET('Adjustment scenario'!$C$1:$U$1,$D14-1,0),MATCH(G$4,'Adjustment scenario'!$C$10:$U$10,0))</f>
        <v>-1.4401139999999999</v>
      </c>
      <c r="H14" s="325">
        <f ca="1">INDEX(OFFSET('Adjustment scenario'!$C$1:$U$1,$D14-1,0),MATCH(H$4,'Adjustment scenario'!$C$10:$U$10,0))</f>
        <v>6.9708000000000006E-2</v>
      </c>
      <c r="I14" s="325">
        <f ca="1">INDEX(OFFSET('Adjustment scenario'!$C$1:$U$1,$D14-1,0),MATCH(I$4,'Adjustment scenario'!$C$10:$U$10,0))</f>
        <v>9.8867300000000005E-2</v>
      </c>
      <c r="J14" s="325">
        <f ca="1">INDEX(OFFSET('Adjustment scenario'!$C$1:$U$1,$D14-1,0),MATCH(J$4,'Adjustment scenario'!$C$10:$U$10,0))</f>
        <v>0</v>
      </c>
      <c r="K14" s="325">
        <f ca="1">INDEX(OFFSET('Adjustment scenario'!$C$1:$U$1,$D14-1,0),MATCH(K$4,'Adjustment scenario'!$C$10:$U$10,0))</f>
        <v>0</v>
      </c>
      <c r="L14" s="325">
        <f ca="1">INDEX(OFFSET('Adjustment scenario'!$C$1:$U$1,$D14-1,0),MATCH(L$4,'Adjustment scenario'!$C$10:$U$10,0))</f>
        <v>0</v>
      </c>
      <c r="M14" s="325">
        <f ca="1">INDEX(OFFSET('Adjustment scenario'!$C$1:$U$1,$D14-1,0),MATCH(M$4,'Adjustment scenario'!$C$10:$U$10,0))</f>
        <v>0</v>
      </c>
      <c r="N14" s="325">
        <f ca="1">INDEX(OFFSET('Adjustment scenario'!$C$1:$U$1,$D14-1,0),MATCH(N$4,'Adjustment scenario'!$C$10:$U$10,0))</f>
        <v>0</v>
      </c>
      <c r="O14" s="325">
        <f ca="1">INDEX(OFFSET('Adjustment scenario'!$C$1:$U$1,$D14-1,0),MATCH(O$4,'Adjustment scenario'!$C$10:$U$10,0))</f>
        <v>0</v>
      </c>
      <c r="P14" s="325">
        <f ca="1">INDEX(OFFSET('Adjustment scenario'!$C$1:$U$1,$D14-1,0),MATCH(P$4,'Adjustment scenario'!$C$10:$U$10,0))</f>
        <v>0</v>
      </c>
      <c r="Q14" s="325">
        <f ca="1">INDEX(OFFSET('Adjustment scenario'!$C$1:$U$1,$D14-1,0),MATCH(Q$4,'Adjustment scenario'!$C$10:$U$10,0))</f>
        <v>0</v>
      </c>
      <c r="R14" s="325">
        <f ca="1">INDEX(OFFSET('Adjustment scenario'!$C$1:$U$1,$D14-1,0),MATCH(R$4,'Adjustment scenario'!$C$10:$U$10,0))</f>
        <v>0</v>
      </c>
      <c r="S14" s="325">
        <f ca="1">INDEX(OFFSET('Adjustment scenario'!$C$1:$U$1,$D14-1,0),MATCH(S$4,'Adjustment scenario'!$C$10:$U$10,0))</f>
        <v>0</v>
      </c>
      <c r="T14" s="325">
        <f ca="1">INDEX(OFFSET('Adjustment scenario'!$C$1:$U$1,$D14-1,0),MATCH(T$4,'Adjustment scenario'!$C$10:$U$10,0))</f>
        <v>0</v>
      </c>
      <c r="U14" s="325">
        <f ca="1">INDEX(OFFSET('Adjustment scenario'!$C$1:$U$1,$D14-1,0),MATCH(U$4,'Adjustment scenario'!$C$10:$U$10,0))</f>
        <v>0</v>
      </c>
      <c r="V14" s="325">
        <f ca="1">INDEX(OFFSET('Adjustment scenario'!$C$1:$U$1,$D14-1,0),MATCH(V$4,'Adjustment scenario'!$C$10:$U$10,0))</f>
        <v>0</v>
      </c>
      <c r="W14" s="325">
        <f ca="1">INDEX(OFFSET('Adjustment scenario'!$C$1:$U$1,$D14-1,0),MATCH(W$4,'Adjustment scenario'!$C$10:$U$10,0))</f>
        <v>0</v>
      </c>
      <c r="X14" s="325">
        <f ca="1">INDEX(OFFSET('Adjustment scenario'!$C$1:$U$1,$D14-1,0),MATCH(X$4,'Adjustment scenario'!$C$10:$U$10,0))</f>
        <v>0</v>
      </c>
      <c r="Y14" s="265"/>
    </row>
    <row r="15" spans="1:25" x14ac:dyDescent="0.2">
      <c r="A15" s="265"/>
      <c r="B15" s="332">
        <v>11</v>
      </c>
      <c r="C15" s="340" t="s">
        <v>62</v>
      </c>
      <c r="D15" s="337">
        <v>27</v>
      </c>
      <c r="E15" s="338" t="s">
        <v>222</v>
      </c>
      <c r="F15" s="325">
        <f>'Input data'!C$33</f>
        <v>0.70973679999999995</v>
      </c>
      <c r="G15" s="325">
        <f ca="1">(INDEX(OFFSET('Adjustment scenario'!$C$1:$U$1,$D15-1,0),MATCH(G$4,'Adjustment scenario'!$C$10:$U$10,0))/INDEX(OFFSET('Adjustment scenario'!$C$1:$U$1,$D15-1,0),MATCH(F$4,'Adjustment scenario'!$C$10:$U$10,0))-1)*100</f>
        <v>0.45046040000000787</v>
      </c>
      <c r="H15" s="325">
        <f ca="1">(INDEX(OFFSET('Adjustment scenario'!$C$1:$U$1,$D15-1,0),MATCH(H$4,'Adjustment scenario'!$C$10:$U$10,0))/INDEX(OFFSET('Adjustment scenario'!$C$1:$U$1,$D15-1,0),MATCH(G$4,'Adjustment scenario'!$C$10:$U$10,0))-1)*100</f>
        <v>0.26733100000000398</v>
      </c>
      <c r="I15" s="325">
        <f ca="1">(INDEX(OFFSET('Adjustment scenario'!$C$1:$U$1,$D15-1,0),MATCH(I$4,'Adjustment scenario'!$C$10:$U$10,0))/INDEX(OFFSET('Adjustment scenario'!$C$1:$U$1,$D15-1,0),MATCH(H$4,'Adjustment scenario'!$C$10:$U$10,0))-1)*100</f>
        <v>0.34786209999999596</v>
      </c>
      <c r="J15" s="325">
        <f ca="1">(INDEX(OFFSET('Adjustment scenario'!$C$1:$U$1,$D15-1,0),MATCH(J$4,'Adjustment scenario'!$C$10:$U$10,0))/INDEX(OFFSET('Adjustment scenario'!$C$1:$U$1,$D15-1,0),MATCH(I$4,'Adjustment scenario'!$C$10:$U$10,0))-1)*100</f>
        <v>0.45301710000000828</v>
      </c>
      <c r="K15" s="325">
        <f ca="1">(INDEX(OFFSET('Adjustment scenario'!$C$1:$U$1,$D15-1,0),MATCH(K$4,'Adjustment scenario'!$C$10:$U$10,0))/INDEX(OFFSET('Adjustment scenario'!$C$1:$U$1,$D15-1,0),MATCH(J$4,'Adjustment scenario'!$C$10:$U$10,0))-1)*100</f>
        <v>0.55741680000001015</v>
      </c>
      <c r="L15" s="325">
        <f ca="1">(INDEX(OFFSET('Adjustment scenario'!$C$1:$U$1,$D15-1,0),MATCH(L$4,'Adjustment scenario'!$C$10:$U$10,0))/INDEX(OFFSET('Adjustment scenario'!$C$1:$U$1,$D15-1,0),MATCH(K$4,'Adjustment scenario'!$C$10:$U$10,0))-1)*100</f>
        <v>0.65797119999999598</v>
      </c>
      <c r="M15" s="325">
        <f ca="1">(INDEX(OFFSET('Adjustment scenario'!$C$1:$U$1,$D15-1,0),MATCH(M$4,'Adjustment scenario'!$C$10:$U$10,0))/INDEX(OFFSET('Adjustment scenario'!$C$1:$U$1,$D15-1,0),MATCH(L$4,'Adjustment scenario'!$C$10:$U$10,0))-1)*100</f>
        <v>0.63379729999999412</v>
      </c>
      <c r="N15" s="325">
        <f ca="1">(INDEX(OFFSET('Adjustment scenario'!$C$1:$U$1,$D15-1,0),MATCH(N$4,'Adjustment scenario'!$C$10:$U$10,0))/INDEX(OFFSET('Adjustment scenario'!$C$1:$U$1,$D15-1,0),MATCH(M$4,'Adjustment scenario'!$C$10:$U$10,0))-1)*100</f>
        <v>0.60714390000000673</v>
      </c>
      <c r="O15" s="325">
        <f ca="1">(INDEX(OFFSET('Adjustment scenario'!$C$1:$U$1,$D15-1,0),MATCH(O$4,'Adjustment scenario'!$C$10:$U$10,0))/INDEX(OFFSET('Adjustment scenario'!$C$1:$U$1,$D15-1,0),MATCH(N$4,'Adjustment scenario'!$C$10:$U$10,0))-1)*100</f>
        <v>0.5866581999999898</v>
      </c>
      <c r="P15" s="325">
        <f ca="1">(INDEX(OFFSET('Adjustment scenario'!$C$1:$U$1,$D15-1,0),MATCH(P$4,'Adjustment scenario'!$C$10:$U$10,0))/INDEX(OFFSET('Adjustment scenario'!$C$1:$U$1,$D15-1,0),MATCH(O$4,'Adjustment scenario'!$C$10:$U$10,0))-1)*100</f>
        <v>0.58461419999999986</v>
      </c>
      <c r="Q15" s="325">
        <f ca="1">(INDEX(OFFSET('Adjustment scenario'!$C$1:$U$1,$D15-1,0),MATCH(Q$4,'Adjustment scenario'!$C$10:$U$10,0))/INDEX(OFFSET('Adjustment scenario'!$C$1:$U$1,$D15-1,0),MATCH(P$4,'Adjustment scenario'!$C$10:$U$10,0))-1)*100</f>
        <v>0.67615050000000565</v>
      </c>
      <c r="R15" s="325">
        <f ca="1">(INDEX(OFFSET('Adjustment scenario'!$C$1:$U$1,$D15-1,0),MATCH(R$4,'Adjustment scenario'!$C$10:$U$10,0))/INDEX(OFFSET('Adjustment scenario'!$C$1:$U$1,$D15-1,0),MATCH(Q$4,'Adjustment scenario'!$C$10:$U$10,0))-1)*100</f>
        <v>0.88076699999999342</v>
      </c>
      <c r="S15" s="325">
        <f ca="1">(INDEX(OFFSET('Adjustment scenario'!$C$1:$U$1,$D15-1,0),MATCH(S$4,'Adjustment scenario'!$C$10:$U$10,0))/INDEX(OFFSET('Adjustment scenario'!$C$1:$U$1,$D15-1,0),MATCH(R$4,'Adjustment scenario'!$C$10:$U$10,0))-1)*100</f>
        <v>1.0853830000000064</v>
      </c>
      <c r="T15" s="325">
        <f ca="1">(INDEX(OFFSET('Adjustment scenario'!$C$1:$U$1,$D15-1,0),MATCH(T$4,'Adjustment scenario'!$C$10:$U$10,0))/INDEX(OFFSET('Adjustment scenario'!$C$1:$U$1,$D15-1,0),MATCH(S$4,'Adjustment scenario'!$C$10:$U$10,0))-1)*100</f>
        <v>1.2899999999999912</v>
      </c>
      <c r="U15" s="325">
        <f ca="1">(INDEX(OFFSET('Adjustment scenario'!$C$1:$U$1,$D15-1,0),MATCH(U$4,'Adjustment scenario'!$C$10:$U$10,0))/INDEX(OFFSET('Adjustment scenario'!$C$1:$U$1,$D15-1,0),MATCH(T$4,'Adjustment scenario'!$C$10:$U$10,0))-1)*100</f>
        <v>1.3800000000000034</v>
      </c>
      <c r="V15" s="325">
        <f ca="1">(INDEX(OFFSET('Adjustment scenario'!$C$1:$U$1,$D15-1,0),MATCH(V$4,'Adjustment scenario'!$C$10:$U$10,0))/INDEX(OFFSET('Adjustment scenario'!$C$1:$U$1,$D15-1,0),MATCH(U$4,'Adjustment scenario'!$C$10:$U$10,0))-1)*100</f>
        <v>1.4699999999999935</v>
      </c>
      <c r="W15" s="325">
        <f ca="1">(INDEX(OFFSET('Adjustment scenario'!$C$1:$U$1,$D15-1,0),MATCH(W$4,'Adjustment scenario'!$C$10:$U$10,0))/INDEX(OFFSET('Adjustment scenario'!$C$1:$U$1,$D15-1,0),MATCH(V$4,'Adjustment scenario'!$C$10:$U$10,0))-1)*100</f>
        <v>1.5500000000000069</v>
      </c>
      <c r="X15" s="325">
        <f ca="1">(INDEX(OFFSET('Adjustment scenario'!$C$1:$U$1,$D15-1,0),MATCH(X$4,'Adjustment scenario'!$C$10:$U$10,0))/INDEX(OFFSET('Adjustment scenario'!$C$1:$U$1,$D15-1,0),MATCH(W$4,'Adjustment scenario'!$C$10:$U$10,0))-1)*100</f>
        <v>1.5600000000000058</v>
      </c>
      <c r="Y15" s="265"/>
    </row>
    <row r="16" spans="1:25" x14ac:dyDescent="0.2">
      <c r="A16" s="265"/>
      <c r="B16" s="332">
        <v>12</v>
      </c>
      <c r="C16" s="328" t="s">
        <v>223</v>
      </c>
      <c r="D16" s="337">
        <v>24</v>
      </c>
      <c r="E16" s="338" t="s">
        <v>222</v>
      </c>
      <c r="F16" s="325">
        <f ca="1">INDEX(OFFSET('Adjustment scenario'!$C$1:$U$1,$D16-1,0),MATCH(F$4,'Adjustment scenario'!$C$10:$U$10,0))</f>
        <v>-0.26643830000000002</v>
      </c>
      <c r="G16" s="325">
        <f ca="1">INDEX(OFFSET('Adjustment scenario'!$C$1:$U$1,$D16-1,0),MATCH(G$4,'Adjustment scenario'!$C$10:$U$10,0))</f>
        <v>-0.23852609999999999</v>
      </c>
      <c r="H16" s="325">
        <f ca="1">INDEX(OFFSET('Adjustment scenario'!$C$1:$U$1,$D16-1,0),MATCH(H$4,'Adjustment scenario'!$C$10:$U$10,0))</f>
        <v>-0.23283890000000973</v>
      </c>
      <c r="I16" s="325">
        <f ca="1">INDEX(OFFSET('Adjustment scenario'!$C$1:$U$1,$D16-1,0),MATCH(I$4,'Adjustment scenario'!$C$10:$U$10,0))</f>
        <v>0.35815101817495698</v>
      </c>
      <c r="J16" s="325">
        <f ca="1">INDEX(OFFSET('Adjustment scenario'!$C$1:$U$1,$D16-1,0),MATCH(J$4,'Adjustment scenario'!$C$10:$U$10,0))</f>
        <v>0.67860352311204242</v>
      </c>
      <c r="K16" s="325">
        <f ca="1">INDEX(OFFSET('Adjustment scenario'!$C$1:$U$1,$D16-1,0),MATCH(K$4,'Adjustment scenario'!$C$10:$U$10,0))</f>
        <v>0.70713922527392281</v>
      </c>
      <c r="L16" s="325">
        <f ca="1">INDEX(OFFSET('Adjustment scenario'!$C$1:$U$1,$D16-1,0),MATCH(L$4,'Adjustment scenario'!$C$10:$U$10,0))</f>
        <v>1.1625396854888281</v>
      </c>
      <c r="M16" s="325">
        <f ca="1">INDEX(OFFSET('Adjustment scenario'!$C$1:$U$1,$D16-1,0),MATCH(M$4,'Adjustment scenario'!$C$10:$U$10,0))</f>
        <v>1.1357285766416814</v>
      </c>
      <c r="N16" s="325">
        <f ca="1">INDEX(OFFSET('Adjustment scenario'!$C$1:$U$1,$D16-1,0),MATCH(N$4,'Adjustment scenario'!$C$10:$U$10,0))</f>
        <v>1.1064518388233413</v>
      </c>
      <c r="O16" s="325">
        <f ca="1">INDEX(OFFSET('Adjustment scenario'!$C$1:$U$1,$D16-1,0),MATCH(O$4,'Adjustment scenario'!$C$10:$U$10,0))</f>
        <v>0.58665769999999284</v>
      </c>
      <c r="P16" s="325">
        <f ca="1">INDEX(OFFSET('Adjustment scenario'!$C$1:$U$1,$D16-1,0),MATCH(P$4,'Adjustment scenario'!$C$10:$U$10,0))</f>
        <v>0.58461379999998897</v>
      </c>
      <c r="Q16" s="325">
        <f ca="1">INDEX(OFFSET('Adjustment scenario'!$C$1:$U$1,$D16-1,0),MATCH(Q$4,'Adjustment scenario'!$C$10:$U$10,0))</f>
        <v>0.67615279999999611</v>
      </c>
      <c r="R16" s="325">
        <f ca="1">INDEX(OFFSET('Adjustment scenario'!$C$1:$U$1,$D16-1,0),MATCH(R$4,'Adjustment scenario'!$C$10:$U$10,0))</f>
        <v>0.88076969999999477</v>
      </c>
      <c r="S16" s="325">
        <f ca="1">INDEX(OFFSET('Adjustment scenario'!$C$1:$U$1,$D16-1,0),MATCH(S$4,'Adjustment scenario'!$C$10:$U$10,0))</f>
        <v>1.0853860000000104</v>
      </c>
      <c r="T16" s="325">
        <f ca="1">INDEX(OFFSET('Adjustment scenario'!$C$1:$U$1,$D16-1,0),MATCH(T$4,'Adjustment scenario'!$C$10:$U$10,0))</f>
        <v>1.2900010000000073</v>
      </c>
      <c r="U16" s="325">
        <f ca="1">INDEX(OFFSET('Adjustment scenario'!$C$1:$U$1,$D16-1,0),MATCH(U$4,'Adjustment scenario'!$C$10:$U$10,0))</f>
        <v>1.3799990000000095</v>
      </c>
      <c r="V16" s="325">
        <f ca="1">INDEX(OFFSET('Adjustment scenario'!$C$1:$U$1,$D16-1,0),MATCH(V$4,'Adjustment scenario'!$C$10:$U$10,0))</f>
        <v>1.4700050000000076</v>
      </c>
      <c r="W16" s="325">
        <f ca="1">INDEX(OFFSET('Adjustment scenario'!$C$1:$U$1,$D16-1,0),MATCH(W$4,'Adjustment scenario'!$C$10:$U$10,0))</f>
        <v>1.5499979999999969</v>
      </c>
      <c r="X16" s="325">
        <f ca="1">INDEX(OFFSET('Adjustment scenario'!$C$1:$U$1,$D16-1,0),MATCH(X$4,'Adjustment scenario'!$C$10:$U$10,0))</f>
        <v>1.5600019999999937</v>
      </c>
      <c r="Y16" s="265"/>
    </row>
    <row r="17" spans="1:25" x14ac:dyDescent="0.2">
      <c r="A17" s="265"/>
      <c r="B17" s="332">
        <v>13</v>
      </c>
      <c r="C17" s="341" t="s">
        <v>224</v>
      </c>
      <c r="D17" s="337">
        <v>42</v>
      </c>
      <c r="E17" s="338" t="s">
        <v>222</v>
      </c>
      <c r="F17" s="325">
        <f ca="1">INDEX(OFFSET('Adjustment scenario'!$C$1:$U$1,$D17-1,0),MATCH(F$4,'Adjustment scenario'!$C$10:$U$10,0))</f>
        <v>6.1429179999999999</v>
      </c>
      <c r="G17" s="325">
        <f ca="1">INDEX(OFFSET('Adjustment scenario'!$C$1:$U$1,$D17-1,0),MATCH(G$4,'Adjustment scenario'!$C$10:$U$10,0))</f>
        <v>3.1060140000000001</v>
      </c>
      <c r="H17" s="325">
        <f ca="1">INDEX(OFFSET('Adjustment scenario'!$C$1:$U$1,$D17-1,0),MATCH(H$4,'Adjustment scenario'!$C$10:$U$10,0))</f>
        <v>2.439314</v>
      </c>
      <c r="I17" s="325">
        <f ca="1">INDEX(OFFSET('Adjustment scenario'!$C$1:$U$1,$D17-1,0),MATCH(I$4,'Adjustment scenario'!$C$10:$U$10,0))</f>
        <v>2.1658539999999999</v>
      </c>
      <c r="J17" s="325">
        <f ca="1">INDEX(OFFSET('Adjustment scenario'!$C$1:$U$1,$D17-1,0),MATCH(J$4,'Adjustment scenario'!$C$10:$U$10,0))</f>
        <v>2.1776222499999998</v>
      </c>
      <c r="K17" s="325">
        <f ca="1">INDEX(OFFSET('Adjustment scenario'!$C$1:$U$1,$D17-1,0),MATCH(K$4,'Adjustment scenario'!$C$10:$U$10,0))</f>
        <v>2.1893905</v>
      </c>
      <c r="L17" s="325">
        <f ca="1">INDEX(OFFSET('Adjustment scenario'!$C$1:$U$1,$D17-1,0),MATCH(L$4,'Adjustment scenario'!$C$10:$U$10,0))</f>
        <v>2.2011587499999998</v>
      </c>
      <c r="M17" s="325">
        <f ca="1">INDEX(OFFSET('Adjustment scenario'!$C$1:$U$1,$D17-1,0),MATCH(M$4,'Adjustment scenario'!$C$10:$U$10,0))</f>
        <v>2.2129269999999996</v>
      </c>
      <c r="N17" s="325">
        <f ca="1">INDEX(OFFSET('Adjustment scenario'!$C$1:$U$1,$D17-1,0),MATCH(N$4,'Adjustment scenario'!$C$10:$U$10,0))</f>
        <v>2.2246952499999999</v>
      </c>
      <c r="O17" s="325">
        <f ca="1">INDEX(OFFSET('Adjustment scenario'!$C$1:$U$1,$D17-1,0),MATCH(O$4,'Adjustment scenario'!$C$10:$U$10,0))</f>
        <v>2.2364634999999997</v>
      </c>
      <c r="P17" s="325">
        <f ca="1">INDEX(OFFSET('Adjustment scenario'!$C$1:$U$1,$D17-1,0),MATCH(P$4,'Adjustment scenario'!$C$10:$U$10,0))</f>
        <v>2.24823175</v>
      </c>
      <c r="Q17" s="325">
        <f ca="1">INDEX(OFFSET('Adjustment scenario'!$C$1:$U$1,$D17-1,0),MATCH(Q$4,'Adjustment scenario'!$C$10:$U$10,0))</f>
        <v>2.2599999999999998</v>
      </c>
      <c r="R17" s="325">
        <f ca="1">INDEX(OFFSET('Adjustment scenario'!$C$1:$U$1,$D17-1,0),MATCH(R$4,'Adjustment scenario'!$C$10:$U$10,0))</f>
        <v>2.2469999999999999</v>
      </c>
      <c r="S17" s="325">
        <f ca="1">INDEX(OFFSET('Adjustment scenario'!$C$1:$U$1,$D17-1,0),MATCH(S$4,'Adjustment scenario'!$C$10:$U$10,0))</f>
        <v>2.234</v>
      </c>
      <c r="T17" s="325">
        <f ca="1">INDEX(OFFSET('Adjustment scenario'!$C$1:$U$1,$D17-1,0),MATCH(T$4,'Adjustment scenario'!$C$10:$U$10,0))</f>
        <v>2.2209999999999996</v>
      </c>
      <c r="U17" s="325">
        <f ca="1">INDEX(OFFSET('Adjustment scenario'!$C$1:$U$1,$D17-1,0),MATCH(U$4,'Adjustment scenario'!$C$10:$U$10,0))</f>
        <v>2.2079999999999997</v>
      </c>
      <c r="V17" s="325">
        <f ca="1">INDEX(OFFSET('Adjustment scenario'!$C$1:$U$1,$D17-1,0),MATCH(V$4,'Adjustment scenario'!$C$10:$U$10,0))</f>
        <v>2.1949999999999998</v>
      </c>
      <c r="W17" s="325">
        <f ca="1">INDEX(OFFSET('Adjustment scenario'!$C$1:$U$1,$D17-1,0),MATCH(W$4,'Adjustment scenario'!$C$10:$U$10,0))</f>
        <v>2.1819999999999999</v>
      </c>
      <c r="X17" s="325">
        <f ca="1">INDEX(OFFSET('Adjustment scenario'!$C$1:$U$1,$D17-1,0),MATCH(X$4,'Adjustment scenario'!$C$10:$U$10,0))</f>
        <v>2.169</v>
      </c>
      <c r="Y17" s="265"/>
    </row>
    <row r="18" spans="1:25" x14ac:dyDescent="0.2">
      <c r="A18" s="265"/>
      <c r="B18" s="332">
        <v>14</v>
      </c>
      <c r="C18" s="328" t="s">
        <v>225</v>
      </c>
      <c r="D18" s="337">
        <v>33</v>
      </c>
      <c r="E18" s="338" t="s">
        <v>222</v>
      </c>
      <c r="F18" s="325">
        <f ca="1">INDEX(OFFSET('Adjustment scenario'!$C$1:$U$1,$D18-1,0),MATCH(F$4,'Adjustment scenario'!$C$10:$U$10,0))</f>
        <v>5.8601126137103998</v>
      </c>
      <c r="G18" s="325">
        <f ca="1">INDEX(OFFSET('Adjustment scenario'!$C$1:$U$1,$D18-1,0),MATCH(G$4,'Adjustment scenario'!$C$10:$U$10,0))</f>
        <v>2.860079245940339</v>
      </c>
      <c r="H18" s="325">
        <f ca="1">INDEX(OFFSET('Adjustment scenario'!$C$1:$U$1,$D18-1,0),MATCH(H$4,'Adjustment scenario'!$C$10:$U$10,0))</f>
        <v>2.2007954281148434</v>
      </c>
      <c r="I18" s="325">
        <f ca="1">INDEX(OFFSET('Adjustment scenario'!$C$1:$U$1,$D18-1,0),MATCH(I$4,'Adjustment scenario'!$C$10:$U$10,0))</f>
        <v>2.5317620463281454</v>
      </c>
      <c r="J18" s="325">
        <f ca="1">INDEX(OFFSET('Adjustment scenario'!$C$1:$U$1,$D18-1,0),MATCH(J$4,'Adjustment scenario'!$C$10:$U$10,0))</f>
        <v>2.8710031944206182</v>
      </c>
      <c r="K18" s="325">
        <f ca="1">INDEX(OFFSET('Adjustment scenario'!$C$1:$U$1,$D18-1,0),MATCH(K$4,'Adjustment scenario'!$C$10:$U$10,0))</f>
        <v>2.9120117642938537</v>
      </c>
      <c r="L18" s="325">
        <f ca="1">INDEX(OFFSET('Adjustment scenario'!$C$1:$U$1,$D18-1,0),MATCH(L$4,'Adjustment scenario'!$C$10:$U$10,0))</f>
        <v>3.3892877794981846</v>
      </c>
      <c r="M18" s="325">
        <f ca="1">INDEX(OFFSET('Adjustment scenario'!$C$1:$U$1,$D18-1,0),MATCH(M$4,'Adjustment scenario'!$C$10:$U$10,0))</f>
        <v>3.3737884209608993</v>
      </c>
      <c r="N18" s="325">
        <f ca="1">INDEX(OFFSET('Adjustment scenario'!$C$1:$U$1,$D18-1,0),MATCH(N$4,'Adjustment scenario'!$C$10:$U$10,0))</f>
        <v>3.3557622703251688</v>
      </c>
      <c r="O18" s="325">
        <f ca="1">INDEX(OFFSET('Adjustment scenario'!$C$1:$U$1,$D18-1,0),MATCH(O$4,'Adjustment scenario'!$C$10:$U$10,0))</f>
        <v>2.8362415853304235</v>
      </c>
      <c r="P18" s="325">
        <f ca="1">INDEX(OFFSET('Adjustment scenario'!$C$1:$U$1,$D18-1,0),MATCH(P$4,'Adjustment scenario'!$C$10:$U$10,0))</f>
        <v>2.8459890230664753</v>
      </c>
      <c r="Q18" s="325">
        <f ca="1">INDEX(OFFSET('Adjustment scenario'!$C$1:$U$1,$D18-1,0),MATCH(Q$4,'Adjustment scenario'!$C$10:$U$10,0))</f>
        <v>2.9514338532799833</v>
      </c>
      <c r="R18" s="325">
        <f ca="1">INDEX(OFFSET('Adjustment scenario'!$C$1:$U$1,$D18-1,0),MATCH(R$4,'Adjustment scenario'!$C$10:$U$10,0))</f>
        <v>3.1475605951589936</v>
      </c>
      <c r="S18" s="325">
        <f ca="1">INDEX(OFFSET('Adjustment scenario'!$C$1:$U$1,$D18-1,0),MATCH(S$4,'Adjustment scenario'!$C$10:$U$10,0))</f>
        <v>3.3436335232400083</v>
      </c>
      <c r="T18" s="325">
        <f ca="1">INDEX(OFFSET('Adjustment scenario'!$C$1:$U$1,$D18-1,0),MATCH(T$4,'Adjustment scenario'!$C$10:$U$10,0))</f>
        <v>3.5396519222100187</v>
      </c>
      <c r="U18" s="325">
        <f ca="1">INDEX(OFFSET('Adjustment scenario'!$C$1:$U$1,$D18-1,0),MATCH(U$4,'Adjustment scenario'!$C$10:$U$10,0))</f>
        <v>3.6184693779200305</v>
      </c>
      <c r="V18" s="325">
        <f ca="1">INDEX(OFFSET('Adjustment scenario'!$C$1:$U$1,$D18-1,0),MATCH(V$4,'Adjustment scenario'!$C$10:$U$10,0))</f>
        <v>3.6972716097499969</v>
      </c>
      <c r="W18" s="325">
        <f ca="1">INDEX(OFFSET('Adjustment scenario'!$C$1:$U$1,$D18-1,0),MATCH(W$4,'Adjustment scenario'!$C$10:$U$10,0))</f>
        <v>3.7658189563599898</v>
      </c>
      <c r="X18" s="325">
        <f ca="1">INDEX(OFFSET('Adjustment scenario'!$C$1:$U$1,$D18-1,0),MATCH(X$4,'Adjustment scenario'!$C$10:$U$10,0))</f>
        <v>3.76283844337999</v>
      </c>
      <c r="Y18" s="265"/>
    </row>
    <row r="19" spans="1:25" x14ac:dyDescent="0.2">
      <c r="A19" s="265"/>
      <c r="B19" s="326"/>
      <c r="C19" s="347"/>
      <c r="D19" s="347"/>
      <c r="E19" s="347"/>
      <c r="F19" s="347"/>
      <c r="G19" s="347"/>
      <c r="H19" s="347"/>
      <c r="I19" s="347"/>
      <c r="J19" s="347"/>
      <c r="K19" s="265"/>
      <c r="L19" s="265"/>
      <c r="M19" s="265"/>
      <c r="N19" s="265"/>
      <c r="O19" s="265"/>
      <c r="P19" s="265"/>
      <c r="Q19" s="265"/>
      <c r="R19" s="265"/>
      <c r="S19" s="265"/>
      <c r="T19" s="265"/>
      <c r="U19" s="265"/>
      <c r="V19" s="265"/>
      <c r="W19" s="265"/>
      <c r="X19" s="265"/>
      <c r="Y19" s="265"/>
    </row>
    <row r="20" spans="1:25" x14ac:dyDescent="0.2">
      <c r="A20" s="265"/>
      <c r="B20" s="348"/>
      <c r="C20" s="330" t="s">
        <v>226</v>
      </c>
      <c r="D20" s="331"/>
      <c r="E20" s="331"/>
      <c r="F20" s="331"/>
      <c r="G20" s="347"/>
      <c r="H20" s="347"/>
      <c r="I20" s="347"/>
      <c r="J20" s="347"/>
      <c r="K20" s="265"/>
      <c r="L20" s="265"/>
      <c r="M20" s="265"/>
      <c r="N20" s="265"/>
      <c r="O20" s="265"/>
      <c r="P20" s="265"/>
      <c r="Q20" s="265"/>
      <c r="R20" s="265"/>
      <c r="S20" s="265"/>
      <c r="T20" s="265"/>
      <c r="U20" s="265"/>
      <c r="V20" s="265"/>
      <c r="W20" s="265"/>
      <c r="X20" s="265"/>
      <c r="Y20" s="265"/>
    </row>
    <row r="21" spans="1:25" x14ac:dyDescent="0.2">
      <c r="A21" s="265"/>
      <c r="B21" s="326"/>
      <c r="C21" s="347"/>
      <c r="D21" s="347"/>
      <c r="E21" s="347"/>
      <c r="F21" s="347"/>
      <c r="G21" s="347"/>
      <c r="H21" s="347"/>
      <c r="I21" s="347"/>
      <c r="J21" s="347"/>
      <c r="K21" s="265"/>
      <c r="L21" s="265"/>
      <c r="M21" s="265"/>
      <c r="N21" s="265"/>
      <c r="O21" s="265"/>
      <c r="P21" s="265"/>
      <c r="Q21" s="265"/>
      <c r="R21" s="265"/>
      <c r="S21" s="265"/>
      <c r="T21" s="265"/>
      <c r="U21" s="265"/>
      <c r="V21" s="265"/>
      <c r="W21" s="265"/>
      <c r="X21" s="265"/>
      <c r="Y21" s="265"/>
    </row>
    <row r="22" spans="1:25" x14ac:dyDescent="0.2">
      <c r="A22" s="265"/>
      <c r="B22" s="332"/>
      <c r="C22" s="330" t="s">
        <v>26</v>
      </c>
      <c r="D22" s="330"/>
      <c r="E22" s="334">
        <f>F22-1</f>
        <v>2022</v>
      </c>
      <c r="F22" s="335">
        <f>'Input data'!$C$5-1</f>
        <v>2023</v>
      </c>
      <c r="G22" s="335">
        <f>F22+1</f>
        <v>2024</v>
      </c>
      <c r="H22" s="335">
        <f t="shared" ref="H22:X22" si="1">G22+1</f>
        <v>2025</v>
      </c>
      <c r="I22" s="335">
        <f t="shared" si="1"/>
        <v>2026</v>
      </c>
      <c r="J22" s="335">
        <f t="shared" si="1"/>
        <v>2027</v>
      </c>
      <c r="K22" s="335">
        <f t="shared" si="1"/>
        <v>2028</v>
      </c>
      <c r="L22" s="335">
        <f t="shared" si="1"/>
        <v>2029</v>
      </c>
      <c r="M22" s="335">
        <f t="shared" si="1"/>
        <v>2030</v>
      </c>
      <c r="N22" s="335">
        <f t="shared" si="1"/>
        <v>2031</v>
      </c>
      <c r="O22" s="335">
        <f t="shared" si="1"/>
        <v>2032</v>
      </c>
      <c r="P22" s="335">
        <f t="shared" si="1"/>
        <v>2033</v>
      </c>
      <c r="Q22" s="335">
        <f t="shared" si="1"/>
        <v>2034</v>
      </c>
      <c r="R22" s="335">
        <f t="shared" si="1"/>
        <v>2035</v>
      </c>
      <c r="S22" s="335">
        <f t="shared" si="1"/>
        <v>2036</v>
      </c>
      <c r="T22" s="335">
        <f t="shared" si="1"/>
        <v>2037</v>
      </c>
      <c r="U22" s="335">
        <f t="shared" si="1"/>
        <v>2038</v>
      </c>
      <c r="V22" s="335">
        <f t="shared" si="1"/>
        <v>2039</v>
      </c>
      <c r="W22" s="335">
        <f t="shared" si="1"/>
        <v>2040</v>
      </c>
      <c r="X22" s="335">
        <f t="shared" si="1"/>
        <v>2041</v>
      </c>
      <c r="Y22" s="265"/>
    </row>
    <row r="23" spans="1:25" x14ac:dyDescent="0.2">
      <c r="A23" s="265"/>
      <c r="B23" s="332">
        <v>1</v>
      </c>
      <c r="C23" s="336" t="s">
        <v>212</v>
      </c>
      <c r="D23" s="337">
        <v>56</v>
      </c>
      <c r="E23" s="338" t="s">
        <v>213</v>
      </c>
      <c r="F23" s="325">
        <f ca="1">INDEX(OFFSET('Financial stress'!$C$1:$U$1,$D23-1,0),MATCH(F$4,'Financial stress'!$C$10:$U$10,0))</f>
        <v>62.885489999999997</v>
      </c>
      <c r="G23" s="325">
        <f ca="1">INDEX(OFFSET('Financial stress'!$C$1:$U$1,$D23-1,0),MATCH(G$4,'Financial stress'!$C$10:$U$10,0))</f>
        <v>62.455679115154567</v>
      </c>
      <c r="H23" s="325">
        <f ca="1">INDEX(OFFSET('Financial stress'!$C$1:$U$1,$D23-1,0),MATCH(H$4,'Financial stress'!$C$10:$U$10,0))</f>
        <v>63.692130003522081</v>
      </c>
      <c r="I23" s="325">
        <f ca="1">INDEX(OFFSET('Financial stress'!$C$1:$U$1,$D23-1,0),MATCH(I$4,'Financial stress'!$C$10:$U$10,0))</f>
        <v>64.202561464572838</v>
      </c>
      <c r="J23" s="325">
        <f ca="1">INDEX(OFFSET('Financial stress'!$C$1:$U$1,$D23-1,0),MATCH(J$4,'Financial stress'!$C$10:$U$10,0))</f>
        <v>63.836881536064524</v>
      </c>
      <c r="K23" s="325">
        <f ca="1">INDEX(OFFSET('Financial stress'!$C$1:$U$1,$D23-1,0),MATCH(K$4,'Financial stress'!$C$10:$U$10,0))</f>
        <v>62.913564321630858</v>
      </c>
      <c r="L23" s="325">
        <f ca="1">INDEX(OFFSET('Financial stress'!$C$1:$U$1,$D23-1,0),MATCH(L$4,'Financial stress'!$C$10:$U$10,0))</f>
        <v>61.771856429399051</v>
      </c>
      <c r="M23" s="325">
        <f ca="1">INDEX(OFFSET('Financial stress'!$C$1:$U$1,$D23-1,0),MATCH(M$4,'Financial stress'!$C$10:$U$10,0))</f>
        <v>60.499784305735673</v>
      </c>
      <c r="N23" s="325">
        <f ca="1">INDEX(OFFSET('Financial stress'!$C$1:$U$1,$D23-1,0),MATCH(N$4,'Financial stress'!$C$10:$U$10,0))</f>
        <v>59.161953147315913</v>
      </c>
      <c r="O23" s="325">
        <f ca="1">INDEX(OFFSET('Financial stress'!$C$1:$U$1,$D23-1,0),MATCH(O$4,'Financial stress'!$C$10:$U$10,0))</f>
        <v>58.390466021908942</v>
      </c>
      <c r="P23" s="325">
        <f ca="1">INDEX(OFFSET('Financial stress'!$C$1:$U$1,$D23-1,0),MATCH(P$4,'Financial stress'!$C$10:$U$10,0))</f>
        <v>57.774332216697466</v>
      </c>
      <c r="Q23" s="325">
        <f ca="1">INDEX(OFFSET('Financial stress'!$C$1:$U$1,$D23-1,0),MATCH(Q$4,'Financial stress'!$C$10:$U$10,0))</f>
        <v>57.158756193491001</v>
      </c>
      <c r="R23" s="325">
        <f ca="1">INDEX(OFFSET('Financial stress'!$C$1:$U$1,$D23-1,0),MATCH(R$4,'Financial stress'!$C$10:$U$10,0))</f>
        <v>56.578305527695377</v>
      </c>
      <c r="S23" s="325">
        <f ca="1">INDEX(OFFSET('Financial stress'!$C$1:$U$1,$D23-1,0),MATCH(S$4,'Financial stress'!$C$10:$U$10,0))</f>
        <v>56.031933131983713</v>
      </c>
      <c r="T23" s="325">
        <f ca="1">INDEX(OFFSET('Financial stress'!$C$1:$U$1,$D23-1,0),MATCH(T$4,'Financial stress'!$C$10:$U$10,0))</f>
        <v>55.418846172052781</v>
      </c>
      <c r="U23" s="325">
        <f ca="1">INDEX(OFFSET('Financial stress'!$C$1:$U$1,$D23-1,0),MATCH(U$4,'Financial stress'!$C$10:$U$10,0))</f>
        <v>54.801029635310293</v>
      </c>
      <c r="V23" s="325">
        <f ca="1">INDEX(OFFSET('Financial stress'!$C$1:$U$1,$D23-1,0),MATCH(V$4,'Financial stress'!$C$10:$U$10,0))</f>
        <v>54.176735304112654</v>
      </c>
      <c r="W23" s="325">
        <f ca="1">INDEX(OFFSET('Financial stress'!$C$1:$U$1,$D23-1,0),MATCH(W$4,'Financial stress'!$C$10:$U$10,0))</f>
        <v>53.449904495337286</v>
      </c>
      <c r="X23" s="325">
        <f ca="1">INDEX(OFFSET('Financial stress'!$C$1:$U$1,$D23-1,0),MATCH(X$4,'Financial stress'!$C$10:$U$10,0))</f>
        <v>52.756277481201877</v>
      </c>
      <c r="Y23" s="265"/>
    </row>
    <row r="24" spans="1:25" x14ac:dyDescent="0.2">
      <c r="A24" s="265"/>
      <c r="B24" s="332">
        <v>2</v>
      </c>
      <c r="C24" s="336" t="s">
        <v>91</v>
      </c>
      <c r="D24" s="337">
        <v>36</v>
      </c>
      <c r="E24" s="338" t="s">
        <v>219</v>
      </c>
      <c r="F24" s="325">
        <f ca="1">INDEX(OFFSET('Financial stress'!$C$1:$U$1,$D24-1,0),MATCH(F$4,'Financial stress'!$C$10:$U$10,0))</f>
        <v>2.4300000000000002</v>
      </c>
      <c r="G24" s="325">
        <f ca="1">INDEX(OFFSET('Financial stress'!$C$1:$U$1,$D24-1,0),MATCH(G$4,'Financial stress'!$C$10:$U$10,0))</f>
        <v>2.3224999999999998</v>
      </c>
      <c r="H24" s="325">
        <f ca="1">INDEX(OFFSET('Financial stress'!$C$1:$U$1,$D24-1,0),MATCH(H$4,'Financial stress'!$C$10:$U$10,0))</f>
        <v>2.544438</v>
      </c>
      <c r="I24" s="325">
        <f ca="1">INDEX(OFFSET('Financial stress'!$C$1:$U$1,$D24-1,0),MATCH(I$4,'Financial stress'!$C$10:$U$10,0))</f>
        <v>2.698655</v>
      </c>
      <c r="J24" s="325">
        <f ca="1">INDEX(OFFSET('Financial stress'!$C$1:$U$1,$D24-1,0),MATCH(J$4,'Financial stress'!$C$10:$U$10,0))</f>
        <v>2.7743606249999999</v>
      </c>
      <c r="K24" s="325">
        <f ca="1">INDEX(OFFSET('Financial stress'!$C$1:$U$1,$D24-1,0),MATCH(K$4,'Financial stress'!$C$10:$U$10,0))</f>
        <v>2.8500662499999998</v>
      </c>
      <c r="L24" s="325">
        <f ca="1">INDEX(OFFSET('Financial stress'!$C$1:$U$1,$D24-1,0),MATCH(L$4,'Financial stress'!$C$10:$U$10,0))</f>
        <v>3.9257718750000001</v>
      </c>
      <c r="M24" s="325">
        <f ca="1">INDEX(OFFSET('Financial stress'!$C$1:$U$1,$D24-1,0),MATCH(M$4,'Financial stress'!$C$10:$U$10,0))</f>
        <v>3.0014775</v>
      </c>
      <c r="N24" s="325">
        <f ca="1">INDEX(OFFSET('Financial stress'!$C$1:$U$1,$D24-1,0),MATCH(N$4,'Financial stress'!$C$10:$U$10,0))</f>
        <v>3.0771831249999999</v>
      </c>
      <c r="O24" s="325">
        <f ca="1">INDEX(OFFSET('Financial stress'!$C$1:$U$1,$D24-1,0),MATCH(O$4,'Financial stress'!$C$10:$U$10,0))</f>
        <v>3.1528887499999998</v>
      </c>
      <c r="P24" s="325">
        <f ca="1">INDEX(OFFSET('Financial stress'!$C$1:$U$1,$D24-1,0),MATCH(P$4,'Financial stress'!$C$10:$U$10,0))</f>
        <v>3.2285943750000001</v>
      </c>
      <c r="Q24" s="325">
        <f ca="1">INDEX(OFFSET('Financial stress'!$C$1:$U$1,$D24-1,0),MATCH(Q$4,'Financial stress'!$C$10:$U$10,0))</f>
        <v>3.3043</v>
      </c>
      <c r="R24" s="325">
        <f ca="1">INDEX(OFFSET('Financial stress'!$C$1:$U$1,$D24-1,0),MATCH(R$4,'Financial stress'!$C$10:$U$10,0))</f>
        <v>3.3390849999999999</v>
      </c>
      <c r="S24" s="325">
        <f ca="1">INDEX(OFFSET('Financial stress'!$C$1:$U$1,$D24-1,0),MATCH(S$4,'Financial stress'!$C$10:$U$10,0))</f>
        <v>3.3738700000000001</v>
      </c>
      <c r="T24" s="325">
        <f ca="1">INDEX(OFFSET('Financial stress'!$C$1:$U$1,$D24-1,0),MATCH(T$4,'Financial stress'!$C$10:$U$10,0))</f>
        <v>3.408655</v>
      </c>
      <c r="U24" s="325">
        <f ca="1">INDEX(OFFSET('Financial stress'!$C$1:$U$1,$D24-1,0),MATCH(U$4,'Financial stress'!$C$10:$U$10,0))</f>
        <v>3.4434399999999998</v>
      </c>
      <c r="V24" s="325">
        <f ca="1">INDEX(OFFSET('Financial stress'!$C$1:$U$1,$D24-1,0),MATCH(V$4,'Financial stress'!$C$10:$U$10,0))</f>
        <v>3.4782250000000001</v>
      </c>
      <c r="W24" s="325">
        <f ca="1">INDEX(OFFSET('Financial stress'!$C$1:$U$1,$D24-1,0),MATCH(W$4,'Financial stress'!$C$10:$U$10,0))</f>
        <v>3.51301</v>
      </c>
      <c r="X24" s="325">
        <f ca="1">INDEX(OFFSET('Financial stress'!$C$1:$U$1,$D24-1,0),MATCH(X$4,'Financial stress'!$C$10:$U$10,0))</f>
        <v>3.5477949999999998</v>
      </c>
      <c r="Y24" s="265"/>
    </row>
    <row r="25" spans="1:25" x14ac:dyDescent="0.2">
      <c r="A25" s="265"/>
      <c r="B25" s="332">
        <v>3</v>
      </c>
      <c r="C25" s="336" t="s">
        <v>92</v>
      </c>
      <c r="D25" s="337">
        <v>37</v>
      </c>
      <c r="E25" s="338" t="s">
        <v>219</v>
      </c>
      <c r="F25" s="325">
        <f ca="1">INDEX(OFFSET('Financial stress'!$C$1:$U$1,$D25-1,0),MATCH(F$4,'Financial stress'!$C$10:$U$10,0))</f>
        <v>3.43</v>
      </c>
      <c r="G25" s="325">
        <f ca="1">INDEX(OFFSET('Financial stress'!$C$1:$U$1,$D25-1,0),MATCH(G$4,'Financial stress'!$C$10:$U$10,0))</f>
        <v>3.5708329999999999</v>
      </c>
      <c r="H25" s="325">
        <f ca="1">INDEX(OFFSET('Financial stress'!$C$1:$U$1,$D25-1,0),MATCH(H$4,'Financial stress'!$C$10:$U$10,0))</f>
        <v>1.999333</v>
      </c>
      <c r="I25" s="325">
        <f ca="1">INDEX(OFFSET('Financial stress'!$C$1:$U$1,$D25-1,0),MATCH(I$4,'Financial stress'!$C$10:$U$10,0))</f>
        <v>1.7208330000000001</v>
      </c>
      <c r="J25" s="325">
        <f ca="1">INDEX(OFFSET('Financial stress'!$C$1:$U$1,$D25-1,0),MATCH(J$4,'Financial stress'!$C$10:$U$10,0))</f>
        <v>1.877801375</v>
      </c>
      <c r="K25" s="325">
        <f ca="1">INDEX(OFFSET('Financial stress'!$C$1:$U$1,$D25-1,0),MATCH(K$4,'Financial stress'!$C$10:$U$10,0))</f>
        <v>2.0347697500000002</v>
      </c>
      <c r="L25" s="325">
        <f ca="1">INDEX(OFFSET('Financial stress'!$C$1:$U$1,$D25-1,0),MATCH(L$4,'Financial stress'!$C$10:$U$10,0))</f>
        <v>3.1917381250000001</v>
      </c>
      <c r="M25" s="325">
        <f ca="1">INDEX(OFFSET('Financial stress'!$C$1:$U$1,$D25-1,0),MATCH(M$4,'Financial stress'!$C$10:$U$10,0))</f>
        <v>2.3487065</v>
      </c>
      <c r="N25" s="325">
        <f ca="1">INDEX(OFFSET('Financial stress'!$C$1:$U$1,$D25-1,0),MATCH(N$4,'Financial stress'!$C$10:$U$10,0))</f>
        <v>2.505674875</v>
      </c>
      <c r="O25" s="325">
        <f ca="1">INDEX(OFFSET('Financial stress'!$C$1:$U$1,$D25-1,0),MATCH(O$4,'Financial stress'!$C$10:$U$10,0))</f>
        <v>2.6626432499999999</v>
      </c>
      <c r="P25" s="325">
        <f ca="1">INDEX(OFFSET('Financial stress'!$C$1:$U$1,$D25-1,0),MATCH(P$4,'Financial stress'!$C$10:$U$10,0))</f>
        <v>2.8196116249999998</v>
      </c>
      <c r="Q25" s="325">
        <f ca="1">INDEX(OFFSET('Financial stress'!$C$1:$U$1,$D25-1,0),MATCH(Q$4,'Financial stress'!$C$10:$U$10,0))</f>
        <v>2.9765799999999998</v>
      </c>
      <c r="R25" s="325">
        <f ca="1">INDEX(OFFSET('Financial stress'!$C$1:$U$1,$D25-1,0),MATCH(R$4,'Financial stress'!$C$10:$U$10,0))</f>
        <v>2.9277509999999998</v>
      </c>
      <c r="S25" s="325">
        <f ca="1">INDEX(OFFSET('Financial stress'!$C$1:$U$1,$D25-1,0),MATCH(S$4,'Financial stress'!$C$10:$U$10,0))</f>
        <v>2.8789219999999998</v>
      </c>
      <c r="T25" s="325">
        <f ca="1">INDEX(OFFSET('Financial stress'!$C$1:$U$1,$D25-1,0),MATCH(T$4,'Financial stress'!$C$10:$U$10,0))</f>
        <v>2.8300929999999997</v>
      </c>
      <c r="U25" s="325">
        <f ca="1">INDEX(OFFSET('Financial stress'!$C$1:$U$1,$D25-1,0),MATCH(U$4,'Financial stress'!$C$10:$U$10,0))</f>
        <v>2.7812639999999997</v>
      </c>
      <c r="V25" s="325">
        <f ca="1">INDEX(OFFSET('Financial stress'!$C$1:$U$1,$D25-1,0),MATCH(V$4,'Financial stress'!$C$10:$U$10,0))</f>
        <v>2.7324349999999997</v>
      </c>
      <c r="W25" s="325">
        <f ca="1">INDEX(OFFSET('Financial stress'!$C$1:$U$1,$D25-1,0),MATCH(W$4,'Financial stress'!$C$10:$U$10,0))</f>
        <v>2.6836059999999997</v>
      </c>
      <c r="X25" s="325">
        <f ca="1">INDEX(OFFSET('Financial stress'!$C$1:$U$1,$D25-1,0),MATCH(X$4,'Financial stress'!$C$10:$U$10,0))</f>
        <v>2.6347769999999997</v>
      </c>
      <c r="Y25" s="265"/>
    </row>
    <row r="26" spans="1:25" x14ac:dyDescent="0.2">
      <c r="A26" s="265"/>
      <c r="B26" s="332"/>
      <c r="C26" s="330" t="s">
        <v>27</v>
      </c>
      <c r="D26" s="330"/>
      <c r="E26" s="334">
        <f>F26-1</f>
        <v>2022</v>
      </c>
      <c r="F26" s="335">
        <f>'Input data'!$C$5-1</f>
        <v>2023</v>
      </c>
      <c r="G26" s="335">
        <f>F26+1</f>
        <v>2024</v>
      </c>
      <c r="H26" s="335">
        <f t="shared" ref="H26:X26" si="2">G26+1</f>
        <v>2025</v>
      </c>
      <c r="I26" s="335">
        <f t="shared" si="2"/>
        <v>2026</v>
      </c>
      <c r="J26" s="335">
        <f t="shared" si="2"/>
        <v>2027</v>
      </c>
      <c r="K26" s="335">
        <f t="shared" si="2"/>
        <v>2028</v>
      </c>
      <c r="L26" s="335">
        <f t="shared" si="2"/>
        <v>2029</v>
      </c>
      <c r="M26" s="335">
        <f t="shared" si="2"/>
        <v>2030</v>
      </c>
      <c r="N26" s="335">
        <f t="shared" si="2"/>
        <v>2031</v>
      </c>
      <c r="O26" s="335">
        <f t="shared" si="2"/>
        <v>2032</v>
      </c>
      <c r="P26" s="335">
        <f t="shared" si="2"/>
        <v>2033</v>
      </c>
      <c r="Q26" s="335">
        <f t="shared" si="2"/>
        <v>2034</v>
      </c>
      <c r="R26" s="335">
        <f t="shared" si="2"/>
        <v>2035</v>
      </c>
      <c r="S26" s="335">
        <f t="shared" si="2"/>
        <v>2036</v>
      </c>
      <c r="T26" s="335">
        <f t="shared" si="2"/>
        <v>2037</v>
      </c>
      <c r="U26" s="335">
        <f t="shared" si="2"/>
        <v>2038</v>
      </c>
      <c r="V26" s="335">
        <f t="shared" si="2"/>
        <v>2039</v>
      </c>
      <c r="W26" s="335">
        <f t="shared" si="2"/>
        <v>2040</v>
      </c>
      <c r="X26" s="335">
        <f t="shared" si="2"/>
        <v>2041</v>
      </c>
      <c r="Y26" s="265"/>
    </row>
    <row r="27" spans="1:25" x14ac:dyDescent="0.2">
      <c r="A27" s="265"/>
      <c r="B27" s="332">
        <v>4</v>
      </c>
      <c r="C27" s="336" t="s">
        <v>212</v>
      </c>
      <c r="D27" s="337">
        <v>56</v>
      </c>
      <c r="E27" s="338" t="s">
        <v>213</v>
      </c>
      <c r="F27" s="325">
        <f ca="1">INDEX(OFFSET('Lower SPB'!$C$1:$U$1,$D27-1,0),MATCH(F$4,'Lower SPB'!$C$10:$U$10,0))</f>
        <v>62.885489999999997</v>
      </c>
      <c r="G27" s="325">
        <f ca="1">INDEX(OFFSET('Lower SPB'!$C$1:$U$1,$D27-1,0),MATCH(G$4,'Lower SPB'!$C$10:$U$10,0))</f>
        <v>62.455679115154567</v>
      </c>
      <c r="H27" s="325">
        <f ca="1">INDEX(OFFSET('Lower SPB'!$C$1:$U$1,$D27-1,0),MATCH(H$4,'Lower SPB'!$C$10:$U$10,0))</f>
        <v>63.692130003522081</v>
      </c>
      <c r="I27" s="325">
        <f ca="1">INDEX(OFFSET('Lower SPB'!$C$1:$U$1,$D27-1,0),MATCH(I$4,'Lower SPB'!$C$10:$U$10,0))</f>
        <v>64.202561464572838</v>
      </c>
      <c r="J27" s="325">
        <f ca="1">INDEX(OFFSET('Lower SPB'!$C$1:$U$1,$D27-1,0),MATCH(J$4,'Lower SPB'!$C$10:$U$10,0))</f>
        <v>63.836881536064524</v>
      </c>
      <c r="K27" s="325">
        <f ca="1">INDEX(OFFSET('Lower SPB'!$C$1:$U$1,$D27-1,0),MATCH(K$4,'Lower SPB'!$C$10:$U$10,0))</f>
        <v>62.913564321630858</v>
      </c>
      <c r="L27" s="325">
        <f ca="1">INDEX(OFFSET('Lower SPB'!$C$1:$U$1,$D27-1,0),MATCH(L$4,'Lower SPB'!$C$10:$U$10,0))</f>
        <v>61.67838733319757</v>
      </c>
      <c r="M27" s="325">
        <f ca="1">INDEX(OFFSET('Lower SPB'!$C$1:$U$1,$D27-1,0),MATCH(M$4,'Lower SPB'!$C$10:$U$10,0))</f>
        <v>60.801483640185992</v>
      </c>
      <c r="N27" s="325">
        <f ca="1">INDEX(OFFSET('Lower SPB'!$C$1:$U$1,$D27-1,0),MATCH(N$4,'Lower SPB'!$C$10:$U$10,0))</f>
        <v>60.258217193327553</v>
      </c>
      <c r="O27" s="325">
        <f ca="1">INDEX(OFFSET('Lower SPB'!$C$1:$U$1,$D27-1,0),MATCH(O$4,'Lower SPB'!$C$10:$U$10,0))</f>
        <v>59.933589000095409</v>
      </c>
      <c r="P27" s="325">
        <f ca="1">INDEX(OFFSET('Lower SPB'!$C$1:$U$1,$D27-1,0),MATCH(P$4,'Lower SPB'!$C$10:$U$10,0))</f>
        <v>59.714240559908845</v>
      </c>
      <c r="Q27" s="325">
        <f ca="1">INDEX(OFFSET('Lower SPB'!$C$1:$U$1,$D27-1,0),MATCH(Q$4,'Lower SPB'!$C$10:$U$10,0))</f>
        <v>59.571559759834095</v>
      </c>
      <c r="R27" s="325">
        <f ca="1">INDEX(OFFSET('Lower SPB'!$C$1:$U$1,$D27-1,0),MATCH(R$4,'Lower SPB'!$C$10:$U$10,0))</f>
        <v>59.465993985882136</v>
      </c>
      <c r="S27" s="325">
        <f ca="1">INDEX(OFFSET('Lower SPB'!$C$1:$U$1,$D27-1,0),MATCH(S$4,'Lower SPB'!$C$10:$U$10,0))</f>
        <v>59.394198333084745</v>
      </c>
      <c r="T27" s="325">
        <f ca="1">INDEX(OFFSET('Lower SPB'!$C$1:$U$1,$D27-1,0),MATCH(T$4,'Lower SPB'!$C$10:$U$10,0))</f>
        <v>59.253188289772872</v>
      </c>
      <c r="U27" s="325">
        <f ca="1">INDEX(OFFSET('Lower SPB'!$C$1:$U$1,$D27-1,0),MATCH(U$4,'Lower SPB'!$C$10:$U$10,0))</f>
        <v>59.107164465630802</v>
      </c>
      <c r="V27" s="325">
        <f ca="1">INDEX(OFFSET('Lower SPB'!$C$1:$U$1,$D27-1,0),MATCH(V$4,'Lower SPB'!$C$10:$U$10,0))</f>
        <v>58.953409898589911</v>
      </c>
      <c r="W27" s="325">
        <f ca="1">INDEX(OFFSET('Lower SPB'!$C$1:$U$1,$D27-1,0),MATCH(W$4,'Lower SPB'!$C$10:$U$10,0))</f>
        <v>58.695445150871443</v>
      </c>
      <c r="X27" s="325">
        <f ca="1">INDEX(OFFSET('Lower SPB'!$C$1:$U$1,$D27-1,0),MATCH(X$4,'Lower SPB'!$C$10:$U$10,0))</f>
        <v>58.471872470087021</v>
      </c>
      <c r="Y27" s="265"/>
    </row>
    <row r="28" spans="1:25" x14ac:dyDescent="0.2">
      <c r="A28" s="265"/>
      <c r="B28" s="332">
        <v>5</v>
      </c>
      <c r="C28" s="336" t="s">
        <v>40</v>
      </c>
      <c r="D28" s="337">
        <v>12</v>
      </c>
      <c r="E28" s="338" t="s">
        <v>215</v>
      </c>
      <c r="F28" s="325">
        <f ca="1">INDEX(OFFSET('Lower SPB'!$C$1:$U$1,$D28-1,0),MATCH(F$4,'Lower SPB'!$C$10:$U$10,0))</f>
        <v>-1.2609140000000001</v>
      </c>
      <c r="G28" s="325">
        <f ca="1">INDEX(OFFSET('Lower SPB'!$C$1:$U$1,$D28-1,0),MATCH(G$4,'Lower SPB'!$C$10:$U$10,0))</f>
        <v>-1.0152870000000001</v>
      </c>
      <c r="H28" s="325">
        <f ca="1">INDEX(OFFSET('Lower SPB'!$C$1:$U$1,$D28-1,0),MATCH(H$4,'Lower SPB'!$C$10:$U$10,0))</f>
        <v>-0.47528700000000002</v>
      </c>
      <c r="I28" s="325">
        <f ca="1">INDEX(OFFSET('Lower SPB'!$C$1:$U$1,$D28-1,0),MATCH(I$4,'Lower SPB'!$C$10:$U$10,0))</f>
        <v>6.4713000000000021E-2</v>
      </c>
      <c r="J28" s="325">
        <f ca="1">INDEX(OFFSET('Lower SPB'!$C$1:$U$1,$D28-1,0),MATCH(J$4,'Lower SPB'!$C$10:$U$10,0))</f>
        <v>0.60471300000000006</v>
      </c>
      <c r="K28" s="325">
        <f ca="1">INDEX(OFFSET('Lower SPB'!$C$1:$U$1,$D28-1,0),MATCH(K$4,'Lower SPB'!$C$10:$U$10,0))</f>
        <v>1.1447130000000001</v>
      </c>
      <c r="L28" s="325">
        <f ca="1">INDEX(OFFSET('Lower SPB'!$C$1:$U$1,$D28-1,0),MATCH(L$4,'Lower SPB'!$C$10:$U$10,0))</f>
        <v>0.89471300000000009</v>
      </c>
      <c r="M28" s="325">
        <f ca="1">INDEX(OFFSET('Lower SPB'!$C$1:$U$1,$D28-1,0),MATCH(M$4,'Lower SPB'!$C$10:$U$10,0))</f>
        <v>0.64471300000000009</v>
      </c>
      <c r="N28" s="325">
        <f ca="1">INDEX(OFFSET('Lower SPB'!$C$1:$U$1,$D28-1,0),MATCH(N$4,'Lower SPB'!$C$10:$U$10,0))</f>
        <v>0.64471300000000009</v>
      </c>
      <c r="O28" s="325">
        <f ca="1">INDEX(OFFSET('Lower SPB'!$C$1:$U$1,$D28-1,0),MATCH(O$4,'Lower SPB'!$C$10:$U$10,0))</f>
        <v>0.64471300000000009</v>
      </c>
      <c r="P28" s="325">
        <f ca="1">INDEX(OFFSET('Lower SPB'!$C$1:$U$1,$D28-1,0),MATCH(P$4,'Lower SPB'!$C$10:$U$10,0))</f>
        <v>0.64471300000000009</v>
      </c>
      <c r="Q28" s="325">
        <f ca="1">INDEX(OFFSET('Lower SPB'!$C$1:$U$1,$D28-1,0),MATCH(Q$4,'Lower SPB'!$C$10:$U$10,0))</f>
        <v>0.64471300000000009</v>
      </c>
      <c r="R28" s="325">
        <f ca="1">INDEX(OFFSET('Lower SPB'!$C$1:$U$1,$D28-1,0),MATCH(R$4,'Lower SPB'!$C$10:$U$10,0))</f>
        <v>0.64471300000000009</v>
      </c>
      <c r="S28" s="325">
        <f ca="1">INDEX(OFFSET('Lower SPB'!$C$1:$U$1,$D28-1,0),MATCH(S$4,'Lower SPB'!$C$10:$U$10,0))</f>
        <v>0.64471300000000009</v>
      </c>
      <c r="T28" s="325">
        <f ca="1">INDEX(OFFSET('Lower SPB'!$C$1:$U$1,$D28-1,0),MATCH(T$4,'Lower SPB'!$C$10:$U$10,0))</f>
        <v>0.64471300000000009</v>
      </c>
      <c r="U28" s="325">
        <f ca="1">INDEX(OFFSET('Lower SPB'!$C$1:$U$1,$D28-1,0),MATCH(U$4,'Lower SPB'!$C$10:$U$10,0))</f>
        <v>0.64471300000000009</v>
      </c>
      <c r="V28" s="325">
        <f ca="1">INDEX(OFFSET('Lower SPB'!$C$1:$U$1,$D28-1,0),MATCH(V$4,'Lower SPB'!$C$10:$U$10,0))</f>
        <v>0.64471300000000009</v>
      </c>
      <c r="W28" s="325">
        <f ca="1">INDEX(OFFSET('Lower SPB'!$C$1:$U$1,$D28-1,0),MATCH(W$4,'Lower SPB'!$C$10:$U$10,0))</f>
        <v>0.64471300000000009</v>
      </c>
      <c r="X28" s="325">
        <f ca="1">INDEX(OFFSET('Lower SPB'!$C$1:$U$1,$D28-1,0),MATCH(X$4,'Lower SPB'!$C$10:$U$10,0))</f>
        <v>0.64471300000000009</v>
      </c>
      <c r="Y28" s="265"/>
    </row>
    <row r="29" spans="1:25" x14ac:dyDescent="0.2">
      <c r="A29" s="265"/>
      <c r="B29" s="332"/>
      <c r="C29" s="330" t="s">
        <v>227</v>
      </c>
      <c r="D29" s="330"/>
      <c r="E29" s="334">
        <f>F29-1</f>
        <v>2022</v>
      </c>
      <c r="F29" s="335">
        <f>'Input data'!$C$5-1</f>
        <v>2023</v>
      </c>
      <c r="G29" s="335">
        <f>F29+1</f>
        <v>2024</v>
      </c>
      <c r="H29" s="335">
        <f t="shared" ref="H29:X29" si="3">G29+1</f>
        <v>2025</v>
      </c>
      <c r="I29" s="335">
        <f t="shared" si="3"/>
        <v>2026</v>
      </c>
      <c r="J29" s="335">
        <f t="shared" si="3"/>
        <v>2027</v>
      </c>
      <c r="K29" s="335">
        <f t="shared" si="3"/>
        <v>2028</v>
      </c>
      <c r="L29" s="335">
        <f t="shared" si="3"/>
        <v>2029</v>
      </c>
      <c r="M29" s="335">
        <f t="shared" si="3"/>
        <v>2030</v>
      </c>
      <c r="N29" s="335">
        <f t="shared" si="3"/>
        <v>2031</v>
      </c>
      <c r="O29" s="335">
        <f t="shared" si="3"/>
        <v>2032</v>
      </c>
      <c r="P29" s="335">
        <f t="shared" si="3"/>
        <v>2033</v>
      </c>
      <c r="Q29" s="335">
        <f t="shared" si="3"/>
        <v>2034</v>
      </c>
      <c r="R29" s="335">
        <f t="shared" si="3"/>
        <v>2035</v>
      </c>
      <c r="S29" s="335">
        <f t="shared" si="3"/>
        <v>2036</v>
      </c>
      <c r="T29" s="335">
        <f t="shared" si="3"/>
        <v>2037</v>
      </c>
      <c r="U29" s="335">
        <f t="shared" si="3"/>
        <v>2038</v>
      </c>
      <c r="V29" s="335">
        <f t="shared" si="3"/>
        <v>2039</v>
      </c>
      <c r="W29" s="335">
        <f t="shared" si="3"/>
        <v>2040</v>
      </c>
      <c r="X29" s="335">
        <f t="shared" si="3"/>
        <v>2041</v>
      </c>
      <c r="Y29" s="265"/>
    </row>
    <row r="30" spans="1:25" x14ac:dyDescent="0.2">
      <c r="A30" s="265"/>
      <c r="B30" s="332">
        <v>6</v>
      </c>
      <c r="C30" s="336" t="s">
        <v>212</v>
      </c>
      <c r="D30" s="337">
        <v>57</v>
      </c>
      <c r="E30" s="338" t="s">
        <v>213</v>
      </c>
      <c r="F30" s="325">
        <f ca="1">INDEX(OFFSET('Adverse (r-g)'!$C$1:$U$1,$D30-1,0),MATCH(F$4,'Adverse (r-g)'!$C$10:$U$10,0))</f>
        <v>62.885489999999997</v>
      </c>
      <c r="G30" s="325">
        <f ca="1">INDEX(OFFSET('Adverse (r-g)'!$C$1:$U$1,$D30-1,0),MATCH(G$4,'Adverse (r-g)'!$C$10:$U$10,0))</f>
        <v>62.455679115154567</v>
      </c>
      <c r="H30" s="325">
        <f ca="1">INDEX(OFFSET('Adverse (r-g)'!$C$1:$U$1,$D30-1,0),MATCH(H$4,'Adverse (r-g)'!$C$10:$U$10,0))</f>
        <v>63.692130003522081</v>
      </c>
      <c r="I30" s="325">
        <f ca="1">INDEX(OFFSET('Adverse (r-g)'!$C$1:$U$1,$D30-1,0),MATCH(I$4,'Adverse (r-g)'!$C$10:$U$10,0))</f>
        <v>64.202561464572838</v>
      </c>
      <c r="J30" s="325">
        <f ca="1">INDEX(OFFSET('Adverse (r-g)'!$C$1:$U$1,$D30-1,0),MATCH(J$4,'Adverse (r-g)'!$C$10:$U$10,0))</f>
        <v>63.836881536064524</v>
      </c>
      <c r="K30" s="325">
        <f ca="1">INDEX(OFFSET('Adverse (r-g)'!$C$1:$U$1,$D30-1,0),MATCH(K$4,'Adverse (r-g)'!$C$10:$U$10,0))</f>
        <v>62.913564321630858</v>
      </c>
      <c r="L30" s="325">
        <f ca="1">INDEX(OFFSET('Adverse (r-g)'!$C$1:$U$1,$D30-1,0),MATCH(L$4,'Adverse (r-g)'!$C$10:$U$10,0))</f>
        <v>62.014622970612756</v>
      </c>
      <c r="M30" s="325">
        <f ca="1">INDEX(OFFSET('Adverse (r-g)'!$C$1:$U$1,$D30-1,0),MATCH(M$4,'Adverse (r-g)'!$C$10:$U$10,0))</f>
        <v>61.084083031568625</v>
      </c>
      <c r="N30" s="325">
        <f ca="1">INDEX(OFFSET('Adverse (r-g)'!$C$1:$U$1,$D30-1,0),MATCH(N$4,'Adverse (r-g)'!$C$10:$U$10,0))</f>
        <v>60.114686352760124</v>
      </c>
      <c r="O30" s="325">
        <f ca="1">INDEX(OFFSET('Adverse (r-g)'!$C$1:$U$1,$D30-1,0),MATCH(O$4,'Adverse (r-g)'!$C$10:$U$10,0))</f>
        <v>59.740183363217895</v>
      </c>
      <c r="P30" s="325">
        <f ca="1">INDEX(OFFSET('Adverse (r-g)'!$C$1:$U$1,$D30-1,0),MATCH(P$4,'Adverse (r-g)'!$C$10:$U$10,0))</f>
        <v>59.545791182267592</v>
      </c>
      <c r="Q30" s="325">
        <f ca="1">INDEX(OFFSET('Adverse (r-g)'!$C$1:$U$1,$D30-1,0),MATCH(Q$4,'Adverse (r-g)'!$C$10:$U$10,0))</f>
        <v>59.373170589244829</v>
      </c>
      <c r="R30" s="325">
        <f ca="1">INDEX(OFFSET('Adverse (r-g)'!$C$1:$U$1,$D30-1,0),MATCH(R$4,'Adverse (r-g)'!$C$10:$U$10,0))</f>
        <v>59.25046718067501</v>
      </c>
      <c r="S30" s="325">
        <f ca="1">INDEX(OFFSET('Adverse (r-g)'!$C$1:$U$1,$D30-1,0),MATCH(S$4,'Adverse (r-g)'!$C$10:$U$10,0))</f>
        <v>59.172910371267896</v>
      </c>
      <c r="T30" s="325">
        <f ca="1">INDEX(OFFSET('Adverse (r-g)'!$C$1:$U$1,$D30-1,0),MATCH(T$4,'Adverse (r-g)'!$C$10:$U$10,0))</f>
        <v>59.036208048794144</v>
      </c>
      <c r="U30" s="325">
        <f ca="1">INDEX(OFFSET('Adverse (r-g)'!$C$1:$U$1,$D30-1,0),MATCH(U$4,'Adverse (r-g)'!$C$10:$U$10,0))</f>
        <v>58.903051501839876</v>
      </c>
      <c r="V30" s="325">
        <f ca="1">INDEX(OFFSET('Adverse (r-g)'!$C$1:$U$1,$D30-1,0),MATCH(V$4,'Adverse (r-g)'!$C$10:$U$10,0))</f>
        <v>58.769285817128051</v>
      </c>
      <c r="W30" s="325">
        <f ca="1">INDEX(OFFSET('Adverse (r-g)'!$C$1:$U$1,$D30-1,0),MATCH(W$4,'Adverse (r-g)'!$C$10:$U$10,0))</f>
        <v>58.537199196518827</v>
      </c>
      <c r="X30" s="325">
        <f ca="1">INDEX(OFFSET('Adverse (r-g)'!$C$1:$U$1,$D30-1,0),MATCH(X$4,'Adverse (r-g)'!$C$10:$U$10,0))</f>
        <v>58.343764168965123</v>
      </c>
      <c r="Y30" s="265"/>
    </row>
    <row r="31" spans="1:25" x14ac:dyDescent="0.2">
      <c r="A31" s="265"/>
      <c r="B31" s="332">
        <v>7</v>
      </c>
      <c r="C31" s="336" t="s">
        <v>91</v>
      </c>
      <c r="D31" s="337">
        <v>37</v>
      </c>
      <c r="E31" s="338" t="s">
        <v>219</v>
      </c>
      <c r="F31" s="325">
        <f ca="1">INDEX(OFFSET('Adverse (r-g)'!$C$1:$U$1,$D31-1,0),MATCH(F$4,'Adverse (r-g)'!$C$10:$U$10,0))</f>
        <v>2.4300000000000002</v>
      </c>
      <c r="G31" s="325">
        <f ca="1">INDEX(OFFSET('Adverse (r-g)'!$C$1:$U$1,$D31-1,0),MATCH(G$4,'Adverse (r-g)'!$C$10:$U$10,0))</f>
        <v>2.3224999999999998</v>
      </c>
      <c r="H31" s="325">
        <f ca="1">INDEX(OFFSET('Adverse (r-g)'!$C$1:$U$1,$D31-1,0),MATCH(H$4,'Adverse (r-g)'!$C$10:$U$10,0))</f>
        <v>2.544438</v>
      </c>
      <c r="I31" s="325">
        <f ca="1">INDEX(OFFSET('Adverse (r-g)'!$C$1:$U$1,$D31-1,0),MATCH(I$4,'Adverse (r-g)'!$C$10:$U$10,0))</f>
        <v>2.698655</v>
      </c>
      <c r="J31" s="325">
        <f ca="1">INDEX(OFFSET('Adverse (r-g)'!$C$1:$U$1,$D31-1,0),MATCH(J$4,'Adverse (r-g)'!$C$10:$U$10,0))</f>
        <v>2.7743606249999999</v>
      </c>
      <c r="K31" s="325">
        <f ca="1">INDEX(OFFSET('Adverse (r-g)'!$C$1:$U$1,$D31-1,0),MATCH(K$4,'Adverse (r-g)'!$C$10:$U$10,0))</f>
        <v>2.8500662500000002</v>
      </c>
      <c r="L31" s="325">
        <f ca="1">INDEX(OFFSET('Adverse (r-g)'!$C$1:$U$1,$D31-1,0),MATCH(L$4,'Adverse (r-g)'!$C$10:$U$10,0))</f>
        <v>3.4257718750000001</v>
      </c>
      <c r="M31" s="325">
        <f ca="1">INDEX(OFFSET('Adverse (r-g)'!$C$1:$U$1,$D31-1,0),MATCH(M$4,'Adverse (r-g)'!$C$10:$U$10,0))</f>
        <v>3.5014775</v>
      </c>
      <c r="N31" s="325">
        <f ca="1">INDEX(OFFSET('Adverse (r-g)'!$C$1:$U$1,$D31-1,0),MATCH(N$4,'Adverse (r-g)'!$C$10:$U$10,0))</f>
        <v>3.5771831249999999</v>
      </c>
      <c r="O31" s="325">
        <f ca="1">INDEX(OFFSET('Adverse (r-g)'!$C$1:$U$1,$D31-1,0),MATCH(O$4,'Adverse (r-g)'!$C$10:$U$10,0))</f>
        <v>3.6528887499999998</v>
      </c>
      <c r="P31" s="325">
        <f ca="1">INDEX(OFFSET('Adverse (r-g)'!$C$1:$U$1,$D31-1,0),MATCH(P$4,'Adverse (r-g)'!$C$10:$U$10,0))</f>
        <v>3.7285943750000001</v>
      </c>
      <c r="Q31" s="325">
        <f ca="1">INDEX(OFFSET('Adverse (r-g)'!$C$1:$U$1,$D31-1,0),MATCH(Q$4,'Adverse (r-g)'!$C$10:$U$10,0))</f>
        <v>3.8043</v>
      </c>
      <c r="R31" s="325">
        <f ca="1">INDEX(OFFSET('Adverse (r-g)'!$C$1:$U$1,$D31-1,0),MATCH(R$4,'Adverse (r-g)'!$C$10:$U$10,0))</f>
        <v>3.8390849999999999</v>
      </c>
      <c r="S31" s="325">
        <f ca="1">INDEX(OFFSET('Adverse (r-g)'!$C$1:$U$1,$D31-1,0),MATCH(S$4,'Adverse (r-g)'!$C$10:$U$10,0))</f>
        <v>3.8738700000000001</v>
      </c>
      <c r="T31" s="325">
        <f ca="1">INDEX(OFFSET('Adverse (r-g)'!$C$1:$U$1,$D31-1,0),MATCH(T$4,'Adverse (r-g)'!$C$10:$U$10,0))</f>
        <v>3.908655</v>
      </c>
      <c r="U31" s="325">
        <f ca="1">INDEX(OFFSET('Adverse (r-g)'!$C$1:$U$1,$D31-1,0),MATCH(U$4,'Adverse (r-g)'!$C$10:$U$10,0))</f>
        <v>3.9434399999999998</v>
      </c>
      <c r="V31" s="325">
        <f ca="1">INDEX(OFFSET('Adverse (r-g)'!$C$1:$U$1,$D31-1,0),MATCH(V$4,'Adverse (r-g)'!$C$10:$U$10,0))</f>
        <v>3.9782250000000001</v>
      </c>
      <c r="W31" s="325">
        <f ca="1">INDEX(OFFSET('Adverse (r-g)'!$C$1:$U$1,$D31-1,0),MATCH(W$4,'Adverse (r-g)'!$C$10:$U$10,0))</f>
        <v>4.0130099999999995</v>
      </c>
      <c r="X31" s="325">
        <f ca="1">INDEX(OFFSET('Adverse (r-g)'!$C$1:$U$1,$D31-1,0),MATCH(X$4,'Adverse (r-g)'!$C$10:$U$10,0))</f>
        <v>4.0477949999999998</v>
      </c>
      <c r="Y31" s="265"/>
    </row>
    <row r="32" spans="1:25" x14ac:dyDescent="0.2">
      <c r="A32" s="265"/>
      <c r="B32" s="332">
        <v>8</v>
      </c>
      <c r="C32" s="336" t="s">
        <v>92</v>
      </c>
      <c r="D32" s="337">
        <v>38</v>
      </c>
      <c r="E32" s="338" t="s">
        <v>219</v>
      </c>
      <c r="F32" s="325">
        <f ca="1">INDEX(OFFSET('Adverse (r-g)'!$C$1:$U$1,$D32-1,0),MATCH(F$4,'Adverse (r-g)'!$C$10:$U$10,0))</f>
        <v>3.43</v>
      </c>
      <c r="G32" s="325">
        <f ca="1">INDEX(OFFSET('Adverse (r-g)'!$C$1:$U$1,$D32-1,0),MATCH(G$4,'Adverse (r-g)'!$C$10:$U$10,0))</f>
        <v>3.5708329999999999</v>
      </c>
      <c r="H32" s="325">
        <f ca="1">INDEX(OFFSET('Adverse (r-g)'!$C$1:$U$1,$D32-1,0),MATCH(H$4,'Adverse (r-g)'!$C$10:$U$10,0))</f>
        <v>1.999333</v>
      </c>
      <c r="I32" s="325">
        <f ca="1">INDEX(OFFSET('Adverse (r-g)'!$C$1:$U$1,$D32-1,0),MATCH(I$4,'Adverse (r-g)'!$C$10:$U$10,0))</f>
        <v>1.7208330000000001</v>
      </c>
      <c r="J32" s="325">
        <f ca="1">INDEX(OFFSET('Adverse (r-g)'!$C$1:$U$1,$D32-1,0),MATCH(J$4,'Adverse (r-g)'!$C$10:$U$10,0))</f>
        <v>1.877801375</v>
      </c>
      <c r="K32" s="325">
        <f ca="1">INDEX(OFFSET('Adverse (r-g)'!$C$1:$U$1,$D32-1,0),MATCH(K$4,'Adverse (r-g)'!$C$10:$U$10,0))</f>
        <v>2.0347697500000002</v>
      </c>
      <c r="L32" s="325">
        <f ca="1">INDEX(OFFSET('Adverse (r-g)'!$C$1:$U$1,$D32-1,0),MATCH(L$4,'Adverse (r-g)'!$C$10:$U$10,0))</f>
        <v>2.6917381250000001</v>
      </c>
      <c r="M32" s="325">
        <f ca="1">INDEX(OFFSET('Adverse (r-g)'!$C$1:$U$1,$D32-1,0),MATCH(M$4,'Adverse (r-g)'!$C$10:$U$10,0))</f>
        <v>2.8487065</v>
      </c>
      <c r="N32" s="325">
        <f ca="1">INDEX(OFFSET('Adverse (r-g)'!$C$1:$U$1,$D32-1,0),MATCH(N$4,'Adverse (r-g)'!$C$10:$U$10,0))</f>
        <v>3.005674875</v>
      </c>
      <c r="O32" s="325">
        <f ca="1">INDEX(OFFSET('Adverse (r-g)'!$C$1:$U$1,$D32-1,0),MATCH(O$4,'Adverse (r-g)'!$C$10:$U$10,0))</f>
        <v>3.1626432499999999</v>
      </c>
      <c r="P32" s="325">
        <f ca="1">INDEX(OFFSET('Adverse (r-g)'!$C$1:$U$1,$D32-1,0),MATCH(P$4,'Adverse (r-g)'!$C$10:$U$10,0))</f>
        <v>3.3196116249999998</v>
      </c>
      <c r="Q32" s="325">
        <f ca="1">INDEX(OFFSET('Adverse (r-g)'!$C$1:$U$1,$D32-1,0),MATCH(Q$4,'Adverse (r-g)'!$C$10:$U$10,0))</f>
        <v>3.4765799999999998</v>
      </c>
      <c r="R32" s="325">
        <f ca="1">INDEX(OFFSET('Adverse (r-g)'!$C$1:$U$1,$D32-1,0),MATCH(R$4,'Adverse (r-g)'!$C$10:$U$10,0))</f>
        <v>3.4277509999999998</v>
      </c>
      <c r="S32" s="325">
        <f ca="1">INDEX(OFFSET('Adverse (r-g)'!$C$1:$U$1,$D32-1,0),MATCH(S$4,'Adverse (r-g)'!$C$10:$U$10,0))</f>
        <v>3.3789219999999998</v>
      </c>
      <c r="T32" s="325">
        <f ca="1">INDEX(OFFSET('Adverse (r-g)'!$C$1:$U$1,$D32-1,0),MATCH(T$4,'Adverse (r-g)'!$C$10:$U$10,0))</f>
        <v>3.3300929999999997</v>
      </c>
      <c r="U32" s="325">
        <f ca="1">INDEX(OFFSET('Adverse (r-g)'!$C$1:$U$1,$D32-1,0),MATCH(U$4,'Adverse (r-g)'!$C$10:$U$10,0))</f>
        <v>3.2812639999999997</v>
      </c>
      <c r="V32" s="325">
        <f ca="1">INDEX(OFFSET('Adverse (r-g)'!$C$1:$U$1,$D32-1,0),MATCH(V$4,'Adverse (r-g)'!$C$10:$U$10,0))</f>
        <v>3.2324349999999997</v>
      </c>
      <c r="W32" s="325">
        <f ca="1">INDEX(OFFSET('Adverse (r-g)'!$C$1:$U$1,$D32-1,0),MATCH(W$4,'Adverse (r-g)'!$C$10:$U$10,0))</f>
        <v>3.1836059999999997</v>
      </c>
      <c r="X32" s="325">
        <f ca="1">INDEX(OFFSET('Adverse (r-g)'!$C$1:$U$1,$D32-1,0),MATCH(X$4,'Adverse (r-g)'!$C$10:$U$10,0))</f>
        <v>3.1347769999999997</v>
      </c>
      <c r="Y32" s="265"/>
    </row>
    <row r="33" spans="1:25" x14ac:dyDescent="0.2">
      <c r="A33" s="265"/>
      <c r="B33" s="332">
        <v>9</v>
      </c>
      <c r="C33" s="328" t="s">
        <v>223</v>
      </c>
      <c r="D33" s="337">
        <v>23</v>
      </c>
      <c r="E33" s="338" t="s">
        <v>222</v>
      </c>
      <c r="F33" s="325">
        <f ca="1">INDEX(OFFSET('Adverse (r-g)'!$C$1:$U$1,$D33-1,0),MATCH(F$4,'Adverse (r-g)'!$C$10:$U$10,0))</f>
        <v>-0.26643830000000002</v>
      </c>
      <c r="G33" s="325">
        <f ca="1">INDEX(OFFSET('Adverse (r-g)'!$C$1:$U$1,$D33-1,0),MATCH(G$4,'Adverse (r-g)'!$C$10:$U$10,0))</f>
        <v>-0.23852610000000274</v>
      </c>
      <c r="H33" s="325">
        <f ca="1">INDEX(OFFSET('Adverse (r-g)'!$C$1:$U$1,$D33-1,0),MATCH(H$4,'Adverse (r-g)'!$C$10:$U$10,0))</f>
        <v>-0.23283890000000973</v>
      </c>
      <c r="I33" s="325">
        <f ca="1">INDEX(OFFSET('Adverse (r-g)'!$C$1:$U$1,$D33-1,0),MATCH(I$4,'Adverse (r-g)'!$C$10:$U$10,0))</f>
        <v>0.35815101817495698</v>
      </c>
      <c r="J33" s="325">
        <f ca="1">INDEX(OFFSET('Adverse (r-g)'!$C$1:$U$1,$D33-1,0),MATCH(J$4,'Adverse (r-g)'!$C$10:$U$10,0))</f>
        <v>0.67860352311204242</v>
      </c>
      <c r="K33" s="325">
        <f ca="1">INDEX(OFFSET('Adverse (r-g)'!$C$1:$U$1,$D33-1,0),MATCH(K$4,'Adverse (r-g)'!$C$10:$U$10,0))</f>
        <v>0.70713922527392281</v>
      </c>
      <c r="L33" s="325">
        <f ca="1">INDEX(OFFSET('Adverse (r-g)'!$C$1:$U$1,$D33-1,0),MATCH(L$4,'Adverse (r-g)'!$C$10:$U$10,0))</f>
        <v>0.66003333413149345</v>
      </c>
      <c r="M33" s="325">
        <f ca="1">INDEX(OFFSET('Adverse (r-g)'!$C$1:$U$1,$D33-1,0),MATCH(M$4,'Adverse (r-g)'!$C$10:$U$10,0))</f>
        <v>0.63323472621514831</v>
      </c>
      <c r="N33" s="325">
        <f ca="1">INDEX(OFFSET('Adverse (r-g)'!$C$1:$U$1,$D33-1,0),MATCH(N$4,'Adverse (r-g)'!$C$10:$U$10,0))</f>
        <v>0.60397036524468817</v>
      </c>
      <c r="O33" s="325">
        <f ca="1">INDEX(OFFSET('Adverse (r-g)'!$C$1:$U$1,$D33-1,0),MATCH(O$4,'Adverse (r-g)'!$C$10:$U$10,0))</f>
        <v>8.6657700000003501E-2</v>
      </c>
      <c r="P33" s="325">
        <f ca="1">INDEX(OFFSET('Adverse (r-g)'!$C$1:$U$1,$D33-1,0),MATCH(P$4,'Adverse (r-g)'!$C$10:$U$10,0))</f>
        <v>8.4613799999999628E-2</v>
      </c>
      <c r="Q33" s="325">
        <f ca="1">INDEX(OFFSET('Adverse (r-g)'!$C$1:$U$1,$D33-1,0),MATCH(Q$4,'Adverse (r-g)'!$C$10:$U$10,0))</f>
        <v>0.17615280000000677</v>
      </c>
      <c r="R33" s="325">
        <f ca="1">INDEX(OFFSET('Adverse (r-g)'!$C$1:$U$1,$D33-1,0),MATCH(R$4,'Adverse (r-g)'!$C$10:$U$10,0))</f>
        <v>0.38076970000000543</v>
      </c>
      <c r="S33" s="325">
        <f ca="1">INDEX(OFFSET('Adverse (r-g)'!$C$1:$U$1,$D33-1,0),MATCH(S$4,'Adverse (r-g)'!$C$10:$U$10,0))</f>
        <v>0.58538599999999885</v>
      </c>
      <c r="T33" s="325">
        <f ca="1">INDEX(OFFSET('Adverse (r-g)'!$C$1:$U$1,$D33-1,0),MATCH(T$4,'Adverse (r-g)'!$C$10:$U$10,0))</f>
        <v>0.79000099999999573</v>
      </c>
      <c r="U33" s="325">
        <f ca="1">INDEX(OFFSET('Adverse (r-g)'!$C$1:$U$1,$D33-1,0),MATCH(U$4,'Adverse (r-g)'!$C$10:$U$10,0))</f>
        <v>0.87999899999999798</v>
      </c>
      <c r="V33" s="325">
        <f ca="1">INDEX(OFFSET('Adverse (r-g)'!$C$1:$U$1,$D33-1,0),MATCH(V$4,'Adverse (r-g)'!$C$10:$U$10,0))</f>
        <v>0.97000499999999601</v>
      </c>
      <c r="W33" s="325">
        <f ca="1">INDEX(OFFSET('Adverse (r-g)'!$C$1:$U$1,$D33-1,0),MATCH(W$4,'Adverse (r-g)'!$C$10:$U$10,0))</f>
        <v>1.0499980000000075</v>
      </c>
      <c r="X33" s="325">
        <f ca="1">INDEX(OFFSET('Adverse (r-g)'!$C$1:$U$1,$D33-1,0),MATCH(X$4,'Adverse (r-g)'!$C$10:$U$10,0))</f>
        <v>1.0600020000000043</v>
      </c>
      <c r="Y33" s="265"/>
    </row>
    <row r="34" spans="1:25" x14ac:dyDescent="0.2">
      <c r="A34" s="265"/>
      <c r="B34" s="332">
        <v>10</v>
      </c>
      <c r="C34" s="340" t="s">
        <v>62</v>
      </c>
      <c r="D34" s="337">
        <v>27</v>
      </c>
      <c r="E34" s="338" t="s">
        <v>222</v>
      </c>
      <c r="F34" s="325">
        <f>'Input data'!C$33</f>
        <v>0.70973679999999995</v>
      </c>
      <c r="G34" s="325">
        <f ca="1">(INDEX(OFFSET('Adverse (r-g)'!$C$1:$U$1,$D34-1,0),MATCH(G$4,'Adverse (r-g)'!$C$10:$U$10,0))/INDEX(OFFSET('Adverse (r-g)'!$C$1:$U$1,$D34-1,0),MATCH(F$4,'Adverse (r-g)'!$C$10:$U$10,0))-1)*100</f>
        <v>0.45046040000000787</v>
      </c>
      <c r="H34" s="325">
        <f ca="1">(INDEX(OFFSET('Adverse (r-g)'!$C$1:$U$1,$D34-1,0),MATCH(H$4,'Adverse (r-g)'!$C$10:$U$10,0))/INDEX(OFFSET('Adverse (r-g)'!$C$1:$U$1,$D34-1,0),MATCH(G$4,'Adverse (r-g)'!$C$10:$U$10,0))-1)*100</f>
        <v>0.26733100000000398</v>
      </c>
      <c r="I34" s="325">
        <f ca="1">(INDEX(OFFSET('Adverse (r-g)'!$C$1:$U$1,$D34-1,0),MATCH(I$4,'Adverse (r-g)'!$C$10:$U$10,0))/INDEX(OFFSET('Adverse (r-g)'!$C$1:$U$1,$D34-1,0),MATCH(H$4,'Adverse (r-g)'!$C$10:$U$10,0))-1)*100</f>
        <v>0.34786209999999596</v>
      </c>
      <c r="J34" s="325">
        <f ca="1">(INDEX(OFFSET('Adverse (r-g)'!$C$1:$U$1,$D34-1,0),MATCH(J$4,'Adverse (r-g)'!$C$10:$U$10,0))/INDEX(OFFSET('Adverse (r-g)'!$C$1:$U$1,$D34-1,0),MATCH(I$4,'Adverse (r-g)'!$C$10:$U$10,0))-1)*100</f>
        <v>0.45301710000000828</v>
      </c>
      <c r="K34" s="325">
        <f ca="1">(INDEX(OFFSET('Adverse (r-g)'!$C$1:$U$1,$D34-1,0),MATCH(K$4,'Adverse (r-g)'!$C$10:$U$10,0))/INDEX(OFFSET('Adverse (r-g)'!$C$1:$U$1,$D34-1,0),MATCH(J$4,'Adverse (r-g)'!$C$10:$U$10,0))-1)*100</f>
        <v>0.55741680000001015</v>
      </c>
      <c r="L34" s="325">
        <f ca="1">(INDEX(OFFSET('Adverse (r-g)'!$C$1:$U$1,$D34-1,0),MATCH(L$4,'Adverse (r-g)'!$C$10:$U$10,0))/INDEX(OFFSET('Adverse (r-g)'!$C$1:$U$1,$D34-1,0),MATCH(K$4,'Adverse (r-g)'!$C$10:$U$10,0))-1)*100</f>
        <v>0.15797120000000664</v>
      </c>
      <c r="M34" s="325">
        <f ca="1">(INDEX(OFFSET('Adverse (r-g)'!$C$1:$U$1,$D34-1,0),MATCH(M$4,'Adverse (r-g)'!$C$10:$U$10,0))/INDEX(OFFSET('Adverse (r-g)'!$C$1:$U$1,$D34-1,0),MATCH(L$4,'Adverse (r-g)'!$C$10:$U$10,0))-1)*100</f>
        <v>0.13379730000000478</v>
      </c>
      <c r="N34" s="325">
        <f ca="1">(INDEX(OFFSET('Adverse (r-g)'!$C$1:$U$1,$D34-1,0),MATCH(N$4,'Adverse (r-g)'!$C$10:$U$10,0))/INDEX(OFFSET('Adverse (r-g)'!$C$1:$U$1,$D34-1,0),MATCH(M$4,'Adverse (r-g)'!$C$10:$U$10,0))-1)*100</f>
        <v>0.10714390000001739</v>
      </c>
      <c r="O34" s="325">
        <f ca="1">(INDEX(OFFSET('Adverse (r-g)'!$C$1:$U$1,$D34-1,0),MATCH(O$4,'Adverse (r-g)'!$C$10:$U$10,0))/INDEX(OFFSET('Adverse (r-g)'!$C$1:$U$1,$D34-1,0),MATCH(N$4,'Adverse (r-g)'!$C$10:$U$10,0))-1)*100</f>
        <v>8.6658200000000463E-2</v>
      </c>
      <c r="P34" s="325">
        <f ca="1">(INDEX(OFFSET('Adverse (r-g)'!$C$1:$U$1,$D34-1,0),MATCH(P$4,'Adverse (r-g)'!$C$10:$U$10,0))/INDEX(OFFSET('Adverse (r-g)'!$C$1:$U$1,$D34-1,0),MATCH(O$4,'Adverse (r-g)'!$C$10:$U$10,0))-1)*100</f>
        <v>8.461420000001052E-2</v>
      </c>
      <c r="Q34" s="325">
        <f ca="1">(INDEX(OFFSET('Adverse (r-g)'!$C$1:$U$1,$D34-1,0),MATCH(Q$4,'Adverse (r-g)'!$C$10:$U$10,0))/INDEX(OFFSET('Adverse (r-g)'!$C$1:$U$1,$D34-1,0),MATCH(P$4,'Adverse (r-g)'!$C$10:$U$10,0))-1)*100</f>
        <v>0.17615050000001631</v>
      </c>
      <c r="R34" s="325">
        <f ca="1">(INDEX(OFFSET('Adverse (r-g)'!$C$1:$U$1,$D34-1,0),MATCH(R$4,'Adverse (r-g)'!$C$10:$U$10,0))/INDEX(OFFSET('Adverse (r-g)'!$C$1:$U$1,$D34-1,0),MATCH(Q$4,'Adverse (r-g)'!$C$10:$U$10,0))-1)*100</f>
        <v>0.38076700000000407</v>
      </c>
      <c r="S34" s="325">
        <f ca="1">(INDEX(OFFSET('Adverse (r-g)'!$C$1:$U$1,$D34-1,0),MATCH(S$4,'Adverse (r-g)'!$C$10:$U$10,0))/INDEX(OFFSET('Adverse (r-g)'!$C$1:$U$1,$D34-1,0),MATCH(R$4,'Adverse (r-g)'!$C$10:$U$10,0))-1)*100</f>
        <v>0.58538300000001708</v>
      </c>
      <c r="T34" s="325">
        <f ca="1">(INDEX(OFFSET('Adverse (r-g)'!$C$1:$U$1,$D34-1,0),MATCH(T$4,'Adverse (r-g)'!$C$10:$U$10,0))/INDEX(OFFSET('Adverse (r-g)'!$C$1:$U$1,$D34-1,0),MATCH(S$4,'Adverse (r-g)'!$C$10:$U$10,0))-1)*100</f>
        <v>0.79000000000000181</v>
      </c>
      <c r="U34" s="325">
        <f ca="1">(INDEX(OFFSET('Adverse (r-g)'!$C$1:$U$1,$D34-1,0),MATCH(U$4,'Adverse (r-g)'!$C$10:$U$10,0))/INDEX(OFFSET('Adverse (r-g)'!$C$1:$U$1,$D34-1,0),MATCH(T$4,'Adverse (r-g)'!$C$10:$U$10,0))-1)*100</f>
        <v>0.8800000000000141</v>
      </c>
      <c r="V34" s="325">
        <f ca="1">(INDEX(OFFSET('Adverse (r-g)'!$C$1:$U$1,$D34-1,0),MATCH(V$4,'Adverse (r-g)'!$C$10:$U$10,0))/INDEX(OFFSET('Adverse (r-g)'!$C$1:$U$1,$D34-1,0),MATCH(U$4,'Adverse (r-g)'!$C$10:$U$10,0))-1)*100</f>
        <v>0.97000000000000419</v>
      </c>
      <c r="W34" s="325">
        <f ca="1">(INDEX(OFFSET('Adverse (r-g)'!$C$1:$U$1,$D34-1,0),MATCH(W$4,'Adverse (r-g)'!$C$10:$U$10,0))/INDEX(OFFSET('Adverse (r-g)'!$C$1:$U$1,$D34-1,0),MATCH(V$4,'Adverse (r-g)'!$C$10:$U$10,0))-1)*100</f>
        <v>1.0500000000000176</v>
      </c>
      <c r="X34" s="325">
        <f ca="1">(INDEX(OFFSET('Adverse (r-g)'!$C$1:$U$1,$D34-1,0),MATCH(X$4,'Adverse (r-g)'!$C$10:$U$10,0))/INDEX(OFFSET('Adverse (r-g)'!$C$1:$U$1,$D34-1,0),MATCH(W$4,'Adverse (r-g)'!$C$10:$U$10,0))-1)*100</f>
        <v>1.0600000000000165</v>
      </c>
      <c r="Y34" s="265"/>
    </row>
    <row r="35" spans="1:25" x14ac:dyDescent="0.2">
      <c r="A35" s="265"/>
      <c r="B35" s="332"/>
      <c r="C35" s="330" t="s">
        <v>228</v>
      </c>
      <c r="D35" s="330"/>
      <c r="E35" s="334">
        <f>F35-1</f>
        <v>2032</v>
      </c>
      <c r="F35" s="343">
        <f>'Input data'!$C$6+5</f>
        <v>2033</v>
      </c>
      <c r="G35" s="265"/>
      <c r="H35" s="265"/>
      <c r="I35" s="265"/>
      <c r="J35" s="265"/>
      <c r="K35" s="265"/>
      <c r="L35" s="265"/>
      <c r="M35" s="265"/>
      <c r="N35" s="265"/>
      <c r="O35" s="265"/>
      <c r="P35" s="265"/>
      <c r="Q35" s="265"/>
      <c r="R35" s="265"/>
      <c r="S35" s="265"/>
      <c r="T35" s="265"/>
      <c r="U35" s="265"/>
      <c r="V35" s="265"/>
      <c r="W35" s="265"/>
      <c r="X35" s="265"/>
      <c r="Y35" s="265"/>
    </row>
    <row r="36" spans="1:25" x14ac:dyDescent="0.2">
      <c r="A36" s="265"/>
      <c r="B36" s="332">
        <v>11</v>
      </c>
      <c r="C36" s="336" t="s">
        <v>229</v>
      </c>
      <c r="D36" s="349" t="s">
        <v>233</v>
      </c>
      <c r="E36" s="338" t="s">
        <v>219</v>
      </c>
      <c r="F36" s="325">
        <f ca="1">IF(ISERROR(I36),"&lt;10",IF(I36=5,"90&lt;",V36+(H36-W36)*$T$36))</f>
        <v>82.588334118887076</v>
      </c>
      <c r="G36" s="355"/>
      <c r="H36" s="345">
        <f>INDEX(Stochastic!$C$11:$U$11,MATCH('Input data'!$C$6,Stochastic!$C$10:$U$10,0))</f>
        <v>62.913564321630858</v>
      </c>
      <c r="I36" s="346">
        <f ca="1">MATCH($H$36,OFFSET(Stochastic!$D$14:$D$18,0,'Input data'!$C$6-'Input data'!$C$5+5),1)</f>
        <v>4</v>
      </c>
      <c r="J36" s="346" t="str" cm="1">
        <f t="array" aca="1" ref="J36" ca="1">MID(INDEX(Stochastic!$B$14:$B$18,$I$36),2,2)</f>
        <v>70</v>
      </c>
      <c r="K36" s="345" cm="1">
        <f t="array" aca="1" ref="K36" ca="1">INDEX(OFFSET(Stochastic!$D$14:$D$18,0,'Input data'!$C$6-'Input data'!$C$5+5),$I$36)</f>
        <v>60.298273848839962</v>
      </c>
      <c r="L36" s="346" t="str" cm="1">
        <f t="array" aca="1" ref="L36" ca="1">MID(INDEX(Stochastic!$B$14:$B$18,$I$36+1),2,2)</f>
        <v>90</v>
      </c>
      <c r="M36" s="345" cm="1">
        <f t="array" aca="1" ref="M36" ca="1">INDEX(OFFSET(Stochastic!$D$14:$D$18,0,'Input data'!$C$6-'Input data'!$C$5+5),$I$36+1)</f>
        <v>64.453375624963002</v>
      </c>
      <c r="N36" s="345"/>
      <c r="O36" s="346">
        <f ca="1">IF(ISERROR($I$36),1,4)</f>
        <v>4</v>
      </c>
      <c r="P36" s="346">
        <f ca="1">IF(ISERROR($I$36),10,70)</f>
        <v>70</v>
      </c>
      <c r="Q36" s="345" cm="1">
        <f t="array" aca="1" ref="Q36" ca="1">INDEX(OFFSET(Stochastic!$D$14:$D$18,0,'Input data'!$C$6-'Input data'!$C$5+5),$O$36)</f>
        <v>60.298273848839962</v>
      </c>
      <c r="R36" s="346">
        <f ca="1">P36+20</f>
        <v>90</v>
      </c>
      <c r="S36" s="345" cm="1">
        <f t="array" aca="1" ref="S36" ca="1">INDEX(OFFSET(Stochastic!$D$14:$D$18,0,'Input data'!$C$6-'Input data'!$C$5+5),$O$36+1)</f>
        <v>64.453375624963002</v>
      </c>
      <c r="T36" s="350">
        <f ca="1">IF($I$36=5,20/(S36-Q36),IF(ISERROR($I$36),20/(S36-Q36),20/(M36-K36)))</f>
        <v>4.8133598351136433</v>
      </c>
      <c r="U36" s="107"/>
      <c r="V36" s="356" t="str">
        <f ca="1">IFERROR($J$36,10)</f>
        <v>70</v>
      </c>
      <c r="W36" s="357">
        <f ca="1">IF($V$36=10,$Q$36,$K$36)</f>
        <v>60.298273848839962</v>
      </c>
      <c r="X36" s="356"/>
      <c r="Y36" s="107"/>
    </row>
    <row r="37" spans="1:25" x14ac:dyDescent="0.2">
      <c r="A37" s="265"/>
      <c r="B37" s="326"/>
      <c r="C37" s="347"/>
      <c r="D37" s="347"/>
      <c r="E37" s="347"/>
      <c r="F37" s="347"/>
      <c r="G37" s="347"/>
      <c r="H37" s="347"/>
      <c r="I37" s="347"/>
      <c r="J37" s="347"/>
      <c r="K37" s="265"/>
      <c r="L37" s="265"/>
      <c r="M37" s="265"/>
      <c r="N37" s="265"/>
      <c r="O37" s="265"/>
      <c r="P37" s="265"/>
      <c r="Q37" s="355"/>
      <c r="R37" s="355"/>
      <c r="S37" s="355"/>
      <c r="T37" s="355"/>
      <c r="U37" s="355"/>
      <c r="V37" s="355"/>
      <c r="W37" s="265"/>
      <c r="X37" s="265"/>
      <c r="Y37" s="265"/>
    </row>
    <row r="38" spans="1:25" x14ac:dyDescent="0.2">
      <c r="A38" s="265"/>
      <c r="B38" s="348"/>
      <c r="C38" s="330" t="s">
        <v>230</v>
      </c>
      <c r="D38" s="331"/>
      <c r="E38" s="331"/>
      <c r="F38" s="342"/>
      <c r="G38" s="265"/>
      <c r="H38" s="265"/>
      <c r="I38" s="265"/>
      <c r="J38" s="265"/>
      <c r="K38" s="265"/>
      <c r="L38" s="265"/>
      <c r="M38" s="265"/>
      <c r="N38" s="265"/>
      <c r="O38" s="265"/>
      <c r="P38" s="265"/>
      <c r="Q38" s="265"/>
      <c r="R38" s="265"/>
      <c r="S38" s="265"/>
      <c r="T38" s="265"/>
      <c r="U38" s="265"/>
      <c r="V38" s="265"/>
      <c r="W38" s="265"/>
      <c r="X38" s="265"/>
      <c r="Y38" s="265"/>
    </row>
    <row r="39" spans="1:25" x14ac:dyDescent="0.2">
      <c r="A39" s="265"/>
      <c r="B39" s="326"/>
      <c r="C39" s="347"/>
      <c r="D39" s="347"/>
      <c r="E39" s="347"/>
      <c r="F39" s="347"/>
      <c r="G39" s="347"/>
      <c r="H39" s="347"/>
      <c r="I39" s="347"/>
      <c r="J39" s="347"/>
      <c r="K39" s="265"/>
      <c r="L39" s="265"/>
      <c r="M39" s="265"/>
      <c r="N39" s="265"/>
      <c r="O39" s="265"/>
      <c r="P39" s="265"/>
      <c r="Q39" s="265"/>
      <c r="R39" s="265"/>
      <c r="S39" s="265"/>
      <c r="T39" s="265"/>
      <c r="U39" s="265"/>
      <c r="V39" s="265"/>
      <c r="W39" s="265"/>
      <c r="X39" s="265"/>
      <c r="Y39" s="265"/>
    </row>
    <row r="40" spans="1:25" x14ac:dyDescent="0.2">
      <c r="A40" s="265"/>
      <c r="B40" s="332"/>
      <c r="C40" s="330"/>
      <c r="D40" s="330"/>
      <c r="E40" s="335"/>
      <c r="F40" s="335">
        <f>'Input data'!$C$5-1</f>
        <v>2023</v>
      </c>
      <c r="G40" s="335">
        <f>F40+1</f>
        <v>2024</v>
      </c>
      <c r="H40" s="335">
        <f t="shared" ref="H40:X40" si="4">G40+1</f>
        <v>2025</v>
      </c>
      <c r="I40" s="335">
        <f t="shared" si="4"/>
        <v>2026</v>
      </c>
      <c r="J40" s="335">
        <f t="shared" si="4"/>
        <v>2027</v>
      </c>
      <c r="K40" s="335">
        <f t="shared" si="4"/>
        <v>2028</v>
      </c>
      <c r="L40" s="335">
        <f t="shared" si="4"/>
        <v>2029</v>
      </c>
      <c r="M40" s="335">
        <f t="shared" si="4"/>
        <v>2030</v>
      </c>
      <c r="N40" s="335">
        <f t="shared" si="4"/>
        <v>2031</v>
      </c>
      <c r="O40" s="335">
        <f t="shared" si="4"/>
        <v>2032</v>
      </c>
      <c r="P40" s="335">
        <f t="shared" si="4"/>
        <v>2033</v>
      </c>
      <c r="Q40" s="335">
        <f t="shared" si="4"/>
        <v>2034</v>
      </c>
      <c r="R40" s="335">
        <f t="shared" si="4"/>
        <v>2035</v>
      </c>
      <c r="S40" s="335">
        <f t="shared" si="4"/>
        <v>2036</v>
      </c>
      <c r="T40" s="335">
        <f t="shared" si="4"/>
        <v>2037</v>
      </c>
      <c r="U40" s="335">
        <f t="shared" si="4"/>
        <v>2038</v>
      </c>
      <c r="V40" s="335">
        <f t="shared" si="4"/>
        <v>2039</v>
      </c>
      <c r="W40" s="335">
        <f t="shared" si="4"/>
        <v>2040</v>
      </c>
      <c r="X40" s="335">
        <f t="shared" si="4"/>
        <v>2041</v>
      </c>
      <c r="Y40" s="265"/>
    </row>
    <row r="41" spans="1:25" x14ac:dyDescent="0.2">
      <c r="A41" s="265"/>
      <c r="B41" s="332">
        <v>1</v>
      </c>
      <c r="C41" s="336" t="s">
        <v>212</v>
      </c>
      <c r="D41" s="337">
        <v>56</v>
      </c>
      <c r="E41" s="338" t="s">
        <v>213</v>
      </c>
      <c r="F41" s="325">
        <f ca="1">INDEX(OFFSET('Baseline NFPC'!$C$1:$U$1,$D41-1,0),MATCH(F$4,'Baseline NFPC'!$C$10:$U$10,0))</f>
        <v>62.885489999999997</v>
      </c>
      <c r="G41" s="325">
        <f ca="1">INDEX(OFFSET('Baseline NFPC'!$C$1:$U$1,$D41-1,0),MATCH(G$4,'Baseline NFPC'!$C$10:$U$10,0))</f>
        <v>62.455679115154567</v>
      </c>
      <c r="H41" s="325">
        <f ca="1">INDEX(OFFSET('Baseline NFPC'!$C$1:$U$1,$D41-1,0),MATCH(H$4,'Baseline NFPC'!$C$10:$U$10,0))</f>
        <v>63.88447249078915</v>
      </c>
      <c r="I41" s="325">
        <f ca="1">INDEX(OFFSET('Baseline NFPC'!$C$1:$U$1,$D41-1,0),MATCH(I$4,'Baseline NFPC'!$C$10:$U$10,0))</f>
        <v>65.081112874347738</v>
      </c>
      <c r="J41" s="325">
        <f ca="1">INDEX(OFFSET('Baseline NFPC'!$C$1:$U$1,$D41-1,0),MATCH(J$4,'Baseline NFPC'!$C$10:$U$10,0))</f>
        <v>66.113591282354477</v>
      </c>
      <c r="K41" s="325">
        <f ca="1">INDEX(OFFSET('Baseline NFPC'!$C$1:$U$1,$D41-1,0),MATCH(K$4,'Baseline NFPC'!$C$10:$U$10,0))</f>
        <v>67.055859993139109</v>
      </c>
      <c r="L41" s="325">
        <f ca="1">INDEX(OFFSET('Baseline NFPC'!$C$1:$U$1,$D41-1,0),MATCH(L$4,'Baseline NFPC'!$C$10:$U$10,0))</f>
        <v>67.906557173526409</v>
      </c>
      <c r="M41" s="325">
        <f ca="1">INDEX(OFFSET('Baseline NFPC'!$C$1:$U$1,$D41-1,0),MATCH(M$4,'Baseline NFPC'!$C$10:$U$10,0))</f>
        <v>69.211324274486245</v>
      </c>
      <c r="N41" s="325">
        <f ca="1">INDEX(OFFSET('Baseline NFPC'!$C$1:$U$1,$D41-1,0),MATCH(N$4,'Baseline NFPC'!$C$10:$U$10,0))</f>
        <v>70.706019234376114</v>
      </c>
      <c r="O41" s="325">
        <f ca="1">INDEX(OFFSET('Baseline NFPC'!$C$1:$U$1,$D41-1,0),MATCH(O$4,'Baseline NFPC'!$C$10:$U$10,0))</f>
        <v>72.486619537711704</v>
      </c>
      <c r="P41" s="325">
        <f ca="1">INDEX(OFFSET('Baseline NFPC'!$C$1:$U$1,$D41-1,0),MATCH(P$4,'Baseline NFPC'!$C$10:$U$10,0))</f>
        <v>74.44109766668366</v>
      </c>
      <c r="Q41" s="325">
        <f ca="1">INDEX(OFFSET('Baseline NFPC'!$C$1:$U$1,$D41-1,0),MATCH(Q$4,'Baseline NFPC'!$C$10:$U$10,0))</f>
        <v>76.401298489037302</v>
      </c>
      <c r="R41" s="325">
        <f ca="1">INDEX(OFFSET('Baseline NFPC'!$C$1:$U$1,$D41-1,0),MATCH(R$4,'Baseline NFPC'!$C$10:$U$10,0))</f>
        <v>78.376792732942704</v>
      </c>
      <c r="S41" s="325">
        <f ca="1">INDEX(OFFSET('Baseline NFPC'!$C$1:$U$1,$D41-1,0),MATCH(S$4,'Baseline NFPC'!$C$10:$U$10,0))</f>
        <v>80.357013334383282</v>
      </c>
      <c r="T41" s="325">
        <f ca="1">INDEX(OFFSET('Baseline NFPC'!$C$1:$U$1,$D41-1,0),MATCH(T$4,'Baseline NFPC'!$C$10:$U$10,0))</f>
        <v>82.231990260006569</v>
      </c>
      <c r="U41" s="325">
        <f ca="1">INDEX(OFFSET('Baseline NFPC'!$C$1:$U$1,$D41-1,0),MATCH(U$4,'Baseline NFPC'!$C$10:$U$10,0))</f>
        <v>84.085072042509879</v>
      </c>
      <c r="V41" s="325">
        <f ca="1">INDEX(OFFSET('Baseline NFPC'!$C$1:$U$1,$D41-1,0),MATCH(V$4,'Baseline NFPC'!$C$10:$U$10,0))</f>
        <v>85.911332971148724</v>
      </c>
      <c r="W41" s="325">
        <f ca="1">INDEX(OFFSET('Baseline NFPC'!$C$1:$U$1,$D41-1,0),MATCH(W$4,'Baseline NFPC'!$C$10:$U$10,0))</f>
        <v>87.614817418803653</v>
      </c>
      <c r="X41" s="325">
        <f ca="1">INDEX(OFFSET('Baseline NFPC'!$C$1:$U$1,$D41-1,0),MATCH(X$4,'Baseline NFPC'!$C$10:$U$10,0))</f>
        <v>89.352286787756967</v>
      </c>
      <c r="Y41" s="265"/>
    </row>
    <row r="42" spans="1:25" x14ac:dyDescent="0.2">
      <c r="A42" s="265"/>
      <c r="B42" s="332">
        <v>2</v>
      </c>
      <c r="C42" s="336" t="s">
        <v>214</v>
      </c>
      <c r="D42" s="337">
        <v>76</v>
      </c>
      <c r="E42" s="338" t="s">
        <v>213</v>
      </c>
      <c r="F42" s="325">
        <f ca="1">INDEX(OFFSET('Baseline NFPC'!$C$1:$U$1,$D42-1,0),MATCH(F$4,'Baseline NFPC'!$C$10:$U$10,0))</f>
        <v>-2.4799370000000001</v>
      </c>
      <c r="G42" s="325">
        <f ca="1">INDEX(OFFSET('Baseline NFPC'!$C$1:$U$1,$D42-1,0),MATCH(G$4,'Baseline NFPC'!$C$10:$U$10,0))</f>
        <v>-2.758867632490265</v>
      </c>
      <c r="H42" s="325">
        <f ca="1">INDEX(OFFSET('Baseline NFPC'!$C$1:$U$1,$D42-1,0),MATCH(H$4,'Baseline NFPC'!$C$10:$U$10,0))</f>
        <v>-2.9510813076008624</v>
      </c>
      <c r="I42" s="325">
        <f ca="1">INDEX(OFFSET('Baseline NFPC'!$C$1:$U$1,$D42-1,0),MATCH(I$4,'Baseline NFPC'!$C$10:$U$10,0))</f>
        <v>-2.8412339545315723</v>
      </c>
      <c r="J42" s="325">
        <f ca="1">INDEX(OFFSET('Baseline NFPC'!$C$1:$U$1,$D42-1,0),MATCH(J$4,'Baseline NFPC'!$C$10:$U$10,0))</f>
        <v>-2.9595672726197284</v>
      </c>
      <c r="K42" s="325">
        <f ca="1">INDEX(OFFSET('Baseline NFPC'!$C$1:$U$1,$D42-1,0),MATCH(K$4,'Baseline NFPC'!$C$10:$U$10,0))</f>
        <v>-2.9728862916470327</v>
      </c>
      <c r="L42" s="325">
        <f ca="1">INDEX(OFFSET('Baseline NFPC'!$C$1:$U$1,$D42-1,0),MATCH(L$4,'Baseline NFPC'!$C$10:$U$10,0))</f>
        <v>-2.9816464686203146</v>
      </c>
      <c r="M42" s="325">
        <f ca="1">INDEX(OFFSET('Baseline NFPC'!$C$1:$U$1,$D42-1,0),MATCH(M$4,'Baseline NFPC'!$C$10:$U$10,0))</f>
        <v>-3.1933775212275135</v>
      </c>
      <c r="N42" s="325">
        <f ca="1">INDEX(OFFSET('Baseline NFPC'!$C$1:$U$1,$D42-1,0),MATCH(N$4,'Baseline NFPC'!$C$10:$U$10,0))</f>
        <v>-3.4095140965707609</v>
      </c>
      <c r="O42" s="325">
        <f ca="1">INDEX(OFFSET('Baseline NFPC'!$C$1:$U$1,$D42-1,0),MATCH(O$4,'Baseline NFPC'!$C$10:$U$10,0))</f>
        <v>-3.7306847190452936</v>
      </c>
      <c r="P42" s="325">
        <f ca="1">INDEX(OFFSET('Baseline NFPC'!$C$1:$U$1,$D42-1,0),MATCH(P$4,'Baseline NFPC'!$C$10:$U$10,0))</f>
        <v>-3.960352402564248</v>
      </c>
      <c r="Q42" s="325">
        <f ca="1">INDEX(OFFSET('Baseline NFPC'!$C$1:$U$1,$D42-1,0),MATCH(Q$4,'Baseline NFPC'!$C$10:$U$10,0))</f>
        <v>-4.0942942245095315</v>
      </c>
      <c r="R42" s="325">
        <f ca="1">INDEX(OFFSET('Baseline NFPC'!$C$1:$U$1,$D42-1,0),MATCH(R$4,'Baseline NFPC'!$C$10:$U$10,0))</f>
        <v>-4.306889336096857</v>
      </c>
      <c r="S42" s="325">
        <f ca="1">INDEX(OFFSET('Baseline NFPC'!$C$1:$U$1,$D42-1,0),MATCH(S$4,'Baseline NFPC'!$C$10:$U$10,0))</f>
        <v>-4.5160640074784268</v>
      </c>
      <c r="T42" s="325">
        <f ca="1">INDEX(OFFSET('Baseline NFPC'!$C$1:$U$1,$D42-1,0),MATCH(T$4,'Baseline NFPC'!$C$10:$U$10,0))</f>
        <v>-4.6220970040817537</v>
      </c>
      <c r="U42" s="325">
        <f ca="1">INDEX(OFFSET('Baseline NFPC'!$C$1:$U$1,$D42-1,0),MATCH(U$4,'Baseline NFPC'!$C$10:$U$10,0))</f>
        <v>-4.7247121050474714</v>
      </c>
      <c r="V42" s="325">
        <f ca="1">INDEX(OFFSET('Baseline NFPC'!$C$1:$U$1,$D42-1,0),MATCH(V$4,'Baseline NFPC'!$C$10:$U$10,0))</f>
        <v>-4.8242698910783535</v>
      </c>
      <c r="W42" s="325">
        <f ca="1">INDEX(OFFSET('Baseline NFPC'!$C$1:$U$1,$D42-1,0),MATCH(W$4,'Baseline NFPC'!$C$10:$U$10,0))</f>
        <v>-4.8213370268840317</v>
      </c>
      <c r="X42" s="325">
        <f ca="1">INDEX(OFFSET('Baseline NFPC'!$C$1:$U$1,$D42-1,0),MATCH(X$4,'Baseline NFPC'!$C$10:$U$10,0))</f>
        <v>-4.9147186437318711</v>
      </c>
      <c r="Y42" s="265"/>
    </row>
    <row r="43" spans="1:25" x14ac:dyDescent="0.2">
      <c r="A43" s="265"/>
      <c r="B43" s="332">
        <v>3</v>
      </c>
      <c r="C43" s="336" t="s">
        <v>40</v>
      </c>
      <c r="D43" s="337">
        <v>12</v>
      </c>
      <c r="E43" s="338" t="s">
        <v>215</v>
      </c>
      <c r="F43" s="325">
        <f ca="1">INDEX(OFFSET('Baseline NFPC'!$C$1:$U$1,$D43-1,0),MATCH(F$4,'Baseline NFPC'!$C$10:$U$10,0))</f>
        <v>-1.2609140000000001</v>
      </c>
      <c r="G43" s="325">
        <f ca="1">INDEX(OFFSET('Baseline NFPC'!$C$1:$U$1,$D43-1,0),MATCH(G$4,'Baseline NFPC'!$C$10:$U$10,0))</f>
        <v>-1.0152870000000001</v>
      </c>
      <c r="H43" s="325">
        <f ca="1">INDEX(OFFSET('Baseline NFPC'!$C$1:$U$1,$D43-1,0),MATCH(H$4,'Baseline NFPC'!$C$10:$U$10,0))</f>
        <v>-1.0152870000000001</v>
      </c>
      <c r="I43" s="325">
        <f ca="1">INDEX(OFFSET('Baseline NFPC'!$C$1:$U$1,$D43-1,0),MATCH(I$4,'Baseline NFPC'!$C$10:$U$10,0))</f>
        <v>-1.0152870000000001</v>
      </c>
      <c r="J43" s="325">
        <f ca="1">INDEX(OFFSET('Baseline NFPC'!$C$1:$U$1,$D43-1,0),MATCH(J$4,'Baseline NFPC'!$C$10:$U$10,0))</f>
        <v>-1.0152870000000001</v>
      </c>
      <c r="K43" s="325">
        <f ca="1">INDEX(OFFSET('Baseline NFPC'!$C$1:$U$1,$D43-1,0),MATCH(K$4,'Baseline NFPC'!$C$10:$U$10,0))</f>
        <v>-1.0152870000000001</v>
      </c>
      <c r="L43" s="325">
        <f ca="1">INDEX(OFFSET('Baseline NFPC'!$C$1:$U$1,$D43-1,0),MATCH(L$4,'Baseline NFPC'!$C$10:$U$10,0))</f>
        <v>-1.0152870000000001</v>
      </c>
      <c r="M43" s="325">
        <f ca="1">INDEX(OFFSET('Baseline NFPC'!$C$1:$U$1,$D43-1,0),MATCH(M$4,'Baseline NFPC'!$C$10:$U$10,0))</f>
        <v>-1.0152870000000001</v>
      </c>
      <c r="N43" s="325">
        <f ca="1">INDEX(OFFSET('Baseline NFPC'!$C$1:$U$1,$D43-1,0),MATCH(N$4,'Baseline NFPC'!$C$10:$U$10,0))</f>
        <v>-1.0152870000000001</v>
      </c>
      <c r="O43" s="325">
        <f ca="1">INDEX(OFFSET('Baseline NFPC'!$C$1:$U$1,$D43-1,0),MATCH(O$4,'Baseline NFPC'!$C$10:$U$10,0))</f>
        <v>-1.0152870000000001</v>
      </c>
      <c r="P43" s="325">
        <f ca="1">INDEX(OFFSET('Baseline NFPC'!$C$1:$U$1,$D43-1,0),MATCH(P$4,'Baseline NFPC'!$C$10:$U$10,0))</f>
        <v>-1.0152870000000001</v>
      </c>
      <c r="Q43" s="325">
        <f ca="1">INDEX(OFFSET('Baseline NFPC'!$C$1:$U$1,$D43-1,0),MATCH(Q$4,'Baseline NFPC'!$C$10:$U$10,0))</f>
        <v>-1.0152870000000001</v>
      </c>
      <c r="R43" s="325">
        <f ca="1">INDEX(OFFSET('Baseline NFPC'!$C$1:$U$1,$D43-1,0),MATCH(R$4,'Baseline NFPC'!$C$10:$U$10,0))</f>
        <v>-1.0152870000000001</v>
      </c>
      <c r="S43" s="325">
        <f ca="1">INDEX(OFFSET('Baseline NFPC'!$C$1:$U$1,$D43-1,0),MATCH(S$4,'Baseline NFPC'!$C$10:$U$10,0))</f>
        <v>-1.0152870000000001</v>
      </c>
      <c r="T43" s="325">
        <f ca="1">INDEX(OFFSET('Baseline NFPC'!$C$1:$U$1,$D43-1,0),MATCH(T$4,'Baseline NFPC'!$C$10:$U$10,0))</f>
        <v>-1.0152870000000001</v>
      </c>
      <c r="U43" s="325">
        <f ca="1">INDEX(OFFSET('Baseline NFPC'!$C$1:$U$1,$D43-1,0),MATCH(U$4,'Baseline NFPC'!$C$10:$U$10,0))</f>
        <v>-1.0152870000000001</v>
      </c>
      <c r="V43" s="325">
        <f ca="1">INDEX(OFFSET('Baseline NFPC'!$C$1:$U$1,$D43-1,0),MATCH(V$4,'Baseline NFPC'!$C$10:$U$10,0))</f>
        <v>-1.0152870000000001</v>
      </c>
      <c r="W43" s="325">
        <f ca="1">INDEX(OFFSET('Baseline NFPC'!$C$1:$U$1,$D43-1,0),MATCH(W$4,'Baseline NFPC'!$C$10:$U$10,0))</f>
        <v>-1.0152870000000001</v>
      </c>
      <c r="X43" s="325">
        <f ca="1">INDEX(OFFSET('Baseline NFPC'!$C$1:$U$1,$D43-1,0),MATCH(X$4,'Baseline NFPC'!$C$10:$U$10,0))</f>
        <v>-1.0152870000000001</v>
      </c>
      <c r="Y43" s="265"/>
    </row>
    <row r="44" spans="1:25" x14ac:dyDescent="0.2">
      <c r="A44" s="265"/>
      <c r="B44" s="332">
        <v>4</v>
      </c>
      <c r="C44" s="336" t="s">
        <v>216</v>
      </c>
      <c r="D44" s="337">
        <v>61</v>
      </c>
      <c r="E44" s="338" t="s">
        <v>215</v>
      </c>
      <c r="F44" s="325">
        <f ca="1">INDEX(OFFSET('Baseline NFPC'!$C$1:$U$1,$D44-1,0),MATCH(F$4,'Baseline NFPC'!$C$10:$U$10,0))</f>
        <v>0</v>
      </c>
      <c r="G44" s="325">
        <f ca="1">INDEX(OFFSET('Baseline NFPC'!$C$1:$U$1,$D44-1,0),MATCH(G$4,'Baseline NFPC'!$C$10:$U$10,0))</f>
        <v>0.6886962151545688</v>
      </c>
      <c r="H44" s="325">
        <f ca="1">INDEX(OFFSET('Baseline NFPC'!$C$1:$U$1,$D44-1,0),MATCH(H$4,'Baseline NFPC'!$C$10:$U$10,0))</f>
        <v>0.73588027563458236</v>
      </c>
      <c r="I44" s="325">
        <f ca="1">INDEX(OFFSET('Baseline NFPC'!$C$1:$U$1,$D44-1,0),MATCH(I$4,'Baseline NFPC'!$C$10:$U$10,0))</f>
        <v>0.59810798355858918</v>
      </c>
      <c r="J44" s="325">
        <f ca="1">INDEX(OFFSET('Baseline NFPC'!$C$1:$U$1,$D44-1,0),MATCH(J$4,'Baseline NFPC'!$C$10:$U$10,0))</f>
        <v>0.39873317559897481</v>
      </c>
      <c r="K44" s="325">
        <f ca="1">INDEX(OFFSET('Baseline NFPC'!$C$1:$U$1,$D44-1,0),MATCH(K$4,'Baseline NFPC'!$C$10:$U$10,0))</f>
        <v>0.19936824000838191</v>
      </c>
      <c r="L44" s="325">
        <f ca="1">INDEX(OFFSET('Baseline NFPC'!$C$1:$U$1,$D44-1,0),MATCH(L$4,'Baseline NFPC'!$C$10:$U$10,0))</f>
        <v>-3.403140168067864E-6</v>
      </c>
      <c r="M44" s="325">
        <f ca="1">INDEX(OFFSET('Baseline NFPC'!$C$1:$U$1,$D44-1,0),MATCH(M$4,'Baseline NFPC'!$C$10:$U$10,0))</f>
        <v>-5.005782769096356E-6</v>
      </c>
      <c r="N44" s="325">
        <f ca="1">INDEX(OFFSET('Baseline NFPC'!$C$1:$U$1,$D44-1,0),MATCH(N$4,'Baseline NFPC'!$C$10:$U$10,0))</f>
        <v>-5.4065495776356444E-6</v>
      </c>
      <c r="O44" s="325">
        <f ca="1">INDEX(OFFSET('Baseline NFPC'!$C$1:$U$1,$D44-1,0),MATCH(O$4,'Baseline NFPC'!$C$10:$U$10,0))</f>
        <v>-5.1560193107036415E-6</v>
      </c>
      <c r="P44" s="325">
        <f ca="1">INDEX(OFFSET('Baseline NFPC'!$C$1:$U$1,$D44-1,0),MATCH(P$4,'Baseline NFPC'!$C$10:$U$10,0))</f>
        <v>-4.9555910191401155E-6</v>
      </c>
      <c r="Q44" s="325">
        <f ca="1">INDEX(OFFSET('Baseline NFPC'!$C$1:$U$1,$D44-1,0),MATCH(Q$4,'Baseline NFPC'!$C$10:$U$10,0))</f>
        <v>-6.107005827438172E-6</v>
      </c>
      <c r="R44" s="325">
        <f ca="1">INDEX(OFFSET('Baseline NFPC'!$C$1:$U$1,$D44-1,0),MATCH(R$4,'Baseline NFPC'!$C$10:$U$10,0))</f>
        <v>-7.4559251652672742E-6</v>
      </c>
      <c r="S44" s="325">
        <f ca="1">INDEX(OFFSET('Baseline NFPC'!$C$1:$U$1,$D44-1,0),MATCH(S$4,'Baseline NFPC'!$C$10:$U$10,0))</f>
        <v>-8.951690593583805E-6</v>
      </c>
      <c r="T44" s="325">
        <f ca="1">INDEX(OFFSET('Baseline NFPC'!$C$1:$U$1,$D44-1,0),MATCH(T$4,'Baseline NFPC'!$C$10:$U$10,0))</f>
        <v>-9.4492718977434716E-6</v>
      </c>
      <c r="U44" s="325">
        <f ca="1">INDEX(OFFSET('Baseline NFPC'!$C$1:$U$1,$D44-1,0),MATCH(U$4,'Baseline NFPC'!$C$10:$U$10,0))</f>
        <v>-8.952132326633944E-6</v>
      </c>
      <c r="V44" s="325">
        <f ca="1">INDEX(OFFSET('Baseline NFPC'!$C$1:$U$1,$D44-1,0),MATCH(V$4,'Baseline NFPC'!$C$10:$U$10,0))</f>
        <v>-1.1435625444988774E-5</v>
      </c>
      <c r="W44" s="325">
        <f ca="1">INDEX(OFFSET('Baseline NFPC'!$C$1:$U$1,$D44-1,0),MATCH(W$4,'Baseline NFPC'!$C$10:$U$10,0))</f>
        <v>-1.0443010724969781E-5</v>
      </c>
      <c r="X44" s="325">
        <f ca="1">INDEX(OFFSET('Baseline NFPC'!$C$1:$U$1,$D44-1,0),MATCH(X$4,'Baseline NFPC'!$C$10:$U$10,0))</f>
        <v>-1.1435527668801626E-5</v>
      </c>
      <c r="Y44" s="265"/>
    </row>
    <row r="45" spans="1:25" x14ac:dyDescent="0.2">
      <c r="A45" s="265"/>
      <c r="B45" s="332">
        <v>5</v>
      </c>
      <c r="C45" s="336" t="s">
        <v>218</v>
      </c>
      <c r="D45" s="337">
        <v>67</v>
      </c>
      <c r="E45" s="338" t="s">
        <v>213</v>
      </c>
      <c r="F45" s="325">
        <f ca="1">INDEX(OFFSET('Baseline NFPC'!$C$1:$U$1,$D45-1,0),MATCH(F$4,'Baseline NFPC'!$C$10:$U$10,0))</f>
        <v>0</v>
      </c>
      <c r="G45" s="325">
        <f ca="1">INDEX(OFFSET('Baseline NFPC'!$C$1:$U$1,$D45-1,0),MATCH(G$4,'Baseline NFPC'!$C$10:$U$10,0))</f>
        <v>1.0548956399101987</v>
      </c>
      <c r="H45" s="325">
        <f ca="1">INDEX(OFFSET('Baseline NFPC'!$C$1:$U$1,$D45-1,0),MATCH(H$4,'Baseline NFPC'!$C$10:$U$10,0))</f>
        <v>1.0955462972973893</v>
      </c>
      <c r="I45" s="325">
        <f ca="1">INDEX(OFFSET('Baseline NFPC'!$C$1:$U$1,$D45-1,0),MATCH(I$4,'Baseline NFPC'!$C$10:$U$10,0))</f>
        <v>1.1187215251409695</v>
      </c>
      <c r="J45" s="325">
        <f ca="1">INDEX(OFFSET('Baseline NFPC'!$C$1:$U$1,$D45-1,0),MATCH(J$4,'Baseline NFPC'!$C$10:$U$10,0))</f>
        <v>1.2315759970207529</v>
      </c>
      <c r="K45" s="325">
        <f ca="1">INDEX(OFFSET('Baseline NFPC'!$C$1:$U$1,$D45-1,0),MATCH(K$4,'Baseline NFPC'!$C$10:$U$10,0))</f>
        <v>1.3396029516386523</v>
      </c>
      <c r="L45" s="325">
        <f ca="1">INDEX(OFFSET('Baseline NFPC'!$C$1:$U$1,$D45-1,0),MATCH(L$4,'Baseline NFPC'!$C$10:$U$10,0))</f>
        <v>1.4430777717604861</v>
      </c>
      <c r="M45" s="325">
        <f ca="1">INDEX(OFFSET('Baseline NFPC'!$C$1:$U$1,$D45-1,0),MATCH(M$4,'Baseline NFPC'!$C$10:$U$10,0))</f>
        <v>1.5501533270102852</v>
      </c>
      <c r="N45" s="325">
        <f ca="1">INDEX(OFFSET('Baseline NFPC'!$C$1:$U$1,$D45-1,0),MATCH(N$4,'Baseline NFPC'!$C$10:$U$10,0))</f>
        <v>1.6616333031203394</v>
      </c>
      <c r="O45" s="325">
        <f ca="1">INDEX(OFFSET('Baseline NFPC'!$C$1:$U$1,$D45-1,0),MATCH(O$4,'Baseline NFPC'!$C$10:$U$10,0))</f>
        <v>1.7781466750646056</v>
      </c>
      <c r="P45" s="325">
        <f ca="1">INDEX(OFFSET('Baseline NFPC'!$C$1:$U$1,$D45-1,0),MATCH(P$4,'Baseline NFPC'!$C$10:$U$10,0))</f>
        <v>1.9031571581552669</v>
      </c>
      <c r="Q45" s="325">
        <f ca="1">INDEX(OFFSET('Baseline NFPC'!$C$1:$U$1,$D45-1,0),MATCH(Q$4,'Baseline NFPC'!$C$10:$U$10,0))</f>
        <v>2.032443031515359</v>
      </c>
      <c r="R45" s="325">
        <f ca="1">INDEX(OFFSET('Baseline NFPC'!$C$1:$U$1,$D45-1,0),MATCH(R$4,'Baseline NFPC'!$C$10:$U$10,0))</f>
        <v>2.1403823920220244</v>
      </c>
      <c r="S45" s="325">
        <f ca="1">INDEX(OFFSET('Baseline NFPC'!$C$1:$U$1,$D45-1,0),MATCH(S$4,'Baseline NFPC'!$C$10:$U$10,0))</f>
        <v>2.2449015591690249</v>
      </c>
      <c r="T45" s="325">
        <f ca="1">INDEX(OFFSET('Baseline NFPC'!$C$1:$U$1,$D45-1,0),MATCH(T$4,'Baseline NFPC'!$C$10:$U$10,0))</f>
        <v>2.346278053353656</v>
      </c>
      <c r="U45" s="325">
        <f ca="1">INDEX(OFFSET('Baseline NFPC'!$C$1:$U$1,$D45-1,0),MATCH(U$4,'Baseline NFPC'!$C$10:$U$10,0))</f>
        <v>2.4442355571798013</v>
      </c>
      <c r="V45" s="325">
        <f ca="1">INDEX(OFFSET('Baseline NFPC'!$C$1:$U$1,$D45-1,0),MATCH(V$4,'Baseline NFPC'!$C$10:$U$10,0))</f>
        <v>2.5391387267037997</v>
      </c>
      <c r="W45" s="325">
        <f ca="1">INDEX(OFFSET('Baseline NFPC'!$C$1:$U$1,$D45-1,0),MATCH(W$4,'Baseline NFPC'!$C$10:$U$10,0))</f>
        <v>2.6315478698947552</v>
      </c>
      <c r="X45" s="325">
        <f ca="1">INDEX(OFFSET('Baseline NFPC'!$C$1:$U$1,$D45-1,0),MATCH(X$4,'Baseline NFPC'!$C$10:$U$10,0))</f>
        <v>2.7202733792595386</v>
      </c>
      <c r="Y45" s="265"/>
    </row>
    <row r="46" spans="1:25" x14ac:dyDescent="0.2">
      <c r="A46" s="265"/>
      <c r="B46" s="332">
        <v>6</v>
      </c>
      <c r="C46" s="339" t="s">
        <v>91</v>
      </c>
      <c r="D46" s="337">
        <v>36</v>
      </c>
      <c r="E46" s="338" t="s">
        <v>219</v>
      </c>
      <c r="F46" s="325">
        <f ca="1">INDEX(OFFSET('Baseline NFPC'!$C$1:$U$1,$D46-1,0),MATCH(F$4,'Baseline NFPC'!$C$10:$U$10,0))</f>
        <v>2.4300000000000002</v>
      </c>
      <c r="G46" s="325">
        <f ca="1">INDEX(OFFSET('Baseline NFPC'!$C$1:$U$1,$D46-1,0),MATCH(G$4,'Baseline NFPC'!$C$10:$U$10,0))</f>
        <v>2.3224999999999998</v>
      </c>
      <c r="H46" s="325">
        <f ca="1">INDEX(OFFSET('Baseline NFPC'!$C$1:$U$1,$D46-1,0),MATCH(H$4,'Baseline NFPC'!$C$10:$U$10,0))</f>
        <v>2.544438</v>
      </c>
      <c r="I46" s="325">
        <f ca="1">INDEX(OFFSET('Baseline NFPC'!$C$1:$U$1,$D46-1,0),MATCH(I$4,'Baseline NFPC'!$C$10:$U$10,0))</f>
        <v>2.698655</v>
      </c>
      <c r="J46" s="325">
        <f ca="1">INDEX(OFFSET('Baseline NFPC'!$C$1:$U$1,$D46-1,0),MATCH(J$4,'Baseline NFPC'!$C$10:$U$10,0))</f>
        <v>2.7743606249999999</v>
      </c>
      <c r="K46" s="325">
        <f ca="1">INDEX(OFFSET('Baseline NFPC'!$C$1:$U$1,$D46-1,0),MATCH(K$4,'Baseline NFPC'!$C$10:$U$10,0))</f>
        <v>2.8500662499999998</v>
      </c>
      <c r="L46" s="325">
        <f ca="1">INDEX(OFFSET('Baseline NFPC'!$C$1:$U$1,$D46-1,0),MATCH(L$4,'Baseline NFPC'!$C$10:$U$10,0))</f>
        <v>2.9257718749999997</v>
      </c>
      <c r="M46" s="325">
        <f ca="1">INDEX(OFFSET('Baseline NFPC'!$C$1:$U$1,$D46-1,0),MATCH(M$4,'Baseline NFPC'!$C$10:$U$10,0))</f>
        <v>3.0014774999999996</v>
      </c>
      <c r="N46" s="325">
        <f ca="1">INDEX(OFFSET('Baseline NFPC'!$C$1:$U$1,$D46-1,0),MATCH(N$4,'Baseline NFPC'!$C$10:$U$10,0))</f>
        <v>3.0771831249999995</v>
      </c>
      <c r="O46" s="325">
        <f ca="1">INDEX(OFFSET('Baseline NFPC'!$C$1:$U$1,$D46-1,0),MATCH(O$4,'Baseline NFPC'!$C$10:$U$10,0))</f>
        <v>3.1528887499999994</v>
      </c>
      <c r="P46" s="325">
        <f ca="1">INDEX(OFFSET('Baseline NFPC'!$C$1:$U$1,$D46-1,0),MATCH(P$4,'Baseline NFPC'!$C$10:$U$10,0))</f>
        <v>3.2285943749999992</v>
      </c>
      <c r="Q46" s="325">
        <f ca="1">INDEX(OFFSET('Baseline NFPC'!$C$1:$U$1,$D46-1,0),MATCH(Q$4,'Baseline NFPC'!$C$10:$U$10,0))</f>
        <v>3.3043</v>
      </c>
      <c r="R46" s="325">
        <f ca="1">INDEX(OFFSET('Baseline NFPC'!$C$1:$U$1,$D46-1,0),MATCH(R$4,'Baseline NFPC'!$C$10:$U$10,0))</f>
        <v>3.3390849999999999</v>
      </c>
      <c r="S46" s="325">
        <f ca="1">INDEX(OFFSET('Baseline NFPC'!$C$1:$U$1,$D46-1,0),MATCH(S$4,'Baseline NFPC'!$C$10:$U$10,0))</f>
        <v>3.3738700000000001</v>
      </c>
      <c r="T46" s="325">
        <f ca="1">INDEX(OFFSET('Baseline NFPC'!$C$1:$U$1,$D46-1,0),MATCH(T$4,'Baseline NFPC'!$C$10:$U$10,0))</f>
        <v>3.408655</v>
      </c>
      <c r="U46" s="325">
        <f ca="1">INDEX(OFFSET('Baseline NFPC'!$C$1:$U$1,$D46-1,0),MATCH(U$4,'Baseline NFPC'!$C$10:$U$10,0))</f>
        <v>3.4434399999999998</v>
      </c>
      <c r="V46" s="325">
        <f ca="1">INDEX(OFFSET('Baseline NFPC'!$C$1:$U$1,$D46-1,0),MATCH(V$4,'Baseline NFPC'!$C$10:$U$10,0))</f>
        <v>3.4782250000000001</v>
      </c>
      <c r="W46" s="325">
        <f ca="1">INDEX(OFFSET('Baseline NFPC'!$C$1:$U$1,$D46-1,0),MATCH(W$4,'Baseline NFPC'!$C$10:$U$10,0))</f>
        <v>3.51301</v>
      </c>
      <c r="X46" s="325">
        <f ca="1">INDEX(OFFSET('Baseline NFPC'!$C$1:$U$1,$D46-1,0),MATCH(X$4,'Baseline NFPC'!$C$10:$U$10,0))</f>
        <v>3.5477949999999998</v>
      </c>
      <c r="Y46" s="265"/>
    </row>
    <row r="47" spans="1:25" x14ac:dyDescent="0.2">
      <c r="A47" s="265"/>
      <c r="B47" s="332">
        <v>7</v>
      </c>
      <c r="C47" s="339" t="s">
        <v>92</v>
      </c>
      <c r="D47" s="337">
        <v>37</v>
      </c>
      <c r="E47" s="338" t="s">
        <v>219</v>
      </c>
      <c r="F47" s="325">
        <f ca="1">INDEX(OFFSET('Baseline NFPC'!$C$1:$U$1,$D47-1,0),MATCH(F$4,'Baseline NFPC'!$C$10:$U$10,0))</f>
        <v>3.43</v>
      </c>
      <c r="G47" s="325">
        <f ca="1">INDEX(OFFSET('Baseline NFPC'!$C$1:$U$1,$D47-1,0),MATCH(G$4,'Baseline NFPC'!$C$10:$U$10,0))</f>
        <v>3.5708329999999999</v>
      </c>
      <c r="H47" s="325">
        <f ca="1">INDEX(OFFSET('Baseline NFPC'!$C$1:$U$1,$D47-1,0),MATCH(H$4,'Baseline NFPC'!$C$10:$U$10,0))</f>
        <v>1.999333</v>
      </c>
      <c r="I47" s="325">
        <f ca="1">INDEX(OFFSET('Baseline NFPC'!$C$1:$U$1,$D47-1,0),MATCH(I$4,'Baseline NFPC'!$C$10:$U$10,0))</f>
        <v>1.7208330000000001</v>
      </c>
      <c r="J47" s="325">
        <f ca="1">INDEX(OFFSET('Baseline NFPC'!$C$1:$U$1,$D47-1,0),MATCH(J$4,'Baseline NFPC'!$C$10:$U$10,0))</f>
        <v>1.877801375</v>
      </c>
      <c r="K47" s="325">
        <f ca="1">INDEX(OFFSET('Baseline NFPC'!$C$1:$U$1,$D47-1,0),MATCH(K$4,'Baseline NFPC'!$C$10:$U$10,0))</f>
        <v>2.0347697500000002</v>
      </c>
      <c r="L47" s="325">
        <f ca="1">INDEX(OFFSET('Baseline NFPC'!$C$1:$U$1,$D47-1,0),MATCH(L$4,'Baseline NFPC'!$C$10:$U$10,0))</f>
        <v>2.1917381250000001</v>
      </c>
      <c r="M47" s="325">
        <f ca="1">INDEX(OFFSET('Baseline NFPC'!$C$1:$U$1,$D47-1,0),MATCH(M$4,'Baseline NFPC'!$C$10:$U$10,0))</f>
        <v>2.3487065</v>
      </c>
      <c r="N47" s="325">
        <f ca="1">INDEX(OFFSET('Baseline NFPC'!$C$1:$U$1,$D47-1,0),MATCH(N$4,'Baseline NFPC'!$C$10:$U$10,0))</f>
        <v>2.505674875</v>
      </c>
      <c r="O47" s="325">
        <f ca="1">INDEX(OFFSET('Baseline NFPC'!$C$1:$U$1,$D47-1,0),MATCH(O$4,'Baseline NFPC'!$C$10:$U$10,0))</f>
        <v>2.6626432499999999</v>
      </c>
      <c r="P47" s="325">
        <f ca="1">INDEX(OFFSET('Baseline NFPC'!$C$1:$U$1,$D47-1,0),MATCH(P$4,'Baseline NFPC'!$C$10:$U$10,0))</f>
        <v>2.8196116249999998</v>
      </c>
      <c r="Q47" s="325">
        <f ca="1">INDEX(OFFSET('Baseline NFPC'!$C$1:$U$1,$D47-1,0),MATCH(Q$4,'Baseline NFPC'!$C$10:$U$10,0))</f>
        <v>2.9765799999999998</v>
      </c>
      <c r="R47" s="325">
        <f ca="1">INDEX(OFFSET('Baseline NFPC'!$C$1:$U$1,$D47-1,0),MATCH(R$4,'Baseline NFPC'!$C$10:$U$10,0))</f>
        <v>2.9277509999999998</v>
      </c>
      <c r="S47" s="325">
        <f ca="1">INDEX(OFFSET('Baseline NFPC'!$C$1:$U$1,$D47-1,0),MATCH(S$4,'Baseline NFPC'!$C$10:$U$10,0))</f>
        <v>2.8789219999999998</v>
      </c>
      <c r="T47" s="325">
        <f ca="1">INDEX(OFFSET('Baseline NFPC'!$C$1:$U$1,$D47-1,0),MATCH(T$4,'Baseline NFPC'!$C$10:$U$10,0))</f>
        <v>2.8300929999999997</v>
      </c>
      <c r="U47" s="325">
        <f ca="1">INDEX(OFFSET('Baseline NFPC'!$C$1:$U$1,$D47-1,0),MATCH(U$4,'Baseline NFPC'!$C$10:$U$10,0))</f>
        <v>2.7812639999999997</v>
      </c>
      <c r="V47" s="325">
        <f ca="1">INDEX(OFFSET('Baseline NFPC'!$C$1:$U$1,$D47-1,0),MATCH(V$4,'Baseline NFPC'!$C$10:$U$10,0))</f>
        <v>2.7324349999999997</v>
      </c>
      <c r="W47" s="325">
        <f ca="1">INDEX(OFFSET('Baseline NFPC'!$C$1:$U$1,$D47-1,0),MATCH(W$4,'Baseline NFPC'!$C$10:$U$10,0))</f>
        <v>2.6836059999999997</v>
      </c>
      <c r="X47" s="325">
        <f ca="1">INDEX(OFFSET('Baseline NFPC'!$C$1:$U$1,$D47-1,0),MATCH(X$4,'Baseline NFPC'!$C$10:$U$10,0))</f>
        <v>2.6347769999999997</v>
      </c>
      <c r="Y47" s="265"/>
    </row>
    <row r="48" spans="1:25" x14ac:dyDescent="0.2">
      <c r="A48" s="265"/>
      <c r="B48" s="332">
        <v>8</v>
      </c>
      <c r="C48" s="336" t="s">
        <v>220</v>
      </c>
      <c r="D48" s="337">
        <v>35</v>
      </c>
      <c r="E48" s="338" t="s">
        <v>219</v>
      </c>
      <c r="F48" s="325">
        <f ca="1">INDEX(OFFSET('Baseline NFPC'!$C$1:$U$1,$D48-1,0),MATCH(F$4,'Baseline NFPC'!$C$10:$U$10,0))</f>
        <v>1.422372</v>
      </c>
      <c r="G48" s="325">
        <f ca="1">INDEX(OFFSET('Baseline NFPC'!$C$1:$U$1,$D48-1,0),MATCH(G$4,'Baseline NFPC'!$C$10:$U$10,0))</f>
        <v>1.7254640000000001</v>
      </c>
      <c r="H48" s="325">
        <f ca="1">INDEX(OFFSET('Baseline NFPC'!$C$1:$U$1,$D48-1,0),MATCH(H$4,'Baseline NFPC'!$C$10:$U$10,0))</f>
        <v>1.8</v>
      </c>
      <c r="I48" s="325">
        <f ca="1">INDEX(OFFSET('Baseline NFPC'!$C$1:$U$1,$D48-1,0),MATCH(I$4,'Baseline NFPC'!$C$10:$U$10,0))</f>
        <v>1.800295</v>
      </c>
      <c r="J48" s="325">
        <f ca="1">INDEX(OFFSET('Baseline NFPC'!$C$1:$U$1,$D48-1,0),MATCH(J$4,'Baseline NFPC'!$C$10:$U$10,0))</f>
        <v>1.9501148443540419</v>
      </c>
      <c r="K48" s="325">
        <f ca="1">INDEX(OFFSET('Baseline NFPC'!$C$1:$U$1,$D48-1,0),MATCH(K$4,'Baseline NFPC'!$C$10:$U$10,0))</f>
        <v>2.0904194581835727</v>
      </c>
      <c r="L48" s="325">
        <f ca="1">INDEX(OFFSET('Baseline NFPC'!$C$1:$U$1,$D48-1,0),MATCH(L$4,'Baseline NFPC'!$C$10:$U$10,0))</f>
        <v>2.2226873415652442</v>
      </c>
      <c r="M48" s="325">
        <f ca="1">INDEX(OFFSET('Baseline NFPC'!$C$1:$U$1,$D48-1,0),MATCH(M$4,'Baseline NFPC'!$C$10:$U$10,0))</f>
        <v>2.3480786714012236</v>
      </c>
      <c r="N48" s="325">
        <f ca="1">INDEX(OFFSET('Baseline NFPC'!$C$1:$U$1,$D48-1,0),MATCH(N$4,'Baseline NFPC'!$C$10:$U$10,0))</f>
        <v>2.4691227274250815</v>
      </c>
      <c r="O48" s="325">
        <f ca="1">INDEX(OFFSET('Baseline NFPC'!$C$1:$U$1,$D48-1,0),MATCH(O$4,'Baseline NFPC'!$C$10:$U$10,0))</f>
        <v>2.5861719133834824</v>
      </c>
      <c r="P48" s="325">
        <f ca="1">INDEX(OFFSET('Baseline NFPC'!$C$1:$U$1,$D48-1,0),MATCH(P$4,'Baseline NFPC'!$C$10:$U$10,0))</f>
        <v>2.7002511835301672</v>
      </c>
      <c r="Q48" s="325">
        <f ca="1">INDEX(OFFSET('Baseline NFPC'!$C$1:$U$1,$D48-1,0),MATCH(Q$4,'Baseline NFPC'!$C$10:$U$10,0))</f>
        <v>2.8108522157547475</v>
      </c>
      <c r="R48" s="325">
        <f ca="1">INDEX(OFFSET('Baseline NFPC'!$C$1:$U$1,$D48-1,0),MATCH(R$4,'Baseline NFPC'!$C$10:$U$10,0))</f>
        <v>2.8896789301242278</v>
      </c>
      <c r="S48" s="325">
        <f ca="1">INDEX(OFFSET('Baseline NFPC'!$C$1:$U$1,$D48-1,0),MATCH(S$4,'Baseline NFPC'!$C$10:$U$10,0))</f>
        <v>2.9600124722761589</v>
      </c>
      <c r="T48" s="325">
        <f ca="1">INDEX(OFFSET('Baseline NFPC'!$C$1:$U$1,$D48-1,0),MATCH(T$4,'Baseline NFPC'!$C$10:$U$10,0))</f>
        <v>3.0231687674361534</v>
      </c>
      <c r="U48" s="325">
        <f ca="1">INDEX(OFFSET('Baseline NFPC'!$C$1:$U$1,$D48-1,0),MATCH(U$4,'Baseline NFPC'!$C$10:$U$10,0))</f>
        <v>3.0799199488332842</v>
      </c>
      <c r="V48" s="325">
        <f ca="1">INDEX(OFFSET('Baseline NFPC'!$C$1:$U$1,$D48-1,0),MATCH(V$4,'Baseline NFPC'!$C$10:$U$10,0))</f>
        <v>3.1313734031734475</v>
      </c>
      <c r="W48" s="325">
        <f ca="1">INDEX(OFFSET('Baseline NFPC'!$C$1:$U$1,$D48-1,0),MATCH(W$4,'Baseline NFPC'!$C$10:$U$10,0))</f>
        <v>3.1784481790568448</v>
      </c>
      <c r="X48" s="325">
        <f ca="1">INDEX(OFFSET('Baseline NFPC'!$C$1:$U$1,$D48-1,0),MATCH(X$4,'Baseline NFPC'!$C$10:$U$10,0))</f>
        <v>3.2216387078078448</v>
      </c>
      <c r="Y48" s="265"/>
    </row>
    <row r="49" spans="1:25" x14ac:dyDescent="0.2">
      <c r="A49" s="265"/>
      <c r="B49" s="332">
        <v>9</v>
      </c>
      <c r="C49" s="340" t="s">
        <v>62</v>
      </c>
      <c r="D49" s="337">
        <v>26</v>
      </c>
      <c r="E49" s="338" t="s">
        <v>222</v>
      </c>
      <c r="F49" s="325">
        <f>'Input data'!C$33</f>
        <v>0.70973679999999995</v>
      </c>
      <c r="G49" s="325">
        <f ca="1">(INDEX(OFFSET('Baseline NFPC'!$C$1:$U$1,$D49-1,0),MATCH(G$4,'Baseline NFPC'!$C$10:$U$10,0))/INDEX(OFFSET('Baseline NFPC'!$C$1:$U$1,$D49-1,0),MATCH(F$4,'Baseline NFPC'!$C$10:$U$10,0))-1)*100</f>
        <v>0.45046040000000787</v>
      </c>
      <c r="H49" s="325">
        <f ca="1">(INDEX(OFFSET('Baseline NFPC'!$C$1:$U$1,$D49-1,0),MATCH(H$4,'Baseline NFPC'!$C$10:$U$10,0))/INDEX(OFFSET('Baseline NFPC'!$C$1:$U$1,$D49-1,0),MATCH(G$4,'Baseline NFPC'!$C$10:$U$10,0))-1)*100</f>
        <v>0.26733100000000398</v>
      </c>
      <c r="I49" s="325">
        <f ca="1">(INDEX(OFFSET('Baseline NFPC'!$C$1:$U$1,$D49-1,0),MATCH(I$4,'Baseline NFPC'!$C$10:$U$10,0))/INDEX(OFFSET('Baseline NFPC'!$C$1:$U$1,$D49-1,0),MATCH(H$4,'Baseline NFPC'!$C$10:$U$10,0))-1)*100</f>
        <v>0.34786209999999596</v>
      </c>
      <c r="J49" s="325">
        <f ca="1">(INDEX(OFFSET('Baseline NFPC'!$C$1:$U$1,$D49-1,0),MATCH(J$4,'Baseline NFPC'!$C$10:$U$10,0))/INDEX(OFFSET('Baseline NFPC'!$C$1:$U$1,$D49-1,0),MATCH(I$4,'Baseline NFPC'!$C$10:$U$10,0))-1)*100</f>
        <v>0.45301710000000828</v>
      </c>
      <c r="K49" s="325">
        <f ca="1">(INDEX(OFFSET('Baseline NFPC'!$C$1:$U$1,$D49-1,0),MATCH(K$4,'Baseline NFPC'!$C$10:$U$10,0))/INDEX(OFFSET('Baseline NFPC'!$C$1:$U$1,$D49-1,0),MATCH(J$4,'Baseline NFPC'!$C$10:$U$10,0))-1)*100</f>
        <v>0.55741680000001015</v>
      </c>
      <c r="L49" s="325">
        <f ca="1">(INDEX(OFFSET('Baseline NFPC'!$C$1:$U$1,$D49-1,0),MATCH(L$4,'Baseline NFPC'!$C$10:$U$10,0))/INDEX(OFFSET('Baseline NFPC'!$C$1:$U$1,$D49-1,0),MATCH(K$4,'Baseline NFPC'!$C$10:$U$10,0))-1)*100</f>
        <v>0.65797119999999598</v>
      </c>
      <c r="M49" s="325">
        <f ca="1">(INDEX(OFFSET('Baseline NFPC'!$C$1:$U$1,$D49-1,0),MATCH(M$4,'Baseline NFPC'!$C$10:$U$10,0))/INDEX(OFFSET('Baseline NFPC'!$C$1:$U$1,$D49-1,0),MATCH(L$4,'Baseline NFPC'!$C$10:$U$10,0))-1)*100</f>
        <v>0.63379729999999412</v>
      </c>
      <c r="N49" s="325">
        <f ca="1">(INDEX(OFFSET('Baseline NFPC'!$C$1:$U$1,$D49-1,0),MATCH(N$4,'Baseline NFPC'!$C$10:$U$10,0))/INDEX(OFFSET('Baseline NFPC'!$C$1:$U$1,$D49-1,0),MATCH(M$4,'Baseline NFPC'!$C$10:$U$10,0))-1)*100</f>
        <v>0.60714390000000673</v>
      </c>
      <c r="O49" s="325">
        <f ca="1">(INDEX(OFFSET('Baseline NFPC'!$C$1:$U$1,$D49-1,0),MATCH(O$4,'Baseline NFPC'!$C$10:$U$10,0))/INDEX(OFFSET('Baseline NFPC'!$C$1:$U$1,$D49-1,0),MATCH(N$4,'Baseline NFPC'!$C$10:$U$10,0))-1)*100</f>
        <v>0.5866581999999898</v>
      </c>
      <c r="P49" s="325">
        <f ca="1">(INDEX(OFFSET('Baseline NFPC'!$C$1:$U$1,$D49-1,0),MATCH(P$4,'Baseline NFPC'!$C$10:$U$10,0))/INDEX(OFFSET('Baseline NFPC'!$C$1:$U$1,$D49-1,0),MATCH(O$4,'Baseline NFPC'!$C$10:$U$10,0))-1)*100</f>
        <v>0.58461419999999986</v>
      </c>
      <c r="Q49" s="325">
        <f ca="1">(INDEX(OFFSET('Baseline NFPC'!$C$1:$U$1,$D49-1,0),MATCH(Q$4,'Baseline NFPC'!$C$10:$U$10,0))/INDEX(OFFSET('Baseline NFPC'!$C$1:$U$1,$D49-1,0),MATCH(P$4,'Baseline NFPC'!$C$10:$U$10,0))-1)*100</f>
        <v>0.67615050000000565</v>
      </c>
      <c r="R49" s="325">
        <f ca="1">(INDEX(OFFSET('Baseline NFPC'!$C$1:$U$1,$D49-1,0),MATCH(R$4,'Baseline NFPC'!$C$10:$U$10,0))/INDEX(OFFSET('Baseline NFPC'!$C$1:$U$1,$D49-1,0),MATCH(Q$4,'Baseline NFPC'!$C$10:$U$10,0))-1)*100</f>
        <v>0.88076699999999342</v>
      </c>
      <c r="S49" s="325">
        <f ca="1">(INDEX(OFFSET('Baseline NFPC'!$C$1:$U$1,$D49-1,0),MATCH(S$4,'Baseline NFPC'!$C$10:$U$10,0))/INDEX(OFFSET('Baseline NFPC'!$C$1:$U$1,$D49-1,0),MATCH(R$4,'Baseline NFPC'!$C$10:$U$10,0))-1)*100</f>
        <v>1.0853830000000064</v>
      </c>
      <c r="T49" s="325">
        <f ca="1">(INDEX(OFFSET('Baseline NFPC'!$C$1:$U$1,$D49-1,0),MATCH(T$4,'Baseline NFPC'!$C$10:$U$10,0))/INDEX(OFFSET('Baseline NFPC'!$C$1:$U$1,$D49-1,0),MATCH(S$4,'Baseline NFPC'!$C$10:$U$10,0))-1)*100</f>
        <v>1.2899999999999912</v>
      </c>
      <c r="U49" s="325">
        <f ca="1">(INDEX(OFFSET('Baseline NFPC'!$C$1:$U$1,$D49-1,0),MATCH(U$4,'Baseline NFPC'!$C$10:$U$10,0))/INDEX(OFFSET('Baseline NFPC'!$C$1:$U$1,$D49-1,0),MATCH(T$4,'Baseline NFPC'!$C$10:$U$10,0))-1)*100</f>
        <v>1.3800000000000034</v>
      </c>
      <c r="V49" s="325">
        <f ca="1">(INDEX(OFFSET('Baseline NFPC'!$C$1:$U$1,$D49-1,0),MATCH(V$4,'Baseline NFPC'!$C$10:$U$10,0))/INDEX(OFFSET('Baseline NFPC'!$C$1:$U$1,$D49-1,0),MATCH(U$4,'Baseline NFPC'!$C$10:$U$10,0))-1)*100</f>
        <v>1.4699999999999935</v>
      </c>
      <c r="W49" s="325">
        <f ca="1">(INDEX(OFFSET('Baseline NFPC'!$C$1:$U$1,$D49-1,0),MATCH(W$4,'Baseline NFPC'!$C$10:$U$10,0))/INDEX(OFFSET('Baseline NFPC'!$C$1:$U$1,$D49-1,0),MATCH(V$4,'Baseline NFPC'!$C$10:$U$10,0))-1)*100</f>
        <v>1.5500000000000069</v>
      </c>
      <c r="X49" s="325">
        <f ca="1">(INDEX(OFFSET('Baseline NFPC'!$C$1:$U$1,$D49-1,0),MATCH(X$4,'Baseline NFPC'!$C$10:$U$10,0))/INDEX(OFFSET('Baseline NFPC'!$C$1:$U$1,$D49-1,0),MATCH(W$4,'Baseline NFPC'!$C$10:$U$10,0))-1)*100</f>
        <v>1.5600000000000058</v>
      </c>
      <c r="Y49" s="265"/>
    </row>
    <row r="50" spans="1:25" x14ac:dyDescent="0.2">
      <c r="A50" s="265"/>
      <c r="B50" s="332">
        <v>10</v>
      </c>
      <c r="C50" s="328" t="s">
        <v>223</v>
      </c>
      <c r="D50" s="337">
        <v>23</v>
      </c>
      <c r="E50" s="338" t="s">
        <v>222</v>
      </c>
      <c r="F50" s="325">
        <f ca="1">INDEX(OFFSET('Baseline NFPC'!$C$1:$U$1,$D50-1,0),MATCH(F$4,'Baseline NFPC'!$C$10:$U$10,0))</f>
        <v>-0.26643830000000002</v>
      </c>
      <c r="G50" s="325">
        <f ca="1">INDEX(OFFSET('Baseline NFPC'!$C$1:$U$1,$D50-1,0),MATCH(G$4,'Baseline NFPC'!$C$10:$U$10,0))</f>
        <v>-0.23852609999999999</v>
      </c>
      <c r="H50" s="325">
        <f ca="1">INDEX(OFFSET('Baseline NFPC'!$C$1:$U$1,$D50-1,0),MATCH(H$4,'Baseline NFPC'!$C$10:$U$10,0))</f>
        <v>0.17216110000000001</v>
      </c>
      <c r="I50" s="325">
        <f ca="1">INDEX(OFFSET('Baseline NFPC'!$C$1:$U$1,$D50-1,0),MATCH(I$4,'Baseline NFPC'!$C$10:$U$10,0))</f>
        <v>0.62623519999999999</v>
      </c>
      <c r="J50" s="325">
        <f ca="1">INDEX(OFFSET('Baseline NFPC'!$C$1:$U$1,$D50-1,0),MATCH(J$4,'Baseline NFPC'!$C$10:$U$10,0))</f>
        <v>0.85516650000000005</v>
      </c>
      <c r="K50" s="325">
        <f ca="1">INDEX(OFFSET('Baseline NFPC'!$C$1:$U$1,$D50-1,0),MATCH(K$4,'Baseline NFPC'!$C$10:$U$10,0))</f>
        <v>0.95835910000000002</v>
      </c>
      <c r="L50" s="325">
        <f ca="1">INDEX(OFFSET('Baseline NFPC'!$C$1:$U$1,$D50-1,0),MATCH(L$4,'Baseline NFPC'!$C$10:$U$10,0))</f>
        <v>1.057734</v>
      </c>
      <c r="M50" s="325">
        <f ca="1">INDEX(OFFSET('Baseline NFPC'!$C$1:$U$1,$D50-1,0),MATCH(M$4,'Baseline NFPC'!$C$10:$U$10,0))</f>
        <v>0.63380049999999999</v>
      </c>
      <c r="N50" s="325">
        <f ca="1">INDEX(OFFSET('Baseline NFPC'!$C$1:$U$1,$D50-1,0),MATCH(N$4,'Baseline NFPC'!$C$10:$U$10,0))</f>
        <v>0.60714469999999998</v>
      </c>
      <c r="O50" s="325">
        <f ca="1">INDEX(OFFSET('Baseline NFPC'!$C$1:$U$1,$D50-1,0),MATCH(O$4,'Baseline NFPC'!$C$10:$U$10,0))</f>
        <v>0.58665769999999995</v>
      </c>
      <c r="P50" s="325">
        <f ca="1">INDEX(OFFSET('Baseline NFPC'!$C$1:$U$1,$D50-1,0),MATCH(P$4,'Baseline NFPC'!$C$10:$U$10,0))</f>
        <v>0.58461379999999996</v>
      </c>
      <c r="Q50" s="325">
        <f ca="1">INDEX(OFFSET('Baseline NFPC'!$C$1:$U$1,$D50-1,0),MATCH(Q$4,'Baseline NFPC'!$C$10:$U$10,0))</f>
        <v>0.6761528</v>
      </c>
      <c r="R50" s="325">
        <f ca="1">INDEX(OFFSET('Baseline NFPC'!$C$1:$U$1,$D50-1,0),MATCH(R$4,'Baseline NFPC'!$C$10:$U$10,0))</f>
        <v>0.88076969999999999</v>
      </c>
      <c r="S50" s="325">
        <f ca="1">INDEX(OFFSET('Baseline NFPC'!$C$1:$U$1,$D50-1,0),MATCH(S$4,'Baseline NFPC'!$C$10:$U$10,0))</f>
        <v>1.085386</v>
      </c>
      <c r="T50" s="325">
        <f ca="1">INDEX(OFFSET('Baseline NFPC'!$C$1:$U$1,$D50-1,0),MATCH(T$4,'Baseline NFPC'!$C$10:$U$10,0))</f>
        <v>1.290001</v>
      </c>
      <c r="U50" s="325">
        <f ca="1">INDEX(OFFSET('Baseline NFPC'!$C$1:$U$1,$D50-1,0),MATCH(U$4,'Baseline NFPC'!$C$10:$U$10,0))</f>
        <v>1.379999</v>
      </c>
      <c r="V50" s="325">
        <f ca="1">INDEX(OFFSET('Baseline NFPC'!$C$1:$U$1,$D50-1,0),MATCH(V$4,'Baseline NFPC'!$C$10:$U$10,0))</f>
        <v>1.470005</v>
      </c>
      <c r="W50" s="325">
        <f ca="1">INDEX(OFFSET('Baseline NFPC'!$C$1:$U$1,$D50-1,0),MATCH(W$4,'Baseline NFPC'!$C$10:$U$10,0))</f>
        <v>1.549998</v>
      </c>
      <c r="X50" s="325">
        <f ca="1">INDEX(OFFSET('Baseline NFPC'!$C$1:$U$1,$D50-1,0),MATCH(X$4,'Baseline NFPC'!$C$10:$U$10,0))</f>
        <v>1.5600020000000001</v>
      </c>
      <c r="Y50" s="265"/>
    </row>
    <row r="51" spans="1:25" x14ac:dyDescent="0.2">
      <c r="A51" s="265"/>
      <c r="B51" s="332">
        <v>11</v>
      </c>
      <c r="C51" s="341" t="s">
        <v>224</v>
      </c>
      <c r="D51" s="337">
        <v>41</v>
      </c>
      <c r="E51" s="338" t="s">
        <v>222</v>
      </c>
      <c r="F51" s="325">
        <f ca="1">INDEX(OFFSET('Baseline NFPC'!$C$1:$U$1,$D51-1,0),MATCH(F$4,'Baseline NFPC'!$C$10:$U$10,0))</f>
        <v>6.1429179999999999</v>
      </c>
      <c r="G51" s="325">
        <f ca="1">INDEX(OFFSET('Baseline NFPC'!$C$1:$U$1,$D51-1,0),MATCH(G$4,'Baseline NFPC'!$C$10:$U$10,0))</f>
        <v>3.1060140000000001</v>
      </c>
      <c r="H51" s="325">
        <f ca="1">INDEX(OFFSET('Baseline NFPC'!$C$1:$U$1,$D51-1,0),MATCH(H$4,'Baseline NFPC'!$C$10:$U$10,0))</f>
        <v>2.439314</v>
      </c>
      <c r="I51" s="325">
        <f ca="1">INDEX(OFFSET('Baseline NFPC'!$C$1:$U$1,$D51-1,0),MATCH(I$4,'Baseline NFPC'!$C$10:$U$10,0))</f>
        <v>2.1658539999999999</v>
      </c>
      <c r="J51" s="325">
        <f ca="1">INDEX(OFFSET('Baseline NFPC'!$C$1:$U$1,$D51-1,0),MATCH(J$4,'Baseline NFPC'!$C$10:$U$10,0))</f>
        <v>2.1776222499999998</v>
      </c>
      <c r="K51" s="325">
        <f ca="1">INDEX(OFFSET('Baseline NFPC'!$C$1:$U$1,$D51-1,0),MATCH(K$4,'Baseline NFPC'!$C$10:$U$10,0))</f>
        <v>2.1893905</v>
      </c>
      <c r="L51" s="325">
        <f ca="1">INDEX(OFFSET('Baseline NFPC'!$C$1:$U$1,$D51-1,0),MATCH(L$4,'Baseline NFPC'!$C$10:$U$10,0))</f>
        <v>2.2011587499999998</v>
      </c>
      <c r="M51" s="325">
        <f ca="1">INDEX(OFFSET('Baseline NFPC'!$C$1:$U$1,$D51-1,0),MATCH(M$4,'Baseline NFPC'!$C$10:$U$10,0))</f>
        <v>2.2129269999999996</v>
      </c>
      <c r="N51" s="325">
        <f ca="1">INDEX(OFFSET('Baseline NFPC'!$C$1:$U$1,$D51-1,0),MATCH(N$4,'Baseline NFPC'!$C$10:$U$10,0))</f>
        <v>2.2246952499999999</v>
      </c>
      <c r="O51" s="325">
        <f ca="1">INDEX(OFFSET('Baseline NFPC'!$C$1:$U$1,$D51-1,0),MATCH(O$4,'Baseline NFPC'!$C$10:$U$10,0))</f>
        <v>2.2364634999999997</v>
      </c>
      <c r="P51" s="325">
        <f ca="1">INDEX(OFFSET('Baseline NFPC'!$C$1:$U$1,$D51-1,0),MATCH(P$4,'Baseline NFPC'!$C$10:$U$10,0))</f>
        <v>2.24823175</v>
      </c>
      <c r="Q51" s="325">
        <f ca="1">INDEX(OFFSET('Baseline NFPC'!$C$1:$U$1,$D51-1,0),MATCH(Q$4,'Baseline NFPC'!$C$10:$U$10,0))</f>
        <v>2.2599999999999998</v>
      </c>
      <c r="R51" s="325">
        <f ca="1">INDEX(OFFSET('Baseline NFPC'!$C$1:$U$1,$D51-1,0),MATCH(R$4,'Baseline NFPC'!$C$10:$U$10,0))</f>
        <v>2.2469999999999999</v>
      </c>
      <c r="S51" s="325">
        <f ca="1">INDEX(OFFSET('Baseline NFPC'!$C$1:$U$1,$D51-1,0),MATCH(S$4,'Baseline NFPC'!$C$10:$U$10,0))</f>
        <v>2.234</v>
      </c>
      <c r="T51" s="325">
        <f ca="1">INDEX(OFFSET('Baseline NFPC'!$C$1:$U$1,$D51-1,0),MATCH(T$4,'Baseline NFPC'!$C$10:$U$10,0))</f>
        <v>2.2209999999999996</v>
      </c>
      <c r="U51" s="325">
        <f ca="1">INDEX(OFFSET('Baseline NFPC'!$C$1:$U$1,$D51-1,0),MATCH(U$4,'Baseline NFPC'!$C$10:$U$10,0))</f>
        <v>2.2079999999999997</v>
      </c>
      <c r="V51" s="325">
        <f ca="1">INDEX(OFFSET('Baseline NFPC'!$C$1:$U$1,$D51-1,0),MATCH(V$4,'Baseline NFPC'!$C$10:$U$10,0))</f>
        <v>2.1949999999999998</v>
      </c>
      <c r="W51" s="325">
        <f ca="1">INDEX(OFFSET('Baseline NFPC'!$C$1:$U$1,$D51-1,0),MATCH(W$4,'Baseline NFPC'!$C$10:$U$10,0))</f>
        <v>2.1819999999999999</v>
      </c>
      <c r="X51" s="325">
        <f ca="1">INDEX(OFFSET('Baseline NFPC'!$C$1:$U$1,$D51-1,0),MATCH(X$4,'Baseline NFPC'!$C$10:$U$10,0))</f>
        <v>2.169</v>
      </c>
      <c r="Y51" s="265"/>
    </row>
    <row r="52" spans="1:25" x14ac:dyDescent="0.2">
      <c r="A52" s="265"/>
      <c r="B52" s="332">
        <v>12</v>
      </c>
      <c r="C52" s="328" t="s">
        <v>225</v>
      </c>
      <c r="D52" s="337">
        <v>32</v>
      </c>
      <c r="E52" s="338" t="s">
        <v>222</v>
      </c>
      <c r="F52" s="325">
        <f ca="1">INDEX(OFFSET('Baseline NFPC'!$C$1:$U$1,$D52-1,0),MATCH(F$4,'Baseline NFPC'!$C$10:$U$10,0))</f>
        <v>5.8601126137103998</v>
      </c>
      <c r="G52" s="325">
        <f ca="1">INDEX(OFFSET('Baseline NFPC'!$C$1:$U$1,$D52-1,0),MATCH(G$4,'Baseline NFPC'!$C$10:$U$10,0))</f>
        <v>2.860079245940339</v>
      </c>
      <c r="H52" s="325">
        <f ca="1">INDEX(OFFSET('Baseline NFPC'!$C$1:$U$1,$D52-1,0),MATCH(H$4,'Baseline NFPC'!$C$10:$U$10,0))</f>
        <v>2.6156746498148475</v>
      </c>
      <c r="I52" s="325">
        <f ca="1">INDEX(OFFSET('Baseline NFPC'!$C$1:$U$1,$D52-1,0),MATCH(I$4,'Baseline NFPC'!$C$10:$U$10,0))</f>
        <v>2.8056525401286114</v>
      </c>
      <c r="J52" s="325">
        <f ca="1">INDEX(OFFSET('Baseline NFPC'!$C$1:$U$1,$D52-1,0),MATCH(J$4,'Baseline NFPC'!$C$10:$U$10,0))</f>
        <v>3.0514110459785471</v>
      </c>
      <c r="K52" s="325">
        <f ca="1">INDEX(OFFSET('Baseline NFPC'!$C$1:$U$1,$D52-1,0),MATCH(K$4,'Baseline NFPC'!$C$10:$U$10,0))</f>
        <v>3.1687318230912753</v>
      </c>
      <c r="L52" s="325">
        <f ca="1">INDEX(OFFSET('Baseline NFPC'!$C$1:$U$1,$D52-1,0),MATCH(L$4,'Baseline NFPC'!$C$10:$U$10,0))</f>
        <v>3.2821751544927169</v>
      </c>
      <c r="M52" s="325">
        <f ca="1">INDEX(OFFSET('Baseline NFPC'!$C$1:$U$1,$D52-1,0),MATCH(M$4,'Baseline NFPC'!$C$10:$U$10,0))</f>
        <v>2.860753042390618</v>
      </c>
      <c r="N52" s="325">
        <f ca="1">INDEX(OFFSET('Baseline NFPC'!$C$1:$U$1,$D52-1,0),MATCH(N$4,'Baseline NFPC'!$C$10:$U$10,0))</f>
        <v>2.8453470693015293</v>
      </c>
      <c r="O52" s="325">
        <f ca="1">INDEX(OFFSET('Baseline NFPC'!$C$1:$U$1,$D52-1,0),MATCH(O$4,'Baseline NFPC'!$C$10:$U$10,0))</f>
        <v>2.8362415853304235</v>
      </c>
      <c r="P52" s="325">
        <f ca="1">INDEX(OFFSET('Baseline NFPC'!$C$1:$U$1,$D52-1,0),MATCH(P$4,'Baseline NFPC'!$C$10:$U$10,0))</f>
        <v>2.8459890230664753</v>
      </c>
      <c r="Q52" s="325">
        <f ca="1">INDEX(OFFSET('Baseline NFPC'!$C$1:$U$1,$D52-1,0),MATCH(Q$4,'Baseline NFPC'!$C$10:$U$10,0))</f>
        <v>2.9514338532799833</v>
      </c>
      <c r="R52" s="325">
        <f ca="1">INDEX(OFFSET('Baseline NFPC'!$C$1:$U$1,$D52-1,0),MATCH(R$4,'Baseline NFPC'!$C$10:$U$10,0))</f>
        <v>3.1475605951589936</v>
      </c>
      <c r="S52" s="325">
        <f ca="1">INDEX(OFFSET('Baseline NFPC'!$C$1:$U$1,$D52-1,0),MATCH(S$4,'Baseline NFPC'!$C$10:$U$10,0))</f>
        <v>3.3436335232400083</v>
      </c>
      <c r="T52" s="325">
        <f ca="1">INDEX(OFFSET('Baseline NFPC'!$C$1:$U$1,$D52-1,0),MATCH(T$4,'Baseline NFPC'!$C$10:$U$10,0))</f>
        <v>3.5396519222100187</v>
      </c>
      <c r="U52" s="325">
        <f ca="1">INDEX(OFFSET('Baseline NFPC'!$C$1:$U$1,$D52-1,0),MATCH(U$4,'Baseline NFPC'!$C$10:$U$10,0))</f>
        <v>3.6184693779200305</v>
      </c>
      <c r="V52" s="325">
        <f ca="1">INDEX(OFFSET('Baseline NFPC'!$C$1:$U$1,$D52-1,0),MATCH(V$4,'Baseline NFPC'!$C$10:$U$10,0))</f>
        <v>3.6972716097499969</v>
      </c>
      <c r="W52" s="325">
        <f ca="1">INDEX(OFFSET('Baseline NFPC'!$C$1:$U$1,$D52-1,0),MATCH(W$4,'Baseline NFPC'!$C$10:$U$10,0))</f>
        <v>3.7658189563599898</v>
      </c>
      <c r="X52" s="325">
        <f ca="1">INDEX(OFFSET('Baseline NFPC'!$C$1:$U$1,$D52-1,0),MATCH(X$4,'Baseline NFPC'!$C$10:$U$10,0))</f>
        <v>3.76283844337999</v>
      </c>
      <c r="Y52" s="265"/>
    </row>
    <row r="53" spans="1:25" x14ac:dyDescent="0.2">
      <c r="A53" s="265"/>
      <c r="B53" s="332">
        <v>13</v>
      </c>
      <c r="C53" s="328" t="s">
        <v>68</v>
      </c>
      <c r="D53" s="327"/>
      <c r="E53" s="338" t="s">
        <v>219</v>
      </c>
      <c r="F53" s="344">
        <f>'Input data'!$C$49</f>
        <v>0.75</v>
      </c>
      <c r="G53" s="265"/>
      <c r="H53" s="265"/>
      <c r="I53" s="265"/>
      <c r="J53" s="265"/>
      <c r="K53" s="265"/>
      <c r="L53" s="265"/>
      <c r="M53" s="265"/>
      <c r="N53" s="265"/>
      <c r="O53" s="265"/>
      <c r="P53" s="265"/>
      <c r="Q53" s="265"/>
      <c r="R53" s="265"/>
      <c r="S53" s="265"/>
      <c r="T53" s="265"/>
      <c r="U53" s="265"/>
      <c r="V53" s="265"/>
      <c r="W53" s="265"/>
      <c r="X53" s="265"/>
      <c r="Y53" s="265"/>
    </row>
    <row r="54" spans="1:25" x14ac:dyDescent="0.2">
      <c r="A54" s="265"/>
      <c r="B54" s="326"/>
      <c r="C54" s="347"/>
      <c r="D54" s="347"/>
      <c r="E54" s="347"/>
      <c r="F54" s="347"/>
      <c r="G54" s="347"/>
      <c r="H54" s="347"/>
      <c r="I54" s="347"/>
      <c r="J54" s="347"/>
      <c r="K54" s="265"/>
      <c r="L54" s="265"/>
      <c r="M54" s="265"/>
      <c r="N54" s="265"/>
      <c r="O54" s="265"/>
      <c r="P54" s="265"/>
      <c r="Q54" s="265"/>
      <c r="R54" s="265"/>
      <c r="S54" s="265"/>
      <c r="T54" s="265"/>
      <c r="U54" s="265"/>
      <c r="V54" s="265"/>
      <c r="W54" s="265"/>
      <c r="X54" s="265"/>
      <c r="Y54" s="265"/>
    </row>
    <row r="55" spans="1:25" x14ac:dyDescent="0.2">
      <c r="A55" s="265"/>
      <c r="B55" s="348"/>
      <c r="C55" s="330" t="s">
        <v>231</v>
      </c>
      <c r="D55" s="331"/>
      <c r="E55" s="331"/>
      <c r="F55" s="331"/>
      <c r="G55" s="347"/>
      <c r="H55" s="347"/>
      <c r="I55" s="347"/>
      <c r="J55" s="347"/>
      <c r="K55" s="265"/>
      <c r="L55" s="265"/>
      <c r="M55" s="265"/>
      <c r="N55" s="265"/>
      <c r="O55" s="265"/>
      <c r="P55" s="265"/>
      <c r="Q55" s="265"/>
      <c r="R55" s="265"/>
      <c r="S55" s="265"/>
      <c r="T55" s="265"/>
      <c r="U55" s="265"/>
      <c r="V55" s="265"/>
      <c r="W55" s="265"/>
      <c r="X55" s="265"/>
      <c r="Y55" s="265"/>
    </row>
    <row r="56" spans="1:25" x14ac:dyDescent="0.2">
      <c r="A56" s="265"/>
      <c r="B56" s="326"/>
      <c r="C56" s="347"/>
      <c r="D56" s="347"/>
      <c r="E56" s="347"/>
      <c r="F56" s="347"/>
      <c r="G56" s="347"/>
      <c r="H56" s="347"/>
      <c r="I56" s="347"/>
      <c r="J56" s="347"/>
      <c r="K56" s="265"/>
      <c r="L56" s="265"/>
      <c r="M56" s="265"/>
      <c r="N56" s="265"/>
      <c r="O56" s="265"/>
      <c r="P56" s="265"/>
      <c r="Q56" s="265"/>
      <c r="R56" s="265"/>
      <c r="S56" s="265"/>
      <c r="T56" s="265"/>
      <c r="U56" s="265"/>
      <c r="V56" s="265"/>
      <c r="W56" s="265"/>
      <c r="X56" s="265"/>
      <c r="Y56" s="265"/>
    </row>
    <row r="57" spans="1:25" x14ac:dyDescent="0.2">
      <c r="A57" s="265"/>
      <c r="B57" s="332"/>
      <c r="C57" s="330"/>
      <c r="D57" s="330"/>
      <c r="E57" s="335"/>
      <c r="F57" s="335">
        <f>'Input data'!$C$5-1</f>
        <v>2023</v>
      </c>
      <c r="G57" s="335">
        <f>F57+1</f>
        <v>2024</v>
      </c>
      <c r="H57" s="335">
        <f t="shared" ref="H57:X57" si="5">G57+1</f>
        <v>2025</v>
      </c>
      <c r="I57" s="335">
        <f t="shared" si="5"/>
        <v>2026</v>
      </c>
      <c r="J57" s="335">
        <f t="shared" si="5"/>
        <v>2027</v>
      </c>
      <c r="K57" s="335">
        <f t="shared" si="5"/>
        <v>2028</v>
      </c>
      <c r="L57" s="335">
        <f t="shared" si="5"/>
        <v>2029</v>
      </c>
      <c r="M57" s="335">
        <f t="shared" si="5"/>
        <v>2030</v>
      </c>
      <c r="N57" s="335">
        <f t="shared" si="5"/>
        <v>2031</v>
      </c>
      <c r="O57" s="335">
        <f t="shared" si="5"/>
        <v>2032</v>
      </c>
      <c r="P57" s="335">
        <f t="shared" si="5"/>
        <v>2033</v>
      </c>
      <c r="Q57" s="335">
        <f t="shared" si="5"/>
        <v>2034</v>
      </c>
      <c r="R57" s="335">
        <f t="shared" si="5"/>
        <v>2035</v>
      </c>
      <c r="S57" s="335">
        <f t="shared" si="5"/>
        <v>2036</v>
      </c>
      <c r="T57" s="335">
        <f t="shared" si="5"/>
        <v>2037</v>
      </c>
      <c r="U57" s="335">
        <f t="shared" si="5"/>
        <v>2038</v>
      </c>
      <c r="V57" s="335">
        <f t="shared" si="5"/>
        <v>2039</v>
      </c>
      <c r="W57" s="335">
        <f t="shared" si="5"/>
        <v>2040</v>
      </c>
      <c r="X57" s="335">
        <f t="shared" si="5"/>
        <v>2041</v>
      </c>
      <c r="Y57" s="265"/>
    </row>
    <row r="58" spans="1:25" x14ac:dyDescent="0.2">
      <c r="A58" s="265"/>
      <c r="B58" s="332">
        <v>1</v>
      </c>
      <c r="C58" s="336" t="s">
        <v>212</v>
      </c>
      <c r="D58" s="337">
        <v>100</v>
      </c>
      <c r="E58" s="338" t="s">
        <v>213</v>
      </c>
      <c r="F58" s="325">
        <f ca="1">INDEX(OFFSET('Adjustment scenario'!$C$1:$U$1,$D58-1,0),MATCH(F$4,'Adjustment scenario'!$C$10:$U$10,0))</f>
        <v>62.885489999999997</v>
      </c>
      <c r="G58" s="325">
        <f ca="1">INDEX(OFFSET('Adjustment scenario'!$C$1:$U$1,$D58-1,0),MATCH(G$4,'Adjustment scenario'!$C$10:$U$10,0))</f>
        <v>62.455679115154567</v>
      </c>
      <c r="H58" s="325">
        <f ca="1">INDEX(OFFSET('Adjustment scenario'!$C$1:$U$1,$D58-1,0),MATCH(H$4,'Adjustment scenario'!$C$10:$U$10,0))</f>
        <v>63.692061751928861</v>
      </c>
      <c r="I58" s="325">
        <f ca="1">INDEX(OFFSET('Adjustment scenario'!$C$1:$U$1,$D58-1,0),MATCH(I$4,'Adjustment scenario'!$C$10:$U$10,0))</f>
        <v>64.202497678293042</v>
      </c>
      <c r="J58" s="325">
        <f ca="1">INDEX(OFFSET('Adjustment scenario'!$C$1:$U$1,$D58-1,0),MATCH(J$4,'Adjustment scenario'!$C$10:$U$10,0))</f>
        <v>63.836818327493361</v>
      </c>
      <c r="K58" s="325">
        <f ca="1">INDEX(OFFSET('Adjustment scenario'!$C$1:$U$1,$D58-1,0),MATCH(K$4,'Adjustment scenario'!$C$10:$U$10,0))</f>
        <v>62.913501633185533</v>
      </c>
      <c r="L58" s="325">
        <f ca="1">INDEX(OFFSET('Adjustment scenario'!$C$1:$U$1,$D58-1,0),MATCH(L$4,'Adjustment scenario'!$C$10:$U$10,0))</f>
        <v>61.635847869244621</v>
      </c>
      <c r="M58" s="325">
        <f ca="1">INDEX(OFFSET('Adjustment scenario'!$C$1:$U$1,$D58-1,0),MATCH(M$4,'Adjustment scenario'!$C$10:$U$10,0))</f>
        <v>60.304608755813618</v>
      </c>
      <c r="N58" s="325">
        <f ca="1">INDEX(OFFSET('Adjustment scenario'!$C$1:$U$1,$D58-1,0),MATCH(N$4,'Adjustment scenario'!$C$10:$U$10,0))</f>
        <v>58.916573017247039</v>
      </c>
      <c r="O58" s="325">
        <f ca="1">INDEX(OFFSET('Adjustment scenario'!$C$1:$U$1,$D58-1,0),MATCH(O$4,'Adjustment scenario'!$C$10:$U$10,0))</f>
        <v>58.101076817214988</v>
      </c>
      <c r="P58" s="325">
        <f ca="1">INDEX(OFFSET('Adjustment scenario'!$C$1:$U$1,$D58-1,0),MATCH(P$4,'Adjustment scenario'!$C$10:$U$10,0))</f>
        <v>57.447085816708856</v>
      </c>
      <c r="Q58" s="325">
        <f ca="1">INDEX(OFFSET('Adjustment scenario'!$C$1:$U$1,$D58-1,0),MATCH(Q$4,'Adjustment scenario'!$C$10:$U$10,0))</f>
        <v>56.799229240194322</v>
      </c>
      <c r="R58" s="325">
        <f ca="1">INDEX(OFFSET('Adjustment scenario'!$C$1:$U$1,$D58-1,0),MATCH(R$4,'Adjustment scenario'!$C$10:$U$10,0))</f>
        <v>56.191801145511604</v>
      </c>
      <c r="S58" s="325">
        <f ca="1">INDEX(OFFSET('Adjustment scenario'!$C$1:$U$1,$D58-1,0),MATCH(S$4,'Adjustment scenario'!$C$10:$U$10,0))</f>
        <v>55.623181130296096</v>
      </c>
      <c r="T58" s="325">
        <f ca="1">INDEX(OFFSET('Adjustment scenario'!$C$1:$U$1,$D58-1,0),MATCH(T$4,'Adjustment scenario'!$C$10:$U$10,0))</f>
        <v>54.992064718318822</v>
      </c>
      <c r="U58" s="325">
        <f ca="1">INDEX(OFFSET('Adjustment scenario'!$C$1:$U$1,$D58-1,0),MATCH(U$4,'Adjustment scenario'!$C$10:$U$10,0))</f>
        <v>54.359481926733011</v>
      </c>
      <c r="V58" s="325">
        <f ca="1">INDEX(OFFSET('Adjustment scenario'!$C$1:$U$1,$D58-1,0),MATCH(V$4,'Adjustment scenario'!$C$10:$U$10,0))</f>
        <v>53.723240391627478</v>
      </c>
      <c r="W58" s="325">
        <f ca="1">INDEX(OFFSET('Adjustment scenario'!$C$1:$U$1,$D58-1,0),MATCH(W$4,'Adjustment scenario'!$C$10:$U$10,0))</f>
        <v>52.986854117768786</v>
      </c>
      <c r="X58" s="325">
        <f ca="1">INDEX(OFFSET('Adjustment scenario'!$C$1:$U$1,$D58-1,0),MATCH(X$4,'Adjustment scenario'!$C$10:$U$10,0))</f>
        <v>52.285409151593406</v>
      </c>
      <c r="Y58" s="265"/>
    </row>
    <row r="59" spans="1:25" x14ac:dyDescent="0.2">
      <c r="A59" s="265"/>
      <c r="B59" s="332">
        <f>B58+1</f>
        <v>2</v>
      </c>
      <c r="C59" s="339" t="s">
        <v>125</v>
      </c>
      <c r="D59" s="337">
        <v>102</v>
      </c>
      <c r="E59" s="338" t="s">
        <v>213</v>
      </c>
      <c r="F59" s="325">
        <f ca="1">INDEX(OFFSET('Adjustment scenario'!$C$1:$U$1,$D59-1,0),MATCH(F$4,'Adjustment scenario'!$C$10:$U$10,0))</f>
        <v>0</v>
      </c>
      <c r="G59" s="325">
        <f ca="1">INDEX(OFFSET('Adjustment scenario'!$C$1:$U$1,$D59-1,0),MATCH(G$4,'Adjustment scenario'!$C$10:$U$10,0))</f>
        <v>6.4240999089860908</v>
      </c>
      <c r="H59" s="325">
        <f ca="1">INDEX(OFFSET('Adjustment scenario'!$C$1:$U$1,$D59-1,0),MATCH(H$4,'Adjustment scenario'!$C$10:$U$10,0))</f>
        <v>6.1272804703985093</v>
      </c>
      <c r="I59" s="325">
        <f ca="1">INDEX(OFFSET('Adjustment scenario'!$C$1:$U$1,$D59-1,0),MATCH(I$4,'Adjustment scenario'!$C$10:$U$10,0))</f>
        <v>6.3040193937363052</v>
      </c>
      <c r="J59" s="325">
        <f ca="1">INDEX(OFFSET('Adjustment scenario'!$C$1:$U$1,$D59-1,0),MATCH(J$4,'Adjustment scenario'!$C$10:$U$10,0))</f>
        <v>6.4096239502342067</v>
      </c>
      <c r="K59" s="325">
        <f ca="1">INDEX(OFFSET('Adjustment scenario'!$C$1:$U$1,$D59-1,0),MATCH(K$4,'Adjustment scenario'!$C$10:$U$10,0))</f>
        <v>6.4444616276679882</v>
      </c>
      <c r="L59" s="325">
        <f ca="1">INDEX(OFFSET('Adjustment scenario'!$C$1:$U$1,$D59-1,0),MATCH(L$4,'Adjustment scenario'!$C$10:$U$10,0))</f>
        <v>6.3939686035003191</v>
      </c>
      <c r="M59" s="325">
        <f ca="1">INDEX(OFFSET('Adjustment scenario'!$C$1:$U$1,$D59-1,0),MATCH(M$4,'Adjustment scenario'!$C$10:$U$10,0))</f>
        <v>6.3355811993516999</v>
      </c>
      <c r="N59" s="325">
        <f ca="1">INDEX(OFFSET('Adjustment scenario'!$C$1:$U$1,$D59-1,0),MATCH(N$4,'Adjustment scenario'!$C$10:$U$10,0))</f>
        <v>6.2687673222486016</v>
      </c>
      <c r="O59" s="325">
        <f ca="1">INDEX(OFFSET('Adjustment scenario'!$C$1:$U$1,$D59-1,0),MATCH(O$4,'Adjustment scenario'!$C$10:$U$10,0))</f>
        <v>6.2230417564020994</v>
      </c>
      <c r="P59" s="325">
        <f ca="1">INDEX(OFFSET('Adjustment scenario'!$C$1:$U$1,$D59-1,0),MATCH(P$4,'Adjustment scenario'!$C$10:$U$10,0))</f>
        <v>6.2032195008017457</v>
      </c>
      <c r="Q59" s="325">
        <f ca="1">INDEX(OFFSET('Adjustment scenario'!$C$1:$U$1,$D59-1,0),MATCH(Q$4,'Adjustment scenario'!$C$10:$U$10,0))</f>
        <v>6.1933232407016519</v>
      </c>
      <c r="R59" s="325">
        <f ca="1">INDEX(OFFSET('Adjustment scenario'!$C$1:$U$1,$D59-1,0),MATCH(R$4,'Adjustment scenario'!$C$10:$U$10,0))</f>
        <v>6.112663150474134</v>
      </c>
      <c r="S59" s="325">
        <f ca="1">INDEX(OFFSET('Adjustment scenario'!$C$1:$U$1,$D59-1,0),MATCH(S$4,'Adjustment scenario'!$C$10:$U$10,0))</f>
        <v>6.0367340241497534</v>
      </c>
      <c r="T59" s="325">
        <f ca="1">INDEX(OFFSET('Adjustment scenario'!$C$1:$U$1,$D59-1,0),MATCH(T$4,'Adjustment scenario'!$C$10:$U$10,0))</f>
        <v>5.965327016379816</v>
      </c>
      <c r="U59" s="325">
        <f ca="1">INDEX(OFFSET('Adjustment scenario'!$C$1:$U$1,$D59-1,0),MATCH(U$4,'Adjustment scenario'!$C$10:$U$10,0))</f>
        <v>5.8941431989083855</v>
      </c>
      <c r="V59" s="325">
        <f ca="1">INDEX(OFFSET('Adjustment scenario'!$C$1:$U$1,$D59-1,0),MATCH(V$4,'Adjustment scenario'!$C$10:$U$10,0))</f>
        <v>5.8228904668134485</v>
      </c>
      <c r="W59" s="325">
        <f ca="1">INDEX(OFFSET('Adjustment scenario'!$C$1:$U$1,$D59-1,0),MATCH(W$4,'Adjustment scenario'!$C$10:$U$10,0))</f>
        <v>5.7518986940971768</v>
      </c>
      <c r="X59" s="325">
        <f ca="1">INDEX(OFFSET('Adjustment scenario'!$C$1:$U$1,$D59-1,0),MATCH(X$4,'Adjustment scenario'!$C$10:$U$10,0))</f>
        <v>5.6740957718905012</v>
      </c>
      <c r="Y59" s="265"/>
    </row>
    <row r="60" spans="1:25" x14ac:dyDescent="0.2">
      <c r="A60" s="265"/>
      <c r="B60" s="332">
        <f t="shared" ref="B60:B62" si="6">B59+1</f>
        <v>3</v>
      </c>
      <c r="C60" s="339" t="s">
        <v>126</v>
      </c>
      <c r="D60" s="337">
        <v>103</v>
      </c>
      <c r="E60" s="338" t="s">
        <v>213</v>
      </c>
      <c r="F60" s="325">
        <f ca="1">INDEX(OFFSET('Adjustment scenario'!$C$1:$U$1,$D60-1,0),MATCH(F$4,'Adjustment scenario'!$C$10:$U$10,0))</f>
        <v>0</v>
      </c>
      <c r="G60" s="325">
        <f ca="1">INDEX(OFFSET('Adjustment scenario'!$C$1:$U$1,$D60-1,0),MATCH(G$4,'Adjustment scenario'!$C$10:$U$10,0))</f>
        <v>6.6882509052437129</v>
      </c>
      <c r="H60" s="325">
        <f ca="1">INDEX(OFFSET('Adjustment scenario'!$C$1:$U$1,$D60-1,0),MATCH(H$4,'Adjustment scenario'!$C$10:$U$10,0))</f>
        <v>6.6728902042009688</v>
      </c>
      <c r="I60" s="325">
        <f ca="1">INDEX(OFFSET('Adjustment scenario'!$C$1:$U$1,$D60-1,0),MATCH(I$4,'Adjustment scenario'!$C$10:$U$10,0))</f>
        <v>6.7628600163945123</v>
      </c>
      <c r="J60" s="325">
        <f ca="1">INDEX(OFFSET('Adjustment scenario'!$C$1:$U$1,$D60-1,0),MATCH(J$4,'Adjustment scenario'!$C$10:$U$10,0))</f>
        <v>6.7797696522886461</v>
      </c>
      <c r="K60" s="325">
        <f ca="1">INDEX(OFFSET('Adjustment scenario'!$C$1:$U$1,$D60-1,0),MATCH(K$4,'Adjustment scenario'!$C$10:$U$10,0))</f>
        <v>6.7279287010427993</v>
      </c>
      <c r="L60" s="325">
        <f ca="1">INDEX(OFFSET('Adjustment scenario'!$C$1:$U$1,$D60-1,0),MATCH(L$4,'Adjustment scenario'!$C$10:$U$10,0))</f>
        <v>6.5936587873455696</v>
      </c>
      <c r="M60" s="325">
        <f ca="1">INDEX(OFFSET('Adjustment scenario'!$C$1:$U$1,$D60-1,0),MATCH(M$4,'Adjustment scenario'!$C$10:$U$10,0))</f>
        <v>6.4551573742629067</v>
      </c>
      <c r="N60" s="325">
        <f ca="1">INDEX(OFFSET('Adjustment scenario'!$C$1:$U$1,$D60-1,0),MATCH(N$4,'Adjustment scenario'!$C$10:$U$10,0))</f>
        <v>6.3120732199623895</v>
      </c>
      <c r="O60" s="325">
        <f ca="1">INDEX(OFFSET('Adjustment scenario'!$C$1:$U$1,$D60-1,0),MATCH(O$4,'Adjustment scenario'!$C$10:$U$10,0))</f>
        <v>6.1939759439434026</v>
      </c>
      <c r="P60" s="325">
        <f ca="1">INDEX(OFFSET('Adjustment scenario'!$C$1:$U$1,$D60-1,0),MATCH(P$4,'Adjustment scenario'!$C$10:$U$10,0))</f>
        <v>6.1020853879396029</v>
      </c>
      <c r="Q60" s="325">
        <f ca="1">INDEX(OFFSET('Adjustment scenario'!$C$1:$U$1,$D60-1,0),MATCH(Q$4,'Adjustment scenario'!$C$10:$U$10,0))</f>
        <v>6.0207461950689591</v>
      </c>
      <c r="R60" s="325">
        <f ca="1">INDEX(OFFSET('Adjustment scenario'!$C$1:$U$1,$D60-1,0),MATCH(R$4,'Adjustment scenario'!$C$10:$U$10,0))</f>
        <v>5.9348727854356795</v>
      </c>
      <c r="S60" s="325">
        <f ca="1">INDEX(OFFSET('Adjustment scenario'!$C$1:$U$1,$D60-1,0),MATCH(S$4,'Adjustment scenario'!$C$10:$U$10,0))</f>
        <v>5.8529092218498171</v>
      </c>
      <c r="T60" s="325">
        <f ca="1">INDEX(OFFSET('Adjustment scenario'!$C$1:$U$1,$D60-1,0),MATCH(T$4,'Adjustment scenario'!$C$10:$U$10,0))</f>
        <v>5.7747301649764191</v>
      </c>
      <c r="U60" s="325">
        <f ca="1">INDEX(OFFSET('Adjustment scenario'!$C$1:$U$1,$D60-1,0),MATCH(U$4,'Adjustment scenario'!$C$10:$U$10,0))</f>
        <v>5.6969364495643946</v>
      </c>
      <c r="V60" s="325">
        <f ca="1">INDEX(OFFSET('Adjustment scenario'!$C$1:$U$1,$D60-1,0),MATCH(V$4,'Adjustment scenario'!$C$10:$U$10,0))</f>
        <v>5.6192782455490295</v>
      </c>
      <c r="W60" s="325">
        <f ca="1">INDEX(OFFSET('Adjustment scenario'!$C$1:$U$1,$D60-1,0),MATCH(W$4,'Adjustment scenario'!$C$10:$U$10,0))</f>
        <v>5.5421007686008235</v>
      </c>
      <c r="X60" s="325">
        <f ca="1">INDEX(OFFSET('Adjustment scenario'!$C$1:$U$1,$D60-1,0),MATCH(X$4,'Adjustment scenario'!$C$10:$U$10,0))</f>
        <v>5.459254350652003</v>
      </c>
      <c r="Y60" s="265"/>
    </row>
    <row r="61" spans="1:25" x14ac:dyDescent="0.2">
      <c r="A61" s="265"/>
      <c r="B61" s="332">
        <f t="shared" si="6"/>
        <v>4</v>
      </c>
      <c r="C61" s="339" t="s">
        <v>127</v>
      </c>
      <c r="D61" s="337">
        <v>104</v>
      </c>
      <c r="E61" s="338" t="s">
        <v>213</v>
      </c>
      <c r="F61" s="325">
        <f ca="1">INDEX(OFFSET('Adjustment scenario'!$C$1:$U$1,$D61-1,0),MATCH(F$4,'Adjustment scenario'!$C$10:$U$10,0))</f>
        <v>0</v>
      </c>
      <c r="G61" s="325">
        <f ca="1">INDEX(OFFSET('Adjustment scenario'!$C$1:$U$1,$D61-1,0),MATCH(G$4,'Adjustment scenario'!$C$10:$U$10,0))</f>
        <v>1.1861189831955719</v>
      </c>
      <c r="H61" s="325">
        <f ca="1">INDEX(OFFSET('Adjustment scenario'!$C$1:$U$1,$D61-1,0),MATCH(H$4,'Adjustment scenario'!$C$10:$U$10,0))</f>
        <v>2.3350232434286053</v>
      </c>
      <c r="I61" s="325">
        <f ca="1">INDEX(OFFSET('Adjustment scenario'!$C$1:$U$1,$D61-1,0),MATCH(I$4,'Adjustment scenario'!$C$10:$U$10,0))</f>
        <v>1.8825197485222307</v>
      </c>
      <c r="J61" s="325">
        <f ca="1">INDEX(OFFSET('Adjustment scenario'!$C$1:$U$1,$D61-1,0),MATCH(J$4,'Adjustment scenario'!$C$10:$U$10,0))</f>
        <v>1.2820562829076727</v>
      </c>
      <c r="K61" s="325">
        <f ca="1">INDEX(OFFSET('Adjustment scenario'!$C$1:$U$1,$D61-1,0),MATCH(K$4,'Adjustment scenario'!$C$10:$U$10,0))</f>
        <v>0.79381012062688883</v>
      </c>
      <c r="L61" s="325">
        <f ca="1">INDEX(OFFSET('Adjustment scenario'!$C$1:$U$1,$D61-1,0),MATCH(L$4,'Adjustment scenario'!$C$10:$U$10,0))</f>
        <v>0.70548262717833343</v>
      </c>
      <c r="M61" s="325">
        <f ca="1">INDEX(OFFSET('Adjustment scenario'!$C$1:$U$1,$D61-1,0),MATCH(M$4,'Adjustment scenario'!$C$10:$U$10,0))</f>
        <v>0.61162297147980382</v>
      </c>
      <c r="N61" s="325">
        <f ca="1">INDEX(OFFSET('Adjustment scenario'!$C$1:$U$1,$D61-1,0),MATCH(N$4,'Adjustment scenario'!$C$10:$U$10,0))</f>
        <v>0.51235975955424695</v>
      </c>
      <c r="O61" s="325">
        <f ca="1">INDEX(OFFSET('Adjustment scenario'!$C$1:$U$1,$D61-1,0),MATCH(O$4,'Adjustment scenario'!$C$10:$U$10,0))</f>
        <v>0.72765909626003145</v>
      </c>
      <c r="P61" s="325">
        <f ca="1">INDEX(OFFSET('Adjustment scenario'!$C$1:$U$1,$D61-1,0),MATCH(P$4,'Adjustment scenario'!$C$10:$U$10,0))</f>
        <v>0.85744251666444138</v>
      </c>
      <c r="Q61" s="325">
        <f ca="1">INDEX(OFFSET('Adjustment scenario'!$C$1:$U$1,$D61-1,0),MATCH(Q$4,'Adjustment scenario'!$C$10:$U$10,0))</f>
        <v>0.89811853053129598</v>
      </c>
      <c r="R61" s="325">
        <f ca="1">INDEX(OFFSET('Adjustment scenario'!$C$1:$U$1,$D61-1,0),MATCH(R$4,'Adjustment scenario'!$C$10:$U$10,0))</f>
        <v>1.0120711537562186</v>
      </c>
      <c r="S61" s="325">
        <f ca="1">INDEX(OFFSET('Adjustment scenario'!$C$1:$U$1,$D61-1,0),MATCH(S$4,'Adjustment scenario'!$C$10:$U$10,0))</f>
        <v>1.1232123752582224</v>
      </c>
      <c r="T61" s="325">
        <f ca="1">INDEX(OFFSET('Adjustment scenario'!$C$1:$U$1,$D61-1,0),MATCH(T$4,'Adjustment scenario'!$C$10:$U$10,0))</f>
        <v>1.1420938523784967</v>
      </c>
      <c r="U61" s="325">
        <f ca="1">INDEX(OFFSET('Adjustment scenario'!$C$1:$U$1,$D61-1,0),MATCH(U$4,'Adjustment scenario'!$C$10:$U$10,0))</f>
        <v>1.1576980001767989</v>
      </c>
      <c r="V61" s="325">
        <f ca="1">INDEX(OFFSET('Adjustment scenario'!$C$1:$U$1,$D61-1,0),MATCH(V$4,'Adjustment scenario'!$C$10:$U$10,0))</f>
        <v>1.1703891615955635</v>
      </c>
      <c r="W61" s="325">
        <f ca="1">INDEX(OFFSET('Adjustment scenario'!$C$1:$U$1,$D61-1,0),MATCH(W$4,'Adjustment scenario'!$C$10:$U$10,0))</f>
        <v>1.0907351010062187</v>
      </c>
      <c r="X61" s="325">
        <f ca="1">INDEX(OFFSET('Adjustment scenario'!$C$1:$U$1,$D61-1,0),MATCH(X$4,'Adjustment scenario'!$C$10:$U$10,0))</f>
        <v>1.096803136494054</v>
      </c>
      <c r="Y61" s="265"/>
    </row>
    <row r="62" spans="1:25" x14ac:dyDescent="0.2">
      <c r="A62" s="265"/>
      <c r="B62" s="332">
        <f t="shared" si="6"/>
        <v>5</v>
      </c>
      <c r="C62" s="339" t="s">
        <v>128</v>
      </c>
      <c r="D62" s="337">
        <v>105</v>
      </c>
      <c r="E62" s="338" t="s">
        <v>213</v>
      </c>
      <c r="F62" s="325">
        <f ca="1">INDEX(OFFSET('Adjustment scenario'!$C$1:$U$1,$D62-1,0),MATCH(F$4,'Adjustment scenario'!$C$10:$U$10,0))</f>
        <v>0</v>
      </c>
      <c r="G62" s="325">
        <f ca="1">INDEX(OFFSET('Adjustment scenario'!$C$1:$U$1,$D62-1,0),MATCH(G$4,'Adjustment scenario'!$C$10:$U$10,0))</f>
        <v>0.13329569811152336</v>
      </c>
      <c r="H62" s="325">
        <f ca="1">INDEX(OFFSET('Adjustment scenario'!$C$1:$U$1,$D62-1,0),MATCH(H$4,'Adjustment scenario'!$C$10:$U$10,0))</f>
        <v>0.26240925450971603</v>
      </c>
      <c r="I62" s="325">
        <f ca="1">INDEX(OFFSET('Adjustment scenario'!$C$1:$U$1,$D62-1,0),MATCH(I$4,'Adjustment scenario'!$C$10:$U$10,0))</f>
        <v>0.2115570391856961</v>
      </c>
      <c r="J62" s="325">
        <f ca="1">INDEX(OFFSET('Adjustment scenario'!$C$1:$U$1,$D62-1,0),MATCH(J$4,'Adjustment scenario'!$C$10:$U$10,0))</f>
        <v>0.14407712402182191</v>
      </c>
      <c r="K62" s="325">
        <f ca="1">INDEX(OFFSET('Adjustment scenario'!$C$1:$U$1,$D62-1,0),MATCH(K$4,'Adjustment scenario'!$C$10:$U$10,0))</f>
        <v>8.9208157804078245E-2</v>
      </c>
      <c r="L62" s="325">
        <f ca="1">INDEX(OFFSET('Adjustment scenario'!$C$1:$U$1,$D62-1,0),MATCH(L$4,'Adjustment scenario'!$C$10:$U$10,0))</f>
        <v>7.9281938965025431E-2</v>
      </c>
      <c r="M62" s="325">
        <f ca="1">INDEX(OFFSET('Adjustment scenario'!$C$1:$U$1,$D62-1,0),MATCH(M$4,'Adjustment scenario'!$C$10:$U$10,0))</f>
        <v>6.8734017290282223E-2</v>
      </c>
      <c r="N62" s="325">
        <f ca="1">INDEX(OFFSET('Adjustment scenario'!$C$1:$U$1,$D62-1,0),MATCH(N$4,'Adjustment scenario'!$C$10:$U$10,0))</f>
        <v>5.7578845488489509E-2</v>
      </c>
      <c r="O62" s="325">
        <f ca="1">INDEX(OFFSET('Adjustment scenario'!$C$1:$U$1,$D62-1,0),MATCH(O$4,'Adjustment scenario'!$C$10:$U$10,0))</f>
        <v>8.1774124315112745E-2</v>
      </c>
      <c r="P62" s="325">
        <f ca="1">INDEX(OFFSET('Adjustment scenario'!$C$1:$U$1,$D62-1,0),MATCH(P$4,'Adjustment scenario'!$C$10:$U$10,0))</f>
        <v>9.6359148550689944E-2</v>
      </c>
      <c r="Q62" s="325">
        <f ca="1">INDEX(OFFSET('Adjustment scenario'!$C$1:$U$1,$D62-1,0),MATCH(Q$4,'Adjustment scenario'!$C$10:$U$10,0))</f>
        <v>0.1009303075339108</v>
      </c>
      <c r="R62" s="325">
        <f ca="1">INDEX(OFFSET('Adjustment scenario'!$C$1:$U$1,$D62-1,0),MATCH(R$4,'Adjustment scenario'!$C$10:$U$10,0))</f>
        <v>0.11373627124070969</v>
      </c>
      <c r="S62" s="325">
        <f ca="1">INDEX(OFFSET('Adjustment scenario'!$C$1:$U$1,$D62-1,0),MATCH(S$4,'Adjustment scenario'!$C$10:$U$10,0))</f>
        <v>0.12622629041363093</v>
      </c>
      <c r="T62" s="325">
        <f ca="1">INDEX(OFFSET('Adjustment scenario'!$C$1:$U$1,$D62-1,0),MATCH(T$4,'Adjustment scenario'!$C$10:$U$10,0))</f>
        <v>0.12834818549502561</v>
      </c>
      <c r="U62" s="325">
        <f ca="1">INDEX(OFFSET('Adjustment scenario'!$C$1:$U$1,$D62-1,0),MATCH(U$4,'Adjustment scenario'!$C$10:$U$10,0))</f>
        <v>0.1301017752301751</v>
      </c>
      <c r="V62" s="325">
        <f ca="1">INDEX(OFFSET('Adjustment scenario'!$C$1:$U$1,$D62-1,0),MATCH(V$4,'Adjustment scenario'!$C$10:$U$10,0))</f>
        <v>0.13152800437634435</v>
      </c>
      <c r="W62" s="325">
        <f ca="1">INDEX(OFFSET('Adjustment scenario'!$C$1:$U$1,$D62-1,0),MATCH(W$4,'Adjustment scenario'!$C$10:$U$10,0))</f>
        <v>0.12257650347940656</v>
      </c>
      <c r="X62" s="325">
        <f ca="1">INDEX(OFFSET('Adjustment scenario'!$C$1:$U$1,$D62-1,0),MATCH(X$4,'Adjustment scenario'!$C$10:$U$10,0))</f>
        <v>0.12325842759865573</v>
      </c>
      <c r="Y62" s="265"/>
    </row>
    <row r="63" spans="1:25" x14ac:dyDescent="0.2">
      <c r="A63" s="265"/>
      <c r="B63" s="265"/>
      <c r="C63" s="265"/>
      <c r="D63" s="265"/>
      <c r="E63" s="265"/>
      <c r="F63" s="265"/>
      <c r="G63" s="265"/>
      <c r="H63" s="265"/>
      <c r="I63" s="265"/>
      <c r="J63" s="265"/>
      <c r="K63" s="265"/>
      <c r="L63" s="265"/>
      <c r="M63" s="265"/>
      <c r="N63" s="265"/>
      <c r="O63" s="265"/>
      <c r="P63" s="265"/>
      <c r="Q63" s="265"/>
      <c r="R63" s="265"/>
      <c r="S63" s="265"/>
      <c r="T63" s="265"/>
      <c r="U63" s="265"/>
      <c r="V63" s="265"/>
      <c r="W63" s="265"/>
      <c r="X63" s="265"/>
      <c r="Y63" s="265"/>
    </row>
  </sheetData>
  <conditionalFormatting sqref="V4:X63">
    <cfRule type="expression" dxfId="0" priority="2">
      <formula>#REF!=4</formula>
    </cfRule>
  </conditionalFormatting>
  <pageMargins left="0.7" right="0.7" top="0.75" bottom="0.75" header="0.3" footer="0.3"/>
  <pageSetup paperSize="9" orientation="portrait" verticalDpi="0" r:id="rId1"/>
  <ignoredErrors>
    <ignoredError sqref="F15:X35 F37:X52 F36:K36 N36:X36" formula="1"/>
    <ignoredError sqref="L36:M36" evalError="1" formula="1"/>
  </ignoredErrors>
  <extLst>
    <ext xmlns:x14="http://schemas.microsoft.com/office/spreadsheetml/2009/9/main" uri="{78C0D931-6437-407d-A8EE-F0AAD7539E65}">
      <x14:conditionalFormattings>
        <x14:conditionalFormatting xmlns:xm="http://schemas.microsoft.com/office/excel/2006/main">
          <x14:cfRule type="expression" priority="1" id="{D4889C7C-2BC4-4F4B-831C-552B8B76840F}">
            <xm:f>'Criteria results'!$F$5=4</xm:f>
            <x14:dxf>
              <font>
                <color theme="0"/>
              </font>
              <fill>
                <patternFill>
                  <bgColor theme="0"/>
                </patternFill>
              </fill>
            </x14:dxf>
          </x14:cfRule>
          <xm:sqref>V4:X63</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3268F-3CB2-413A-8DD9-4FF4DFCEE105}">
  <sheetPr codeName="Sheet21"/>
  <dimension ref="A1:N21"/>
  <sheetViews>
    <sheetView workbookViewId="0"/>
  </sheetViews>
  <sheetFormatPr defaultRowHeight="12.75" x14ac:dyDescent="0.2"/>
  <cols>
    <col min="13" max="13" width="9.85546875" customWidth="1"/>
  </cols>
  <sheetData>
    <row r="1" spans="1:14" x14ac:dyDescent="0.2">
      <c r="A1" t="s">
        <v>198</v>
      </c>
      <c r="B1" t="s">
        <v>199</v>
      </c>
      <c r="C1" t="s">
        <v>200</v>
      </c>
      <c r="D1" t="s">
        <v>201</v>
      </c>
      <c r="E1" t="s">
        <v>202</v>
      </c>
      <c r="F1" t="s">
        <v>203</v>
      </c>
      <c r="G1" t="s">
        <v>204</v>
      </c>
      <c r="H1" t="s">
        <v>205</v>
      </c>
      <c r="I1" t="s">
        <v>206</v>
      </c>
      <c r="J1" t="s">
        <v>207</v>
      </c>
      <c r="K1" t="s">
        <v>208</v>
      </c>
      <c r="L1" t="s">
        <v>209</v>
      </c>
    </row>
    <row r="2" spans="1:14" x14ac:dyDescent="0.2">
      <c r="A2" t="str">
        <f>'Adjustment scenario'!C$3</f>
        <v>DE</v>
      </c>
      <c r="B2">
        <v>2023</v>
      </c>
      <c r="C2" s="7" cm="1">
        <f t="array" ref="C2:C20">TRANSPOSE('Adjust. no safeguard'!C12:U12)</f>
        <v>-1.2609140000000001</v>
      </c>
      <c r="D2" s="7">
        <v>1</v>
      </c>
      <c r="E2" s="7" cm="1">
        <f t="array" ref="E2:E20">TRANSPOSE('Adjust. no safeguard'!C62:U62)</f>
        <v>0</v>
      </c>
      <c r="F2" s="7" cm="1">
        <f t="array" ref="F2:F20">TRANSPOSE('Adjust. no safeguard'!C24:U24)</f>
        <v>-0.26643830000000002</v>
      </c>
      <c r="G2" s="7" cm="1">
        <f t="array" ref="G2:G20">TRANSPOSE('Adjust. no safeguard'!C42:U42)</f>
        <v>6.1429179999999999</v>
      </c>
      <c r="H2" s="7" cm="1">
        <f t="array" ref="H2:H20">TRANSPOSE('Adjust. no safeguard'!C14:U14)</f>
        <v>0</v>
      </c>
      <c r="I2" s="7" cm="1">
        <f t="array" ref="I2:I20">TRANSPOSE('Adjust. no safeguard'!C15:U15)</f>
        <v>-1.0004850000000001</v>
      </c>
      <c r="J2" s="7" cm="1">
        <f t="array" ref="J2:J20">TRANSPOSE('Adjust. no safeguard'!C64:U64)+TRANSPOSE('Adjust. no safeguard'!C65:U65)+TRANSPOSE('Adjust. no safeguard'!C66:U66)</f>
        <v>0</v>
      </c>
      <c r="K2" s="7" cm="1">
        <f t="array" ref="K2:K20">TRANSPOSE('Adjust. no safeguard'!C57:U57)</f>
        <v>62.885489999999997</v>
      </c>
      <c r="L2" s="7" cm="1">
        <f t="array" ref="L2:L20">TRANSPOSE('Adjust. no safeguard'!C36:U36)</f>
        <v>1.422372</v>
      </c>
      <c r="M2" s="7"/>
      <c r="N2" s="7"/>
    </row>
    <row r="3" spans="1:14" x14ac:dyDescent="0.2">
      <c r="A3" t="str">
        <f>'Adjustment scenario'!C$3</f>
        <v>DE</v>
      </c>
      <c r="B3">
        <v>2024</v>
      </c>
      <c r="C3" s="7">
        <v>-1.0152870000000001</v>
      </c>
      <c r="D3" s="7">
        <v>1</v>
      </c>
      <c r="E3" s="7">
        <v>0.6886962151545688</v>
      </c>
      <c r="F3" s="7">
        <v>-0.23852609999999999</v>
      </c>
      <c r="G3" s="7">
        <v>3.1060140000000001</v>
      </c>
      <c r="H3" s="7">
        <v>0</v>
      </c>
      <c r="I3" s="7">
        <v>-1.4394560000000001</v>
      </c>
      <c r="J3" s="7">
        <v>0</v>
      </c>
      <c r="K3" s="7">
        <v>62.455679115154567</v>
      </c>
      <c r="L3" s="7">
        <v>1.7254640000000001</v>
      </c>
      <c r="M3" s="7"/>
      <c r="N3" s="7"/>
    </row>
    <row r="4" spans="1:14" x14ac:dyDescent="0.2">
      <c r="A4" t="str">
        <f>'Adjustment scenario'!C$3</f>
        <v>DE</v>
      </c>
      <c r="B4">
        <v>2025</v>
      </c>
      <c r="C4" s="7">
        <v>-0.47528700000000002</v>
      </c>
      <c r="D4" s="7">
        <v>1</v>
      </c>
      <c r="E4" s="7">
        <v>0.93667427136648174</v>
      </c>
      <c r="F4" s="7">
        <v>-0.23283890000000973</v>
      </c>
      <c r="G4" s="7">
        <v>2.439314</v>
      </c>
      <c r="H4" s="7">
        <v>0</v>
      </c>
      <c r="I4" s="7">
        <v>8.5767899999999994E-2</v>
      </c>
      <c r="J4" s="7">
        <v>0</v>
      </c>
      <c r="K4" s="7">
        <v>63.692130003522081</v>
      </c>
      <c r="L4" s="7">
        <v>1.8</v>
      </c>
      <c r="M4" s="7"/>
      <c r="N4" s="7"/>
    </row>
    <row r="5" spans="1:14" x14ac:dyDescent="0.2">
      <c r="A5" t="str">
        <f>'Adjustment scenario'!C$3</f>
        <v>DE</v>
      </c>
      <c r="B5">
        <v>2026</v>
      </c>
      <c r="C5" s="7">
        <v>6.4713000000000021E-2</v>
      </c>
      <c r="D5" s="7">
        <v>1</v>
      </c>
      <c r="E5" s="7">
        <v>0.9316026724262203</v>
      </c>
      <c r="F5" s="7">
        <v>0.35815101817495698</v>
      </c>
      <c r="G5" s="7">
        <v>2.1658539999999999</v>
      </c>
      <c r="H5" s="7">
        <v>0</v>
      </c>
      <c r="I5" s="7">
        <v>0.1097981</v>
      </c>
      <c r="J5" s="7">
        <v>0</v>
      </c>
      <c r="K5" s="7">
        <v>64.202561464572838</v>
      </c>
      <c r="L5" s="7">
        <v>1.7990942278989217</v>
      </c>
      <c r="M5" s="7"/>
      <c r="N5" s="7"/>
    </row>
    <row r="6" spans="1:14" x14ac:dyDescent="0.2">
      <c r="A6" t="str">
        <f>'Adjustment scenario'!C$3</f>
        <v>DE</v>
      </c>
      <c r="B6">
        <v>2027</v>
      </c>
      <c r="C6" s="7">
        <v>0.60471300000000006</v>
      </c>
      <c r="D6" s="7">
        <v>0</v>
      </c>
      <c r="E6" s="7">
        <v>0.82051194431893826</v>
      </c>
      <c r="F6" s="7">
        <v>0.67860352311204242</v>
      </c>
      <c r="G6" s="7">
        <v>2.1776222499999998</v>
      </c>
      <c r="H6" s="7">
        <v>0</v>
      </c>
      <c r="I6" s="7">
        <v>0</v>
      </c>
      <c r="J6" s="7">
        <v>0</v>
      </c>
      <c r="K6" s="7">
        <v>63.836881536064524</v>
      </c>
      <c r="L6" s="7">
        <v>1.9393064891870158</v>
      </c>
      <c r="M6" s="7"/>
      <c r="N6" s="7"/>
    </row>
    <row r="7" spans="1:14" x14ac:dyDescent="0.2">
      <c r="A7" t="str">
        <f>'Adjustment scenario'!C$3</f>
        <v>DE</v>
      </c>
      <c r="B7">
        <v>2028</v>
      </c>
      <c r="C7" s="7">
        <v>1.1447130000000001</v>
      </c>
      <c r="D7" s="7">
        <v>0</v>
      </c>
      <c r="E7" s="7">
        <v>0.74669181814863772</v>
      </c>
      <c r="F7" s="7">
        <v>0.70713922527392281</v>
      </c>
      <c r="G7" s="7">
        <v>2.1893905</v>
      </c>
      <c r="H7" s="7">
        <v>0</v>
      </c>
      <c r="I7" s="7">
        <v>0</v>
      </c>
      <c r="J7" s="7">
        <v>0</v>
      </c>
      <c r="K7" s="7">
        <v>62.913564321630858</v>
      </c>
      <c r="L7" s="7">
        <v>2.0651772983228507</v>
      </c>
      <c r="M7" s="7"/>
      <c r="N7" s="7"/>
    </row>
    <row r="8" spans="1:14" x14ac:dyDescent="0.2">
      <c r="A8" t="str">
        <f>'Adjustment scenario'!C$3</f>
        <v>DE</v>
      </c>
      <c r="B8">
        <v>2029</v>
      </c>
      <c r="C8" s="7">
        <v>1.1447130000000001</v>
      </c>
      <c r="D8" s="7">
        <v>0</v>
      </c>
      <c r="E8" s="7">
        <v>0.49779454543242696</v>
      </c>
      <c r="F8" s="7">
        <v>1.1625396854888281</v>
      </c>
      <c r="G8" s="7">
        <v>2.2011587499999998</v>
      </c>
      <c r="H8" s="7">
        <v>0</v>
      </c>
      <c r="I8" s="7">
        <v>0</v>
      </c>
      <c r="J8" s="7">
        <v>0.10465699999999789</v>
      </c>
      <c r="K8" s="7">
        <v>61.635909824928312</v>
      </c>
      <c r="L8" s="7">
        <v>2.180776329159134</v>
      </c>
      <c r="M8" s="7"/>
      <c r="N8" s="7"/>
    </row>
    <row r="9" spans="1:14" x14ac:dyDescent="0.2">
      <c r="A9" t="str">
        <f>'Adjustment scenario'!C$3</f>
        <v>DE</v>
      </c>
      <c r="B9">
        <v>2030</v>
      </c>
      <c r="C9" s="7">
        <v>1.1447130000000001</v>
      </c>
      <c r="D9" s="7">
        <v>0</v>
      </c>
      <c r="E9" s="7">
        <v>0.2488972727162107</v>
      </c>
      <c r="F9" s="7">
        <v>1.1357285766416814</v>
      </c>
      <c r="G9" s="7">
        <v>2.2129269999999996</v>
      </c>
      <c r="H9" s="7">
        <v>0</v>
      </c>
      <c r="I9" s="7">
        <v>0</v>
      </c>
      <c r="J9" s="7">
        <v>0.20931409999999928</v>
      </c>
      <c r="K9" s="7">
        <v>60.304670063414193</v>
      </c>
      <c r="L9" s="7">
        <v>2.2924541198341357</v>
      </c>
      <c r="M9" s="7"/>
      <c r="N9" s="7"/>
    </row>
    <row r="10" spans="1:14" x14ac:dyDescent="0.2">
      <c r="A10" t="str">
        <f>'Adjustment scenario'!C$3</f>
        <v>DE</v>
      </c>
      <c r="B10">
        <v>2031</v>
      </c>
      <c r="C10" s="7">
        <v>1.1447130000000001</v>
      </c>
      <c r="D10" s="7">
        <v>0</v>
      </c>
      <c r="E10" s="7">
        <v>0</v>
      </c>
      <c r="F10" s="7">
        <v>1.1064518388233413</v>
      </c>
      <c r="G10" s="7">
        <v>2.2246952499999999</v>
      </c>
      <c r="H10" s="7">
        <v>0</v>
      </c>
      <c r="I10" s="7">
        <v>0</v>
      </c>
      <c r="J10" s="7">
        <v>0.31397110000000072</v>
      </c>
      <c r="K10" s="7">
        <v>58.91663375828481</v>
      </c>
      <c r="L10" s="7">
        <v>2.4006191944976396</v>
      </c>
      <c r="M10" s="7"/>
      <c r="N10" s="7"/>
    </row>
    <row r="11" spans="1:14" x14ac:dyDescent="0.2">
      <c r="A11" t="str">
        <f>'Adjustment scenario'!C$3</f>
        <v>DE</v>
      </c>
      <c r="B11">
        <v>2032</v>
      </c>
      <c r="C11" s="7">
        <v>1.1447130000000001</v>
      </c>
      <c r="D11" s="7">
        <v>0</v>
      </c>
      <c r="E11" s="7">
        <v>2.5053024454990691E-7</v>
      </c>
      <c r="F11" s="7">
        <v>0.58665769999999284</v>
      </c>
      <c r="G11" s="7">
        <v>2.2364634999999997</v>
      </c>
      <c r="H11" s="7">
        <v>0</v>
      </c>
      <c r="I11" s="7">
        <v>0</v>
      </c>
      <c r="J11" s="7">
        <v>0.51862810000000004</v>
      </c>
      <c r="K11" s="7">
        <v>58.10113736297572</v>
      </c>
      <c r="L11" s="7">
        <v>2.5056322003111475</v>
      </c>
      <c r="M11" s="7"/>
      <c r="N11" s="7"/>
    </row>
    <row r="12" spans="1:14" x14ac:dyDescent="0.2">
      <c r="A12" t="str">
        <f>'Adjustment scenario'!C$3</f>
        <v>DE</v>
      </c>
      <c r="B12">
        <v>2033</v>
      </c>
      <c r="C12" s="7">
        <v>1.1447130000000001</v>
      </c>
      <c r="D12" s="7">
        <v>0</v>
      </c>
      <c r="E12" s="7">
        <v>4.5095851373133657E-7</v>
      </c>
      <c r="F12" s="7">
        <v>0.58461379999998897</v>
      </c>
      <c r="G12" s="7">
        <v>2.24823175</v>
      </c>
      <c r="H12" s="7">
        <v>0</v>
      </c>
      <c r="I12" s="7">
        <v>0</v>
      </c>
      <c r="J12" s="7">
        <v>0.62328510000000148</v>
      </c>
      <c r="K12" s="7">
        <v>57.447146224328243</v>
      </c>
      <c r="L12" s="7">
        <v>2.6113353762557163</v>
      </c>
      <c r="M12" s="7"/>
      <c r="N12" s="7"/>
    </row>
    <row r="13" spans="1:14" x14ac:dyDescent="0.2">
      <c r="A13" t="str">
        <f>'Adjustment scenario'!C$3</f>
        <v>DE</v>
      </c>
      <c r="B13">
        <v>2034</v>
      </c>
      <c r="C13" s="7">
        <v>1.1447130000000001</v>
      </c>
      <c r="D13" s="7">
        <v>0</v>
      </c>
      <c r="E13" s="7">
        <v>-7.0045617146519139E-7</v>
      </c>
      <c r="F13" s="7">
        <v>0.67615279999999611</v>
      </c>
      <c r="G13" s="7">
        <v>2.2599999999999998</v>
      </c>
      <c r="H13" s="7">
        <v>0</v>
      </c>
      <c r="I13" s="7">
        <v>0</v>
      </c>
      <c r="J13" s="7">
        <v>0.62794220000000145</v>
      </c>
      <c r="K13" s="7">
        <v>56.799289509973164</v>
      </c>
      <c r="L13" s="7">
        <v>2.7165151216313022</v>
      </c>
      <c r="M13" s="7"/>
      <c r="N13" s="7"/>
    </row>
    <row r="14" spans="1:14" x14ac:dyDescent="0.2">
      <c r="A14" t="str">
        <f>'Adjustment scenario'!C$3</f>
        <v>DE</v>
      </c>
      <c r="B14">
        <v>2035</v>
      </c>
      <c r="C14" s="7">
        <v>1.1447130000000001</v>
      </c>
      <c r="D14" s="7">
        <v>0</v>
      </c>
      <c r="E14" s="7">
        <v>-2.049375363810668E-6</v>
      </c>
      <c r="F14" s="7">
        <v>0.88076969999999477</v>
      </c>
      <c r="G14" s="7">
        <v>2.2469999999999999</v>
      </c>
      <c r="H14" s="7">
        <v>0</v>
      </c>
      <c r="I14" s="7">
        <v>0</v>
      </c>
      <c r="J14" s="7">
        <v>0.73259929999999929</v>
      </c>
      <c r="K14" s="7">
        <v>56.191861208044116</v>
      </c>
      <c r="L14" s="7">
        <v>2.7928728248834673</v>
      </c>
      <c r="M14" s="7"/>
      <c r="N14" s="7"/>
    </row>
    <row r="15" spans="1:14" x14ac:dyDescent="0.2">
      <c r="A15" t="str">
        <f>'Adjustment scenario'!C$3</f>
        <v>DE</v>
      </c>
      <c r="B15">
        <v>2036</v>
      </c>
      <c r="C15" s="7">
        <v>1.1447130000000001</v>
      </c>
      <c r="D15" s="7">
        <v>0</v>
      </c>
      <c r="E15" s="7">
        <v>-3.5451406354525259E-6</v>
      </c>
      <c r="F15" s="7">
        <v>1.0853860000000104</v>
      </c>
      <c r="G15" s="7">
        <v>2.234</v>
      </c>
      <c r="H15" s="7">
        <v>0</v>
      </c>
      <c r="I15" s="7">
        <v>0</v>
      </c>
      <c r="J15" s="7">
        <v>0.83725629999999718</v>
      </c>
      <c r="K15" s="7">
        <v>55.623240913679027</v>
      </c>
      <c r="L15" s="7">
        <v>2.8633285851629737</v>
      </c>
      <c r="M15" s="7"/>
      <c r="N15" s="7"/>
    </row>
    <row r="16" spans="1:14" x14ac:dyDescent="0.2">
      <c r="A16" t="str">
        <f>'Adjustment scenario'!C$3</f>
        <v>DE</v>
      </c>
      <c r="B16">
        <v>2037</v>
      </c>
      <c r="C16" s="7">
        <v>1.1447130000000001</v>
      </c>
      <c r="D16" s="7">
        <v>0</v>
      </c>
      <c r="E16" s="7">
        <v>-4.0427218836569521E-6</v>
      </c>
      <c r="F16" s="7">
        <v>1.2900010000000073</v>
      </c>
      <c r="G16" s="7">
        <v>2.2209999999999996</v>
      </c>
      <c r="H16" s="7">
        <v>0</v>
      </c>
      <c r="I16" s="7">
        <v>0</v>
      </c>
      <c r="J16" s="7">
        <v>0.8419132999999972</v>
      </c>
      <c r="K16" s="7">
        <v>54.992124148833753</v>
      </c>
      <c r="L16" s="7">
        <v>2.9285150040117558</v>
      </c>
      <c r="M16" s="7"/>
      <c r="N16" s="7"/>
    </row>
    <row r="17" spans="1:14" x14ac:dyDescent="0.2">
      <c r="A17" t="str">
        <f>'Adjustment scenario'!C$3</f>
        <v>DE</v>
      </c>
      <c r="B17">
        <v>2038</v>
      </c>
      <c r="C17" s="7">
        <v>1.1447130000000001</v>
      </c>
      <c r="D17" s="7">
        <v>0</v>
      </c>
      <c r="E17" s="7">
        <v>-3.5455823685026645E-6</v>
      </c>
      <c r="F17" s="7">
        <v>1.3799990000000095</v>
      </c>
      <c r="G17" s="7">
        <v>2.2079999999999997</v>
      </c>
      <c r="H17" s="7">
        <v>0</v>
      </c>
      <c r="I17" s="7">
        <v>0</v>
      </c>
      <c r="J17" s="7">
        <v>0.84657039999999717</v>
      </c>
      <c r="K17" s="7">
        <v>54.359540995818683</v>
      </c>
      <c r="L17" s="7">
        <v>2.9883091258861123</v>
      </c>
      <c r="M17" s="7"/>
      <c r="N17" s="7"/>
    </row>
    <row r="18" spans="1:14" x14ac:dyDescent="0.2">
      <c r="A18" t="str">
        <f>'Adjustment scenario'!C$3</f>
        <v>DE</v>
      </c>
      <c r="B18">
        <v>2039</v>
      </c>
      <c r="C18" s="7">
        <v>1.1447130000000001</v>
      </c>
      <c r="D18" s="7">
        <v>0</v>
      </c>
      <c r="E18" s="7">
        <v>-6.0290752182723398E-6</v>
      </c>
      <c r="F18" s="7">
        <v>1.4700050000000076</v>
      </c>
      <c r="G18" s="7">
        <v>2.1949999999999998</v>
      </c>
      <c r="H18" s="7">
        <v>0</v>
      </c>
      <c r="I18" s="7">
        <v>0</v>
      </c>
      <c r="J18" s="7">
        <v>0.85122750000000069</v>
      </c>
      <c r="K18" s="7">
        <v>53.723299088267922</v>
      </c>
      <c r="L18" s="7">
        <v>3.043434611864809</v>
      </c>
      <c r="M18" s="7"/>
      <c r="N18" s="7"/>
    </row>
    <row r="19" spans="1:14" x14ac:dyDescent="0.2">
      <c r="A19" t="str">
        <f>'Adjustment scenario'!C$3</f>
        <v>DE</v>
      </c>
      <c r="B19">
        <v>2040</v>
      </c>
      <c r="C19" s="7">
        <v>1.1447130000000001</v>
      </c>
      <c r="D19" s="7">
        <v>0</v>
      </c>
      <c r="E19" s="7">
        <v>-5.0364606213548765E-6</v>
      </c>
      <c r="F19" s="7">
        <v>1.5499979999999969</v>
      </c>
      <c r="G19" s="7">
        <v>2.1819999999999999</v>
      </c>
      <c r="H19" s="7">
        <v>0</v>
      </c>
      <c r="I19" s="7">
        <v>0</v>
      </c>
      <c r="J19" s="7">
        <v>0.75588450000000285</v>
      </c>
      <c r="K19" s="7">
        <v>52.98691243468199</v>
      </c>
      <c r="L19" s="7">
        <v>3.0945248541476582</v>
      </c>
      <c r="M19" s="7"/>
      <c r="N19" s="7"/>
    </row>
    <row r="20" spans="1:14" x14ac:dyDescent="0.2">
      <c r="A20" t="str">
        <f>'Adjustment scenario'!C$3</f>
        <v>DE</v>
      </c>
      <c r="B20">
        <v>2041</v>
      </c>
      <c r="C20" s="7">
        <v>1.1447130000000001</v>
      </c>
      <c r="D20" s="7">
        <v>0</v>
      </c>
      <c r="E20" s="7">
        <v>-6.0289774532762408E-6</v>
      </c>
      <c r="F20" s="7">
        <v>1.5600019999999937</v>
      </c>
      <c r="G20" s="7">
        <v>2.169</v>
      </c>
      <c r="H20" s="7">
        <v>0</v>
      </c>
      <c r="I20" s="7">
        <v>0</v>
      </c>
      <c r="J20" s="7">
        <v>0.76054160000000293</v>
      </c>
      <c r="K20" s="7">
        <v>52.285467119324466</v>
      </c>
      <c r="L20" s="7">
        <v>3.1415413168808737</v>
      </c>
      <c r="M20" s="7"/>
      <c r="N20" s="7"/>
    </row>
    <row r="21" spans="1:14" x14ac:dyDescent="0.2">
      <c r="N21" s="7"/>
    </row>
  </sheetData>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1D7CDCA61137D46922835CA98C0641D" ma:contentTypeVersion="8" ma:contentTypeDescription="Create a new document." ma:contentTypeScope="" ma:versionID="6659297bf1036fa7eae64cf0e7c2fac9">
  <xsd:schema xmlns:xsd="http://www.w3.org/2001/XMLSchema" xmlns:xs="http://www.w3.org/2001/XMLSchema" xmlns:p="http://schemas.microsoft.com/office/2006/metadata/properties" xmlns:ns2="b29b9b01-a41b-4cdd-ba34-21bb9c415350" xmlns:ns3="150bf796-665d-42d8-bec5-8541ade97521" targetNamespace="http://schemas.microsoft.com/office/2006/metadata/properties" ma:root="true" ma:fieldsID="9a4b96746bcdbed031cdc5f86c6e749b" ns2:_="" ns3:_="">
    <xsd:import namespace="b29b9b01-a41b-4cdd-ba34-21bb9c415350"/>
    <xsd:import namespace="150bf796-665d-42d8-bec5-8541ade9752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9b9b01-a41b-4cdd-ba34-21bb9c4153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50bf796-665d-42d8-bec5-8541ade9752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69BE971-F562-4B09-A9E1-668BAAF544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9b9b01-a41b-4cdd-ba34-21bb9c415350"/>
    <ds:schemaRef ds:uri="150bf796-665d-42d8-bec5-8541ade975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D5379F7-D4E7-4A0C-87B7-761C7833B493}">
  <ds:schemaRefs>
    <ds:schemaRef ds:uri="http://schemas.microsoft.com/sharepoint/v3/contenttype/forms"/>
  </ds:schemaRefs>
</ds:datastoreItem>
</file>

<file path=customXml/itemProps3.xml><?xml version="1.0" encoding="utf-8"?>
<ds:datastoreItem xmlns:ds="http://schemas.openxmlformats.org/officeDocument/2006/customXml" ds:itemID="{DDE1AD19-26CE-486A-AEF9-44A7210D2685}">
  <ds:schemaRefs>
    <ds:schemaRef ds:uri="http://schemas.microsoft.com/office/2006/metadata/properties"/>
    <ds:schemaRef ds:uri="b29b9b01-a41b-4cdd-ba34-21bb9c415350"/>
    <ds:schemaRef ds:uri="http://purl.org/dc/terms/"/>
    <ds:schemaRef ds:uri="http://purl.org/dc/elements/1.1/"/>
    <ds:schemaRef ds:uri="http://schemas.openxmlformats.org/package/2006/metadata/core-properties"/>
    <ds:schemaRef ds:uri="http://purl.org/dc/dcmitype/"/>
    <ds:schemaRef ds:uri="http://schemas.microsoft.com/office/2006/documentManagement/types"/>
    <ds:schemaRef ds:uri="http://schemas.microsoft.com/office/infopath/2007/PartnerControls"/>
    <ds:schemaRef ds:uri="150bf796-665d-42d8-bec5-8541ade97521"/>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 me</vt:lpstr>
      <vt:lpstr>Criteria results</vt:lpstr>
      <vt:lpstr>Input data</vt:lpstr>
      <vt:lpstr>Baseline NFPC</vt:lpstr>
      <vt:lpstr>Adjustment scenario</vt:lpstr>
      <vt:lpstr>Adjust. no safeguard</vt:lpstr>
      <vt:lpstr>Financial stress</vt:lpstr>
      <vt:lpstr>Lower SPB</vt:lpstr>
      <vt:lpstr>Adverse (r-g)</vt:lpstr>
      <vt:lpstr>Stochastic</vt:lpstr>
      <vt:lpstr>FASTOP reporting</vt:lpstr>
      <vt:lpstr>Data_stochastic</vt:lpstr>
    </vt:vector>
  </TitlesOfParts>
  <Manager/>
  <Company>European Commission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SAIL Etienne (ECFIN)</dc:creator>
  <cp:keywords/>
  <dc:description/>
  <cp:lastModifiedBy>ERDEI Miklos (ECFIN)</cp:lastModifiedBy>
  <cp:revision/>
  <dcterms:created xsi:type="dcterms:W3CDTF">2013-04-12T08:50:12Z</dcterms:created>
  <dcterms:modified xsi:type="dcterms:W3CDTF">2025-06-10T14:29:22Z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2023-01-31T12:59:42Z</vt:lpwstr>
  </property>
  <property fmtid="{D5CDD505-2E9C-101B-9397-08002B2CF9AE}" pid="4" name="MSIP_Label_6bd9ddd1-4d20-43f6-abfa-fc3c07406f94_Method">
    <vt:lpwstr>Privileged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b0fa60c5-7b78-4404-9a0b-188770adde17</vt:lpwstr>
  </property>
  <property fmtid="{D5CDD505-2E9C-101B-9397-08002B2CF9AE}" pid="8" name="MSIP_Label_6bd9ddd1-4d20-43f6-abfa-fc3c07406f94_ContentBits">
    <vt:lpwstr>0</vt:lpwstr>
  </property>
  <property fmtid="{D5CDD505-2E9C-101B-9397-08002B2CF9AE}" pid="9" name="ContentTypeId">
    <vt:lpwstr>0x01010021D7CDCA61137D46922835CA98C0641D</vt:lpwstr>
  </property>
</Properties>
</file>