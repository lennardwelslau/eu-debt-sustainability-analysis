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CA6F340F-7524-455E-9B2A-94921D1E460E}" xr6:coauthVersionLast="47" xr6:coauthVersionMax="47" xr10:uidLastSave="{00000000-0000-0000-0000-000000000000}"/>
  <bookViews>
    <workbookView xWindow="28680" yWindow="-120" windowWidth="29040" windowHeight="15990" tabRatio="788"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V104" i="40"/>
  <c r="U104" i="40"/>
  <c r="T104" i="40"/>
  <c r="S104" i="40"/>
  <c r="R104" i="40"/>
  <c r="Q104" i="40"/>
  <c r="P104" i="40"/>
  <c r="O104" i="40"/>
  <c r="N104" i="40"/>
  <c r="M104" i="40"/>
  <c r="L104" i="40"/>
  <c r="K104" i="40"/>
  <c r="J104" i="40"/>
  <c r="I104" i="40"/>
  <c r="H104" i="40"/>
  <c r="G104" i="40"/>
  <c r="F104" i="40"/>
  <c r="E104" i="40"/>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H62" i="9"/>
  <c r="E99" i="9" l="1"/>
  <c r="F99" i="9"/>
  <c r="G99" i="9"/>
  <c r="L14" i="21"/>
  <c r="M9" i="44" s="1"/>
  <c r="B17" i="21" l="1"/>
  <c r="B16" i="19"/>
  <c r="B16" i="18"/>
  <c r="B16" i="17"/>
  <c r="B16" i="9"/>
  <c r="E96" i="19" l="1"/>
  <c r="F96" i="19"/>
  <c r="G96" i="19"/>
  <c r="E95" i="18"/>
  <c r="F95" i="18"/>
  <c r="G95" i="18"/>
  <c r="E95" i="17"/>
  <c r="F95" i="17"/>
  <c r="G95" i="17"/>
  <c r="H13" i="17" l="1"/>
  <c r="F87" i="21" l="1"/>
  <c r="C27" i="40"/>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H2" i="43" a="1"/>
  <c r="H2" i="43" s="1"/>
  <c r="C11" i="22"/>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19"/>
  <c r="G36" i="40"/>
  <c r="O38" i="19"/>
  <c r="O38" i="40"/>
  <c r="M74" i="40"/>
  <c r="F12" i="21"/>
  <c r="F12" i="40"/>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19"/>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O37" i="19"/>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46" i="44" s="1"/>
  <c r="G38" i="21"/>
  <c r="H12" i="44" s="1"/>
  <c r="G37" i="17"/>
  <c r="E36" i="17"/>
  <c r="E37" i="21"/>
  <c r="F11" i="44" s="1"/>
  <c r="E36" i="9"/>
  <c r="F46" i="44" s="1"/>
  <c r="E38" i="21"/>
  <c r="F12" i="44" s="1"/>
  <c r="E37" i="17"/>
  <c r="D38" i="21"/>
  <c r="D37" i="17"/>
  <c r="F37" i="17"/>
  <c r="F38" i="21"/>
  <c r="G12" i="44" s="1"/>
  <c r="G36" i="17"/>
  <c r="G36" i="9"/>
  <c r="H46" i="44" s="1"/>
  <c r="G37" i="21"/>
  <c r="H11" i="44" s="1"/>
  <c r="D36" i="17"/>
  <c r="D37" i="21"/>
  <c r="U41" i="9"/>
  <c r="V41" i="9"/>
  <c r="W41" i="9"/>
  <c r="G13" i="17"/>
  <c r="G13" i="18"/>
  <c r="G13" i="19"/>
  <c r="G14" i="17"/>
  <c r="G14" i="18"/>
  <c r="G14" i="19"/>
  <c r="O36" i="18"/>
  <c r="O37" i="18"/>
  <c r="G35" i="9"/>
  <c r="H48" i="44" s="1"/>
  <c r="G35" i="18"/>
  <c r="G35" i="17"/>
  <c r="G41" i="17"/>
  <c r="G41" i="18"/>
  <c r="Q41" i="9"/>
  <c r="R41" i="9"/>
  <c r="S41" i="9"/>
  <c r="T41" i="9"/>
  <c r="P41" i="9"/>
  <c r="O38" i="21"/>
  <c r="P12" i="44" s="1"/>
  <c r="O37" i="9"/>
  <c r="P47" i="44" s="1"/>
  <c r="G42" i="21"/>
  <c r="G41" i="9"/>
  <c r="G15" i="21"/>
  <c r="O37" i="21"/>
  <c r="P11" i="44" s="1"/>
  <c r="O36" i="9"/>
  <c r="P46" i="44" s="1"/>
  <c r="G14" i="21"/>
  <c r="H9" i="44" s="1"/>
  <c r="G13" i="9"/>
  <c r="G36" i="21"/>
  <c r="C5" i="9"/>
  <c r="C6" i="9" s="1"/>
  <c r="F74" i="40" l="1"/>
  <c r="H13" i="44"/>
  <c r="E60" i="40"/>
  <c r="E50" i="40"/>
  <c r="F50" i="40" s="1"/>
  <c r="G7" i="44"/>
  <c r="P17" i="44"/>
  <c r="H17" i="44"/>
  <c r="H24" i="44"/>
  <c r="F25" i="44"/>
  <c r="F24" i="44"/>
  <c r="G32" i="44"/>
  <c r="F32" i="44"/>
  <c r="P32" i="44"/>
  <c r="H25" i="44"/>
  <c r="F31" i="44"/>
  <c r="H32" i="44"/>
  <c r="H31" i="44"/>
  <c r="G24" i="44"/>
  <c r="G31" i="44"/>
  <c r="P31" i="44"/>
  <c r="G25" i="44"/>
  <c r="H41" i="9"/>
  <c r="H51" i="44"/>
  <c r="P42" i="40"/>
  <c r="Q51" i="44"/>
  <c r="T42" i="40"/>
  <c r="U51" i="44"/>
  <c r="S42" i="40"/>
  <c r="T51" i="44"/>
  <c r="R42" i="40"/>
  <c r="S51" i="44"/>
  <c r="Q42" i="40"/>
  <c r="R51" i="44"/>
  <c r="W42" i="40"/>
  <c r="X51" i="44"/>
  <c r="V42" i="40"/>
  <c r="W51" i="44"/>
  <c r="U42" i="40"/>
  <c r="V51" i="44"/>
  <c r="I2" i="43" a="1"/>
  <c r="I2" i="43" s="1"/>
  <c r="F12" i="18"/>
  <c r="H64" i="9"/>
  <c r="H38" i="40"/>
  <c r="I38" i="40" s="1"/>
  <c r="J38" i="40" s="1"/>
  <c r="K38" i="40" s="1"/>
  <c r="L38" i="40" s="1"/>
  <c r="M38" i="40" s="1"/>
  <c r="N38" i="40" s="1"/>
  <c r="F60" i="40"/>
  <c r="F52" i="40"/>
  <c r="G74" i="40"/>
  <c r="H37" i="9"/>
  <c r="G98" i="9"/>
  <c r="I37" i="19"/>
  <c r="H37" i="19"/>
  <c r="N38" i="19"/>
  <c r="H38" i="19"/>
  <c r="H37" i="21"/>
  <c r="N37" i="19"/>
  <c r="M37" i="19"/>
  <c r="F63" i="9"/>
  <c r="H36" i="18"/>
  <c r="I36" i="18" s="1"/>
  <c r="J36" i="18" s="1"/>
  <c r="K36" i="18" s="1"/>
  <c r="L36" i="18" s="1"/>
  <c r="M36" i="18" s="1"/>
  <c r="N36" i="18" s="1"/>
  <c r="J37" i="19"/>
  <c r="L37" i="19"/>
  <c r="K37" i="19"/>
  <c r="J38" i="19"/>
  <c r="L38" i="19"/>
  <c r="I38" i="19"/>
  <c r="M38" i="19"/>
  <c r="K38" i="19"/>
  <c r="L37" i="17"/>
  <c r="M37" i="17"/>
  <c r="H37" i="18"/>
  <c r="I37" i="18" s="1"/>
  <c r="J37" i="18" s="1"/>
  <c r="K37" i="18" s="1"/>
  <c r="L37" i="18" s="1"/>
  <c r="M37" i="18" s="1"/>
  <c r="N37" i="18" s="1"/>
  <c r="L36" i="17"/>
  <c r="M36" i="17"/>
  <c r="H36" i="9"/>
  <c r="H38" i="21"/>
  <c r="F64" i="9"/>
  <c r="V37" i="9"/>
  <c r="W37" i="9"/>
  <c r="U37" i="9"/>
  <c r="O36" i="17"/>
  <c r="W36" i="9"/>
  <c r="U36" i="9"/>
  <c r="V36" i="9"/>
  <c r="S37" i="9"/>
  <c r="T37" i="9"/>
  <c r="Q37" i="9"/>
  <c r="P37" i="9"/>
  <c r="R37" i="9"/>
  <c r="Q36" i="9"/>
  <c r="R46" i="44" s="1"/>
  <c r="S36" i="9"/>
  <c r="T36" i="9"/>
  <c r="P36" i="9"/>
  <c r="R36" i="9"/>
  <c r="I41" i="9"/>
  <c r="N41" i="9"/>
  <c r="J41" i="9"/>
  <c r="K41" i="9"/>
  <c r="L41" i="9"/>
  <c r="M41" i="9"/>
  <c r="G32" i="9"/>
  <c r="H52" i="44" s="1"/>
  <c r="D23" i="9"/>
  <c r="D24" i="40" s="1"/>
  <c r="F41" i="17"/>
  <c r="E23" i="9"/>
  <c r="F23" i="9"/>
  <c r="C56" i="17"/>
  <c r="C3" i="9"/>
  <c r="H13" i="19"/>
  <c r="I13" i="19"/>
  <c r="J13" i="19"/>
  <c r="K13" i="19"/>
  <c r="L13" i="19"/>
  <c r="M13" i="19"/>
  <c r="N13" i="19"/>
  <c r="O13" i="19"/>
  <c r="P13" i="19"/>
  <c r="Q13" i="19"/>
  <c r="R13" i="19"/>
  <c r="S13" i="19"/>
  <c r="T13" i="19"/>
  <c r="U13" i="19"/>
  <c r="V13" i="19"/>
  <c r="W13" i="19"/>
  <c r="H13" i="18"/>
  <c r="I13" i="18"/>
  <c r="J13" i="18"/>
  <c r="K13" i="18"/>
  <c r="L13" i="18"/>
  <c r="M13" i="18"/>
  <c r="N13" i="18"/>
  <c r="O13" i="18"/>
  <c r="P13" i="18"/>
  <c r="Q13" i="18"/>
  <c r="R13" i="18"/>
  <c r="S13" i="18"/>
  <c r="T13" i="18"/>
  <c r="U13" i="18"/>
  <c r="V13" i="18"/>
  <c r="W13" i="18"/>
  <c r="I13" i="17"/>
  <c r="J13" i="17"/>
  <c r="K13" i="17"/>
  <c r="L13" i="17"/>
  <c r="M13" i="17"/>
  <c r="N13" i="17"/>
  <c r="O13" i="17"/>
  <c r="P13" i="17"/>
  <c r="Q13" i="17"/>
  <c r="R13" i="17"/>
  <c r="S13" i="17"/>
  <c r="T13" i="17"/>
  <c r="U13" i="17"/>
  <c r="V13" i="17"/>
  <c r="W13" i="17"/>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H41" i="17"/>
  <c r="M24" i="44"/>
  <c r="N25" i="44"/>
  <c r="O32" i="44"/>
  <c r="M25" i="44"/>
  <c r="I31" i="44"/>
  <c r="L32" i="44"/>
  <c r="J31" i="44"/>
  <c r="N32" i="44"/>
  <c r="J32" i="44"/>
  <c r="M32" i="44"/>
  <c r="K32" i="44"/>
  <c r="L31" i="44"/>
  <c r="N24" i="44"/>
  <c r="I32" i="44"/>
  <c r="M31" i="44"/>
  <c r="O31" i="44"/>
  <c r="K31" i="44"/>
  <c r="N31" i="44"/>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P24" i="44"/>
  <c r="I38" i="21"/>
  <c r="I12" i="44"/>
  <c r="G28" i="44"/>
  <c r="I37" i="21"/>
  <c r="I11" i="44"/>
  <c r="H36" i="17"/>
  <c r="G51" i="40"/>
  <c r="D33" i="40"/>
  <c r="D68" i="40" s="1"/>
  <c r="N42" i="40"/>
  <c r="Q37" i="21"/>
  <c r="R11" i="44" s="1"/>
  <c r="Q37" i="40"/>
  <c r="G96" i="9"/>
  <c r="V38" i="9"/>
  <c r="V39" i="40" s="1"/>
  <c r="W38" i="9"/>
  <c r="W39" i="40" s="1"/>
  <c r="U38" i="9"/>
  <c r="O38" i="9"/>
  <c r="O39" i="40" s="1"/>
  <c r="P38" i="9"/>
  <c r="P39" i="40" s="1"/>
  <c r="N41" i="17"/>
  <c r="P37" i="21"/>
  <c r="Q11" i="44" s="1"/>
  <c r="P36" i="17"/>
  <c r="P36" i="18"/>
  <c r="H42" i="21"/>
  <c r="N42" i="21"/>
  <c r="E24" i="21"/>
  <c r="F16" i="44" s="1"/>
  <c r="E23" i="17"/>
  <c r="F23" i="17"/>
  <c r="F24" i="21"/>
  <c r="D24" i="21"/>
  <c r="D23" i="17"/>
  <c r="G12" i="40" l="1"/>
  <c r="G79" i="40" s="1"/>
  <c r="G16" i="44"/>
  <c r="G38" i="9"/>
  <c r="G39" i="40" s="1"/>
  <c r="M38" i="9"/>
  <c r="M39" i="40" s="1"/>
  <c r="L38" i="9"/>
  <c r="L39" i="40" s="1"/>
  <c r="K38" i="9"/>
  <c r="K39" i="40" s="1"/>
  <c r="J38" i="9"/>
  <c r="I38" i="9"/>
  <c r="I39" i="40" s="1"/>
  <c r="H38" i="9"/>
  <c r="H39" i="40" s="1"/>
  <c r="I17" i="44"/>
  <c r="Q24" i="44"/>
  <c r="J37" i="9"/>
  <c r="J47" i="44"/>
  <c r="J36" i="9"/>
  <c r="J46" i="44"/>
  <c r="O17" i="44"/>
  <c r="J37" i="21"/>
  <c r="J11" i="44"/>
  <c r="I24" i="44"/>
  <c r="J38" i="21"/>
  <c r="J12" i="44"/>
  <c r="G2" i="43" a="1"/>
  <c r="G2" i="43" s="1"/>
  <c r="G101" i="40"/>
  <c r="G101" i="9"/>
  <c r="I36" i="17"/>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G50" i="40" l="1"/>
  <c r="K36" i="9"/>
  <c r="K46" i="44"/>
  <c r="K37" i="9"/>
  <c r="K47" i="44"/>
  <c r="H12" i="40"/>
  <c r="H79" i="40" s="1"/>
  <c r="K38" i="21"/>
  <c r="K12" i="44"/>
  <c r="J24" i="44"/>
  <c r="K37" i="21"/>
  <c r="K11" i="44"/>
  <c r="G12" i="17"/>
  <c r="G60" i="40"/>
  <c r="G12" i="18"/>
  <c r="G12" i="19"/>
  <c r="G52" i="40"/>
  <c r="G13" i="40"/>
  <c r="J36" i="17"/>
  <c r="J39" i="21"/>
  <c r="J39" i="40"/>
  <c r="C3" i="22"/>
  <c r="C3" i="17"/>
  <c r="C3" i="18"/>
  <c r="C3" i="19"/>
  <c r="U70" i="17"/>
  <c r="U71" i="19"/>
  <c r="V71" i="19"/>
  <c r="W71" i="19"/>
  <c r="U70" i="18"/>
  <c r="V70" i="18"/>
  <c r="W70" i="18"/>
  <c r="V70" i="17"/>
  <c r="W70" i="17"/>
  <c r="N24" i="19"/>
  <c r="H12" i="19" l="1"/>
  <c r="H52" i="40"/>
  <c r="I12" i="40"/>
  <c r="I79" i="40" s="1"/>
  <c r="H60" i="40"/>
  <c r="K24" i="44"/>
  <c r="H13" i="40"/>
  <c r="H50" i="40"/>
  <c r="H12" i="17"/>
  <c r="H28" i="44"/>
  <c r="H12" i="18"/>
  <c r="L37" i="9"/>
  <c r="L47" i="44"/>
  <c r="L36" i="9"/>
  <c r="L46" i="44"/>
  <c r="L37" i="21"/>
  <c r="L11" i="44"/>
  <c r="L38" i="21"/>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G13" i="44" l="1"/>
  <c r="I52" i="40"/>
  <c r="D49" i="17"/>
  <c r="E49" i="17" s="1"/>
  <c r="F49" i="17" s="1"/>
  <c r="G49" i="17" s="1"/>
  <c r="H49" i="17" s="1"/>
  <c r="I12" i="19"/>
  <c r="I50" i="40"/>
  <c r="I13" i="40"/>
  <c r="I60" i="40"/>
  <c r="I12" i="18"/>
  <c r="J12" i="40"/>
  <c r="J79" i="40" s="1"/>
  <c r="D50" i="19"/>
  <c r="E50" i="19" s="1"/>
  <c r="F50" i="19" s="1"/>
  <c r="G50" i="19" s="1"/>
  <c r="H50" i="19" s="1"/>
  <c r="I12" i="17"/>
  <c r="F43" i="44"/>
  <c r="F7" i="44"/>
  <c r="D49" i="9"/>
  <c r="E49" i="9" s="1"/>
  <c r="F49" i="9" s="1"/>
  <c r="I28" i="44"/>
  <c r="G43" i="44"/>
  <c r="M36" i="9"/>
  <c r="M46" i="44"/>
  <c r="M37" i="9"/>
  <c r="M47" i="44"/>
  <c r="M38" i="21"/>
  <c r="M12" i="44"/>
  <c r="M37" i="21"/>
  <c r="M11" i="44"/>
  <c r="T39" i="21"/>
  <c r="T39" i="40"/>
  <c r="D96" i="9"/>
  <c r="G12" i="9"/>
  <c r="G78" i="9" s="1"/>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J12" i="18" l="1"/>
  <c r="K28" i="44" s="1"/>
  <c r="I50" i="19"/>
  <c r="J13" i="40"/>
  <c r="J28" i="44"/>
  <c r="J50" i="40"/>
  <c r="J60" i="40"/>
  <c r="K12" i="40"/>
  <c r="K79" i="40" s="1"/>
  <c r="J52" i="40"/>
  <c r="J12" i="17"/>
  <c r="J12" i="19"/>
  <c r="I49" i="17"/>
  <c r="H43" i="44"/>
  <c r="G49" i="9"/>
  <c r="N37" i="9"/>
  <c r="O47" i="44" s="1"/>
  <c r="N47" i="44"/>
  <c r="N36" i="9"/>
  <c r="O46" i="44" s="1"/>
  <c r="N46" i="44"/>
  <c r="N37" i="21"/>
  <c r="N11" i="44"/>
  <c r="N38" i="21"/>
  <c r="N12" i="44"/>
  <c r="C101" i="40"/>
  <c r="C106" i="40" s="1"/>
  <c r="D101" i="40"/>
  <c r="D106" i="40" s="1"/>
  <c r="H12" i="9"/>
  <c r="H78" i="9" s="1"/>
  <c r="E26" i="22"/>
  <c r="F26" i="22"/>
  <c r="G26" i="22"/>
  <c r="H26" i="22"/>
  <c r="F24" i="22"/>
  <c r="F23" i="22"/>
  <c r="H23" i="22"/>
  <c r="H24" i="22"/>
  <c r="G23" i="22"/>
  <c r="G24" i="22"/>
  <c r="I26" i="22"/>
  <c r="E23" i="22"/>
  <c r="E24" i="22"/>
  <c r="I23" i="22"/>
  <c r="I24" i="22"/>
  <c r="J50" i="19" l="1"/>
  <c r="J49" i="17"/>
  <c r="K13" i="40"/>
  <c r="L12" i="40"/>
  <c r="L79" i="40" s="1"/>
  <c r="K52" i="40"/>
  <c r="K50" i="40"/>
  <c r="K12" i="19"/>
  <c r="K60" i="40"/>
  <c r="K12" i="18"/>
  <c r="K12" i="17"/>
  <c r="H49" i="9"/>
  <c r="H59" i="9"/>
  <c r="I43" i="44"/>
  <c r="O12" i="44"/>
  <c r="O11" i="44"/>
  <c r="I12" i="9"/>
  <c r="I78" i="9" s="1"/>
  <c r="C46" i="17"/>
  <c r="C46" i="18"/>
  <c r="C47" i="19"/>
  <c r="C47" i="21"/>
  <c r="C46" i="9"/>
  <c r="K49" i="17" l="1"/>
  <c r="K50" i="19"/>
  <c r="L12" i="18"/>
  <c r="M28" i="44" s="1"/>
  <c r="L12" i="19"/>
  <c r="L13" i="40"/>
  <c r="L28" i="44"/>
  <c r="L50" i="40"/>
  <c r="L52" i="40"/>
  <c r="L60" i="40"/>
  <c r="M12" i="40"/>
  <c r="M79" i="40" s="1"/>
  <c r="L12" i="17"/>
  <c r="I49" i="9"/>
  <c r="J12" i="9"/>
  <c r="J78" i="9" s="1"/>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18"/>
  <c r="D50" i="9"/>
  <c r="B18" i="9"/>
  <c r="L49" i="17" l="1"/>
  <c r="L50" i="19"/>
  <c r="M13" i="40"/>
  <c r="M12" i="18"/>
  <c r="M60" i="40"/>
  <c r="D81" i="40"/>
  <c r="N12" i="40"/>
  <c r="N79" i="40" s="1"/>
  <c r="J49" i="9"/>
  <c r="M12" i="17"/>
  <c r="M12" i="19"/>
  <c r="M50" i="40"/>
  <c r="M52" i="40"/>
  <c r="K12" i="9"/>
  <c r="K78" i="9" s="1"/>
  <c r="K43" i="44"/>
  <c r="G63" i="17"/>
  <c r="J63" i="17"/>
  <c r="H63" i="17"/>
  <c r="I63" i="17"/>
  <c r="B21" i="22"/>
  <c r="E63" i="9"/>
  <c r="D64" i="9"/>
  <c r="D63" i="9"/>
  <c r="E64" i="9"/>
  <c r="F64" i="18"/>
  <c r="E64" i="18"/>
  <c r="D64" i="18"/>
  <c r="M49" i="17" l="1"/>
  <c r="M50" i="19"/>
  <c r="N28" i="44"/>
  <c r="N13" i="40"/>
  <c r="N50" i="40"/>
  <c r="N60" i="40"/>
  <c r="K49" i="9"/>
  <c r="N52" i="40"/>
  <c r="O12" i="40"/>
  <c r="O79" i="40" s="1"/>
  <c r="N12" i="18"/>
  <c r="L12" i="9"/>
  <c r="L78" i="9" s="1"/>
  <c r="L43" i="44"/>
  <c r="D51" i="21"/>
  <c r="C5" i="21"/>
  <c r="O12" i="18" l="1"/>
  <c r="L49" i="9"/>
  <c r="O50" i="40"/>
  <c r="P51" i="40" s="1"/>
  <c r="O52" i="40"/>
  <c r="O28" i="44"/>
  <c r="O13" i="40"/>
  <c r="O60" i="40"/>
  <c r="P12" i="40"/>
  <c r="P79" i="40" s="1"/>
  <c r="D50" i="21"/>
  <c r="E50" i="21" s="1"/>
  <c r="F50" i="21" s="1"/>
  <c r="M12" i="9"/>
  <c r="M43" i="44"/>
  <c r="C6" i="21"/>
  <c r="C7" i="21"/>
  <c r="D65" i="21"/>
  <c r="F65" i="21"/>
  <c r="E65" i="21"/>
  <c r="T71" i="19"/>
  <c r="S71" i="19"/>
  <c r="R71" i="19"/>
  <c r="Q71" i="19"/>
  <c r="P71" i="19"/>
  <c r="O71" i="19"/>
  <c r="N71" i="19"/>
  <c r="M71" i="19"/>
  <c r="L71" i="19"/>
  <c r="K71" i="19"/>
  <c r="J71" i="19"/>
  <c r="I71" i="19"/>
  <c r="H71" i="19"/>
  <c r="D51" i="19"/>
  <c r="T70" i="17"/>
  <c r="R70" i="17"/>
  <c r="Q70" i="17"/>
  <c r="P70" i="17"/>
  <c r="O70" i="17"/>
  <c r="N70" i="17"/>
  <c r="M70" i="17"/>
  <c r="L70" i="17"/>
  <c r="K70" i="17"/>
  <c r="J70" i="17"/>
  <c r="I70" i="17"/>
  <c r="H70" i="17"/>
  <c r="D50" i="17"/>
  <c r="F64" i="17"/>
  <c r="P28" i="44" l="1"/>
  <c r="M49" i="9"/>
  <c r="M78" i="9"/>
  <c r="P52" i="40"/>
  <c r="P60" i="40"/>
  <c r="P12" i="18"/>
  <c r="P13" i="40"/>
  <c r="Q12" i="40"/>
  <c r="Q79" i="40" s="1"/>
  <c r="P50" i="40"/>
  <c r="N12" i="9"/>
  <c r="N43" i="44"/>
  <c r="I64" i="21"/>
  <c r="G64" i="21"/>
  <c r="H64" i="21"/>
  <c r="J64" i="21"/>
  <c r="F64" i="21"/>
  <c r="D64" i="21"/>
  <c r="D64" i="17"/>
  <c r="E64" i="17"/>
  <c r="E65" i="19"/>
  <c r="D65" i="19"/>
  <c r="F65" i="19"/>
  <c r="N49" i="9" l="1"/>
  <c r="N78" i="9"/>
  <c r="Q28" i="44"/>
  <c r="Q13" i="40"/>
  <c r="R12" i="40"/>
  <c r="Q60" i="40"/>
  <c r="Q52" i="40"/>
  <c r="Q12" i="18"/>
  <c r="Q51" i="40"/>
  <c r="Q50" i="40"/>
  <c r="O12" i="9"/>
  <c r="O43" i="44"/>
  <c r="C47" i="18"/>
  <c r="C48" i="19"/>
  <c r="C48" i="21"/>
  <c r="C47" i="17"/>
  <c r="C47" i="9"/>
  <c r="E35" i="9"/>
  <c r="F48" i="44" s="1"/>
  <c r="F35" i="9"/>
  <c r="G48" i="44" s="1"/>
  <c r="C3" i="21"/>
  <c r="Q24" i="19"/>
  <c r="R60" i="40" l="1"/>
  <c r="R79" i="40"/>
  <c r="O49" i="9"/>
  <c r="O78" i="9"/>
  <c r="R52" i="40"/>
  <c r="S12" i="40"/>
  <c r="R13" i="40"/>
  <c r="R12" i="18"/>
  <c r="R28" i="44"/>
  <c r="R50" i="40"/>
  <c r="R51" i="40"/>
  <c r="P12" i="9"/>
  <c r="P43" i="44"/>
  <c r="A7" i="43"/>
  <c r="A12" i="43"/>
  <c r="A8" i="43"/>
  <c r="A22" i="43"/>
  <c r="A6" i="43"/>
  <c r="A5" i="43"/>
  <c r="A21" i="43"/>
  <c r="A20" i="43"/>
  <c r="A4" i="43"/>
  <c r="A19" i="43"/>
  <c r="A3" i="43"/>
  <c r="A13" i="43"/>
  <c r="A9" i="43"/>
  <c r="A18" i="43"/>
  <c r="A2" i="43"/>
  <c r="A11" i="43"/>
  <c r="A17" i="43"/>
  <c r="A15" i="43"/>
  <c r="A16" i="43"/>
  <c r="A14" i="43"/>
  <c r="A10" i="43"/>
  <c r="F98" i="9"/>
  <c r="E98" i="9"/>
  <c r="E96" i="9" s="1"/>
  <c r="C109" i="21"/>
  <c r="D109" i="21"/>
  <c r="C22" i="19"/>
  <c r="C22" i="17"/>
  <c r="C22" i="9"/>
  <c r="D22" i="9" s="1"/>
  <c r="D23" i="40" s="1"/>
  <c r="D30" i="40" s="1"/>
  <c r="D62" i="40" s="1"/>
  <c r="C23" i="21"/>
  <c r="C22" i="18"/>
  <c r="C27" i="21"/>
  <c r="D27" i="21" s="1"/>
  <c r="E27" i="21" s="1"/>
  <c r="C26" i="17"/>
  <c r="D26" i="17" s="1"/>
  <c r="E26" i="17" s="1"/>
  <c r="F26" i="17" s="1"/>
  <c r="G26" i="17" s="1"/>
  <c r="H26" i="17" s="1"/>
  <c r="I26" i="17" s="1"/>
  <c r="J26" i="17" s="1"/>
  <c r="K26" i="17" s="1"/>
  <c r="L26" i="17" s="1"/>
  <c r="M26" i="17" s="1"/>
  <c r="N26" i="17" s="1"/>
  <c r="O26" i="17" s="1"/>
  <c r="P26" i="17" s="1"/>
  <c r="Q26" i="17" s="1"/>
  <c r="R26" i="17" s="1"/>
  <c r="S26" i="17" s="1"/>
  <c r="T26" i="17" s="1"/>
  <c r="U26" i="17" s="1"/>
  <c r="V26" i="17" s="1"/>
  <c r="W26" i="17" s="1"/>
  <c r="C26" i="18"/>
  <c r="D26" i="18" s="1"/>
  <c r="E26" i="18" s="1"/>
  <c r="F26" i="18" s="1"/>
  <c r="G26" i="18" s="1"/>
  <c r="H26" i="18" s="1"/>
  <c r="I26" i="18" s="1"/>
  <c r="J26" i="18" s="1"/>
  <c r="K26" i="18" s="1"/>
  <c r="L26" i="18" s="1"/>
  <c r="M26" i="18" s="1"/>
  <c r="N26" i="18" s="1"/>
  <c r="O26" i="18" s="1"/>
  <c r="P26" i="18" s="1"/>
  <c r="Q26" i="18" s="1"/>
  <c r="R26" i="18" s="1"/>
  <c r="S26" i="18" s="1"/>
  <c r="T26" i="18" s="1"/>
  <c r="U26" i="18" s="1"/>
  <c r="V26" i="18" s="1"/>
  <c r="W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S12" i="18" l="1"/>
  <c r="S79" i="40"/>
  <c r="P49" i="9"/>
  <c r="P78" i="9"/>
  <c r="S52" i="40"/>
  <c r="S13" i="40"/>
  <c r="T12" i="40"/>
  <c r="S60" i="40"/>
  <c r="S28" i="44"/>
  <c r="P51" i="9"/>
  <c r="P59" i="9"/>
  <c r="S50" i="40"/>
  <c r="S51" i="40"/>
  <c r="F28" i="44"/>
  <c r="D49" i="18"/>
  <c r="E49" i="18" s="1"/>
  <c r="F49" i="18" s="1"/>
  <c r="G49" i="18" s="1"/>
  <c r="H49" i="18" s="1"/>
  <c r="I49" i="18" s="1"/>
  <c r="J49" i="18" s="1"/>
  <c r="K49" i="18" s="1"/>
  <c r="L49" i="18" s="1"/>
  <c r="M49" i="18" s="1"/>
  <c r="N49" i="18" s="1"/>
  <c r="O49" i="18" s="1"/>
  <c r="P49" i="18" s="1"/>
  <c r="Q49" i="18" s="1"/>
  <c r="R49" i="18" s="1"/>
  <c r="S49" i="18" s="1"/>
  <c r="Q12" i="9"/>
  <c r="Q43" i="44"/>
  <c r="F27" i="21"/>
  <c r="F15" i="44"/>
  <c r="D59" i="40"/>
  <c r="D77" i="40" s="1"/>
  <c r="E101" i="40"/>
  <c r="E106" i="40" s="1"/>
  <c r="E27" i="19"/>
  <c r="F96" i="9"/>
  <c r="D22" i="17"/>
  <c r="D23" i="21"/>
  <c r="E22" i="9"/>
  <c r="E23" i="40" s="1"/>
  <c r="E30" i="40" s="1"/>
  <c r="E62" i="40" s="1"/>
  <c r="E59"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U12" i="40" l="1"/>
  <c r="U60" i="40" s="1"/>
  <c r="T79" i="40"/>
  <c r="T28" i="44"/>
  <c r="Q49" i="9"/>
  <c r="Q78" i="9"/>
  <c r="T12" i="18"/>
  <c r="T60" i="40"/>
  <c r="T13" i="40"/>
  <c r="T52" i="40"/>
  <c r="T50" i="40"/>
  <c r="T51" i="40"/>
  <c r="F26" i="9"/>
  <c r="F49" i="44"/>
  <c r="R12" i="9"/>
  <c r="R43" i="44"/>
  <c r="Q51" i="9"/>
  <c r="Q59" i="9"/>
  <c r="F34" i="44"/>
  <c r="G27" i="21"/>
  <c r="G15" i="44"/>
  <c r="F101" i="40"/>
  <c r="F106" i="40" s="1"/>
  <c r="F59" i="18"/>
  <c r="F27" i="19"/>
  <c r="F22" i="9"/>
  <c r="F23" i="40" s="1"/>
  <c r="E22" i="17"/>
  <c r="E23" i="21"/>
  <c r="E50" i="17"/>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F50" i="18"/>
  <c r="E29" i="9"/>
  <c r="E61" i="9" s="1"/>
  <c r="F44" i="44" s="1"/>
  <c r="H50" i="9"/>
  <c r="D22" i="18"/>
  <c r="E50" i="18"/>
  <c r="D29" i="9"/>
  <c r="D61" i="9" s="1"/>
  <c r="F51" i="21"/>
  <c r="D22" i="19"/>
  <c r="E51" i="19"/>
  <c r="E51" i="21"/>
  <c r="V12" i="40" l="1"/>
  <c r="V79" i="40" s="1"/>
  <c r="U28" i="44"/>
  <c r="T49" i="18"/>
  <c r="U13" i="40"/>
  <c r="U79" i="40"/>
  <c r="U12" i="18"/>
  <c r="U52" i="40"/>
  <c r="R49" i="9"/>
  <c r="R78" i="9"/>
  <c r="U51" i="40"/>
  <c r="U50" i="40"/>
  <c r="S12" i="9"/>
  <c r="S43" i="44"/>
  <c r="R59" i="9"/>
  <c r="R51" i="9"/>
  <c r="G26" i="9"/>
  <c r="G49" i="44"/>
  <c r="G34" i="44"/>
  <c r="H27" i="21"/>
  <c r="H15" i="44"/>
  <c r="G27" i="19"/>
  <c r="F30" i="40"/>
  <c r="F62" i="40" s="1"/>
  <c r="G23" i="40"/>
  <c r="G22" i="9"/>
  <c r="F22" i="17"/>
  <c r="F23" i="21"/>
  <c r="F50" i="17"/>
  <c r="D29" i="17"/>
  <c r="D61" i="17" s="1"/>
  <c r="G50" i="18"/>
  <c r="I50" i="9"/>
  <c r="E22" i="18"/>
  <c r="F22" i="18" s="1"/>
  <c r="D29" i="18"/>
  <c r="D61" i="18" s="1"/>
  <c r="D23" i="18"/>
  <c r="F29" i="9"/>
  <c r="F61" i="9" s="1"/>
  <c r="G44" i="44" s="1"/>
  <c r="G50" i="17"/>
  <c r="E30" i="21"/>
  <c r="E62" i="21" s="1"/>
  <c r="F8" i="44" s="1"/>
  <c r="E22" i="19"/>
  <c r="D30" i="19"/>
  <c r="D62" i="19" s="1"/>
  <c r="D23" i="19"/>
  <c r="D30" i="21"/>
  <c r="D62" i="21" s="1"/>
  <c r="F51" i="19"/>
  <c r="G51" i="21"/>
  <c r="V12" i="18" l="1"/>
  <c r="W28" i="44" s="1"/>
  <c r="V60" i="40"/>
  <c r="V13" i="40"/>
  <c r="V52" i="40"/>
  <c r="W12" i="40"/>
  <c r="W79" i="40" s="1"/>
  <c r="V28" i="44"/>
  <c r="U49" i="18"/>
  <c r="V49" i="18" s="1"/>
  <c r="S49" i="9"/>
  <c r="S78" i="9"/>
  <c r="V50" i="40"/>
  <c r="V51" i="40"/>
  <c r="H26" i="9"/>
  <c r="H49" i="44"/>
  <c r="T12" i="9"/>
  <c r="T43" i="44"/>
  <c r="S59" i="9"/>
  <c r="S51" i="9"/>
  <c r="H34" i="44"/>
  <c r="I27" i="21"/>
  <c r="I15" i="44"/>
  <c r="F59" i="40"/>
  <c r="H27" i="19"/>
  <c r="G24" i="40"/>
  <c r="G30" i="40"/>
  <c r="H22" i="9"/>
  <c r="H23" i="9" s="1"/>
  <c r="G29" i="9"/>
  <c r="G61" i="9" s="1"/>
  <c r="H44" i="44" s="1"/>
  <c r="F29" i="18"/>
  <c r="F61" i="18" s="1"/>
  <c r="F23" i="18"/>
  <c r="E29" i="18"/>
  <c r="E61" i="18" s="1"/>
  <c r="E23" i="18"/>
  <c r="J50" i="9"/>
  <c r="E29" i="17"/>
  <c r="E61" i="17" s="1"/>
  <c r="G51" i="19"/>
  <c r="F22" i="19"/>
  <c r="F30" i="21"/>
  <c r="F62" i="21" s="1"/>
  <c r="G8" i="44" s="1"/>
  <c r="E23" i="19"/>
  <c r="E30" i="19"/>
  <c r="E62" i="19" s="1"/>
  <c r="C2" i="43" l="1" a="1"/>
  <c r="C2" i="43" s="1"/>
  <c r="W12" i="18"/>
  <c r="X28" i="44" s="1"/>
  <c r="W13" i="40"/>
  <c r="W60" i="40"/>
  <c r="W52" i="40"/>
  <c r="W49" i="18"/>
  <c r="T49" i="9"/>
  <c r="T78" i="9"/>
  <c r="W50" i="40"/>
  <c r="W51" i="40"/>
  <c r="F33" i="44"/>
  <c r="U12" i="9"/>
  <c r="U43" i="44"/>
  <c r="T51" i="9"/>
  <c r="T59" i="9"/>
  <c r="H32" i="9"/>
  <c r="I52" i="44" s="1"/>
  <c r="I50" i="44"/>
  <c r="I26" i="9"/>
  <c r="I49" i="44"/>
  <c r="I34" i="44"/>
  <c r="J27" i="21"/>
  <c r="J15" i="44"/>
  <c r="G106" i="40"/>
  <c r="I27" i="19"/>
  <c r="G62" i="40"/>
  <c r="H51" i="40"/>
  <c r="H23" i="40" s="1"/>
  <c r="G33" i="40"/>
  <c r="H29" i="9"/>
  <c r="H61" i="9" s="1"/>
  <c r="I44" i="44" s="1"/>
  <c r="I22" i="9"/>
  <c r="I23" i="9" s="1"/>
  <c r="J50" i="44" s="1"/>
  <c r="F29" i="17"/>
  <c r="F61" i="17" s="1"/>
  <c r="K50" i="9"/>
  <c r="F30" i="19"/>
  <c r="F62" i="19" s="1"/>
  <c r="F23" i="19"/>
  <c r="U49" i="9" l="1"/>
  <c r="U78" i="9"/>
  <c r="G33" i="44"/>
  <c r="V43" i="44"/>
  <c r="V12" i="9"/>
  <c r="U59" i="9"/>
  <c r="U51" i="9"/>
  <c r="J49" i="44"/>
  <c r="J26" i="9"/>
  <c r="J34" i="44"/>
  <c r="K27" i="21"/>
  <c r="K15" i="44"/>
  <c r="G59" i="40"/>
  <c r="J27" i="19"/>
  <c r="H24" i="40"/>
  <c r="H30" i="40"/>
  <c r="J22" i="9"/>
  <c r="K22" i="9" s="1"/>
  <c r="I29" i="9"/>
  <c r="I61" i="9" s="1"/>
  <c r="J44" i="44" s="1"/>
  <c r="L50" i="9"/>
  <c r="V49" i="9" l="1"/>
  <c r="V78" i="9"/>
  <c r="H33" i="40"/>
  <c r="K26" i="9"/>
  <c r="K29" i="9" s="1"/>
  <c r="K61" i="9" s="1"/>
  <c r="L44" i="44" s="1"/>
  <c r="K49" i="44"/>
  <c r="V51" i="9"/>
  <c r="W43" i="44"/>
  <c r="W12" i="9"/>
  <c r="V59" i="9"/>
  <c r="K34" i="44"/>
  <c r="L27" i="21"/>
  <c r="L15" i="44"/>
  <c r="K27" i="19"/>
  <c r="H62" i="40"/>
  <c r="I51" i="40"/>
  <c r="I23" i="40" s="1"/>
  <c r="J23" i="9"/>
  <c r="K50" i="44" s="1"/>
  <c r="J29" i="9"/>
  <c r="J61" i="9" s="1"/>
  <c r="K44" i="44" s="1"/>
  <c r="K23" i="9"/>
  <c r="L50" i="44" s="1"/>
  <c r="M50" i="9"/>
  <c r="L22" i="9"/>
  <c r="W49" i="9" l="1"/>
  <c r="W78" i="9"/>
  <c r="X43" i="44"/>
  <c r="W51" i="9"/>
  <c r="W59" i="9"/>
  <c r="L26" i="9"/>
  <c r="L29" i="9" s="1"/>
  <c r="L61" i="9" s="1"/>
  <c r="M44" i="44" s="1"/>
  <c r="L49" i="44"/>
  <c r="L34" i="44"/>
  <c r="M27" i="21"/>
  <c r="M15" i="44"/>
  <c r="H59" i="40"/>
  <c r="L27" i="19"/>
  <c r="I24" i="40"/>
  <c r="I30" i="40"/>
  <c r="M22" i="9"/>
  <c r="N50" i="9"/>
  <c r="L23" i="9"/>
  <c r="M50" i="44" s="1"/>
  <c r="I33" i="40" l="1"/>
  <c r="M26" i="9"/>
  <c r="M29" i="9" s="1"/>
  <c r="M61" i="9" s="1"/>
  <c r="N44" i="44" s="1"/>
  <c r="M49" i="44"/>
  <c r="M34" i="44"/>
  <c r="N27" i="21"/>
  <c r="N15" i="44"/>
  <c r="M27" i="19"/>
  <c r="I62" i="40"/>
  <c r="I59" i="40" s="1"/>
  <c r="J51" i="40"/>
  <c r="J23" i="40" s="1"/>
  <c r="O50" i="9"/>
  <c r="N22" i="9"/>
  <c r="M23" i="9"/>
  <c r="N50" i="44" s="1"/>
  <c r="N26" i="9" l="1"/>
  <c r="N29" i="9" s="1"/>
  <c r="N61" i="9" s="1"/>
  <c r="O44" i="44" s="1"/>
  <c r="N49" i="44"/>
  <c r="N34" i="44"/>
  <c r="O27" i="21"/>
  <c r="O15" i="44"/>
  <c r="N27" i="19"/>
  <c r="J30" i="40"/>
  <c r="J24" i="40"/>
  <c r="O22" i="9"/>
  <c r="P50" i="9"/>
  <c r="N23" i="9"/>
  <c r="O50" i="44" s="1"/>
  <c r="J33" i="40" l="1"/>
  <c r="O26" i="9"/>
  <c r="O49" i="44"/>
  <c r="O34" i="44"/>
  <c r="P27" i="21"/>
  <c r="P15" i="44"/>
  <c r="O27" i="19"/>
  <c r="J62" i="40"/>
  <c r="J59" i="40" s="1"/>
  <c r="K51" i="40"/>
  <c r="K23" i="40" s="1"/>
  <c r="P22" i="9"/>
  <c r="Q50" i="9"/>
  <c r="O23" i="9"/>
  <c r="P50" i="44" s="1"/>
  <c r="O29" i="9"/>
  <c r="O61" i="9" s="1"/>
  <c r="P44" i="44" s="1"/>
  <c r="P26" i="9" l="1"/>
  <c r="P49" i="44"/>
  <c r="P34" i="44"/>
  <c r="Q27" i="21"/>
  <c r="Q15" i="44"/>
  <c r="P27" i="19"/>
  <c r="K30" i="40"/>
  <c r="K24" i="40"/>
  <c r="R50" i="9"/>
  <c r="Q22" i="9"/>
  <c r="P29" i="9"/>
  <c r="P61" i="9" s="1"/>
  <c r="Q44" i="44" s="1"/>
  <c r="P23" i="9"/>
  <c r="Q50" i="44" s="1"/>
  <c r="K33" i="40" l="1"/>
  <c r="Q26" i="9"/>
  <c r="Q49" i="44"/>
  <c r="Q34" i="44"/>
  <c r="R27" i="21"/>
  <c r="R15" i="44"/>
  <c r="Q27" i="19"/>
  <c r="K62" i="40"/>
  <c r="L51" i="40"/>
  <c r="L23" i="40" s="1"/>
  <c r="S50" i="9"/>
  <c r="R22" i="9"/>
  <c r="Q29" i="9"/>
  <c r="Q61" i="9" s="1"/>
  <c r="R44" i="44" s="1"/>
  <c r="Q23" i="9"/>
  <c r="R50" i="44" s="1"/>
  <c r="R26" i="9" l="1"/>
  <c r="R29" i="9" s="1"/>
  <c r="R61" i="9" s="1"/>
  <c r="S44" i="44" s="1"/>
  <c r="R49" i="44"/>
  <c r="R34" i="44"/>
  <c r="S27" i="21"/>
  <c r="S15" i="44"/>
  <c r="R27" i="19"/>
  <c r="L30" i="40"/>
  <c r="L24" i="40"/>
  <c r="L33" i="40" s="1"/>
  <c r="R23" i="9"/>
  <c r="S50" i="44" s="1"/>
  <c r="T50" i="9"/>
  <c r="S22" i="9"/>
  <c r="S26" i="9" l="1"/>
  <c r="S29" i="9" s="1"/>
  <c r="S61" i="9" s="1"/>
  <c r="T44" i="44" s="1"/>
  <c r="S49" i="44"/>
  <c r="S34" i="44"/>
  <c r="T27" i="21"/>
  <c r="T15" i="44"/>
  <c r="S27" i="19"/>
  <c r="L62" i="40"/>
  <c r="M51" i="40"/>
  <c r="M23" i="40" s="1"/>
  <c r="U50" i="9"/>
  <c r="S23" i="9"/>
  <c r="T50" i="44" s="1"/>
  <c r="T22" i="9"/>
  <c r="T26" i="9" l="1"/>
  <c r="T49" i="44"/>
  <c r="T34" i="44"/>
  <c r="U15" i="44"/>
  <c r="U27" i="21"/>
  <c r="T27" i="19"/>
  <c r="M30" i="40"/>
  <c r="M24" i="40"/>
  <c r="M33" i="40" s="1"/>
  <c r="V50" i="9"/>
  <c r="U22" i="9"/>
  <c r="U23" i="9" s="1"/>
  <c r="V50" i="44" s="1"/>
  <c r="T29" i="9"/>
  <c r="T61" i="9" s="1"/>
  <c r="U44" i="44" s="1"/>
  <c r="T23" i="9"/>
  <c r="U50" i="44" s="1"/>
  <c r="U26" i="9" l="1"/>
  <c r="U49" i="44"/>
  <c r="U34" i="44"/>
  <c r="V27" i="21"/>
  <c r="V15" i="44"/>
  <c r="U27" i="19"/>
  <c r="M62" i="40"/>
  <c r="N51" i="40"/>
  <c r="N23" i="40" s="1"/>
  <c r="O51" i="40"/>
  <c r="V22" i="9"/>
  <c r="V23" i="9" s="1"/>
  <c r="W50" i="44" s="1"/>
  <c r="W50" i="9"/>
  <c r="U29" i="9"/>
  <c r="U61" i="9" s="1"/>
  <c r="V44" i="44" s="1"/>
  <c r="V34" i="44" l="1"/>
  <c r="V26" i="9"/>
  <c r="V29" i="9" s="1"/>
  <c r="V61" i="9" s="1"/>
  <c r="W44" i="44" s="1"/>
  <c r="V49" i="44"/>
  <c r="W27" i="21"/>
  <c r="X15" i="44" s="1"/>
  <c r="W15" i="44"/>
  <c r="V27" i="19"/>
  <c r="O23" i="40"/>
  <c r="N24" i="40"/>
  <c r="N33" i="40" s="1"/>
  <c r="N30" i="40"/>
  <c r="N62" i="40" s="1"/>
  <c r="W22" i="9"/>
  <c r="W23" i="9" s="1"/>
  <c r="X50" i="44" s="1"/>
  <c r="W34" i="44" l="1"/>
  <c r="W26" i="9"/>
  <c r="X49" i="44" s="1"/>
  <c r="W49" i="44"/>
  <c r="W27" i="19"/>
  <c r="O24" i="40"/>
  <c r="O33" i="40" s="1"/>
  <c r="P23" i="40"/>
  <c r="O30" i="40"/>
  <c r="O62" i="40" s="1"/>
  <c r="W29" i="9" l="1"/>
  <c r="W61" i="9" s="1"/>
  <c r="X44" i="44" s="1"/>
  <c r="X34" i="44"/>
  <c r="P30" i="40"/>
  <c r="P62" i="40" s="1"/>
  <c r="Q23" i="40"/>
  <c r="P24" i="40"/>
  <c r="P33" i="40" s="1"/>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24" i="40" l="1"/>
  <c r="Q33" i="40" s="1"/>
  <c r="Q30" i="40"/>
  <c r="Q62" i="40" s="1"/>
  <c r="R23" i="40"/>
  <c r="Q72" i="17"/>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S23" i="40" l="1"/>
  <c r="R24" i="40"/>
  <c r="R33" i="40" s="1"/>
  <c r="R30" i="40"/>
  <c r="R62" i="40" s="1"/>
  <c r="D93" i="19"/>
  <c r="C93" i="19"/>
  <c r="S24" i="40" l="1"/>
  <c r="S33" i="40" s="1"/>
  <c r="T23" i="40"/>
  <c r="S30" i="40"/>
  <c r="S62" i="40" s="1"/>
  <c r="F71" i="18"/>
  <c r="F72" i="19"/>
  <c r="F72" i="21"/>
  <c r="G14" i="44" s="1"/>
  <c r="F71" i="17"/>
  <c r="E72" i="19"/>
  <c r="E71" i="17"/>
  <c r="E71" i="9"/>
  <c r="E72" i="21"/>
  <c r="F14" i="44" s="1"/>
  <c r="E71" i="18"/>
  <c r="D72" i="19"/>
  <c r="D71" i="17"/>
  <c r="D72" i="21"/>
  <c r="D71" i="18"/>
  <c r="U23" i="40" l="1"/>
  <c r="T24" i="40"/>
  <c r="T30" i="40"/>
  <c r="T62" i="40" s="1"/>
  <c r="C20" i="8"/>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N32" i="9"/>
  <c r="O52" i="44" s="1"/>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3" i="21" s="1"/>
  <c r="C41" i="18"/>
  <c r="C41" i="17"/>
  <c r="O20" i="8"/>
  <c r="D42" i="21"/>
  <c r="D113" i="21" s="1"/>
  <c r="D42" i="19"/>
  <c r="D98" i="19" s="1"/>
  <c r="D41" i="17"/>
  <c r="D41" i="9"/>
  <c r="D101" i="9" s="1"/>
  <c r="D41" i="18"/>
  <c r="V65" i="19"/>
  <c r="V18" i="19"/>
  <c r="V65" i="21"/>
  <c r="V64" i="9"/>
  <c r="V19" i="21"/>
  <c r="V64" i="17"/>
  <c r="V18" i="18"/>
  <c r="V18" i="9"/>
  <c r="V18" i="17"/>
  <c r="V64" i="18"/>
  <c r="T33" i="40" l="1"/>
  <c r="F101" i="9"/>
  <c r="G51" i="44"/>
  <c r="E101" i="9"/>
  <c r="F51" i="44"/>
  <c r="F33" i="21"/>
  <c r="G18" i="44" s="1"/>
  <c r="G17" i="44"/>
  <c r="E63" i="21"/>
  <c r="E59" i="21" s="1"/>
  <c r="F9" i="44"/>
  <c r="D32" i="18"/>
  <c r="D68" i="18" s="1"/>
  <c r="D97" i="18"/>
  <c r="D32" i="17"/>
  <c r="D67" i="17" s="1"/>
  <c r="D97" i="17"/>
  <c r="C32" i="17"/>
  <c r="C97" i="17"/>
  <c r="C32" i="18"/>
  <c r="C97" i="18"/>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7" i="17"/>
  <c r="D18" i="40"/>
  <c r="P18" i="40"/>
  <c r="P64" i="40"/>
  <c r="P59" i="40" s="1"/>
  <c r="O18" i="40"/>
  <c r="O64" i="40"/>
  <c r="O59" i="40" s="1"/>
  <c r="Q18" i="40"/>
  <c r="Q64" i="40"/>
  <c r="Q59" i="40" s="1"/>
  <c r="W18" i="40"/>
  <c r="W64" i="40"/>
  <c r="C17" i="19"/>
  <c r="C18" i="40"/>
  <c r="H63" i="9"/>
  <c r="H58" i="9" s="1"/>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58" i="9" s="1"/>
  <c r="S17" i="18"/>
  <c r="T18" i="21"/>
  <c r="U17" i="18"/>
  <c r="J17" i="19"/>
  <c r="S17" i="9"/>
  <c r="J17" i="9"/>
  <c r="D17" i="19"/>
  <c r="J17" i="17"/>
  <c r="D17" i="9"/>
  <c r="J17" i="18"/>
  <c r="D18" i="21"/>
  <c r="D17" i="18"/>
  <c r="S17" i="17"/>
  <c r="U17" i="17"/>
  <c r="U18" i="21"/>
  <c r="S63" i="18"/>
  <c r="T64" i="19"/>
  <c r="S64" i="19"/>
  <c r="S17" i="19"/>
  <c r="W17" i="18"/>
  <c r="W64" i="19"/>
  <c r="W18" i="21"/>
  <c r="W63" i="18"/>
  <c r="W17" i="19"/>
  <c r="W63" i="9"/>
  <c r="W58" i="9" s="1"/>
  <c r="U63" i="18"/>
  <c r="U64" i="19"/>
  <c r="T63" i="9"/>
  <c r="T58" i="9" s="1"/>
  <c r="D33" i="19"/>
  <c r="D69" i="19" s="1"/>
  <c r="E32" i="9"/>
  <c r="F52" i="44" s="1"/>
  <c r="O63" i="9"/>
  <c r="O58" i="9" s="1"/>
  <c r="F17" i="19"/>
  <c r="F17" i="17"/>
  <c r="F17" i="9"/>
  <c r="F17" i="18"/>
  <c r="F18" i="21"/>
  <c r="F33" i="19"/>
  <c r="L17" i="18"/>
  <c r="L18" i="21"/>
  <c r="L17" i="9"/>
  <c r="L63" i="18"/>
  <c r="L64" i="19"/>
  <c r="L17" i="19"/>
  <c r="L17" i="17"/>
  <c r="L63" i="9"/>
  <c r="L58" i="9" s="1"/>
  <c r="V42" i="21"/>
  <c r="V42" i="19"/>
  <c r="V41" i="18"/>
  <c r="V41" i="17"/>
  <c r="V32" i="9"/>
  <c r="W52" i="44" s="1"/>
  <c r="O41" i="18"/>
  <c r="O42" i="19"/>
  <c r="O32" i="9"/>
  <c r="P52" i="44" s="1"/>
  <c r="O41" i="17"/>
  <c r="D33" i="21"/>
  <c r="D69" i="21" s="1"/>
  <c r="F32" i="18"/>
  <c r="C84" i="19"/>
  <c r="D70" i="19"/>
  <c r="R41" i="18"/>
  <c r="R42" i="21"/>
  <c r="R41" i="17"/>
  <c r="R42" i="19"/>
  <c r="R32" i="9"/>
  <c r="S52" i="44" s="1"/>
  <c r="W42" i="21"/>
  <c r="W32" i="9"/>
  <c r="X52" i="44" s="1"/>
  <c r="W41" i="17"/>
  <c r="W41" i="18"/>
  <c r="W42" i="19"/>
  <c r="D69" i="17"/>
  <c r="C83" i="17"/>
  <c r="V63" i="18"/>
  <c r="V18" i="21"/>
  <c r="V17" i="9"/>
  <c r="V17" i="19"/>
  <c r="V64" i="19"/>
  <c r="V17" i="17"/>
  <c r="V17" i="18"/>
  <c r="V63" i="9"/>
  <c r="V58" i="9" s="1"/>
  <c r="C33" i="21"/>
  <c r="F32" i="9"/>
  <c r="G52" i="44" s="1"/>
  <c r="C100" i="21"/>
  <c r="D70" i="21"/>
  <c r="S41" i="17"/>
  <c r="S42" i="21"/>
  <c r="S42" i="19"/>
  <c r="S32" i="9"/>
  <c r="T52" i="44" s="1"/>
  <c r="S41" i="18"/>
  <c r="C33" i="19"/>
  <c r="P18" i="21"/>
  <c r="P63" i="9"/>
  <c r="P58" i="9" s="1"/>
  <c r="P63" i="18"/>
  <c r="P17" i="19"/>
  <c r="P17" i="18"/>
  <c r="P17" i="17"/>
  <c r="P17" i="9"/>
  <c r="P64" i="19"/>
  <c r="I17" i="19"/>
  <c r="I17" i="17"/>
  <c r="I18" i="21"/>
  <c r="I17" i="9"/>
  <c r="I17" i="18"/>
  <c r="I63" i="9"/>
  <c r="I58" i="9" s="1"/>
  <c r="C83" i="18"/>
  <c r="D69" i="18"/>
  <c r="U42" i="21"/>
  <c r="U41" i="17"/>
  <c r="U41" i="18"/>
  <c r="U42" i="19"/>
  <c r="U32" i="9"/>
  <c r="V52" i="44" s="1"/>
  <c r="M63" i="18"/>
  <c r="M17" i="9"/>
  <c r="M17" i="18"/>
  <c r="M17" i="19"/>
  <c r="M17" i="17"/>
  <c r="M64" i="19"/>
  <c r="M63" i="9"/>
  <c r="M58" i="9" s="1"/>
  <c r="M18" i="21"/>
  <c r="J63" i="9"/>
  <c r="J58" i="9" s="1"/>
  <c r="C32" i="9"/>
  <c r="E33" i="19"/>
  <c r="C87" i="9"/>
  <c r="D69" i="9"/>
  <c r="R63" i="18"/>
  <c r="R18" i="21"/>
  <c r="R17" i="19"/>
  <c r="R17" i="9"/>
  <c r="R63" i="9"/>
  <c r="R58" i="9" s="1"/>
  <c r="R64" i="19"/>
  <c r="R17" i="18"/>
  <c r="R17" i="17"/>
  <c r="Q41" i="17"/>
  <c r="Q32" i="9"/>
  <c r="R52" i="44" s="1"/>
  <c r="Q42" i="19"/>
  <c r="Q41" i="18"/>
  <c r="Q42" i="21"/>
  <c r="N17" i="19"/>
  <c r="N63" i="9"/>
  <c r="N58" i="9" s="1"/>
  <c r="N17" i="18"/>
  <c r="N17" i="9"/>
  <c r="N18" i="21"/>
  <c r="N17" i="17"/>
  <c r="N64" i="19"/>
  <c r="N63" i="18"/>
  <c r="U63" i="9"/>
  <c r="U58" i="9" s="1"/>
  <c r="Q63" i="9"/>
  <c r="Q58" i="9" s="1"/>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P42" i="19"/>
  <c r="P42" i="21"/>
  <c r="P41" i="17"/>
  <c r="P32" i="9"/>
  <c r="Q52" i="44" s="1"/>
  <c r="P41" i="18"/>
  <c r="K17" i="18"/>
  <c r="K17" i="17"/>
  <c r="K63" i="18"/>
  <c r="K63" i="9"/>
  <c r="K58" i="9" s="1"/>
  <c r="K17" i="19"/>
  <c r="K17" i="9"/>
  <c r="K64" i="19"/>
  <c r="K18" i="21"/>
  <c r="E18" i="21"/>
  <c r="E17" i="18"/>
  <c r="E17" i="19"/>
  <c r="E17" i="17"/>
  <c r="E17" i="9"/>
  <c r="T41" i="17"/>
  <c r="T41" i="18"/>
  <c r="T32" i="9"/>
  <c r="U52" i="44" s="1"/>
  <c r="T42" i="21"/>
  <c r="T42" i="19"/>
  <c r="D67" i="18" l="1"/>
  <c r="X17" i="44"/>
  <c r="Q17" i="44"/>
  <c r="R17" i="44"/>
  <c r="V17" i="44"/>
  <c r="S17" i="44"/>
  <c r="W17" i="44"/>
  <c r="U17" i="44"/>
  <c r="T17" i="44"/>
  <c r="J2" i="43" a="1"/>
  <c r="J2" i="43" s="1"/>
  <c r="K59" i="40"/>
  <c r="D68" i="17"/>
  <c r="U59" i="40"/>
  <c r="W23" i="40"/>
  <c r="V24" i="40"/>
  <c r="V33" i="40" s="1"/>
  <c r="V30" i="40"/>
  <c r="V62" i="40" s="1"/>
  <c r="V59" i="40" s="1"/>
  <c r="D68" i="19"/>
  <c r="D68" i="21"/>
  <c r="D67" i="9"/>
  <c r="D66" i="9" s="1"/>
  <c r="L41" i="18"/>
  <c r="L42" i="19"/>
  <c r="L41" i="17"/>
  <c r="L32" i="9"/>
  <c r="M52" i="44" s="1"/>
  <c r="L42" i="21"/>
  <c r="Q37" i="17"/>
  <c r="Q38" i="19"/>
  <c r="Q38" i="21"/>
  <c r="R12" i="44" s="1"/>
  <c r="Q37" i="18"/>
  <c r="R36" i="17"/>
  <c r="R36" i="18"/>
  <c r="R37" i="19"/>
  <c r="R37" i="21"/>
  <c r="S11" i="44" s="1"/>
  <c r="K42" i="21"/>
  <c r="K41" i="17"/>
  <c r="K41" i="18"/>
  <c r="K32" i="9"/>
  <c r="L52" i="44" s="1"/>
  <c r="K42" i="19"/>
  <c r="O37" i="17"/>
  <c r="U37" i="21"/>
  <c r="V11" i="44" s="1"/>
  <c r="U36" i="17"/>
  <c r="U36" i="18"/>
  <c r="U37" i="19"/>
  <c r="J42" i="21"/>
  <c r="J41" i="18"/>
  <c r="J32" i="9"/>
  <c r="K52" i="44" s="1"/>
  <c r="J42" i="19"/>
  <c r="J41" i="17"/>
  <c r="W38" i="21"/>
  <c r="X12" i="44" s="1"/>
  <c r="W38" i="19"/>
  <c r="W37" i="17"/>
  <c r="W37" i="18"/>
  <c r="S36" i="17"/>
  <c r="S37" i="21"/>
  <c r="T11" i="44" s="1"/>
  <c r="S37" i="19"/>
  <c r="S36" i="18"/>
  <c r="V37" i="17"/>
  <c r="V38" i="19"/>
  <c r="V38" i="21"/>
  <c r="W12" i="44" s="1"/>
  <c r="V37" i="18"/>
  <c r="U38" i="19"/>
  <c r="U37" i="18"/>
  <c r="U38" i="21"/>
  <c r="V12" i="44" s="1"/>
  <c r="U37" i="17"/>
  <c r="V37" i="21"/>
  <c r="W11" i="44" s="1"/>
  <c r="V37" i="19"/>
  <c r="V36" i="18"/>
  <c r="V36" i="17"/>
  <c r="M41" i="17"/>
  <c r="M42" i="21"/>
  <c r="M41" i="18"/>
  <c r="M32" i="9"/>
  <c r="N52" i="44" s="1"/>
  <c r="M42" i="19"/>
  <c r="T37" i="17"/>
  <c r="T38" i="21"/>
  <c r="U12" i="44" s="1"/>
  <c r="T38" i="19"/>
  <c r="T37" i="18"/>
  <c r="R37" i="18"/>
  <c r="R38" i="19"/>
  <c r="R38" i="21"/>
  <c r="S12" i="44" s="1"/>
  <c r="R37" i="17"/>
  <c r="T36" i="18"/>
  <c r="T37" i="19"/>
  <c r="T36" i="17"/>
  <c r="T37" i="21"/>
  <c r="U11" i="44" s="1"/>
  <c r="C14" i="22"/>
  <c r="C15" i="22"/>
  <c r="C18" i="22"/>
  <c r="C17" i="22"/>
  <c r="C16" i="22"/>
  <c r="I32" i="9"/>
  <c r="J52" i="44" s="1"/>
  <c r="I42" i="19"/>
  <c r="I41" i="18"/>
  <c r="I42" i="21"/>
  <c r="I41" i="17"/>
  <c r="S37" i="17"/>
  <c r="S38" i="19"/>
  <c r="S37" i="18"/>
  <c r="S38" i="21"/>
  <c r="T12" i="44" s="1"/>
  <c r="Q36" i="17"/>
  <c r="Q36" i="18"/>
  <c r="Q37" i="19"/>
  <c r="P37" i="19"/>
  <c r="H41" i="18"/>
  <c r="H42" i="19"/>
  <c r="P38" i="21"/>
  <c r="Q12" i="44" s="1"/>
  <c r="P37" i="18"/>
  <c r="P38" i="19"/>
  <c r="P37" i="17"/>
  <c r="W37" i="19"/>
  <c r="W37" i="21"/>
  <c r="X11" i="44" s="1"/>
  <c r="W36" i="18"/>
  <c r="W36" i="17"/>
  <c r="D71" i="40" l="1"/>
  <c r="D67" i="40" s="1"/>
  <c r="D58" i="40" s="1"/>
  <c r="D57" i="40" s="1"/>
  <c r="D70" i="17"/>
  <c r="D66" i="17" s="1"/>
  <c r="D57" i="17" s="1"/>
  <c r="D56" i="17" s="1"/>
  <c r="D83" i="17" s="1"/>
  <c r="D71" i="21"/>
  <c r="D67" i="21" s="1"/>
  <c r="D58" i="21" s="1"/>
  <c r="D57" i="21" s="1"/>
  <c r="D70" i="18"/>
  <c r="D66" i="18" s="1"/>
  <c r="D57" i="18" s="1"/>
  <c r="D56" i="18" s="1"/>
  <c r="D83" i="18" s="1"/>
  <c r="D85" i="18" s="1"/>
  <c r="D71" i="19"/>
  <c r="D67" i="19" s="1"/>
  <c r="X24" i="44"/>
  <c r="W31" i="44"/>
  <c r="X32" i="44"/>
  <c r="V25" i="44"/>
  <c r="V32" i="44"/>
  <c r="W32" i="44"/>
  <c r="W25" i="44"/>
  <c r="V31" i="44"/>
  <c r="X31" i="44"/>
  <c r="V24" i="44"/>
  <c r="W24" i="44"/>
  <c r="X25" i="44"/>
  <c r="J17" i="44"/>
  <c r="K17" i="44"/>
  <c r="U31" i="44"/>
  <c r="T32" i="44"/>
  <c r="T25" i="44"/>
  <c r="S25" i="44"/>
  <c r="S32" i="44"/>
  <c r="S24" i="44"/>
  <c r="U32" i="44"/>
  <c r="S31" i="44"/>
  <c r="Q25" i="44"/>
  <c r="U25" i="44"/>
  <c r="Q31" i="44"/>
  <c r="R31" i="44"/>
  <c r="R32" i="44"/>
  <c r="Q32" i="44"/>
  <c r="T31" i="44"/>
  <c r="R25" i="44"/>
  <c r="R24" i="44"/>
  <c r="U24" i="44"/>
  <c r="T24" i="44"/>
  <c r="L17" i="44"/>
  <c r="N17" i="44"/>
  <c r="M17" i="44"/>
  <c r="P25" i="44"/>
  <c r="H37" i="17"/>
  <c r="W30" i="40"/>
  <c r="W62" i="40" s="1"/>
  <c r="E2" i="43" s="1" a="1"/>
  <c r="E2" i="43" s="1"/>
  <c r="W24" i="40"/>
  <c r="D77" i="21"/>
  <c r="D78" i="21"/>
  <c r="D76" i="9"/>
  <c r="D77" i="9"/>
  <c r="D86" i="18" l="1"/>
  <c r="D84" i="18"/>
  <c r="D87" i="18"/>
  <c r="D88" i="18"/>
  <c r="E69" i="18"/>
  <c r="E67" i="18"/>
  <c r="E68" i="18"/>
  <c r="D11" i="22"/>
  <c r="D15" i="22" s="1"/>
  <c r="E68" i="40"/>
  <c r="E69" i="40"/>
  <c r="D92" i="40"/>
  <c r="E70" i="40"/>
  <c r="F2" i="43" a="1"/>
  <c r="F2" i="43" s="1"/>
  <c r="I25" i="44"/>
  <c r="W33" i="40"/>
  <c r="W59" i="40"/>
  <c r="I37" i="17"/>
  <c r="D57" i="9"/>
  <c r="D56" i="9" s="1"/>
  <c r="D85" i="17"/>
  <c r="D88" i="17"/>
  <c r="D87" i="17"/>
  <c r="D84" i="17"/>
  <c r="D86" i="17"/>
  <c r="D58" i="19"/>
  <c r="D57" i="19" s="1"/>
  <c r="E68" i="21"/>
  <c r="E69" i="21"/>
  <c r="E70" i="21"/>
  <c r="D100" i="21"/>
  <c r="E67" i="17"/>
  <c r="E68" i="17"/>
  <c r="E69" i="17"/>
  <c r="E93" i="18" l="1"/>
  <c r="E94" i="18" s="1"/>
  <c r="E92" i="18" s="1"/>
  <c r="E97" i="18" s="1"/>
  <c r="D95" i="40"/>
  <c r="D93" i="40"/>
  <c r="D87" i="40"/>
  <c r="D88" i="40" s="1"/>
  <c r="D94" i="40"/>
  <c r="D96" i="40"/>
  <c r="D97" i="40"/>
  <c r="E77" i="40"/>
  <c r="E78" i="40"/>
  <c r="J25" i="44"/>
  <c r="F10" i="44"/>
  <c r="E93" i="17"/>
  <c r="E94" i="17" s="1"/>
  <c r="E92" i="17" s="1"/>
  <c r="E97" i="17" s="1"/>
  <c r="D95" i="21"/>
  <c r="D96" i="21" s="1"/>
  <c r="J37" i="17"/>
  <c r="D87" i="9"/>
  <c r="E68" i="9"/>
  <c r="E67" i="9"/>
  <c r="E69" i="9"/>
  <c r="D17" i="22"/>
  <c r="D16" i="22"/>
  <c r="D14" i="22"/>
  <c r="D18" i="22"/>
  <c r="D102" i="21"/>
  <c r="D105" i="21"/>
  <c r="D104" i="21"/>
  <c r="D101" i="21"/>
  <c r="D103" i="21"/>
  <c r="E77" i="21"/>
  <c r="E78" i="21"/>
  <c r="E68" i="19"/>
  <c r="D84" i="19"/>
  <c r="E70" i="19"/>
  <c r="E69" i="19"/>
  <c r="F6" i="44" l="1"/>
  <c r="E102" i="40"/>
  <c r="E103" i="40" s="1"/>
  <c r="F45" i="44"/>
  <c r="K25" i="44"/>
  <c r="E110" i="21"/>
  <c r="E111" i="21" s="1"/>
  <c r="E76" i="9"/>
  <c r="E77" i="9"/>
  <c r="D88" i="9"/>
  <c r="D89" i="9"/>
  <c r="D90" i="9"/>
  <c r="D92" i="9"/>
  <c r="D91" i="9"/>
  <c r="D83" i="9"/>
  <c r="D84" i="9" s="1"/>
  <c r="D87" i="19"/>
  <c r="D89" i="19"/>
  <c r="D85" i="19"/>
  <c r="D86" i="19"/>
  <c r="D88" i="19"/>
  <c r="E66" i="9" l="1"/>
  <c r="E57" i="9" s="1"/>
  <c r="E56" i="9" s="1"/>
  <c r="E71" i="21"/>
  <c r="E67" i="21" s="1"/>
  <c r="E58" i="21" s="1"/>
  <c r="E57" i="21" s="1"/>
  <c r="E71" i="19"/>
  <c r="E67" i="19" s="1"/>
  <c r="E58" i="19" s="1"/>
  <c r="E57" i="19" s="1"/>
  <c r="F69" i="19" s="1"/>
  <c r="E70" i="18"/>
  <c r="E66" i="18" s="1"/>
  <c r="E57" i="18" s="1"/>
  <c r="E56" i="18" s="1"/>
  <c r="E70" i="17"/>
  <c r="E66" i="17" s="1"/>
  <c r="E57" i="17" s="1"/>
  <c r="E56" i="17" s="1"/>
  <c r="E71" i="40"/>
  <c r="E67" i="40" s="1"/>
  <c r="E58" i="40" s="1"/>
  <c r="E57" i="40" s="1"/>
  <c r="F42" i="44"/>
  <c r="E94" i="19"/>
  <c r="E95" i="19" s="1"/>
  <c r="E93" i="19" s="1"/>
  <c r="E98" i="19" s="1"/>
  <c r="D94" i="9"/>
  <c r="E97" i="9"/>
  <c r="F41" i="44" l="1"/>
  <c r="E87" i="9"/>
  <c r="F30" i="44"/>
  <c r="F70" i="19"/>
  <c r="F68" i="19"/>
  <c r="E84" i="19"/>
  <c r="E80" i="19" s="1"/>
  <c r="F67" i="9"/>
  <c r="F76" i="9" s="1"/>
  <c r="F68" i="9"/>
  <c r="F69" i="9"/>
  <c r="F68" i="40"/>
  <c r="E11" i="22"/>
  <c r="F69" i="40"/>
  <c r="F70" i="40"/>
  <c r="E92" i="40"/>
  <c r="F67" i="17"/>
  <c r="F69" i="17"/>
  <c r="E83" i="17"/>
  <c r="F23" i="44"/>
  <c r="F68" i="17"/>
  <c r="F69" i="18"/>
  <c r="F67" i="18"/>
  <c r="F27" i="44"/>
  <c r="F68" i="18"/>
  <c r="E83" i="18"/>
  <c r="F5" i="44"/>
  <c r="F68" i="21"/>
  <c r="F69" i="21"/>
  <c r="F70" i="21"/>
  <c r="F90" i="21"/>
  <c r="E100" i="21"/>
  <c r="G45" i="44"/>
  <c r="D91" i="19"/>
  <c r="D99" i="40"/>
  <c r="D107" i="21"/>
  <c r="D90" i="17"/>
  <c r="D90" i="18"/>
  <c r="D93" i="9"/>
  <c r="D89" i="18" s="1"/>
  <c r="E83" i="9" l="1"/>
  <c r="E92" i="9" s="1"/>
  <c r="F70" i="17"/>
  <c r="F66" i="17" s="1"/>
  <c r="F57" i="17" s="1"/>
  <c r="F56" i="17" s="1"/>
  <c r="F77" i="9"/>
  <c r="E79" i="17"/>
  <c r="E87" i="17" s="1"/>
  <c r="E87" i="40"/>
  <c r="E97" i="40" s="1"/>
  <c r="E95" i="21"/>
  <c r="E104" i="21" s="1"/>
  <c r="E79" i="18"/>
  <c r="E88" i="18" s="1"/>
  <c r="G10" i="44"/>
  <c r="E15" i="22"/>
  <c r="E16" i="22"/>
  <c r="E14" i="22"/>
  <c r="E17" i="22"/>
  <c r="E18" i="22"/>
  <c r="F77" i="40"/>
  <c r="F78" i="40"/>
  <c r="G42" i="44"/>
  <c r="E91" i="9"/>
  <c r="D98" i="40"/>
  <c r="D89" i="17"/>
  <c r="D90" i="19"/>
  <c r="E81" i="19" s="1"/>
  <c r="E87" i="19" s="1"/>
  <c r="D106" i="21"/>
  <c r="E89" i="19"/>
  <c r="E88" i="19"/>
  <c r="E84" i="9" l="1"/>
  <c r="E89" i="9" s="1"/>
  <c r="F71" i="40"/>
  <c r="F67" i="40" s="1"/>
  <c r="F58" i="40" s="1"/>
  <c r="F57" i="40" s="1"/>
  <c r="G70" i="40" s="1"/>
  <c r="F71" i="21"/>
  <c r="F67" i="21" s="1"/>
  <c r="F71" i="19"/>
  <c r="F67" i="19" s="1"/>
  <c r="F58" i="19" s="1"/>
  <c r="F57" i="19" s="1"/>
  <c r="G30" i="44" s="1"/>
  <c r="F70" i="18"/>
  <c r="F66" i="18" s="1"/>
  <c r="F57" i="18" s="1"/>
  <c r="F56" i="18" s="1"/>
  <c r="G69" i="18" s="1"/>
  <c r="F66" i="9"/>
  <c r="F57" i="9" s="1"/>
  <c r="F56" i="9" s="1"/>
  <c r="E80" i="17"/>
  <c r="E85" i="17" s="1"/>
  <c r="E88" i="40"/>
  <c r="E94" i="40" s="1"/>
  <c r="G70" i="19"/>
  <c r="E80" i="18"/>
  <c r="E85" i="18" s="1"/>
  <c r="E88" i="17"/>
  <c r="E87" i="18"/>
  <c r="E96" i="40"/>
  <c r="E105" i="21"/>
  <c r="G69" i="40"/>
  <c r="F11" i="22"/>
  <c r="G23" i="44"/>
  <c r="G69" i="17"/>
  <c r="F83" i="17"/>
  <c r="E96" i="21"/>
  <c r="E103" i="21" s="1"/>
  <c r="E90" i="9"/>
  <c r="E88" i="9" s="1"/>
  <c r="E93" i="9" s="1"/>
  <c r="G41" i="44"/>
  <c r="E86" i="19"/>
  <c r="E85" i="19" s="1"/>
  <c r="E91" i="19" s="1"/>
  <c r="F109" i="21"/>
  <c r="G68" i="40" l="1"/>
  <c r="G77" i="40" s="1"/>
  <c r="E95" i="40"/>
  <c r="E93" i="40" s="1"/>
  <c r="E99" i="40" s="1"/>
  <c r="F92" i="40"/>
  <c r="F87" i="40" s="1"/>
  <c r="F96" i="40" s="1"/>
  <c r="E86" i="18"/>
  <c r="G27" i="44"/>
  <c r="F83" i="18"/>
  <c r="F79" i="18" s="1"/>
  <c r="F88" i="18" s="1"/>
  <c r="G67" i="9"/>
  <c r="G71" i="40" s="1"/>
  <c r="G67" i="40" s="1"/>
  <c r="G58" i="40" s="1"/>
  <c r="G57" i="40" s="1"/>
  <c r="G69" i="9"/>
  <c r="G68" i="9"/>
  <c r="F87" i="9"/>
  <c r="F84" i="19"/>
  <c r="F80" i="19" s="1"/>
  <c r="F89" i="19" s="1"/>
  <c r="E86" i="17"/>
  <c r="E84" i="17" s="1"/>
  <c r="F93" i="17" s="1"/>
  <c r="F94" i="17" s="1"/>
  <c r="F92" i="17" s="1"/>
  <c r="F97" i="17" s="1"/>
  <c r="E102" i="21"/>
  <c r="E101" i="21" s="1"/>
  <c r="F61" i="44"/>
  <c r="F113" i="21"/>
  <c r="G78" i="40"/>
  <c r="F79" i="17"/>
  <c r="F87" i="17" s="1"/>
  <c r="F94" i="19"/>
  <c r="F95" i="19" s="1"/>
  <c r="F93" i="19" s="1"/>
  <c r="F98" i="19" s="1"/>
  <c r="F97" i="9"/>
  <c r="E94" i="9"/>
  <c r="E84" i="18"/>
  <c r="E90" i="18" s="1"/>
  <c r="E90" i="19"/>
  <c r="G77" i="9" l="1"/>
  <c r="H45" i="44"/>
  <c r="F81" i="19"/>
  <c r="F87" i="19" s="1"/>
  <c r="G76" i="9"/>
  <c r="H42" i="44" s="1"/>
  <c r="G70" i="17"/>
  <c r="G71" i="21"/>
  <c r="G70" i="18"/>
  <c r="G71" i="19"/>
  <c r="G66" i="9"/>
  <c r="G57" i="9" s="1"/>
  <c r="G56" i="9" s="1"/>
  <c r="F88" i="19"/>
  <c r="F110" i="21"/>
  <c r="F111" i="21" s="1"/>
  <c r="F58" i="44"/>
  <c r="F60" i="44"/>
  <c r="F59" i="44"/>
  <c r="F87" i="18"/>
  <c r="F88" i="17"/>
  <c r="E89" i="17"/>
  <c r="H70" i="40"/>
  <c r="H69" i="40"/>
  <c r="G92" i="40"/>
  <c r="G11" i="22"/>
  <c r="F97" i="40"/>
  <c r="E90" i="17"/>
  <c r="E98" i="40"/>
  <c r="F88" i="40" s="1"/>
  <c r="F95" i="40" s="1"/>
  <c r="F102" i="40"/>
  <c r="F103" i="40" s="1"/>
  <c r="F93" i="18"/>
  <c r="F94" i="18" s="1"/>
  <c r="F92" i="18" s="1"/>
  <c r="F97" i="18" s="1"/>
  <c r="E89" i="18"/>
  <c r="F80" i="18" s="1"/>
  <c r="F86" i="18" s="1"/>
  <c r="E106" i="21"/>
  <c r="F62" i="44" s="1"/>
  <c r="E107" i="21"/>
  <c r="F86" i="19"/>
  <c r="F85" i="19" s="1"/>
  <c r="F83" i="9"/>
  <c r="F91" i="19" l="1"/>
  <c r="F80" i="17"/>
  <c r="F85" i="17" s="1"/>
  <c r="F94" i="40"/>
  <c r="F93" i="40" s="1"/>
  <c r="G87" i="40"/>
  <c r="G97" i="40" s="1"/>
  <c r="G87" i="9"/>
  <c r="H41" i="44"/>
  <c r="G94" i="19"/>
  <c r="G95" i="19" s="1"/>
  <c r="G93" i="19" s="1"/>
  <c r="H69" i="9"/>
  <c r="F85" i="18"/>
  <c r="F84" i="18" s="1"/>
  <c r="F90" i="18" s="1"/>
  <c r="H68" i="9"/>
  <c r="F86" i="17"/>
  <c r="F91" i="9"/>
  <c r="F90" i="19"/>
  <c r="F84" i="9"/>
  <c r="F89" i="9" s="1"/>
  <c r="F92" i="9"/>
  <c r="F99" i="40" l="1"/>
  <c r="F98" i="40"/>
  <c r="G102" i="40"/>
  <c r="G103" i="40" s="1"/>
  <c r="G96" i="40"/>
  <c r="F84" i="17"/>
  <c r="G93" i="17" s="1"/>
  <c r="G94" i="17" s="1"/>
  <c r="G92" i="17" s="1"/>
  <c r="G93" i="18"/>
  <c r="G94" i="18" s="1"/>
  <c r="G92" i="18" s="1"/>
  <c r="F89" i="18"/>
  <c r="F90" i="9"/>
  <c r="F88" i="9" s="1"/>
  <c r="G88" i="40" l="1"/>
  <c r="F90" i="17"/>
  <c r="F89" i="17"/>
  <c r="F94" i="9"/>
  <c r="G109" i="21"/>
  <c r="G94" i="40" l="1"/>
  <c r="G95" i="40"/>
  <c r="F93" i="9"/>
  <c r="G97" i="9"/>
  <c r="G83" i="9"/>
  <c r="G91" i="9" s="1"/>
  <c r="G93" i="40" l="1"/>
  <c r="G92" i="9"/>
  <c r="G84" i="9"/>
  <c r="G90" i="9" s="1"/>
  <c r="E109" i="21"/>
  <c r="E113" i="21" s="1"/>
  <c r="H102" i="40" l="1"/>
  <c r="H103" i="40" s="1"/>
  <c r="H101" i="40" s="1"/>
  <c r="G98" i="40"/>
  <c r="G99" i="40"/>
  <c r="G89" i="9"/>
  <c r="H36" i="40" l="1"/>
  <c r="H68" i="40" s="1"/>
  <c r="H67" i="40" s="1"/>
  <c r="H58" i="40" s="1"/>
  <c r="H57" i="40" s="1"/>
  <c r="H11" i="22" s="1"/>
  <c r="H106" i="40"/>
  <c r="H92" i="40" s="1"/>
  <c r="G88" i="9"/>
  <c r="F78" i="21"/>
  <c r="F59" i="21"/>
  <c r="F77" i="21" s="1"/>
  <c r="G12" i="21" l="1"/>
  <c r="G79" i="21" s="1"/>
  <c r="G87" i="21"/>
  <c r="H77" i="40"/>
  <c r="H78" i="40"/>
  <c r="I70" i="40"/>
  <c r="I69" i="40"/>
  <c r="H87" i="40"/>
  <c r="H88" i="40" s="1"/>
  <c r="H94" i="40" s="1"/>
  <c r="F88" i="21"/>
  <c r="G6" i="44"/>
  <c r="G93" i="9"/>
  <c r="G94" i="9"/>
  <c r="H97" i="9"/>
  <c r="H98" i="9" s="1"/>
  <c r="F58" i="21"/>
  <c r="F57" i="21" s="1"/>
  <c r="H96" i="40" l="1"/>
  <c r="H95" i="40"/>
  <c r="H93" i="40" s="1"/>
  <c r="H97" i="40"/>
  <c r="G5" i="44"/>
  <c r="H7" i="44"/>
  <c r="G50" i="21"/>
  <c r="G13" i="21"/>
  <c r="G90" i="21"/>
  <c r="G91" i="21" s="1"/>
  <c r="G19" i="20"/>
  <c r="F15" i="22"/>
  <c r="F86" i="21"/>
  <c r="F100" i="21"/>
  <c r="F85" i="21"/>
  <c r="G70" i="21"/>
  <c r="F84" i="21"/>
  <c r="H98" i="40" l="1"/>
  <c r="H99" i="40"/>
  <c r="I102" i="40"/>
  <c r="I103" i="40" s="1"/>
  <c r="I101" i="40" s="1"/>
  <c r="F14" i="22"/>
  <c r="F17" i="22"/>
  <c r="F18" i="22"/>
  <c r="F16" i="22"/>
  <c r="F95" i="21"/>
  <c r="F96" i="21" s="1"/>
  <c r="G60" i="21"/>
  <c r="G52" i="21"/>
  <c r="G20" i="20"/>
  <c r="I106" i="40" l="1"/>
  <c r="I92" i="40" s="1"/>
  <c r="I36" i="40"/>
  <c r="I68" i="40" s="1"/>
  <c r="G59" i="18"/>
  <c r="F102" i="21"/>
  <c r="F103" i="21"/>
  <c r="F105" i="21"/>
  <c r="F104" i="21"/>
  <c r="G52" i="19"/>
  <c r="G22" i="19" s="1"/>
  <c r="G60" i="19"/>
  <c r="G51" i="18"/>
  <c r="G59" i="17"/>
  <c r="G51" i="17"/>
  <c r="G22" i="17" s="1"/>
  <c r="G23" i="21"/>
  <c r="G24" i="21" s="1"/>
  <c r="I67" i="40" l="1"/>
  <c r="I58" i="40" s="1"/>
  <c r="I57" i="40" s="1"/>
  <c r="I78" i="40"/>
  <c r="I77" i="40"/>
  <c r="I87" i="40"/>
  <c r="I88" i="40" s="1"/>
  <c r="I94" i="40" s="1"/>
  <c r="G61" i="44"/>
  <c r="H16" i="44"/>
  <c r="G113" i="21"/>
  <c r="G22" i="18"/>
  <c r="G29" i="18" s="1"/>
  <c r="F101" i="21"/>
  <c r="G30" i="21"/>
  <c r="G62" i="21" s="1"/>
  <c r="G23" i="19"/>
  <c r="G30" i="19"/>
  <c r="G33" i="21"/>
  <c r="G23" i="17"/>
  <c r="G97" i="17" s="1"/>
  <c r="G29" i="17"/>
  <c r="G59" i="44" l="1"/>
  <c r="G58" i="44"/>
  <c r="I97" i="40"/>
  <c r="I95" i="40"/>
  <c r="I96" i="40"/>
  <c r="I11" i="22"/>
  <c r="J70" i="40"/>
  <c r="J69" i="40"/>
  <c r="G60" i="44"/>
  <c r="G98" i="19"/>
  <c r="H33" i="44"/>
  <c r="G68" i="21"/>
  <c r="H10" i="44" s="1"/>
  <c r="H18" i="44"/>
  <c r="G59" i="21"/>
  <c r="H8" i="44"/>
  <c r="G110" i="21"/>
  <c r="G111" i="21" s="1"/>
  <c r="G23" i="18"/>
  <c r="G97" i="18" s="1"/>
  <c r="F107" i="21"/>
  <c r="F106" i="21"/>
  <c r="G62" i="44" s="1"/>
  <c r="H51" i="21"/>
  <c r="G69" i="21"/>
  <c r="G61" i="18"/>
  <c r="G58" i="18" s="1"/>
  <c r="H50" i="18"/>
  <c r="G32" i="17"/>
  <c r="G67" i="17" s="1"/>
  <c r="G61" i="17"/>
  <c r="G58" i="17" s="1"/>
  <c r="H50" i="17"/>
  <c r="G62" i="19"/>
  <c r="G59" i="19" s="1"/>
  <c r="H51" i="19"/>
  <c r="G33" i="19"/>
  <c r="G68" i="19" s="1"/>
  <c r="I93" i="40" l="1"/>
  <c r="I98" i="40" s="1"/>
  <c r="G77" i="21"/>
  <c r="G78" i="21"/>
  <c r="G88" i="21" s="1"/>
  <c r="G67" i="21"/>
  <c r="G58" i="21" s="1"/>
  <c r="G57" i="21" s="1"/>
  <c r="G32" i="18"/>
  <c r="G67" i="18" s="1"/>
  <c r="G68" i="17"/>
  <c r="G66" i="17" s="1"/>
  <c r="G57" i="17" s="1"/>
  <c r="G56" i="17" s="1"/>
  <c r="H23" i="44" s="1"/>
  <c r="G69" i="19"/>
  <c r="G67" i="19" s="1"/>
  <c r="G58" i="19" s="1"/>
  <c r="G57" i="19" s="1"/>
  <c r="H30" i="44" s="1"/>
  <c r="H12" i="21" l="1"/>
  <c r="H79" i="21" s="1"/>
  <c r="H87" i="21"/>
  <c r="H6" i="44"/>
  <c r="J102" i="40"/>
  <c r="J103" i="40" s="1"/>
  <c r="J101" i="40" s="1"/>
  <c r="I99" i="40"/>
  <c r="G21" i="20"/>
  <c r="G22" i="20"/>
  <c r="H5" i="44"/>
  <c r="H70" i="21"/>
  <c r="G23" i="20"/>
  <c r="G100" i="21"/>
  <c r="G85" i="21"/>
  <c r="G84" i="21"/>
  <c r="G86" i="21"/>
  <c r="G68" i="18"/>
  <c r="G66" i="18" s="1"/>
  <c r="G57" i="18" s="1"/>
  <c r="G56" i="18" s="1"/>
  <c r="G83" i="17"/>
  <c r="H69" i="17"/>
  <c r="G84" i="19"/>
  <c r="H70" i="19"/>
  <c r="G16" i="22"/>
  <c r="G17" i="22"/>
  <c r="G14" i="22"/>
  <c r="G15" i="22"/>
  <c r="G18" i="22"/>
  <c r="H13" i="21" l="1"/>
  <c r="J36" i="40"/>
  <c r="J68" i="40" s="1"/>
  <c r="J106" i="40"/>
  <c r="J92" i="40" s="1"/>
  <c r="I7" i="44"/>
  <c r="H50" i="21"/>
  <c r="G95" i="21"/>
  <c r="G96" i="21" s="1"/>
  <c r="H60" i="21"/>
  <c r="H52" i="21"/>
  <c r="H19" i="20"/>
  <c r="G83" i="18"/>
  <c r="G79" i="18" s="1"/>
  <c r="G80" i="18" s="1"/>
  <c r="H27" i="44"/>
  <c r="H69" i="18"/>
  <c r="H59" i="18"/>
  <c r="H51" i="18"/>
  <c r="G80" i="19"/>
  <c r="G81" i="19" s="1"/>
  <c r="H51" i="17"/>
  <c r="H59" i="17"/>
  <c r="G79" i="17"/>
  <c r="G80" i="17" s="1"/>
  <c r="H52" i="19"/>
  <c r="H60" i="19"/>
  <c r="J87" i="40" l="1"/>
  <c r="J88" i="40" s="1"/>
  <c r="J95" i="40" s="1"/>
  <c r="J78" i="40"/>
  <c r="J67" i="40"/>
  <c r="J58" i="40" s="1"/>
  <c r="J57" i="40" s="1"/>
  <c r="J77" i="40"/>
  <c r="H23" i="21"/>
  <c r="H24" i="21" s="1"/>
  <c r="H20" i="20"/>
  <c r="G104" i="21"/>
  <c r="G102" i="21"/>
  <c r="G105" i="21"/>
  <c r="G103" i="21"/>
  <c r="G88" i="18"/>
  <c r="G86" i="18"/>
  <c r="G87" i="19"/>
  <c r="G87" i="18"/>
  <c r="G86" i="19"/>
  <c r="G85" i="18"/>
  <c r="G89" i="19"/>
  <c r="G88" i="19"/>
  <c r="G86" i="17"/>
  <c r="G85" i="17"/>
  <c r="G88" i="17"/>
  <c r="G87" i="17"/>
  <c r="H22" i="17"/>
  <c r="H22" i="18"/>
  <c r="H22" i="19"/>
  <c r="J94" i="40" l="1"/>
  <c r="J93" i="40" s="1"/>
  <c r="J97" i="40"/>
  <c r="J96" i="40"/>
  <c r="J11" i="22"/>
  <c r="K70" i="40"/>
  <c r="K69" i="40"/>
  <c r="H30" i="21"/>
  <c r="H62" i="21" s="1"/>
  <c r="H61" i="44"/>
  <c r="G101" i="21"/>
  <c r="G84" i="18"/>
  <c r="G90" i="18" s="1"/>
  <c r="I16" i="44"/>
  <c r="G85" i="19"/>
  <c r="G90" i="19" s="1"/>
  <c r="G84" i="17"/>
  <c r="G90" i="17" s="1"/>
  <c r="H29" i="17"/>
  <c r="H23" i="17"/>
  <c r="H33" i="21"/>
  <c r="I18" i="44" s="1"/>
  <c r="H23" i="19"/>
  <c r="H30" i="19"/>
  <c r="H23" i="18"/>
  <c r="H29" i="18"/>
  <c r="H59" i="44" l="1"/>
  <c r="H58" i="44"/>
  <c r="K102" i="40"/>
  <c r="K103" i="40" s="1"/>
  <c r="K101" i="40" s="1"/>
  <c r="K106" i="40" s="1"/>
  <c r="K92" i="40" s="1"/>
  <c r="I51" i="21"/>
  <c r="J98" i="40"/>
  <c r="J99" i="40"/>
  <c r="H110" i="21"/>
  <c r="H111" i="21" s="1"/>
  <c r="H109" i="21" s="1"/>
  <c r="G107" i="21"/>
  <c r="G106" i="21"/>
  <c r="H62" i="44" s="1"/>
  <c r="H60" i="44"/>
  <c r="I33" i="44"/>
  <c r="H59" i="21"/>
  <c r="I8" i="44"/>
  <c r="G89" i="18"/>
  <c r="H93" i="18"/>
  <c r="H94" i="18" s="1"/>
  <c r="H92" i="18" s="1"/>
  <c r="G89" i="17"/>
  <c r="G91" i="19"/>
  <c r="H69" i="21"/>
  <c r="H32" i="18"/>
  <c r="H32" i="17"/>
  <c r="H61" i="18"/>
  <c r="H58" i="18" s="1"/>
  <c r="I50" i="18"/>
  <c r="H62" i="19"/>
  <c r="H59" i="19" s="1"/>
  <c r="I51" i="19"/>
  <c r="H33" i="19"/>
  <c r="H61" i="17"/>
  <c r="H58" i="17" s="1"/>
  <c r="I50" i="17"/>
  <c r="K36" i="40" l="1"/>
  <c r="K68" i="40" s="1"/>
  <c r="K77" i="40" s="1"/>
  <c r="H36" i="21"/>
  <c r="K87" i="40"/>
  <c r="K88" i="40" s="1"/>
  <c r="K94" i="40" s="1"/>
  <c r="H113" i="21"/>
  <c r="H100" i="21" s="1"/>
  <c r="H35" i="18"/>
  <c r="H67" i="18" s="1"/>
  <c r="H97" i="18"/>
  <c r="H83" i="18" s="1"/>
  <c r="H68" i="18"/>
  <c r="H69" i="19"/>
  <c r="H68" i="17"/>
  <c r="K78" i="40" l="1"/>
  <c r="K67" i="40"/>
  <c r="K58" i="40" s="1"/>
  <c r="K57" i="40" s="1"/>
  <c r="K11" i="22" s="1"/>
  <c r="H68" i="21"/>
  <c r="H77" i="21" s="1"/>
  <c r="I87" i="21" s="1"/>
  <c r="H90" i="21"/>
  <c r="H91" i="21" s="1"/>
  <c r="I13" i="44"/>
  <c r="K95" i="40"/>
  <c r="K93" i="40" s="1"/>
  <c r="K96" i="40"/>
  <c r="K97" i="40"/>
  <c r="H95" i="21"/>
  <c r="H96" i="21" s="1"/>
  <c r="H103" i="21" s="1"/>
  <c r="H66" i="18"/>
  <c r="H57" i="18" s="1"/>
  <c r="H56" i="18" s="1"/>
  <c r="H15" i="22"/>
  <c r="H79" i="18"/>
  <c r="H80" i="18" s="1"/>
  <c r="H67" i="21" l="1"/>
  <c r="H58" i="21" s="1"/>
  <c r="H57" i="21" s="1"/>
  <c r="H78" i="21"/>
  <c r="H88" i="21" s="1"/>
  <c r="I10" i="44"/>
  <c r="L69" i="40"/>
  <c r="K83" i="40"/>
  <c r="L70" i="40"/>
  <c r="H105" i="21"/>
  <c r="H104" i="21"/>
  <c r="I61" i="44" s="1"/>
  <c r="H102" i="21"/>
  <c r="H101" i="21" s="1"/>
  <c r="K98" i="40"/>
  <c r="L102" i="40"/>
  <c r="L103" i="40" s="1"/>
  <c r="L101" i="40" s="1"/>
  <c r="K99" i="40"/>
  <c r="H21" i="20"/>
  <c r="I69" i="18"/>
  <c r="I27" i="44"/>
  <c r="I6" i="44"/>
  <c r="H18" i="22"/>
  <c r="H17" i="22"/>
  <c r="H14" i="22"/>
  <c r="H16" i="22"/>
  <c r="I60" i="19"/>
  <c r="H85" i="18"/>
  <c r="H87" i="18"/>
  <c r="H88" i="18"/>
  <c r="H86" i="18"/>
  <c r="I5" i="44" l="1"/>
  <c r="H85" i="21"/>
  <c r="I70" i="21"/>
  <c r="H84" i="21"/>
  <c r="H22" i="20"/>
  <c r="H86" i="21"/>
  <c r="I12" i="21"/>
  <c r="I79" i="21" s="1"/>
  <c r="H23" i="20"/>
  <c r="H107" i="21"/>
  <c r="I58" i="44"/>
  <c r="L106" i="40"/>
  <c r="L92" i="40" s="1"/>
  <c r="L87" i="40" s="1"/>
  <c r="L88" i="40" s="1"/>
  <c r="L94" i="40" s="1"/>
  <c r="L36" i="40"/>
  <c r="L68" i="40" s="1"/>
  <c r="I60" i="44"/>
  <c r="I59" i="44"/>
  <c r="J7" i="44"/>
  <c r="I51" i="18"/>
  <c r="I59" i="18"/>
  <c r="I52" i="19"/>
  <c r="I51" i="17"/>
  <c r="I22" i="17" s="1"/>
  <c r="I59" i="17"/>
  <c r="I110" i="21"/>
  <c r="I111" i="21" s="1"/>
  <c r="I109" i="21" s="1"/>
  <c r="H106" i="21"/>
  <c r="I62" i="44" s="1"/>
  <c r="H84" i="18"/>
  <c r="I93" i="18" s="1"/>
  <c r="I94" i="18" s="1"/>
  <c r="I92" i="18" s="1"/>
  <c r="I19" i="20" l="1"/>
  <c r="I60" i="21"/>
  <c r="I13" i="21"/>
  <c r="I50" i="21"/>
  <c r="I52" i="21"/>
  <c r="L96" i="40"/>
  <c r="L97" i="40"/>
  <c r="L77" i="40"/>
  <c r="L78" i="40"/>
  <c r="L67" i="40"/>
  <c r="L58" i="40" s="1"/>
  <c r="L57" i="40" s="1"/>
  <c r="I20" i="20"/>
  <c r="I22" i="18"/>
  <c r="I23" i="18" s="1"/>
  <c r="I97" i="18" s="1"/>
  <c r="L95" i="40"/>
  <c r="L93" i="40" s="1"/>
  <c r="I36" i="21"/>
  <c r="I22" i="19"/>
  <c r="I23" i="19" s="1"/>
  <c r="H89" i="18"/>
  <c r="H90" i="18"/>
  <c r="I23" i="17"/>
  <c r="I29" i="17"/>
  <c r="I35" i="18"/>
  <c r="I23" i="21" l="1"/>
  <c r="I30" i="21" s="1"/>
  <c r="J51" i="21" s="1"/>
  <c r="J13" i="44"/>
  <c r="L83" i="40"/>
  <c r="M69" i="40"/>
  <c r="M70" i="40"/>
  <c r="L11" i="22"/>
  <c r="I29" i="18"/>
  <c r="J50" i="18" s="1"/>
  <c r="J33" i="44"/>
  <c r="I90" i="21"/>
  <c r="I91" i="21" s="1"/>
  <c r="M102" i="40"/>
  <c r="M103" i="40" s="1"/>
  <c r="M101" i="40" s="1"/>
  <c r="L99" i="40"/>
  <c r="L98" i="40"/>
  <c r="I30" i="19"/>
  <c r="I62" i="19" s="1"/>
  <c r="I59" i="19" s="1"/>
  <c r="I32" i="18"/>
  <c r="I68" i="18" s="1"/>
  <c r="I61" i="17"/>
  <c r="I58" i="17" s="1"/>
  <c r="J50" i="17"/>
  <c r="I32" i="17"/>
  <c r="I33" i="19"/>
  <c r="I24" i="21" l="1"/>
  <c r="I62" i="21"/>
  <c r="J8" i="44" s="1"/>
  <c r="I61" i="18"/>
  <c r="I58" i="18" s="1"/>
  <c r="M106" i="40"/>
  <c r="M92" i="40" s="1"/>
  <c r="M36" i="40"/>
  <c r="J51" i="19"/>
  <c r="I67" i="18"/>
  <c r="I66" i="18" s="1"/>
  <c r="I33" i="21" l="1"/>
  <c r="I113" i="21"/>
  <c r="I100" i="21" s="1"/>
  <c r="J16" i="44"/>
  <c r="I59" i="21"/>
  <c r="I57" i="18"/>
  <c r="I56" i="18" s="1"/>
  <c r="J27" i="44" s="1"/>
  <c r="I69" i="21"/>
  <c r="I83" i="18"/>
  <c r="I79" i="18" s="1"/>
  <c r="I80" i="18" s="1"/>
  <c r="M68" i="40"/>
  <c r="M78" i="40" s="1"/>
  <c r="M87" i="40"/>
  <c r="M88" i="40" s="1"/>
  <c r="I16" i="22"/>
  <c r="I68" i="21" l="1"/>
  <c r="I67" i="21" s="1"/>
  <c r="I58" i="21" s="1"/>
  <c r="I57" i="21" s="1"/>
  <c r="J18" i="44"/>
  <c r="I95" i="21"/>
  <c r="I96" i="21" s="1"/>
  <c r="I102" i="21" s="1"/>
  <c r="J69" i="18"/>
  <c r="I88" i="18"/>
  <c r="I87" i="18"/>
  <c r="I85" i="18"/>
  <c r="I86" i="18"/>
  <c r="M67" i="40"/>
  <c r="M58" i="40" s="1"/>
  <c r="M57" i="40" s="1"/>
  <c r="N70" i="40" s="1"/>
  <c r="M77" i="40"/>
  <c r="M95" i="40"/>
  <c r="M94" i="40"/>
  <c r="M97" i="40"/>
  <c r="M96" i="40"/>
  <c r="I14" i="22"/>
  <c r="I17" i="22"/>
  <c r="I18" i="22"/>
  <c r="I15" i="22"/>
  <c r="I105" i="21" l="1"/>
  <c r="I86" i="21"/>
  <c r="J5" i="44"/>
  <c r="I23" i="20"/>
  <c r="I84" i="21"/>
  <c r="I104" i="21"/>
  <c r="J61" i="44" s="1"/>
  <c r="I78" i="21"/>
  <c r="J10" i="44"/>
  <c r="I85" i="21"/>
  <c r="J70" i="21"/>
  <c r="I103" i="21"/>
  <c r="I101" i="21" s="1"/>
  <c r="I77" i="21"/>
  <c r="J87" i="21" s="1"/>
  <c r="J58" i="44"/>
  <c r="I84" i="18"/>
  <c r="I90" i="18" s="1"/>
  <c r="J59" i="44"/>
  <c r="N69" i="40"/>
  <c r="M83" i="40"/>
  <c r="M11" i="22"/>
  <c r="H36" i="44" s="1"/>
  <c r="M93" i="40"/>
  <c r="M99" i="40" s="1"/>
  <c r="J60" i="44" l="1"/>
  <c r="I107" i="21"/>
  <c r="J110" i="21"/>
  <c r="J111" i="21" s="1"/>
  <c r="J109" i="21" s="1"/>
  <c r="J36" i="21" s="1"/>
  <c r="J6" i="44"/>
  <c r="I21" i="20"/>
  <c r="I22" i="20"/>
  <c r="I88" i="21"/>
  <c r="I106" i="21"/>
  <c r="J62" i="44" s="1"/>
  <c r="I89" i="18"/>
  <c r="J93" i="18"/>
  <c r="J94" i="18" s="1"/>
  <c r="J92" i="18" s="1"/>
  <c r="J35" i="18" s="1"/>
  <c r="K13" i="44"/>
  <c r="N102" i="40"/>
  <c r="N103" i="40" s="1"/>
  <c r="N101" i="40" s="1"/>
  <c r="N106" i="40" s="1"/>
  <c r="N92" i="40" s="1"/>
  <c r="M98" i="40"/>
  <c r="J52" i="19"/>
  <c r="J51" i="17"/>
  <c r="J90" i="21" l="1"/>
  <c r="J91" i="21" s="1"/>
  <c r="J12" i="21" s="1"/>
  <c r="N36" i="40"/>
  <c r="N87" i="40"/>
  <c r="J59" i="18"/>
  <c r="J51" i="18"/>
  <c r="J60" i="19"/>
  <c r="J22" i="19"/>
  <c r="J30" i="19" s="1"/>
  <c r="J62" i="19" s="1"/>
  <c r="J59" i="17"/>
  <c r="J22" i="17"/>
  <c r="J29" i="17" s="1"/>
  <c r="K50" i="17" s="1"/>
  <c r="J19" i="20" l="1"/>
  <c r="K7" i="44"/>
  <c r="J13" i="21"/>
  <c r="J60" i="21"/>
  <c r="J52" i="21"/>
  <c r="J50" i="21"/>
  <c r="J79" i="21"/>
  <c r="G24" i="20"/>
  <c r="N68" i="40"/>
  <c r="N77" i="40" s="1"/>
  <c r="N97" i="40"/>
  <c r="N96" i="40"/>
  <c r="N88" i="40"/>
  <c r="N94" i="40" s="1"/>
  <c r="J22" i="18"/>
  <c r="J23" i="18" s="1"/>
  <c r="J97" i="18" s="1"/>
  <c r="J59" i="19"/>
  <c r="K51" i="19"/>
  <c r="J23" i="19"/>
  <c r="J61" i="17"/>
  <c r="J58" i="17" s="1"/>
  <c r="J23" i="17"/>
  <c r="J32" i="17" s="1"/>
  <c r="J23" i="21" l="1"/>
  <c r="J24" i="21" s="1"/>
  <c r="J20" i="20"/>
  <c r="G26" i="20" s="1"/>
  <c r="K16" i="44"/>
  <c r="K33" i="44"/>
  <c r="N67" i="40"/>
  <c r="N58" i="40" s="1"/>
  <c r="N57" i="40" s="1"/>
  <c r="N83" i="40" s="1"/>
  <c r="N78" i="40"/>
  <c r="N95" i="40"/>
  <c r="J29" i="18"/>
  <c r="K50" i="18" s="1"/>
  <c r="J33" i="19"/>
  <c r="J32" i="18"/>
  <c r="J30" i="21" l="1"/>
  <c r="K51" i="21" s="1"/>
  <c r="J113" i="21"/>
  <c r="J33" i="21"/>
  <c r="K18" i="44" s="1"/>
  <c r="N11" i="22"/>
  <c r="O70" i="40"/>
  <c r="O69" i="40"/>
  <c r="N93" i="40"/>
  <c r="O102" i="40" s="1"/>
  <c r="O103" i="40" s="1"/>
  <c r="O101" i="40" s="1"/>
  <c r="O106" i="40" s="1"/>
  <c r="O92" i="40" s="1"/>
  <c r="J61" i="18"/>
  <c r="J67" i="18"/>
  <c r="J68" i="18"/>
  <c r="J62" i="21" l="1"/>
  <c r="J100" i="21" s="1"/>
  <c r="J95" i="21" s="1"/>
  <c r="J96" i="21" s="1"/>
  <c r="J69" i="21"/>
  <c r="J68" i="21"/>
  <c r="K10" i="44" s="1"/>
  <c r="K8" i="44"/>
  <c r="N98" i="40"/>
  <c r="N99" i="40"/>
  <c r="O36" i="40"/>
  <c r="O68" i="40" s="1"/>
  <c r="O78" i="40" s="1"/>
  <c r="J58" i="18"/>
  <c r="J83" i="18"/>
  <c r="J79" i="18" s="1"/>
  <c r="J87" i="18" s="1"/>
  <c r="O87" i="40"/>
  <c r="J66" i="18"/>
  <c r="J59" i="21" l="1"/>
  <c r="J77" i="21" s="1"/>
  <c r="J78" i="21"/>
  <c r="J22" i="20" s="1"/>
  <c r="J67" i="21"/>
  <c r="J102" i="21"/>
  <c r="J103" i="21"/>
  <c r="J105" i="21"/>
  <c r="J104" i="21"/>
  <c r="K61" i="44" s="1"/>
  <c r="O77" i="40"/>
  <c r="O67" i="40"/>
  <c r="O58" i="40" s="1"/>
  <c r="O57" i="40" s="1"/>
  <c r="O83" i="40" s="1"/>
  <c r="O88" i="40"/>
  <c r="O95" i="40" s="1"/>
  <c r="J57" i="18"/>
  <c r="J56" i="18" s="1"/>
  <c r="O97" i="40"/>
  <c r="O96" i="40"/>
  <c r="J15" i="22"/>
  <c r="J14" i="22"/>
  <c r="J17" i="22"/>
  <c r="J18" i="22"/>
  <c r="J16" i="22"/>
  <c r="J88" i="18"/>
  <c r="J80" i="18"/>
  <c r="J85" i="18" s="1"/>
  <c r="K6" i="44" l="1"/>
  <c r="K87" i="21"/>
  <c r="J58" i="21"/>
  <c r="J57" i="21" s="1"/>
  <c r="J84" i="21" s="1"/>
  <c r="J21" i="20"/>
  <c r="J88" i="21"/>
  <c r="J23" i="20"/>
  <c r="K70" i="21"/>
  <c r="J101" i="21"/>
  <c r="J106" i="21" s="1"/>
  <c r="K62" i="44" s="1"/>
  <c r="O11" i="22"/>
  <c r="P69" i="40"/>
  <c r="P70" i="40"/>
  <c r="K60" i="44"/>
  <c r="K59" i="44"/>
  <c r="K69" i="18"/>
  <c r="K27" i="44"/>
  <c r="O94" i="40"/>
  <c r="O93" i="40" s="1"/>
  <c r="O99" i="40" s="1"/>
  <c r="J86" i="18"/>
  <c r="J84" i="18" s="1"/>
  <c r="J90" i="18" s="1"/>
  <c r="K5" i="44" l="1"/>
  <c r="J85" i="21"/>
  <c r="J86" i="21"/>
  <c r="J107" i="21"/>
  <c r="K110" i="21"/>
  <c r="K111" i="21" s="1"/>
  <c r="K109" i="21" s="1"/>
  <c r="K58" i="44"/>
  <c r="P102" i="40"/>
  <c r="P103" i="40" s="1"/>
  <c r="P101" i="40" s="1"/>
  <c r="P106" i="40" s="1"/>
  <c r="P92" i="40" s="1"/>
  <c r="P87" i="40" s="1"/>
  <c r="O98" i="40"/>
  <c r="K93" i="18"/>
  <c r="K94" i="18" s="1"/>
  <c r="K92" i="18" s="1"/>
  <c r="J89" i="18"/>
  <c r="K36" i="21" l="1"/>
  <c r="K90" i="21" s="1"/>
  <c r="K91" i="21" s="1"/>
  <c r="K12" i="21" s="1"/>
  <c r="P36" i="40"/>
  <c r="P68" i="40" s="1"/>
  <c r="P78" i="40" s="1"/>
  <c r="P97" i="40"/>
  <c r="P88" i="40"/>
  <c r="P95" i="40" s="1"/>
  <c r="P96" i="40"/>
  <c r="K35" i="18"/>
  <c r="K51" i="18"/>
  <c r="K59" i="17"/>
  <c r="K59" i="18"/>
  <c r="K79" i="21" l="1"/>
  <c r="K60" i="21"/>
  <c r="L13" i="44"/>
  <c r="K52" i="21"/>
  <c r="K19" i="20"/>
  <c r="K13" i="21"/>
  <c r="L7" i="44"/>
  <c r="K50" i="21"/>
  <c r="P67" i="40"/>
  <c r="P58" i="40" s="1"/>
  <c r="P57" i="40" s="1"/>
  <c r="P83" i="40" s="1"/>
  <c r="P77" i="40"/>
  <c r="K22" i="18"/>
  <c r="K29" i="18" s="1"/>
  <c r="L50" i="18" s="1"/>
  <c r="P94" i="40"/>
  <c r="P93" i="40" s="1"/>
  <c r="K52" i="19"/>
  <c r="K22" i="19" s="1"/>
  <c r="K30" i="19" s="1"/>
  <c r="K62" i="19" s="1"/>
  <c r="K60" i="19"/>
  <c r="K51" i="17"/>
  <c r="K22" i="17" s="1"/>
  <c r="K29" i="17" s="1"/>
  <c r="K61" i="17" s="1"/>
  <c r="K58" i="17" s="1"/>
  <c r="K23" i="21" l="1"/>
  <c r="K30" i="21" s="1"/>
  <c r="K62" i="21" s="1"/>
  <c r="K59" i="21" s="1"/>
  <c r="K20" i="20"/>
  <c r="Q69" i="40"/>
  <c r="P11" i="22"/>
  <c r="Q70" i="40"/>
  <c r="K61" i="18"/>
  <c r="K58" i="18" s="1"/>
  <c r="K23" i="18"/>
  <c r="K32" i="18" s="1"/>
  <c r="P99" i="40"/>
  <c r="Q102" i="40"/>
  <c r="Q103" i="40" s="1"/>
  <c r="Q101" i="40" s="1"/>
  <c r="P98" i="40"/>
  <c r="L51" i="19"/>
  <c r="L51" i="21"/>
  <c r="K59" i="19"/>
  <c r="K23" i="19"/>
  <c r="K23" i="17"/>
  <c r="K32" i="17" s="1"/>
  <c r="L50" i="17"/>
  <c r="L8" i="44" l="1"/>
  <c r="K24" i="21"/>
  <c r="L33" i="44"/>
  <c r="K97" i="18"/>
  <c r="K83" i="18" s="1"/>
  <c r="K79" i="18" s="1"/>
  <c r="K80" i="18" s="1"/>
  <c r="K85" i="18" s="1"/>
  <c r="K67" i="18"/>
  <c r="K68" i="18"/>
  <c r="Q106" i="40"/>
  <c r="Q92" i="40" s="1"/>
  <c r="Q36" i="40"/>
  <c r="Q68" i="40" s="1"/>
  <c r="K33" i="19"/>
  <c r="K16" i="22"/>
  <c r="K113" i="21" l="1"/>
  <c r="K100" i="21" s="1"/>
  <c r="K95" i="21" s="1"/>
  <c r="K33" i="21"/>
  <c r="K68" i="21" s="1"/>
  <c r="K77" i="21" s="1"/>
  <c r="L16" i="44"/>
  <c r="L18" i="44"/>
  <c r="K66" i="18"/>
  <c r="K57" i="18" s="1"/>
  <c r="K56" i="18" s="1"/>
  <c r="K86" i="18"/>
  <c r="K84" i="18" s="1"/>
  <c r="K88" i="18"/>
  <c r="K87" i="18"/>
  <c r="Q78" i="40"/>
  <c r="Q77" i="40"/>
  <c r="Q67" i="40"/>
  <c r="Q58" i="40" s="1"/>
  <c r="Q57" i="40" s="1"/>
  <c r="Q83" i="40" s="1"/>
  <c r="Q87" i="40"/>
  <c r="Q88" i="40" s="1"/>
  <c r="K17" i="22"/>
  <c r="K15" i="22"/>
  <c r="K14" i="22"/>
  <c r="K18" i="22"/>
  <c r="K96" i="21" l="1"/>
  <c r="K105" i="21"/>
  <c r="K104" i="21"/>
  <c r="L61" i="44" s="1"/>
  <c r="K102" i="21"/>
  <c r="K103" i="21"/>
  <c r="K69" i="21"/>
  <c r="L87" i="21"/>
  <c r="K21" i="20"/>
  <c r="K67" i="21"/>
  <c r="K58" i="21" s="1"/>
  <c r="K57" i="21" s="1"/>
  <c r="K85" i="21" s="1"/>
  <c r="L69" i="18"/>
  <c r="L27" i="44"/>
  <c r="L6" i="44"/>
  <c r="K78" i="21"/>
  <c r="K88" i="21" s="1"/>
  <c r="L10" i="44"/>
  <c r="K75" i="18"/>
  <c r="K89" i="18"/>
  <c r="K90" i="18"/>
  <c r="L93" i="18"/>
  <c r="L94" i="18" s="1"/>
  <c r="L92" i="18" s="1"/>
  <c r="L35" i="18" s="1"/>
  <c r="Q95" i="40"/>
  <c r="Q97" i="40"/>
  <c r="Q94" i="40"/>
  <c r="Q11" i="22"/>
  <c r="R69" i="40"/>
  <c r="R70" i="40"/>
  <c r="Q96" i="40"/>
  <c r="K101" i="21" l="1"/>
  <c r="K107" i="21" s="1"/>
  <c r="L58" i="44"/>
  <c r="L60" i="44"/>
  <c r="L59" i="44"/>
  <c r="K86" i="21"/>
  <c r="K83" i="21"/>
  <c r="K23" i="20"/>
  <c r="L70" i="21"/>
  <c r="K84" i="21"/>
  <c r="L5" i="44"/>
  <c r="K22" i="20"/>
  <c r="K106" i="21"/>
  <c r="L62" i="44" s="1"/>
  <c r="L110" i="21"/>
  <c r="L111" i="21" s="1"/>
  <c r="L109" i="21" s="1"/>
  <c r="Q93" i="40"/>
  <c r="R102" i="40" s="1"/>
  <c r="R103" i="40" s="1"/>
  <c r="R101" i="40" s="1"/>
  <c r="L51" i="18"/>
  <c r="Q99" i="40" l="1"/>
  <c r="Q98" i="40"/>
  <c r="L36" i="21"/>
  <c r="R106" i="40"/>
  <c r="R92" i="40" s="1"/>
  <c r="R36" i="40"/>
  <c r="R68" i="40" s="1"/>
  <c r="L59" i="18"/>
  <c r="L22" i="18"/>
  <c r="L29" i="18" s="1"/>
  <c r="L61" i="18" s="1"/>
  <c r="L51" i="17"/>
  <c r="L22" i="17" s="1"/>
  <c r="L59" i="17"/>
  <c r="L52" i="19"/>
  <c r="L60" i="19"/>
  <c r="M13" i="44" l="1"/>
  <c r="L90" i="21"/>
  <c r="L91" i="21" s="1"/>
  <c r="R78" i="40"/>
  <c r="R77" i="40"/>
  <c r="R67" i="40"/>
  <c r="R58" i="40" s="1"/>
  <c r="R57" i="40" s="1"/>
  <c r="R83" i="40" s="1"/>
  <c r="R87" i="40"/>
  <c r="R88" i="40" s="1"/>
  <c r="R95" i="40" s="1"/>
  <c r="L58" i="18"/>
  <c r="L23" i="18"/>
  <c r="M50" i="18"/>
  <c r="L29" i="17"/>
  <c r="L61" i="17" s="1"/>
  <c r="L58" i="17" s="1"/>
  <c r="L23" i="17"/>
  <c r="L32" i="17" s="1"/>
  <c r="L22" i="19"/>
  <c r="L12" i="21" l="1"/>
  <c r="R94" i="40"/>
  <c r="R93" i="40" s="1"/>
  <c r="R96" i="40"/>
  <c r="R97" i="40"/>
  <c r="L97" i="18"/>
  <c r="L83" i="18" s="1"/>
  <c r="R11" i="22"/>
  <c r="S70" i="40"/>
  <c r="S69" i="40"/>
  <c r="L32" i="18"/>
  <c r="L68" i="18" s="1"/>
  <c r="M50" i="17"/>
  <c r="L30" i="19"/>
  <c r="L23" i="19"/>
  <c r="L13" i="21" l="1"/>
  <c r="L19" i="20"/>
  <c r="M7" i="44"/>
  <c r="L52" i="21"/>
  <c r="L60" i="21"/>
  <c r="L50" i="21"/>
  <c r="L23" i="21" s="1"/>
  <c r="L30" i="21" s="1"/>
  <c r="L79" i="21"/>
  <c r="M33" i="44"/>
  <c r="S102" i="40"/>
  <c r="S103" i="40" s="1"/>
  <c r="S101" i="40" s="1"/>
  <c r="S36" i="40" s="1"/>
  <c r="S68" i="40" s="1"/>
  <c r="R98" i="40"/>
  <c r="R99" i="40"/>
  <c r="L79" i="18"/>
  <c r="L33" i="19"/>
  <c r="L67" i="18"/>
  <c r="L66" i="18" s="1"/>
  <c r="L57" i="18" s="1"/>
  <c r="L56" i="18" s="1"/>
  <c r="L62" i="19"/>
  <c r="L59" i="19" s="1"/>
  <c r="M51" i="19"/>
  <c r="L20" i="20" l="1"/>
  <c r="L75" i="18"/>
  <c r="M27" i="44"/>
  <c r="S106" i="40"/>
  <c r="S92" i="40" s="1"/>
  <c r="S87" i="40" s="1"/>
  <c r="S88" i="40" s="1"/>
  <c r="L24" i="21"/>
  <c r="L62" i="21"/>
  <c r="M51" i="21"/>
  <c r="L80" i="18"/>
  <c r="L85" i="18" s="1"/>
  <c r="L88" i="18"/>
  <c r="L87" i="18"/>
  <c r="S67" i="40"/>
  <c r="S58" i="40" s="1"/>
  <c r="S57" i="40" s="1"/>
  <c r="S83" i="40" s="1"/>
  <c r="S77" i="40"/>
  <c r="S78" i="40"/>
  <c r="C30" i="22"/>
  <c r="C27" i="22"/>
  <c r="C31" i="22"/>
  <c r="L17" i="22"/>
  <c r="M69" i="18"/>
  <c r="L59" i="21" l="1"/>
  <c r="M8" i="44"/>
  <c r="M16" i="44"/>
  <c r="L86" i="18"/>
  <c r="L84" i="18" s="1"/>
  <c r="L89" i="18" s="1"/>
  <c r="L33" i="21"/>
  <c r="L113" i="21"/>
  <c r="L100" i="21" s="1"/>
  <c r="S95" i="40"/>
  <c r="S97" i="40"/>
  <c r="S96" i="40"/>
  <c r="S94" i="40"/>
  <c r="S11" i="22"/>
  <c r="T70" i="40"/>
  <c r="T69" i="40"/>
  <c r="C29" i="22"/>
  <c r="C28" i="22"/>
  <c r="C22" i="22"/>
  <c r="L16" i="22"/>
  <c r="L18" i="22"/>
  <c r="L14" i="22"/>
  <c r="L15" i="22"/>
  <c r="L95" i="21" l="1"/>
  <c r="L105" i="21" s="1"/>
  <c r="L68" i="21"/>
  <c r="L77" i="21" s="1"/>
  <c r="M18" i="44"/>
  <c r="S93" i="40"/>
  <c r="S98" i="40" s="1"/>
  <c r="L69" i="21"/>
  <c r="M93" i="18"/>
  <c r="M94" i="18" s="1"/>
  <c r="M92" i="18" s="1"/>
  <c r="M35" i="18" s="1"/>
  <c r="L90" i="18"/>
  <c r="N12" i="19"/>
  <c r="M87" i="21" l="1"/>
  <c r="L104" i="21"/>
  <c r="L96" i="21"/>
  <c r="L103" i="21" s="1"/>
  <c r="N52" i="19"/>
  <c r="N50" i="19"/>
  <c r="L67" i="21"/>
  <c r="L58" i="21" s="1"/>
  <c r="L57" i="21" s="1"/>
  <c r="S99" i="40"/>
  <c r="L21" i="20"/>
  <c r="M6" i="44"/>
  <c r="L78" i="21"/>
  <c r="L88" i="21" s="1"/>
  <c r="M10" i="44"/>
  <c r="T102" i="40"/>
  <c r="T103" i="40" s="1"/>
  <c r="T101" i="40" s="1"/>
  <c r="T106" i="40" s="1"/>
  <c r="T92" i="40" s="1"/>
  <c r="T87" i="40" s="1"/>
  <c r="T97" i="40" s="1"/>
  <c r="L102" i="21"/>
  <c r="M51" i="18"/>
  <c r="M60" i="19"/>
  <c r="M51" i="17"/>
  <c r="M22" i="17" s="1"/>
  <c r="M29" i="17" s="1"/>
  <c r="M61" i="17" s="1"/>
  <c r="N12" i="17"/>
  <c r="M59" i="17"/>
  <c r="M52" i="19"/>
  <c r="M59" i="18"/>
  <c r="O12" i="19"/>
  <c r="O52" i="19" s="1"/>
  <c r="N60" i="19"/>
  <c r="M61" i="44" l="1"/>
  <c r="M5" i="44"/>
  <c r="M70" i="21"/>
  <c r="L86" i="21"/>
  <c r="L83" i="21"/>
  <c r="L85" i="21"/>
  <c r="L84" i="21"/>
  <c r="L23" i="20"/>
  <c r="N59" i="17"/>
  <c r="N49" i="17"/>
  <c r="O50" i="17" s="1"/>
  <c r="O50" i="19"/>
  <c r="L101" i="21"/>
  <c r="T36" i="40"/>
  <c r="L22" i="20"/>
  <c r="M22" i="18"/>
  <c r="M29" i="18" s="1"/>
  <c r="T96" i="40"/>
  <c r="T88" i="40"/>
  <c r="M22" i="19"/>
  <c r="M30" i="19" s="1"/>
  <c r="M62" i="19" s="1"/>
  <c r="M59" i="19" s="1"/>
  <c r="O12" i="17"/>
  <c r="O59" i="17" s="1"/>
  <c r="N51" i="17"/>
  <c r="N50" i="17"/>
  <c r="M58" i="17"/>
  <c r="M23" i="17"/>
  <c r="M32" i="17" s="1"/>
  <c r="O60" i="19"/>
  <c r="P12" i="19"/>
  <c r="P52" i="19" s="1"/>
  <c r="N59" i="18"/>
  <c r="N51" i="18"/>
  <c r="L106" i="21" l="1"/>
  <c r="M62" i="44" s="1"/>
  <c r="M58" i="44"/>
  <c r="M59" i="44"/>
  <c r="M60" i="44"/>
  <c r="T68" i="40"/>
  <c r="T78" i="40" s="1"/>
  <c r="L107" i="21"/>
  <c r="M110" i="21"/>
  <c r="M111" i="21" s="1"/>
  <c r="M109" i="21" s="1"/>
  <c r="M36" i="21" s="1"/>
  <c r="P50" i="19"/>
  <c r="O49" i="17"/>
  <c r="P50" i="17" s="1"/>
  <c r="M23" i="18"/>
  <c r="M97" i="18" s="1"/>
  <c r="T94" i="40"/>
  <c r="T95" i="40"/>
  <c r="O51" i="19"/>
  <c r="N51" i="19"/>
  <c r="N22" i="19" s="1"/>
  <c r="N30" i="19" s="1"/>
  <c r="N62" i="19" s="1"/>
  <c r="N59" i="19" s="1"/>
  <c r="M23" i="19"/>
  <c r="P12" i="17"/>
  <c r="Q12" i="17" s="1"/>
  <c r="R12" i="17" s="1"/>
  <c r="O51" i="17"/>
  <c r="P51" i="19"/>
  <c r="N22" i="17"/>
  <c r="N29" i="17" s="1"/>
  <c r="N61" i="17" s="1"/>
  <c r="N58" i="17" s="1"/>
  <c r="N50" i="18"/>
  <c r="N22" i="18" s="1"/>
  <c r="M61" i="18"/>
  <c r="Q12" i="19"/>
  <c r="Q52" i="19" s="1"/>
  <c r="P60" i="19"/>
  <c r="T67" i="40" l="1"/>
  <c r="T58" i="40" s="1"/>
  <c r="T57" i="40" s="1"/>
  <c r="T83" i="40" s="1"/>
  <c r="T77" i="40"/>
  <c r="N13" i="44"/>
  <c r="N33" i="44"/>
  <c r="P49" i="17"/>
  <c r="Q49" i="17" s="1"/>
  <c r="R49" i="17" s="1"/>
  <c r="Q50" i="19"/>
  <c r="M32" i="18"/>
  <c r="M68" i="18" s="1"/>
  <c r="M83" i="18"/>
  <c r="M90" i="21"/>
  <c r="M91" i="21" s="1"/>
  <c r="T93" i="40"/>
  <c r="T98" i="40" s="1"/>
  <c r="M33" i="19"/>
  <c r="P59" i="17"/>
  <c r="P51" i="17"/>
  <c r="Q59" i="17"/>
  <c r="Q51" i="17"/>
  <c r="O22" i="17"/>
  <c r="O29" i="17" s="1"/>
  <c r="O61" i="17" s="1"/>
  <c r="O58" i="17" s="1"/>
  <c r="Q51" i="19"/>
  <c r="N23" i="17"/>
  <c r="N32" i="17" s="1"/>
  <c r="O22" i="19"/>
  <c r="O30" i="19" s="1"/>
  <c r="O62" i="19" s="1"/>
  <c r="O59" i="19" s="1"/>
  <c r="N23" i="19"/>
  <c r="M58" i="18"/>
  <c r="Q60" i="19"/>
  <c r="R12" i="19"/>
  <c r="S12" i="19" s="1"/>
  <c r="M16" i="22"/>
  <c r="S12" i="17"/>
  <c r="R51" i="17"/>
  <c r="R59" i="17"/>
  <c r="N23" i="18"/>
  <c r="N29" i="18"/>
  <c r="U69" i="40" l="1"/>
  <c r="T11" i="22"/>
  <c r="U70" i="40"/>
  <c r="M12" i="21"/>
  <c r="M79" i="21" s="1"/>
  <c r="Q50" i="17"/>
  <c r="O33" i="44"/>
  <c r="R50" i="19"/>
  <c r="S50" i="19" s="1"/>
  <c r="S49" i="17"/>
  <c r="M67" i="18"/>
  <c r="M66" i="18" s="1"/>
  <c r="M57" i="18" s="1"/>
  <c r="M56" i="18" s="1"/>
  <c r="N7" i="44"/>
  <c r="T99" i="40"/>
  <c r="U102" i="40"/>
  <c r="U103" i="40" s="1"/>
  <c r="U101" i="40" s="1"/>
  <c r="U106" i="40" s="1"/>
  <c r="U92" i="40" s="1"/>
  <c r="U87" i="40" s="1"/>
  <c r="U96" i="40" s="1"/>
  <c r="N33" i="19"/>
  <c r="P22" i="17"/>
  <c r="P29" i="17" s="1"/>
  <c r="P61" i="17" s="1"/>
  <c r="P58" i="17" s="1"/>
  <c r="R50" i="17"/>
  <c r="R51" i="19"/>
  <c r="P22" i="19"/>
  <c r="P30" i="19" s="1"/>
  <c r="P62" i="19" s="1"/>
  <c r="P59" i="19" s="1"/>
  <c r="O23" i="17"/>
  <c r="O32" i="17" s="1"/>
  <c r="O23" i="19"/>
  <c r="M79" i="18"/>
  <c r="M87" i="18" s="1"/>
  <c r="R60" i="19"/>
  <c r="R52" i="19"/>
  <c r="D31" i="22"/>
  <c r="D28" i="22"/>
  <c r="D27" i="22"/>
  <c r="D22" i="22"/>
  <c r="M17" i="22"/>
  <c r="D30" i="22"/>
  <c r="M15" i="22"/>
  <c r="M14" i="22"/>
  <c r="M18" i="22"/>
  <c r="D29" i="22"/>
  <c r="S59" i="17"/>
  <c r="T12" i="17"/>
  <c r="S51" i="17"/>
  <c r="S52" i="19"/>
  <c r="T12" i="19"/>
  <c r="S60" i="19"/>
  <c r="N61" i="18"/>
  <c r="N58" i="18" s="1"/>
  <c r="O50" i="18"/>
  <c r="N32" i="18"/>
  <c r="M13" i="21" l="1"/>
  <c r="M52" i="21"/>
  <c r="M60" i="21"/>
  <c r="N12" i="21"/>
  <c r="N79" i="21" s="1"/>
  <c r="M50" i="21"/>
  <c r="M19" i="20"/>
  <c r="O12" i="20" s="1"/>
  <c r="N12" i="20" s="1"/>
  <c r="Q12" i="20"/>
  <c r="P12" i="20" s="1"/>
  <c r="M20" i="20"/>
  <c r="G27" i="20" s="1"/>
  <c r="P33" i="44"/>
  <c r="T49" i="17"/>
  <c r="T50" i="19"/>
  <c r="M75" i="18"/>
  <c r="N27" i="44"/>
  <c r="U36" i="40"/>
  <c r="U68" i="40" s="1"/>
  <c r="U77" i="40" s="1"/>
  <c r="D81" i="21"/>
  <c r="U88" i="40"/>
  <c r="U94" i="40" s="1"/>
  <c r="U97" i="40"/>
  <c r="O33" i="19"/>
  <c r="P23" i="17"/>
  <c r="P32" i="17" s="1"/>
  <c r="T50" i="17"/>
  <c r="Q22" i="17"/>
  <c r="Q29" i="17" s="1"/>
  <c r="Q61" i="17" s="1"/>
  <c r="Q58" i="17" s="1"/>
  <c r="Q22" i="19"/>
  <c r="Q30" i="19" s="1"/>
  <c r="Q62" i="19" s="1"/>
  <c r="Q59" i="19" s="1"/>
  <c r="P23" i="19"/>
  <c r="T51" i="19"/>
  <c r="N69" i="18"/>
  <c r="M88" i="18"/>
  <c r="M80" i="18"/>
  <c r="T52" i="19"/>
  <c r="T60" i="19"/>
  <c r="U12" i="19"/>
  <c r="U12" i="17"/>
  <c r="T51" i="17"/>
  <c r="T59" i="17"/>
  <c r="N68" i="18"/>
  <c r="N50" i="21" l="1"/>
  <c r="N60" i="21"/>
  <c r="G25" i="20"/>
  <c r="N52" i="21"/>
  <c r="O7" i="44"/>
  <c r="N13" i="21"/>
  <c r="M23" i="21"/>
  <c r="M24" i="21" s="1"/>
  <c r="O12" i="21"/>
  <c r="O79" i="21" s="1"/>
  <c r="U67" i="40"/>
  <c r="U58" i="40" s="1"/>
  <c r="U57" i="40" s="1"/>
  <c r="U83" i="40" s="1"/>
  <c r="U78" i="40"/>
  <c r="Q33" i="44"/>
  <c r="U50" i="19"/>
  <c r="U49" i="17"/>
  <c r="U95" i="40"/>
  <c r="U93" i="40" s="1"/>
  <c r="V102" i="40" s="1"/>
  <c r="V103" i="40" s="1"/>
  <c r="V101" i="40" s="1"/>
  <c r="P33" i="19"/>
  <c r="Q23" i="17"/>
  <c r="Q32" i="17" s="1"/>
  <c r="Q23" i="19"/>
  <c r="U50" i="17"/>
  <c r="S50" i="17"/>
  <c r="R22" i="17"/>
  <c r="R23" i="17" s="1"/>
  <c r="R32" i="17" s="1"/>
  <c r="R22" i="19"/>
  <c r="S22" i="19" s="1"/>
  <c r="S30" i="19" s="1"/>
  <c r="S62" i="19" s="1"/>
  <c r="S59" i="19" s="1"/>
  <c r="S51" i="19"/>
  <c r="M85" i="18"/>
  <c r="M86" i="18"/>
  <c r="U60" i="19"/>
  <c r="U52" i="19"/>
  <c r="V12" i="19"/>
  <c r="V12" i="17"/>
  <c r="U51" i="17"/>
  <c r="U59" i="17"/>
  <c r="O59" i="18"/>
  <c r="O51" i="18"/>
  <c r="N16" i="44" l="1"/>
  <c r="M113" i="21"/>
  <c r="O60" i="21"/>
  <c r="O52" i="21"/>
  <c r="M33" i="21"/>
  <c r="M68" i="21" s="1"/>
  <c r="P7" i="44"/>
  <c r="P12" i="21"/>
  <c r="P79" i="21" s="1"/>
  <c r="M30" i="21"/>
  <c r="O51" i="21" s="1"/>
  <c r="O13" i="21"/>
  <c r="O50" i="21"/>
  <c r="P50" i="21" s="1"/>
  <c r="U11" i="22"/>
  <c r="V70" i="40"/>
  <c r="V69" i="40"/>
  <c r="R33" i="44"/>
  <c r="V49" i="17"/>
  <c r="V50" i="19"/>
  <c r="U98" i="40"/>
  <c r="U99" i="40"/>
  <c r="V36" i="40"/>
  <c r="V68" i="40" s="1"/>
  <c r="V106" i="40"/>
  <c r="Q33" i="19"/>
  <c r="V50" i="17"/>
  <c r="R30" i="19"/>
  <c r="R62" i="19" s="1"/>
  <c r="R59" i="19" s="1"/>
  <c r="S23" i="19"/>
  <c r="T22" i="19"/>
  <c r="T23" i="19" s="1"/>
  <c r="R23" i="19"/>
  <c r="U51" i="19"/>
  <c r="R29" i="17"/>
  <c r="R61" i="17" s="1"/>
  <c r="R58" i="17" s="1"/>
  <c r="S22" i="17"/>
  <c r="T22" i="17" s="1"/>
  <c r="T29" i="17" s="1"/>
  <c r="T61" i="17" s="1"/>
  <c r="T58" i="17" s="1"/>
  <c r="M84" i="18"/>
  <c r="N93" i="18" s="1"/>
  <c r="N94" i="18" s="1"/>
  <c r="N92" i="18" s="1"/>
  <c r="V59" i="17"/>
  <c r="V51" i="17"/>
  <c r="W12" i="17"/>
  <c r="V60" i="19"/>
  <c r="V52" i="19"/>
  <c r="W12" i="19"/>
  <c r="V51" i="19"/>
  <c r="O22" i="18"/>
  <c r="N18" i="44" l="1"/>
  <c r="M69" i="21"/>
  <c r="N51" i="21"/>
  <c r="N23" i="21" s="1"/>
  <c r="O23" i="21" s="1"/>
  <c r="O24" i="21" s="1"/>
  <c r="M62" i="21"/>
  <c r="M59" i="21" s="1"/>
  <c r="M77" i="21" s="1"/>
  <c r="N87" i="21" s="1"/>
  <c r="Q12" i="21"/>
  <c r="Q79" i="21" s="1"/>
  <c r="Q7" i="44"/>
  <c r="P13" i="21"/>
  <c r="M67" i="21"/>
  <c r="S33" i="44"/>
  <c r="U33" i="44"/>
  <c r="T33" i="44"/>
  <c r="W50" i="19"/>
  <c r="W49" i="17"/>
  <c r="M78" i="21"/>
  <c r="M88" i="21" s="1"/>
  <c r="N10" i="44"/>
  <c r="M100" i="21"/>
  <c r="V92" i="40"/>
  <c r="N97" i="18"/>
  <c r="U22" i="19"/>
  <c r="V22" i="19" s="1"/>
  <c r="R33" i="19"/>
  <c r="T33" i="19"/>
  <c r="S33" i="19"/>
  <c r="W50" i="17"/>
  <c r="T30" i="19"/>
  <c r="T62" i="19" s="1"/>
  <c r="T59" i="19" s="1"/>
  <c r="T23" i="17"/>
  <c r="T32" i="17" s="1"/>
  <c r="V78" i="40"/>
  <c r="V67" i="40"/>
  <c r="V58" i="40" s="1"/>
  <c r="V57" i="40" s="1"/>
  <c r="V77" i="40"/>
  <c r="S23" i="17"/>
  <c r="S32" i="17" s="1"/>
  <c r="U22" i="17"/>
  <c r="U29" i="17" s="1"/>
  <c r="U61" i="17" s="1"/>
  <c r="U58" i="17" s="1"/>
  <c r="S29" i="17"/>
  <c r="S61" i="17" s="1"/>
  <c r="S58" i="17" s="1"/>
  <c r="M90" i="18"/>
  <c r="M89" i="18"/>
  <c r="N35" i="18"/>
  <c r="N67" i="18" s="1"/>
  <c r="N66" i="18" s="1"/>
  <c r="N57" i="18" s="1"/>
  <c r="N56" i="18" s="1"/>
  <c r="O27" i="44" s="1"/>
  <c r="W52" i="19"/>
  <c r="W60" i="19"/>
  <c r="W51" i="19"/>
  <c r="W51" i="17"/>
  <c r="W59" i="17"/>
  <c r="O29" i="18"/>
  <c r="O23" i="18"/>
  <c r="Q13" i="21" l="1"/>
  <c r="R7" i="44"/>
  <c r="N24" i="21"/>
  <c r="N30" i="21"/>
  <c r="N62" i="21" s="1"/>
  <c r="O8" i="44" s="1"/>
  <c r="Q50" i="21"/>
  <c r="N8" i="44"/>
  <c r="R12" i="21"/>
  <c r="R79" i="21" s="1"/>
  <c r="O30" i="21"/>
  <c r="O62" i="21" s="1"/>
  <c r="O16" i="44"/>
  <c r="N33" i="21"/>
  <c r="O18" i="44" s="1"/>
  <c r="N59" i="21"/>
  <c r="M21" i="20"/>
  <c r="M58" i="21"/>
  <c r="M57" i="21" s="1"/>
  <c r="S7" i="44"/>
  <c r="M95" i="21"/>
  <c r="M96" i="21" s="1"/>
  <c r="M103" i="21" s="1"/>
  <c r="M22" i="20"/>
  <c r="P16" i="44"/>
  <c r="N6" i="44"/>
  <c r="V11" i="22"/>
  <c r="V83" i="40"/>
  <c r="V87" i="40"/>
  <c r="V88" i="40" s="1"/>
  <c r="V95" i="40" s="1"/>
  <c r="N83" i="18"/>
  <c r="U23" i="19"/>
  <c r="U30" i="19"/>
  <c r="U62" i="19" s="1"/>
  <c r="U59" i="19" s="1"/>
  <c r="V22" i="17"/>
  <c r="W69" i="40"/>
  <c r="W70" i="40"/>
  <c r="U23" i="17"/>
  <c r="U32" i="17" s="1"/>
  <c r="N75" i="18"/>
  <c r="O69" i="18"/>
  <c r="W22" i="19"/>
  <c r="W23" i="19" s="1"/>
  <c r="V30" i="19"/>
  <c r="V62" i="19" s="1"/>
  <c r="V59" i="19" s="1"/>
  <c r="V23" i="19"/>
  <c r="O32" i="18"/>
  <c r="O61" i="18"/>
  <c r="O58" i="18" s="1"/>
  <c r="P50" i="18"/>
  <c r="P51" i="21"/>
  <c r="O33" i="21"/>
  <c r="P18" i="44" s="1"/>
  <c r="S12" i="21" l="1"/>
  <c r="S79" i="21" s="1"/>
  <c r="R13" i="21"/>
  <c r="R50" i="21"/>
  <c r="M83" i="21"/>
  <c r="M85" i="21"/>
  <c r="M86" i="21"/>
  <c r="N70" i="21"/>
  <c r="M104" i="21"/>
  <c r="M105" i="21"/>
  <c r="W33" i="44"/>
  <c r="V33" i="44"/>
  <c r="X33" i="44"/>
  <c r="N5" i="44"/>
  <c r="M84" i="21"/>
  <c r="M23" i="20"/>
  <c r="M102" i="21"/>
  <c r="N69" i="21"/>
  <c r="T7" i="44"/>
  <c r="O59" i="21"/>
  <c r="P8" i="44"/>
  <c r="V96" i="40"/>
  <c r="V94" i="40"/>
  <c r="V93" i="40" s="1"/>
  <c r="W22" i="17"/>
  <c r="W29" i="17" s="1"/>
  <c r="W61" i="17" s="1"/>
  <c r="W58" i="17" s="1"/>
  <c r="V97" i="40"/>
  <c r="N79" i="18"/>
  <c r="V33" i="19"/>
  <c r="W33" i="19"/>
  <c r="U33" i="19"/>
  <c r="V29" i="17"/>
  <c r="V61" i="17" s="1"/>
  <c r="V58" i="17" s="1"/>
  <c r="V23" i="17"/>
  <c r="V32" i="17" s="1"/>
  <c r="W30" i="19"/>
  <c r="W62" i="19" s="1"/>
  <c r="W59" i="19" s="1"/>
  <c r="O68" i="18"/>
  <c r="S13" i="21" l="1"/>
  <c r="T12" i="21"/>
  <c r="T79" i="21" s="1"/>
  <c r="S50" i="21"/>
  <c r="M12" i="20"/>
  <c r="L12" i="20"/>
  <c r="N61" i="44"/>
  <c r="U7" i="44"/>
  <c r="T13" i="21"/>
  <c r="U12" i="21"/>
  <c r="U79" i="21" s="1"/>
  <c r="T50" i="21"/>
  <c r="M101" i="21"/>
  <c r="V99" i="40"/>
  <c r="W102" i="40"/>
  <c r="W103" i="40" s="1"/>
  <c r="W101" i="40" s="1"/>
  <c r="W23" i="17"/>
  <c r="W32" i="17" s="1"/>
  <c r="V98" i="40"/>
  <c r="N87" i="18"/>
  <c r="N80" i="18"/>
  <c r="N85" i="18" s="1"/>
  <c r="N88" i="18"/>
  <c r="N18" i="22"/>
  <c r="E30" i="22"/>
  <c r="N17" i="22"/>
  <c r="N14" i="22"/>
  <c r="E29" i="22"/>
  <c r="N16" i="22"/>
  <c r="N15" i="22"/>
  <c r="E22" i="22"/>
  <c r="E27" i="22"/>
  <c r="E28" i="22"/>
  <c r="E31" i="22"/>
  <c r="U13" i="21" l="1"/>
  <c r="V12" i="21"/>
  <c r="V79" i="21" s="1"/>
  <c r="V7" i="44"/>
  <c r="M107" i="21"/>
  <c r="N58" i="44"/>
  <c r="U50" i="21"/>
  <c r="N60" i="44"/>
  <c r="M106" i="21"/>
  <c r="N62" i="44" s="1"/>
  <c r="N59" i="44"/>
  <c r="N110" i="21"/>
  <c r="N111" i="21" s="1"/>
  <c r="N109" i="21" s="1"/>
  <c r="N113" i="21" s="1"/>
  <c r="N100" i="21" s="1"/>
  <c r="N86" i="18"/>
  <c r="N84" i="18" s="1"/>
  <c r="W36" i="40"/>
  <c r="W106" i="40"/>
  <c r="W92" i="40" s="1"/>
  <c r="W87" i="40" s="1"/>
  <c r="W96" i="40" s="1"/>
  <c r="P52" i="21"/>
  <c r="P60" i="21"/>
  <c r="V13" i="21" l="1"/>
  <c r="W12" i="21"/>
  <c r="W79" i="21" s="1"/>
  <c r="W7" i="44"/>
  <c r="V50" i="21"/>
  <c r="N95" i="21"/>
  <c r="N105" i="21" s="1"/>
  <c r="N36" i="21"/>
  <c r="L2" i="43" a="1"/>
  <c r="L2" i="43" s="1"/>
  <c r="W68" i="40"/>
  <c r="W67" i="40" s="1"/>
  <c r="W58" i="40" s="1"/>
  <c r="W57" i="40" s="1"/>
  <c r="W83" i="40" s="1"/>
  <c r="G12" i="20" s="1"/>
  <c r="N90" i="18"/>
  <c r="N89" i="18"/>
  <c r="O93" i="18"/>
  <c r="O94" i="18" s="1"/>
  <c r="O92" i="18" s="1"/>
  <c r="O97" i="18" s="1"/>
  <c r="O83" i="18" s="1"/>
  <c r="W88" i="40"/>
  <c r="W95" i="40" s="1"/>
  <c r="W97" i="40"/>
  <c r="P23" i="21"/>
  <c r="P51" i="18"/>
  <c r="P59" i="18"/>
  <c r="X7" i="44" l="1"/>
  <c r="W13" i="21"/>
  <c r="W50" i="21"/>
  <c r="O13" i="44"/>
  <c r="N90" i="21"/>
  <c r="N91" i="21" s="1"/>
  <c r="N68" i="21"/>
  <c r="N67" i="21" s="1"/>
  <c r="N58" i="21" s="1"/>
  <c r="N57" i="21" s="1"/>
  <c r="N104" i="21"/>
  <c r="N96" i="21"/>
  <c r="N103" i="21" s="1"/>
  <c r="K2" i="43" a="1"/>
  <c r="K2" i="43" s="1"/>
  <c r="W77" i="40"/>
  <c r="I12" i="20" s="1"/>
  <c r="W78" i="40"/>
  <c r="O35" i="18"/>
  <c r="O67" i="18" s="1"/>
  <c r="O66" i="18" s="1"/>
  <c r="O57" i="18" s="1"/>
  <c r="O56" i="18" s="1"/>
  <c r="W94" i="40"/>
  <c r="W11" i="22"/>
  <c r="J12" i="20"/>
  <c r="O79" i="18"/>
  <c r="O80" i="18" s="1"/>
  <c r="O86" i="18" s="1"/>
  <c r="P24" i="21"/>
  <c r="P30" i="21"/>
  <c r="P22" i="18"/>
  <c r="O10" i="44" l="1"/>
  <c r="N77" i="21"/>
  <c r="N78" i="21"/>
  <c r="N88" i="21" s="1"/>
  <c r="N102" i="21"/>
  <c r="O5" i="44"/>
  <c r="O69" i="21"/>
  <c r="N83" i="21"/>
  <c r="N85" i="21"/>
  <c r="O70" i="21"/>
  <c r="N86" i="21"/>
  <c r="N84" i="21"/>
  <c r="Q16" i="44"/>
  <c r="P69" i="18"/>
  <c r="P27" i="44"/>
  <c r="O75" i="18"/>
  <c r="W93" i="40"/>
  <c r="W99" i="40" s="1"/>
  <c r="O85" i="18"/>
  <c r="O84" i="18" s="1"/>
  <c r="O88" i="18"/>
  <c r="O87" i="18"/>
  <c r="O18" i="22"/>
  <c r="F29" i="22"/>
  <c r="F30" i="22"/>
  <c r="F31" i="22"/>
  <c r="F28" i="22"/>
  <c r="O17" i="22"/>
  <c r="F27" i="22"/>
  <c r="O16" i="22"/>
  <c r="O15" i="22"/>
  <c r="O14" i="22"/>
  <c r="F22" i="22"/>
  <c r="P62" i="21"/>
  <c r="Q51" i="21"/>
  <c r="P23" i="18"/>
  <c r="P29" i="18"/>
  <c r="P33" i="21"/>
  <c r="Q18" i="44" s="1"/>
  <c r="O87" i="21" l="1"/>
  <c r="O6" i="44"/>
  <c r="O61" i="44"/>
  <c r="N101" i="21"/>
  <c r="P59" i="21"/>
  <c r="Q8" i="44"/>
  <c r="P93" i="18"/>
  <c r="P94" i="18" s="1"/>
  <c r="P92" i="18" s="1"/>
  <c r="P97" i="18" s="1"/>
  <c r="W98" i="40"/>
  <c r="O90" i="18"/>
  <c r="O89" i="18"/>
  <c r="P32" i="18"/>
  <c r="P61" i="18"/>
  <c r="P58" i="18" s="1"/>
  <c r="Q50" i="18"/>
  <c r="O59" i="44" l="1"/>
  <c r="O58" i="44"/>
  <c r="O60" i="44"/>
  <c r="N106" i="21"/>
  <c r="O62" i="44" s="1"/>
  <c r="O110" i="21"/>
  <c r="O111" i="21" s="1"/>
  <c r="O109" i="21" s="1"/>
  <c r="N107" i="21"/>
  <c r="P35" i="18"/>
  <c r="P67" i="18" s="1"/>
  <c r="P83" i="18"/>
  <c r="P68" i="18"/>
  <c r="O36" i="21" l="1"/>
  <c r="O113" i="21"/>
  <c r="O100" i="21" s="1"/>
  <c r="P66" i="18"/>
  <c r="P57" i="18" s="1"/>
  <c r="P56" i="18" s="1"/>
  <c r="P79" i="18"/>
  <c r="P80" i="18" s="1"/>
  <c r="Q60" i="21"/>
  <c r="Q52" i="21"/>
  <c r="O95" i="21" l="1"/>
  <c r="O104" i="21" s="1"/>
  <c r="O90" i="21"/>
  <c r="O91" i="21" s="1"/>
  <c r="O68" i="21"/>
  <c r="P13" i="44"/>
  <c r="Q69" i="18"/>
  <c r="Q27" i="44"/>
  <c r="P75" i="18"/>
  <c r="P88" i="18"/>
  <c r="P87" i="18"/>
  <c r="P85" i="18"/>
  <c r="Q23" i="21"/>
  <c r="Q59" i="18"/>
  <c r="Q51" i="18"/>
  <c r="P86" i="18"/>
  <c r="P10" i="44" l="1"/>
  <c r="O67" i="21"/>
  <c r="O58" i="21" s="1"/>
  <c r="O57" i="21" s="1"/>
  <c r="O78" i="21"/>
  <c r="O77" i="21"/>
  <c r="P87" i="21" s="1"/>
  <c r="O105" i="21"/>
  <c r="O96" i="21"/>
  <c r="Q22" i="18"/>
  <c r="Q30" i="21"/>
  <c r="Q24" i="21"/>
  <c r="P84" i="18"/>
  <c r="O102" i="21" l="1"/>
  <c r="O103" i="21"/>
  <c r="P6" i="44"/>
  <c r="O88" i="21"/>
  <c r="P69" i="21"/>
  <c r="P70" i="21"/>
  <c r="O86" i="21"/>
  <c r="O85" i="21"/>
  <c r="O84" i="21"/>
  <c r="P5" i="44"/>
  <c r="O83" i="21"/>
  <c r="R16" i="44"/>
  <c r="Q62" i="21"/>
  <c r="R51" i="21"/>
  <c r="Q29" i="18"/>
  <c r="Q23" i="18"/>
  <c r="P90" i="18"/>
  <c r="Q93" i="18"/>
  <c r="Q94" i="18" s="1"/>
  <c r="Q92" i="18" s="1"/>
  <c r="Q33" i="21"/>
  <c r="R18" i="44" s="1"/>
  <c r="P89" i="18"/>
  <c r="P61" i="44" l="1"/>
  <c r="O101" i="21"/>
  <c r="Q59" i="21"/>
  <c r="R8" i="44"/>
  <c r="Q97" i="18"/>
  <c r="P18" i="22"/>
  <c r="P14" i="22"/>
  <c r="P17" i="22"/>
  <c r="P16" i="22"/>
  <c r="G28" i="22"/>
  <c r="G22" i="22"/>
  <c r="G30" i="22"/>
  <c r="P15" i="22"/>
  <c r="G29" i="22"/>
  <c r="G27" i="22"/>
  <c r="G31" i="22"/>
  <c r="Q61" i="18"/>
  <c r="Q58" i="18" s="1"/>
  <c r="R50" i="18"/>
  <c r="Q35" i="18"/>
  <c r="Q32" i="18"/>
  <c r="Q68" i="18" s="1"/>
  <c r="O106" i="21" l="1"/>
  <c r="P62" i="44" s="1"/>
  <c r="P58" i="44"/>
  <c r="P60" i="44"/>
  <c r="P59" i="44"/>
  <c r="P110" i="21"/>
  <c r="P111" i="21" s="1"/>
  <c r="P109" i="21" s="1"/>
  <c r="P113" i="21" s="1"/>
  <c r="P100" i="21" s="1"/>
  <c r="O107" i="21"/>
  <c r="Q83" i="18"/>
  <c r="Q79" i="18" s="1"/>
  <c r="Q80" i="18" s="1"/>
  <c r="Q67" i="18"/>
  <c r="Q66" i="18" s="1"/>
  <c r="Q57" i="18" s="1"/>
  <c r="Q56" i="18" s="1"/>
  <c r="R27" i="44" s="1"/>
  <c r="P36" i="21" l="1"/>
  <c r="P95" i="21"/>
  <c r="P105" i="21" s="1"/>
  <c r="Q87" i="18"/>
  <c r="Q85" i="18"/>
  <c r="R52" i="21"/>
  <c r="R60" i="21"/>
  <c r="R69" i="18"/>
  <c r="Q75" i="18"/>
  <c r="Q88" i="18"/>
  <c r="Q86" i="18"/>
  <c r="Q13" i="44" l="1"/>
  <c r="P90" i="21"/>
  <c r="P91" i="21" s="1"/>
  <c r="P68" i="21"/>
  <c r="P67" i="21" s="1"/>
  <c r="P58" i="21" s="1"/>
  <c r="P57" i="21" s="1"/>
  <c r="P104" i="21"/>
  <c r="P96" i="21"/>
  <c r="P102" i="21" s="1"/>
  <c r="Q84" i="18"/>
  <c r="Q89" i="18" s="1"/>
  <c r="R23" i="21"/>
  <c r="R59" i="18"/>
  <c r="R51" i="18"/>
  <c r="Q10" i="44" l="1"/>
  <c r="P78" i="21"/>
  <c r="P88" i="21" s="1"/>
  <c r="P77" i="21"/>
  <c r="Q87" i="21" s="1"/>
  <c r="P103" i="21"/>
  <c r="Q61" i="44" s="1"/>
  <c r="Q69" i="21"/>
  <c r="P84" i="21"/>
  <c r="Q5" i="44"/>
  <c r="Q70" i="21"/>
  <c r="P85" i="21"/>
  <c r="P86" i="21"/>
  <c r="P83" i="21"/>
  <c r="Q90" i="18"/>
  <c r="R93" i="18"/>
  <c r="R94" i="18" s="1"/>
  <c r="R92" i="18" s="1"/>
  <c r="R24" i="21"/>
  <c r="R30" i="21"/>
  <c r="R22" i="18"/>
  <c r="Q6" i="44" l="1"/>
  <c r="P101" i="21"/>
  <c r="S16" i="44"/>
  <c r="R35" i="18"/>
  <c r="Q17" i="22"/>
  <c r="Q14" i="22"/>
  <c r="H28" i="22"/>
  <c r="Q16" i="22"/>
  <c r="H27" i="22"/>
  <c r="Q18" i="22"/>
  <c r="Q15" i="22"/>
  <c r="H29" i="22"/>
  <c r="H22" i="22"/>
  <c r="H31" i="22"/>
  <c r="H30" i="22"/>
  <c r="R62" i="21"/>
  <c r="S51" i="21"/>
  <c r="R29" i="18"/>
  <c r="R23" i="18"/>
  <c r="R97" i="18" s="1"/>
  <c r="R33" i="21"/>
  <c r="S18" i="44" s="1"/>
  <c r="Q60" i="44" l="1"/>
  <c r="Q58" i="44"/>
  <c r="Q59" i="44"/>
  <c r="Q110" i="21"/>
  <c r="Q111" i="21" s="1"/>
  <c r="Q109" i="21" s="1"/>
  <c r="Q113" i="21" s="1"/>
  <c r="Q100" i="21" s="1"/>
  <c r="P106" i="21"/>
  <c r="Q62" i="44" s="1"/>
  <c r="P107" i="21"/>
  <c r="R59" i="21"/>
  <c r="S8" i="44"/>
  <c r="R61" i="18"/>
  <c r="R58" i="18" s="1"/>
  <c r="S50" i="18"/>
  <c r="R32" i="18"/>
  <c r="R67" i="18" s="1"/>
  <c r="Q36" i="21" l="1"/>
  <c r="Q95" i="21"/>
  <c r="R83" i="18"/>
  <c r="R79" i="18" s="1"/>
  <c r="R80" i="18" s="1"/>
  <c r="R68" i="18"/>
  <c r="R66" i="18" s="1"/>
  <c r="R57" i="18" s="1"/>
  <c r="R56" i="18" s="1"/>
  <c r="S27" i="44" s="1"/>
  <c r="R13" i="44" l="1"/>
  <c r="Q68" i="21"/>
  <c r="Q78" i="21" s="1"/>
  <c r="Q90" i="21"/>
  <c r="Q91" i="21" s="1"/>
  <c r="Q105" i="21"/>
  <c r="Q104" i="21"/>
  <c r="Q96" i="21"/>
  <c r="Q103" i="21" s="1"/>
  <c r="R10" i="44"/>
  <c r="Q67" i="21"/>
  <c r="Q58" i="21" s="1"/>
  <c r="Q57" i="21" s="1"/>
  <c r="R18" i="22"/>
  <c r="R15" i="22"/>
  <c r="R14" i="22"/>
  <c r="R17" i="22"/>
  <c r="H12" i="20" s="1"/>
  <c r="R16" i="22"/>
  <c r="I27" i="22"/>
  <c r="I28" i="22"/>
  <c r="I22" i="22"/>
  <c r="I31" i="22"/>
  <c r="I29" i="22"/>
  <c r="I30" i="22"/>
  <c r="R88" i="18"/>
  <c r="R85" i="18"/>
  <c r="R87" i="18"/>
  <c r="R86" i="18"/>
  <c r="S52" i="21"/>
  <c r="S60" i="21"/>
  <c r="R75" i="18"/>
  <c r="S69" i="18"/>
  <c r="Q77" i="21" l="1"/>
  <c r="R87" i="21" s="1"/>
  <c r="I36" i="44"/>
  <c r="Q102" i="21"/>
  <c r="R70" i="21"/>
  <c r="R5" i="44"/>
  <c r="Q83" i="21"/>
  <c r="Q84" i="21"/>
  <c r="Q85" i="21"/>
  <c r="R69" i="21"/>
  <c r="Q86" i="21"/>
  <c r="Q88" i="21"/>
  <c r="R84" i="18"/>
  <c r="R90" i="18" s="1"/>
  <c r="S23" i="21"/>
  <c r="S51" i="18"/>
  <c r="S59" i="18"/>
  <c r="O36" i="44" l="1"/>
  <c r="S36" i="44" s="1" a="1"/>
  <c r="S36" i="44" s="1"/>
  <c r="P36" i="44"/>
  <c r="R36" i="44" s="1"/>
  <c r="R6" i="44"/>
  <c r="J36" i="44" a="1"/>
  <c r="J36" i="44" s="1"/>
  <c r="V36" i="44" s="1"/>
  <c r="K36" i="44" a="1"/>
  <c r="K36" i="44" s="1"/>
  <c r="M36" i="44" a="1"/>
  <c r="M36" i="44" s="1"/>
  <c r="L36" i="44" a="1"/>
  <c r="L36" i="44" s="1"/>
  <c r="R61" i="44"/>
  <c r="Q101" i="21"/>
  <c r="R89" i="18"/>
  <c r="S93" i="18"/>
  <c r="S94" i="18" s="1"/>
  <c r="S92" i="18" s="1"/>
  <c r="S30" i="21"/>
  <c r="S24" i="21"/>
  <c r="S22" i="18"/>
  <c r="T36" i="44" l="1"/>
  <c r="W36" i="44"/>
  <c r="R59" i="44"/>
  <c r="R58" i="44"/>
  <c r="Q36" i="44" a="1"/>
  <c r="Q36" i="44" s="1"/>
  <c r="R60" i="44"/>
  <c r="R110" i="21"/>
  <c r="R111" i="21" s="1"/>
  <c r="R109" i="21" s="1"/>
  <c r="Q106" i="21"/>
  <c r="R62" i="44" s="1"/>
  <c r="Q107" i="21"/>
  <c r="T16" i="44"/>
  <c r="S35" i="18"/>
  <c r="S62" i="21"/>
  <c r="T51" i="21"/>
  <c r="S29" i="18"/>
  <c r="S23" i="18"/>
  <c r="S97" i="18" s="1"/>
  <c r="S33" i="21"/>
  <c r="T18" i="44" s="1"/>
  <c r="F36" i="44" l="1"/>
  <c r="R113" i="21"/>
  <c r="R100" i="21" s="1"/>
  <c r="R36" i="21"/>
  <c r="S59" i="21"/>
  <c r="T8" i="44"/>
  <c r="S32" i="18"/>
  <c r="S67" i="18" s="1"/>
  <c r="S61" i="18"/>
  <c r="S58" i="18" s="1"/>
  <c r="T50" i="18"/>
  <c r="S13" i="44" l="1"/>
  <c r="R68" i="21"/>
  <c r="R90" i="21"/>
  <c r="R91" i="21" s="1"/>
  <c r="R95" i="21"/>
  <c r="S83" i="18"/>
  <c r="S68" i="18"/>
  <c r="S66" i="18" s="1"/>
  <c r="S57" i="18" s="1"/>
  <c r="S56" i="18" s="1"/>
  <c r="T27" i="44" s="1"/>
  <c r="R96" i="21" l="1"/>
  <c r="R103" i="21" s="1"/>
  <c r="R104" i="21"/>
  <c r="S10" i="44"/>
  <c r="R78" i="21"/>
  <c r="R77" i="21"/>
  <c r="S87" i="21" s="1"/>
  <c r="R67" i="21"/>
  <c r="R58" i="21" s="1"/>
  <c r="R57" i="21" s="1"/>
  <c r="R105" i="21"/>
  <c r="S79" i="18"/>
  <c r="S80" i="18" s="1"/>
  <c r="T69" i="18"/>
  <c r="S75" i="18"/>
  <c r="T52" i="21"/>
  <c r="T60" i="21"/>
  <c r="R102" i="21" l="1"/>
  <c r="S60" i="44" s="1"/>
  <c r="S61" i="44"/>
  <c r="S6" i="44"/>
  <c r="R88" i="21"/>
  <c r="S70" i="21"/>
  <c r="S5" i="44"/>
  <c r="R84" i="21"/>
  <c r="S69" i="21"/>
  <c r="R83" i="21"/>
  <c r="R85" i="21"/>
  <c r="R86" i="21"/>
  <c r="S85" i="18"/>
  <c r="S86" i="18"/>
  <c r="S87" i="18"/>
  <c r="S88" i="18"/>
  <c r="T23" i="21"/>
  <c r="T51" i="18"/>
  <c r="T59" i="18"/>
  <c r="R101" i="21" l="1"/>
  <c r="S84" i="18"/>
  <c r="S90" i="18" s="1"/>
  <c r="T22" i="18"/>
  <c r="T24" i="21"/>
  <c r="T30" i="21"/>
  <c r="R107" i="21" l="1"/>
  <c r="S58" i="44"/>
  <c r="S59" i="44"/>
  <c r="R106" i="21"/>
  <c r="S62" i="44" s="1"/>
  <c r="S110" i="21"/>
  <c r="S111" i="21" s="1"/>
  <c r="S109" i="21" s="1"/>
  <c r="S36" i="21" s="1"/>
  <c r="S89" i="18"/>
  <c r="T93" i="18"/>
  <c r="T94" i="18" s="1"/>
  <c r="T92" i="18" s="1"/>
  <c r="T35" i="18" s="1"/>
  <c r="U16" i="44"/>
  <c r="T62" i="21"/>
  <c r="U51" i="21"/>
  <c r="T33" i="21"/>
  <c r="T29" i="18"/>
  <c r="T23" i="18"/>
  <c r="S90" i="21" l="1"/>
  <c r="S91" i="21" s="1"/>
  <c r="S68" i="21"/>
  <c r="S67" i="21" s="1"/>
  <c r="S58" i="21" s="1"/>
  <c r="S57" i="21" s="1"/>
  <c r="T69" i="21" s="1"/>
  <c r="T13" i="44"/>
  <c r="S113" i="21"/>
  <c r="S100" i="21" s="1"/>
  <c r="T97" i="18"/>
  <c r="T10" i="44"/>
  <c r="T59" i="21"/>
  <c r="U8" i="44"/>
  <c r="U18" i="44"/>
  <c r="T61" i="18"/>
  <c r="T58" i="18" s="1"/>
  <c r="U50" i="18"/>
  <c r="T32" i="18"/>
  <c r="T67" i="18" s="1"/>
  <c r="S77" i="21" l="1"/>
  <c r="T6" i="44" s="1"/>
  <c r="S78" i="21"/>
  <c r="S88" i="21" s="1"/>
  <c r="S95" i="21"/>
  <c r="S96" i="21" s="1"/>
  <c r="S103" i="21" s="1"/>
  <c r="S85" i="21"/>
  <c r="S86" i="21"/>
  <c r="S83" i="21"/>
  <c r="S84" i="21"/>
  <c r="T70" i="21"/>
  <c r="T5" i="44"/>
  <c r="T83" i="18"/>
  <c r="T79" i="18" s="1"/>
  <c r="T80" i="18" s="1"/>
  <c r="T68" i="18"/>
  <c r="T66" i="18" s="1"/>
  <c r="T57" i="18" s="1"/>
  <c r="T56" i="18" s="1"/>
  <c r="T87" i="21" l="1"/>
  <c r="S102" i="21"/>
  <c r="S101" i="21" s="1"/>
  <c r="T58" i="44" s="1"/>
  <c r="S105" i="21"/>
  <c r="S104" i="21"/>
  <c r="T61" i="44" s="1"/>
  <c r="T60" i="44"/>
  <c r="U27" i="44"/>
  <c r="T75" i="18"/>
  <c r="U69" i="18"/>
  <c r="U60" i="21"/>
  <c r="U52" i="21"/>
  <c r="T88" i="18"/>
  <c r="T85" i="18"/>
  <c r="T87" i="18"/>
  <c r="T86" i="18"/>
  <c r="T59" i="44" l="1"/>
  <c r="S107" i="21"/>
  <c r="T110" i="21"/>
  <c r="T111" i="21" s="1"/>
  <c r="T109" i="21" s="1"/>
  <c r="T62" i="44"/>
  <c r="S106" i="21"/>
  <c r="T84" i="18"/>
  <c r="T90" i="18" s="1"/>
  <c r="U59" i="18"/>
  <c r="U51" i="18"/>
  <c r="U23" i="21"/>
  <c r="T113" i="21" l="1"/>
  <c r="T100" i="21" s="1"/>
  <c r="T95" i="21" s="1"/>
  <c r="T96" i="21" s="1"/>
  <c r="T36" i="21"/>
  <c r="U13" i="44"/>
  <c r="T89" i="18"/>
  <c r="U93" i="18"/>
  <c r="U94" i="18" s="1"/>
  <c r="U92" i="18" s="1"/>
  <c r="U30" i="21"/>
  <c r="U24" i="21"/>
  <c r="U22" i="18"/>
  <c r="T68" i="21" l="1"/>
  <c r="T67" i="21" s="1"/>
  <c r="T58" i="21" s="1"/>
  <c r="T57" i="21" s="1"/>
  <c r="T90" i="21"/>
  <c r="T91" i="21" s="1"/>
  <c r="T103" i="21"/>
  <c r="T104" i="21"/>
  <c r="U61" i="44" s="1"/>
  <c r="T102" i="21"/>
  <c r="T105" i="21"/>
  <c r="U10" i="44"/>
  <c r="V16" i="44"/>
  <c r="U35" i="18"/>
  <c r="U62" i="21"/>
  <c r="V51" i="21"/>
  <c r="U23" i="18"/>
  <c r="U97" i="18" s="1"/>
  <c r="U29" i="18"/>
  <c r="U33" i="21"/>
  <c r="T77" i="21" l="1"/>
  <c r="U87" i="21" s="1"/>
  <c r="T78" i="21"/>
  <c r="T88" i="21" s="1"/>
  <c r="T101" i="21"/>
  <c r="T106" i="21" s="1"/>
  <c r="U62" i="44" s="1"/>
  <c r="U6" i="44"/>
  <c r="U60" i="44"/>
  <c r="T86" i="21"/>
  <c r="T85" i="21"/>
  <c r="T84" i="21"/>
  <c r="U70" i="21"/>
  <c r="T83" i="21"/>
  <c r="U5" i="44"/>
  <c r="V18" i="44"/>
  <c r="U59" i="21"/>
  <c r="V8" i="44"/>
  <c r="U69" i="21"/>
  <c r="U61" i="18"/>
  <c r="U58" i="18" s="1"/>
  <c r="V50" i="18"/>
  <c r="U32" i="18"/>
  <c r="U67" i="18" s="1"/>
  <c r="U110" i="21" l="1"/>
  <c r="U111" i="21" s="1"/>
  <c r="U109" i="21" s="1"/>
  <c r="U36" i="21" s="1"/>
  <c r="T107" i="21"/>
  <c r="U59" i="44"/>
  <c r="U58" i="44"/>
  <c r="U83" i="18"/>
  <c r="U79" i="18" s="1"/>
  <c r="U80" i="18" s="1"/>
  <c r="U68" i="18"/>
  <c r="U66" i="18" s="1"/>
  <c r="U57" i="18" s="1"/>
  <c r="U56" i="18" s="1"/>
  <c r="V27" i="44" s="1"/>
  <c r="U113" i="21" l="1"/>
  <c r="U100" i="21" s="1"/>
  <c r="U95" i="21" s="1"/>
  <c r="U96" i="21" s="1"/>
  <c r="U102" i="21" s="1"/>
  <c r="V13" i="44"/>
  <c r="U90" i="21"/>
  <c r="U91" i="21" s="1"/>
  <c r="U68" i="21"/>
  <c r="V69" i="18"/>
  <c r="U75" i="18"/>
  <c r="U87" i="18"/>
  <c r="U88" i="18"/>
  <c r="U86" i="18"/>
  <c r="U85" i="18"/>
  <c r="V52" i="21"/>
  <c r="V60" i="21"/>
  <c r="U104" i="21" l="1"/>
  <c r="U105" i="21"/>
  <c r="U103" i="21"/>
  <c r="U101" i="21" s="1"/>
  <c r="V59" i="44" s="1"/>
  <c r="V58" i="44"/>
  <c r="V61" i="44"/>
  <c r="V10" i="44"/>
  <c r="U78" i="21"/>
  <c r="U77" i="21"/>
  <c r="V87" i="21" s="1"/>
  <c r="U67" i="21"/>
  <c r="U58" i="21" s="1"/>
  <c r="U57" i="21" s="1"/>
  <c r="V60" i="44"/>
  <c r="U84" i="18"/>
  <c r="V93" i="18" s="1"/>
  <c r="V94" i="18" s="1"/>
  <c r="V92" i="18" s="1"/>
  <c r="V110" i="21"/>
  <c r="V111" i="21" s="1"/>
  <c r="U107" i="21"/>
  <c r="V23" i="21"/>
  <c r="U106" i="21"/>
  <c r="V62" i="44" s="1"/>
  <c r="V51" i="18"/>
  <c r="V59" i="18"/>
  <c r="V70" i="21" l="1"/>
  <c r="U85" i="21"/>
  <c r="U86" i="21"/>
  <c r="U83" i="21"/>
  <c r="V5" i="44"/>
  <c r="U84" i="21"/>
  <c r="V6" i="44"/>
  <c r="U88" i="21"/>
  <c r="V109" i="21"/>
  <c r="U90" i="18"/>
  <c r="U89" i="18"/>
  <c r="V22" i="18"/>
  <c r="V24" i="21"/>
  <c r="V30" i="21"/>
  <c r="V35" i="18"/>
  <c r="V36" i="21" l="1"/>
  <c r="W16" i="44"/>
  <c r="V113" i="21"/>
  <c r="V62" i="21"/>
  <c r="W51" i="21"/>
  <c r="V33" i="21"/>
  <c r="V23" i="18"/>
  <c r="V97" i="18" s="1"/>
  <c r="V29" i="18"/>
  <c r="W13" i="44" l="1"/>
  <c r="V90" i="21"/>
  <c r="V91" i="21" s="1"/>
  <c r="V68" i="21"/>
  <c r="W10" i="44" s="1"/>
  <c r="W18" i="44"/>
  <c r="V59" i="21"/>
  <c r="W8" i="44"/>
  <c r="V100" i="21"/>
  <c r="V61" i="18"/>
  <c r="V58" i="18" s="1"/>
  <c r="W50" i="18"/>
  <c r="V69" i="21"/>
  <c r="V32" i="18"/>
  <c r="V67" i="18" s="1"/>
  <c r="V67" i="21" l="1"/>
  <c r="V58" i="21" s="1"/>
  <c r="V57" i="21" s="1"/>
  <c r="W5" i="44" s="1"/>
  <c r="V78" i="21"/>
  <c r="V88" i="21" s="1"/>
  <c r="V77" i="21"/>
  <c r="W87" i="21" s="1"/>
  <c r="V95" i="21"/>
  <c r="V96" i="21" s="1"/>
  <c r="V103" i="21" s="1"/>
  <c r="V83" i="18"/>
  <c r="V79" i="18" s="1"/>
  <c r="V80" i="18" s="1"/>
  <c r="V68" i="18"/>
  <c r="V66" i="18" s="1"/>
  <c r="V57" i="18" s="1"/>
  <c r="V56" i="18" s="1"/>
  <c r="W27" i="44" s="1"/>
  <c r="V85" i="21" l="1"/>
  <c r="V86" i="21"/>
  <c r="V83" i="21"/>
  <c r="V84" i="21"/>
  <c r="W6" i="44"/>
  <c r="W70" i="21"/>
  <c r="V104" i="21"/>
  <c r="V105" i="21"/>
  <c r="V102" i="21"/>
  <c r="V87" i="18"/>
  <c r="V86" i="18"/>
  <c r="V88" i="18"/>
  <c r="V75" i="18"/>
  <c r="W69" i="18"/>
  <c r="W60" i="21"/>
  <c r="W52" i="21"/>
  <c r="V85" i="18"/>
  <c r="W61" i="44" l="1"/>
  <c r="V101" i="21"/>
  <c r="W23" i="21"/>
  <c r="W30" i="21" s="1"/>
  <c r="W62" i="21" s="1"/>
  <c r="X8" i="44" s="1"/>
  <c r="V84" i="18"/>
  <c r="W93" i="18" s="1"/>
  <c r="W94" i="18" s="1"/>
  <c r="W92" i="18" s="1"/>
  <c r="W59" i="18"/>
  <c r="W51" i="18"/>
  <c r="V106" i="21" l="1"/>
  <c r="W62" i="44" s="1"/>
  <c r="W58" i="44"/>
  <c r="W110" i="21"/>
  <c r="W111" i="21" s="1"/>
  <c r="W109" i="21" s="1"/>
  <c r="W60" i="44"/>
  <c r="W59" i="44"/>
  <c r="V107" i="21"/>
  <c r="W24" i="21"/>
  <c r="W22" i="18"/>
  <c r="W23" i="18" s="1"/>
  <c r="W97" i="18" s="1"/>
  <c r="V89" i="18"/>
  <c r="V90" i="18"/>
  <c r="W59" i="21"/>
  <c r="W35" i="18"/>
  <c r="W36" i="21" l="1"/>
  <c r="X16" i="44"/>
  <c r="W113" i="21"/>
  <c r="W100" i="21" s="1"/>
  <c r="W33" i="21"/>
  <c r="W29" i="18"/>
  <c r="W61" i="18" s="1"/>
  <c r="W58" i="18" s="1"/>
  <c r="W32" i="18"/>
  <c r="W67" i="18" s="1"/>
  <c r="X13" i="44" l="1"/>
  <c r="W90" i="21"/>
  <c r="W91" i="21" s="1"/>
  <c r="W95" i="21"/>
  <c r="W96" i="21" s="1"/>
  <c r="W103" i="21" s="1"/>
  <c r="W68" i="21"/>
  <c r="W77" i="21" s="1"/>
  <c r="X18" i="44"/>
  <c r="W83" i="18"/>
  <c r="W79" i="18" s="1"/>
  <c r="W80" i="18" s="1"/>
  <c r="W85" i="18" s="1"/>
  <c r="W69" i="21"/>
  <c r="W68" i="18"/>
  <c r="W66" i="18" s="1"/>
  <c r="W57" i="18" s="1"/>
  <c r="W56" i="18" s="1"/>
  <c r="W105" i="21" l="1"/>
  <c r="W102" i="21"/>
  <c r="W101" i="21" s="1"/>
  <c r="W104" i="21"/>
  <c r="X61" i="44" s="1"/>
  <c r="W67" i="21"/>
  <c r="W58" i="21" s="1"/>
  <c r="W57" i="21" s="1"/>
  <c r="X27" i="44"/>
  <c r="J14" i="20"/>
  <c r="X6" i="44"/>
  <c r="W78" i="21"/>
  <c r="W88" i="21" s="1"/>
  <c r="X10" i="44"/>
  <c r="W87" i="18"/>
  <c r="W88" i="18"/>
  <c r="W86" i="18"/>
  <c r="W84" i="18" s="1"/>
  <c r="W75" i="18"/>
  <c r="G14" i="20" s="1"/>
  <c r="X5" i="44" l="1"/>
  <c r="W86" i="21"/>
  <c r="W85" i="21"/>
  <c r="W84" i="21"/>
  <c r="W83" i="21"/>
  <c r="W107" i="21"/>
  <c r="X58" i="44"/>
  <c r="X60" i="44"/>
  <c r="X59" i="44"/>
  <c r="W90" i="18"/>
  <c r="W89" i="18"/>
  <c r="W106" i="21"/>
  <c r="X62" i="44" s="1"/>
  <c r="H93" i="17"/>
  <c r="H94" i="17" s="1"/>
  <c r="H92" i="17" s="1"/>
  <c r="H97" i="17" s="1"/>
  <c r="H83" i="17" s="1"/>
  <c r="H35" i="17" l="1"/>
  <c r="H67" i="17" s="1"/>
  <c r="H66" i="17" s="1"/>
  <c r="H57" i="17" s="1"/>
  <c r="H56" i="17" s="1"/>
  <c r="I23" i="44" s="1"/>
  <c r="H79" i="17" l="1"/>
  <c r="H80" i="17" s="1"/>
  <c r="I69" i="17"/>
  <c r="I68" i="17"/>
  <c r="H87" i="17" l="1"/>
  <c r="H86" i="17"/>
  <c r="H85" i="17"/>
  <c r="H88" i="17"/>
  <c r="H84" i="17" l="1"/>
  <c r="I93" i="17" s="1"/>
  <c r="I94" i="17" s="1"/>
  <c r="I92" i="17" s="1"/>
  <c r="I97" i="17" s="1"/>
  <c r="I83" i="17" s="1"/>
  <c r="H89" i="17" l="1"/>
  <c r="H90" i="17"/>
  <c r="I35" i="17"/>
  <c r="I67" i="17" s="1"/>
  <c r="I66" i="17" s="1"/>
  <c r="I57" i="17" s="1"/>
  <c r="I56" i="17" s="1"/>
  <c r="J23" i="44" s="1"/>
  <c r="I79" i="17" l="1"/>
  <c r="I80" i="17" s="1"/>
  <c r="J68" i="17"/>
  <c r="J69" i="17"/>
  <c r="I87" i="17" l="1"/>
  <c r="I88" i="17"/>
  <c r="I86" i="17"/>
  <c r="I85" i="17"/>
  <c r="I84" i="17" l="1"/>
  <c r="J93" i="17" s="1"/>
  <c r="J94" i="17" s="1"/>
  <c r="J92" i="17" s="1"/>
  <c r="J97" i="17" s="1"/>
  <c r="J83" i="17" s="1"/>
  <c r="I89" i="17" l="1"/>
  <c r="I90" i="17"/>
  <c r="J35" i="17"/>
  <c r="J67" i="17" s="1"/>
  <c r="J66" i="17" s="1"/>
  <c r="J57" i="17" s="1"/>
  <c r="J56" i="17" s="1"/>
  <c r="K23" i="44" s="1"/>
  <c r="K37" i="17" l="1"/>
  <c r="K36" i="17"/>
  <c r="K68" i="17"/>
  <c r="K69" i="17"/>
  <c r="J79" i="17"/>
  <c r="J80" i="17" s="1"/>
  <c r="L24" i="44" l="1"/>
  <c r="L25" i="44"/>
  <c r="J88" i="17"/>
  <c r="J85" i="17"/>
  <c r="J87" i="17"/>
  <c r="J86" i="17"/>
  <c r="J84" i="17" l="1"/>
  <c r="J89" i="17" s="1"/>
  <c r="K93" i="17" l="1"/>
  <c r="K94" i="17" s="1"/>
  <c r="K92" i="17" s="1"/>
  <c r="K97" i="17" s="1"/>
  <c r="K83" i="17" s="1"/>
  <c r="J90" i="17"/>
  <c r="K35" i="17" l="1"/>
  <c r="K67" i="17" s="1"/>
  <c r="K66" i="17" s="1"/>
  <c r="K57" i="17" s="1"/>
  <c r="K56" i="17" s="1"/>
  <c r="K79" i="17"/>
  <c r="K80" i="17" s="1"/>
  <c r="L69" i="17" l="1"/>
  <c r="L23" i="44"/>
  <c r="K75" i="17"/>
  <c r="L68" i="17"/>
  <c r="K86" i="17"/>
  <c r="K88" i="17"/>
  <c r="K85" i="17"/>
  <c r="K87" i="17"/>
  <c r="K84" i="17" l="1"/>
  <c r="K90" i="17" s="1"/>
  <c r="K89" i="17" l="1"/>
  <c r="L93" i="17"/>
  <c r="L94" i="17" s="1"/>
  <c r="L92" i="17" s="1"/>
  <c r="L97" i="17" s="1"/>
  <c r="L83" i="17" s="1"/>
  <c r="L79" i="17" l="1"/>
  <c r="L80" i="17" s="1"/>
  <c r="L35" i="17"/>
  <c r="L67" i="17" s="1"/>
  <c r="L66" i="17" s="1"/>
  <c r="L57" i="17" s="1"/>
  <c r="L56" i="17" s="1"/>
  <c r="L75" i="17" l="1"/>
  <c r="M23" i="44"/>
  <c r="M69" i="17"/>
  <c r="M68" i="17"/>
  <c r="L87" i="17"/>
  <c r="L86" i="17"/>
  <c r="L85" i="17"/>
  <c r="L88" i="17"/>
  <c r="L84" i="17" l="1"/>
  <c r="L89" i="17" s="1"/>
  <c r="M93" i="17" l="1"/>
  <c r="M94" i="17" s="1"/>
  <c r="M92" i="17" s="1"/>
  <c r="M97" i="17" s="1"/>
  <c r="M83" i="17" s="1"/>
  <c r="L90" i="17"/>
  <c r="M35" i="17" l="1"/>
  <c r="M67" i="17" s="1"/>
  <c r="M66" i="17" s="1"/>
  <c r="M57" i="17" s="1"/>
  <c r="M56" i="17" s="1"/>
  <c r="N69" i="17" l="1"/>
  <c r="N23" i="44"/>
  <c r="M79" i="17"/>
  <c r="M80" i="17" s="1"/>
  <c r="M86" i="17" s="1"/>
  <c r="N37" i="17"/>
  <c r="N36" i="17"/>
  <c r="M75" i="17"/>
  <c r="N68" i="17"/>
  <c r="O24" i="44" l="1"/>
  <c r="O25" i="44"/>
  <c r="M85" i="17"/>
  <c r="M84" i="17" s="1"/>
  <c r="M88" i="17"/>
  <c r="M87" i="17"/>
  <c r="M90" i="17" l="1"/>
  <c r="N93" i="17"/>
  <c r="N94" i="17" s="1"/>
  <c r="N92" i="17" s="1"/>
  <c r="N97" i="17" s="1"/>
  <c r="N83" i="17" s="1"/>
  <c r="N79" i="17" s="1"/>
  <c r="M89" i="17"/>
  <c r="N35" i="17" l="1"/>
  <c r="N67" i="17" s="1"/>
  <c r="N66" i="17" s="1"/>
  <c r="N57" i="17" s="1"/>
  <c r="N56" i="17" s="1"/>
  <c r="N80" i="17"/>
  <c r="N86" i="17" s="1"/>
  <c r="N87" i="17"/>
  <c r="N88" i="17"/>
  <c r="O68" i="17" l="1"/>
  <c r="O23" i="44"/>
  <c r="O69" i="17"/>
  <c r="N75" i="17"/>
  <c r="N85" i="17"/>
  <c r="N84" i="17" s="1"/>
  <c r="N89" i="17" l="1"/>
  <c r="N90" i="17"/>
  <c r="O93" i="17"/>
  <c r="O94" i="17" s="1"/>
  <c r="O92" i="17" s="1"/>
  <c r="O97" i="17" s="1"/>
  <c r="O83" i="17" s="1"/>
  <c r="O35" i="17" l="1"/>
  <c r="O67" i="17" s="1"/>
  <c r="O66" i="17" s="1"/>
  <c r="O57" i="17" s="1"/>
  <c r="O56" i="17" s="1"/>
  <c r="O79" i="17"/>
  <c r="O80" i="17" s="1"/>
  <c r="P68" i="17" l="1"/>
  <c r="P23" i="44"/>
  <c r="P69" i="17"/>
  <c r="O75" i="17"/>
  <c r="O87" i="17"/>
  <c r="O86" i="17"/>
  <c r="O88" i="17"/>
  <c r="O85" i="17"/>
  <c r="O84" i="17" l="1"/>
  <c r="P93" i="17" s="1"/>
  <c r="P94" i="17" s="1"/>
  <c r="P92" i="17" s="1"/>
  <c r="P97" i="17" s="1"/>
  <c r="P83" i="17" s="1"/>
  <c r="O89" i="17" l="1"/>
  <c r="O90" i="17"/>
  <c r="P35" i="17"/>
  <c r="P67" i="17" s="1"/>
  <c r="P66" i="17" s="1"/>
  <c r="P57" i="17" s="1"/>
  <c r="P56" i="17" s="1"/>
  <c r="Q23" i="44" s="1"/>
  <c r="Q68" i="17" l="1"/>
  <c r="Q69" i="17"/>
  <c r="P75" i="17"/>
  <c r="P79" i="17"/>
  <c r="P80" i="17" s="1"/>
  <c r="P88" i="17" l="1"/>
  <c r="P87" i="17"/>
  <c r="P85" i="17"/>
  <c r="P86" i="17"/>
  <c r="P84" i="17" l="1"/>
  <c r="P90" i="17" l="1"/>
  <c r="Q93" i="17"/>
  <c r="Q94" i="17" s="1"/>
  <c r="Q92" i="17" s="1"/>
  <c r="Q97" i="17" s="1"/>
  <c r="Q83" i="17" s="1"/>
  <c r="P89" i="17"/>
  <c r="Q35" i="17" l="1"/>
  <c r="Q67" i="17" s="1"/>
  <c r="Q66" i="17" s="1"/>
  <c r="Q57" i="17" s="1"/>
  <c r="Q56" i="17" s="1"/>
  <c r="R23" i="44" s="1"/>
  <c r="R68" i="17" l="1"/>
  <c r="R69" i="17"/>
  <c r="Q75" i="17"/>
  <c r="Q79" i="17"/>
  <c r="Q80" i="17" s="1"/>
  <c r="Q85" i="17" l="1"/>
  <c r="Q87" i="17"/>
  <c r="Q88" i="17"/>
  <c r="Q86" i="17"/>
  <c r="Q84" i="17" l="1"/>
  <c r="R93" i="17" l="1"/>
  <c r="R94" i="17" s="1"/>
  <c r="R92" i="17" s="1"/>
  <c r="R97" i="17" s="1"/>
  <c r="R83" i="17" s="1"/>
  <c r="Q90" i="17"/>
  <c r="Q89" i="17"/>
  <c r="R35" i="17" l="1"/>
  <c r="R67" i="17" s="1"/>
  <c r="R66" i="17" s="1"/>
  <c r="R57" i="17" s="1"/>
  <c r="R56" i="17" s="1"/>
  <c r="S23" i="44" s="1"/>
  <c r="R75" i="17" l="1"/>
  <c r="S69" i="17"/>
  <c r="S68" i="17"/>
  <c r="R79" i="17"/>
  <c r="R80" i="17" s="1"/>
  <c r="R87" i="17" l="1"/>
  <c r="R88" i="17"/>
  <c r="R86" i="17"/>
  <c r="R85" i="17"/>
  <c r="R84" i="17" l="1"/>
  <c r="R90" i="17" s="1"/>
  <c r="R89" i="17" l="1"/>
  <c r="S93" i="17"/>
  <c r="S94" i="17" s="1"/>
  <c r="S92" i="17" s="1"/>
  <c r="S97" i="17" s="1"/>
  <c r="S83" i="17" s="1"/>
  <c r="S35" i="17" l="1"/>
  <c r="S67" i="17" s="1"/>
  <c r="S66" i="17" s="1"/>
  <c r="S57" i="17" s="1"/>
  <c r="S56" i="17" s="1"/>
  <c r="S79" i="17"/>
  <c r="S80" i="17" s="1"/>
  <c r="T68" i="17" l="1"/>
  <c r="T23" i="44"/>
  <c r="S75" i="17"/>
  <c r="T69" i="17"/>
  <c r="S87" i="17"/>
  <c r="S86" i="17"/>
  <c r="S88" i="17"/>
  <c r="S85" i="17"/>
  <c r="S84" i="17" l="1"/>
  <c r="S90" i="17" s="1"/>
  <c r="S89" i="17" l="1"/>
  <c r="T93" i="17"/>
  <c r="T94" i="17" s="1"/>
  <c r="T92" i="17" s="1"/>
  <c r="T97" i="17" s="1"/>
  <c r="T83" i="17" s="1"/>
  <c r="T79" i="17" l="1"/>
  <c r="T80" i="17" s="1"/>
  <c r="T35" i="17"/>
  <c r="T67" i="17" s="1"/>
  <c r="T66" i="17" s="1"/>
  <c r="T57" i="17" s="1"/>
  <c r="T56" i="17" s="1"/>
  <c r="U23" i="44" s="1"/>
  <c r="U69" i="17" l="1"/>
  <c r="U68" i="17"/>
  <c r="T75" i="17"/>
  <c r="T85" i="17"/>
  <c r="T88" i="17"/>
  <c r="T86" i="17"/>
  <c r="T87" i="17"/>
  <c r="T84" i="17" l="1"/>
  <c r="T90" i="17" l="1"/>
  <c r="U93" i="17"/>
  <c r="U94" i="17" s="1"/>
  <c r="U92" i="17" s="1"/>
  <c r="U97" i="17" s="1"/>
  <c r="U83" i="17" s="1"/>
  <c r="T89" i="17"/>
  <c r="U35" i="17" l="1"/>
  <c r="U67" i="17" s="1"/>
  <c r="U66" i="17" s="1"/>
  <c r="U57" i="17" s="1"/>
  <c r="U56" i="17" s="1"/>
  <c r="V23" i="44" s="1"/>
  <c r="U79" i="17" l="1"/>
  <c r="U80" i="17" s="1"/>
  <c r="V69" i="17"/>
  <c r="U75" i="17"/>
  <c r="V68" i="17"/>
  <c r="U87" i="17" l="1"/>
  <c r="U85" i="17"/>
  <c r="U86" i="17"/>
  <c r="U88" i="17"/>
  <c r="U84" i="17" l="1"/>
  <c r="U89" i="17" s="1"/>
  <c r="V93" i="17" l="1"/>
  <c r="V94" i="17" s="1"/>
  <c r="V92" i="17" s="1"/>
  <c r="V97" i="17" s="1"/>
  <c r="V83" i="17" s="1"/>
  <c r="U90" i="17"/>
  <c r="V35" i="17" l="1"/>
  <c r="V67" i="17" s="1"/>
  <c r="V66" i="17" s="1"/>
  <c r="V57" i="17" s="1"/>
  <c r="V56" i="17" s="1"/>
  <c r="V79" i="17"/>
  <c r="V80" i="17" s="1"/>
  <c r="V75" i="17" l="1"/>
  <c r="W23" i="44"/>
  <c r="W69" i="17"/>
  <c r="W68" i="17"/>
  <c r="V85" i="17"/>
  <c r="V88" i="17"/>
  <c r="V87" i="17"/>
  <c r="V86" i="17"/>
  <c r="V84" i="17" l="1"/>
  <c r="W93" i="17" s="1"/>
  <c r="W94" i="17" s="1"/>
  <c r="W92" i="17" s="1"/>
  <c r="W97" i="17" s="1"/>
  <c r="W83" i="17" s="1"/>
  <c r="W79" i="17" l="1"/>
  <c r="W35" i="17"/>
  <c r="W67" i="17" s="1"/>
  <c r="W66" i="17" s="1"/>
  <c r="W57" i="17" s="1"/>
  <c r="W56" i="17" s="1"/>
  <c r="X23" i="44" s="1"/>
  <c r="V90" i="17"/>
  <c r="V89" i="17"/>
  <c r="W75" i="17" l="1"/>
  <c r="G13" i="20" s="1"/>
  <c r="J13" i="20"/>
  <c r="W80" i="17"/>
  <c r="W85" i="17" s="1"/>
  <c r="W87" i="17"/>
  <c r="W88" i="17"/>
  <c r="W86" i="17" l="1"/>
  <c r="W84" i="17" s="1"/>
  <c r="W90" i="17" s="1"/>
  <c r="W89" i="17" l="1"/>
  <c r="H94" i="19"/>
  <c r="H95" i="19" s="1"/>
  <c r="H93" i="19" s="1"/>
  <c r="H98" i="19" s="1"/>
  <c r="H84" i="19" s="1"/>
  <c r="H36" i="19" l="1"/>
  <c r="H68" i="19" s="1"/>
  <c r="H67" i="19" s="1"/>
  <c r="H58" i="19" s="1"/>
  <c r="H57" i="19" s="1"/>
  <c r="I30" i="44" s="1"/>
  <c r="H80" i="19" l="1"/>
  <c r="H81" i="19" s="1"/>
  <c r="I70" i="19"/>
  <c r="I69" i="19"/>
  <c r="H87" i="19" l="1"/>
  <c r="H88" i="19"/>
  <c r="H89" i="19"/>
  <c r="H86" i="19"/>
  <c r="H85" i="19" l="1"/>
  <c r="I94" i="19" s="1"/>
  <c r="I95" i="19" s="1"/>
  <c r="I93" i="19" s="1"/>
  <c r="I98" i="19" s="1"/>
  <c r="I84" i="19" s="1"/>
  <c r="I36" i="19" l="1"/>
  <c r="I68" i="19" s="1"/>
  <c r="I67" i="19" s="1"/>
  <c r="I58" i="19" s="1"/>
  <c r="I57" i="19" s="1"/>
  <c r="H90" i="19"/>
  <c r="I80" i="19"/>
  <c r="H91" i="19"/>
  <c r="J69" i="19" l="1"/>
  <c r="J30" i="44"/>
  <c r="J70" i="19"/>
  <c r="I81" i="19"/>
  <c r="I86" i="19" s="1"/>
  <c r="I89" i="19"/>
  <c r="I88" i="19"/>
  <c r="I87" i="19" l="1"/>
  <c r="I85" i="19" s="1"/>
  <c r="I91" i="19" s="1"/>
  <c r="J94" i="19" l="1"/>
  <c r="J95" i="19" s="1"/>
  <c r="J93" i="19" s="1"/>
  <c r="J98" i="19" s="1"/>
  <c r="J84" i="19" s="1"/>
  <c r="I90" i="19"/>
  <c r="J36" i="19" l="1"/>
  <c r="J68" i="19" s="1"/>
  <c r="J67" i="19" s="1"/>
  <c r="J58" i="19" s="1"/>
  <c r="J57" i="19" s="1"/>
  <c r="J80" i="19"/>
  <c r="J81" i="19" s="1"/>
  <c r="K70" i="19" l="1"/>
  <c r="K30" i="44"/>
  <c r="K69" i="19"/>
  <c r="J87" i="19"/>
  <c r="J89" i="19"/>
  <c r="J86" i="19"/>
  <c r="J88" i="19"/>
  <c r="J85" i="19" l="1"/>
  <c r="K94" i="19" s="1"/>
  <c r="K95" i="19" s="1"/>
  <c r="K93" i="19" s="1"/>
  <c r="K98" i="19" s="1"/>
  <c r="K84" i="19" s="1"/>
  <c r="K36" i="19" l="1"/>
  <c r="K68" i="19" s="1"/>
  <c r="K67" i="19" s="1"/>
  <c r="K58" i="19" s="1"/>
  <c r="K57" i="19" s="1"/>
  <c r="J91" i="19"/>
  <c r="J90" i="19"/>
  <c r="K80" i="19"/>
  <c r="L70" i="19" l="1"/>
  <c r="L30" i="44"/>
  <c r="L69" i="19"/>
  <c r="K76" i="19"/>
  <c r="K81" i="19"/>
  <c r="K86" i="19" s="1"/>
  <c r="K88" i="19"/>
  <c r="K89" i="19"/>
  <c r="K87" i="19" l="1"/>
  <c r="K85" i="19" s="1"/>
  <c r="K91" i="19" s="1"/>
  <c r="K90" i="19" l="1"/>
  <c r="L94" i="19"/>
  <c r="L95" i="19" s="1"/>
  <c r="L93" i="19" s="1"/>
  <c r="L98" i="19" s="1"/>
  <c r="L84" i="19" s="1"/>
  <c r="L36" i="19" l="1"/>
  <c r="L68" i="19" s="1"/>
  <c r="L67" i="19" s="1"/>
  <c r="L58" i="19" s="1"/>
  <c r="L57" i="19" s="1"/>
  <c r="L80" i="19"/>
  <c r="L81" i="19" s="1"/>
  <c r="L87" i="19" s="1"/>
  <c r="M69" i="19" l="1"/>
  <c r="M30" i="44"/>
  <c r="M70" i="19"/>
  <c r="L76" i="19"/>
  <c r="L89" i="19"/>
  <c r="L86" i="19"/>
  <c r="L85" i="19" s="1"/>
  <c r="L88" i="19"/>
  <c r="M94" i="19" l="1"/>
  <c r="M95" i="19" s="1"/>
  <c r="M93" i="19" s="1"/>
  <c r="M98" i="19" s="1"/>
  <c r="M84" i="19" s="1"/>
  <c r="L90" i="19"/>
  <c r="L91" i="19"/>
  <c r="M36" i="19" l="1"/>
  <c r="M68" i="19" s="1"/>
  <c r="M67" i="19" s="1"/>
  <c r="M58" i="19" s="1"/>
  <c r="M57" i="19" s="1"/>
  <c r="M80" i="19"/>
  <c r="M81" i="19" s="1"/>
  <c r="M87" i="19" s="1"/>
  <c r="N70" i="19" l="1"/>
  <c r="N30" i="44"/>
  <c r="M76" i="19"/>
  <c r="N69" i="19"/>
  <c r="M88" i="19"/>
  <c r="M89" i="19"/>
  <c r="M86" i="19"/>
  <c r="M85" i="19" s="1"/>
  <c r="N94" i="19" l="1"/>
  <c r="N95" i="19" s="1"/>
  <c r="N93" i="19" s="1"/>
  <c r="N98" i="19" s="1"/>
  <c r="N84" i="19" s="1"/>
  <c r="M91" i="19"/>
  <c r="M90" i="19"/>
  <c r="N36" i="19" l="1"/>
  <c r="N68" i="19" s="1"/>
  <c r="N67" i="19" s="1"/>
  <c r="N58" i="19" s="1"/>
  <c r="N57" i="19" s="1"/>
  <c r="N80" i="19"/>
  <c r="N81" i="19" s="1"/>
  <c r="O70" i="19" l="1"/>
  <c r="O30" i="44"/>
  <c r="O69" i="19"/>
  <c r="N76" i="19"/>
  <c r="N89" i="19"/>
  <c r="N87" i="19"/>
  <c r="N88" i="19"/>
  <c r="N86" i="19"/>
  <c r="N85" i="19" l="1"/>
  <c r="O94" i="19" s="1"/>
  <c r="O95" i="19" s="1"/>
  <c r="O93" i="19" s="1"/>
  <c r="O98" i="19" s="1"/>
  <c r="O84" i="19" s="1"/>
  <c r="N90" i="19" l="1"/>
  <c r="N91" i="19"/>
  <c r="O36" i="19"/>
  <c r="O68" i="19" s="1"/>
  <c r="O67" i="19" s="1"/>
  <c r="O58" i="19" s="1"/>
  <c r="O57" i="19" s="1"/>
  <c r="P30" i="44" s="1"/>
  <c r="O80" i="19" l="1"/>
  <c r="O81" i="19" s="1"/>
  <c r="P69" i="19"/>
  <c r="O76" i="19"/>
  <c r="P70" i="19"/>
  <c r="O88" i="19" l="1"/>
  <c r="O87" i="19"/>
  <c r="O89" i="19"/>
  <c r="O86" i="19"/>
  <c r="O85" i="19" l="1"/>
  <c r="P94" i="19" s="1"/>
  <c r="P95" i="19" s="1"/>
  <c r="P93" i="19" s="1"/>
  <c r="P98" i="19" s="1"/>
  <c r="P84" i="19" s="1"/>
  <c r="O90" i="19" l="1"/>
  <c r="O91" i="19"/>
  <c r="P36" i="19"/>
  <c r="P68" i="19" s="1"/>
  <c r="P67" i="19" s="1"/>
  <c r="P58" i="19" s="1"/>
  <c r="P57" i="19" s="1"/>
  <c r="Q30" i="44" s="1"/>
  <c r="P80" i="19" l="1"/>
  <c r="P81" i="19" s="1"/>
  <c r="Q70" i="19"/>
  <c r="P76" i="19"/>
  <c r="Q69" i="19"/>
  <c r="P86" i="19" l="1"/>
  <c r="P88" i="19"/>
  <c r="P87" i="19"/>
  <c r="P89" i="19"/>
  <c r="P85" i="19" l="1"/>
  <c r="Q94" i="19" s="1"/>
  <c r="Q95" i="19" s="1"/>
  <c r="Q93" i="19" s="1"/>
  <c r="Q98" i="19" s="1"/>
  <c r="Q84" i="19" s="1"/>
  <c r="P91" i="19" l="1"/>
  <c r="P90" i="19"/>
  <c r="Q80" i="19"/>
  <c r="Q36" i="19"/>
  <c r="Q68" i="19" s="1"/>
  <c r="Q67" i="19" s="1"/>
  <c r="Q58" i="19" s="1"/>
  <c r="Q57" i="19" s="1"/>
  <c r="R70" i="19" l="1"/>
  <c r="R30" i="44"/>
  <c r="Q81" i="19"/>
  <c r="Q87" i="19" s="1"/>
  <c r="Q76" i="19"/>
  <c r="R69" i="19"/>
  <c r="Q89" i="19"/>
  <c r="Q88" i="19"/>
  <c r="Q86" i="19" l="1"/>
  <c r="Q85" i="19" s="1"/>
  <c r="Q91" i="19" s="1"/>
  <c r="Q90" i="19" l="1"/>
  <c r="R94" i="19"/>
  <c r="R95" i="19" s="1"/>
  <c r="R93" i="19" s="1"/>
  <c r="R98" i="19" s="1"/>
  <c r="R84" i="19" s="1"/>
  <c r="R36" i="19" l="1"/>
  <c r="R68" i="19" s="1"/>
  <c r="R67" i="19" s="1"/>
  <c r="R58" i="19" s="1"/>
  <c r="R57" i="19" s="1"/>
  <c r="R80" i="19"/>
  <c r="R81" i="19" s="1"/>
  <c r="S70" i="19" l="1"/>
  <c r="S30" i="44"/>
  <c r="S69" i="19"/>
  <c r="R76" i="19"/>
  <c r="R88" i="19"/>
  <c r="R87" i="19"/>
  <c r="R86" i="19"/>
  <c r="R89" i="19"/>
  <c r="R85" i="19" l="1"/>
  <c r="S94" i="19" l="1"/>
  <c r="S95" i="19" s="1"/>
  <c r="S93" i="19" s="1"/>
  <c r="S98" i="19" s="1"/>
  <c r="S84" i="19" s="1"/>
  <c r="R91" i="19"/>
  <c r="R90" i="19"/>
  <c r="S36" i="19" l="1"/>
  <c r="S68" i="19" s="1"/>
  <c r="S67" i="19" s="1"/>
  <c r="S58" i="19" s="1"/>
  <c r="S57" i="19" s="1"/>
  <c r="T30" i="44" s="1"/>
  <c r="S80" i="19"/>
  <c r="S81" i="19" s="1"/>
  <c r="S88" i="19" l="1"/>
  <c r="S87" i="19"/>
  <c r="S86" i="19"/>
  <c r="S89" i="19"/>
  <c r="T69" i="19"/>
  <c r="T70" i="19"/>
  <c r="S76" i="19"/>
  <c r="S85" i="19" l="1"/>
  <c r="T94" i="19" s="1"/>
  <c r="T95" i="19" s="1"/>
  <c r="T93" i="19" s="1"/>
  <c r="T98" i="19" s="1"/>
  <c r="T84" i="19" s="1"/>
  <c r="T36" i="19" l="1"/>
  <c r="T68" i="19" s="1"/>
  <c r="T67" i="19" s="1"/>
  <c r="T58" i="19" s="1"/>
  <c r="T57" i="19" s="1"/>
  <c r="S91" i="19"/>
  <c r="S90" i="19"/>
  <c r="T80" i="19"/>
  <c r="U70" i="19" l="1"/>
  <c r="U30" i="44"/>
  <c r="T76" i="19"/>
  <c r="U69" i="19"/>
  <c r="T81" i="19"/>
  <c r="T86" i="19" s="1"/>
  <c r="T88" i="19"/>
  <c r="T89" i="19"/>
  <c r="T87" i="19" l="1"/>
  <c r="T85" i="19" s="1"/>
  <c r="U94" i="19" s="1"/>
  <c r="U95" i="19" s="1"/>
  <c r="U93" i="19" s="1"/>
  <c r="U98" i="19" s="1"/>
  <c r="U84" i="19" s="1"/>
  <c r="T90" i="19" l="1"/>
  <c r="T91" i="19"/>
  <c r="U36" i="19"/>
  <c r="U68" i="19" s="1"/>
  <c r="U67" i="19" s="1"/>
  <c r="U58" i="19" s="1"/>
  <c r="U57" i="19" s="1"/>
  <c r="V30" i="44" s="1"/>
  <c r="U80" i="19" l="1"/>
  <c r="U81" i="19" s="1"/>
  <c r="V69" i="19"/>
  <c r="V70" i="19"/>
  <c r="U76" i="19"/>
  <c r="U88" i="19" l="1"/>
  <c r="U86" i="19"/>
  <c r="U89" i="19"/>
  <c r="U87" i="19"/>
  <c r="U85" i="19" l="1"/>
  <c r="V94" i="19" s="1"/>
  <c r="V95" i="19" s="1"/>
  <c r="V93" i="19" s="1"/>
  <c r="V98" i="19" l="1"/>
  <c r="V84" i="19" s="1"/>
  <c r="U90" i="19"/>
  <c r="U91" i="19"/>
  <c r="V36" i="19"/>
  <c r="V68" i="19" s="1"/>
  <c r="V67" i="19" s="1"/>
  <c r="V58" i="19" s="1"/>
  <c r="V57" i="19" s="1"/>
  <c r="W30" i="44" s="1"/>
  <c r="V80" i="19" l="1"/>
  <c r="V81" i="19" s="1"/>
  <c r="W70" i="19"/>
  <c r="W69" i="19"/>
  <c r="V76" i="19"/>
  <c r="V88" i="19" l="1"/>
  <c r="V89" i="19"/>
  <c r="V87" i="19"/>
  <c r="V86" i="19"/>
  <c r="V85" i="19" l="1"/>
  <c r="W94" i="19" s="1"/>
  <c r="W95" i="19" s="1"/>
  <c r="W93" i="19" s="1"/>
  <c r="W98" i="19" l="1"/>
  <c r="W84" i="19" s="1"/>
  <c r="V90" i="19"/>
  <c r="V91" i="19"/>
  <c r="W36" i="19"/>
  <c r="W68" i="19" s="1"/>
  <c r="W67" i="19" s="1"/>
  <c r="W58" i="19" s="1"/>
  <c r="W57" i="19" s="1"/>
  <c r="J15" i="20" l="1"/>
  <c r="X30" i="44"/>
  <c r="W76" i="19"/>
  <c r="G15" i="20" s="1"/>
  <c r="H3" i="20" s="1"/>
  <c r="W80" i="19"/>
  <c r="W81" i="19" s="1"/>
  <c r="W88" i="19" l="1"/>
  <c r="W86" i="19"/>
  <c r="W89" i="19"/>
  <c r="W87" i="19"/>
  <c r="W85" i="19" l="1"/>
  <c r="W91" i="19" s="1"/>
  <c r="W90" i="19" l="1"/>
  <c r="H96" i="9"/>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8" i="9"/>
  <c r="N69" i="9" l="1"/>
  <c r="N41" i="44"/>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<sst xmlns="http://schemas.openxmlformats.org/spreadsheetml/2006/main" count="815" uniqueCount="296">
  <si>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</si>
  <si>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</si>
  <si>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</si>
  <si>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</si>
  <si>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</si>
  <si>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</si>
  <si>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</si>
  <si>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</si>
  <si>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</si>
  <si>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</si>
  <si>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</si>
  <si>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</si>
  <si>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</si>
  <si>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</si>
  <si>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</si>
  <si>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</si>
  <si>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</si>
  <si>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</si>
  <si>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</si>
  <si>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</si>
  <si>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</si>
  <si>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</si>
  <si>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</si>
  <si>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</si>
  <si>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</si>
  <si>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</si>
  <si>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</si>
  <si>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</si>
  <si>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</si>
  <si>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</si>
  <si>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</si>
  <si>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</si>
  <si>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</si>
  <si>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</si>
  <si>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</si>
  <si>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</si>
  <si>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</si>
  <si>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</si>
  <si>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</si>
  <si>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</si>
  <si>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</si>
  <si>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</si>
  <si>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</si>
  <si>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</si>
  <si>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</si>
  <si>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</si>
  <si>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</si>
  <si>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</si>
  <si>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</si>
  <si>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</si>
  <si>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</si>
  <si>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</si>
  <si>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</si>
  <si>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</si>
  <si>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</si>
  <si>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</si>
  <si>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</si>
  <si>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</si>
  <si>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</si>
  <si>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</si>
  <si>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</si>
  <si>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</si>
  <si>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</si>
  <si>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</si>
  <si>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</si>
  <si>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</si>
  <si>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</si>
  <si>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</si>
  <si>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</si>
  <si>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</si>
  <si>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</si>
  <si>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</si>
  <si>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</si>
  <si>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</si>
  <si>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</si>
  <si>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</si>
  <si>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</si>
  <si>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</si>
  <si>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</si>
  <si>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</si>
  <si>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</si>
  <si>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</si>
  <si>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</si>
  <si>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</si>
  <si>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</si>
  <si>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</si>
  <si>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</si>
  <si>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</si>
  <si>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</si>
  <si>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</si>
  <si>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</si>
  <si>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</si>
  <si>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</si>
  <si>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</si>
  <si>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</si>
  <si>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</si>
  <si>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</si>
  <si>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</si>
  <si>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</si>
  <si>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</si>
  <si>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</si>
  <si>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</si>
  <si>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</si>
  <si>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</si>
  <si>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</si>
  <si>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</si>
  <si>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</si>
  <si>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</si>
  <si>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</si>
  <si>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</si>
  <si>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</si>
  <si>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</si>
  <si>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</si>
  <si>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</si>
  <si>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</si>
  <si>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</si>
  <si>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</si>
  <si>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</si>
  <si>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</si>
  <si>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</si>
  <si>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</si>
  <si>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</si>
  <si>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</si>
  <si>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</si>
  <si>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</si>
  <si>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</si>
  <si>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</si>
  <si>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</si>
  <si>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</si>
  <si>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</si>
  <si>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</si>
  <si>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</si>
  <si>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</si>
  <si>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</si>
  <si>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</si>
  <si>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</si>
  <si>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</si>
  <si>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</si>
  <si>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</si>
  <si>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</si>
  <si>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</si>
  <si>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</si>
  <si>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</si>
  <si>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</si>
  <si>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</si>
  <si>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</si>
  <si>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</si>
  <si>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</si>
  <si>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</si>
  <si>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</si>
  <si>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</si>
  <si>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</si>
  <si>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</si>
  <si>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</si>
  <si>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</si>
  <si>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</si>
  <si>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</si>
  <si>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</si>
  <si>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</si>
  <si>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</si>
  <si>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</si>
  <si>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</si>
  <si>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</si>
  <si>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SK</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</si>
  <si>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</si>
  <si>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</si>
  <si>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</si>
  <si>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</si>
  <si>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</si>
  <si>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</si>
  <si>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</si>
  <si>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</si>
  <si>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</si>
  <si>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</si>
  <si>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</si>
  <si>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</si>
  <si>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</si>
  <si>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</si>
  <si>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</si>
  <si>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</si>
  <si>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</si>
  <si>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</si>
  <si>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</si>
  <si>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</si>
  <si>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</si>
  <si>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</si>
  <si>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</si>
  <si>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</si>
  <si>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</si>
  <si>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</si>
  <si>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</si>
  <si>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</si>
  <si>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</si>
  <si>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</si>
  <si>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</si>
  <si>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</si>
  <si>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</si>
  <si>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</si>
  <si>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</si>
  <si>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</si>
  <si>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</si>
  <si>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</si>
  <si>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</si>
  <si>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</si>
  <si>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</si>
  <si>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</si>
  <si>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</si>
  <si>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</si>
  <si>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</si>
  <si>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</si>
  <si>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</si>
  <si>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</si>
  <si>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</si>
  <si>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</si>
  <si>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</si>
  <si>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</si>
  <si>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</si>
  <si>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</si>
  <si>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</si>
  <si>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</si>
  <si>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</si>
  <si>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</si>
  <si>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</si>
  <si>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</si>
  <si>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</si>
  <si>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</si>
  <si>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</si>
  <si>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</si>
  <si>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</si>
  <si>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</si>
  <si>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</si>
  <si>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</si>
  <si>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</si>
  <si>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</si>
  <si>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</si>
  <si>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</si>
  <si>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</si>
  <si>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</si>
  <si>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</si>
  <si>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</si>
  <si>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</si>
  <si>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</si>
  <si>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</si>
  <si>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</si>
  <si>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</si>
  <si>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</si>
  <si>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</si>
  <si>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</si>
  <si>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</si>
  <si>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</si>
  <si>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</si>
  <si>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</si>
  <si>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</si>
  <si>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</si>
  <si>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 (SF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</si>
  <si>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Interest rates (SF 2024, %)</t>
  </si>
  <si>
    <t>Inflation (SF 2024, %)</t>
  </si>
  <si>
    <t>Net primary expenditure growth (SF 2024, %)</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</si>
  <si>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</si>
  <si>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</si>
  <si>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</si>
  <si>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</si>
  <si>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</si>
  <si>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</si>
  <si>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</si>
  <si>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</si>
  <si>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</si>
  <si>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</si>
  <si>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</si>
  <si>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</si>
  <si>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</si>
  <si>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</si>
  <si>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June 2024 report under Art. 126(3) of the Treaty recommends opening an EDP. If neither of these conditions are met, the deficit benchmark is not relevant and therefore not applied.</t>
    </r>
  </si>
  <si>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</si>
  <si>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</si>
  <si>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</si>
  <si>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</si>
  <si>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</si>
  <si>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</si>
  <si>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</si>
  <si>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</si>
  <si>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</si>
  <si>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</si>
  <si>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</si>
  <si>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</si>
  <si>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</si>
  <si>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</si>
  <si>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</si>
  <si>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</si>
  <si>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</si>
  <si>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</si>
  <si>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</si>
  <si>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</si>
  <si>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No extension (annual adjustment of 1.3)</t>
  </si>
  <si>
    <t>Extension (annual adjustment of 0.8)</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</si>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</sst>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70">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2" fontId="25" fillId="10" borderId="0" xfId="0" applyNumberFormat="1" applyFont="1" applyFill="1" applyAlignment="1">
      <alignment horizontal="center"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Border="1" applyAlignment="1">
      <alignment horizontal="left" vertical="center" wrapText="1"/>
    </xf>
    <xf numFmtId="0" fontId="33" fillId="2" borderId="0" xfId="6" applyFont="1" applyFill="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0" xfId="6" applyFont="1" applyFill="1" applyAlignment="1">
      <alignment horizontal="justify" vertical="top" wrapText="1"/>
    </xf>
    <xf numFmtId="0" fontId="33" fillId="2" borderId="22" xfId="6" applyFont="1" applyFill="1" applyBorder="1" applyAlignment="1">
      <alignment horizontal="left" vertical="center"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4" fillId="2" borderId="0" xfId="6" applyFont="1" applyFill="1" applyAlignment="1">
      <alignment horizontal="justify" vertical="justify" wrapText="1"/>
    </xf>
    <xf numFmtId="0" fontId="33" fillId="2" borderId="0" xfId="6" applyFont="1" applyFill="1" applyAlignment="1">
      <alignment horizontal="justify" vertical="justify" wrapText="1"/>
    </xf>
    <xf numFmtId="0" fontId="19" fillId="2" borderId="6" xfId="6" applyFont="1" applyFill="1" applyBorder="1" applyAlignment="1">
      <alignment horizontal="left" wrapText="1"/>
    </xf>
    <xf numFmtId="0" fontId="33" fillId="2" borderId="21" xfId="6"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61.633447791006695</c:v>
                </c:pt>
                <c:pt idx="1">
                  <c:v>60.963732291979078</c:v>
                </c:pt>
                <c:pt idx="2">
                  <c:v>53.70726737685888</c:v>
                </c:pt>
                <c:pt idx="3">
                  <c:v>49.933790707824066</c:v>
                </c:pt>
                <c:pt idx="4">
                  <c:v>46.745476949535494</c:v>
                </c:pt>
                <c:pt idx="5">
                  <c:v>44.485532562135653</c:v>
                </c:pt>
                <c:pt idx="6">
                  <c:v>42.961413556418727</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3.3893356323242188</c:v>
                </c:pt>
                <c:pt idx="3">
                  <c:v>4.7699737548828125</c:v>
                </c:pt>
                <c:pt idx="4">
                  <c:v>5.8382797241210938</c:v>
                </c:pt>
                <c:pt idx="5">
                  <c:v>6.6223831176757813</c:v>
                </c:pt>
                <c:pt idx="6">
                  <c:v>7.0826072692871094</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2.4940643310546875</c:v>
                </c:pt>
                <c:pt idx="3">
                  <c:v>3.4445915222167969</c:v>
                </c:pt>
                <c:pt idx="4">
                  <c:v>4.0745620727539063</c:v>
                </c:pt>
                <c:pt idx="5">
                  <c:v>4.7154960632324219</c:v>
                </c:pt>
                <c:pt idx="6">
                  <c:v>5.1765594482421875</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2.4872779846191406</c:v>
                </c:pt>
                <c:pt idx="3">
                  <c:v>3.4487266540527344</c:v>
                </c:pt>
                <c:pt idx="4">
                  <c:v>4.2322845458984375</c:v>
                </c:pt>
                <c:pt idx="5">
                  <c:v>5.0382194519042969</c:v>
                </c:pt>
                <c:pt idx="6">
                  <c:v>5.666656494140625</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3.7760963439941406</c:v>
                </c:pt>
                <c:pt idx="3">
                  <c:v>5.220001220703125</c:v>
                </c:pt>
                <c:pt idx="4">
                  <c:v>6.3053512573242188</c:v>
                </c:pt>
                <c:pt idx="5">
                  <c:v>7.4097671508789063</c:v>
                </c:pt>
                <c:pt idx="6">
                  <c:v>8.4950408935546875</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61.633447791006695</c:v>
                </c:pt>
                <c:pt idx="1">
                  <c:v>60.963732291979078</c:v>
                </c:pt>
                <c:pt idx="2">
                  <c:v>62.077945324856927</c:v>
                </c:pt>
                <c:pt idx="3">
                  <c:v>61.59708263897641</c:v>
                </c:pt>
                <c:pt idx="4">
                  <c:v>60.890603292308931</c:v>
                </c:pt>
                <c:pt idx="5">
                  <c:v>60.861631194948153</c:v>
                </c:pt>
                <c:pt idx="6">
                  <c:v>60.887236768088648</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61.633447791006695</c:v>
                </c:pt>
                <c:pt idx="1">
                  <c:v>60.963732291979078</c:v>
                </c:pt>
                <c:pt idx="2">
                  <c:v>57.096603009183099</c:v>
                </c:pt>
                <c:pt idx="3">
                  <c:v>54.703764462706879</c:v>
                </c:pt>
                <c:pt idx="4">
                  <c:v>52.583756673656588</c:v>
                </c:pt>
                <c:pt idx="5">
                  <c:v>51.107915679811434</c:v>
                </c:pt>
                <c:pt idx="6">
                  <c:v>50.044020825705836</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61.633447791006695</c:v>
                </c:pt>
                <c:pt idx="1">
                  <c:v>60.963732291979078</c:v>
                </c:pt>
                <c:pt idx="2">
                  <c:v>65.854041668851067</c:v>
                </c:pt>
                <c:pt idx="3">
                  <c:v>66.817083859679542</c:v>
                </c:pt>
                <c:pt idx="4">
                  <c:v>67.195954549633143</c:v>
                </c:pt>
                <c:pt idx="5">
                  <c:v>68.271398345827066</c:v>
                </c:pt>
                <c:pt idx="6">
                  <c:v>69.382277661643343</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GB"/>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61.633447791006695</c:v>
                </c:pt>
                <c:pt idx="1">
                  <c:v>60.963732291979078</c:v>
                </c:pt>
                <c:pt idx="2">
                  <c:v>59.590667340237786</c:v>
                </c:pt>
                <c:pt idx="3">
                  <c:v>58.148355984923676</c:v>
                </c:pt>
                <c:pt idx="4">
                  <c:v>56.658318746410494</c:v>
                </c:pt>
                <c:pt idx="5">
                  <c:v>55.823411743043856</c:v>
                </c:pt>
                <c:pt idx="6">
                  <c:v>55.220580273948023</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61.633447791006695</c:v>
                </c:pt>
                <c:pt idx="1">
                  <c:v>60.963732291979078</c:v>
                </c:pt>
                <c:pt idx="2">
                  <c:v>53.70726737685888</c:v>
                </c:pt>
                <c:pt idx="3">
                  <c:v>49.933790707824066</c:v>
                </c:pt>
                <c:pt idx="4">
                  <c:v>46.745476949535494</c:v>
                </c:pt>
                <c:pt idx="5">
                  <c:v>44.485532562135653</c:v>
                </c:pt>
                <c:pt idx="6">
                  <c:v>42.961413556418727</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tabSelected="1" zoomScaleNormal="100" workbookViewId="0"/>
  </sheetViews>
  <sheetFormatPr defaultColWidth="9.28515625" defaultRowHeight="15" x14ac:dyDescent="0.25"/>
  <cols>
    <col min="1" max="3" width="9.28515625" style="173"/>
    <col min="4" max="4" width="7.28515625" style="173" customWidth="1"/>
    <col min="5" max="5" width="6.140625" style="173" customWidth="1"/>
    <col min="6" max="6" width="3.140625" style="173" customWidth="1"/>
    <col min="7" max="13" width="9.28515625" style="173"/>
    <col min="14" max="14" width="18.140625" style="173" customWidth="1"/>
    <col min="15" max="16384" width="9.28515625" style="173"/>
  </cols>
  <sheetData>
    <row r="2" spans="2:12" x14ac:dyDescent="0.25">
      <c r="B2" s="169"/>
      <c r="C2" s="170"/>
      <c r="D2" s="170"/>
      <c r="E2" s="170"/>
      <c r="F2" s="170"/>
      <c r="G2" s="171"/>
      <c r="H2" s="170"/>
      <c r="I2" s="170"/>
      <c r="J2" s="170"/>
      <c r="K2" s="170"/>
      <c r="L2" s="172"/>
    </row>
    <row r="3" spans="2:12" x14ac:dyDescent="0.25">
      <c r="B3" s="174"/>
      <c r="C3" s="175"/>
      <c r="D3" s="175"/>
      <c r="E3" s="175"/>
      <c r="F3" s="175"/>
      <c r="G3" s="176"/>
      <c r="H3" s="175"/>
      <c r="I3" s="175"/>
      <c r="J3" s="175"/>
      <c r="K3" s="175"/>
      <c r="L3" s="177"/>
    </row>
    <row r="4" spans="2:12" x14ac:dyDescent="0.25">
      <c r="B4" s="174"/>
      <c r="C4" s="175"/>
      <c r="D4" s="175"/>
      <c r="E4" s="175"/>
      <c r="F4" s="175"/>
      <c r="G4" s="178" t="s">
        <v>0</v>
      </c>
      <c r="H4" s="175"/>
      <c r="I4" s="175"/>
      <c r="J4" s="175"/>
      <c r="K4" s="175"/>
      <c r="L4" s="177"/>
    </row>
    <row r="5" spans="2:12" x14ac:dyDescent="0.25">
      <c r="B5" s="174"/>
      <c r="C5" s="175"/>
      <c r="D5" s="175"/>
      <c r="E5" s="175"/>
      <c r="F5" s="175"/>
      <c r="G5" s="176"/>
      <c r="H5" s="175"/>
      <c r="I5" s="175"/>
      <c r="J5" s="175"/>
      <c r="K5" s="175"/>
      <c r="L5" s="177"/>
    </row>
    <row r="6" spans="2:12" x14ac:dyDescent="0.25">
      <c r="B6" s="174"/>
      <c r="C6" s="175"/>
      <c r="D6" s="175"/>
      <c r="E6" s="175"/>
      <c r="F6" s="175"/>
      <c r="G6" s="176" t="s">
        <v>1</v>
      </c>
      <c r="H6" s="175"/>
      <c r="I6" s="175"/>
      <c r="J6" s="175"/>
      <c r="K6" s="175"/>
      <c r="L6" s="177"/>
    </row>
    <row r="7" spans="2:12" x14ac:dyDescent="0.25">
      <c r="B7" s="174"/>
      <c r="C7" s="175"/>
      <c r="D7" s="175"/>
      <c r="E7" s="175"/>
      <c r="F7" s="175"/>
      <c r="G7" s="176" t="s">
        <v>2</v>
      </c>
      <c r="H7" s="175"/>
      <c r="I7" s="175"/>
      <c r="J7" s="175"/>
      <c r="K7" s="175"/>
      <c r="L7" s="177"/>
    </row>
    <row r="8" spans="2:12" x14ac:dyDescent="0.25">
      <c r="B8" s="174"/>
      <c r="C8" s="175"/>
      <c r="D8" s="175"/>
      <c r="E8" s="175"/>
      <c r="F8" s="175"/>
      <c r="G8" s="179" t="s">
        <v>3</v>
      </c>
      <c r="H8" s="175"/>
      <c r="I8" s="175"/>
      <c r="J8" s="175"/>
      <c r="K8" s="175"/>
      <c r="L8" s="177"/>
    </row>
    <row r="9" spans="2:12" x14ac:dyDescent="0.25">
      <c r="B9" s="174"/>
      <c r="C9" s="175"/>
      <c r="D9" s="175"/>
      <c r="E9" s="175"/>
      <c r="F9" s="175"/>
      <c r="G9" s="176"/>
      <c r="H9" s="175"/>
      <c r="I9" s="175"/>
      <c r="J9" s="175"/>
      <c r="K9" s="175"/>
      <c r="L9" s="177"/>
    </row>
    <row r="10" spans="2:12" x14ac:dyDescent="0.25">
      <c r="B10" s="174"/>
      <c r="C10" s="175"/>
      <c r="D10" s="175"/>
      <c r="E10" s="175"/>
      <c r="F10" s="175"/>
      <c r="G10" s="176"/>
      <c r="H10" s="175"/>
      <c r="I10" s="175"/>
      <c r="J10" s="175"/>
      <c r="K10" s="175"/>
      <c r="L10" s="177"/>
    </row>
    <row r="11" spans="2:12" x14ac:dyDescent="0.25">
      <c r="B11" s="180"/>
      <c r="C11" s="181"/>
      <c r="D11" s="181"/>
      <c r="E11" s="181"/>
      <c r="F11" s="181"/>
      <c r="G11" s="181"/>
      <c r="H11" s="181"/>
      <c r="I11" s="181"/>
      <c r="J11" s="181"/>
      <c r="K11" s="181"/>
      <c r="L11" s="182"/>
    </row>
    <row r="15" spans="2:12" x14ac:dyDescent="0.25">
      <c r="B15" s="169"/>
      <c r="C15" s="170"/>
      <c r="D15" s="170"/>
      <c r="E15" s="170"/>
      <c r="F15" s="170"/>
      <c r="G15" s="170"/>
      <c r="H15" s="170"/>
      <c r="I15" s="170"/>
      <c r="J15" s="170"/>
      <c r="K15" s="170"/>
      <c r="L15" s="172"/>
    </row>
    <row r="16" spans="2:12" x14ac:dyDescent="0.25">
      <c r="B16" s="174"/>
      <c r="C16" s="178" t="s">
        <v>4</v>
      </c>
      <c r="D16" s="176"/>
      <c r="E16" s="176"/>
      <c r="F16" s="176"/>
      <c r="G16" s="176"/>
      <c r="H16" s="176"/>
      <c r="I16" s="176"/>
      <c r="J16" s="176"/>
      <c r="K16" s="176"/>
      <c r="L16" s="177"/>
    </row>
    <row r="17" spans="2:14" x14ac:dyDescent="0.25">
      <c r="B17" s="174"/>
      <c r="C17" s="176"/>
      <c r="D17" s="176"/>
      <c r="E17" s="176"/>
      <c r="F17" s="176"/>
      <c r="G17" s="178"/>
      <c r="H17" s="176"/>
      <c r="I17" s="176"/>
      <c r="J17" s="176"/>
      <c r="K17" s="176"/>
      <c r="L17" s="177"/>
    </row>
    <row r="18" spans="2:14" ht="15" customHeight="1" x14ac:dyDescent="0.25">
      <c r="B18" s="174"/>
      <c r="C18" s="394" t="s">
        <v>254</v>
      </c>
      <c r="D18" s="394"/>
      <c r="E18" s="394"/>
      <c r="F18" s="394"/>
      <c r="G18" s="394"/>
      <c r="H18" s="394"/>
      <c r="I18" s="394"/>
      <c r="J18" s="394"/>
      <c r="K18" s="394"/>
      <c r="L18" s="177"/>
      <c r="N18" s="292"/>
    </row>
    <row r="19" spans="2:14" x14ac:dyDescent="0.25">
      <c r="B19" s="174"/>
      <c r="C19" s="394"/>
      <c r="D19" s="394"/>
      <c r="E19" s="394"/>
      <c r="F19" s="394"/>
      <c r="G19" s="394"/>
      <c r="H19" s="394"/>
      <c r="I19" s="394"/>
      <c r="J19" s="394"/>
      <c r="K19" s="394"/>
      <c r="L19" s="177"/>
    </row>
    <row r="20" spans="2:14" x14ac:dyDescent="0.25">
      <c r="B20" s="174"/>
      <c r="C20" s="394"/>
      <c r="D20" s="394"/>
      <c r="E20" s="394"/>
      <c r="F20" s="394"/>
      <c r="G20" s="394"/>
      <c r="H20" s="394"/>
      <c r="I20" s="394"/>
      <c r="J20" s="394"/>
      <c r="K20" s="394"/>
      <c r="L20" s="177"/>
    </row>
    <row r="21" spans="2:14" ht="9" customHeight="1" x14ac:dyDescent="0.25">
      <c r="B21" s="174"/>
      <c r="C21" s="176"/>
      <c r="D21" s="176"/>
      <c r="E21" s="176"/>
      <c r="F21" s="176"/>
      <c r="G21" s="176"/>
      <c r="H21" s="176"/>
      <c r="I21" s="176"/>
      <c r="J21" s="176"/>
      <c r="K21" s="176"/>
      <c r="L21" s="177"/>
    </row>
    <row r="22" spans="2:14" ht="15" customHeight="1" x14ac:dyDescent="0.25">
      <c r="B22" s="174"/>
      <c r="C22" s="394" t="s">
        <v>277</v>
      </c>
      <c r="D22" s="394"/>
      <c r="E22" s="394"/>
      <c r="F22" s="394"/>
      <c r="G22" s="394"/>
      <c r="H22" s="394"/>
      <c r="I22" s="394"/>
      <c r="J22" s="394"/>
      <c r="K22" s="394"/>
      <c r="L22" s="177"/>
    </row>
    <row r="23" spans="2:14" x14ac:dyDescent="0.25">
      <c r="B23" s="174"/>
      <c r="C23" s="394"/>
      <c r="D23" s="394"/>
      <c r="E23" s="394"/>
      <c r="F23" s="394"/>
      <c r="G23" s="394"/>
      <c r="H23" s="394"/>
      <c r="I23" s="394"/>
      <c r="J23" s="394"/>
      <c r="K23" s="394"/>
      <c r="L23" s="177"/>
    </row>
    <row r="24" spans="2:14" x14ac:dyDescent="0.25">
      <c r="B24" s="174"/>
      <c r="C24" s="394"/>
      <c r="D24" s="394"/>
      <c r="E24" s="394"/>
      <c r="F24" s="394"/>
      <c r="G24" s="394"/>
      <c r="H24" s="394"/>
      <c r="I24" s="394"/>
      <c r="J24" s="394"/>
      <c r="K24" s="394"/>
      <c r="L24" s="177"/>
    </row>
    <row r="25" spans="2:14" ht="30" customHeight="1" x14ac:dyDescent="0.25">
      <c r="B25" s="174"/>
      <c r="C25" s="394"/>
      <c r="D25" s="394"/>
      <c r="E25" s="394"/>
      <c r="F25" s="394"/>
      <c r="G25" s="394"/>
      <c r="H25" s="394"/>
      <c r="I25" s="394"/>
      <c r="J25" s="394"/>
      <c r="K25" s="394"/>
      <c r="L25" s="177"/>
      <c r="N25" s="269"/>
    </row>
    <row r="26" spans="2:14" x14ac:dyDescent="0.25">
      <c r="B26" s="174"/>
      <c r="C26" s="218"/>
      <c r="D26" s="218"/>
      <c r="E26" s="218"/>
      <c r="F26" s="218"/>
      <c r="G26" s="218"/>
      <c r="H26" s="218"/>
      <c r="I26" s="218"/>
      <c r="J26" s="218"/>
      <c r="K26" s="218"/>
      <c r="L26" s="177"/>
    </row>
    <row r="27" spans="2:14" x14ac:dyDescent="0.25">
      <c r="B27" s="174"/>
      <c r="C27" s="401" t="s">
        <v>5</v>
      </c>
      <c r="D27" s="401"/>
      <c r="E27" s="401"/>
      <c r="F27" s="401"/>
      <c r="G27" s="401"/>
      <c r="H27" s="401"/>
      <c r="I27" s="401"/>
      <c r="J27" s="401"/>
      <c r="K27" s="401"/>
      <c r="L27" s="177"/>
    </row>
    <row r="28" spans="2:14" x14ac:dyDescent="0.25">
      <c r="B28" s="174"/>
      <c r="C28" s="297"/>
      <c r="D28" s="297"/>
      <c r="E28" s="297"/>
      <c r="F28" s="297"/>
      <c r="G28" s="297"/>
      <c r="H28" s="297"/>
      <c r="I28" s="297"/>
      <c r="J28" s="297"/>
      <c r="K28" s="297"/>
      <c r="L28" s="177"/>
    </row>
    <row r="29" spans="2:14" ht="230.1" customHeight="1" x14ac:dyDescent="0.25">
      <c r="B29" s="174"/>
      <c r="C29" s="394" t="s">
        <v>289</v>
      </c>
      <c r="D29" s="394"/>
      <c r="E29" s="394"/>
      <c r="F29" s="394"/>
      <c r="G29" s="394"/>
      <c r="H29" s="394"/>
      <c r="I29" s="394"/>
      <c r="J29" s="394"/>
      <c r="K29" s="394"/>
      <c r="L29" s="177"/>
      <c r="N29" s="293"/>
    </row>
    <row r="30" spans="2:14" x14ac:dyDescent="0.25">
      <c r="B30" s="174"/>
      <c r="C30" s="297"/>
      <c r="D30" s="297"/>
      <c r="E30" s="297"/>
      <c r="F30" s="297"/>
      <c r="G30" s="297"/>
      <c r="H30" s="297"/>
      <c r="I30" s="297"/>
      <c r="J30" s="297"/>
      <c r="K30" s="297"/>
      <c r="L30" s="177"/>
      <c r="N30" s="195"/>
    </row>
    <row r="31" spans="2:14" x14ac:dyDescent="0.25">
      <c r="B31" s="174"/>
      <c r="C31" s="402" t="s">
        <v>6</v>
      </c>
      <c r="D31" s="402"/>
      <c r="E31" s="402"/>
      <c r="F31" s="402"/>
      <c r="G31" s="402"/>
      <c r="H31" s="402"/>
      <c r="I31" s="402"/>
      <c r="J31" s="402"/>
      <c r="K31" s="402"/>
      <c r="L31" s="177"/>
    </row>
    <row r="32" spans="2:14" x14ac:dyDescent="0.25">
      <c r="B32" s="174"/>
      <c r="C32" s="218"/>
      <c r="D32" s="183"/>
      <c r="E32" s="183"/>
      <c r="F32" s="183"/>
      <c r="G32" s="183"/>
      <c r="H32" s="183"/>
      <c r="I32" s="183"/>
      <c r="J32" s="183"/>
      <c r="K32" s="183"/>
      <c r="L32" s="177"/>
    </row>
    <row r="33" spans="2:14" ht="36" customHeight="1" thickBot="1" x14ac:dyDescent="0.3">
      <c r="B33" s="174"/>
      <c r="C33" s="184"/>
      <c r="D33" s="394" t="s">
        <v>268</v>
      </c>
      <c r="E33" s="394"/>
      <c r="F33" s="394"/>
      <c r="G33" s="394"/>
      <c r="H33" s="394"/>
      <c r="I33" s="394"/>
      <c r="J33" s="394"/>
      <c r="K33" s="394"/>
      <c r="L33" s="177"/>
      <c r="M33" s="268"/>
      <c r="N33" s="295"/>
    </row>
    <row r="34" spans="2:14" s="383" customFormat="1" ht="50.1" customHeight="1" thickTop="1" thickBot="1" x14ac:dyDescent="0.25">
      <c r="B34" s="378"/>
      <c r="C34" s="379"/>
      <c r="D34" s="194"/>
      <c r="E34" s="380"/>
      <c r="F34" s="395" t="s">
        <v>284</v>
      </c>
      <c r="G34" s="391"/>
      <c r="H34" s="391"/>
      <c r="I34" s="391"/>
      <c r="J34" s="391"/>
      <c r="K34" s="391"/>
      <c r="L34" s="381"/>
      <c r="M34" s="382"/>
      <c r="N34" s="295"/>
    </row>
    <row r="35" spans="2:14" s="383" customFormat="1" ht="33" customHeight="1" thickTop="1" x14ac:dyDescent="0.2">
      <c r="B35" s="378"/>
      <c r="C35" s="379"/>
      <c r="D35" s="194"/>
      <c r="E35" s="384"/>
      <c r="F35" s="390" t="s">
        <v>285</v>
      </c>
      <c r="G35" s="390"/>
      <c r="H35" s="390"/>
      <c r="I35" s="390"/>
      <c r="J35" s="390"/>
      <c r="K35" s="390"/>
      <c r="L35" s="381"/>
      <c r="M35" s="382"/>
      <c r="N35" s="295"/>
    </row>
    <row r="36" spans="2:14" s="383" customFormat="1" ht="33" customHeight="1" x14ac:dyDescent="0.2">
      <c r="B36" s="378"/>
      <c r="C36" s="379"/>
      <c r="D36" s="194"/>
      <c r="E36" s="385"/>
      <c r="F36" s="390"/>
      <c r="G36" s="390"/>
      <c r="H36" s="390"/>
      <c r="I36" s="390"/>
      <c r="J36" s="390"/>
      <c r="K36" s="390"/>
      <c r="L36" s="381"/>
      <c r="M36" s="382"/>
      <c r="N36" s="295"/>
    </row>
    <row r="37" spans="2:14" s="383" customFormat="1" ht="66" customHeight="1" x14ac:dyDescent="0.2">
      <c r="B37" s="378"/>
      <c r="C37" s="379"/>
      <c r="D37" s="194"/>
      <c r="E37" s="386"/>
      <c r="F37" s="390" t="s">
        <v>286</v>
      </c>
      <c r="G37" s="391"/>
      <c r="H37" s="391"/>
      <c r="I37" s="391"/>
      <c r="J37" s="391"/>
      <c r="K37" s="391"/>
      <c r="L37" s="381"/>
      <c r="M37" s="382"/>
      <c r="N37" s="295"/>
    </row>
    <row r="38" spans="2:14" ht="9" customHeight="1" x14ac:dyDescent="0.25">
      <c r="B38" s="174"/>
      <c r="C38" s="184"/>
      <c r="D38" s="392"/>
      <c r="E38" s="392"/>
      <c r="F38" s="392"/>
      <c r="G38" s="392"/>
      <c r="H38" s="392"/>
      <c r="I38" s="392"/>
      <c r="J38" s="392"/>
      <c r="K38" s="392"/>
      <c r="L38" s="393"/>
      <c r="M38" s="268"/>
      <c r="N38" s="295"/>
    </row>
    <row r="39" spans="2:14" ht="102.75" customHeight="1" x14ac:dyDescent="0.25">
      <c r="B39" s="174"/>
      <c r="C39" s="184"/>
      <c r="D39" s="394" t="s">
        <v>269</v>
      </c>
      <c r="E39" s="394"/>
      <c r="F39" s="394"/>
      <c r="G39" s="394"/>
      <c r="H39" s="394"/>
      <c r="I39" s="394"/>
      <c r="J39" s="394"/>
      <c r="K39" s="394"/>
      <c r="L39" s="177"/>
      <c r="M39" s="268"/>
      <c r="N39" s="295"/>
    </row>
    <row r="40" spans="2:14" ht="52.5" customHeight="1" x14ac:dyDescent="0.25">
      <c r="B40" s="174"/>
      <c r="C40" s="184"/>
      <c r="D40" s="394" t="s">
        <v>281</v>
      </c>
      <c r="E40" s="394"/>
      <c r="F40" s="394"/>
      <c r="G40" s="394"/>
      <c r="H40" s="394"/>
      <c r="I40" s="394"/>
      <c r="J40" s="394"/>
      <c r="K40" s="394"/>
      <c r="L40" s="177"/>
      <c r="M40" s="268"/>
      <c r="N40" s="270"/>
    </row>
    <row r="41" spans="2:14" ht="41.25" customHeight="1" x14ac:dyDescent="0.25">
      <c r="B41" s="174"/>
      <c r="C41" s="184"/>
      <c r="D41" s="394" t="s">
        <v>279</v>
      </c>
      <c r="E41" s="394"/>
      <c r="F41" s="394"/>
      <c r="G41" s="394"/>
      <c r="H41" s="394"/>
      <c r="I41" s="394"/>
      <c r="J41" s="394"/>
      <c r="K41" s="394"/>
      <c r="L41" s="177"/>
      <c r="M41" s="268"/>
      <c r="N41" s="270"/>
    </row>
    <row r="42" spans="2:14" ht="96.75" customHeight="1" x14ac:dyDescent="0.25">
      <c r="B42" s="174"/>
      <c r="C42" s="184"/>
      <c r="D42" s="394" t="s">
        <v>280</v>
      </c>
      <c r="E42" s="394"/>
      <c r="F42" s="394"/>
      <c r="G42" s="394"/>
      <c r="H42" s="394"/>
      <c r="I42" s="394"/>
      <c r="J42" s="394"/>
      <c r="K42" s="394"/>
      <c r="L42" s="177"/>
      <c r="M42" s="268"/>
      <c r="N42" s="295"/>
    </row>
    <row r="43" spans="2:14" ht="144" customHeight="1" x14ac:dyDescent="0.25">
      <c r="B43" s="174"/>
      <c r="C43" s="184"/>
      <c r="D43" s="394" t="s">
        <v>267</v>
      </c>
      <c r="E43" s="394"/>
      <c r="F43" s="394"/>
      <c r="G43" s="394"/>
      <c r="H43" s="394"/>
      <c r="I43" s="394"/>
      <c r="J43" s="394"/>
      <c r="K43" s="394"/>
      <c r="L43" s="177"/>
      <c r="M43" s="268"/>
      <c r="N43" s="295"/>
    </row>
    <row r="44" spans="2:14" ht="66" customHeight="1" x14ac:dyDescent="0.25">
      <c r="B44" s="174"/>
      <c r="C44" s="184"/>
      <c r="D44" s="394" t="s">
        <v>266</v>
      </c>
      <c r="E44" s="394"/>
      <c r="F44" s="394"/>
      <c r="G44" s="394"/>
      <c r="H44" s="394"/>
      <c r="I44" s="394"/>
      <c r="J44" s="394"/>
      <c r="K44" s="394"/>
      <c r="L44" s="177"/>
      <c r="M44" s="268"/>
      <c r="N44" s="270"/>
    </row>
    <row r="45" spans="2:14" ht="68.25" customHeight="1" x14ac:dyDescent="0.25">
      <c r="B45" s="174"/>
      <c r="C45" s="184"/>
      <c r="D45" s="394" t="s">
        <v>278</v>
      </c>
      <c r="E45" s="394"/>
      <c r="F45" s="394"/>
      <c r="G45" s="394"/>
      <c r="H45" s="394"/>
      <c r="I45" s="394"/>
      <c r="J45" s="394"/>
      <c r="K45" s="394"/>
      <c r="L45" s="177"/>
      <c r="M45" s="268"/>
      <c r="N45" s="270"/>
    </row>
    <row r="46" spans="2:14" x14ac:dyDescent="0.25">
      <c r="B46" s="174"/>
      <c r="C46" s="218"/>
      <c r="D46" s="183"/>
      <c r="E46" s="183"/>
      <c r="F46" s="183"/>
      <c r="G46" s="183"/>
      <c r="H46" s="183"/>
      <c r="I46" s="183"/>
      <c r="J46" s="183"/>
      <c r="K46" s="183"/>
      <c r="L46" s="177"/>
    </row>
    <row r="47" spans="2:14" ht="61.9" customHeight="1" x14ac:dyDescent="0.25">
      <c r="B47" s="174"/>
      <c r="C47" s="185"/>
      <c r="D47" s="394" t="s">
        <v>183</v>
      </c>
      <c r="E47" s="394"/>
      <c r="F47" s="394"/>
      <c r="G47" s="394"/>
      <c r="H47" s="394"/>
      <c r="I47" s="394"/>
      <c r="J47" s="394"/>
      <c r="K47" s="394"/>
      <c r="L47" s="177"/>
      <c r="N47" s="295"/>
    </row>
    <row r="48" spans="2:14" ht="32.450000000000003" customHeight="1" x14ac:dyDescent="0.25">
      <c r="B48" s="174"/>
      <c r="C48" s="185"/>
      <c r="D48" s="394" t="s">
        <v>7</v>
      </c>
      <c r="E48" s="394"/>
      <c r="F48" s="394"/>
      <c r="G48" s="394"/>
      <c r="H48" s="394"/>
      <c r="I48" s="394"/>
      <c r="J48" s="394"/>
      <c r="K48" s="394"/>
      <c r="L48" s="177"/>
    </row>
    <row r="49" spans="2:14" ht="33.6" customHeight="1" x14ac:dyDescent="0.25">
      <c r="B49" s="174"/>
      <c r="C49" s="185"/>
      <c r="D49" s="186"/>
      <c r="E49" s="187"/>
      <c r="F49" s="394" t="s">
        <v>270</v>
      </c>
      <c r="G49" s="394"/>
      <c r="H49" s="394"/>
      <c r="I49" s="394"/>
      <c r="J49" s="394"/>
      <c r="K49" s="394"/>
      <c r="L49" s="177"/>
    </row>
    <row r="50" spans="2:14" ht="98.25" customHeight="1" x14ac:dyDescent="0.25">
      <c r="B50" s="174"/>
      <c r="C50" s="185"/>
      <c r="D50" s="186"/>
      <c r="E50" s="368"/>
      <c r="F50" s="391" t="s">
        <v>272</v>
      </c>
      <c r="G50" s="391"/>
      <c r="H50" s="391"/>
      <c r="I50" s="391"/>
      <c r="J50" s="391"/>
      <c r="K50" s="391"/>
      <c r="L50" s="177"/>
    </row>
    <row r="51" spans="2:14" ht="32.25" customHeight="1" x14ac:dyDescent="0.25">
      <c r="B51" s="174"/>
      <c r="C51" s="185"/>
      <c r="D51" s="186"/>
      <c r="E51" s="188"/>
      <c r="F51" s="396" t="s">
        <v>245</v>
      </c>
      <c r="G51" s="396"/>
      <c r="H51" s="396"/>
      <c r="I51" s="396"/>
      <c r="J51" s="396"/>
      <c r="K51" s="396"/>
      <c r="L51" s="177"/>
    </row>
    <row r="52" spans="2:14" ht="92.25" customHeight="1" x14ac:dyDescent="0.25">
      <c r="B52" s="174"/>
      <c r="C52" s="185"/>
      <c r="D52" s="186"/>
      <c r="E52" s="243"/>
      <c r="F52" s="396" t="s">
        <v>8</v>
      </c>
      <c r="G52" s="396"/>
      <c r="H52" s="396"/>
      <c r="I52" s="396"/>
      <c r="J52" s="396"/>
      <c r="K52" s="396"/>
      <c r="L52" s="177"/>
    </row>
    <row r="53" spans="2:14" ht="23.25" customHeight="1" x14ac:dyDescent="0.25">
      <c r="B53" s="174"/>
      <c r="C53" s="185"/>
      <c r="D53" s="186"/>
      <c r="E53" s="198"/>
      <c r="F53" s="396" t="s">
        <v>9</v>
      </c>
      <c r="G53" s="396"/>
      <c r="H53" s="396"/>
      <c r="I53" s="396"/>
      <c r="J53" s="396"/>
      <c r="K53" s="396"/>
      <c r="L53" s="177"/>
    </row>
    <row r="54" spans="2:14" ht="121.5" customHeight="1" x14ac:dyDescent="0.25">
      <c r="B54" s="174"/>
      <c r="C54" s="185"/>
      <c r="D54" s="394" t="s">
        <v>273</v>
      </c>
      <c r="E54" s="394"/>
      <c r="F54" s="394"/>
      <c r="G54" s="394"/>
      <c r="H54" s="394"/>
      <c r="I54" s="394"/>
      <c r="J54" s="394"/>
      <c r="K54" s="394"/>
      <c r="L54" s="177"/>
      <c r="N54" s="294"/>
    </row>
    <row r="55" spans="2:14" x14ac:dyDescent="0.25">
      <c r="B55" s="174"/>
      <c r="C55" s="218"/>
      <c r="D55" s="296"/>
      <c r="E55" s="296"/>
      <c r="F55" s="296"/>
      <c r="G55" s="296"/>
      <c r="H55" s="296"/>
      <c r="I55" s="296"/>
      <c r="J55" s="296"/>
      <c r="K55" s="296"/>
      <c r="L55" s="177"/>
      <c r="N55" s="294"/>
    </row>
    <row r="56" spans="2:14" ht="98.25" customHeight="1" x14ac:dyDescent="0.25">
      <c r="B56" s="174"/>
      <c r="C56" s="394" t="s">
        <v>198</v>
      </c>
      <c r="D56" s="394"/>
      <c r="E56" s="394"/>
      <c r="F56" s="394"/>
      <c r="G56" s="394"/>
      <c r="H56" s="394"/>
      <c r="I56" s="394"/>
      <c r="J56" s="394"/>
      <c r="K56" s="394"/>
      <c r="L56" s="177"/>
      <c r="N56" s="294"/>
    </row>
    <row r="57" spans="2:14" x14ac:dyDescent="0.25">
      <c r="B57" s="174"/>
      <c r="C57" s="218"/>
      <c r="D57" s="296"/>
      <c r="E57" s="296"/>
      <c r="F57" s="296"/>
      <c r="G57" s="296"/>
      <c r="H57" s="296"/>
      <c r="I57" s="296"/>
      <c r="J57" s="296"/>
      <c r="K57" s="296"/>
      <c r="L57" s="177"/>
      <c r="N57" s="294"/>
    </row>
    <row r="58" spans="2:14" ht="48.75" customHeight="1" x14ac:dyDescent="0.25">
      <c r="B58" s="174"/>
      <c r="C58" s="302"/>
      <c r="D58" s="394" t="s">
        <v>295</v>
      </c>
      <c r="E58" s="394"/>
      <c r="F58" s="394"/>
      <c r="G58" s="394"/>
      <c r="H58" s="394"/>
      <c r="I58" s="394"/>
      <c r="J58" s="394"/>
      <c r="K58" s="394"/>
      <c r="L58" s="177"/>
      <c r="N58" s="294"/>
    </row>
    <row r="59" spans="2:14" x14ac:dyDescent="0.25">
      <c r="B59" s="174"/>
      <c r="C59" s="218"/>
      <c r="D59" s="296"/>
      <c r="E59" s="296"/>
      <c r="F59" s="296"/>
      <c r="G59" s="296"/>
      <c r="H59" s="296"/>
      <c r="I59" s="296"/>
      <c r="J59" s="296"/>
      <c r="K59" s="296"/>
      <c r="L59" s="177"/>
      <c r="N59" s="294"/>
    </row>
    <row r="60" spans="2:14" ht="97.5" customHeight="1" x14ac:dyDescent="0.25">
      <c r="B60" s="174"/>
      <c r="C60" s="303"/>
      <c r="D60" s="394" t="s">
        <v>274</v>
      </c>
      <c r="E60" s="394"/>
      <c r="F60" s="394"/>
      <c r="G60" s="394"/>
      <c r="H60" s="394"/>
      <c r="I60" s="394"/>
      <c r="J60" s="394"/>
      <c r="K60" s="394"/>
      <c r="L60" s="177"/>
      <c r="N60" s="294"/>
    </row>
    <row r="61" spans="2:14" x14ac:dyDescent="0.25">
      <c r="B61" s="174"/>
      <c r="C61" s="218"/>
      <c r="D61" s="218"/>
      <c r="E61" s="218"/>
      <c r="F61" s="218"/>
      <c r="G61" s="218"/>
      <c r="H61" s="218"/>
      <c r="I61" s="218"/>
      <c r="J61" s="218"/>
      <c r="K61" s="218"/>
      <c r="L61" s="177"/>
    </row>
    <row r="62" spans="2:14" ht="54" customHeight="1" x14ac:dyDescent="0.25">
      <c r="B62" s="174"/>
      <c r="C62" s="244"/>
      <c r="D62" s="394" t="s">
        <v>275</v>
      </c>
      <c r="E62" s="394"/>
      <c r="F62" s="394"/>
      <c r="G62" s="394"/>
      <c r="H62" s="394"/>
      <c r="I62" s="394"/>
      <c r="J62" s="394"/>
      <c r="K62" s="394"/>
      <c r="L62" s="177"/>
    </row>
    <row r="63" spans="2:14" x14ac:dyDescent="0.25">
      <c r="B63" s="174"/>
      <c r="C63" s="245"/>
      <c r="D63" s="398" t="s">
        <v>191</v>
      </c>
      <c r="E63" s="398"/>
      <c r="F63" s="398"/>
      <c r="G63" s="398"/>
      <c r="H63" s="398"/>
      <c r="I63" s="398"/>
      <c r="J63" s="398"/>
      <c r="K63" s="398"/>
      <c r="L63" s="177"/>
    </row>
    <row r="64" spans="2:14" x14ac:dyDescent="0.25">
      <c r="B64" s="174"/>
      <c r="C64" s="245"/>
      <c r="D64" s="399" t="s">
        <v>10</v>
      </c>
      <c r="E64" s="399"/>
      <c r="F64" s="399"/>
      <c r="G64" s="399"/>
      <c r="H64" s="399"/>
      <c r="I64" s="399"/>
      <c r="J64" s="399"/>
      <c r="K64" s="399"/>
      <c r="L64" s="177"/>
    </row>
    <row r="65" spans="2:14" x14ac:dyDescent="0.25">
      <c r="B65" s="174"/>
      <c r="C65" s="245"/>
      <c r="D65" s="399" t="s">
        <v>11</v>
      </c>
      <c r="E65" s="399"/>
      <c r="F65" s="399"/>
      <c r="G65" s="399"/>
      <c r="H65" s="399"/>
      <c r="I65" s="399"/>
      <c r="J65" s="399"/>
      <c r="K65" s="399"/>
      <c r="L65" s="177"/>
    </row>
    <row r="66" spans="2:14" x14ac:dyDescent="0.25">
      <c r="B66" s="174"/>
      <c r="C66" s="245"/>
      <c r="D66" s="399" t="s">
        <v>12</v>
      </c>
      <c r="E66" s="399"/>
      <c r="F66" s="399"/>
      <c r="G66" s="399"/>
      <c r="H66" s="399"/>
      <c r="I66" s="399"/>
      <c r="J66" s="399"/>
      <c r="K66" s="399"/>
      <c r="L66" s="177"/>
    </row>
    <row r="67" spans="2:14" x14ac:dyDescent="0.25">
      <c r="B67" s="174"/>
      <c r="C67" s="245"/>
      <c r="D67" s="298"/>
      <c r="E67" s="298"/>
      <c r="F67" s="298"/>
      <c r="G67" s="298"/>
      <c r="H67" s="298"/>
      <c r="I67" s="298"/>
      <c r="J67" s="298"/>
      <c r="K67" s="298"/>
      <c r="L67" s="177"/>
    </row>
    <row r="68" spans="2:14" ht="33.75" customHeight="1" x14ac:dyDescent="0.25">
      <c r="B68" s="174"/>
      <c r="C68" s="245"/>
      <c r="D68" s="394" t="s">
        <v>197</v>
      </c>
      <c r="E68" s="400"/>
      <c r="F68" s="400"/>
      <c r="G68" s="400"/>
      <c r="H68" s="400"/>
      <c r="I68" s="400"/>
      <c r="J68" s="400"/>
      <c r="K68" s="400"/>
      <c r="L68" s="177"/>
      <c r="N68" s="196"/>
    </row>
    <row r="69" spans="2:14" x14ac:dyDescent="0.25">
      <c r="B69" s="174"/>
      <c r="C69" s="218"/>
      <c r="D69" s="297"/>
      <c r="E69" s="297"/>
      <c r="F69" s="297"/>
      <c r="G69" s="297"/>
      <c r="H69" s="297"/>
      <c r="I69" s="297"/>
      <c r="J69" s="297"/>
      <c r="K69" s="297"/>
      <c r="L69" s="177"/>
    </row>
    <row r="70" spans="2:14" ht="52.5" customHeight="1" x14ac:dyDescent="0.25">
      <c r="B70" s="174"/>
      <c r="C70" s="306"/>
      <c r="D70" s="394" t="s">
        <v>200</v>
      </c>
      <c r="E70" s="394"/>
      <c r="F70" s="394"/>
      <c r="G70" s="394"/>
      <c r="H70" s="394"/>
      <c r="I70" s="394"/>
      <c r="J70" s="394"/>
      <c r="K70" s="394"/>
      <c r="L70" s="177"/>
    </row>
    <row r="71" spans="2:14" x14ac:dyDescent="0.25">
      <c r="B71" s="174"/>
      <c r="C71" s="218"/>
      <c r="D71" s="194"/>
      <c r="E71" s="194"/>
      <c r="F71" s="194"/>
      <c r="G71" s="194"/>
      <c r="H71" s="194"/>
      <c r="I71" s="194"/>
      <c r="J71" s="194"/>
      <c r="K71" s="194"/>
      <c r="L71" s="177"/>
    </row>
    <row r="72" spans="2:14" ht="46.15" customHeight="1" x14ac:dyDescent="0.25">
      <c r="B72" s="174"/>
      <c r="C72" s="397" t="s">
        <v>199</v>
      </c>
      <c r="D72" s="397"/>
      <c r="E72" s="397"/>
      <c r="F72" s="397"/>
      <c r="G72" s="397"/>
      <c r="H72" s="397"/>
      <c r="I72" s="397"/>
      <c r="J72" s="397"/>
      <c r="K72" s="397"/>
      <c r="L72" s="177"/>
    </row>
    <row r="73" spans="2:14" ht="38.25" customHeight="1" x14ac:dyDescent="0.25">
      <c r="B73" s="174"/>
      <c r="C73" s="218"/>
      <c r="D73" s="187"/>
      <c r="E73" s="391" t="s">
        <v>173</v>
      </c>
      <c r="F73" s="391"/>
      <c r="G73" s="391"/>
      <c r="H73" s="391"/>
      <c r="I73" s="391"/>
      <c r="J73" s="391"/>
      <c r="K73" s="391"/>
      <c r="L73" s="177"/>
      <c r="N73" s="268"/>
    </row>
    <row r="74" spans="2:14" ht="45.6" customHeight="1" x14ac:dyDescent="0.25">
      <c r="B74" s="174"/>
      <c r="C74" s="218"/>
      <c r="D74" s="189"/>
      <c r="E74" s="391" t="s">
        <v>184</v>
      </c>
      <c r="F74" s="391"/>
      <c r="G74" s="391"/>
      <c r="H74" s="391"/>
      <c r="I74" s="391"/>
      <c r="J74" s="391"/>
      <c r="K74" s="391"/>
      <c r="L74" s="177"/>
      <c r="N74" s="295"/>
    </row>
    <row r="75" spans="2:14" ht="45" customHeight="1" x14ac:dyDescent="0.25">
      <c r="B75" s="174"/>
      <c r="C75" s="218"/>
      <c r="D75" s="190"/>
      <c r="E75" s="391" t="s">
        <v>164</v>
      </c>
      <c r="F75" s="391"/>
      <c r="G75" s="391"/>
      <c r="H75" s="391"/>
      <c r="I75" s="391"/>
      <c r="J75" s="391"/>
      <c r="K75" s="391"/>
      <c r="L75" s="177"/>
    </row>
    <row r="76" spans="2:14" x14ac:dyDescent="0.25">
      <c r="B76" s="174"/>
      <c r="C76" s="218"/>
      <c r="D76" s="297"/>
      <c r="E76" s="191"/>
      <c r="F76" s="296"/>
      <c r="G76" s="296"/>
      <c r="H76" s="296"/>
      <c r="I76" s="296"/>
      <c r="J76" s="296"/>
      <c r="K76" s="296"/>
      <c r="L76" s="177"/>
    </row>
    <row r="77" spans="2:14" ht="48" customHeight="1" x14ac:dyDescent="0.25">
      <c r="B77" s="174"/>
      <c r="C77" s="218"/>
      <c r="D77" s="394" t="s">
        <v>13</v>
      </c>
      <c r="E77" s="394"/>
      <c r="F77" s="394"/>
      <c r="G77" s="394"/>
      <c r="H77" s="394"/>
      <c r="I77" s="394"/>
      <c r="J77" s="394"/>
      <c r="K77" s="394"/>
      <c r="L77" s="177"/>
    </row>
    <row r="78" spans="2:14" ht="33" customHeight="1" thickBot="1" x14ac:dyDescent="0.3">
      <c r="B78" s="174"/>
      <c r="C78" s="218"/>
      <c r="D78" s="192"/>
      <c r="E78" s="391" t="s">
        <v>166</v>
      </c>
      <c r="F78" s="391"/>
      <c r="G78" s="391"/>
      <c r="H78" s="391"/>
      <c r="I78" s="391"/>
      <c r="J78" s="391"/>
      <c r="K78" s="391"/>
      <c r="L78" s="177"/>
    </row>
    <row r="79" spans="2:14" ht="33" customHeight="1" thickBot="1" x14ac:dyDescent="0.3">
      <c r="B79" s="174"/>
      <c r="C79" s="218"/>
      <c r="D79" s="193"/>
      <c r="E79" s="404" t="s">
        <v>165</v>
      </c>
      <c r="F79" s="391"/>
      <c r="G79" s="391"/>
      <c r="H79" s="391"/>
      <c r="I79" s="391"/>
      <c r="J79" s="391"/>
      <c r="K79" s="391"/>
      <c r="L79" s="177"/>
    </row>
    <row r="80" spans="2:14" x14ac:dyDescent="0.25">
      <c r="B80" s="174"/>
      <c r="C80" s="218"/>
      <c r="D80" s="297"/>
      <c r="E80" s="297"/>
      <c r="F80" s="297"/>
      <c r="G80" s="297"/>
      <c r="H80" s="297"/>
      <c r="I80" s="297"/>
      <c r="J80" s="297"/>
      <c r="K80" s="297"/>
      <c r="L80" s="177"/>
    </row>
    <row r="81" spans="2:14" ht="17.45" customHeight="1" x14ac:dyDescent="0.25">
      <c r="B81" s="174"/>
      <c r="C81" s="401" t="s">
        <v>14</v>
      </c>
      <c r="D81" s="401"/>
      <c r="E81" s="401"/>
      <c r="F81" s="401"/>
      <c r="G81" s="401"/>
      <c r="H81" s="401"/>
      <c r="I81" s="401"/>
      <c r="J81" s="401"/>
      <c r="K81" s="401"/>
      <c r="L81" s="177"/>
    </row>
    <row r="82" spans="2:14" ht="90" customHeight="1" x14ac:dyDescent="0.25">
      <c r="B82" s="174"/>
      <c r="C82" s="394" t="s">
        <v>276</v>
      </c>
      <c r="D82" s="394"/>
      <c r="E82" s="394"/>
      <c r="F82" s="394"/>
      <c r="G82" s="394"/>
      <c r="H82" s="394"/>
      <c r="I82" s="394"/>
      <c r="J82" s="394"/>
      <c r="K82" s="394"/>
      <c r="L82" s="177"/>
      <c r="N82" s="269"/>
    </row>
    <row r="83" spans="2:14" ht="15" customHeight="1" x14ac:dyDescent="0.25">
      <c r="B83" s="174"/>
      <c r="C83" s="359"/>
      <c r="D83" s="359"/>
      <c r="E83" s="359"/>
      <c r="F83" s="359"/>
      <c r="G83" s="359"/>
      <c r="H83" s="359"/>
      <c r="I83" s="359"/>
      <c r="J83" s="359"/>
      <c r="K83" s="359"/>
      <c r="L83" s="177"/>
      <c r="N83" s="269"/>
    </row>
    <row r="84" spans="2:14" ht="165" customHeight="1" x14ac:dyDescent="0.25">
      <c r="B84" s="174"/>
      <c r="C84" s="361"/>
      <c r="D84" s="394" t="s">
        <v>290</v>
      </c>
      <c r="E84" s="394"/>
      <c r="F84" s="394"/>
      <c r="G84" s="394"/>
      <c r="H84" s="394"/>
      <c r="I84" s="394"/>
      <c r="J84" s="394"/>
      <c r="K84" s="394"/>
      <c r="L84" s="177"/>
      <c r="N84" s="269"/>
    </row>
    <row r="85" spans="2:14" x14ac:dyDescent="0.25">
      <c r="B85" s="180"/>
      <c r="C85" s="403"/>
      <c r="D85" s="403"/>
      <c r="E85" s="403"/>
      <c r="F85" s="403"/>
      <c r="G85" s="403"/>
      <c r="H85" s="403"/>
      <c r="I85" s="403"/>
      <c r="J85" s="403"/>
      <c r="K85" s="403"/>
      <c r="L85" s="182"/>
    </row>
    <row r="87" spans="2:14" x14ac:dyDescent="0.25">
      <c r="C87" s="304"/>
    </row>
  </sheetData>
  <mergeCells count="46">
    <mergeCell ref="C82:K82"/>
    <mergeCell ref="C85:K85"/>
    <mergeCell ref="D77:K77"/>
    <mergeCell ref="D70:K70"/>
    <mergeCell ref="C81:K81"/>
    <mergeCell ref="E75:K75"/>
    <mergeCell ref="E78:K78"/>
    <mergeCell ref="E79:K79"/>
    <mergeCell ref="D84:K84"/>
    <mergeCell ref="C18:K20"/>
    <mergeCell ref="C22:K25"/>
    <mergeCell ref="C27:K27"/>
    <mergeCell ref="C29:K29"/>
    <mergeCell ref="C31:K31"/>
    <mergeCell ref="F51:K51"/>
    <mergeCell ref="D44:K44"/>
    <mergeCell ref="D43:K43"/>
    <mergeCell ref="D41:K41"/>
    <mergeCell ref="D42:K42"/>
    <mergeCell ref="D45:K45"/>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37:K37"/>
    <mergeCell ref="D38:L38"/>
    <mergeCell ref="F50:K50"/>
    <mergeCell ref="D40:K40"/>
    <mergeCell ref="D33:K33"/>
    <mergeCell ref="F34:K34"/>
    <mergeCell ref="F35:K36"/>
    <mergeCell ref="D39:K39"/>
    <mergeCell ref="D47:K47"/>
    <mergeCell ref="D48:K48"/>
    <mergeCell ref="F49:K49"/>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zoomScale="80" zoomScaleNormal="80" workbookViewId="0"/>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9"/>
    <col min="22" max="22" width="8.7109375" style="387"/>
    <col min="23" max="16384" width="8.7109375" style="5"/>
  </cols>
  <sheetData>
    <row r="2" spans="1:22" x14ac:dyDescent="0.2">
      <c r="U2" s="109">
        <v>4</v>
      </c>
      <c r="V2" s="387">
        <v>0</v>
      </c>
    </row>
    <row r="3" spans="1:22" ht="12.75" customHeight="1" x14ac:dyDescent="0.2">
      <c r="D3" s="445" t="s">
        <v>167</v>
      </c>
      <c r="E3" s="446"/>
      <c r="F3" s="447"/>
      <c r="H3" s="469" t="str">
        <f ca="1">IF(OR(AND($G$12="ok",$G$13="ok",$G$14="ok",$G$15="ok",$H$12="ok",$I$12="ok",$L$12&lt;&gt;"Not met"),
AND($I$12="ok",$J$12="ok",$J$13="ok",$J$14="ok",$J$15="ok",$L$12&lt;&gt;"Not met")),
"OK"&amp;CHAR(10)&amp;"adjustment"&amp;CHAR(10)&amp;"complies with all requirements",
"NOT OK"&amp;CHAR(10)&amp;"adjustment does not"&amp;CHAR(10)&amp;"comply with all requirements")</f>
        <v>OK
adjustment
complies with all requirements</v>
      </c>
      <c r="I3" s="469"/>
      <c r="U3" s="109">
        <v>7</v>
      </c>
      <c r="V3" s="387">
        <v>0.02</v>
      </c>
    </row>
    <row r="4" spans="1:22" ht="13.5" thickBot="1" x14ac:dyDescent="0.25">
      <c r="D4" s="217" t="s">
        <v>15</v>
      </c>
      <c r="E4" s="18"/>
      <c r="F4" s="40" t="s">
        <v>163</v>
      </c>
      <c r="H4" s="469"/>
      <c r="I4" s="469"/>
      <c r="V4" s="387">
        <v>0.04</v>
      </c>
    </row>
    <row r="5" spans="1:22" ht="13.5" thickTop="1" x14ac:dyDescent="0.2">
      <c r="D5" s="216" t="s">
        <v>282</v>
      </c>
      <c r="F5" s="167">
        <v>4</v>
      </c>
      <c r="H5" s="469"/>
      <c r="I5" s="469"/>
      <c r="V5" s="387">
        <v>0.06</v>
      </c>
    </row>
    <row r="6" spans="1:22" ht="13.5" thickBot="1" x14ac:dyDescent="0.25">
      <c r="D6" s="248" t="s">
        <v>16</v>
      </c>
      <c r="E6" s="249"/>
      <c r="F6" s="168">
        <v>1.3</v>
      </c>
      <c r="H6" s="469"/>
      <c r="I6" s="469"/>
      <c r="V6" s="387">
        <v>0.08</v>
      </c>
    </row>
    <row r="7" spans="1:22" ht="13.5" thickTop="1" x14ac:dyDescent="0.2">
      <c r="D7" s="251"/>
      <c r="F7" s="267"/>
      <c r="V7" s="387">
        <v>0.1</v>
      </c>
    </row>
    <row r="8" spans="1:22" x14ac:dyDescent="0.2">
      <c r="D8" s="16"/>
      <c r="F8" s="17"/>
      <c r="V8" s="387">
        <v>0.12</v>
      </c>
    </row>
    <row r="9" spans="1:22" ht="18.75" customHeight="1" x14ac:dyDescent="0.2">
      <c r="D9" s="16"/>
      <c r="F9" s="17"/>
      <c r="G9" s="460" t="s">
        <v>168</v>
      </c>
      <c r="H9" s="461"/>
      <c r="I9" s="461"/>
      <c r="J9" s="462"/>
      <c r="L9" s="466" t="s">
        <v>169</v>
      </c>
      <c r="M9" s="467"/>
      <c r="N9" s="467"/>
      <c r="O9" s="467"/>
      <c r="P9" s="467"/>
      <c r="Q9" s="468"/>
      <c r="V9" s="387">
        <v>0.14000000000000001</v>
      </c>
    </row>
    <row r="10" spans="1:22" ht="18.75" customHeight="1" x14ac:dyDescent="0.2">
      <c r="A10" s="284"/>
      <c r="F10" s="273"/>
      <c r="G10" s="463"/>
      <c r="H10" s="464"/>
      <c r="I10" s="464"/>
      <c r="J10" s="465"/>
      <c r="L10" s="451" t="s">
        <v>195</v>
      </c>
      <c r="M10" s="454"/>
      <c r="N10" s="455" t="s">
        <v>196</v>
      </c>
      <c r="O10" s="456"/>
      <c r="P10" s="451" t="s">
        <v>17</v>
      </c>
      <c r="Q10" s="452"/>
      <c r="V10" s="387">
        <v>0.16</v>
      </c>
    </row>
    <row r="11" spans="1:22" ht="107.25" customHeight="1" x14ac:dyDescent="0.2">
      <c r="A11" s="360"/>
      <c r="D11" s="213"/>
      <c r="E11" s="213"/>
      <c r="F11" s="214" t="s">
        <v>204</v>
      </c>
      <c r="G11" s="42" t="s">
        <v>18</v>
      </c>
      <c r="H11" s="219" t="s">
        <v>19</v>
      </c>
      <c r="I11" s="41" t="s">
        <v>20</v>
      </c>
      <c r="J11" s="92" t="str">
        <f>"Debt below 60% of GDP in T+"&amp;10+F5&amp;" **"</f>
        <v>Debt below 60% of GDP in T+14 **</v>
      </c>
      <c r="L11" s="92" t="s">
        <v>193</v>
      </c>
      <c r="M11" s="226" t="s">
        <v>194</v>
      </c>
      <c r="N11" s="372" t="s">
        <v>21</v>
      </c>
      <c r="O11" s="373" t="s">
        <v>22</v>
      </c>
      <c r="P11" s="262" t="s">
        <v>23</v>
      </c>
      <c r="Q11" s="92" t="s">
        <v>24</v>
      </c>
      <c r="V11" s="387">
        <v>0.18</v>
      </c>
    </row>
    <row r="12" spans="1:22" x14ac:dyDescent="0.2">
      <c r="D12" s="14" t="s">
        <v>25</v>
      </c>
      <c r="G12" s="10" t="str">
        <f ca="1">IF(OR('Adjust. no safeguard'!F57&gt;60,'Adjust. no safeguard'!F77&lt;-3),IF(SUM(OFFSET('Adjust. no safeguard'!$F$83,0,$F$5+1,1,10))=0,"ok","Not met"),"")</f>
        <v>Not met</v>
      </c>
      <c r="H12" s="220" t="str">
        <f>IF(OR('Adjust. no safeguard'!F57&gt;60,'Adjust. no safeguard'!F77&lt;-3),IF($F$5=4,IF(Stochastic!$O$17&lt;Stochastic!$J$17,"ok","Not met"),IF(Stochastic!$R$17&lt;Stochastic!$M$17,"ok","Not met")),"")</f>
        <v>ok</v>
      </c>
      <c r="I12" s="8" t="str">
        <f ca="1">IF(MIN(OFFSET('Adjust. no safeguard'!$F$77,0,$F$5,1,11))&gt;-3.05,"ok","Not met")</f>
        <v>ok</v>
      </c>
      <c r="J12" s="12" t="str">
        <f ca="1">IF(OFFSET('Adjust. no safeguard'!$F$57,0,$F$5+10,1,1)&lt;60,"ok","Not met")</f>
        <v>ok</v>
      </c>
      <c r="L12" s="416" t="str">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f>
        <v>Not applicable, reference year is the last year of adjustment</v>
      </c>
      <c r="M12" s="419" t="str">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IF(AND(MAX(_xlpm.debt90)=0,MAX(_xlpm.debt6090)=1),AVERAGEIFS(_xlpm.debtChange,_xlpm.debt60,1,_xlpm.EDP,0),
IF(AND(MAX(_xlpm.debt90)=1,MAX(_xlpm.debt6090)=0),AVERAGEIFS(_xlpm.debtChange,_xlpm.EDP,0),
IF(AND(MAX(_xlpm.debt90)=1,MAX(_xlpm.debt6090)=1),AVERAGEIFS(_xlpm.debtChange,_xlpm.debt60,1,_xlpm.EDP,0)))))))</f>
        <v>Not applicable, reference year is the last year of adjustment</v>
      </c>
      <c r="N12" s="457" t="str">
        <f>IF(AND(O12=0,F6&lt;0.5),"not relevant","ok")</f>
        <v>ok</v>
      </c>
      <c r="O12" s="413">
        <f>IF(F6&lt;0.5,COUNTIFS('Adjustment scenario'!F77:H77,"&lt;"&amp;-3.049),0)+IF(AND(F5=4,J19&gt;0.5,J19&gt;F6),1,COUNTIFS(J19:M19,"&gt;" &amp; F6,J19:M19,"&gt;"&amp;0.5))</f>
        <v>0</v>
      </c>
      <c r="P12" s="416" t="str">
        <f>IF(OR(AND(F5=4,Q12=0,F6&lt;0.4),AND(F5=7,Q12=0,F6&lt;0.25)),"not relevant, 
(over the adjustment horizon)","ok")</f>
        <v>ok</v>
      </c>
      <c r="Q12" s="448">
        <f>IF(AND('Criteria results'!$F$5=4,'Criteria results'!$F$6&lt;=0.4),COUNTIFS('Adjustment scenario'!G13:J13,0.4,'Adjustment scenario'!F88:I88,0),IF(AND('Criteria results'!$F$5=7,'Criteria results'!$F$6&lt;=0.25),COUNTIFS('Adjustment scenario'!G13:M13,0.25,'Adjustment scenario'!F88:L88,0),0))</f>
        <v>0</v>
      </c>
      <c r="V12" s="387">
        <v>0.2</v>
      </c>
    </row>
    <row r="13" spans="1:22" x14ac:dyDescent="0.2">
      <c r="D13" s="14" t="s">
        <v>26</v>
      </c>
      <c r="G13" s="10" t="str">
        <f ca="1">IF(OR('Adjustment scenario'!F57&gt;60,'Adjustment scenario'!F77&lt;-3),IF(SUM(OFFSET('Financial stress'!$F$75,0,$F$5+1,1,10))=0,"ok","Not met"),"")</f>
        <v>Not met</v>
      </c>
      <c r="H13" s="220"/>
      <c r="I13" s="8"/>
      <c r="J13" s="12" t="str">
        <f ca="1">IF(OR('Adjustment scenario'!F57&gt;60,'Adjustment scenario'!F77&lt;-3),IF(OFFSET('Financial stress'!$F$56,0,$F$5+10,1,1)&lt;60,"ok","Not met"),"")</f>
        <v>ok</v>
      </c>
      <c r="L13" s="417"/>
      <c r="M13" s="420"/>
      <c r="N13" s="458"/>
      <c r="O13" s="414"/>
      <c r="P13" s="417"/>
      <c r="Q13" s="449"/>
      <c r="V13" s="387">
        <v>0.22</v>
      </c>
    </row>
    <row r="14" spans="1:22" x14ac:dyDescent="0.2">
      <c r="D14" s="14" t="s">
        <v>27</v>
      </c>
      <c r="G14" s="10" t="str">
        <f ca="1">IF(OR('Adjustment scenario'!F57&gt;60,'Adjustment scenario'!F77&lt;-3),IF(SUM(OFFSET('Lower SPB'!$F$75,0,$F$5+1,1,10))=0,"ok","Not met"),"")</f>
        <v>Not met</v>
      </c>
      <c r="H14" s="220"/>
      <c r="I14" s="8"/>
      <c r="J14" s="12" t="str">
        <f ca="1">IF(OR('Adjustment scenario'!F57&gt;60,'Adjustment scenario'!F77&lt;-3),IF(OFFSET('Lower SPB'!$F$56,0,$F$5+10,1,1)&lt;60,"ok","Not met"),"")</f>
        <v>ok</v>
      </c>
      <c r="L14" s="417"/>
      <c r="M14" s="420"/>
      <c r="N14" s="458"/>
      <c r="O14" s="414"/>
      <c r="P14" s="417"/>
      <c r="Q14" s="449"/>
      <c r="V14" s="387">
        <v>0.24</v>
      </c>
    </row>
    <row r="15" spans="1:22" x14ac:dyDescent="0.2">
      <c r="D15" s="15" t="s">
        <v>28</v>
      </c>
      <c r="E15" s="6"/>
      <c r="F15" s="6"/>
      <c r="G15" s="11" t="str">
        <f ca="1">IF(OR('Adjustment scenario'!F57&gt;60,'Adjustment scenario'!F77&lt;-3),IF(SUM(OFFSET('Adverse (r-g)'!$F$76,0,$F$5+1,1,10))=0,"ok","Not met"),"")</f>
        <v>Not met</v>
      </c>
      <c r="H15" s="221"/>
      <c r="I15" s="9"/>
      <c r="J15" s="13" t="str">
        <f ca="1">IF(OR('Adjustment scenario'!F57&gt;60,'Adjustment scenario'!F77&lt;-3),IF(OFFSET('Adverse (r-g)'!$F$57,0,$F$5+10,1,1)&lt;60,"ok","Not met"),"")</f>
        <v>ok</v>
      </c>
      <c r="L15" s="418"/>
      <c r="M15" s="421"/>
      <c r="N15" s="459"/>
      <c r="O15" s="415"/>
      <c r="P15" s="418"/>
      <c r="Q15" s="450"/>
      <c r="V15" s="387">
        <v>0.26</v>
      </c>
    </row>
    <row r="16" spans="1:22" ht="102" customHeight="1" x14ac:dyDescent="0.2">
      <c r="D16" s="422" t="s">
        <v>291</v>
      </c>
      <c r="E16" s="422"/>
      <c r="F16" s="422"/>
      <c r="G16" s="422"/>
      <c r="H16" s="422"/>
      <c r="I16" s="422"/>
      <c r="J16" s="422"/>
      <c r="L16" s="453" t="s">
        <v>205</v>
      </c>
      <c r="M16" s="453"/>
      <c r="N16" s="453"/>
      <c r="O16" s="453"/>
      <c r="P16" s="453"/>
      <c r="Q16" s="453"/>
      <c r="V16" s="387">
        <v>0.28000000000000003</v>
      </c>
    </row>
    <row r="17" spans="4:22" ht="15.75" customHeight="1" x14ac:dyDescent="0.2">
      <c r="D17" s="227"/>
      <c r="E17" s="227"/>
      <c r="F17" s="227"/>
      <c r="G17" s="423" t="s">
        <v>172</v>
      </c>
      <c r="H17" s="424"/>
      <c r="I17" s="424"/>
      <c r="J17" s="425"/>
      <c r="K17" s="246"/>
      <c r="L17" s="246"/>
      <c r="M17" s="246"/>
      <c r="N17" s="246"/>
      <c r="O17" s="246"/>
      <c r="P17" s="233"/>
      <c r="V17" s="387">
        <v>0.3</v>
      </c>
    </row>
    <row r="18" spans="4:22" ht="13.5" customHeight="1" x14ac:dyDescent="0.2">
      <c r="D18" s="227"/>
      <c r="E18" s="228"/>
      <c r="F18" s="234"/>
      <c r="G18" s="229">
        <v>2025</v>
      </c>
      <c r="H18" s="230">
        <v>2026</v>
      </c>
      <c r="I18" s="230">
        <v>2027</v>
      </c>
      <c r="J18" s="230">
        <v>2028</v>
      </c>
      <c r="K18" s="230">
        <v>2029</v>
      </c>
      <c r="L18" s="230">
        <v>2030</v>
      </c>
      <c r="M18" s="247">
        <v>2031</v>
      </c>
      <c r="N18" s="235"/>
      <c r="P18" s="235"/>
      <c r="V18" s="387">
        <v>0.32</v>
      </c>
    </row>
    <row r="19" spans="4:22" ht="15" customHeight="1" x14ac:dyDescent="0.2">
      <c r="D19" s="426" t="s">
        <v>29</v>
      </c>
      <c r="E19" s="427"/>
      <c r="F19" s="428"/>
      <c r="G19" s="232">
        <f>'Adjustment scenario'!G12-'Adjustment scenario'!F12</f>
        <v>1.2999999999999998</v>
      </c>
      <c r="H19" s="239">
        <f>'Adjustment scenario'!H12-'Adjustment scenario'!G12</f>
        <v>1.3</v>
      </c>
      <c r="I19" s="239">
        <f>'Adjustment scenario'!I12-'Adjustment scenario'!H12</f>
        <v>1.3</v>
      </c>
      <c r="J19" s="239">
        <f>'Adjustment scenario'!J12-'Adjustment scenario'!I12</f>
        <v>1.3</v>
      </c>
      <c r="K19" s="239">
        <f>'Adjustment scenario'!K12-'Adjustment scenario'!J12</f>
        <v>0</v>
      </c>
      <c r="L19" s="239">
        <f>'Adjustment scenario'!L12-'Adjustment scenario'!K12</f>
        <v>0</v>
      </c>
      <c r="M19" s="240">
        <f>'Adjustment scenario'!M12-'Adjustment scenario'!L12</f>
        <v>0</v>
      </c>
      <c r="N19" s="232"/>
      <c r="P19" s="232"/>
      <c r="V19" s="387">
        <v>0.34</v>
      </c>
    </row>
    <row r="20" spans="4:22" ht="15" customHeight="1" x14ac:dyDescent="0.2">
      <c r="D20" s="405" t="s">
        <v>30</v>
      </c>
      <c r="E20" s="406"/>
      <c r="F20" s="407"/>
      <c r="G20" s="237">
        <f>'Adjustment scenario'!G79</f>
        <v>2.7658458841428533</v>
      </c>
      <c r="H20" s="238">
        <f>'Adjustment scenario'!H79</f>
        <v>1.9628567591428516</v>
      </c>
      <c r="I20" s="238">
        <f>'Adjustment scenario'!I79</f>
        <v>1.6277946341428522</v>
      </c>
      <c r="J20" s="238">
        <f>'Adjustment scenario'!J79</f>
        <v>1.524007509142852</v>
      </c>
      <c r="K20" s="238">
        <f>'Adjustment scenario'!K79</f>
        <v>4.3189764999999998</v>
      </c>
      <c r="L20" s="238">
        <f>'Adjustment scenario'!L79</f>
        <v>4.2850393750000002</v>
      </c>
      <c r="M20" s="241">
        <f>'Adjustment scenario'!M79</f>
        <v>4.2505262500000001</v>
      </c>
      <c r="N20" s="256"/>
      <c r="P20" s="232"/>
      <c r="V20" s="387">
        <v>0.36</v>
      </c>
    </row>
    <row r="21" spans="4:22" ht="15" customHeight="1" x14ac:dyDescent="0.2">
      <c r="D21" s="283" t="s">
        <v>41</v>
      </c>
      <c r="E21" s="274"/>
      <c r="F21" s="275"/>
      <c r="G21" s="279">
        <f>'Adjustment scenario'!G77</f>
        <v>-4.7868284839810116</v>
      </c>
      <c r="H21" s="280">
        <f>'Adjustment scenario'!H77</f>
        <v>-3.8749935854173536</v>
      </c>
      <c r="I21" s="280">
        <f>'Adjustment scenario'!I77</f>
        <v>-2.8600600524207183</v>
      </c>
      <c r="J21" s="280">
        <f>'Adjustment scenario'!J77</f>
        <v>-1.7427689160848943</v>
      </c>
      <c r="K21" s="280">
        <f>'Adjustment scenario'!K77</f>
        <v>-1.6186451246755837</v>
      </c>
      <c r="L21" s="280">
        <f>'Adjustment scenario'!L77</f>
        <v>-1.4603489752469956</v>
      </c>
      <c r="M21" s="281">
        <f>'Adjustment scenario'!M77</f>
        <v>-1.3209085445619031</v>
      </c>
      <c r="N21" s="256"/>
      <c r="P21" s="232"/>
      <c r="V21" s="387">
        <v>0.38</v>
      </c>
    </row>
    <row r="22" spans="4:22" ht="15" customHeight="1" x14ac:dyDescent="0.2">
      <c r="D22" s="283" t="s">
        <v>42</v>
      </c>
      <c r="E22" s="274"/>
      <c r="F22" s="275"/>
      <c r="G22" s="276">
        <f>'Adjustment scenario'!G78</f>
        <v>-4.4635032548700648</v>
      </c>
      <c r="H22" s="277">
        <f>'Adjustment scenario'!H78</f>
        <v>-3.2972324433063136</v>
      </c>
      <c r="I22" s="277">
        <f>'Adjustment scenario'!I78</f>
        <v>-2.1142011923762345</v>
      </c>
      <c r="J22" s="277">
        <f>'Adjustment scenario'!J78</f>
        <v>-0.88636788706243097</v>
      </c>
      <c r="K22" s="277">
        <f>'Adjustment scenario'!K78</f>
        <v>-1.0477111053272763</v>
      </c>
      <c r="L22" s="277">
        <f>'Adjustment scenario'!L78</f>
        <v>-1.1748819655728355</v>
      </c>
      <c r="M22" s="282">
        <f>'Adjustment scenario'!M78</f>
        <v>-1.3209085445619031</v>
      </c>
      <c r="N22" s="256"/>
      <c r="P22" s="232"/>
      <c r="V22" s="387">
        <v>0.4</v>
      </c>
    </row>
    <row r="23" spans="4:22" ht="15" customHeight="1" x14ac:dyDescent="0.2">
      <c r="D23" s="283" t="s">
        <v>43</v>
      </c>
      <c r="E23" s="274"/>
      <c r="F23" s="275"/>
      <c r="G23" s="237">
        <f>'Adjustment scenario'!G57</f>
        <v>59.623964733451906</v>
      </c>
      <c r="H23" s="238">
        <f>'Adjustment scenario'!H57</f>
        <v>61.136174386887198</v>
      </c>
      <c r="I23" s="238">
        <f>'Adjustment scenario'!I57</f>
        <v>61.633447791006695</v>
      </c>
      <c r="J23" s="238">
        <f>'Adjustment scenario'!J57</f>
        <v>60.963732291979078</v>
      </c>
      <c r="K23" s="238">
        <f>'Adjustment scenario'!K57</f>
        <v>59.590667340237786</v>
      </c>
      <c r="L23" s="238">
        <f>'Adjustment scenario'!L57</f>
        <v>58.148355984923676</v>
      </c>
      <c r="M23" s="241">
        <f>'Adjustment scenario'!M57</f>
        <v>56.658318746410494</v>
      </c>
      <c r="N23" s="256"/>
      <c r="P23" s="232"/>
      <c r="V23" s="387">
        <v>0.42</v>
      </c>
    </row>
    <row r="24" spans="4:22" ht="15" customHeight="1" x14ac:dyDescent="0.2">
      <c r="D24" s="439" t="s">
        <v>31</v>
      </c>
      <c r="E24" s="439"/>
      <c r="F24" s="439"/>
      <c r="G24" s="278">
        <f>AVERAGE(G19:J19)</f>
        <v>1.2999999999999998</v>
      </c>
      <c r="I24" s="232"/>
      <c r="J24" s="232"/>
      <c r="K24" s="232"/>
      <c r="L24" s="232"/>
      <c r="M24" s="232"/>
      <c r="N24" s="232"/>
      <c r="P24" s="236"/>
      <c r="V24" s="387">
        <v>0.44</v>
      </c>
    </row>
    <row r="25" spans="4:22" x14ac:dyDescent="0.2">
      <c r="D25" s="242" t="s">
        <v>32</v>
      </c>
      <c r="E25" s="377"/>
      <c r="F25" s="376"/>
      <c r="G25" s="272">
        <f>IF(F5=4,AVERAGE(G19:J19),AVERAGE(G19:M19))</f>
        <v>1.2999999999999998</v>
      </c>
      <c r="H25" s="232"/>
      <c r="Q25" s="231"/>
      <c r="V25" s="387">
        <v>0.46</v>
      </c>
    </row>
    <row r="26" spans="4:22" x14ac:dyDescent="0.2">
      <c r="D26" s="408" t="s">
        <v>33</v>
      </c>
      <c r="E26" s="409"/>
      <c r="F26" s="409"/>
      <c r="G26" s="374">
        <f>AVERAGE(G20:J20)</f>
        <v>1.9701261966428523</v>
      </c>
      <c r="Q26" s="231"/>
      <c r="V26" s="387">
        <v>0.48</v>
      </c>
    </row>
    <row r="27" spans="4:22" ht="15" customHeight="1" x14ac:dyDescent="0.2">
      <c r="D27" s="410" t="s">
        <v>34</v>
      </c>
      <c r="E27" s="411"/>
      <c r="F27" s="411"/>
      <c r="G27" s="375">
        <f>IF(F5=4,AVERAGE(G20:J20),AVERAGE(G20:M20))</f>
        <v>1.9701261966428523</v>
      </c>
      <c r="H27" s="232"/>
      <c r="I27" s="232"/>
      <c r="J27" s="232"/>
      <c r="K27" s="232"/>
      <c r="L27" s="232"/>
      <c r="M27" s="232"/>
      <c r="N27" s="232"/>
      <c r="O27" s="232"/>
      <c r="P27" s="232"/>
      <c r="V27" s="387">
        <v>0.5</v>
      </c>
    </row>
    <row r="28" spans="4:22" ht="53.25" customHeight="1" x14ac:dyDescent="0.2">
      <c r="D28" s="412" t="s">
        <v>292</v>
      </c>
      <c r="E28" s="412"/>
      <c r="F28" s="412"/>
      <c r="G28" s="412"/>
      <c r="H28" s="412"/>
      <c r="I28" s="412"/>
      <c r="J28" s="412"/>
      <c r="K28" s="233"/>
      <c r="L28" s="233"/>
      <c r="M28" s="233"/>
      <c r="N28" s="233"/>
      <c r="O28" s="233"/>
      <c r="V28" s="387">
        <v>0.52</v>
      </c>
    </row>
    <row r="29" spans="4:22" x14ac:dyDescent="0.2">
      <c r="V29" s="387">
        <v>0.54</v>
      </c>
    </row>
    <row r="30" spans="4:22" ht="15.75" customHeight="1" x14ac:dyDescent="0.2">
      <c r="G30" s="440" t="s">
        <v>170</v>
      </c>
      <c r="H30" s="441"/>
      <c r="V30" s="387">
        <v>0.56000000000000005</v>
      </c>
    </row>
    <row r="31" spans="4:22" x14ac:dyDescent="0.2">
      <c r="G31" s="199" t="s">
        <v>35</v>
      </c>
      <c r="H31" s="200" t="s">
        <v>36</v>
      </c>
      <c r="V31" s="387">
        <v>0.57999999999999996</v>
      </c>
    </row>
    <row r="32" spans="4:22" x14ac:dyDescent="0.2">
      <c r="D32" s="369" t="s">
        <v>282</v>
      </c>
      <c r="E32" s="204"/>
      <c r="F32" s="205"/>
      <c r="G32" s="210">
        <v>4</v>
      </c>
      <c r="H32" s="201">
        <v>7</v>
      </c>
      <c r="M32" s="271"/>
      <c r="V32" s="387">
        <v>0.6</v>
      </c>
    </row>
    <row r="33" spans="4:22" x14ac:dyDescent="0.2">
      <c r="D33" s="370" t="s">
        <v>37</v>
      </c>
      <c r="E33" s="206"/>
      <c r="F33" s="207"/>
      <c r="G33" s="211">
        <v>1.3</v>
      </c>
      <c r="H33" s="202">
        <v>0.8</v>
      </c>
      <c r="V33" s="387">
        <v>0.62</v>
      </c>
    </row>
    <row r="34" spans="4:22" x14ac:dyDescent="0.2">
      <c r="D34" s="371" t="s">
        <v>283</v>
      </c>
      <c r="E34" s="208"/>
      <c r="F34" s="209"/>
      <c r="G34" s="212">
        <v>70.280000686645508</v>
      </c>
      <c r="H34" s="203">
        <v>73.510000228881836</v>
      </c>
      <c r="V34" s="387">
        <v>0.64</v>
      </c>
    </row>
    <row r="35" spans="4:22" ht="40.15" customHeight="1" x14ac:dyDescent="0.2">
      <c r="D35" s="435" t="s">
        <v>190</v>
      </c>
      <c r="E35" s="435"/>
      <c r="F35" s="435"/>
      <c r="G35" s="435"/>
      <c r="H35" s="435"/>
      <c r="V35" s="387">
        <v>0.66</v>
      </c>
    </row>
    <row r="36" spans="4:22" x14ac:dyDescent="0.2">
      <c r="V36" s="387">
        <v>0.68</v>
      </c>
    </row>
    <row r="37" spans="4:22" ht="19.899999999999999" customHeight="1" x14ac:dyDescent="0.2">
      <c r="D37" s="227"/>
      <c r="E37" s="227"/>
      <c r="F37" s="227"/>
      <c r="H37" s="436" t="s">
        <v>265</v>
      </c>
      <c r="I37" s="437"/>
      <c r="J37" s="437"/>
      <c r="K37" s="437"/>
      <c r="L37" s="437"/>
      <c r="M37" s="437"/>
      <c r="N37" s="438"/>
      <c r="O37" s="257"/>
      <c r="V37" s="387">
        <v>0.7</v>
      </c>
    </row>
    <row r="38" spans="4:22" x14ac:dyDescent="0.2">
      <c r="D38" s="227"/>
      <c r="E38" s="227"/>
      <c r="F38" s="250"/>
      <c r="G38" s="309" t="s">
        <v>244</v>
      </c>
      <c r="H38" s="307">
        <v>2025</v>
      </c>
      <c r="I38" s="307">
        <v>2026</v>
      </c>
      <c r="J38" s="307">
        <v>2027</v>
      </c>
      <c r="K38" s="307">
        <v>2028</v>
      </c>
      <c r="L38" s="307">
        <v>2029</v>
      </c>
      <c r="M38" s="307">
        <v>2030</v>
      </c>
      <c r="N38" s="308">
        <v>2031</v>
      </c>
      <c r="V38" s="387">
        <v>0.72</v>
      </c>
    </row>
    <row r="39" spans="4:22" s="314" customFormat="1" ht="15" customHeight="1" x14ac:dyDescent="0.2">
      <c r="D39" s="442" t="s">
        <v>202</v>
      </c>
      <c r="E39" s="443"/>
      <c r="F39" s="444"/>
      <c r="G39" s="310"/>
      <c r="H39" s="315"/>
      <c r="I39" s="315"/>
      <c r="J39" s="315"/>
      <c r="K39" s="315"/>
      <c r="L39" s="315"/>
      <c r="M39" s="315"/>
      <c r="N39" s="316"/>
      <c r="U39" s="388"/>
      <c r="V39" s="389">
        <v>0.74</v>
      </c>
    </row>
    <row r="40" spans="4:22" s="314" customFormat="1" ht="15" customHeight="1" x14ac:dyDescent="0.2">
      <c r="D40" s="327" t="s">
        <v>30</v>
      </c>
      <c r="E40" s="328"/>
      <c r="F40" s="329"/>
      <c r="G40" s="313">
        <v>1.9701261966428523</v>
      </c>
      <c r="H40" s="323">
        <v>2.7658458841428533</v>
      </c>
      <c r="I40" s="323">
        <v>1.9628567591428516</v>
      </c>
      <c r="J40" s="323">
        <v>1.6277946341428522</v>
      </c>
      <c r="K40" s="323">
        <v>1.524007509142852</v>
      </c>
      <c r="L40" s="317"/>
      <c r="M40" s="317"/>
      <c r="N40" s="318"/>
      <c r="U40" s="388"/>
      <c r="V40" s="389">
        <v>0.76</v>
      </c>
    </row>
    <row r="41" spans="4:22" s="314" customFormat="1" ht="15" customHeight="1" x14ac:dyDescent="0.2">
      <c r="D41" s="429" t="s">
        <v>192</v>
      </c>
      <c r="E41" s="430"/>
      <c r="F41" s="431"/>
      <c r="G41" s="202">
        <v>1.2999999999999998</v>
      </c>
      <c r="H41" s="319">
        <v>1.2999999999999998</v>
      </c>
      <c r="I41" s="319">
        <v>1.3</v>
      </c>
      <c r="J41" s="319">
        <v>1.3</v>
      </c>
      <c r="K41" s="319">
        <v>1.3</v>
      </c>
      <c r="L41" s="319"/>
      <c r="M41" s="319"/>
      <c r="N41" s="320"/>
      <c r="U41" s="388"/>
      <c r="V41" s="389">
        <v>0.78</v>
      </c>
    </row>
    <row r="42" spans="4:22" s="314" customFormat="1" ht="15" customHeight="1" x14ac:dyDescent="0.2">
      <c r="D42" s="442" t="s">
        <v>203</v>
      </c>
      <c r="E42" s="443"/>
      <c r="F42" s="444"/>
      <c r="G42" s="312"/>
      <c r="H42" s="321"/>
      <c r="I42" s="321"/>
      <c r="J42" s="321"/>
      <c r="K42" s="321"/>
      <c r="L42" s="321"/>
      <c r="M42" s="321"/>
      <c r="N42" s="322"/>
      <c r="U42" s="388"/>
      <c r="V42" s="389">
        <v>0.8</v>
      </c>
    </row>
    <row r="43" spans="4:22" s="314" customFormat="1" ht="15" customHeight="1" x14ac:dyDescent="0.2">
      <c r="D43" s="327" t="s">
        <v>30</v>
      </c>
      <c r="E43" s="328"/>
      <c r="F43" s="329"/>
      <c r="G43" s="313">
        <v>3.0537254719725246</v>
      </c>
      <c r="H43" s="323">
        <v>3.8494451594725252</v>
      </c>
      <c r="I43" s="323">
        <v>3.0464560344725244</v>
      </c>
      <c r="J43" s="323">
        <v>2.7113939094725246</v>
      </c>
      <c r="K43" s="323">
        <v>2.6076067844725244</v>
      </c>
      <c r="L43" s="323">
        <v>2.5852176594725242</v>
      </c>
      <c r="M43" s="323">
        <v>2.5512805344725247</v>
      </c>
      <c r="N43" s="324">
        <v>2.5167674094725245</v>
      </c>
      <c r="U43" s="388"/>
      <c r="V43" s="389">
        <v>0.82</v>
      </c>
    </row>
    <row r="44" spans="4:22" s="314" customFormat="1" ht="15" customHeight="1" x14ac:dyDescent="0.2">
      <c r="D44" s="432" t="s">
        <v>192</v>
      </c>
      <c r="E44" s="433"/>
      <c r="F44" s="434"/>
      <c r="G44" s="311">
        <v>0.79999999999999982</v>
      </c>
      <c r="H44" s="325">
        <v>0.79999999999999982</v>
      </c>
      <c r="I44" s="325">
        <v>0.79999999999999982</v>
      </c>
      <c r="J44" s="325">
        <v>0.8</v>
      </c>
      <c r="K44" s="325">
        <v>0.8</v>
      </c>
      <c r="L44" s="325">
        <v>0.8</v>
      </c>
      <c r="M44" s="325">
        <v>0.8</v>
      </c>
      <c r="N44" s="326">
        <v>0.8</v>
      </c>
      <c r="U44" s="388"/>
      <c r="V44" s="389">
        <v>0.84</v>
      </c>
    </row>
    <row r="45" spans="4:22" x14ac:dyDescent="0.2">
      <c r="V45" s="387">
        <v>0.86</v>
      </c>
    </row>
    <row r="46" spans="4:22" x14ac:dyDescent="0.2">
      <c r="V46" s="387">
        <v>0.88</v>
      </c>
    </row>
    <row r="47" spans="4:22" x14ac:dyDescent="0.2">
      <c r="V47" s="387">
        <v>0.9</v>
      </c>
    </row>
    <row r="48" spans="4:22" x14ac:dyDescent="0.2">
      <c r="V48" s="387">
        <v>0.92</v>
      </c>
    </row>
    <row r="49" spans="22:22" x14ac:dyDescent="0.2">
      <c r="V49" s="387">
        <v>0.94</v>
      </c>
    </row>
    <row r="50" spans="22:22" x14ac:dyDescent="0.2">
      <c r="V50" s="387">
        <v>0.96</v>
      </c>
    </row>
    <row r="51" spans="22:22" x14ac:dyDescent="0.2">
      <c r="V51" s="387">
        <v>0.98</v>
      </c>
    </row>
    <row r="52" spans="22:22" x14ac:dyDescent="0.2">
      <c r="V52" s="387">
        <v>1</v>
      </c>
    </row>
    <row r="53" spans="22:22" x14ac:dyDescent="0.2">
      <c r="V53" s="387">
        <v>1.02</v>
      </c>
    </row>
    <row r="54" spans="22:22" x14ac:dyDescent="0.2">
      <c r="V54" s="387">
        <v>1.04</v>
      </c>
    </row>
    <row r="55" spans="22:22" x14ac:dyDescent="0.2">
      <c r="V55" s="387">
        <v>1.06</v>
      </c>
    </row>
    <row r="56" spans="22:22" x14ac:dyDescent="0.2">
      <c r="V56" s="387">
        <v>1.08</v>
      </c>
    </row>
    <row r="57" spans="22:22" x14ac:dyDescent="0.2">
      <c r="V57" s="387">
        <v>1.1000000000000001</v>
      </c>
    </row>
    <row r="58" spans="22:22" x14ac:dyDescent="0.2">
      <c r="V58" s="387">
        <v>1.1200000000000001</v>
      </c>
    </row>
    <row r="59" spans="22:22" x14ac:dyDescent="0.2">
      <c r="V59" s="387">
        <v>1.1399999999999999</v>
      </c>
    </row>
    <row r="60" spans="22:22" x14ac:dyDescent="0.2">
      <c r="V60" s="387">
        <v>1.1599999999999999</v>
      </c>
    </row>
    <row r="61" spans="22:22" x14ac:dyDescent="0.2">
      <c r="V61" s="387">
        <v>1.18</v>
      </c>
    </row>
    <row r="62" spans="22:22" x14ac:dyDescent="0.2">
      <c r="V62" s="387">
        <v>1.2</v>
      </c>
    </row>
    <row r="63" spans="22:22" x14ac:dyDescent="0.2">
      <c r="V63" s="387">
        <v>1.22</v>
      </c>
    </row>
    <row r="64" spans="22:22" x14ac:dyDescent="0.2">
      <c r="V64" s="387">
        <v>1.24</v>
      </c>
    </row>
    <row r="65" spans="22:22" x14ac:dyDescent="0.2">
      <c r="V65" s="387">
        <v>1.26</v>
      </c>
    </row>
    <row r="66" spans="22:22" x14ac:dyDescent="0.2">
      <c r="V66" s="387">
        <v>1.28</v>
      </c>
    </row>
    <row r="67" spans="22:22" x14ac:dyDescent="0.2">
      <c r="V67" s="387">
        <v>1.3</v>
      </c>
    </row>
    <row r="68" spans="22:22" x14ac:dyDescent="0.2">
      <c r="V68" s="387">
        <v>1.32</v>
      </c>
    </row>
    <row r="69" spans="22:22" x14ac:dyDescent="0.2">
      <c r="V69" s="387">
        <v>1.34</v>
      </c>
    </row>
    <row r="70" spans="22:22" x14ac:dyDescent="0.2">
      <c r="V70" s="387">
        <v>1.36</v>
      </c>
    </row>
    <row r="71" spans="22:22" x14ac:dyDescent="0.2">
      <c r="V71" s="387">
        <v>1.38</v>
      </c>
    </row>
    <row r="72" spans="22:22" x14ac:dyDescent="0.2">
      <c r="V72" s="387">
        <v>1.4</v>
      </c>
    </row>
    <row r="73" spans="22:22" x14ac:dyDescent="0.2">
      <c r="V73" s="387">
        <v>1.42</v>
      </c>
    </row>
    <row r="74" spans="22:22" x14ac:dyDescent="0.2">
      <c r="V74" s="387">
        <v>1.44</v>
      </c>
    </row>
    <row r="75" spans="22:22" x14ac:dyDescent="0.2">
      <c r="V75" s="387">
        <v>1.46</v>
      </c>
    </row>
    <row r="76" spans="22:22" x14ac:dyDescent="0.2">
      <c r="V76" s="387">
        <v>1.48</v>
      </c>
    </row>
    <row r="77" spans="22:22" x14ac:dyDescent="0.2">
      <c r="V77" s="387">
        <v>1.5</v>
      </c>
    </row>
    <row r="78" spans="22:22" x14ac:dyDescent="0.2">
      <c r="V78" s="387">
        <v>1.52</v>
      </c>
    </row>
    <row r="79" spans="22:22" x14ac:dyDescent="0.2">
      <c r="V79" s="387">
        <v>1.54</v>
      </c>
    </row>
    <row r="80" spans="22:22" x14ac:dyDescent="0.2">
      <c r="V80" s="387">
        <v>1.56</v>
      </c>
    </row>
    <row r="81" spans="22:22" x14ac:dyDescent="0.2">
      <c r="V81" s="387">
        <v>1.58</v>
      </c>
    </row>
    <row r="82" spans="22:22" x14ac:dyDescent="0.2">
      <c r="V82" s="387">
        <v>1.6</v>
      </c>
    </row>
  </sheetData>
  <mergeCells count="29">
    <mergeCell ref="D3:F3"/>
    <mergeCell ref="Q12:Q15"/>
    <mergeCell ref="P10:Q10"/>
    <mergeCell ref="L16:Q16"/>
    <mergeCell ref="L10:M10"/>
    <mergeCell ref="N10:O10"/>
    <mergeCell ref="N12:N15"/>
    <mergeCell ref="P12:P15"/>
    <mergeCell ref="G9:J10"/>
    <mergeCell ref="L9:Q9"/>
    <mergeCell ref="H3:I6"/>
    <mergeCell ref="D41:F41"/>
    <mergeCell ref="D44:F44"/>
    <mergeCell ref="D35:H35"/>
    <mergeCell ref="H37:N37"/>
    <mergeCell ref="D24:F24"/>
    <mergeCell ref="G30:H30"/>
    <mergeCell ref="D39:F39"/>
    <mergeCell ref="D42:F42"/>
    <mergeCell ref="D20:F20"/>
    <mergeCell ref="D26:F26"/>
    <mergeCell ref="D27:F27"/>
    <mergeCell ref="D28:J28"/>
    <mergeCell ref="O12:O15"/>
    <mergeCell ref="L12:L15"/>
    <mergeCell ref="M12:M15"/>
    <mergeCell ref="D16:J16"/>
    <mergeCell ref="G17:J17"/>
    <mergeCell ref="D19:F19"/>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2ADA96D1-BFE4-4931-9C65-D63671EC5CAC}">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heetViews>
  <sheetFormatPr defaultColWidth="8.85546875" defaultRowHeight="12.75" x14ac:dyDescent="0.2"/>
  <cols>
    <col min="1" max="1" width="8.7109375" style="137" customWidth="1"/>
    <col min="2" max="2" width="58.42578125" style="137" customWidth="1"/>
    <col min="3" max="6" width="8.7109375" style="137" customWidth="1"/>
    <col min="7" max="16384" width="8.85546875" style="137"/>
  </cols>
  <sheetData>
    <row r="1" spans="1:54" s="60" customFormat="1" ht="24.75" customHeight="1" x14ac:dyDescent="0.2">
      <c r="B1" s="130"/>
    </row>
    <row r="2" spans="1:54" s="60" customFormat="1" ht="11.25" customHeight="1" x14ac:dyDescent="0.2">
      <c r="B2" s="131"/>
    </row>
    <row r="3" spans="1:54" s="60" customFormat="1" ht="11.25" customHeight="1" x14ac:dyDescent="0.2">
      <c r="B3" s="132" t="s">
        <v>15</v>
      </c>
      <c r="C3" s="133" t="s">
        <v>163</v>
      </c>
    </row>
    <row r="4" spans="1:54" s="60" customFormat="1" ht="11.25" customHeight="1" x14ac:dyDescent="0.2">
      <c r="B4" s="134"/>
      <c r="C4" s="23"/>
    </row>
    <row r="5" spans="1:54" s="60" customFormat="1" ht="11.25" customHeight="1" x14ac:dyDescent="0.2">
      <c r="B5" s="135" t="s">
        <v>171</v>
      </c>
      <c r="C5" s="23">
        <v>2024</v>
      </c>
    </row>
    <row r="6" spans="1:54" x14ac:dyDescent="0.2">
      <c r="A6" s="60"/>
      <c r="B6" s="136" t="s">
        <v>44</v>
      </c>
      <c r="C6" s="286">
        <f>C5+'Criteria results'!$F$5</f>
        <v>2028</v>
      </c>
    </row>
    <row r="8" spans="1:54" s="138" customFormat="1" ht="12" customHeight="1" x14ac:dyDescent="0.2">
      <c r="B8" s="139" t="s">
        <v>45</v>
      </c>
      <c r="C8" s="140"/>
      <c r="D8" s="140"/>
      <c r="E8" s="140"/>
      <c r="F8" s="140"/>
      <c r="G8" s="140"/>
      <c r="H8" s="140"/>
      <c r="I8" s="140"/>
      <c r="J8" s="140"/>
      <c r="K8" s="140"/>
      <c r="L8" s="140"/>
      <c r="M8" s="140"/>
      <c r="N8" s="140"/>
      <c r="O8" s="140"/>
    </row>
    <row r="9" spans="1:54" x14ac:dyDescent="0.2">
      <c r="B9" s="60"/>
      <c r="C9" s="141">
        <v>2021</v>
      </c>
      <c r="D9" s="141">
        <v>2022</v>
      </c>
      <c r="E9" s="141">
        <v>2023</v>
      </c>
      <c r="F9" s="141">
        <v>2024</v>
      </c>
      <c r="G9" s="141">
        <v>2025</v>
      </c>
      <c r="H9" s="141">
        <v>2026</v>
      </c>
      <c r="I9" s="141">
        <v>2027</v>
      </c>
      <c r="J9" s="141">
        <v>2028</v>
      </c>
      <c r="K9" s="141">
        <v>2029</v>
      </c>
      <c r="L9" s="141">
        <v>2030</v>
      </c>
      <c r="M9" s="141">
        <v>2031</v>
      </c>
      <c r="N9" s="141">
        <v>2032</v>
      </c>
      <c r="O9" s="141">
        <v>2033</v>
      </c>
      <c r="P9" s="141">
        <v>2034</v>
      </c>
      <c r="Q9" s="141">
        <v>2035</v>
      </c>
      <c r="R9" s="141">
        <v>2036</v>
      </c>
      <c r="S9" s="141">
        <v>2037</v>
      </c>
      <c r="T9" s="141">
        <v>2038</v>
      </c>
      <c r="U9" s="141">
        <v>2039</v>
      </c>
      <c r="V9" s="141">
        <v>2040</v>
      </c>
      <c r="W9" s="141">
        <v>2041</v>
      </c>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row>
    <row r="10" spans="1:54" s="142" customFormat="1" x14ac:dyDescent="0.2">
      <c r="B10" s="143" t="s">
        <v>46</v>
      </c>
      <c r="C10" s="144"/>
      <c r="D10" s="144"/>
      <c r="E10" s="144"/>
      <c r="F10" s="144"/>
      <c r="G10" s="144"/>
      <c r="H10" s="144"/>
      <c r="I10" s="144"/>
      <c r="J10" s="144"/>
      <c r="K10" s="144"/>
      <c r="L10" s="144"/>
      <c r="M10" s="144"/>
      <c r="N10" s="144"/>
      <c r="O10" s="144"/>
    </row>
    <row r="11" spans="1:54" x14ac:dyDescent="0.2">
      <c r="B11" s="145" t="s">
        <v>288</v>
      </c>
      <c r="C11" s="146"/>
      <c r="D11" s="146"/>
      <c r="E11" s="146"/>
      <c r="F11" s="146"/>
      <c r="G11" s="146"/>
      <c r="H11" s="146"/>
      <c r="I11" s="146"/>
      <c r="J11" s="146"/>
      <c r="K11" s="146"/>
      <c r="L11" s="146"/>
      <c r="M11" s="146"/>
      <c r="N11" s="146"/>
      <c r="O11" s="146"/>
    </row>
    <row r="12" spans="1:54" x14ac:dyDescent="0.2">
      <c r="A12" s="60"/>
      <c r="B12" s="60" t="s">
        <v>43</v>
      </c>
      <c r="C12" s="59">
        <v>61.088839999999998</v>
      </c>
      <c r="D12" s="147">
        <v>57.741860000000003</v>
      </c>
      <c r="E12" s="147">
        <v>56.044969999999999</v>
      </c>
      <c r="F12" s="147">
        <v>58.478929999999998</v>
      </c>
      <c r="G12" s="59" t="s">
        <v>47</v>
      </c>
      <c r="H12" s="59" t="s">
        <v>47</v>
      </c>
      <c r="I12" s="59" t="s">
        <v>47</v>
      </c>
      <c r="J12" s="59" t="s">
        <v>47</v>
      </c>
      <c r="K12" s="59" t="s">
        <v>47</v>
      </c>
      <c r="L12" s="59" t="s">
        <v>47</v>
      </c>
      <c r="M12" s="59" t="s">
        <v>47</v>
      </c>
      <c r="N12" s="59" t="s">
        <v>47</v>
      </c>
      <c r="O12" s="59" t="s">
        <v>47</v>
      </c>
    </row>
    <row r="13" spans="1:54" x14ac:dyDescent="0.2">
      <c r="A13" s="60"/>
      <c r="B13" s="60" t="s">
        <v>48</v>
      </c>
      <c r="C13" s="59">
        <v>-4.222766</v>
      </c>
      <c r="D13" s="147">
        <v>-0.85058520000000004</v>
      </c>
      <c r="E13" s="147">
        <v>-3.5136029999999998</v>
      </c>
      <c r="F13" s="147">
        <v>-4.2628820000000003</v>
      </c>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
      <c r="A14" s="60"/>
      <c r="B14" s="60" t="s">
        <v>49</v>
      </c>
      <c r="C14" s="59">
        <v>0</v>
      </c>
      <c r="D14" s="147">
        <v>0</v>
      </c>
      <c r="E14" s="147">
        <v>0</v>
      </c>
      <c r="F14" s="147">
        <v>0</v>
      </c>
      <c r="G14" s="147">
        <v>0</v>
      </c>
      <c r="H14" s="147">
        <v>0</v>
      </c>
      <c r="I14" s="147">
        <v>0</v>
      </c>
      <c r="J14" s="147">
        <v>0</v>
      </c>
      <c r="K14" s="147">
        <v>0</v>
      </c>
      <c r="L14" s="147">
        <v>0</v>
      </c>
      <c r="M14" s="147">
        <v>0</v>
      </c>
      <c r="N14" s="147">
        <v>0</v>
      </c>
      <c r="O14" s="147">
        <v>0</v>
      </c>
      <c r="P14" s="147">
        <v>0</v>
      </c>
      <c r="Q14" s="147">
        <v>0</v>
      </c>
      <c r="R14" s="147">
        <v>0</v>
      </c>
      <c r="S14" s="147">
        <v>0</v>
      </c>
      <c r="T14" s="147">
        <v>0</v>
      </c>
      <c r="U14" s="147">
        <v>0</v>
      </c>
      <c r="V14" s="147">
        <v>0</v>
      </c>
      <c r="W14" s="147">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
      <c r="A15" s="60"/>
      <c r="B15" s="60" t="s">
        <v>50</v>
      </c>
      <c r="C15" s="59">
        <v>1.0478270000000001</v>
      </c>
      <c r="D15" s="147">
        <v>0.27736460000000002</v>
      </c>
      <c r="E15" s="147">
        <v>-0.45438450000000002</v>
      </c>
      <c r="F15" s="147">
        <v>0.2</v>
      </c>
      <c r="G15" s="147">
        <v>-0.6</v>
      </c>
      <c r="H15" s="147">
        <v>0</v>
      </c>
      <c r="I15" s="147">
        <v>0</v>
      </c>
      <c r="J15" s="147">
        <v>0</v>
      </c>
      <c r="K15" s="147">
        <v>0</v>
      </c>
      <c r="L15" s="147">
        <v>0</v>
      </c>
      <c r="M15" s="147">
        <v>0</v>
      </c>
      <c r="N15" s="147">
        <v>0</v>
      </c>
      <c r="O15" s="147">
        <v>0</v>
      </c>
      <c r="P15" s="147">
        <v>0</v>
      </c>
      <c r="Q15" s="147">
        <v>0</v>
      </c>
      <c r="R15" s="147">
        <v>0</v>
      </c>
      <c r="S15" s="147">
        <v>0</v>
      </c>
      <c r="T15" s="147">
        <v>0</v>
      </c>
      <c r="U15" s="147">
        <v>0</v>
      </c>
      <c r="V15" s="147">
        <v>0</v>
      </c>
      <c r="W15" s="147">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
      <c r="A16" s="60"/>
      <c r="B16" s="60" t="s">
        <v>51</v>
      </c>
      <c r="C16" s="59">
        <v>1.0478259999999999</v>
      </c>
      <c r="D16" s="147">
        <v>0.27736460000000002</v>
      </c>
      <c r="E16" s="147">
        <v>-0.4543818</v>
      </c>
      <c r="F16" s="147">
        <v>0.2000005</v>
      </c>
      <c r="G16" s="147">
        <v>-0.6000027</v>
      </c>
      <c r="H16" s="147">
        <v>0</v>
      </c>
      <c r="I16" s="147">
        <v>0</v>
      </c>
      <c r="J16" s="147">
        <v>0</v>
      </c>
      <c r="K16" s="147">
        <v>0</v>
      </c>
      <c r="L16" s="147">
        <v>0</v>
      </c>
      <c r="M16" s="147">
        <v>0</v>
      </c>
      <c r="N16" s="147">
        <v>0</v>
      </c>
      <c r="O16" s="147">
        <v>0</v>
      </c>
      <c r="P16" s="147">
        <v>0</v>
      </c>
      <c r="Q16" s="147">
        <v>0</v>
      </c>
      <c r="R16" s="147">
        <v>0</v>
      </c>
      <c r="S16" s="147">
        <v>0</v>
      </c>
      <c r="T16" s="147">
        <v>0</v>
      </c>
      <c r="U16" s="147">
        <v>0</v>
      </c>
      <c r="V16" s="147">
        <v>0</v>
      </c>
      <c r="W16" s="147">
        <v>0</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
      <c r="A17" s="60"/>
      <c r="B17" s="365" t="s">
        <v>287</v>
      </c>
      <c r="C17" s="59"/>
      <c r="D17" s="367">
        <v>0</v>
      </c>
      <c r="E17" s="367">
        <v>0</v>
      </c>
      <c r="F17" s="367">
        <v>1</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
      <c r="A18" s="60"/>
      <c r="B18" s="60"/>
      <c r="C18" s="59"/>
      <c r="D18" s="59"/>
      <c r="E18" s="59"/>
      <c r="F18" s="59"/>
      <c r="G18" s="59"/>
      <c r="H18" s="59"/>
      <c r="I18" s="59"/>
      <c r="J18" s="59"/>
      <c r="K18" s="59"/>
      <c r="L18" s="59"/>
      <c r="M18" s="59"/>
      <c r="N18" s="59"/>
      <c r="O18" s="59"/>
    </row>
    <row r="19" spans="1:54" x14ac:dyDescent="0.2">
      <c r="A19" s="60"/>
      <c r="B19" s="145" t="s">
        <v>271</v>
      </c>
      <c r="C19" s="59"/>
      <c r="D19" s="59"/>
      <c r="E19" s="59"/>
      <c r="F19" s="59"/>
      <c r="G19" s="59"/>
      <c r="H19" s="59"/>
      <c r="I19" s="59"/>
      <c r="J19" s="59"/>
      <c r="K19" s="59"/>
      <c r="L19" s="59"/>
      <c r="M19" s="59"/>
      <c r="N19" s="59"/>
      <c r="O19" s="59"/>
    </row>
    <row r="20" spans="1:54" x14ac:dyDescent="0.2">
      <c r="A20" s="60"/>
      <c r="B20" s="60" t="s">
        <v>52</v>
      </c>
      <c r="C20" s="59">
        <f t="shared" ref="C20:T20" si="0">(C21+C22+C23+C24-C25)</f>
        <v>0</v>
      </c>
      <c r="D20" s="148">
        <f t="shared" si="0"/>
        <v>18.962240000000001</v>
      </c>
      <c r="E20" s="148">
        <f t="shared" si="0"/>
        <v>20.503689999999999</v>
      </c>
      <c r="F20" s="148">
        <f t="shared" si="0"/>
        <v>20.335599999999999</v>
      </c>
      <c r="G20" s="148">
        <f t="shared" si="0"/>
        <v>20.668779999999998</v>
      </c>
      <c r="H20" s="148">
        <f t="shared" si="0"/>
        <v>21.016960000000001</v>
      </c>
      <c r="I20" s="148">
        <f t="shared" si="0"/>
        <v>21.357330000000001</v>
      </c>
      <c r="J20" s="148">
        <f t="shared" si="0"/>
        <v>21.584160000000001</v>
      </c>
      <c r="K20" s="148">
        <f t="shared" si="0"/>
        <v>21.737720000000003</v>
      </c>
      <c r="L20" s="148">
        <f t="shared" si="0"/>
        <v>21.863299999999999</v>
      </c>
      <c r="M20" s="148">
        <f t="shared" si="0"/>
        <v>22.01473</v>
      </c>
      <c r="N20" s="148">
        <f t="shared" si="0"/>
        <v>22.161089999999998</v>
      </c>
      <c r="O20" s="148">
        <f t="shared" si="0"/>
        <v>22.310850000000002</v>
      </c>
      <c r="P20" s="148">
        <f t="shared" si="0"/>
        <v>22.436720000000001</v>
      </c>
      <c r="Q20" s="148">
        <f t="shared" si="0"/>
        <v>22.553650000000001</v>
      </c>
      <c r="R20" s="148">
        <f t="shared" si="0"/>
        <v>22.657159999999998</v>
      </c>
      <c r="S20" s="148">
        <f t="shared" si="0"/>
        <v>22.766190000000002</v>
      </c>
      <c r="T20" s="148">
        <f t="shared" si="0"/>
        <v>22.879989999999999</v>
      </c>
      <c r="U20" s="148">
        <f t="shared" ref="U20:W20" si="1">(U21+U22+U23+U24-U25)</f>
        <v>22.977649999999997</v>
      </c>
      <c r="V20" s="148">
        <f t="shared" si="1"/>
        <v>23.127649999999999</v>
      </c>
      <c r="W20" s="148">
        <f t="shared" si="1"/>
        <v>23.266509999999997</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
      <c r="A21" s="60"/>
      <c r="B21" s="149" t="s">
        <v>53</v>
      </c>
      <c r="C21" s="59">
        <v>0</v>
      </c>
      <c r="D21" s="148">
        <v>8.5045099999999998</v>
      </c>
      <c r="E21" s="148">
        <v>9.5640299999999989</v>
      </c>
      <c r="F21" s="148">
        <v>9.3627099999999999</v>
      </c>
      <c r="G21" s="148">
        <v>9.5828100000000003</v>
      </c>
      <c r="H21" s="148">
        <v>9.8116900000000005</v>
      </c>
      <c r="I21" s="148">
        <v>10.0235</v>
      </c>
      <c r="J21" s="148">
        <v>10.13743</v>
      </c>
      <c r="K21" s="148">
        <v>10.1883</v>
      </c>
      <c r="L21" s="148">
        <v>10.217969999999999</v>
      </c>
      <c r="M21" s="148">
        <v>10.271610000000001</v>
      </c>
      <c r="N21" s="148">
        <v>10.324009999999999</v>
      </c>
      <c r="O21" s="148">
        <v>10.385300000000001</v>
      </c>
      <c r="P21" s="148">
        <v>10.43201</v>
      </c>
      <c r="Q21" s="148">
        <v>10.47465</v>
      </c>
      <c r="R21" s="148">
        <v>10.51487</v>
      </c>
      <c r="S21" s="148">
        <v>10.568950000000001</v>
      </c>
      <c r="T21" s="148">
        <v>10.63115</v>
      </c>
      <c r="U21" s="148">
        <v>10.67957</v>
      </c>
      <c r="V21" s="148">
        <v>10.780850000000001</v>
      </c>
      <c r="W21" s="148">
        <v>10.873249999999999</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
      <c r="A22" s="60"/>
      <c r="B22" s="150" t="s">
        <v>54</v>
      </c>
      <c r="C22" s="59">
        <v>0</v>
      </c>
      <c r="D22" s="148">
        <v>5.7371400000000001</v>
      </c>
      <c r="E22" s="148">
        <v>6.16744</v>
      </c>
      <c r="F22" s="148">
        <v>6.14452</v>
      </c>
      <c r="G22" s="148">
        <v>6.1912700000000003</v>
      </c>
      <c r="H22" s="148">
        <v>6.2418800000000001</v>
      </c>
      <c r="I22" s="148">
        <v>6.2907400000000004</v>
      </c>
      <c r="J22" s="148">
        <v>6.3396099999999995</v>
      </c>
      <c r="K22" s="148">
        <v>6.3869499999999997</v>
      </c>
      <c r="L22" s="148">
        <v>6.4339300000000001</v>
      </c>
      <c r="M22" s="148">
        <v>6.4851599999999996</v>
      </c>
      <c r="N22" s="148">
        <v>6.5323799999999999</v>
      </c>
      <c r="O22" s="148">
        <v>6.5816600000000003</v>
      </c>
      <c r="P22" s="148">
        <v>6.62765</v>
      </c>
      <c r="Q22" s="148">
        <v>6.6741599999999996</v>
      </c>
      <c r="R22" s="148">
        <v>6.7165900000000001</v>
      </c>
      <c r="S22" s="148">
        <v>6.7573800000000004</v>
      </c>
      <c r="T22" s="148">
        <v>6.7972599999999996</v>
      </c>
      <c r="U22" s="148">
        <v>6.8361599999999996</v>
      </c>
      <c r="V22" s="148">
        <v>6.8749500000000001</v>
      </c>
      <c r="W22" s="148">
        <v>6.9098199999999999</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
      <c r="A23" s="60"/>
      <c r="B23" s="150" t="s">
        <v>55</v>
      </c>
      <c r="C23" s="59">
        <v>0</v>
      </c>
      <c r="D23" s="148">
        <v>0.99639</v>
      </c>
      <c r="E23" s="148">
        <v>1.0195700000000001</v>
      </c>
      <c r="F23" s="148">
        <v>1.0597699999999999</v>
      </c>
      <c r="G23" s="148">
        <v>1.09745</v>
      </c>
      <c r="H23" s="148">
        <v>1.1253600000000001</v>
      </c>
      <c r="I23" s="148">
        <v>1.1656500000000001</v>
      </c>
      <c r="J23" s="148">
        <v>1.1932099999999999</v>
      </c>
      <c r="K23" s="148">
        <v>1.2212400000000001</v>
      </c>
      <c r="L23" s="148">
        <v>1.2505600000000001</v>
      </c>
      <c r="M23" s="148">
        <v>1.28128</v>
      </c>
      <c r="N23" s="148">
        <v>1.31447</v>
      </c>
      <c r="O23" s="148">
        <v>1.3480700000000001</v>
      </c>
      <c r="P23" s="148">
        <v>1.3815900000000001</v>
      </c>
      <c r="Q23" s="148">
        <v>1.41551</v>
      </c>
      <c r="R23" s="148">
        <v>1.44963</v>
      </c>
      <c r="S23" s="148">
        <v>1.4835700000000001</v>
      </c>
      <c r="T23" s="148">
        <v>1.51692</v>
      </c>
      <c r="U23" s="148">
        <v>1.5488900000000001</v>
      </c>
      <c r="V23" s="148">
        <v>1.5800799999999999</v>
      </c>
      <c r="W23" s="148">
        <v>1.6116200000000001</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
      <c r="A24" s="60"/>
      <c r="B24" s="150" t="s">
        <v>56</v>
      </c>
      <c r="C24" s="59">
        <v>0</v>
      </c>
      <c r="D24" s="148">
        <v>3.7241999999999997</v>
      </c>
      <c r="E24" s="148">
        <v>3.7526499999999996</v>
      </c>
      <c r="F24" s="148">
        <v>3.7685999999999997</v>
      </c>
      <c r="G24" s="148">
        <v>3.79725</v>
      </c>
      <c r="H24" s="148">
        <v>3.8380299999999998</v>
      </c>
      <c r="I24" s="148">
        <v>3.87744</v>
      </c>
      <c r="J24" s="148">
        <v>3.9139100000000004</v>
      </c>
      <c r="K24" s="148">
        <v>3.9412299999999996</v>
      </c>
      <c r="L24" s="148">
        <v>3.9608400000000001</v>
      </c>
      <c r="M24" s="148">
        <v>3.97668</v>
      </c>
      <c r="N24" s="148">
        <v>3.9902300000000004</v>
      </c>
      <c r="O24" s="148">
        <v>3.9958200000000001</v>
      </c>
      <c r="P24" s="148">
        <v>3.9954700000000001</v>
      </c>
      <c r="Q24" s="148">
        <v>3.9893299999999998</v>
      </c>
      <c r="R24" s="148">
        <v>3.9760700000000004</v>
      </c>
      <c r="S24" s="148">
        <v>3.9562899999999996</v>
      </c>
      <c r="T24" s="148">
        <v>3.93466</v>
      </c>
      <c r="U24" s="148">
        <v>3.91303</v>
      </c>
      <c r="V24" s="148">
        <v>3.8917700000000002</v>
      </c>
      <c r="W24" s="148">
        <v>3.87182</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
      <c r="A25" s="60"/>
      <c r="B25" s="150" t="s">
        <v>57</v>
      </c>
      <c r="C25" s="59">
        <v>0</v>
      </c>
      <c r="D25" s="148">
        <v>0</v>
      </c>
      <c r="E25" s="148">
        <v>0</v>
      </c>
      <c r="F25" s="148">
        <v>0</v>
      </c>
      <c r="G25" s="148">
        <v>0</v>
      </c>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
      <c r="A26" s="60"/>
      <c r="B26" s="149" t="s">
        <v>58</v>
      </c>
      <c r="C26" s="59">
        <v>0.75515319999999997</v>
      </c>
      <c r="D26" s="148">
        <v>0.6825677</v>
      </c>
      <c r="E26" s="148">
        <v>0.68126889999999996</v>
      </c>
      <c r="F26" s="148">
        <v>0.67997019999999997</v>
      </c>
      <c r="G26" s="148">
        <v>0.67867149999999998</v>
      </c>
      <c r="H26" s="148">
        <v>0.6773728</v>
      </c>
      <c r="I26" s="148">
        <v>0.67607399999999995</v>
      </c>
      <c r="J26" s="148">
        <v>0.67477529999999997</v>
      </c>
      <c r="K26" s="148">
        <v>0.67347659999999998</v>
      </c>
      <c r="L26" s="148">
        <v>0.67217789999999999</v>
      </c>
      <c r="M26" s="148">
        <v>0.67087909999999995</v>
      </c>
      <c r="N26" s="148">
        <v>0.66958050000000002</v>
      </c>
      <c r="O26" s="148">
        <v>0.66828169999999998</v>
      </c>
      <c r="P26" s="148">
        <v>0.66698299999999999</v>
      </c>
      <c r="Q26" s="148">
        <v>0.66568430000000001</v>
      </c>
      <c r="R26" s="148">
        <v>0.66438569999999997</v>
      </c>
      <c r="S26" s="148">
        <v>0.66308699999999998</v>
      </c>
      <c r="T26" s="148">
        <v>0.66178820000000005</v>
      </c>
      <c r="U26" s="148">
        <v>0.66048960000000001</v>
      </c>
      <c r="V26" s="148">
        <v>0.65919090000000002</v>
      </c>
      <c r="W26" s="148">
        <v>0.65789220000000004</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
      <c r="A27" s="60"/>
      <c r="B27" s="60"/>
      <c r="C27" s="60"/>
      <c r="D27" s="60"/>
      <c r="E27" s="60"/>
      <c r="F27" s="60"/>
      <c r="G27" s="60"/>
      <c r="H27" s="60"/>
      <c r="I27" s="60"/>
      <c r="J27" s="60"/>
      <c r="K27" s="60"/>
      <c r="L27" s="60"/>
      <c r="M27" s="60"/>
      <c r="N27" s="60"/>
      <c r="O27" s="60"/>
    </row>
    <row r="28" spans="1:54" s="142" customFormat="1" x14ac:dyDescent="0.2">
      <c r="A28" s="151"/>
      <c r="B28" s="143" t="s">
        <v>243</v>
      </c>
      <c r="C28" s="151"/>
      <c r="D28" s="151"/>
      <c r="E28" s="151"/>
      <c r="F28" s="151"/>
      <c r="G28" s="151"/>
      <c r="H28" s="151"/>
      <c r="I28" s="151"/>
      <c r="J28" s="151"/>
      <c r="K28" s="151"/>
      <c r="L28" s="151"/>
      <c r="M28" s="151"/>
      <c r="N28" s="151"/>
      <c r="O28" s="151"/>
    </row>
    <row r="29" spans="1:54" x14ac:dyDescent="0.2">
      <c r="A29" s="60"/>
      <c r="B29" s="145" t="s">
        <v>59</v>
      </c>
      <c r="C29" s="60"/>
      <c r="D29" s="60"/>
      <c r="E29" s="60"/>
      <c r="F29" s="60"/>
      <c r="G29" s="60"/>
      <c r="H29" s="60"/>
      <c r="I29" s="60"/>
      <c r="J29" s="60"/>
      <c r="K29" s="60"/>
      <c r="L29" s="60"/>
      <c r="M29" s="60"/>
      <c r="N29" s="60"/>
      <c r="O29" s="60"/>
    </row>
    <row r="30" spans="1:54" x14ac:dyDescent="0.2">
      <c r="A30" s="60"/>
      <c r="B30" s="60" t="s">
        <v>60</v>
      </c>
      <c r="C30" s="152">
        <v>4.7712199999999996</v>
      </c>
      <c r="D30" s="153">
        <v>1.8700369999999999</v>
      </c>
      <c r="E30" s="153">
        <v>1.596454</v>
      </c>
      <c r="F30" s="153">
        <v>2.227846</v>
      </c>
      <c r="G30" s="153">
        <v>3.220262</v>
      </c>
      <c r="H30" s="153">
        <v>1.654501</v>
      </c>
      <c r="I30" s="153">
        <v>1.3861540000000001</v>
      </c>
      <c r="J30" s="153">
        <v>1.3817489999999999</v>
      </c>
      <c r="K30" s="153">
        <v>1.458739</v>
      </c>
      <c r="L30" s="153">
        <v>1.5023660000000001</v>
      </c>
      <c r="M30" s="153">
        <v>1.54541</v>
      </c>
      <c r="N30" s="153">
        <v>1.571599</v>
      </c>
      <c r="O30" s="153">
        <v>1.573356</v>
      </c>
      <c r="P30" s="154">
        <v>1.6041799999999999</v>
      </c>
      <c r="Q30" s="154">
        <v>1.6350039999999999</v>
      </c>
      <c r="R30" s="154">
        <v>1.6658249999999999</v>
      </c>
      <c r="S30" s="154">
        <v>1.6715930000000001</v>
      </c>
      <c r="T30" s="154">
        <v>1.6133489999999999</v>
      </c>
      <c r="U30" s="154">
        <v>1.5618829999999999</v>
      </c>
      <c r="V30" s="154">
        <v>1.5050829999999999</v>
      </c>
      <c r="W30" s="154">
        <v>1.483687</v>
      </c>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row>
    <row r="31" spans="1:54" x14ac:dyDescent="0.2">
      <c r="A31" s="60"/>
      <c r="B31" s="300" t="s">
        <v>201</v>
      </c>
      <c r="C31" s="152">
        <v>90.819270000000003</v>
      </c>
    </row>
    <row r="32" spans="1:54" x14ac:dyDescent="0.2">
      <c r="A32" s="60"/>
      <c r="B32" s="145"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
      <c r="A33" s="60"/>
      <c r="B33" s="60" t="s">
        <v>60</v>
      </c>
      <c r="C33" s="152">
        <v>1.532341</v>
      </c>
      <c r="D33" s="153">
        <v>1.661564</v>
      </c>
      <c r="E33" s="153">
        <v>2.772853</v>
      </c>
      <c r="F33" s="153">
        <v>2.3316089999999998</v>
      </c>
      <c r="G33" s="153">
        <v>2.412731</v>
      </c>
      <c r="H33" s="153">
        <v>1.6873009999999999</v>
      </c>
      <c r="I33" s="153">
        <v>1.4297979999999999</v>
      </c>
      <c r="J33" s="153">
        <v>1.40357</v>
      </c>
      <c r="K33" s="153">
        <v>1.4587399999999999</v>
      </c>
      <c r="L33" s="153">
        <v>1.502362</v>
      </c>
      <c r="M33" s="153">
        <v>1.5454079999999999</v>
      </c>
      <c r="N33" s="153">
        <v>1.5715969999999999</v>
      </c>
      <c r="O33" s="153">
        <v>1.5733569999999999</v>
      </c>
      <c r="P33" s="154">
        <v>1.6041799999999999</v>
      </c>
      <c r="Q33" s="154">
        <v>1.635005</v>
      </c>
      <c r="R33" s="154">
        <v>1.6658280000000001</v>
      </c>
      <c r="S33" s="154">
        <v>1.671591</v>
      </c>
      <c r="T33" s="154">
        <v>1.6133459999999999</v>
      </c>
      <c r="U33" s="154">
        <v>1.5618810000000001</v>
      </c>
      <c r="V33" s="154">
        <v>1.505082</v>
      </c>
      <c r="W33" s="154">
        <v>1.48369</v>
      </c>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row>
    <row r="34" spans="1:54" x14ac:dyDescent="0.2">
      <c r="A34" s="60"/>
      <c r="B34" s="300" t="s">
        <v>201</v>
      </c>
      <c r="C34" s="152">
        <v>90.493570000000005</v>
      </c>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
      <c r="A35" s="60"/>
      <c r="B35" s="300"/>
      <c r="C35" s="152"/>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2" customFormat="1" x14ac:dyDescent="0.2">
      <c r="A36" s="151"/>
      <c r="B36" s="143" t="s">
        <v>255</v>
      </c>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row>
    <row r="37" spans="1:54" x14ac:dyDescent="0.2">
      <c r="A37" s="60"/>
      <c r="B37" s="60" t="s">
        <v>63</v>
      </c>
      <c r="C37" s="59">
        <v>1.998502</v>
      </c>
      <c r="D37" s="147">
        <v>1.859802</v>
      </c>
      <c r="E37" s="147">
        <v>2.2416550000000002</v>
      </c>
      <c r="F37" s="147">
        <v>2.5392969999999999</v>
      </c>
      <c r="G37" s="147">
        <v>2.7068880000000002</v>
      </c>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
      <c r="A38" s="60"/>
      <c r="B38" s="149" t="s">
        <v>64</v>
      </c>
      <c r="D38" s="147">
        <v>0.35</v>
      </c>
      <c r="E38" s="147">
        <v>3.43</v>
      </c>
      <c r="F38" s="288">
        <v>3.5642079999999998</v>
      </c>
      <c r="G38" s="289">
        <v>2.8163749999999999</v>
      </c>
      <c r="H38" s="59"/>
    </row>
    <row r="39" spans="1:54" x14ac:dyDescent="0.2">
      <c r="A39" s="60"/>
      <c r="B39" s="149" t="s">
        <v>65</v>
      </c>
      <c r="D39" s="147">
        <v>2.0699999999999998</v>
      </c>
      <c r="E39" s="147">
        <v>3.65</v>
      </c>
      <c r="F39" s="290">
        <v>3.6707719999999999</v>
      </c>
      <c r="G39" s="291">
        <v>3.780141</v>
      </c>
      <c r="H39" s="59"/>
    </row>
    <row r="40" spans="1:54" x14ac:dyDescent="0.2">
      <c r="A40" s="60"/>
      <c r="B40" s="150"/>
      <c r="C40" s="59"/>
      <c r="D40" s="59"/>
      <c r="E40" s="155"/>
      <c r="F40" s="287" t="s">
        <v>71</v>
      </c>
      <c r="G40" s="155"/>
      <c r="H40" s="155"/>
      <c r="I40" s="155"/>
      <c r="J40" s="155"/>
      <c r="K40" s="155"/>
      <c r="L40" s="155"/>
      <c r="M40" s="155"/>
      <c r="N40" s="155"/>
      <c r="O40" s="155"/>
      <c r="P40" s="155"/>
      <c r="Q40" s="155"/>
      <c r="R40" s="155"/>
      <c r="S40" s="155"/>
      <c r="T40" s="155"/>
      <c r="U40" s="155"/>
      <c r="V40" s="155"/>
      <c r="W40" s="155"/>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2" customFormat="1" x14ac:dyDescent="0.2">
      <c r="A41" s="151"/>
      <c r="B41" s="156" t="s">
        <v>256</v>
      </c>
      <c r="C41" s="157"/>
      <c r="D41" s="157"/>
      <c r="E41" s="157"/>
      <c r="F41" s="157"/>
      <c r="G41" s="158"/>
      <c r="H41" s="158"/>
      <c r="I41" s="158"/>
      <c r="J41" s="158"/>
      <c r="K41" s="158"/>
      <c r="L41" s="158"/>
      <c r="M41" s="158"/>
      <c r="N41" s="158"/>
      <c r="O41" s="158"/>
      <c r="P41" s="158"/>
      <c r="Q41" s="158"/>
      <c r="R41" s="158"/>
      <c r="S41" s="158"/>
      <c r="T41" s="158"/>
      <c r="U41" s="158"/>
      <c r="V41" s="158"/>
      <c r="W41" s="158"/>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row>
    <row r="42" spans="1:54" x14ac:dyDescent="0.2">
      <c r="A42" s="60"/>
      <c r="B42" s="60" t="s">
        <v>66</v>
      </c>
      <c r="C42" s="59">
        <v>2.3860749999999999</v>
      </c>
      <c r="D42" s="147">
        <v>7.4842570000000004</v>
      </c>
      <c r="E42" s="147">
        <v>10.131869999999999</v>
      </c>
      <c r="F42" s="147">
        <v>4.5784279999999997</v>
      </c>
      <c r="G42" s="147">
        <v>3.1704729999999999</v>
      </c>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
      <c r="A43" s="60"/>
    </row>
    <row r="44" spans="1:54" s="142" customFormat="1" x14ac:dyDescent="0.2">
      <c r="A44" s="151"/>
      <c r="B44" s="156" t="s">
        <v>257</v>
      </c>
      <c r="C44" s="157"/>
      <c r="D44" s="157"/>
      <c r="E44" s="157"/>
      <c r="F44" s="157"/>
      <c r="G44" s="158"/>
      <c r="H44" s="158"/>
      <c r="I44" s="158"/>
      <c r="J44" s="158"/>
      <c r="K44" s="158"/>
      <c r="L44" s="158"/>
      <c r="M44" s="158"/>
      <c r="N44" s="158"/>
      <c r="O44" s="158"/>
      <c r="P44" s="158"/>
      <c r="Q44" s="158"/>
      <c r="R44" s="158"/>
      <c r="S44" s="158"/>
      <c r="T44" s="158"/>
      <c r="U44" s="158"/>
      <c r="V44" s="158"/>
      <c r="W44" s="158"/>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row>
    <row r="45" spans="1:54" x14ac:dyDescent="0.2">
      <c r="A45" s="60"/>
      <c r="B45" s="60" t="s">
        <v>30</v>
      </c>
      <c r="C45" s="59">
        <v>7.1055565730133665</v>
      </c>
      <c r="D45" s="147">
        <v>7.0970051470311883</v>
      </c>
      <c r="E45" s="147">
        <v>23.97555200834967</v>
      </c>
      <c r="F45" s="147">
        <v>6.2131458703570441</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
      <c r="A46" s="60"/>
    </row>
    <row r="47" spans="1:54" s="138" customFormat="1" x14ac:dyDescent="0.2">
      <c r="A47" s="140"/>
      <c r="B47" s="139" t="s">
        <v>67</v>
      </c>
      <c r="C47" s="159"/>
      <c r="D47" s="159"/>
    </row>
    <row r="48" spans="1:54" x14ac:dyDescent="0.2">
      <c r="A48" s="60"/>
      <c r="B48" s="160"/>
      <c r="C48" s="59"/>
      <c r="D48" s="59"/>
      <c r="E48" s="301" t="s">
        <v>174</v>
      </c>
    </row>
    <row r="49" spans="1:5" x14ac:dyDescent="0.2">
      <c r="A49" s="60"/>
      <c r="B49" s="60" t="s">
        <v>68</v>
      </c>
      <c r="C49" s="63">
        <v>0.75</v>
      </c>
      <c r="D49" s="59"/>
      <c r="E49" s="60" t="s">
        <v>69</v>
      </c>
    </row>
    <row r="50" spans="1:5" x14ac:dyDescent="0.2">
      <c r="A50" s="60"/>
      <c r="B50" s="60" t="s">
        <v>258</v>
      </c>
      <c r="C50" s="59">
        <v>0.38100000000000001</v>
      </c>
      <c r="D50" s="59"/>
      <c r="E50" s="60" t="s">
        <v>70</v>
      </c>
    </row>
    <row r="51" spans="1:5" x14ac:dyDescent="0.2">
      <c r="A51" s="60"/>
      <c r="B51" s="60"/>
      <c r="C51" s="59"/>
      <c r="D51" s="59"/>
    </row>
    <row r="52" spans="1:5" x14ac:dyDescent="0.2">
      <c r="A52" s="60"/>
      <c r="B52" s="149" t="s">
        <v>247</v>
      </c>
      <c r="C52" s="161">
        <v>4.1734200000000001</v>
      </c>
      <c r="D52" s="59"/>
      <c r="E52" s="60" t="s">
        <v>71</v>
      </c>
    </row>
    <row r="53" spans="1:5" x14ac:dyDescent="0.2">
      <c r="A53" s="60"/>
      <c r="B53" s="149" t="s">
        <v>248</v>
      </c>
      <c r="C53" s="161">
        <v>2.7260900000000001</v>
      </c>
      <c r="D53" s="59"/>
      <c r="E53" s="60" t="s">
        <v>71</v>
      </c>
    </row>
    <row r="54" spans="1:5" x14ac:dyDescent="0.2">
      <c r="A54" s="60"/>
      <c r="B54" s="149" t="s">
        <v>249</v>
      </c>
      <c r="C54" s="147">
        <v>4</v>
      </c>
      <c r="D54" s="59"/>
      <c r="E54" s="60" t="s">
        <v>72</v>
      </c>
    </row>
    <row r="55" spans="1:5" x14ac:dyDescent="0.2">
      <c r="A55" s="60"/>
      <c r="B55" s="149" t="s">
        <v>250</v>
      </c>
      <c r="C55" s="147">
        <v>2</v>
      </c>
      <c r="D55" s="59"/>
      <c r="E55" s="60" t="s">
        <v>72</v>
      </c>
    </row>
    <row r="56" spans="1:5" x14ac:dyDescent="0.2">
      <c r="A56" s="60"/>
      <c r="B56" s="149"/>
      <c r="C56" s="59"/>
      <c r="D56" s="59"/>
    </row>
    <row r="57" spans="1:5" x14ac:dyDescent="0.2">
      <c r="A57" s="60"/>
      <c r="B57" s="60" t="s">
        <v>73</v>
      </c>
      <c r="C57" s="152">
        <v>2.57901E-2</v>
      </c>
      <c r="D57" s="197"/>
      <c r="E57" s="300" t="s">
        <v>175</v>
      </c>
    </row>
    <row r="58" spans="1:5" x14ac:dyDescent="0.2">
      <c r="A58" s="60"/>
      <c r="B58" s="60" t="s">
        <v>74</v>
      </c>
      <c r="C58" s="34">
        <f>1-C57</f>
        <v>0.97420989999999996</v>
      </c>
      <c r="E58" s="300" t="s">
        <v>175</v>
      </c>
    </row>
    <row r="59" spans="1:5" x14ac:dyDescent="0.2">
      <c r="A59" s="60"/>
      <c r="B59" s="60" t="s">
        <v>251</v>
      </c>
      <c r="C59" s="152">
        <v>5.329184E-2</v>
      </c>
      <c r="E59" s="300" t="s">
        <v>176</v>
      </c>
    </row>
    <row r="60" spans="1:5" x14ac:dyDescent="0.2">
      <c r="A60" s="60"/>
      <c r="B60" s="60"/>
      <c r="C60" s="152"/>
    </row>
    <row r="61" spans="1:5" x14ac:dyDescent="0.2">
      <c r="A61" s="60"/>
      <c r="B61" s="60" t="s">
        <v>252</v>
      </c>
      <c r="C61" s="162">
        <v>2.5499999999999998</v>
      </c>
      <c r="E61" s="60" t="s">
        <v>75</v>
      </c>
    </row>
    <row r="62" spans="1:5" x14ac:dyDescent="0.2">
      <c r="A62" s="60"/>
      <c r="B62" s="60" t="s">
        <v>253</v>
      </c>
      <c r="C62" s="152">
        <v>2</v>
      </c>
      <c r="E62" s="60" t="s">
        <v>76</v>
      </c>
    </row>
    <row r="63" spans="1:5" x14ac:dyDescent="0.2">
      <c r="A63" s="60"/>
      <c r="B63" s="60"/>
      <c r="C63" s="152"/>
      <c r="E63" s="60"/>
    </row>
    <row r="64" spans="1:5" x14ac:dyDescent="0.2">
      <c r="A64" s="60"/>
      <c r="B64" s="60" t="s">
        <v>246</v>
      </c>
      <c r="C64" s="147">
        <v>46.142518861308851</v>
      </c>
      <c r="E64" s="60" t="s">
        <v>242</v>
      </c>
    </row>
    <row r="65" spans="1:7" x14ac:dyDescent="0.2">
      <c r="A65" s="60"/>
      <c r="B65" s="60"/>
      <c r="C65" s="152"/>
      <c r="E65" s="60"/>
    </row>
    <row r="66" spans="1:7" x14ac:dyDescent="0.2">
      <c r="A66" s="60"/>
      <c r="B66" s="60" t="s">
        <v>77</v>
      </c>
      <c r="C66" s="166">
        <v>0.906030217938944</v>
      </c>
      <c r="D66" s="1"/>
      <c r="E66" s="60" t="s">
        <v>78</v>
      </c>
    </row>
    <row r="67" spans="1:7" x14ac:dyDescent="0.2">
      <c r="A67" s="60"/>
      <c r="B67" s="299" t="s">
        <v>177</v>
      </c>
      <c r="C67" s="166">
        <v>2.5407737125198251E-2</v>
      </c>
      <c r="D67" s="1"/>
      <c r="E67" s="60" t="s">
        <v>78</v>
      </c>
    </row>
    <row r="68" spans="1:7" x14ac:dyDescent="0.2">
      <c r="A68" s="60"/>
      <c r="B68" s="299" t="s">
        <v>178</v>
      </c>
      <c r="C68" s="166">
        <v>3.4790548832337578E-2</v>
      </c>
      <c r="D68" s="1"/>
      <c r="E68" s="60" t="s">
        <v>78</v>
      </c>
    </row>
    <row r="69" spans="1:7" x14ac:dyDescent="0.2">
      <c r="A69" s="60"/>
      <c r="B69" s="149" t="s">
        <v>79</v>
      </c>
      <c r="C69" s="166">
        <v>3.255548054738798E-2</v>
      </c>
      <c r="D69" s="1"/>
      <c r="E69" s="60" t="s">
        <v>78</v>
      </c>
    </row>
    <row r="70" spans="1:7" x14ac:dyDescent="0.2">
      <c r="A70" s="60"/>
      <c r="B70" s="149" t="s">
        <v>80</v>
      </c>
      <c r="C70" s="166">
        <v>1.215994773981995E-3</v>
      </c>
      <c r="D70" s="1"/>
      <c r="E70" s="60" t="s">
        <v>78</v>
      </c>
    </row>
    <row r="71" spans="1:7" x14ac:dyDescent="0.2">
      <c r="A71" s="60"/>
      <c r="B71" s="149"/>
      <c r="C71" s="59"/>
      <c r="E71" s="60"/>
    </row>
    <row r="72" spans="1:7" s="138" customFormat="1" x14ac:dyDescent="0.2">
      <c r="B72" s="139" t="s">
        <v>81</v>
      </c>
      <c r="C72" s="159"/>
      <c r="D72" s="159"/>
    </row>
    <row r="73" spans="1:7" x14ac:dyDescent="0.2">
      <c r="B73" s="163"/>
      <c r="C73" s="164" t="s">
        <v>82</v>
      </c>
      <c r="D73" s="164" t="s">
        <v>83</v>
      </c>
      <c r="E73" s="165" t="s">
        <v>84</v>
      </c>
      <c r="F73" s="165" t="s">
        <v>85</v>
      </c>
      <c r="G73" s="165" t="s">
        <v>86</v>
      </c>
    </row>
    <row r="74" spans="1:7" x14ac:dyDescent="0.2">
      <c r="A74" s="60"/>
      <c r="B74" s="300" t="s">
        <v>179</v>
      </c>
      <c r="C74" s="34">
        <v>-5.8833999633789063</v>
      </c>
      <c r="D74" s="34">
        <v>-8.2145652770996094</v>
      </c>
      <c r="E74" s="34">
        <v>-9.912841796875</v>
      </c>
      <c r="F74" s="34">
        <v>-11.337879180908203</v>
      </c>
      <c r="G74" s="34">
        <v>-12.259166717529297</v>
      </c>
    </row>
    <row r="75" spans="1:7" x14ac:dyDescent="0.2">
      <c r="A75" s="60"/>
      <c r="B75" s="300" t="s">
        <v>180</v>
      </c>
      <c r="C75" s="34">
        <v>-2.4940643310546875</v>
      </c>
      <c r="D75" s="34">
        <v>-3.4445915222167969</v>
      </c>
      <c r="E75" s="34">
        <v>-4.0745620727539063</v>
      </c>
      <c r="F75" s="34">
        <v>-4.7154960632324219</v>
      </c>
      <c r="G75" s="34">
        <v>-5.1765594482421875</v>
      </c>
    </row>
    <row r="76" spans="1:7" x14ac:dyDescent="0.2">
      <c r="A76" s="60"/>
      <c r="B76" s="300" t="s">
        <v>181</v>
      </c>
      <c r="C76" s="34">
        <v>2.4872779846191406</v>
      </c>
      <c r="D76" s="34">
        <v>3.4487266540527344</v>
      </c>
      <c r="E76" s="34">
        <v>4.2322845458984375</v>
      </c>
      <c r="F76" s="34">
        <v>5.0382194519042969</v>
      </c>
      <c r="G76" s="34">
        <v>5.666656494140625</v>
      </c>
    </row>
    <row r="77" spans="1:7" x14ac:dyDescent="0.2">
      <c r="A77" s="60"/>
      <c r="B77" s="300" t="s">
        <v>182</v>
      </c>
      <c r="C77" s="34">
        <v>6.2633743286132813</v>
      </c>
      <c r="D77" s="34">
        <v>8.6687278747558594</v>
      </c>
      <c r="E77" s="34">
        <v>10.537635803222656</v>
      </c>
      <c r="F77" s="34">
        <v>12.447986602783203</v>
      </c>
      <c r="G77" s="34">
        <v>14.161697387695313</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-4.222766</v>
      </c>
      <c r="D12" s="1">
        <f>'Input data'!D13</f>
        <v>-0.85058520000000004</v>
      </c>
      <c r="E12" s="2">
        <f>'Input data'!E13</f>
        <v>-3.5136029999999998</v>
      </c>
      <c r="F12" s="2">
        <f>'Input data'!F13</f>
        <v>-4.2628820000000003</v>
      </c>
      <c r="G12" s="1">
        <f>F12</f>
        <v>-4.2628820000000003</v>
      </c>
      <c r="H12" s="1">
        <f t="shared" ref="H12:W12" si="0">G12</f>
        <v>-4.2628820000000003</v>
      </c>
      <c r="I12" s="1">
        <f t="shared" si="0"/>
        <v>-4.2628820000000003</v>
      </c>
      <c r="J12" s="1">
        <f t="shared" si="0"/>
        <v>-4.2628820000000003</v>
      </c>
      <c r="K12" s="1">
        <f t="shared" si="0"/>
        <v>-4.2628820000000003</v>
      </c>
      <c r="L12" s="1">
        <f t="shared" si="0"/>
        <v>-4.2628820000000003</v>
      </c>
      <c r="M12" s="1">
        <f t="shared" si="0"/>
        <v>-4.2628820000000003</v>
      </c>
      <c r="N12" s="1">
        <f t="shared" si="0"/>
        <v>-4.2628820000000003</v>
      </c>
      <c r="O12" s="1">
        <f t="shared" si="0"/>
        <v>-4.2628820000000003</v>
      </c>
      <c r="P12" s="1">
        <f t="shared" si="0"/>
        <v>-4.2628820000000003</v>
      </c>
      <c r="Q12" s="1">
        <f t="shared" si="0"/>
        <v>-4.2628820000000003</v>
      </c>
      <c r="R12" s="1">
        <f t="shared" si="0"/>
        <v>-4.2628820000000003</v>
      </c>
      <c r="S12" s="1">
        <f t="shared" si="0"/>
        <v>-4.2628820000000003</v>
      </c>
      <c r="T12" s="1">
        <f t="shared" si="0"/>
        <v>-4.2628820000000003</v>
      </c>
      <c r="U12" s="1">
        <f t="shared" si="0"/>
        <v>-4.2628820000000003</v>
      </c>
      <c r="V12" s="1">
        <f t="shared" si="0"/>
        <v>-4.2628820000000003</v>
      </c>
      <c r="W12" s="1">
        <f t="shared" si="0"/>
        <v>-4.2628820000000003</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1.0478270000000001</v>
      </c>
      <c r="D14" s="1">
        <f>'Input data'!D15</f>
        <v>0.27736460000000002</v>
      </c>
      <c r="E14" s="2">
        <f>'Input data'!E15</f>
        <v>-0.45438450000000002</v>
      </c>
      <c r="F14" s="2">
        <f>'Input data'!F15</f>
        <v>0.2</v>
      </c>
      <c r="G14" s="2">
        <f>'Input data'!G15</f>
        <v>-0.6</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18.962240000000001</v>
      </c>
      <c r="E17" s="101">
        <f>'Input data'!E20</f>
        <v>20.503689999999999</v>
      </c>
      <c r="F17" s="101">
        <f>'Input data'!F20</f>
        <v>20.335599999999999</v>
      </c>
      <c r="G17" s="101">
        <f>'Input data'!G20</f>
        <v>20.668779999999998</v>
      </c>
      <c r="H17" s="101">
        <f>'Input data'!H20</f>
        <v>21.016960000000001</v>
      </c>
      <c r="I17" s="101">
        <f>'Input data'!I20</f>
        <v>21.357330000000001</v>
      </c>
      <c r="J17" s="101">
        <f>'Input data'!J20</f>
        <v>21.584160000000001</v>
      </c>
      <c r="K17" s="101">
        <f>'Input data'!K20</f>
        <v>21.737720000000003</v>
      </c>
      <c r="L17" s="101">
        <f>'Input data'!L20</f>
        <v>21.863299999999999</v>
      </c>
      <c r="M17" s="101">
        <f>'Input data'!M20</f>
        <v>22.01473</v>
      </c>
      <c r="N17" s="101">
        <f>'Input data'!N20</f>
        <v>22.161089999999998</v>
      </c>
      <c r="O17" s="101">
        <f>'Input data'!O20</f>
        <v>22.310850000000002</v>
      </c>
      <c r="P17" s="101">
        <f>'Input data'!P20</f>
        <v>22.436720000000001</v>
      </c>
      <c r="Q17" s="101">
        <f>'Input data'!Q20</f>
        <v>22.553650000000001</v>
      </c>
      <c r="R17" s="101">
        <f>'Input data'!R20</f>
        <v>22.657159999999998</v>
      </c>
      <c r="S17" s="101">
        <f>'Input data'!S20</f>
        <v>22.766190000000002</v>
      </c>
      <c r="T17" s="101">
        <f>'Input data'!T20</f>
        <v>22.879989999999999</v>
      </c>
      <c r="U17" s="101">
        <f>'Input data'!U20</f>
        <v>22.977649999999997</v>
      </c>
      <c r="V17" s="101">
        <f>'Input data'!V20</f>
        <v>23.127649999999999</v>
      </c>
      <c r="W17" s="101">
        <f>'Input data'!W20</f>
        <v>23.266509999999997</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0.75515319999999997</v>
      </c>
      <c r="D18" s="1">
        <f>'Input data'!D26</f>
        <v>0.6825677</v>
      </c>
      <c r="E18" s="101">
        <f>'Input data'!E26</f>
        <v>0.68126889999999996</v>
      </c>
      <c r="F18" s="101">
        <f>'Input data'!F26</f>
        <v>0.67997019999999997</v>
      </c>
      <c r="G18" s="101">
        <f>'Input data'!G26</f>
        <v>0.67867149999999998</v>
      </c>
      <c r="H18" s="101">
        <f>'Input data'!H26</f>
        <v>0.6773728</v>
      </c>
      <c r="I18" s="101">
        <f>'Input data'!I26</f>
        <v>0.67607399999999995</v>
      </c>
      <c r="J18" s="101">
        <f>'Input data'!J26</f>
        <v>0.67477529999999997</v>
      </c>
      <c r="K18" s="101">
        <f>'Input data'!K26</f>
        <v>0.67347659999999998</v>
      </c>
      <c r="L18" s="101">
        <f>'Input data'!L26</f>
        <v>0.67217789999999999</v>
      </c>
      <c r="M18" s="101">
        <f>'Input data'!M26</f>
        <v>0.67087909999999995</v>
      </c>
      <c r="N18" s="101">
        <f>'Input data'!N26</f>
        <v>0.66958050000000002</v>
      </c>
      <c r="O18" s="101">
        <f>'Input data'!O26</f>
        <v>0.66828169999999998</v>
      </c>
      <c r="P18" s="101">
        <f>'Input data'!P26</f>
        <v>0.66698299999999999</v>
      </c>
      <c r="Q18" s="101">
        <f>'Input data'!Q26</f>
        <v>0.66568430000000001</v>
      </c>
      <c r="R18" s="101">
        <f>'Input data'!R26</f>
        <v>0.66438569999999997</v>
      </c>
      <c r="S18" s="101">
        <f>'Input data'!S26</f>
        <v>0.66308699999999998</v>
      </c>
      <c r="T18" s="101">
        <f>'Input data'!T26</f>
        <v>0.66178820000000005</v>
      </c>
      <c r="U18" s="101">
        <f>'Input data'!U26</f>
        <v>0.66048960000000001</v>
      </c>
      <c r="V18" s="101">
        <f>'Input data'!V26</f>
        <v>0.65919090000000002</v>
      </c>
      <c r="W18" s="101">
        <f>'Input data'!W26</f>
        <v>0.65789220000000004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90.819270000000003</v>
      </c>
      <c r="D22" s="34">
        <f>C22*(D23/100+1)</f>
        <v>92.517623952129895</v>
      </c>
      <c r="E22" s="100">
        <f t="shared" ref="E22:F22" si="1">D22*(E23/100+1)</f>
        <v>93.99462526041863</v>
      </c>
      <c r="F22" s="100">
        <f t="shared" si="1"/>
        <v>96.088680759497848</v>
      </c>
      <c r="G22" s="100">
        <f>F22*(G23/100+1)</f>
        <v>99.182988032297274</v>
      </c>
      <c r="H22" s="34">
        <f>IF(AND(H49&gt;1,G49&gt;1),IF(AND(H49&gt;0,G49&gt;0),H26*(H50/100+1),0)+IF(H49&gt;0,G22*(1+H51/100),0)-G22*(1+'Input data'!H30/100),IF(H49=1,H26,G22*(1+H51/100)))</f>
        <v>100.82397156112151</v>
      </c>
      <c r="I22" s="34">
        <f>IF(AND(I49&gt;1,H49&gt;1),IF(AND(I49&gt;0,H49&gt;0),I26*(I50/100+1),0)+IF(I49&gt;0,H22*(1+I51/100),0)-H22*(1+'Input data'!I30/100),IF(I49=1,I26,H22*(1+I51/100)))</f>
        <v>102.22154707587485</v>
      </c>
      <c r="J22" s="34">
        <f>IF(AND(J49&gt;1,I49&gt;1),IF(AND(J49&gt;0,I49&gt;0),J26*(J50/100+1),0)+IF(J49&gt;0,I22*(1+J51/100),0)-I22*(1+'Input data'!J30/100),IF(J49=1,J26,I22*(1+J51/100)))</f>
        <v>103.6339922803803</v>
      </c>
      <c r="K22" s="34">
        <f>IF(AND(K49&gt;1,J49&gt;1),IF(AND(K49&gt;0,J49&gt;0),K26*(K50/100+1),0)+IF(K49&gt;0,J22*(1+K51/100),0)-J22*(1+'Input data'!K30/100),IF(K49=1,K26,J22*(1+K51/100)))</f>
        <v>105.14574174303119</v>
      </c>
      <c r="L22" s="34">
        <f>IF(AND(L49&gt;1,K49&gt;1),IF(AND(L49&gt;0,K49&gt;0),L26*(L50/100+1),0)+IF(L49&gt;0,K22*(1+L51/100),0)-K22*(1+'Input data'!L30/100),IF(L49=1,L26,K22*(1+L51/100)))</f>
        <v>106.72541561742631</v>
      </c>
      <c r="M22" s="34">
        <f>IF(AND(M49&gt;1,L49&gt;1),IF(AND(M49&gt;0,L49&gt;0),M26*(M50/100+1),0)+IF(M49&gt;0,L22*(1+M51/100),0)-L22*(1+'Input data'!M30/100),IF(M49=1,M26,L22*(1+M51/100)))</f>
        <v>108.37476086291957</v>
      </c>
      <c r="N22" s="34">
        <f>IF(AND(N49&gt;1,M49&gt;1),IF(AND(N49&gt;0,M49&gt;0),N26*(N50/100+1),0)+IF(N49&gt;0,M22*(1+N51/100),0)-M22*(1+'Input data'!N30/100),IF(N49=1,N26,M22*(1+N51/100)))</f>
        <v>110.0779775208936</v>
      </c>
      <c r="O22" s="34">
        <f>IF(AND(O49&gt;1,N49&gt;1),IF(AND(O49&gt;0,N49&gt;0),O26*(O50/100+1),0)+IF(O49&gt;0,N22*(1+O51/100),0)-N22*(1+'Input data'!O30/100),IF(O49=1,O26,N22*(1+O51/100)))</f>
        <v>111.80989598489722</v>
      </c>
      <c r="P22" s="34">
        <f>IF(AND(P49&gt;1,O49&gt;1),IF(AND(P49&gt;0,O49&gt;0),P26*(P50/100+1),0)+IF(P49&gt;0,O22*(1+P51/100),0)-O22*(1+'Input data'!P30/100),IF(P49=1,P26,O22*(1+P51/100)))</f>
        <v>113.60352797430775</v>
      </c>
      <c r="Q22" s="34">
        <f>IF(AND(Q49&gt;1,P49&gt;1),IF(AND(Q49&gt;0,P49&gt;0),Q26*(Q50/100+1),0)+IF(Q49&gt;0,P22*(1+Q51/100),0)-P22*(1+'Input data'!Q30/100),IF(Q49=1,Q26,P22*(1+Q51/100)))</f>
        <v>115.4609502008288</v>
      </c>
      <c r="R22" s="34">
        <f>IF(AND(R49&gt;1,Q49&gt;1),IF(AND(R49&gt;0,Q49&gt;0),R26*(R50/100+1),0)+IF(R49&gt;0,Q22*(1+R51/100),0)-Q22*(1+'Input data'!R30/100),IF(R49=1,R26,Q22*(1+R51/100)))</f>
        <v>117.38432757451177</v>
      </c>
      <c r="S22" s="34">
        <f>IF(AND(S49&gt;1,R49&gt;1),IF(AND(S49&gt;0,R49&gt;0),S26*(S50/100+1),0)+IF(S49&gt;0,R22*(1+S51/100),0)-R22*(1+'Input data'!S30/100),IF(S49=1,S26,R22*(1+S51/100)))</f>
        <v>119.34651577734438</v>
      </c>
      <c r="T22" s="34">
        <f>IF(AND(T49&gt;1,S49&gt;1),IF(AND(T49&gt;0,S49&gt;0),T26*(T50/100+1),0)+IF(T49&gt;0,S22*(1+T51/100),0)-S22*(1+'Input data'!T30/100),IF(T49=1,T26,S22*(1+T51/100)))</f>
        <v>121.27199159617302</v>
      </c>
      <c r="U22" s="34">
        <f>IF(AND(U49&gt;1,T49&gt;1),IF(AND(U49&gt;0,T49&gt;0),U26*(U50/100+1),0)+IF(U49&gt;0,T22*(1+U51/100),0)-T22*(1+'Input data'!U30/100),IF(U49=1,U26,T22*(1+U51/100)))</f>
        <v>123.16611821667507</v>
      </c>
      <c r="V22" s="34">
        <f>IF(AND(V49&gt;1,U49&gt;1),IF(AND(V49&gt;0,U49&gt;0),V26*(V50/100+1),0)+IF(V49&gt;0,U22*(1+V51/100),0)-U22*(1+'Input data'!V30/100),IF(V49=1,V26,U22*(1+V51/100)))</f>
        <v>125.01987052371416</v>
      </c>
      <c r="W22" s="34">
        <f>IF(AND(W49&gt;1,V49&gt;1),IF(AND(W49&gt;0,V49&gt;0),W26*(W50/100+1),0)+IF(W49&gt;0,V22*(1+W51/100),0)-V22*(1+'Input data'!W30/100),IF(W49=1,W26,V22*(1+W51/100)))</f>
        <v>126.87477409009132</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4.7712199999999996</v>
      </c>
      <c r="D23" s="34">
        <f>+'Input data'!D30</f>
        <v>1.8700369999999999</v>
      </c>
      <c r="E23" s="100">
        <f>+'Input data'!E30</f>
        <v>1.596454</v>
      </c>
      <c r="F23" s="100">
        <f>+'Input data'!F30</f>
        <v>2.227846</v>
      </c>
      <c r="G23" s="100">
        <f>+'Input data'!G30</f>
        <v>3.220262</v>
      </c>
      <c r="H23" s="34">
        <f>100*(H22/G22-1)</f>
        <v>1.6545009999999971</v>
      </c>
      <c r="I23" s="34">
        <f>100*(I22/H22-1)</f>
        <v>1.386153999999995</v>
      </c>
      <c r="J23" s="34">
        <f t="shared" ref="J23:T23" si="2">100*(J22/I22-1)</f>
        <v>1.3817490000000099</v>
      </c>
      <c r="K23" s="34">
        <f t="shared" si="2"/>
        <v>1.4587389999999978</v>
      </c>
      <c r="L23" s="34">
        <f t="shared" si="2"/>
        <v>1.5023659999999994</v>
      </c>
      <c r="M23" s="34">
        <f t="shared" si="2"/>
        <v>1.5454099999999915</v>
      </c>
      <c r="N23" s="34">
        <f t="shared" si="2"/>
        <v>1.5715989999999902</v>
      </c>
      <c r="O23" s="34">
        <f t="shared" si="2"/>
        <v>1.5733559999999924</v>
      </c>
      <c r="P23" s="34">
        <f t="shared" si="2"/>
        <v>1.6041799999999995</v>
      </c>
      <c r="Q23" s="34">
        <f t="shared" si="2"/>
        <v>1.6350040000000066</v>
      </c>
      <c r="R23" s="34">
        <f t="shared" si="2"/>
        <v>1.6658250000000097</v>
      </c>
      <c r="S23" s="34">
        <f t="shared" si="2"/>
        <v>1.6715929999999934</v>
      </c>
      <c r="T23" s="34">
        <f t="shared" si="2"/>
        <v>1.6133490000000084</v>
      </c>
      <c r="U23" s="34">
        <f t="shared" ref="U23" si="3">100*(U22/T22-1)</f>
        <v>1.5618829999999972</v>
      </c>
      <c r="V23" s="34">
        <f t="shared" ref="V23" si="4">100*(V22/U22-1)</f>
        <v>1.5050830000000071</v>
      </c>
      <c r="W23" s="34">
        <f t="shared" ref="W23" si="5">100*(W22/V22-1)</f>
        <v>1.4836869999999891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c r="H25" s="259"/>
      <c r="I25" s="259"/>
      <c r="J25" s="259"/>
      <c r="K25" s="259"/>
      <c r="L25" s="259"/>
      <c r="M25" s="259"/>
      <c r="N25" s="259"/>
      <c r="O25" s="259"/>
      <c r="P25" s="259"/>
      <c r="Q25" s="259"/>
      <c r="R25" s="259"/>
      <c r="S25" s="259"/>
      <c r="T25" s="259"/>
    </row>
    <row r="26" spans="1:50" x14ac:dyDescent="0.2">
      <c r="B26" s="26" t="s">
        <v>61</v>
      </c>
      <c r="C26" s="34">
        <f>'Input data'!C34</f>
        <v>90.493570000000005</v>
      </c>
      <c r="D26" s="34">
        <f>+C26*(1+'Input data'!D33/100)</f>
        <v>91.997178581434795</v>
      </c>
      <c r="E26" s="100">
        <f>+D26*(1+'Input data'!E33/100)</f>
        <v>94.548125107645475</v>
      </c>
      <c r="F26" s="100">
        <f>+E26*(1+'Input data'!F33/100)</f>
        <v>96.752617701986594</v>
      </c>
      <c r="G26" s="100">
        <f>+F26*(1+'Input data'!G33/100)</f>
        <v>99.08699810259391</v>
      </c>
      <c r="H26" s="34">
        <f>+G26*(1+'Input data'!H33/100)</f>
        <v>100.75889401244896</v>
      </c>
      <c r="I26" s="34">
        <f>+H26*(1+'Input data'!I33/100)</f>
        <v>102.19954266386108</v>
      </c>
      <c r="J26" s="34">
        <f>+I26*(1+'Input data'!J33/100)</f>
        <v>103.63398478482823</v>
      </c>
      <c r="K26" s="34">
        <f>+J26*(1+'Input data'!K33/100)</f>
        <v>105.14573517447842</v>
      </c>
      <c r="L26" s="34">
        <f>+K26*(1+'Input data'!L33/100)</f>
        <v>106.72540474436042</v>
      </c>
      <c r="M26" s="34">
        <f>+L26*(1+'Input data'!M33/100)</f>
        <v>108.37474768731215</v>
      </c>
      <c r="N26" s="34">
        <f>+M26*(1+'Input data'!N33/100)</f>
        <v>110.07796197072352</v>
      </c>
      <c r="O26" s="34">
        <f>+N26*(1+'Input data'!O33/100)</f>
        <v>111.80988129084724</v>
      </c>
      <c r="P26" s="34">
        <f>+O26*(1+'Input data'!P33/100)</f>
        <v>113.60351304453876</v>
      </c>
      <c r="Q26" s="34">
        <f>+P26*(1+'Input data'!Q33/100)</f>
        <v>115.46093616299262</v>
      </c>
      <c r="R26" s="34">
        <f>+Q26*(1+'Input data'!R33/100)</f>
        <v>117.38431676665788</v>
      </c>
      <c r="S26" s="34">
        <f>+R26*(1+'Input data'!S33/100)</f>
        <v>119.34650244114083</v>
      </c>
      <c r="T26" s="34">
        <f>+S26*(1+'Input data'!T33/100)</f>
        <v>121.27197446441488</v>
      </c>
      <c r="U26" s="34">
        <f>+T26*(1+'Input data'!U33/100)</f>
        <v>123.16609839189944</v>
      </c>
      <c r="V26" s="34">
        <f>+U26*(1+'Input data'!V33/100)</f>
        <v>125.01984916889819</v>
      </c>
      <c r="W26" s="34">
        <f>+V26*(1+'Input data'!W33/100)</f>
        <v>126.87475616903221</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6">100*(C22/C26-1)</f>
        <v>0.35991507462904693</v>
      </c>
      <c r="D29" s="34">
        <f t="shared" si="6"/>
        <v>0.56571883912115428</v>
      </c>
      <c r="E29" s="100">
        <f t="shared" si="6"/>
        <v>-0.5854159948668225</v>
      </c>
      <c r="F29" s="100">
        <f t="shared" si="6"/>
        <v>-0.68622116719754267</v>
      </c>
      <c r="G29" s="100">
        <f t="shared" si="6"/>
        <v>9.6874394765666949E-2</v>
      </c>
      <c r="H29" s="34">
        <f>100*(H22/H26-1)</f>
        <v>6.4587398770488136E-2</v>
      </c>
      <c r="I29" s="34">
        <f t="shared" si="6"/>
        <v>2.1530832174221359E-2</v>
      </c>
      <c r="J29" s="34">
        <f t="shared" si="6"/>
        <v>7.2327162703444969E-6</v>
      </c>
      <c r="K29" s="34">
        <f t="shared" si="6"/>
        <v>6.2470938644310081E-6</v>
      </c>
      <c r="L29" s="34">
        <f t="shared" si="6"/>
        <v>1.0187889110113701E-5</v>
      </c>
      <c r="M29" s="34">
        <f t="shared" si="6"/>
        <v>1.2157451534378083E-5</v>
      </c>
      <c r="N29" s="34">
        <f t="shared" si="6"/>
        <v>1.4126506164835462E-5</v>
      </c>
      <c r="O29" s="34">
        <f t="shared" si="6"/>
        <v>1.314199586932574E-5</v>
      </c>
      <c r="P29" s="34">
        <f t="shared" si="6"/>
        <v>1.314199586932574E-5</v>
      </c>
      <c r="Q29" s="34">
        <f t="shared" si="6"/>
        <v>1.2158082762780964E-5</v>
      </c>
      <c r="R29" s="34">
        <f t="shared" si="6"/>
        <v>9.207238416131247E-6</v>
      </c>
      <c r="S29" s="34">
        <f t="shared" si="6"/>
        <v>1.1174356417953391E-5</v>
      </c>
      <c r="T29" s="34">
        <f t="shared" si="6"/>
        <v>1.4126724834362392E-5</v>
      </c>
      <c r="U29" s="34">
        <f t="shared" ref="U29:W29" si="7">100*(U22/U26-1)</f>
        <v>1.6095967869667049E-5</v>
      </c>
      <c r="V29" s="34">
        <f t="shared" si="7"/>
        <v>1.708114041321096E-5</v>
      </c>
      <c r="W29" s="34">
        <f t="shared" si="7"/>
        <v>1.4124999836440111E-5</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8">100*((1+C23/100)*(1+C41/100)-1)</f>
        <v>7.2711398876150302</v>
      </c>
      <c r="D32" s="1">
        <f t="shared" si="8"/>
        <v>9.4942523750750851</v>
      </c>
      <c r="E32" s="2">
        <f t="shared" si="8"/>
        <v>11.890074643889781</v>
      </c>
      <c r="F32" s="2">
        <f t="shared" si="8"/>
        <v>6.908274325060848</v>
      </c>
      <c r="G32" s="2">
        <f>100*((1+G23/100)*(1+G41/100)-1)</f>
        <v>6.4928325372392681</v>
      </c>
      <c r="H32" s="1">
        <f>100*((1+H23/100)*(1+H41/100)-1)</f>
        <v>4.7985871659909973</v>
      </c>
      <c r="I32" s="1">
        <f t="shared" si="8"/>
        <v>4.4433062104813237</v>
      </c>
      <c r="J32" s="1">
        <f t="shared" si="8"/>
        <v>4.3601375866704872</v>
      </c>
      <c r="K32" s="1">
        <f t="shared" si="8"/>
        <v>4.3606988853177375</v>
      </c>
      <c r="L32" s="1">
        <f t="shared" si="8"/>
        <v>4.3268493737716796</v>
      </c>
      <c r="M32" s="1">
        <f t="shared" si="8"/>
        <v>4.2923334179473027</v>
      </c>
      <c r="N32" s="1">
        <f t="shared" si="8"/>
        <v>4.2404528179328826</v>
      </c>
      <c r="O32" s="1">
        <f t="shared" si="8"/>
        <v>4.1634765780000027</v>
      </c>
      <c r="P32" s="1">
        <f t="shared" si="8"/>
        <v>4.1671454405000086</v>
      </c>
      <c r="Q32" s="1">
        <f t="shared" si="8"/>
        <v>4.170797349800015</v>
      </c>
      <c r="R32" s="1">
        <f t="shared" si="8"/>
        <v>4.1744292318750098</v>
      </c>
      <c r="S32" s="1">
        <f t="shared" si="8"/>
        <v>4.1523798691999847</v>
      </c>
      <c r="T32" s="1">
        <f t="shared" si="8"/>
        <v>4.0647710446249929</v>
      </c>
      <c r="U32" s="1">
        <f t="shared" si="8"/>
        <v>3.9841339095499917</v>
      </c>
      <c r="V32" s="1">
        <f t="shared" si="8"/>
        <v>3.8980653317249869</v>
      </c>
      <c r="W32" s="1">
        <f t="shared" si="8"/>
        <v>3.8482569071000006</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93</v>
      </c>
    </row>
    <row r="35" spans="2:51" x14ac:dyDescent="0.2">
      <c r="B35" s="26" t="s">
        <v>63</v>
      </c>
      <c r="C35" s="1">
        <f>'Input data'!C37</f>
        <v>1.998502</v>
      </c>
      <c r="D35" s="1">
        <f>'Input data'!D37</f>
        <v>1.859802</v>
      </c>
      <c r="E35" s="2">
        <f>'Input data'!E37</f>
        <v>2.2416550000000002</v>
      </c>
      <c r="F35" s="2">
        <f>'Input data'!F37</f>
        <v>2.5392969999999999</v>
      </c>
      <c r="G35" s="2">
        <f>'Input data'!G37</f>
        <v>2.7068880000000002</v>
      </c>
      <c r="H35" s="1">
        <f>H96</f>
        <v>2.8787337358376499</v>
      </c>
      <c r="I35" s="1">
        <f t="shared" ref="I35:W35" si="9">I96</f>
        <v>3.0367126720553643</v>
      </c>
      <c r="J35" s="1">
        <f t="shared" si="9"/>
        <v>3.1764247194228123</v>
      </c>
      <c r="K35" s="1">
        <f t="shared" si="9"/>
        <v>3.2993787030280424</v>
      </c>
      <c r="L35" s="1">
        <f t="shared" si="9"/>
        <v>3.4079243546978506</v>
      </c>
      <c r="M35" s="1">
        <f t="shared" si="9"/>
        <v>3.5046143323237393</v>
      </c>
      <c r="N35" s="1">
        <f t="shared" si="9"/>
        <v>3.5918584633797708</v>
      </c>
      <c r="O35" s="1">
        <f t="shared" si="9"/>
        <v>3.6713583741134883</v>
      </c>
      <c r="P35" s="1">
        <f t="shared" si="9"/>
        <v>3.7356958288166959</v>
      </c>
      <c r="Q35" s="1">
        <f t="shared" si="9"/>
        <v>3.7888527749488103</v>
      </c>
      <c r="R35" s="1">
        <f t="shared" si="9"/>
        <v>3.832630393214548</v>
      </c>
      <c r="S35" s="1">
        <f t="shared" si="9"/>
        <v>3.8685228415573074</v>
      </c>
      <c r="T35" s="1">
        <f>T96</f>
        <v>3.8978080779544011</v>
      </c>
      <c r="U35" s="1">
        <f t="shared" si="9"/>
        <v>3.9215314846612181</v>
      </c>
      <c r="V35" s="1">
        <f t="shared" si="9"/>
        <v>3.9405415483505157</v>
      </c>
      <c r="W35" s="1">
        <f t="shared" si="9"/>
        <v>3.9556072684726096</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94</v>
      </c>
      <c r="C36" s="1"/>
      <c r="D36" s="1"/>
      <c r="E36" s="2">
        <f>'Input data'!E39</f>
        <v>3.65</v>
      </c>
      <c r="F36" s="166">
        <f>'Input data'!F39</f>
        <v>3.6707719999999999</v>
      </c>
      <c r="G36" s="166">
        <f>'Input data'!G39</f>
        <v>3.780141</v>
      </c>
      <c r="H36" s="1">
        <f>G36+($O$36-$G$36)/($O$10-$G$10)</f>
        <v>3.8293008749999999</v>
      </c>
      <c r="I36" s="1">
        <f t="shared" ref="I36:M36" si="10">H36+($O$36-$G$36)/($O$10-$G$10)</f>
        <v>3.8784607499999999</v>
      </c>
      <c r="J36" s="1">
        <f t="shared" si="10"/>
        <v>3.9276206249999999</v>
      </c>
      <c r="K36" s="1">
        <f t="shared" si="10"/>
        <v>3.9767804999999998</v>
      </c>
      <c r="L36" s="1">
        <f t="shared" si="10"/>
        <v>4.0259403750000002</v>
      </c>
      <c r="M36" s="1">
        <f t="shared" si="10"/>
        <v>4.0751002500000002</v>
      </c>
      <c r="N36" s="1">
        <f>M36+($O$36-$G$36)/($O$10-$G$10)</f>
        <v>4.1242601250000002</v>
      </c>
      <c r="O36" s="252">
        <f>'Input data'!$C$52</f>
        <v>4.1734200000000001</v>
      </c>
      <c r="P36" s="1">
        <f>$O$36+('Input data'!$C$54-'Input data'!$C$52)/20*('Baseline NFPC'!P$10-2033)</f>
        <v>4.1647490000000005</v>
      </c>
      <c r="Q36" s="1">
        <f>$O$36+('Input data'!$C$54-'Input data'!$C$52)/20*('Baseline NFPC'!Q$10-2033)</f>
        <v>4.1560779999999999</v>
      </c>
      <c r="R36" s="1">
        <f>$O$36+('Input data'!$C$54-'Input data'!$C$52)/20*('Baseline NFPC'!R$10-2033)</f>
        <v>4.1474070000000003</v>
      </c>
      <c r="S36" s="1">
        <f>$O$36+('Input data'!$C$54-'Input data'!$C$52)/20*('Baseline NFPC'!S$10-2033)</f>
        <v>4.1387359999999997</v>
      </c>
      <c r="T36" s="1">
        <f>$O$36+('Input data'!$C$54-'Input data'!$C$52)/20*('Baseline NFPC'!T$10-2033)</f>
        <v>4.1300650000000001</v>
      </c>
      <c r="U36" s="1">
        <f>$O$36+('Input data'!$C$54-'Input data'!$C$52)/20*('Baseline NFPC'!U$10-2033)</f>
        <v>4.1213940000000004</v>
      </c>
      <c r="V36" s="1">
        <f>$O$36+('Input data'!$C$54-'Input data'!$C$52)/20*('Baseline NFPC'!V$10-2033)</f>
        <v>4.1127229999999999</v>
      </c>
      <c r="W36" s="1">
        <f>$O$36+('Input data'!$C$54-'Input data'!$C$52)/20*('Baseline NFPC'!W$10-2033)</f>
        <v>4.1040520000000003</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1"/>
      <c r="E37" s="2">
        <f>'Input data'!E$38</f>
        <v>3.43</v>
      </c>
      <c r="F37" s="166">
        <f>'Input data'!F$38</f>
        <v>3.5642079999999998</v>
      </c>
      <c r="G37" s="166">
        <f>'Input data'!G$38</f>
        <v>2.8163749999999999</v>
      </c>
      <c r="H37" s="1">
        <f>G37+($O$37-$G$37)/($O$10-$G$10)</f>
        <v>2.8050893749999997</v>
      </c>
      <c r="I37" s="1">
        <f t="shared" ref="I37:N37" si="11">H37+($O$37-$G$37)/($O$10-$G$10)</f>
        <v>2.7938037499999995</v>
      </c>
      <c r="J37" s="1">
        <f t="shared" si="11"/>
        <v>2.7825181249999993</v>
      </c>
      <c r="K37" s="1">
        <f t="shared" si="11"/>
        <v>2.7712324999999991</v>
      </c>
      <c r="L37" s="1">
        <f t="shared" si="11"/>
        <v>2.7599468749999989</v>
      </c>
      <c r="M37" s="1">
        <f t="shared" si="11"/>
        <v>2.7486612499999987</v>
      </c>
      <c r="N37" s="1">
        <f t="shared" si="11"/>
        <v>2.7373756249999985</v>
      </c>
      <c r="O37" s="252">
        <f>'Input data'!$C$53</f>
        <v>2.7260900000000001</v>
      </c>
      <c r="P37" s="1">
        <f>$O$37+('Input data'!$C$55-'Input data'!$C$53)/20*('Baseline NFPC'!P$10-2033)</f>
        <v>2.6897855000000002</v>
      </c>
      <c r="Q37" s="1">
        <f>$O$37+('Input data'!$C$55-'Input data'!$C$53)/20*('Baseline NFPC'!Q$10-2033)</f>
        <v>2.6534810000000002</v>
      </c>
      <c r="R37" s="1">
        <f>$O$37+('Input data'!$C$55-'Input data'!$C$53)/20*('Baseline NFPC'!R$10-2033)</f>
        <v>2.6171765000000002</v>
      </c>
      <c r="S37" s="1">
        <f>$O$37+('Input data'!$C$55-'Input data'!$C$53)/20*('Baseline NFPC'!S$10-2033)</f>
        <v>2.5808720000000003</v>
      </c>
      <c r="T37" s="1">
        <f>$O$37+('Input data'!$C$55-'Input data'!$C$53)/20*('Baseline NFPC'!T$10-2033)</f>
        <v>2.5445675000000003</v>
      </c>
      <c r="U37" s="1">
        <f>$O$37+('Input data'!$C$55-'Input data'!$C$53)/20*('Baseline NFPC'!U$10-2033)</f>
        <v>2.5082629999999999</v>
      </c>
      <c r="V37" s="1">
        <f>$O$37+('Input data'!$C$55-'Input data'!$C$53)/20*('Baseline NFPC'!V$10-2033)</f>
        <v>2.4719584999999999</v>
      </c>
      <c r="W37" s="1">
        <f>$O$37+('Input data'!$C$55-'Input data'!$C$53)/20*('Baseline NFPC'!W$10-2033)</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96</v>
      </c>
      <c r="C38" s="1">
        <v>2.7338669999999999E-2</v>
      </c>
      <c r="D38" s="1">
        <v>2.727796E-2</v>
      </c>
      <c r="E38" s="1">
        <v>7.6967090000000002E-2</v>
      </c>
      <c r="F38" s="1">
        <v>7.1996260000000006E-2</v>
      </c>
      <c r="G38" s="1">
        <f>IF(OR($C$3="EL",$C$3="CY",$C$3="IE",$C$3="PT"),VLOOKUP($C$3,$B$110:$T$114,MATCH(G$10,$B$110:$T$110,0),0),$F$38+('Input data'!$C$59-$F$38)/($O$10-$F$10)*(G10-$F$10))</f>
        <v>6.9917991111111119E-2</v>
      </c>
      <c r="H38" s="1">
        <f>IF(OR($C$3="EL",$C$3="CY",$C$3="IE",$C$3="PT"),VLOOKUP($C$3,$B$110:$T$114,MATCH(H$10,$B$110:$T$110,0),0),$F$38+('Input data'!$C$59-$F$38)/($O$10-$F$10)*(H10-$F$10))</f>
        <v>6.7839722222222232E-2</v>
      </c>
      <c r="I38" s="1">
        <f>IF(OR($C$3="EL",$C$3="CY",$C$3="IE",$C$3="PT"),VLOOKUP($C$3,$B$110:$T$114,MATCH(I$10,$B$110:$T$110,0),0),$F$38+('Input data'!$C$59-$F$38)/($O$10-$F$10)*(I10-$F$10))</f>
        <v>6.5761453333333331E-2</v>
      </c>
      <c r="J38" s="1">
        <f>IF(OR($C$3="EL",$C$3="CY",$C$3="IE",$C$3="PT"),VLOOKUP($C$3,$B$110:$T$114,MATCH(J$10,$B$110:$T$110,0),0),$F$38+('Input data'!$C$59-$F$38)/($O$10-$F$10)*(J10-$F$10))</f>
        <v>6.3683184444444443E-2</v>
      </c>
      <c r="K38" s="1">
        <f>IF(OR($C$3="EL",$C$3="CY",$C$3="IE",$C$3="PT"),VLOOKUP($C$3,$B$110:$T$114,MATCH(K$10,$B$110:$T$110,0),0),$F$38+('Input data'!$C$59-$F$38)/($O$10-$F$10)*(K10-$F$10))</f>
        <v>6.1604915555555556E-2</v>
      </c>
      <c r="L38" s="1">
        <f>IF(OR($C$3="EL",$C$3="CY",$C$3="IE",$C$3="PT"),VLOOKUP($C$3,$B$110:$T$114,MATCH(L$10,$B$110:$T$110,0),0),$F$38+('Input data'!$C$59-$F$38)/($O$10-$F$10)*(L10-$F$10))</f>
        <v>5.9526646666666669E-2</v>
      </c>
      <c r="M38" s="1">
        <f>IF(OR($C$3="EL",$C$3="CY",$C$3="IE",$C$3="PT"),VLOOKUP($C$3,$B$110:$T$114,MATCH(M$10,$B$110:$T$110,0),0),$F$38+('Input data'!$C$59-$F$38)/($O$10-$F$10)*(M10-$F$10))</f>
        <v>5.7448377777777782E-2</v>
      </c>
      <c r="N38" s="1">
        <f>IF(OR($C$3="EL",$C$3="CY",$C$3="IE",$C$3="PT"),VLOOKUP($C$3,$B$110:$T$114,MATCH(N$10,$B$110:$T$110,0),0),$F$38+('Input data'!$C$59-$F$38)/($O$10-$F$10)*(N10-$F$10))</f>
        <v>5.5370108888888894E-2</v>
      </c>
      <c r="O38" s="252">
        <f>IF(OR($C$3="EL",$C$3="CY",$C$3="IE",$C$3="PT"),VLOOKUP($C$3,$B$110:$T$114,MATCH(O$10,$B$110:$T$110,0),0),'Input data'!$C$59)</f>
        <v>5.329184E-2</v>
      </c>
      <c r="P38" s="1">
        <f>IF(OR($C$3="EL",$C$3="CY",$C$3="IE",$C$3="PT"),VLOOKUP($C$3,$B$110:$T$114,MATCH(P$10,$B$110:$T$110,0),0),'Input data'!$C$59)</f>
        <v>5.329184E-2</v>
      </c>
      <c r="Q38" s="1">
        <f>IF(OR($C$3="EL",$C$3="CY",$C$3="IE",$C$3="PT"),VLOOKUP($C$3,$B$110:$T$114,MATCH(Q$10,$B$110:$T$110,0),0),'Input data'!$C$59)</f>
        <v>5.329184E-2</v>
      </c>
      <c r="R38" s="1">
        <f>IF(OR($C$3="EL",$C$3="CY",$C$3="IE",$C$3="PT"),VLOOKUP($C$3,$B$110:$T$114,MATCH(R$10,$B$110:$T$110,0),0),'Input data'!$C$59)</f>
        <v>5.329184E-2</v>
      </c>
      <c r="S38" s="1">
        <f>IF(OR($C$3="EL",$C$3="CY",$C$3="IE",$C$3="PT"),VLOOKUP($C$3,$B$110:$T$114,MATCH(S$10,$B$110:$T$110,0),0),'Input data'!$C$59)</f>
        <v>5.329184E-2</v>
      </c>
      <c r="T38" s="1">
        <f>IF(OR($C$3="EL",$C$3="CY",$C$3="IE",$C$3="PT"),VLOOKUP($C$3,$B$110:$T$114,MATCH(T$10,$B$110:$T$110,0),0),'Input data'!$C$59)</f>
        <v>5.329184E-2</v>
      </c>
      <c r="U38" s="1">
        <f>IF(OR($C$3="EL",$C$3="CY",$C$3="IE",$C$3="PT"),VLOOKUP($C$3,$B$110:$W$114,MATCH(U$10,$B$110:$W$110,0),0),'Input data'!$C$59)</f>
        <v>5.329184E-2</v>
      </c>
      <c r="V38" s="1">
        <f>IF(OR($C$3="EL",$C$3="CY",$C$3="IE",$C$3="PT"),VLOOKUP($C$3,$B$110:$W$114,MATCH(V$10,$B$110:$W$110,0),0),'Input data'!$C$59)</f>
        <v>5.329184E-2</v>
      </c>
      <c r="W38" s="1">
        <f>IF(OR($C$3="EL",$C$3="CY",$C$3="IE",$C$3="PT"),VLOOKUP($C$3,$B$110:$W$114,MATCH(W$10,$B$110:$W$110,0),0),'Input data'!$C$59)</f>
        <v>5.329184E-2</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03"/>
      <c r="H40" s="103"/>
      <c r="I40" s="103"/>
      <c r="J40" s="103"/>
      <c r="K40" s="103"/>
      <c r="L40" s="103"/>
      <c r="M40" s="103"/>
      <c r="N40" s="1"/>
      <c r="O40" s="103"/>
      <c r="P40" s="103"/>
      <c r="Q40" s="103"/>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2.3860749999999999</v>
      </c>
      <c r="D41" s="1">
        <f>'Input data'!D42</f>
        <v>7.4842570000000004</v>
      </c>
      <c r="E41" s="2">
        <f>'Input data'!E42</f>
        <v>10.131869999999999</v>
      </c>
      <c r="F41" s="2">
        <f>'Input data'!F42</f>
        <v>4.5784279999999997</v>
      </c>
      <c r="G41" s="2">
        <f>'Input data'!G42</f>
        <v>3.1704729999999999</v>
      </c>
      <c r="H41" s="1">
        <f>$G$41+($O$41-$G$41)/($O$10-$G$10)*(H10-$G$10)</f>
        <v>3.0929138749999998</v>
      </c>
      <c r="I41" s="1">
        <f>$G$41+($O$41-$G$41)/($O$10-$G$10)*(I10-$G$10)</f>
        <v>3.0153547499999998</v>
      </c>
      <c r="J41" s="1">
        <f t="shared" ref="J41:M41" si="12">$G$41+($O$41-$G$41)/($O$10-$G$10)*(J10-$G$10)</f>
        <v>2.9377956249999997</v>
      </c>
      <c r="K41" s="1">
        <f t="shared" si="12"/>
        <v>2.8602365000000001</v>
      </c>
      <c r="L41" s="1">
        <f t="shared" si="12"/>
        <v>2.782677375</v>
      </c>
      <c r="M41" s="1">
        <f t="shared" si="12"/>
        <v>2.7051182499999999</v>
      </c>
      <c r="N41" s="1">
        <f>$G$41+($O$41-$G$41)/($O$10-$G$10)*(N10-$G$10)</f>
        <v>2.6275591249999999</v>
      </c>
      <c r="O41" s="252">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v>1</v>
      </c>
      <c r="D42" s="1">
        <v>1</v>
      </c>
      <c r="E42" s="1">
        <v>1</v>
      </c>
      <c r="F42" s="1">
        <v>1</v>
      </c>
      <c r="G42" s="1">
        <v>0.99999990000000005</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2.75" x14ac:dyDescent="0.2">
      <c r="B44" s="75" t="s">
        <v>99</v>
      </c>
      <c r="C44" s="76"/>
    </row>
    <row r="45" spans="2:51" x14ac:dyDescent="0.2">
      <c r="C45" s="36"/>
    </row>
    <row r="46" spans="2:51" x14ac:dyDescent="0.2">
      <c r="B46" s="54" t="s">
        <v>68</v>
      </c>
      <c r="C46" s="55">
        <f>'Input data'!C49</f>
        <v>0.75</v>
      </c>
    </row>
    <row r="47" spans="2:51" x14ac:dyDescent="0.2">
      <c r="B47" s="56" t="s">
        <v>258</v>
      </c>
      <c r="C47" s="57">
        <f>'Input data'!C50</f>
        <v>0.38100000000000001</v>
      </c>
    </row>
    <row r="48" spans="2:51" x14ac:dyDescent="0.2">
      <c r="C48" s="58"/>
    </row>
    <row r="49" spans="2:48" outlineLevel="1" x14ac:dyDescent="0.2">
      <c r="B49" s="26" t="s">
        <v>100</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0</v>
      </c>
      <c r="H49" s="34">
        <f>IF(AND(ABS((H12-G12)-('Input data'!H13-'Input data'!G13))&gt;0.0001,ABS(H12-G12)&gt;0.0001,H$10&gt;$C$5),4,IF(G49=4,3,IF(G49=3,2,IF(G49=2,1,0))))</f>
        <v>0</v>
      </c>
      <c r="I49" s="34">
        <f>IF(AND(ABS((I12-H12)-('Input data'!I13-'Input data'!H13))&gt;0.0001,ABS(I12-H12)&gt;0.0001,I$10&gt;$C$5),4,IF(H49=4,3,IF(H49=3,2,IF(H49=2,1,0))))</f>
        <v>0</v>
      </c>
      <c r="J49" s="34">
        <f>IF(AND(ABS((J12-I12)-('Input data'!J13-'Input data'!I13))&gt;0.0001,ABS(J12-I12)&gt;0.0001,J$10&gt;$C$5),4,IF(I49=4,3,IF(I49=3,2,IF(I49=2,1,0))))</f>
        <v>0</v>
      </c>
      <c r="K49" s="34">
        <f>IF(AND(ABS((K12-J12)-('Input data'!K13-'Input data'!J13))&gt;0.0001,ABS(K12-J12)&gt;0.0001,K$10&gt;$C$5),4,IF(J49=4,3,IF(J49=3,2,IF(J49=2,1,0))))</f>
        <v>0</v>
      </c>
      <c r="L49" s="34">
        <f>IF(AND(ABS((L12-K12)-('Input data'!L13-'Input data'!K13))&gt;0.0001,ABS(L12-K12)&gt;0.0001,L$10&gt;$C$5),4,IF(K49=4,3,IF(K49=3,2,IF(K49=2,1,0))))</f>
        <v>0</v>
      </c>
      <c r="M49" s="34">
        <f>IF(AND(ABS((M12-L12)-('Input data'!M13-'Input data'!L13))&gt;0.0001,ABS(M12-L12)&gt;0.0001,M$10&gt;$C$5),4,IF(L49=4,3,IF(L49=3,2,IF(L49=2,1,0))))</f>
        <v>0</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c r="D50" s="34">
        <f t="shared" ref="D50:W50" si="13">IF(C49=4,2/3*C29,IF(C49=3,1/3*B29,0))</f>
        <v>0</v>
      </c>
      <c r="E50" s="34">
        <f t="shared" si="13"/>
        <v>0</v>
      </c>
      <c r="F50" s="34">
        <f t="shared" si="13"/>
        <v>0</v>
      </c>
      <c r="G50" s="34">
        <f t="shared" si="13"/>
        <v>0</v>
      </c>
      <c r="H50" s="34">
        <f t="shared" si="13"/>
        <v>0</v>
      </c>
      <c r="I50" s="34">
        <f t="shared" si="13"/>
        <v>0</v>
      </c>
      <c r="J50" s="34">
        <f t="shared" si="13"/>
        <v>0</v>
      </c>
      <c r="K50" s="34">
        <f t="shared" si="13"/>
        <v>0</v>
      </c>
      <c r="L50" s="34">
        <f t="shared" si="13"/>
        <v>0</v>
      </c>
      <c r="M50" s="34">
        <f t="shared" si="13"/>
        <v>0</v>
      </c>
      <c r="N50" s="34">
        <f t="shared" si="13"/>
        <v>0</v>
      </c>
      <c r="O50" s="34">
        <f t="shared" si="13"/>
        <v>0</v>
      </c>
      <c r="P50" s="34">
        <f t="shared" si="13"/>
        <v>0</v>
      </c>
      <c r="Q50" s="34">
        <f t="shared" si="13"/>
        <v>0</v>
      </c>
      <c r="R50" s="34">
        <f t="shared" si="13"/>
        <v>0</v>
      </c>
      <c r="S50" s="34">
        <f t="shared" si="13"/>
        <v>0</v>
      </c>
      <c r="T50" s="34">
        <f t="shared" si="13"/>
        <v>0</v>
      </c>
      <c r="U50" s="34">
        <f t="shared" si="13"/>
        <v>0</v>
      </c>
      <c r="V50" s="34">
        <f t="shared" si="13"/>
        <v>0</v>
      </c>
      <c r="W50" s="34">
        <f t="shared" si="13"/>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1.8700369999999999</v>
      </c>
      <c r="E51" s="34">
        <f>'Input data'!E30-$C$46*((E12-D12)-('Input data'!E13-'Input data'!D13))</f>
        <v>1.596454</v>
      </c>
      <c r="F51" s="34">
        <f>'Input data'!F30-$C$46*((F12-E12)-('Input data'!F13-'Input data'!E13))</f>
        <v>2.227846</v>
      </c>
      <c r="G51" s="34">
        <f>'Input data'!G30-$C$46*((G12-F12)-('Input data'!G13-'Input data'!F13))</f>
        <v>6.4174234999999999</v>
      </c>
      <c r="H51" s="34">
        <f>'Input data'!H30-$C$46*((H12-G12))</f>
        <v>1.654501</v>
      </c>
      <c r="I51" s="34">
        <f>'Input data'!I30-$C$46*((I12-H12))</f>
        <v>1.3861540000000001</v>
      </c>
      <c r="J51" s="34">
        <f>'Input data'!J30-$C$46*((J12-I12))</f>
        <v>1.3817489999999999</v>
      </c>
      <c r="K51" s="34">
        <f>'Input data'!K30-$C$46*((K12-J12))</f>
        <v>1.458739</v>
      </c>
      <c r="L51" s="34">
        <f>'Input data'!L30-$C$46*((L12-K12))</f>
        <v>1.5023660000000001</v>
      </c>
      <c r="M51" s="34">
        <f>'Input data'!M30-$C$46*((M12-L12))</f>
        <v>1.54541</v>
      </c>
      <c r="N51" s="34">
        <f>'Input data'!N30-$C$46*((N12-M12))</f>
        <v>1.571599</v>
      </c>
      <c r="O51" s="34">
        <f>'Input data'!O30-$C$46*((O12-N12))</f>
        <v>1.573356</v>
      </c>
      <c r="P51" s="34">
        <f>'Input data'!P30-$C$46*((P12-O12))</f>
        <v>1.6041799999999999</v>
      </c>
      <c r="Q51" s="34">
        <f>'Input data'!Q30-$C$46*((Q12-P12))</f>
        <v>1.6350039999999999</v>
      </c>
      <c r="R51" s="34">
        <f>'Input data'!R30-$C$46*((R12-Q12))</f>
        <v>1.6658249999999999</v>
      </c>
      <c r="S51" s="34">
        <f>'Input data'!S30-$C$46*((S12-R12))</f>
        <v>1.6715930000000001</v>
      </c>
      <c r="T51" s="34">
        <f>'Input data'!T30-$C$46*((T12-S12))</f>
        <v>1.6133489999999999</v>
      </c>
      <c r="U51" s="34">
        <f>'Input data'!U30-$C$46*((U12-T12))</f>
        <v>1.5618829999999999</v>
      </c>
      <c r="V51" s="34">
        <f>'Input data'!V30-$C$46*((V12-U12))</f>
        <v>1.5050829999999999</v>
      </c>
      <c r="W51" s="34">
        <f>'Input data'!W30-$C$46*((W12-V12))</f>
        <v>1.483687</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2.75" outlineLevel="1" x14ac:dyDescent="0.2">
      <c r="B53" s="72" t="s">
        <v>103</v>
      </c>
      <c r="C53" s="73"/>
      <c r="E53" s="74"/>
      <c r="F53" s="73"/>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61.088839999999998</v>
      </c>
      <c r="D56" s="45">
        <f>+C56+D57</f>
        <v>57.741851922294835</v>
      </c>
      <c r="E56" s="45">
        <f t="shared" ref="E56:T56" si="14">+D56+E57</f>
        <v>56.044964616339094</v>
      </c>
      <c r="F56" s="45">
        <f>+E56+F57</f>
        <v>58.478930381041359</v>
      </c>
      <c r="G56" s="45">
        <f>+F56+G57</f>
        <v>60.360385236635636</v>
      </c>
      <c r="H56" s="45">
        <f t="shared" si="14"/>
        <v>64.1768472297762</v>
      </c>
      <c r="I56" s="45">
        <f t="shared" si="14"/>
        <v>68.592848457517547</v>
      </c>
      <c r="J56" s="45">
        <f t="shared" si="14"/>
        <v>73.331462955674027</v>
      </c>
      <c r="K56" s="45">
        <f t="shared" si="14"/>
        <v>78.257194960217717</v>
      </c>
      <c r="L56" s="45">
        <f t="shared" si="14"/>
        <v>83.366265406447027</v>
      </c>
      <c r="M56" s="45">
        <f t="shared" si="14"/>
        <v>88.687699198199837</v>
      </c>
      <c r="N56" s="45">
        <f t="shared" si="14"/>
        <v>94.234631924839817</v>
      </c>
      <c r="O56" s="45">
        <f t="shared" si="14"/>
        <v>100.03923783631734</v>
      </c>
      <c r="P56" s="45">
        <f t="shared" si="14"/>
        <v>106.00186978662593</v>
      </c>
      <c r="Q56" s="45">
        <f t="shared" si="14"/>
        <v>112.10842481121206</v>
      </c>
      <c r="R56" s="45">
        <f>+Q56+R57</f>
        <v>118.34061733192776</v>
      </c>
      <c r="S56" s="45">
        <f t="shared" si="14"/>
        <v>124.72844260655425</v>
      </c>
      <c r="T56" s="45">
        <f t="shared" si="14"/>
        <v>131.35377517542338</v>
      </c>
      <c r="U56" s="45">
        <f t="shared" ref="U56" si="15">+T56+U57</f>
        <v>138.19910164733426</v>
      </c>
      <c r="V56" s="45">
        <f t="shared" ref="V56" si="16">+U56+V57</f>
        <v>145.33130580695158</v>
      </c>
      <c r="W56" s="45">
        <f t="shared" ref="W56" si="17">+V56+W57</f>
        <v>152.6974027803202</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-3.3469880777051602</v>
      </c>
      <c r="E57" s="47">
        <f t="shared" ref="E57:T57" si="18">-E58+E66+E71</f>
        <v>-1.6968873059557408</v>
      </c>
      <c r="F57" s="47">
        <f>-F58+F66+F71</f>
        <v>2.4339657647022639</v>
      </c>
      <c r="G57" s="47">
        <f>-G58+G66+G71</f>
        <v>1.8814548555942805</v>
      </c>
      <c r="H57" s="47">
        <f t="shared" si="18"/>
        <v>3.8164619931405697</v>
      </c>
      <c r="I57" s="47">
        <f t="shared" si="18"/>
        <v>4.4160012277413463</v>
      </c>
      <c r="J57" s="47">
        <f t="shared" si="18"/>
        <v>4.7386144981564815</v>
      </c>
      <c r="K57" s="47">
        <f t="shared" si="18"/>
        <v>4.9257320045436952</v>
      </c>
      <c r="L57" s="47">
        <f t="shared" si="18"/>
        <v>5.1090704462293077</v>
      </c>
      <c r="M57" s="47">
        <f t="shared" si="18"/>
        <v>5.3214337917528161</v>
      </c>
      <c r="N57" s="47">
        <f t="shared" si="18"/>
        <v>5.5469327266399784</v>
      </c>
      <c r="O57" s="47">
        <f t="shared" si="18"/>
        <v>5.8046059114775161</v>
      </c>
      <c r="P57" s="47">
        <f t="shared" si="18"/>
        <v>5.9626319503085883</v>
      </c>
      <c r="Q57" s="47">
        <f t="shared" si="18"/>
        <v>6.1065550245861342</v>
      </c>
      <c r="R57" s="47">
        <f>-R58+R66+R71</f>
        <v>6.2321925207156976</v>
      </c>
      <c r="S57" s="47">
        <f t="shared" si="18"/>
        <v>6.3878252746264899</v>
      </c>
      <c r="T57" s="47">
        <f t="shared" si="18"/>
        <v>6.6253325688691387</v>
      </c>
      <c r="U57" s="47">
        <f t="shared" ref="U57:W57" si="19">-U58+U66+U71</f>
        <v>6.845326471910866</v>
      </c>
      <c r="V57" s="47">
        <f t="shared" si="19"/>
        <v>7.1322041596173298</v>
      </c>
      <c r="W57" s="47">
        <f t="shared" si="19"/>
        <v>7.3660969733686317</v>
      </c>
    </row>
    <row r="58" spans="2:48" outlineLevel="1" x14ac:dyDescent="0.2">
      <c r="B58" s="84" t="s">
        <v>106</v>
      </c>
      <c r="C58" s="48"/>
      <c r="D58" s="48">
        <f>D59+D60-D61-D62-D63-D64-D65</f>
        <v>-0.63504632229484026</v>
      </c>
      <c r="E58" s="48">
        <f>E59+E60-E61-E62-E63-E64-E65</f>
        <v>-3.7366464940442592</v>
      </c>
      <c r="F58" s="48">
        <f>F59+F60-F61-F62-F63-F64-F65</f>
        <v>-4.5243322647022639</v>
      </c>
      <c r="G58" s="48">
        <f t="shared" ref="G58:T58" si="20">G59+G60-G61-G62-G63-G64-G65</f>
        <v>-4.5604515555942804</v>
      </c>
      <c r="H58" s="48">
        <f t="shared" si="20"/>
        <v>-4.9222316010684457</v>
      </c>
      <c r="I58" s="48">
        <f t="shared" si="20"/>
        <v>-5.2803049529416235</v>
      </c>
      <c r="J58" s="48">
        <f t="shared" si="20"/>
        <v>-5.5166341443351028</v>
      </c>
      <c r="K58" s="48">
        <f t="shared" si="20"/>
        <v>-5.6714932198572416</v>
      </c>
      <c r="L58" s="48">
        <f t="shared" si="20"/>
        <v>-5.7983704184142493</v>
      </c>
      <c r="M58" s="48">
        <f t="shared" si="20"/>
        <v>-5.951098468010966</v>
      </c>
      <c r="N58" s="48">
        <f t="shared" si="20"/>
        <v>-6.0987563178011506</v>
      </c>
      <c r="O58" s="48">
        <f t="shared" si="20"/>
        <v>-6.2498154928995771</v>
      </c>
      <c r="P58" s="48">
        <f t="shared" si="20"/>
        <v>-6.3769841928995756</v>
      </c>
      <c r="Q58" s="48">
        <f t="shared" si="20"/>
        <v>-6.4952132677704695</v>
      </c>
      <c r="R58" s="48">
        <f t="shared" si="20"/>
        <v>-6.6000229920421623</v>
      </c>
      <c r="S58" s="48">
        <f t="shared" si="20"/>
        <v>-6.7103509425702068</v>
      </c>
      <c r="T58" s="48">
        <f t="shared" si="20"/>
        <v>-6.8254486177178375</v>
      </c>
      <c r="U58" s="48">
        <f t="shared" ref="U58:W58" si="21">U59+U60-U61-U62-U63-U64-U65</f>
        <v>-6.9244064674362393</v>
      </c>
      <c r="V58" s="48">
        <f t="shared" si="21"/>
        <v>-7.075704792085503</v>
      </c>
      <c r="W58" s="48">
        <f t="shared" si="21"/>
        <v>-7.2158646183750594</v>
      </c>
    </row>
    <row r="59" spans="2:48" outlineLevel="1" x14ac:dyDescent="0.2">
      <c r="B59" s="79" t="s">
        <v>107</v>
      </c>
      <c r="C59" s="1"/>
      <c r="D59" s="1">
        <f>D12</f>
        <v>-0.85058520000000004</v>
      </c>
      <c r="E59" s="1">
        <f>E12</f>
        <v>-3.5136029999999998</v>
      </c>
      <c r="F59" s="1">
        <f>F12</f>
        <v>-4.2628820000000003</v>
      </c>
      <c r="G59" s="1">
        <f t="shared" ref="G59:W59" si="22">IF(G12="",F59,G12)</f>
        <v>-4.2628820000000003</v>
      </c>
      <c r="H59" s="1">
        <f>IF(H12="",G59,H12)</f>
        <v>-4.2628820000000003</v>
      </c>
      <c r="I59" s="1">
        <f t="shared" si="22"/>
        <v>-4.2628820000000003</v>
      </c>
      <c r="J59" s="1">
        <f t="shared" si="22"/>
        <v>-4.2628820000000003</v>
      </c>
      <c r="K59" s="1">
        <f t="shared" si="22"/>
        <v>-4.2628820000000003</v>
      </c>
      <c r="L59" s="1">
        <f t="shared" si="22"/>
        <v>-4.2628820000000003</v>
      </c>
      <c r="M59" s="1">
        <f t="shared" si="22"/>
        <v>-4.2628820000000003</v>
      </c>
      <c r="N59" s="1">
        <f t="shared" si="22"/>
        <v>-4.2628820000000003</v>
      </c>
      <c r="O59" s="1">
        <f t="shared" si="22"/>
        <v>-4.2628820000000003</v>
      </c>
      <c r="P59" s="1">
        <f t="shared" si="22"/>
        <v>-4.2628820000000003</v>
      </c>
      <c r="Q59" s="1">
        <f t="shared" si="22"/>
        <v>-4.2628820000000003</v>
      </c>
      <c r="R59" s="1">
        <f t="shared" si="22"/>
        <v>-4.2628820000000003</v>
      </c>
      <c r="S59" s="1">
        <f t="shared" si="22"/>
        <v>-4.2628820000000003</v>
      </c>
      <c r="T59" s="1">
        <f t="shared" si="22"/>
        <v>-4.2628820000000003</v>
      </c>
      <c r="U59" s="1">
        <f t="shared" si="22"/>
        <v>-4.2628820000000003</v>
      </c>
      <c r="V59" s="1">
        <f t="shared" si="22"/>
        <v>-4.2628820000000003</v>
      </c>
      <c r="W59" s="1">
        <f t="shared" si="22"/>
        <v>-4.2628820000000003</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3">-$C$47*D29</f>
        <v>-0.21553887770515978</v>
      </c>
      <c r="E61" s="1">
        <f t="shared" si="23"/>
        <v>0.22304349404425938</v>
      </c>
      <c r="F61" s="1">
        <f t="shared" si="23"/>
        <v>0.26145026470226373</v>
      </c>
      <c r="G61" s="1">
        <f t="shared" si="23"/>
        <v>-3.6909144405719109E-2</v>
      </c>
      <c r="H61" s="1">
        <f>-$C$47*H29</f>
        <v>-2.4607798931555978E-2</v>
      </c>
      <c r="I61" s="1">
        <f t="shared" si="23"/>
        <v>-8.2032470583783372E-3</v>
      </c>
      <c r="J61" s="1">
        <f>-$C$47*J29</f>
        <v>-2.7556648990012532E-6</v>
      </c>
      <c r="K61" s="1">
        <f t="shared" si="23"/>
        <v>-2.3801427623482142E-6</v>
      </c>
      <c r="L61" s="1">
        <f t="shared" si="23"/>
        <v>-3.8815857509533199E-6</v>
      </c>
      <c r="M61" s="1">
        <f t="shared" si="23"/>
        <v>-4.6319890345980498E-6</v>
      </c>
      <c r="N61" s="1">
        <f t="shared" si="23"/>
        <v>-5.3821988488023113E-6</v>
      </c>
      <c r="O61" s="1">
        <f t="shared" si="23"/>
        <v>-5.0071004262131071E-6</v>
      </c>
      <c r="P61" s="1">
        <f t="shared" si="23"/>
        <v>-5.0071004262131071E-6</v>
      </c>
      <c r="Q61" s="1">
        <f t="shared" si="23"/>
        <v>-4.6322295326195473E-6</v>
      </c>
      <c r="R61" s="1">
        <f t="shared" si="23"/>
        <v>-3.5079578365460051E-6</v>
      </c>
      <c r="S61" s="1">
        <f t="shared" si="23"/>
        <v>-4.2574297952402421E-6</v>
      </c>
      <c r="T61" s="1">
        <f t="shared" si="23"/>
        <v>-5.3822821618920715E-6</v>
      </c>
      <c r="U61" s="1">
        <f t="shared" si="23"/>
        <v>-6.1325637583431462E-6</v>
      </c>
      <c r="V61" s="1">
        <f t="shared" si="23"/>
        <v>-6.5079144974333763E-6</v>
      </c>
      <c r="W61" s="1">
        <f t="shared" si="23"/>
        <v>-5.3816249376836822E-6</v>
      </c>
    </row>
    <row r="62" spans="2:48" outlineLevel="1" x14ac:dyDescent="0.2">
      <c r="B62" s="79" t="s">
        <v>110</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79" t="s">
        <v>111</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0.3331799999999987</v>
      </c>
      <c r="H63" s="1">
        <f>IF(H$55&lt;=$C$5,0,HLOOKUP(H$55,'Input data'!$C$9:$BB$26,12,FALSE)-HLOOKUP($C$5,'Input data'!$C$9:$BB$26,12,FALSE))</f>
        <v>0.68136000000000152</v>
      </c>
      <c r="I63" s="1">
        <f>IF(I$55&lt;=$C$5,0,HLOOKUP(I$55,'Input data'!$C$9:$BB$26,12,FALSE)-HLOOKUP($C$5,'Input data'!$C$9:$BB$26,12,FALSE))</f>
        <v>1.0217300000000016</v>
      </c>
      <c r="J63" s="1">
        <f>IF(J$55&lt;=$C$5,0,HLOOKUP(J$55,'Input data'!$C$9:$BB$26,12,FALSE)-HLOOKUP($C$5,'Input data'!$C$9:$BB$26,12,FALSE))</f>
        <v>1.2485600000000012</v>
      </c>
      <c r="K63" s="1">
        <f>IF(K$55&lt;=$C$5,0,HLOOKUP(K$55,'Input data'!$C$9:$BB$26,12,FALSE)-HLOOKUP($C$5,'Input data'!$C$9:$BB$26,12,FALSE))</f>
        <v>1.4021200000000036</v>
      </c>
      <c r="L63" s="1">
        <f>IF(L$55&lt;=$C$5,0,HLOOKUP(L$55,'Input data'!$C$9:$BB$26,12,FALSE)-HLOOKUP($C$5,'Input data'!$C$9:$BB$26,12,FALSE))</f>
        <v>1.5276999999999994</v>
      </c>
      <c r="M63" s="1">
        <f>IF(M$55&lt;=$C$5,0,HLOOKUP(M$55,'Input data'!$C$9:$BB$26,12,FALSE)-HLOOKUP($C$5,'Input data'!$C$9:$BB$26,12,FALSE))</f>
        <v>1.6791300000000007</v>
      </c>
      <c r="N63" s="1">
        <f>IF(N$55&lt;=$C$5,0,HLOOKUP(N$55,'Input data'!$C$9:$BB$26,12,FALSE)-HLOOKUP($C$5,'Input data'!$C$9:$BB$26,12,FALSE))</f>
        <v>1.8254899999999985</v>
      </c>
      <c r="O63" s="1">
        <f>IF(O$55&lt;=$C$5,0,HLOOKUP(O$55,'Input data'!$C$9:$BB$26,12,FALSE)-HLOOKUP($C$5,'Input data'!$C$9:$BB$26,12,FALSE))</f>
        <v>1.9752500000000026</v>
      </c>
      <c r="P63" s="1">
        <f>IF(P$55&lt;=$C$5,0,HLOOKUP(P$55,'Input data'!$C$9:$BB$26,12,FALSE)-HLOOKUP($C$5,'Input data'!$C$9:$BB$26,12,FALSE))</f>
        <v>2.1011200000000017</v>
      </c>
      <c r="Q63" s="1">
        <f>IF(Q$55&lt;=$C$5,0,HLOOKUP(Q$55,'Input data'!$C$9:$BB$26,12,FALSE)-HLOOKUP($C$5,'Input data'!$C$9:$BB$26,12,FALSE))</f>
        <v>2.2180500000000016</v>
      </c>
      <c r="R63" s="1">
        <f>IF(R$55&lt;=$C$5,0,HLOOKUP(R$55,'Input data'!$C$9:$BB$26,12,FALSE)-HLOOKUP($C$5,'Input data'!$C$9:$BB$26,12,FALSE))</f>
        <v>2.3215599999999981</v>
      </c>
      <c r="S63" s="1">
        <f>IF(S$55&lt;=$C$5,0,HLOOKUP(S$55,'Input data'!$C$9:$BB$26,12,FALSE)-HLOOKUP($C$5,'Input data'!$C$9:$BB$26,12,FALSE))</f>
        <v>2.4305900000000022</v>
      </c>
      <c r="T63" s="1">
        <f>IF(T$55&lt;=$C$5,0,HLOOKUP(T$55,'Input data'!$C$9:$BB$26,12,FALSE)-HLOOKUP($C$5,'Input data'!$C$9:$BB$26,12,FALSE))</f>
        <v>2.5443899999999999</v>
      </c>
      <c r="U63" s="1">
        <f>IF(U$55&lt;=$C$5,0,HLOOKUP(U$55,'Input data'!$C$9:$BB$26,12,FALSE)-HLOOKUP($C$5,'Input data'!$C$9:$BB$26,12,FALSE))</f>
        <v>2.6420499999999976</v>
      </c>
      <c r="V63" s="1">
        <f>IF(V$55&lt;=$C$5,0,HLOOKUP(V$55,'Input data'!$C$9:$BB$26,12,FALSE)-HLOOKUP($C$5,'Input data'!$C$9:$BB$26,12,FALSE))</f>
        <v>2.7920499999999997</v>
      </c>
      <c r="W63" s="1">
        <f>IF(W$55&lt;=$C$5,0,HLOOKUP(W$55,'Input data'!$C$9:$BB$26,12,FALSE)-HLOOKUP($C$5,'Input data'!$C$9:$BB$26,12,FALSE))</f>
        <v>2.9309099999999972</v>
      </c>
    </row>
    <row r="64" spans="2:48" outlineLevel="1" x14ac:dyDescent="0.2">
      <c r="B64" s="79" t="s">
        <v>112</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1.298699999999986E-3</v>
      </c>
      <c r="H64" s="1">
        <f>IF(H$55&lt;=$C$5,0,-HLOOKUP(H$55,'Input data'!$C$9:$BB$26,18,FALSE)+HLOOKUP($C$5,'Input data'!$C$9:$BB$26,18,FALSE))</f>
        <v>2.597399999999972E-3</v>
      </c>
      <c r="I64" s="1">
        <f>IF(I$55&lt;=$C$5,0,-HLOOKUP(I$55,'Input data'!$C$9:$BB$26,18,FALSE)+HLOOKUP($C$5,'Input data'!$C$9:$BB$26,18,FALSE))</f>
        <v>3.8962000000000163E-3</v>
      </c>
      <c r="J64" s="1">
        <f>IF(J$55&lt;=$C$5,0,-HLOOKUP(J$55,'Input data'!$C$9:$BB$26,18,FALSE)+HLOOKUP($C$5,'Input data'!$C$9:$BB$26,18,FALSE))</f>
        <v>5.1949000000000023E-3</v>
      </c>
      <c r="K64" s="1">
        <f>IF(K$55&lt;=$C$5,0,-HLOOKUP(K$55,'Input data'!$C$9:$BB$26,18,FALSE)+HLOOKUP($C$5,'Input data'!$C$9:$BB$26,18,FALSE))</f>
        <v>6.4935999999999883E-3</v>
      </c>
      <c r="L64" s="1">
        <f>IF(L$55&lt;=$C$5,0,-HLOOKUP(L$55,'Input data'!$C$9:$BB$26,18,FALSE)+HLOOKUP($C$5,'Input data'!$C$9:$BB$26,18,FALSE))</f>
        <v>7.7922999999999742E-3</v>
      </c>
      <c r="M64" s="1">
        <f>IF(M$55&lt;=$C$5,0,-HLOOKUP(M$55,'Input data'!$C$9:$BB$26,18,FALSE)+HLOOKUP($C$5,'Input data'!$C$9:$BB$26,18,FALSE))</f>
        <v>9.0911000000000186E-3</v>
      </c>
      <c r="N64" s="1">
        <f>IF(N$55&lt;=$C$5,0,-HLOOKUP(N$55,'Input data'!$C$9:$BB$26,18,FALSE)+HLOOKUP($C$5,'Input data'!$C$9:$BB$26,18,FALSE))</f>
        <v>1.0389699999999946E-2</v>
      </c>
      <c r="O64" s="1">
        <f>IF(O$55&lt;=$C$5,0,-HLOOKUP(O$55,'Input data'!$C$9:$BB$26,18,FALSE)+HLOOKUP($C$5,'Input data'!$C$9:$BB$26,18,FALSE))</f>
        <v>1.1688499999999991E-2</v>
      </c>
      <c r="P64" s="1">
        <f>IF(P$55&lt;=$C$5,0,-HLOOKUP(P$55,'Input data'!$C$9:$BB$26,18,FALSE)+HLOOKUP($C$5,'Input data'!$C$9:$BB$26,18,FALSE))</f>
        <v>1.2987199999999977E-2</v>
      </c>
      <c r="Q64" s="1">
        <f>IF(Q$55&lt;=$C$5,0,-HLOOKUP(Q$55,'Input data'!$C$9:$BB$26,18,FALSE)+HLOOKUP($C$5,'Input data'!$C$9:$BB$26,18,FALSE))</f>
        <v>1.4285899999999963E-2</v>
      </c>
      <c r="R64" s="1">
        <f>IF(R$55&lt;=$C$5,0,-HLOOKUP(R$55,'Input data'!$C$9:$BB$26,18,FALSE)+HLOOKUP($C$5,'Input data'!$C$9:$BB$26,18,FALSE))</f>
        <v>1.5584500000000001E-2</v>
      </c>
      <c r="S64" s="1">
        <f>IF(S$55&lt;=$C$5,0,-HLOOKUP(S$55,'Input data'!$C$9:$BB$26,18,FALSE)+HLOOKUP($C$5,'Input data'!$C$9:$BB$26,18,FALSE))</f>
        <v>1.6883199999999987E-2</v>
      </c>
      <c r="T64" s="1">
        <f>IF(T$55&lt;=$C$5,0,-HLOOKUP(T$55,'Input data'!$C$9:$BB$26,18,FALSE)+HLOOKUP($C$5,'Input data'!$C$9:$BB$26,18,FALSE))</f>
        <v>1.818199999999992E-2</v>
      </c>
      <c r="U64" s="1">
        <f>IF(U$55&lt;=$C$5,0,-HLOOKUP(U$55,'Input data'!$C$9:$BB$26,18,FALSE)+HLOOKUP($C$5,'Input data'!$C$9:$BB$26,18,FALSE))</f>
        <v>1.9480599999999959E-2</v>
      </c>
      <c r="V64" s="1">
        <f>IF(V$55&lt;=$C$5,0,-HLOOKUP(V$55,'Input data'!$C$9:$BB$26,18,FALSE)+HLOOKUP($C$5,'Input data'!$C$9:$BB$26,18,FALSE))</f>
        <v>2.0779299999999945E-2</v>
      </c>
      <c r="W64" s="1">
        <f>IF(W$55&lt;=$C$5,0,-HLOOKUP(W$55,'Input data'!$C$9:$BB$26,18,FALSE)+HLOOKUP($C$5,'Input data'!$C$9:$BB$26,18,FALSE))</f>
        <v>2.2077999999999931E-2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SUM(D67:D70)</f>
        <v>-4.2593990000000002</v>
      </c>
      <c r="E66" s="48">
        <f t="shared" ref="E66:T66" si="25">SUM(E67:E70)</f>
        <v>-4.979152</v>
      </c>
      <c r="F66" s="48">
        <f t="shared" si="25"/>
        <v>-2.2903669999999998</v>
      </c>
      <c r="G66" s="48">
        <f>SUM(G67:G70)</f>
        <v>-2.0789939999999998</v>
      </c>
      <c r="H66" s="48">
        <f t="shared" si="25"/>
        <v>-1.105769607927876</v>
      </c>
      <c r="I66" s="48">
        <f t="shared" si="25"/>
        <v>-0.86430372520027698</v>
      </c>
      <c r="J66" s="48">
        <f t="shared" si="25"/>
        <v>-0.77801964617862129</v>
      </c>
      <c r="K66" s="48">
        <f t="shared" si="25"/>
        <v>-0.74576121531354689</v>
      </c>
      <c r="L66" s="48">
        <f t="shared" si="25"/>
        <v>-0.68929997218494177</v>
      </c>
      <c r="M66" s="48">
        <f t="shared" si="25"/>
        <v>-0.62966467625814992</v>
      </c>
      <c r="N66" s="48">
        <f t="shared" si="25"/>
        <v>-0.55182359116117174</v>
      </c>
      <c r="O66" s="48">
        <f t="shared" si="25"/>
        <v>-0.44520958142206069</v>
      </c>
      <c r="P66" s="48">
        <f t="shared" si="25"/>
        <v>-0.41435224259098735</v>
      </c>
      <c r="Q66" s="48">
        <f t="shared" si="25"/>
        <v>-0.38865824318433573</v>
      </c>
      <c r="R66" s="48">
        <f t="shared" si="25"/>
        <v>-0.36783047132646418</v>
      </c>
      <c r="S66" s="48">
        <f t="shared" si="25"/>
        <v>-0.3225256679437174</v>
      </c>
      <c r="T66" s="48">
        <f t="shared" si="25"/>
        <v>-0.20011604884869882</v>
      </c>
      <c r="U66" s="48">
        <f t="shared" ref="U66:W66" si="26">SUM(U67:U70)</f>
        <v>-7.9079995525372926E-2</v>
      </c>
      <c r="V66" s="48">
        <f t="shared" si="26"/>
        <v>5.6499367531826827E-2</v>
      </c>
      <c r="W66" s="48">
        <f t="shared" si="26"/>
        <v>0.15023235499357224</v>
      </c>
    </row>
    <row r="67" spans="2:23" outlineLevel="1" x14ac:dyDescent="0.2">
      <c r="B67" s="79" t="s">
        <v>115</v>
      </c>
      <c r="C67" s="34"/>
      <c r="D67" s="34">
        <f t="shared" ref="D67:W67" si="27">C56*D35/100*(1/(1+D32/100))</f>
        <v>1.037617448818186</v>
      </c>
      <c r="E67" s="34">
        <f t="shared" si="27"/>
        <v>1.1568256745098193</v>
      </c>
      <c r="F67" s="34">
        <f t="shared" si="27"/>
        <v>1.3311861164521233</v>
      </c>
      <c r="G67" s="34">
        <f>F56*G35/100*(1/(1+G32/100))</f>
        <v>1.4864466568294359</v>
      </c>
      <c r="H67" s="34">
        <f>G56*H35/100*(1/(1+H32/100))</f>
        <v>1.6580517160373371</v>
      </c>
      <c r="I67" s="34">
        <f t="shared" si="27"/>
        <v>1.8659563001813984</v>
      </c>
      <c r="J67" s="34">
        <f t="shared" si="27"/>
        <v>2.0877705267026267</v>
      </c>
      <c r="K67" s="34">
        <f t="shared" si="27"/>
        <v>2.3183848874346684</v>
      </c>
      <c r="L67" s="34">
        <f t="shared" si="27"/>
        <v>2.5563371484532942</v>
      </c>
      <c r="M67" s="34">
        <f t="shared" si="27"/>
        <v>2.8014198071961167</v>
      </c>
      <c r="N67" s="34">
        <f t="shared" si="27"/>
        <v>3.0559504909204631</v>
      </c>
      <c r="O67" s="34">
        <f t="shared" si="27"/>
        <v>3.3214051260058826</v>
      </c>
      <c r="P67" s="34">
        <f t="shared" si="27"/>
        <v>3.5876586799299184</v>
      </c>
      <c r="Q67" s="34">
        <f t="shared" si="27"/>
        <v>3.8554517072782217</v>
      </c>
      <c r="R67" s="34">
        <f t="shared" si="27"/>
        <v>4.1245261378920999</v>
      </c>
      <c r="S67" s="34">
        <f t="shared" si="27"/>
        <v>4.3955153190689318</v>
      </c>
      <c r="T67" s="34">
        <f t="shared" si="27"/>
        <v>4.6717782229494453</v>
      </c>
      <c r="U67" s="34">
        <f t="shared" si="27"/>
        <v>4.9537169336583373</v>
      </c>
      <c r="V67" s="34">
        <f t="shared" si="27"/>
        <v>5.2414768287292741</v>
      </c>
      <c r="W67" s="34">
        <f t="shared" si="27"/>
        <v>5.535707451506485</v>
      </c>
    </row>
    <row r="68" spans="2:23" outlineLevel="1" x14ac:dyDescent="0.2">
      <c r="B68" s="79" t="s">
        <v>116</v>
      </c>
      <c r="C68" s="34"/>
      <c r="D68" s="34">
        <f t="shared" ref="D68:W68" si="28">-C56*(D23/100)*(1/(1+D32/100))</f>
        <v>-1.0433277419508173</v>
      </c>
      <c r="E68" s="34">
        <f t="shared" si="28"/>
        <v>-0.82386405373436111</v>
      </c>
      <c r="F68" s="34">
        <f t="shared" si="28"/>
        <v>-1.1679128769865823</v>
      </c>
      <c r="G68" s="34">
        <f t="shared" si="28"/>
        <v>-1.7683582342582602</v>
      </c>
      <c r="H68" s="34">
        <f t="shared" si="28"/>
        <v>-0.95293572590076969</v>
      </c>
      <c r="I68" s="34">
        <f t="shared" si="28"/>
        <v>-0.85174432639719966</v>
      </c>
      <c r="J68" s="34">
        <f t="shared" si="28"/>
        <v>-0.90818297057738573</v>
      </c>
      <c r="K68" s="34">
        <f t="shared" si="28"/>
        <v>-1.0250167551871998</v>
      </c>
      <c r="L68" s="34">
        <f t="shared" si="28"/>
        <v>-1.1269481410521764</v>
      </c>
      <c r="M68" s="34">
        <f t="shared" si="28"/>
        <v>-1.2353262795020159</v>
      </c>
      <c r="N68" s="34">
        <f t="shared" si="28"/>
        <v>-1.3371152523256544</v>
      </c>
      <c r="O68" s="34">
        <f t="shared" si="28"/>
        <v>-1.423383976971176</v>
      </c>
      <c r="P68" s="34">
        <f t="shared" si="28"/>
        <v>-1.5406099867057388</v>
      </c>
      <c r="Q68" s="34">
        <f t="shared" si="28"/>
        <v>-1.6637434436316711</v>
      </c>
      <c r="R68" s="34">
        <f t="shared" si="28"/>
        <v>-1.7926953681258686</v>
      </c>
      <c r="S68" s="34">
        <f t="shared" si="28"/>
        <v>-1.8993070326012498</v>
      </c>
      <c r="T68" s="34">
        <f t="shared" si="28"/>
        <v>-1.9337044239933148</v>
      </c>
      <c r="U68" s="34">
        <f t="shared" si="28"/>
        <v>-1.9729858846617121</v>
      </c>
      <c r="V68" s="34">
        <f t="shared" si="28"/>
        <v>-2.0019729707244434</v>
      </c>
      <c r="W68" s="34">
        <f t="shared" si="28"/>
        <v>-2.0763580972927707</v>
      </c>
    </row>
    <row r="69" spans="2:23" outlineLevel="1" x14ac:dyDescent="0.2">
      <c r="B69" s="79" t="s">
        <v>117</v>
      </c>
      <c r="C69" s="34"/>
      <c r="D69" s="34">
        <f>-C56*D41/100*(1/(1+D41/100))</f>
        <v>-4.2536887833897383</v>
      </c>
      <c r="E69" s="34">
        <f t="shared" ref="E69:T69" si="29">-D56*E41/100*(1/(1+E41/100))</f>
        <v>-5.312112989963226</v>
      </c>
      <c r="F69" s="34">
        <f>-E56*F41/100*(1/(1+F41/100))</f>
        <v>-2.4536402025325548</v>
      </c>
      <c r="G69" s="34">
        <f>-F56*G41/100*(1/(1+G41/100))</f>
        <v>-1.7970826773467574</v>
      </c>
      <c r="H69" s="34">
        <f t="shared" si="29"/>
        <v>-1.8108855980644434</v>
      </c>
      <c r="I69" s="34">
        <f t="shared" si="29"/>
        <v>-1.8785156989844756</v>
      </c>
      <c r="J69" s="34">
        <f t="shared" si="29"/>
        <v>-1.9576072023038624</v>
      </c>
      <c r="K69" s="34">
        <f t="shared" si="29"/>
        <v>-2.0391293475610155</v>
      </c>
      <c r="L69" s="34">
        <f t="shared" si="29"/>
        <v>-2.1186889795860595</v>
      </c>
      <c r="M69" s="34">
        <f t="shared" si="29"/>
        <v>-2.1957582039522507</v>
      </c>
      <c r="N69" s="34">
        <f t="shared" si="29"/>
        <v>-2.2706588297559804</v>
      </c>
      <c r="O69" s="34">
        <f t="shared" si="29"/>
        <v>-2.3432307304567672</v>
      </c>
      <c r="P69" s="34">
        <f t="shared" si="29"/>
        <v>-2.4614009358151669</v>
      </c>
      <c r="Q69" s="34">
        <f t="shared" si="29"/>
        <v>-2.5803665068308863</v>
      </c>
      <c r="R69" s="34">
        <f t="shared" si="29"/>
        <v>-2.6996612410926955</v>
      </c>
      <c r="S69" s="34">
        <f t="shared" si="29"/>
        <v>-2.8187339544113992</v>
      </c>
      <c r="T69" s="34">
        <f t="shared" si="29"/>
        <v>-2.9381898478048294</v>
      </c>
      <c r="U69" s="34">
        <f t="shared" ref="U69" si="30">-T56*U41/100*(1/(1+U41/100))</f>
        <v>-3.0598110445219979</v>
      </c>
      <c r="V69" s="34">
        <f t="shared" ref="V69" si="31">-U56*V41/100*(1/(1+V41/100))</f>
        <v>-3.1830044904730039</v>
      </c>
      <c r="W69" s="34">
        <f t="shared" ref="W69" si="32">-V56*W41/100*(1/(1+W41/100))</f>
        <v>-3.3091169992201421</v>
      </c>
    </row>
    <row r="70" spans="2:23" outlineLevel="1" x14ac:dyDescent="0.2">
      <c r="B70" s="79" t="s">
        <v>118</v>
      </c>
      <c r="C70" s="49"/>
      <c r="D70" s="49">
        <v>7.6522369774068011E-8</v>
      </c>
      <c r="E70" s="49">
        <v>-6.3081223178329537E-7</v>
      </c>
      <c r="F70" s="49">
        <v>-3.6932986002824464E-8</v>
      </c>
      <c r="G70" s="49">
        <v>2.5477558196485006E-7</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4" t="s">
        <v>119</v>
      </c>
      <c r="C71" s="50"/>
      <c r="D71" s="50">
        <f>'Input data'!D16</f>
        <v>0.27736460000000002</v>
      </c>
      <c r="E71" s="50">
        <f>'Input data'!E16</f>
        <v>-0.4543818</v>
      </c>
      <c r="F71" s="50">
        <f>'Input data'!F16</f>
        <v>0.2000005</v>
      </c>
      <c r="G71" s="50">
        <f>'Input data'!G16</f>
        <v>-0.6000027</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3">D14</f>
        <v>0.27736460000000002</v>
      </c>
      <c r="E72" s="34">
        <f t="shared" si="33"/>
        <v>-0.45438450000000002</v>
      </c>
      <c r="F72" s="34">
        <f t="shared" si="33"/>
        <v>0.2</v>
      </c>
      <c r="G72" s="34">
        <f t="shared" si="33"/>
        <v>-0.6</v>
      </c>
      <c r="H72" s="34">
        <f>H14</f>
        <v>0</v>
      </c>
      <c r="I72" s="34">
        <f t="shared" si="33"/>
        <v>0</v>
      </c>
      <c r="J72" s="34">
        <f t="shared" si="33"/>
        <v>0</v>
      </c>
      <c r="K72" s="34">
        <f t="shared" si="33"/>
        <v>0</v>
      </c>
      <c r="L72" s="34">
        <f t="shared" si="33"/>
        <v>0</v>
      </c>
      <c r="M72" s="34">
        <f t="shared" si="33"/>
        <v>0</v>
      </c>
      <c r="N72" s="34">
        <f t="shared" si="33"/>
        <v>0</v>
      </c>
      <c r="O72" s="34">
        <f t="shared" si="33"/>
        <v>0</v>
      </c>
      <c r="P72" s="34">
        <f t="shared" si="33"/>
        <v>0</v>
      </c>
      <c r="Q72" s="34">
        <f t="shared" si="33"/>
        <v>0</v>
      </c>
      <c r="R72" s="34">
        <f t="shared" si="33"/>
        <v>0</v>
      </c>
      <c r="S72" s="34">
        <f t="shared" si="33"/>
        <v>0</v>
      </c>
      <c r="T72" s="34">
        <f t="shared" si="33"/>
        <v>0</v>
      </c>
      <c r="U72" s="34">
        <f t="shared" si="33"/>
        <v>0</v>
      </c>
      <c r="V72" s="34">
        <f t="shared" si="33"/>
        <v>0</v>
      </c>
      <c r="W72" s="34">
        <f t="shared" si="33"/>
        <v>0</v>
      </c>
    </row>
    <row r="73" spans="2:23" outlineLevel="1" x14ac:dyDescent="0.2">
      <c r="B73" s="89" t="s">
        <v>121</v>
      </c>
      <c r="C73" s="49"/>
      <c r="D73" s="49">
        <f>+D71-D72</f>
        <v>0</v>
      </c>
      <c r="E73" s="49">
        <f t="shared" ref="E73:T73" si="34">+E71-E72</f>
        <v>2.7000000000221291E-6</v>
      </c>
      <c r="F73" s="49">
        <f>+F71-F72</f>
        <v>4.9999999998662226E-7</v>
      </c>
      <c r="G73" s="49">
        <f t="shared" si="34"/>
        <v>-2.7000000000221291E-6</v>
      </c>
      <c r="H73" s="49">
        <f t="shared" si="34"/>
        <v>0</v>
      </c>
      <c r="I73" s="49">
        <f t="shared" si="34"/>
        <v>0</v>
      </c>
      <c r="J73" s="49">
        <f t="shared" si="34"/>
        <v>0</v>
      </c>
      <c r="K73" s="49">
        <f t="shared" si="34"/>
        <v>0</v>
      </c>
      <c r="L73" s="49">
        <f t="shared" si="34"/>
        <v>0</v>
      </c>
      <c r="M73" s="49">
        <f t="shared" si="34"/>
        <v>0</v>
      </c>
      <c r="N73" s="49">
        <f t="shared" si="34"/>
        <v>0</v>
      </c>
      <c r="O73" s="49">
        <f t="shared" si="34"/>
        <v>0</v>
      </c>
      <c r="P73" s="49">
        <f t="shared" si="34"/>
        <v>0</v>
      </c>
      <c r="Q73" s="49">
        <f t="shared" si="34"/>
        <v>0</v>
      </c>
      <c r="R73" s="49">
        <f t="shared" si="34"/>
        <v>0</v>
      </c>
      <c r="S73" s="49">
        <f t="shared" si="34"/>
        <v>0</v>
      </c>
      <c r="T73" s="49">
        <f t="shared" si="34"/>
        <v>0</v>
      </c>
      <c r="U73" s="49">
        <f t="shared" ref="U73:W73" si="35">+U71-U72</f>
        <v>0</v>
      </c>
      <c r="V73" s="49">
        <f t="shared" si="35"/>
        <v>0</v>
      </c>
      <c r="W73" s="49">
        <f t="shared" si="35"/>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1" t="s">
        <v>122</v>
      </c>
    </row>
    <row r="76" spans="2:23" x14ac:dyDescent="0.2">
      <c r="B76" s="77" t="s">
        <v>41</v>
      </c>
      <c r="C76" s="77"/>
      <c r="D76" s="78">
        <f>D58-D67</f>
        <v>-1.6726637711130263</v>
      </c>
      <c r="E76" s="78">
        <f t="shared" ref="E76:T76" si="36">E58-E67</f>
        <v>-4.8934721685540783</v>
      </c>
      <c r="F76" s="78">
        <f t="shared" si="36"/>
        <v>-5.8555183811543872</v>
      </c>
      <c r="G76" s="78">
        <f t="shared" si="36"/>
        <v>-6.0468982124237165</v>
      </c>
      <c r="H76" s="78">
        <f t="shared" si="36"/>
        <v>-6.5802833171057831</v>
      </c>
      <c r="I76" s="78">
        <f t="shared" si="36"/>
        <v>-7.1462612531230221</v>
      </c>
      <c r="J76" s="78">
        <f t="shared" si="36"/>
        <v>-7.6044046710377291</v>
      </c>
      <c r="K76" s="78">
        <f t="shared" si="36"/>
        <v>-7.9898781072919096</v>
      </c>
      <c r="L76" s="78">
        <f t="shared" si="36"/>
        <v>-8.3547075668675426</v>
      </c>
      <c r="M76" s="78">
        <f t="shared" si="36"/>
        <v>-8.7525182752070823</v>
      </c>
      <c r="N76" s="78">
        <f t="shared" si="36"/>
        <v>-9.1547068087216132</v>
      </c>
      <c r="O76" s="78">
        <f t="shared" si="36"/>
        <v>-9.5712206189054605</v>
      </c>
      <c r="P76" s="78">
        <f t="shared" si="36"/>
        <v>-9.9646428728294936</v>
      </c>
      <c r="Q76" s="78">
        <f t="shared" si="36"/>
        <v>-10.350664975048691</v>
      </c>
      <c r="R76" s="78">
        <f t="shared" si="36"/>
        <v>-10.724549129934262</v>
      </c>
      <c r="S76" s="78">
        <f t="shared" si="36"/>
        <v>-11.105866261639139</v>
      </c>
      <c r="T76" s="78">
        <f t="shared" si="36"/>
        <v>-11.497226840667283</v>
      </c>
      <c r="U76" s="78">
        <f t="shared" ref="U76:W76" si="37">U58-U67</f>
        <v>-11.878123401094577</v>
      </c>
      <c r="V76" s="78">
        <f t="shared" si="37"/>
        <v>-12.317181620814777</v>
      </c>
      <c r="W76" s="78">
        <f t="shared" si="37"/>
        <v>-12.751572069881544</v>
      </c>
    </row>
    <row r="77" spans="2:23" x14ac:dyDescent="0.2">
      <c r="B77" s="26" t="s">
        <v>42</v>
      </c>
      <c r="D77" s="34">
        <f>D59-D67-D63-D64-D65</f>
        <v>-1.888202648818186</v>
      </c>
      <c r="E77" s="34">
        <f>E59-E67-E63-E64-E65</f>
        <v>-4.6704286745098189</v>
      </c>
      <c r="F77" s="34">
        <f t="shared" ref="F77:W77" si="38">F59-F67-F63-F64-F65</f>
        <v>-5.5940681164521235</v>
      </c>
      <c r="G77" s="34">
        <f t="shared" si="38"/>
        <v>-6.0838073568294355</v>
      </c>
      <c r="H77" s="34">
        <f t="shared" si="38"/>
        <v>-6.6048911160373391</v>
      </c>
      <c r="I77" s="34">
        <f t="shared" si="38"/>
        <v>-7.1544645001814002</v>
      </c>
      <c r="J77" s="34">
        <f t="shared" si="38"/>
        <v>-7.604407426702628</v>
      </c>
      <c r="K77" s="34">
        <f t="shared" si="38"/>
        <v>-7.9898804874346725</v>
      </c>
      <c r="L77" s="34">
        <f t="shared" si="38"/>
        <v>-8.3547114484532941</v>
      </c>
      <c r="M77" s="34">
        <f t="shared" si="38"/>
        <v>-8.7525229071961164</v>
      </c>
      <c r="N77" s="34">
        <f t="shared" si="38"/>
        <v>-9.1547121909204616</v>
      </c>
      <c r="O77" s="34">
        <f t="shared" si="38"/>
        <v>-9.5712256260058854</v>
      </c>
      <c r="P77" s="34">
        <f t="shared" si="38"/>
        <v>-9.9646478799299203</v>
      </c>
      <c r="Q77" s="34">
        <f t="shared" si="38"/>
        <v>-10.350669607278224</v>
      </c>
      <c r="R77" s="34">
        <f t="shared" si="38"/>
        <v>-10.724552637892097</v>
      </c>
      <c r="S77" s="34">
        <f t="shared" si="38"/>
        <v>-11.105870519068935</v>
      </c>
      <c r="T77" s="34">
        <f t="shared" si="38"/>
        <v>-11.497232222949446</v>
      </c>
      <c r="U77" s="34">
        <f t="shared" si="38"/>
        <v>-11.878129533658335</v>
      </c>
      <c r="V77" s="34">
        <f t="shared" si="38"/>
        <v>-12.317188128729272</v>
      </c>
      <c r="W77" s="34">
        <f t="shared" si="38"/>
        <v>-12.751577451506483</v>
      </c>
    </row>
    <row r="78" spans="2:23" x14ac:dyDescent="0.2">
      <c r="B78" s="35" t="s">
        <v>123</v>
      </c>
      <c r="C78" s="35"/>
      <c r="D78" s="285">
        <f>'Input data'!D45</f>
        <v>7.0970051470311883</v>
      </c>
      <c r="E78" s="285">
        <f>'Input data'!E45</f>
        <v>23.97555200834967</v>
      </c>
      <c r="F78" s="285">
        <f>'Input data'!F45</f>
        <v>6.2131458703570441</v>
      </c>
      <c r="G78" s="49">
        <f>'Input data'!G33+G41-(G$12-F$12)/'Input data'!$C$64*100</f>
        <v>5.5832040000000003</v>
      </c>
      <c r="H78" s="49">
        <f>'Input data'!H33+H41-(H$12-G$12)/'Input data'!$C$64*100</f>
        <v>4.7802148749999995</v>
      </c>
      <c r="I78" s="49">
        <f>'Input data'!I33+I41-(I$12-H$12)/'Input data'!$C$64*100</f>
        <v>4.4451527500000001</v>
      </c>
      <c r="J78" s="49">
        <f>'Input data'!J33+J41-(J$12-I$12)/'Input data'!$C$64*100</f>
        <v>4.3413656249999999</v>
      </c>
      <c r="K78" s="49">
        <f>'Input data'!K33+K41-(K$12-J$12)/'Input data'!$C$64*100</f>
        <v>4.3189764999999998</v>
      </c>
      <c r="L78" s="49">
        <f>'Input data'!L33+L41-(L$12-K$12)/'Input data'!$C$64*100</f>
        <v>4.2850393750000002</v>
      </c>
      <c r="M78" s="49">
        <f>'Input data'!M33+M41-(M$12-L$12)/'Input data'!$C$64*100</f>
        <v>4.2505262500000001</v>
      </c>
      <c r="N78" s="49">
        <f>'Input data'!N33+N41-(N$12-M$12)/'Input data'!$C$64*100</f>
        <v>4.199156125</v>
      </c>
      <c r="O78" s="49">
        <f>'Input data'!O33+O41-(O$12-N$12)/'Input data'!$C$64*100</f>
        <v>4.1233569999999995</v>
      </c>
      <c r="P78" s="49">
        <f>'Input data'!P33+P41-(P$12-O$12)/'Input data'!$C$64*100</f>
        <v>4.1266800000000003</v>
      </c>
      <c r="Q78" s="49">
        <f>'Input data'!Q33+Q41-(Q$12-P$12)/'Input data'!$C$64*100</f>
        <v>4.1300049999999997</v>
      </c>
      <c r="R78" s="49">
        <f>'Input data'!R33+R41-(R$12-Q$12)/'Input data'!$C$64*100</f>
        <v>4.1333279999999997</v>
      </c>
      <c r="S78" s="49">
        <f>'Input data'!S33+S41-(S$12-R$12)/'Input data'!$C$64*100</f>
        <v>4.1115909999999998</v>
      </c>
      <c r="T78" s="49">
        <f>'Input data'!T33+T41-(T$12-S$12)/'Input data'!$C$64*100</f>
        <v>4.0258459999999996</v>
      </c>
      <c r="U78" s="49">
        <f>'Input data'!U33+U41-(U$12-T$12)/'Input data'!$C$64*100</f>
        <v>3.9468809999999999</v>
      </c>
      <c r="V78" s="49">
        <f>'Input data'!V33+V41-(V$12-U$12)/'Input data'!$C$64*100</f>
        <v>3.8625819999999997</v>
      </c>
      <c r="W78" s="49">
        <f>'Input data'!W33+W41-(W$12-V$12)/'Input data'!$C$64*100</f>
        <v>3.8136900000000002</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3" customFormat="1" ht="12.75" outlineLevel="1" x14ac:dyDescent="0.2">
      <c r="B81" s="94" t="s">
        <v>124</v>
      </c>
      <c r="C81" s="95"/>
      <c r="E81" s="96"/>
      <c r="F81" s="95"/>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125</v>
      </c>
      <c r="D83" s="29">
        <f t="shared" ref="D83:W83" si="39">IF((D87-C87*D42/((1+D23/100)*(1+D41/100)))&gt;0,1,0)</f>
        <v>1</v>
      </c>
      <c r="E83" s="29">
        <f t="shared" si="39"/>
        <v>1</v>
      </c>
      <c r="F83" s="29">
        <f t="shared" si="39"/>
        <v>1</v>
      </c>
      <c r="G83" s="29">
        <f t="shared" si="39"/>
        <v>1</v>
      </c>
      <c r="H83" s="29">
        <f t="shared" si="39"/>
        <v>1</v>
      </c>
      <c r="I83" s="29">
        <f t="shared" si="39"/>
        <v>1</v>
      </c>
      <c r="J83" s="29">
        <f t="shared" si="39"/>
        <v>1</v>
      </c>
      <c r="K83" s="29">
        <f t="shared" si="39"/>
        <v>1</v>
      </c>
      <c r="L83" s="29">
        <f t="shared" si="39"/>
        <v>1</v>
      </c>
      <c r="M83" s="29">
        <f t="shared" si="39"/>
        <v>1</v>
      </c>
      <c r="N83" s="29">
        <f t="shared" si="39"/>
        <v>1</v>
      </c>
      <c r="O83" s="29">
        <f t="shared" si="39"/>
        <v>1</v>
      </c>
      <c r="P83" s="29">
        <f t="shared" si="39"/>
        <v>1</v>
      </c>
      <c r="Q83" s="29">
        <f t="shared" si="39"/>
        <v>1</v>
      </c>
      <c r="R83" s="29">
        <f t="shared" si="39"/>
        <v>1</v>
      </c>
      <c r="S83" s="29">
        <f t="shared" si="39"/>
        <v>1</v>
      </c>
      <c r="T83" s="29">
        <f t="shared" si="39"/>
        <v>1</v>
      </c>
      <c r="U83" s="29">
        <f t="shared" si="39"/>
        <v>1</v>
      </c>
      <c r="V83" s="29">
        <f t="shared" si="39"/>
        <v>1</v>
      </c>
      <c r="W83" s="29">
        <f t="shared" si="39"/>
        <v>1</v>
      </c>
    </row>
    <row r="84" spans="2:23" x14ac:dyDescent="0.2">
      <c r="B84" s="26" t="s">
        <v>126</v>
      </c>
      <c r="D84" s="29">
        <f t="shared" ref="D84:W84" si="40">IF(AND(D83=0,ABS(D87-C87*D42/((1+D23/100)*(1+D41/100)))&lt;((C93*C87*D42/((1+D23/100)*(1+D41/100))+(D38*C87*C94*D42/((1+D23/100)*(1+D41/100)))))),1,0)</f>
        <v>0</v>
      </c>
      <c r="E84" s="29">
        <f t="shared" si="40"/>
        <v>0</v>
      </c>
      <c r="F84" s="29">
        <f t="shared" si="40"/>
        <v>0</v>
      </c>
      <c r="G84" s="29">
        <f t="shared" si="40"/>
        <v>0</v>
      </c>
      <c r="H84" s="29">
        <f t="shared" si="40"/>
        <v>0</v>
      </c>
      <c r="I84" s="29">
        <f t="shared" si="40"/>
        <v>0</v>
      </c>
      <c r="J84" s="29">
        <f t="shared" si="40"/>
        <v>0</v>
      </c>
      <c r="K84" s="29">
        <f t="shared" si="40"/>
        <v>0</v>
      </c>
      <c r="L84" s="29">
        <f t="shared" si="40"/>
        <v>0</v>
      </c>
      <c r="M84" s="29">
        <f t="shared" si="40"/>
        <v>0</v>
      </c>
      <c r="N84" s="29">
        <f t="shared" si="40"/>
        <v>0</v>
      </c>
      <c r="O84" s="29">
        <f t="shared" si="40"/>
        <v>0</v>
      </c>
      <c r="P84" s="29">
        <f t="shared" si="40"/>
        <v>0</v>
      </c>
      <c r="Q84" s="29">
        <f t="shared" si="40"/>
        <v>0</v>
      </c>
      <c r="R84" s="29">
        <f t="shared" si="40"/>
        <v>0</v>
      </c>
      <c r="S84" s="29">
        <f t="shared" si="40"/>
        <v>0</v>
      </c>
      <c r="T84" s="29">
        <f t="shared" si="40"/>
        <v>0</v>
      </c>
      <c r="U84" s="29">
        <f t="shared" si="40"/>
        <v>0</v>
      </c>
      <c r="V84" s="29">
        <f t="shared" si="40"/>
        <v>0</v>
      </c>
      <c r="W84" s="29">
        <f t="shared" si="40"/>
        <v>0</v>
      </c>
    </row>
    <row r="86" spans="2:23" x14ac:dyDescent="0.2">
      <c r="B86" s="51"/>
      <c r="C86" s="86">
        <v>2021</v>
      </c>
      <c r="D86" s="86">
        <v>2022</v>
      </c>
      <c r="E86" s="86">
        <v>2023</v>
      </c>
      <c r="F86" s="86">
        <v>2024</v>
      </c>
      <c r="G86" s="86">
        <v>2025</v>
      </c>
      <c r="H86" s="86">
        <v>2026</v>
      </c>
      <c r="I86" s="86">
        <v>2027</v>
      </c>
      <c r="J86" s="86">
        <v>2028</v>
      </c>
      <c r="K86" s="86">
        <v>2029</v>
      </c>
      <c r="L86" s="86">
        <v>2030</v>
      </c>
      <c r="M86" s="86">
        <v>2031</v>
      </c>
      <c r="N86" s="86">
        <v>2032</v>
      </c>
      <c r="O86" s="86">
        <v>2033</v>
      </c>
      <c r="P86" s="86">
        <v>2034</v>
      </c>
      <c r="Q86" s="86">
        <v>2035</v>
      </c>
      <c r="R86" s="86">
        <v>2036</v>
      </c>
      <c r="S86" s="86">
        <v>2037</v>
      </c>
      <c r="T86" s="86">
        <v>2038</v>
      </c>
      <c r="U86" s="86">
        <v>2039</v>
      </c>
      <c r="V86" s="86">
        <v>2040</v>
      </c>
      <c r="W86" s="86">
        <v>2041</v>
      </c>
    </row>
    <row r="87" spans="2:23" x14ac:dyDescent="0.2">
      <c r="B87" s="106" t="s">
        <v>104</v>
      </c>
      <c r="C87" s="110">
        <f>C56</f>
        <v>61.088839999999998</v>
      </c>
      <c r="D87" s="110">
        <f>D56</f>
        <v>57.741851922294835</v>
      </c>
      <c r="E87" s="110">
        <f>E56</f>
        <v>56.044964616339094</v>
      </c>
      <c r="F87" s="110">
        <f>F56</f>
        <v>58.478930381041359</v>
      </c>
      <c r="G87" s="110">
        <f>G56</f>
        <v>60.360385236635636</v>
      </c>
      <c r="H87" s="110">
        <f t="shared" ref="H87:W87" si="41">G87*(1+H101/100)*H42-H59-H60+H61+H62+H63+H64+H65+H71</f>
        <v>64.176847229776214</v>
      </c>
      <c r="I87" s="110">
        <f t="shared" si="41"/>
        <v>68.592848457517562</v>
      </c>
      <c r="J87" s="110">
        <f t="shared" si="41"/>
        <v>73.331462955674056</v>
      </c>
      <c r="K87" s="110">
        <f t="shared" si="41"/>
        <v>78.257194960217731</v>
      </c>
      <c r="L87" s="110">
        <f t="shared" si="41"/>
        <v>83.366265406447056</v>
      </c>
      <c r="M87" s="110">
        <f t="shared" si="41"/>
        <v>88.687699198199894</v>
      </c>
      <c r="N87" s="110">
        <f t="shared" si="41"/>
        <v>94.234631924839903</v>
      </c>
      <c r="O87" s="110">
        <f t="shared" si="41"/>
        <v>100.03923783631743</v>
      </c>
      <c r="P87" s="110">
        <f t="shared" si="41"/>
        <v>106.001869786626</v>
      </c>
      <c r="Q87" s="110">
        <f t="shared" si="41"/>
        <v>112.10842481121213</v>
      </c>
      <c r="R87" s="110">
        <f t="shared" si="41"/>
        <v>118.34061733192782</v>
      </c>
      <c r="S87" s="110">
        <f t="shared" si="41"/>
        <v>124.72844260655432</v>
      </c>
      <c r="T87" s="110">
        <f t="shared" si="41"/>
        <v>131.35377517542349</v>
      </c>
      <c r="U87" s="110">
        <f t="shared" si="41"/>
        <v>138.19910164733437</v>
      </c>
      <c r="V87" s="110">
        <f t="shared" si="41"/>
        <v>145.33130580695169</v>
      </c>
      <c r="W87" s="110">
        <f t="shared" si="41"/>
        <v>152.69740278032029</v>
      </c>
    </row>
    <row r="88" spans="2:23" x14ac:dyDescent="0.2">
      <c r="B88" s="26" t="s">
        <v>127</v>
      </c>
      <c r="C88" s="34"/>
      <c r="D88" s="254">
        <f>'Input data'!C66*$D$87</f>
        <v>52.315862681355021</v>
      </c>
      <c r="E88" s="34">
        <f t="shared" ref="E88:W88" si="42">IF(E87=0,0,IF(E83=1,D87*E42/((1+E23/100)*(1+E41/100))-E89-E90,IF(AND(E83=0,E84=1),(1-D93-E38*D94)*D87*E42/((1+E23/100)*(1+E41/100)),E87)))</f>
        <v>45.918787023684288</v>
      </c>
      <c r="F88" s="34">
        <f t="shared" si="42"/>
        <v>46.936801284818955</v>
      </c>
      <c r="G88" s="34">
        <f t="shared" si="42"/>
        <v>49.32612452232383</v>
      </c>
      <c r="H88" s="34">
        <f t="shared" si="42"/>
        <v>51.892667616726435</v>
      </c>
      <c r="I88" s="34">
        <f t="shared" si="42"/>
        <v>55.530003484719757</v>
      </c>
      <c r="J88" s="34">
        <f t="shared" si="42"/>
        <v>59.574597614315707</v>
      </c>
      <c r="K88" s="34">
        <f t="shared" si="42"/>
        <v>63.873403342875172</v>
      </c>
      <c r="L88" s="34">
        <f t="shared" si="42"/>
        <v>68.376777699179456</v>
      </c>
      <c r="M88" s="34">
        <f t="shared" si="42"/>
        <v>73.063405288070044</v>
      </c>
      <c r="N88" s="34">
        <f t="shared" si="42"/>
        <v>77.972767877090376</v>
      </c>
      <c r="O88" s="34">
        <f t="shared" si="42"/>
        <v>83.126672374168876</v>
      </c>
      <c r="P88" s="34">
        <f t="shared" si="42"/>
        <v>88.275565787224565</v>
      </c>
      <c r="Q88" s="34">
        <f t="shared" si="42"/>
        <v>93.56353534177525</v>
      </c>
      <c r="R88" s="34">
        <f t="shared" si="42"/>
        <v>98.978104688465663</v>
      </c>
      <c r="S88" s="34">
        <f t="shared" si="42"/>
        <v>104.52884095862173</v>
      </c>
      <c r="T88" s="34">
        <f t="shared" si="42"/>
        <v>110.28871398294194</v>
      </c>
      <c r="U88" s="34">
        <f t="shared" si="42"/>
        <v>116.26054387855314</v>
      </c>
      <c r="V88" s="34">
        <f t="shared" si="42"/>
        <v>122.44274919511057</v>
      </c>
      <c r="W88" s="34">
        <f t="shared" si="42"/>
        <v>128.84452463687066</v>
      </c>
    </row>
    <row r="89" spans="2:23" x14ac:dyDescent="0.2">
      <c r="B89" s="105" t="s">
        <v>128</v>
      </c>
      <c r="C89" s="34"/>
      <c r="D89" s="254">
        <f>'Input data'!C67*$D$87</f>
        <v>1.4670897947637904</v>
      </c>
      <c r="E89" s="34">
        <f t="shared" ref="E89:W89" si="43">IF(E87=0,0,IF(E83=1,E38*D87*D94*E42/((1+E23/100)*(1+E41/100)),IF(AND(E83=0,E84=1),(E38*D87*D94*E42/((1+E23/100)*(1+E41/100)))*(1-ABS(E87-D87*E42/((1+E23/100)*(1+E41/100)))/((E38*D87*D94*E42/((1+E23/100)*(1+E41/100)))+(D93*D87*E42/((1+E23/100)*(1+E41/100))))),0)))</f>
        <v>3.8289375982734368</v>
      </c>
      <c r="F89" s="34">
        <f t="shared" si="43"/>
        <v>3.6414445364952521</v>
      </c>
      <c r="G89" s="34">
        <f t="shared" si="43"/>
        <v>3.7080424123217322</v>
      </c>
      <c r="H89" s="34">
        <f t="shared" si="43"/>
        <v>3.7765867527430408</v>
      </c>
      <c r="I89" s="34">
        <f t="shared" si="43"/>
        <v>3.9087808416699401</v>
      </c>
      <c r="J89" s="34">
        <f t="shared" si="43"/>
        <v>4.0519405665324397</v>
      </c>
      <c r="K89" s="34">
        <f t="shared" si="43"/>
        <v>4.1932398031617391</v>
      </c>
      <c r="L89" s="34">
        <f t="shared" si="43"/>
        <v>4.3278634869112</v>
      </c>
      <c r="M89" s="34">
        <f t="shared" si="43"/>
        <v>4.4532034211812475</v>
      </c>
      <c r="N89" s="34">
        <f t="shared" si="43"/>
        <v>4.5704256114998669</v>
      </c>
      <c r="O89" s="34">
        <f t="shared" si="43"/>
        <v>4.6793441855372064</v>
      </c>
      <c r="P89" s="34">
        <f t="shared" si="43"/>
        <v>4.9691843026284319</v>
      </c>
      <c r="Q89" s="34">
        <f t="shared" si="43"/>
        <v>5.2668532563068142</v>
      </c>
      <c r="R89" s="34">
        <f t="shared" si="43"/>
        <v>5.5716487312847942</v>
      </c>
      <c r="S89" s="34">
        <f t="shared" si="43"/>
        <v>5.8841092779345168</v>
      </c>
      <c r="T89" s="34">
        <f t="shared" si="43"/>
        <v>6.2083424942536727</v>
      </c>
      <c r="U89" s="34">
        <f t="shared" si="43"/>
        <v>6.5445071295137378</v>
      </c>
      <c r="V89" s="34">
        <f t="shared" si="43"/>
        <v>6.8925141611391219</v>
      </c>
      <c r="W89" s="34">
        <f t="shared" si="43"/>
        <v>7.2528811749379765</v>
      </c>
    </row>
    <row r="90" spans="2:23" x14ac:dyDescent="0.2">
      <c r="B90" s="105" t="s">
        <v>129</v>
      </c>
      <c r="C90" s="34"/>
      <c r="D90" s="254">
        <f>'Input data'!C68*$D$87</f>
        <v>2.0088707189722039</v>
      </c>
      <c r="E90" s="34">
        <f t="shared" ref="E90:W90" si="44">IF(E87=0,0,IF(E83=1,(1-D94)*D87*E42/((1+E23/100)*(1+E41/100)),IF(AND(E83=0,E84=1),(D93*D87*E42/((1+E23/100)*(1+E41/100)))*(1-ABS(E87-D87*E42/((1+E23/100)*(1+E41/100)))/((E38*D87*D94*E42/((1+E23/100)*(1+E41/100)))+(D93*D87*E42/((1+E23/100)*(1+E41/100))))),0)))</f>
        <v>1.8581502566395298</v>
      </c>
      <c r="F90" s="34">
        <f t="shared" si="44"/>
        <v>1.8451657155057619</v>
      </c>
      <c r="G90" s="34">
        <f t="shared" si="44"/>
        <v>1.8793170434418307</v>
      </c>
      <c r="H90" s="34">
        <f t="shared" si="44"/>
        <v>1.9273095432009535</v>
      </c>
      <c r="I90" s="34">
        <f t="shared" si="44"/>
        <v>2.0078028780048367</v>
      </c>
      <c r="J90" s="34">
        <f t="shared" si="44"/>
        <v>2.1005201037881704</v>
      </c>
      <c r="K90" s="34">
        <f t="shared" si="44"/>
        <v>2.2006737068889106</v>
      </c>
      <c r="L90" s="34">
        <f t="shared" si="44"/>
        <v>2.3069166534888539</v>
      </c>
      <c r="M90" s="34">
        <f t="shared" si="44"/>
        <v>2.4185722137415135</v>
      </c>
      <c r="N90" s="34">
        <f t="shared" si="44"/>
        <v>2.5367316275280287</v>
      </c>
      <c r="O90" s="34">
        <f t="shared" si="44"/>
        <v>2.6620006577058657</v>
      </c>
      <c r="P90" s="34">
        <f t="shared" si="44"/>
        <v>2.7924768239435096</v>
      </c>
      <c r="Q90" s="34">
        <f t="shared" si="44"/>
        <v>2.9273712380813612</v>
      </c>
      <c r="R90" s="34">
        <f t="shared" si="44"/>
        <v>3.0663147822431052</v>
      </c>
      <c r="S90" s="34">
        <f t="shared" si="44"/>
        <v>3.2096261083589344</v>
      </c>
      <c r="T90" s="34">
        <f t="shared" si="44"/>
        <v>3.3594918575605819</v>
      </c>
      <c r="U90" s="34">
        <f t="shared" si="44"/>
        <v>3.5159272381729219</v>
      </c>
      <c r="V90" s="34">
        <f t="shared" si="44"/>
        <v>3.6788608298872609</v>
      </c>
      <c r="W90" s="34">
        <f t="shared" si="44"/>
        <v>3.8484248986301188</v>
      </c>
    </row>
    <row r="91" spans="2:23" x14ac:dyDescent="0.2">
      <c r="B91" s="105" t="s">
        <v>130</v>
      </c>
      <c r="C91" s="34"/>
      <c r="D91" s="254">
        <f>'Input data'!C69*$D$87</f>
        <v>1.8798137370264267</v>
      </c>
      <c r="E91" s="34">
        <f>IF(E87=0,0,IF(E83=1,'Input data'!$C$58*(E87-D87*E42/((1+E23/100)*(1+E41/100))),0))</f>
        <v>4.3246051694965022</v>
      </c>
      <c r="F91" s="34">
        <f>IF(F87=0,0,IF(F83=1,'Input data'!$C$58*(F87-E87*F42/((1+F23/100)*(1+F41/100))),0))</f>
        <v>5.8993464076770348</v>
      </c>
      <c r="G91" s="34">
        <f>IF(G87=0,0,IF(G83=1,'Input data'!$C$58*(G87-F87*G42/((1+G23/100)*(1+G41/100))),0))</f>
        <v>5.3064251304001591</v>
      </c>
      <c r="H91" s="34">
        <f>IF(H87=0,0,IF(H83=1,'Input data'!$C$58*(H87-G87*H42/((1+H23/100)*(1+H41/100))),0))</f>
        <v>6.4105771523292914</v>
      </c>
      <c r="I91" s="34">
        <f>IF(I87=0,0,IF(I83=1,'Input data'!$C$58*(I87-H87*I42/((1+I23/100)*(1+I41/100))),0))</f>
        <v>6.9619584607788605</v>
      </c>
      <c r="J91" s="34">
        <f>IF(J87=0,0,IF(J83=1,'Input data'!$C$58*(J87-I87*J42/((1+J23/100)*(1+J41/100))),0))</f>
        <v>7.4082863141312112</v>
      </c>
      <c r="K91" s="34">
        <f>IF(K87=0,0,IF(K83=1,'Input data'!$C$58*(K87-J87*K42/((1+K23/100)*(1+K41/100))),0))</f>
        <v>7.7838183519170316</v>
      </c>
      <c r="L91" s="34">
        <f>IF(L87=0,0,IF(L83=1,'Input data'!$C$58*(L87-K87*L42/((1+L23/100)*(1+L41/100))),0))</f>
        <v>8.1392388232472754</v>
      </c>
      <c r="M91" s="34">
        <f>IF(M87=0,0,IF(M83=1,'Input data'!$C$58*(M87-L87*M42/((1+M23/100)*(1+M41/100))),0))</f>
        <v>8.5267899536376763</v>
      </c>
      <c r="N91" s="34">
        <f>IF(N87=0,0,IF(N83=1,'Input data'!$C$58*(N87-M87*N42/((1+N23/100)*(1+N41/100))),0))</f>
        <v>8.9186060046540163</v>
      </c>
      <c r="O91" s="34">
        <f>IF(O87=0,0,IF(O83=1,'Input data'!$C$58*(O87-N87*O42/((1+O23/100)*(1+O41/100))),0))</f>
        <v>9.3243778820218512</v>
      </c>
      <c r="P91" s="34">
        <f>IF(P87=0,0,IF(P83=1,'Input data'!$C$58*(P87-O87*P42/((1+P23/100)*(1+P41/100))),0))</f>
        <v>9.7076537366749402</v>
      </c>
      <c r="Q91" s="34">
        <f>IF(Q87=0,0,IF(Q83=1,'Input data'!$C$58*(Q87-P87*Q42/((1+Q23/100)*(1+Q41/100))),0))</f>
        <v>10.083720290275698</v>
      </c>
      <c r="R91" s="34">
        <f>IF(R87=0,0,IF(R83=1,'Input data'!$C$58*(R87-Q87*R42/((1+R23/100)*(1+R41/100))),0))</f>
        <v>10.447961935418329</v>
      </c>
      <c r="S91" s="34">
        <f>IF(S87=0,0,IF(S83=1,'Input data'!$C$58*(S87-R87*S42/((1+S23/100)*(1+S41/100))),0))</f>
        <v>10.81944486016485</v>
      </c>
      <c r="T91" s="34">
        <f>IF(T87=0,0,IF(T83=1,'Input data'!$C$58*(T87-S87*T42/((1+T23/100)*(1+T41/100))),0))</f>
        <v>11.2007122107238</v>
      </c>
      <c r="U91" s="34">
        <f>IF(U87=0,0,IF(U83=1,'Input data'!$C$58*(U87-T87*U42/((1+U23/100)*(1+U41/100))),0))</f>
        <v>11.571785410768014</v>
      </c>
      <c r="V91" s="34">
        <f>IF(V87=0,0,IF(V83=1,'Input data'!$C$58*(V87-U87*V42/((1+V23/100)*(1+V41/100))),0))</f>
        <v>11.999520275095776</v>
      </c>
      <c r="W91" s="34">
        <f>IF(W87=0,0,IF(W83=1,'Input data'!$C$58*(W87-V87*W42/((1+W23/100)*(1+W41/100))),0))</f>
        <v>12.422707751042067</v>
      </c>
    </row>
    <row r="92" spans="2:23" x14ac:dyDescent="0.2">
      <c r="B92" s="107" t="s">
        <v>131</v>
      </c>
      <c r="C92" s="49"/>
      <c r="D92" s="255">
        <f>'Input data'!C70*$D$87</f>
        <v>7.0213790177552735E-2</v>
      </c>
      <c r="E92" s="49">
        <f>IF(E87=0,0,IF(E83=1,'Input data'!$C$57*(E87-D87*E42/((1+E23/100)*(1+E41/100))),0))</f>
        <v>0.11448456824533579</v>
      </c>
      <c r="F92" s="49">
        <f>IF(F87=0,0,IF(F83=1,'Input data'!$C$57*(F87-E87*F42/((1+F23/100)*(1+F41/100))),0))</f>
        <v>0.15617243654435403</v>
      </c>
      <c r="G92" s="49">
        <f>IF(G87=0,0,IF(G83=1,'Input data'!$C$57*(G87-F87*G42/((1+G23/100)*(1+G41/100))),0))</f>
        <v>0.14047612814808508</v>
      </c>
      <c r="H92" s="49">
        <f>IF(H87=0,0,IF(H83=1,'Input data'!$C$57*(H87-G87*H42/((1+H23/100)*(1+H41/100))),0))</f>
        <v>0.16970616477648981</v>
      </c>
      <c r="I92" s="49">
        <f>IF(I87=0,0,IF(I83=1,'Input data'!$C$57*(I87-H87*I42/((1+I23/100)*(1+I41/100))),0))</f>
        <v>0.18430279234416824</v>
      </c>
      <c r="J92" s="49">
        <f>IF(J87=0,0,IF(J83=1,'Input data'!$C$57*(J87-I87*J42/((1+J23/100)*(1+J41/100))),0))</f>
        <v>0.19611835690653046</v>
      </c>
      <c r="K92" s="49">
        <f>IF(K87=0,0,IF(K83=1,'Input data'!$C$57*(K87-J87*K42/((1+K23/100)*(1+K41/100))),0))</f>
        <v>0.20605975537486884</v>
      </c>
      <c r="L92" s="49">
        <f>IF(L87=0,0,IF(L83=1,'Input data'!$C$57*(L87-K87*L42/((1+L23/100)*(1+L41/100))),0))</f>
        <v>0.21546874362027069</v>
      </c>
      <c r="M92" s="49">
        <f>IF(M87=0,0,IF(M83=1,'Input data'!$C$57*(M87-L87*M42/((1+M23/100)*(1+M41/100))),0))</f>
        <v>0.22572832156941849</v>
      </c>
      <c r="N92" s="49">
        <f>IF(N87=0,0,IF(N83=1,'Input data'!$C$57*(N87-M87*N42/((1+N23/100)*(1+N41/100))),0))</f>
        <v>0.23610080406761164</v>
      </c>
      <c r="O92" s="49">
        <f>IF(O87=0,0,IF(O83=1,'Input data'!$C$57*(O87-N87*O42/((1+O23/100)*(1+O41/100))),0))</f>
        <v>0.24684273688363437</v>
      </c>
      <c r="P92" s="49">
        <f>IF(P87=0,0,IF(P83=1,'Input data'!$C$57*(P87-O87*P42/((1+P23/100)*(1+P41/100))),0))</f>
        <v>0.25698913615456009</v>
      </c>
      <c r="Q92" s="49">
        <f>IF(Q87=0,0,IF(Q83=1,'Input data'!$C$57*(Q87-P87*Q42/((1+Q23/100)*(1+Q41/100))),0))</f>
        <v>0.26694468477300354</v>
      </c>
      <c r="R92" s="49">
        <f>IF(R87=0,0,IF(R83=1,'Input data'!$C$57*(R87-Q87*R42/((1+R23/100)*(1+R41/100))),0))</f>
        <v>0.27658719451591718</v>
      </c>
      <c r="S92" s="49">
        <f>IF(S87=0,0,IF(S83=1,'Input data'!$C$57*(S87-R87*S42/((1+S23/100)*(1+S41/100))),0))</f>
        <v>0.28642140147429984</v>
      </c>
      <c r="T92" s="49">
        <f>IF(T87=0,0,IF(T83=1,'Input data'!$C$57*(T87-S87*T42/((1+T23/100)*(1+T41/100))),0))</f>
        <v>0.29651462994349359</v>
      </c>
      <c r="U92" s="49">
        <f>IF(U87=0,0,IF(U83=1,'Input data'!$C$57*(U87-T87*U42/((1+U23/100)*(1+U41/100))),0))</f>
        <v>0.30633799032656944</v>
      </c>
      <c r="V92" s="49">
        <f>IF(V87=0,0,IF(V83=1,'Input data'!$C$57*(V87-U87*V42/((1+V23/100)*(1+V41/100))),0))</f>
        <v>0.31766134571897447</v>
      </c>
      <c r="W92" s="49">
        <f>IF(W87=0,0,IF(W83=1,'Input data'!$C$57*(W87-V87*W42/((1+W23/100)*(1+W41/100))),0))</f>
        <v>0.32886431883945133</v>
      </c>
    </row>
    <row r="93" spans="2:23" x14ac:dyDescent="0.2">
      <c r="B93" s="26" t="s">
        <v>73</v>
      </c>
      <c r="C93" s="36"/>
      <c r="D93" s="36">
        <f>1-D94</f>
        <v>3.6006564388469831E-2</v>
      </c>
      <c r="E93" s="36">
        <f>IF(E87&lt;&gt;0,(E90+E92)/(E88+E89+E90+E91+E92),0)</f>
        <v>3.5197360519160226E-2</v>
      </c>
      <c r="F93" s="36">
        <f t="shared" ref="F93" si="45">IF(F87&lt;&gt;0,(F90+F92)/(F88+F89+F90+F91+F92),0)</f>
        <v>3.4223234573711389E-2</v>
      </c>
      <c r="G93" s="36">
        <f>IF(G87&lt;&gt;0,(G90+G92)/(G88+G89+G90+G91+G92),0)</f>
        <v>3.346223129079709E-2</v>
      </c>
      <c r="H93" s="36">
        <f>IF(H87&lt;&gt;0,(H90+H92)/(H88+H89+H90+H91+H92),0)</f>
        <v>3.2675580033861312E-2</v>
      </c>
      <c r="I93" s="36">
        <f t="shared" ref="I93:W93" si="46">IF(I87&lt;&gt;0,(I90+I92)/(I88+I89+I90+I91+I92),0)</f>
        <v>3.1958224795208323E-2</v>
      </c>
      <c r="J93" s="36">
        <f t="shared" si="46"/>
        <v>3.1318595976776394E-2</v>
      </c>
      <c r="K93" s="36">
        <f t="shared" si="46"/>
        <v>3.0754149359522143E-2</v>
      </c>
      <c r="L93" s="36">
        <f t="shared" si="46"/>
        <v>3.025666778776032E-2</v>
      </c>
      <c r="M93" s="36">
        <f>IF(M87&lt;&gt;0,(M90+M92)/(M88+M89+M90+M91+M92),0)</f>
        <v>2.9815865776396232E-2</v>
      </c>
      <c r="N93" s="36">
        <f t="shared" si="46"/>
        <v>2.9424770649151669E-2</v>
      </c>
      <c r="O93" s="36">
        <f t="shared" si="46"/>
        <v>2.9077024750517416E-2</v>
      </c>
      <c r="P93" s="36">
        <f t="shared" si="46"/>
        <v>2.8768039339649585E-2</v>
      </c>
      <c r="Q93" s="36">
        <f t="shared" si="46"/>
        <v>2.8493094325725436E-2</v>
      </c>
      <c r="R93" s="36">
        <f t="shared" si="46"/>
        <v>2.8248137048184227E-2</v>
      </c>
      <c r="S93" s="36">
        <f t="shared" si="46"/>
        <v>2.8029272528169297E-2</v>
      </c>
      <c r="T93" s="36">
        <f t="shared" si="46"/>
        <v>2.7833280639414162E-2</v>
      </c>
      <c r="U93" s="36">
        <f t="shared" si="46"/>
        <v>2.7657670584960825E-2</v>
      </c>
      <c r="V93" s="36">
        <f t="shared" si="46"/>
        <v>2.7499389435851805E-2</v>
      </c>
      <c r="W93" s="36">
        <f t="shared" si="46"/>
        <v>2.7356648779935513E-2</v>
      </c>
    </row>
    <row r="94" spans="2:23" x14ac:dyDescent="0.2">
      <c r="B94" s="35" t="s">
        <v>74</v>
      </c>
      <c r="C94" s="108"/>
      <c r="D94" s="108">
        <f>(D88+D89+D91)/D87</f>
        <v>0.96399343561153017</v>
      </c>
      <c r="E94" s="108">
        <f t="shared" ref="E94:F94" si="47">IF(E87&lt;&gt;0,(E88+E89+E91)/(E88+E89+E90+E91+E92),1)</f>
        <v>0.96480263948083966</v>
      </c>
      <c r="F94" s="108">
        <f t="shared" si="47"/>
        <v>0.96577676542628854</v>
      </c>
      <c r="G94" s="108">
        <f>IF(G87&lt;&gt;0,(G88+G89+G91)/(G88+G89+G90+G91+G92),1)</f>
        <v>0.96653776870920294</v>
      </c>
      <c r="H94" s="108">
        <f>IF(H87&lt;&gt;0,(H88+H89+H91)/(H88+H89+H90+H91+H92),1)</f>
        <v>0.9673244199661386</v>
      </c>
      <c r="I94" s="108">
        <f t="shared" ref="I94:W94" si="48">IF(I87&lt;&gt;0,(I88+I89+I91)/(I88+I89+I90+I91+I92),1)</f>
        <v>0.96804177520479162</v>
      </c>
      <c r="J94" s="108">
        <f t="shared" si="48"/>
        <v>0.96868140402322367</v>
      </c>
      <c r="K94" s="108">
        <f t="shared" si="48"/>
        <v>0.96924585064047797</v>
      </c>
      <c r="L94" s="108">
        <f t="shared" si="48"/>
        <v>0.96974333221223963</v>
      </c>
      <c r="M94" s="108">
        <f t="shared" si="48"/>
        <v>0.97018413422360372</v>
      </c>
      <c r="N94" s="108">
        <f t="shared" si="48"/>
        <v>0.97057522935084817</v>
      </c>
      <c r="O94" s="108">
        <f t="shared" si="48"/>
        <v>0.97092297524948268</v>
      </c>
      <c r="P94" s="108">
        <f t="shared" si="48"/>
        <v>0.97123196066035045</v>
      </c>
      <c r="Q94" s="108">
        <f t="shared" si="48"/>
        <v>0.97150690567427456</v>
      </c>
      <c r="R94" s="108">
        <f t="shared" si="48"/>
        <v>0.97175186295181581</v>
      </c>
      <c r="S94" s="108">
        <f t="shared" si="48"/>
        <v>0.97197072747183066</v>
      </c>
      <c r="T94" s="108">
        <f t="shared" si="48"/>
        <v>0.97216671936058585</v>
      </c>
      <c r="U94" s="108">
        <f t="shared" si="48"/>
        <v>0.97234232941503906</v>
      </c>
      <c r="V94" s="108">
        <f t="shared" si="48"/>
        <v>0.97250061056414838</v>
      </c>
      <c r="W94" s="108">
        <f t="shared" si="48"/>
        <v>0.97264335122006429</v>
      </c>
    </row>
    <row r="95" spans="2:23" x14ac:dyDescent="0.2">
      <c r="C95" s="36"/>
      <c r="D95" s="36"/>
      <c r="E95" s="253"/>
      <c r="F95" s="253"/>
      <c r="G95" s="253"/>
      <c r="H95" s="36"/>
      <c r="I95" s="36"/>
      <c r="J95" s="36"/>
      <c r="K95" s="36"/>
      <c r="L95" s="36"/>
      <c r="M95" s="36"/>
      <c r="N95" s="36"/>
      <c r="O95" s="36"/>
      <c r="P95" s="36"/>
      <c r="Q95" s="36"/>
      <c r="R95" s="36"/>
      <c r="S95" s="36"/>
      <c r="T95" s="36"/>
      <c r="U95" s="36"/>
      <c r="V95" s="36"/>
      <c r="W95" s="36"/>
    </row>
    <row r="96" spans="2:23" x14ac:dyDescent="0.2">
      <c r="B96" s="113" t="s">
        <v>132</v>
      </c>
      <c r="C96" s="115">
        <f>C35</f>
        <v>1.998502</v>
      </c>
      <c r="D96" s="115">
        <f>D35</f>
        <v>1.859802</v>
      </c>
      <c r="E96" s="115">
        <f>E98+E99</f>
        <v>2.2416550000000002</v>
      </c>
      <c r="F96" s="115">
        <f>F98+F99</f>
        <v>2.5392969999999999</v>
      </c>
      <c r="G96" s="115">
        <f>G98+G99</f>
        <v>2.7068880000000002</v>
      </c>
      <c r="H96" s="115">
        <f>H98+H99</f>
        <v>2.8787337358376499</v>
      </c>
      <c r="I96" s="115">
        <f t="shared" ref="I96:W96" si="49">I98+I99</f>
        <v>3.0367126720553643</v>
      </c>
      <c r="J96" s="115">
        <f t="shared" si="49"/>
        <v>3.1764247194228123</v>
      </c>
      <c r="K96" s="115">
        <f t="shared" si="49"/>
        <v>3.2993787030280424</v>
      </c>
      <c r="L96" s="115">
        <f t="shared" si="49"/>
        <v>3.4079243546978506</v>
      </c>
      <c r="M96" s="115">
        <f t="shared" si="49"/>
        <v>3.5046143323237393</v>
      </c>
      <c r="N96" s="115">
        <f t="shared" si="49"/>
        <v>3.5918584633797708</v>
      </c>
      <c r="O96" s="115">
        <f t="shared" si="49"/>
        <v>3.6713583741134883</v>
      </c>
      <c r="P96" s="115">
        <f t="shared" si="49"/>
        <v>3.7356958288166959</v>
      </c>
      <c r="Q96" s="115">
        <f t="shared" si="49"/>
        <v>3.7888527749488103</v>
      </c>
      <c r="R96" s="115">
        <f t="shared" si="49"/>
        <v>3.832630393214548</v>
      </c>
      <c r="S96" s="115">
        <f t="shared" si="49"/>
        <v>3.8685228415573074</v>
      </c>
      <c r="T96" s="115">
        <f t="shared" si="49"/>
        <v>3.8978080779544011</v>
      </c>
      <c r="U96" s="115">
        <f t="shared" si="49"/>
        <v>3.9215314846612181</v>
      </c>
      <c r="V96" s="115">
        <f t="shared" si="49"/>
        <v>3.9405415483505157</v>
      </c>
      <c r="W96" s="115">
        <f t="shared" si="49"/>
        <v>3.9556072684726096</v>
      </c>
    </row>
    <row r="97" spans="2:25" x14ac:dyDescent="0.2">
      <c r="B97" s="33" t="s">
        <v>133</v>
      </c>
      <c r="C97" s="1"/>
      <c r="D97" s="34"/>
      <c r="E97" s="266">
        <f>((E35*D87)-(E37*D90+D92))/(D88+D89+D91)</f>
        <v>2.200333886491177</v>
      </c>
      <c r="F97" s="266">
        <f>((F35*E87)-(F37*E90+E92))/(E88+E89+E91)</f>
        <v>2.507335867718449</v>
      </c>
      <c r="G97" s="266">
        <f>((G35*F87)-(G37*F90+F92))/(F88+F89+F91)</f>
        <v>2.7080308815681988</v>
      </c>
      <c r="H97" s="34">
        <f t="shared" ref="H97:W97" si="50">IF(G87&gt;0,(G97*G88+H36*(G91+G89))/(G88+G89+G91),H36)</f>
        <v>2.8812833564685159</v>
      </c>
      <c r="I97" s="34">
        <f t="shared" si="50"/>
        <v>3.0449179750123982</v>
      </c>
      <c r="J97" s="34">
        <f t="shared" si="50"/>
        <v>3.1894288643009774</v>
      </c>
      <c r="K97" s="34">
        <f t="shared" si="50"/>
        <v>3.3164542837923729</v>
      </c>
      <c r="L97" s="34">
        <f t="shared" si="50"/>
        <v>3.4284846657676029</v>
      </c>
      <c r="M97" s="34">
        <f t="shared" si="50"/>
        <v>3.5282005953226547</v>
      </c>
      <c r="N97" s="34">
        <f t="shared" si="50"/>
        <v>3.6181185770207276</v>
      </c>
      <c r="O97" s="34">
        <f t="shared" si="50"/>
        <v>3.7000159209672128</v>
      </c>
      <c r="P97" s="34">
        <f t="shared" si="50"/>
        <v>3.7670185611992624</v>
      </c>
      <c r="Q97" s="34">
        <f t="shared" si="50"/>
        <v>3.8224826607122973</v>
      </c>
      <c r="R97" s="34">
        <f t="shared" si="50"/>
        <v>3.8682781505548789</v>
      </c>
      <c r="S97" s="34">
        <f t="shared" si="50"/>
        <v>3.9059539377345054</v>
      </c>
      <c r="T97" s="34">
        <f t="shared" si="50"/>
        <v>3.9368322459499958</v>
      </c>
      <c r="U97" s="34">
        <f t="shared" si="50"/>
        <v>3.9619935757501703</v>
      </c>
      <c r="V97" s="34">
        <f t="shared" si="50"/>
        <v>3.9823144764121499</v>
      </c>
      <c r="W97" s="34">
        <f t="shared" si="50"/>
        <v>3.9985869709015636</v>
      </c>
    </row>
    <row r="98" spans="2:25" x14ac:dyDescent="0.2">
      <c r="B98" s="26" t="s">
        <v>134</v>
      </c>
      <c r="C98" s="34"/>
      <c r="D98" s="34"/>
      <c r="E98" s="266">
        <f>E35</f>
        <v>2.2416550000000002</v>
      </c>
      <c r="F98" s="266">
        <f>F35</f>
        <v>2.5392969999999999</v>
      </c>
      <c r="G98" s="266">
        <f>G35</f>
        <v>2.7068880000000002</v>
      </c>
      <c r="H98" s="34">
        <f t="shared" ref="H98:W98" si="51">(H97*(G88+G89+G91)+H37*(G90+G92))/G87</f>
        <v>2.8787337358376499</v>
      </c>
      <c r="I98" s="34">
        <f t="shared" si="51"/>
        <v>3.0367126720553643</v>
      </c>
      <c r="J98" s="34">
        <f t="shared" si="51"/>
        <v>3.1764247194228123</v>
      </c>
      <c r="K98" s="34">
        <f t="shared" si="51"/>
        <v>3.2993787030280424</v>
      </c>
      <c r="L98" s="34">
        <f t="shared" si="51"/>
        <v>3.4079243546978506</v>
      </c>
      <c r="M98" s="34">
        <f t="shared" si="51"/>
        <v>3.5046143323237393</v>
      </c>
      <c r="N98" s="34">
        <f t="shared" si="51"/>
        <v>3.5918584633797708</v>
      </c>
      <c r="O98" s="34">
        <f t="shared" si="51"/>
        <v>3.6713583741134883</v>
      </c>
      <c r="P98" s="34">
        <f t="shared" si="51"/>
        <v>3.7356958288166959</v>
      </c>
      <c r="Q98" s="34">
        <f t="shared" si="51"/>
        <v>3.7888527749488103</v>
      </c>
      <c r="R98" s="34">
        <f t="shared" si="51"/>
        <v>3.832630393214548</v>
      </c>
      <c r="S98" s="34">
        <f t="shared" si="51"/>
        <v>3.8685228415573074</v>
      </c>
      <c r="T98" s="34">
        <f t="shared" si="51"/>
        <v>3.8978080779544011</v>
      </c>
      <c r="U98" s="34">
        <f t="shared" si="51"/>
        <v>3.9215314846612181</v>
      </c>
      <c r="V98" s="34">
        <f t="shared" si="51"/>
        <v>3.9405415483505157</v>
      </c>
      <c r="W98" s="34">
        <f t="shared" si="51"/>
        <v>3.9556072684726096</v>
      </c>
    </row>
    <row r="99" spans="2:25" x14ac:dyDescent="0.2">
      <c r="B99" s="35" t="s">
        <v>135</v>
      </c>
      <c r="C99" s="114"/>
      <c r="D99" s="49"/>
      <c r="E99" s="49">
        <f t="shared" ref="E99:G99" si="52">E108</f>
        <v>0</v>
      </c>
      <c r="F99" s="49">
        <f t="shared" si="52"/>
        <v>0</v>
      </c>
      <c r="G99" s="49">
        <f t="shared" si="52"/>
        <v>0</v>
      </c>
      <c r="H99" s="49">
        <f>H108</f>
        <v>0</v>
      </c>
      <c r="I99" s="49">
        <f t="shared" ref="I99:W99" si="53">I108</f>
        <v>0</v>
      </c>
      <c r="J99" s="49">
        <f t="shared" si="53"/>
        <v>0</v>
      </c>
      <c r="K99" s="49">
        <f t="shared" si="53"/>
        <v>0</v>
      </c>
      <c r="L99" s="49">
        <f t="shared" si="53"/>
        <v>0</v>
      </c>
      <c r="M99" s="49">
        <f t="shared" si="53"/>
        <v>0</v>
      </c>
      <c r="N99" s="49">
        <f t="shared" si="53"/>
        <v>0</v>
      </c>
      <c r="O99" s="49">
        <f t="shared" si="53"/>
        <v>0</v>
      </c>
      <c r="P99" s="49">
        <f t="shared" si="53"/>
        <v>0</v>
      </c>
      <c r="Q99" s="49">
        <f t="shared" si="53"/>
        <v>0</v>
      </c>
      <c r="R99" s="49">
        <f t="shared" si="53"/>
        <v>0</v>
      </c>
      <c r="S99" s="49">
        <f t="shared" si="53"/>
        <v>0</v>
      </c>
      <c r="T99" s="49">
        <f t="shared" si="53"/>
        <v>0</v>
      </c>
      <c r="U99" s="49">
        <f t="shared" si="53"/>
        <v>0</v>
      </c>
      <c r="V99" s="49">
        <f t="shared" si="53"/>
        <v>0</v>
      </c>
      <c r="W99" s="49">
        <f t="shared" si="53"/>
        <v>0</v>
      </c>
    </row>
    <row r="100" spans="2:25" x14ac:dyDescent="0.2">
      <c r="G100" s="98"/>
      <c r="H100" s="98"/>
      <c r="I100" s="98"/>
      <c r="J100" s="98"/>
      <c r="K100" s="98"/>
      <c r="L100" s="98"/>
      <c r="M100" s="98"/>
      <c r="N100" s="98"/>
      <c r="O100" s="98"/>
      <c r="P100" s="98"/>
      <c r="Q100" s="98"/>
      <c r="R100" s="98"/>
      <c r="S100" s="98"/>
      <c r="T100" s="98"/>
      <c r="U100" s="98"/>
      <c r="V100" s="98"/>
      <c r="W100" s="98"/>
    </row>
    <row r="101" spans="2:25" x14ac:dyDescent="0.2">
      <c r="B101" s="113" t="s">
        <v>186</v>
      </c>
      <c r="C101" s="115">
        <f t="shared" ref="C101:W101" si="54">((1+C96/100)/((1+C23/100)*(1+C41/100))-1)*100</f>
        <v>-4.9152436462771121</v>
      </c>
      <c r="D101" s="115">
        <f t="shared" si="54"/>
        <v>-6.9724667820216695</v>
      </c>
      <c r="E101" s="115">
        <f t="shared" si="54"/>
        <v>-8.6231237887700161</v>
      </c>
      <c r="F101" s="115">
        <f t="shared" si="54"/>
        <v>-4.0866596646922932</v>
      </c>
      <c r="G101" s="115">
        <f t="shared" si="54"/>
        <v>-3.5551167595390676</v>
      </c>
      <c r="H101" s="115">
        <f t="shared" si="54"/>
        <v>-1.831945908881849</v>
      </c>
      <c r="I101" s="115">
        <f t="shared" si="54"/>
        <v>-1.3467531711331415</v>
      </c>
      <c r="J101" s="115">
        <f t="shared" si="54"/>
        <v>-1.1342576721543818</v>
      </c>
      <c r="K101" s="115">
        <f t="shared" si="54"/>
        <v>-1.0169730498412966</v>
      </c>
      <c r="L101" s="115">
        <f t="shared" si="54"/>
        <v>-0.88081354377106402</v>
      </c>
      <c r="M101" s="115">
        <f t="shared" si="54"/>
        <v>-0.75529912871621363</v>
      </c>
      <c r="N101" s="115">
        <f t="shared" si="54"/>
        <v>-0.62220983986509548</v>
      </c>
      <c r="O101" s="115">
        <f t="shared" si="54"/>
        <v>-0.4724479443790397</v>
      </c>
      <c r="P101" s="115">
        <f t="shared" si="54"/>
        <v>-0.41418972350524275</v>
      </c>
      <c r="Q101" s="115">
        <f t="shared" si="54"/>
        <v>-0.36665225242412669</v>
      </c>
      <c r="R101" s="115">
        <f t="shared" si="54"/>
        <v>-0.32810243471521616</v>
      </c>
      <c r="S101" s="115">
        <f t="shared" si="54"/>
        <v>-0.2725401263026006</v>
      </c>
      <c r="T101" s="115">
        <f t="shared" si="54"/>
        <v>-0.16044139144743008</v>
      </c>
      <c r="U101" s="115">
        <f t="shared" si="54"/>
        <v>-6.0203823924942501E-2</v>
      </c>
      <c r="V101" s="115">
        <f t="shared" si="54"/>
        <v>4.0882586687152056E-2</v>
      </c>
      <c r="W101" s="115">
        <f t="shared" si="54"/>
        <v>0.1033723285973398</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3" customFormat="1" ht="12.75" x14ac:dyDescent="0.2">
      <c r="B104" s="25" t="s">
        <v>136</v>
      </c>
    </row>
    <row r="105" spans="2:25" s="109" customFormat="1" ht="12.75" x14ac:dyDescent="0.2">
      <c r="C105" s="103"/>
      <c r="D105" s="103"/>
      <c r="E105" s="103"/>
      <c r="F105" s="103"/>
      <c r="G105" s="103"/>
      <c r="H105" s="103"/>
      <c r="I105" s="103"/>
      <c r="J105" s="103"/>
      <c r="K105" s="103"/>
      <c r="L105" s="103"/>
      <c r="M105" s="103"/>
      <c r="N105" s="103"/>
      <c r="O105" s="103"/>
      <c r="P105" s="103"/>
      <c r="Q105" s="103"/>
      <c r="R105" s="103"/>
      <c r="S105" s="103"/>
      <c r="T105" s="103"/>
      <c r="U105" s="103"/>
      <c r="V105" s="103"/>
      <c r="W105" s="103"/>
    </row>
    <row r="106" spans="2:25" x14ac:dyDescent="0.2">
      <c r="B106" s="120" t="s">
        <v>43</v>
      </c>
      <c r="C106" s="34">
        <v>61.088839999999998</v>
      </c>
      <c r="D106" s="34">
        <v>57.741860000000003</v>
      </c>
      <c r="E106" s="34">
        <v>56.044969999999999</v>
      </c>
      <c r="F106" s="34">
        <v>58.478929999999998</v>
      </c>
      <c r="G106" s="34">
        <v>60.360390000000002</v>
      </c>
      <c r="H106" s="34">
        <v>64.174499999999995</v>
      </c>
      <c r="I106" s="34">
        <v>68.588419999999999</v>
      </c>
      <c r="J106" s="34">
        <v>73.325180000000003</v>
      </c>
      <c r="K106" s="34">
        <v>78.249260000000007</v>
      </c>
      <c r="L106" s="34">
        <v>83.356859999999998</v>
      </c>
      <c r="M106" s="34">
        <v>88.676959999999994</v>
      </c>
      <c r="N106" s="34">
        <v>94.22269</v>
      </c>
      <c r="O106" s="34">
        <v>100.0262</v>
      </c>
      <c r="P106" s="34">
        <v>105.98779999999999</v>
      </c>
      <c r="Q106" s="34">
        <v>112.09350000000001</v>
      </c>
      <c r="R106" s="34">
        <v>118.3248</v>
      </c>
      <c r="S106" s="34">
        <v>124.7119</v>
      </c>
      <c r="T106" s="34">
        <v>131.3365</v>
      </c>
      <c r="U106" s="34">
        <v>138.18119999999999</v>
      </c>
      <c r="V106" s="34">
        <v>145.31290000000001</v>
      </c>
      <c r="W106" s="34">
        <v>152.67840000000001</v>
      </c>
    </row>
    <row r="107" spans="2:25" x14ac:dyDescent="0.2">
      <c r="B107" s="26" t="s">
        <v>132</v>
      </c>
      <c r="C107" s="34">
        <v>1.998502</v>
      </c>
      <c r="D107" s="34">
        <v>1.859802</v>
      </c>
      <c r="E107" s="34">
        <v>2.2416550000000002</v>
      </c>
      <c r="F107" s="34">
        <v>2.5392969999999999</v>
      </c>
      <c r="G107" s="34">
        <v>2.7068880000000002</v>
      </c>
      <c r="H107" s="34">
        <v>2.8746290000000001</v>
      </c>
      <c r="I107" s="34">
        <v>3.0332490000000001</v>
      </c>
      <c r="J107" s="34">
        <v>3.1735060000000002</v>
      </c>
      <c r="K107" s="34">
        <v>3.2969149999999998</v>
      </c>
      <c r="L107" s="34">
        <v>3.4058389999999998</v>
      </c>
      <c r="M107" s="34">
        <v>3.5028440000000001</v>
      </c>
      <c r="N107" s="34">
        <v>3.5903499999999999</v>
      </c>
      <c r="O107" s="34">
        <v>3.6700689999999998</v>
      </c>
      <c r="P107" s="34">
        <v>3.734591</v>
      </c>
      <c r="Q107" s="34">
        <v>3.7879040000000002</v>
      </c>
      <c r="R107" s="34">
        <v>3.8318150000000002</v>
      </c>
      <c r="S107" s="34">
        <v>3.8678210000000002</v>
      </c>
      <c r="T107" s="34">
        <v>3.8972030000000002</v>
      </c>
      <c r="U107" s="34">
        <v>3.9210090000000002</v>
      </c>
      <c r="V107" s="34">
        <v>3.9400900000000001</v>
      </c>
      <c r="W107" s="34">
        <v>3.9552160000000001</v>
      </c>
    </row>
    <row r="108" spans="2:25" x14ac:dyDescent="0.2">
      <c r="B108" s="26" t="s">
        <v>185</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spans="2:25" x14ac:dyDescent="0.2">
      <c r="B110" s="26" t="s">
        <v>96</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137</v>
      </c>
      <c r="C111" s="34">
        <v>3.8019160000000003E-2</v>
      </c>
      <c r="D111" s="34">
        <v>7.8597440000000005E-2</v>
      </c>
      <c r="E111" s="34">
        <v>5.9475470000000003E-2</v>
      </c>
      <c r="F111" s="34">
        <v>9.6876959999999998E-2</v>
      </c>
      <c r="G111" s="34">
        <v>0.11684023</v>
      </c>
      <c r="H111" s="34">
        <v>0.13811532000000001</v>
      </c>
      <c r="I111" s="34">
        <v>0.13659083</v>
      </c>
      <c r="J111" s="34">
        <v>0.14219135999999999</v>
      </c>
      <c r="K111" s="34">
        <v>0.1389396</v>
      </c>
      <c r="L111" s="34">
        <v>0.12512538000000001</v>
      </c>
      <c r="M111" s="34">
        <v>0.12849179999999999</v>
      </c>
      <c r="N111" s="34">
        <v>7.2085140000000006E-2</v>
      </c>
      <c r="O111" s="34">
        <v>6.8681389999999995E-2</v>
      </c>
      <c r="P111" s="34">
        <v>6.8049499999999999E-2</v>
      </c>
      <c r="Q111" s="34">
        <v>6.8080779999999994E-2</v>
      </c>
      <c r="R111" s="34">
        <v>6.7666320000000002E-2</v>
      </c>
      <c r="S111" s="34">
        <v>6.9220519999999994E-2</v>
      </c>
      <c r="T111" s="34">
        <v>6.6629789999999994E-2</v>
      </c>
      <c r="U111" s="34">
        <v>6.6434309999999996E-2</v>
      </c>
      <c r="V111" s="34">
        <v>6.6393380000000002E-2</v>
      </c>
      <c r="W111" s="34">
        <v>6.621254E-2</v>
      </c>
      <c r="X111" s="38"/>
    </row>
    <row r="112" spans="2:25" x14ac:dyDescent="0.2">
      <c r="B112" s="26" t="s">
        <v>138</v>
      </c>
      <c r="C112" s="34">
        <v>3.0337050000000001E-2</v>
      </c>
      <c r="D112" s="34">
        <v>3.594311E-2</v>
      </c>
      <c r="E112" s="34">
        <v>4.1166179999999997E-2</v>
      </c>
      <c r="F112" s="34">
        <v>1.594102E-2</v>
      </c>
      <c r="G112" s="34">
        <v>1.5850139999999999E-2</v>
      </c>
      <c r="H112" s="34">
        <v>3.7528779999999998E-2</v>
      </c>
      <c r="I112" s="34">
        <v>3.4050280000000002E-2</v>
      </c>
      <c r="J112" s="34">
        <v>4.734439E-2</v>
      </c>
      <c r="K112" s="34">
        <v>4.4075929999999999E-2</v>
      </c>
      <c r="L112" s="34">
        <v>5.08599E-2</v>
      </c>
      <c r="M112" s="34">
        <v>6.6237939999999995E-2</v>
      </c>
      <c r="N112" s="34">
        <v>6.0253769999999998E-2</v>
      </c>
      <c r="O112" s="34">
        <v>9.0030589999999994E-2</v>
      </c>
      <c r="P112" s="34">
        <v>7.2952390000000006E-2</v>
      </c>
      <c r="Q112" s="34">
        <v>7.7366660000000004E-2</v>
      </c>
      <c r="R112" s="34">
        <v>9.0839359999999994E-2</v>
      </c>
      <c r="S112" s="34">
        <v>9.9621100000000004E-2</v>
      </c>
      <c r="T112" s="34">
        <v>0.10965455</v>
      </c>
      <c r="U112" s="34">
        <v>9.8654409999999998E-2</v>
      </c>
      <c r="V112" s="34">
        <v>0.10313576000000001</v>
      </c>
      <c r="W112" s="34">
        <v>0.11073872999999999</v>
      </c>
      <c r="X112" s="34"/>
      <c r="Y112" s="98"/>
    </row>
    <row r="113" spans="2:24" x14ac:dyDescent="0.2">
      <c r="B113" s="26" t="s">
        <v>139</v>
      </c>
      <c r="C113" s="34">
        <v>1E-3</v>
      </c>
      <c r="D113" s="34">
        <v>7.5373060000000006E-2</v>
      </c>
      <c r="E113" s="34">
        <v>4.6882050000000001E-2</v>
      </c>
      <c r="F113" s="34">
        <v>5.4216720000000003E-2</v>
      </c>
      <c r="G113" s="34">
        <v>6.7343109999999998E-2</v>
      </c>
      <c r="H113" s="34">
        <v>7.3281109999999997E-2</v>
      </c>
      <c r="I113" s="34">
        <v>6.3735609999999998E-2</v>
      </c>
      <c r="J113" s="34">
        <v>7.1999019999999997E-2</v>
      </c>
      <c r="K113" s="34">
        <v>7.7920139999999999E-2</v>
      </c>
      <c r="L113" s="34">
        <v>7.3665930000000004E-2</v>
      </c>
      <c r="M113" s="34">
        <v>9.2833230000000003E-2</v>
      </c>
      <c r="N113" s="34">
        <v>9.7499160000000001E-2</v>
      </c>
      <c r="O113" s="34">
        <v>0.10431984</v>
      </c>
      <c r="P113" s="34">
        <v>7.7692949999999997E-2</v>
      </c>
      <c r="Q113" s="34">
        <v>8.1896739999999996E-2</v>
      </c>
      <c r="R113" s="34">
        <v>7.226059E-2</v>
      </c>
      <c r="S113" s="34">
        <v>7.2475159999999997E-2</v>
      </c>
      <c r="T113" s="34">
        <v>7.2704249999999998E-2</v>
      </c>
      <c r="U113" s="34">
        <v>7.292216E-2</v>
      </c>
      <c r="V113" s="34">
        <v>7.3112590000000005E-2</v>
      </c>
      <c r="W113" s="34">
        <v>7.3435849999999997E-2</v>
      </c>
      <c r="X113" s="38"/>
    </row>
    <row r="114" spans="2:24" x14ac:dyDescent="0.2">
      <c r="B114" s="26" t="s">
        <v>140</v>
      </c>
      <c r="C114" s="34">
        <v>8.3818409999999996E-2</v>
      </c>
      <c r="D114" s="34">
        <v>6.9391629999999996E-2</v>
      </c>
      <c r="E114" s="34">
        <v>4.6492409999999998E-2</v>
      </c>
      <c r="F114" s="34">
        <v>4.9193250000000001E-2</v>
      </c>
      <c r="G114" s="34">
        <v>5.6712739999999998E-2</v>
      </c>
      <c r="H114" s="34">
        <v>6.4011879999999993E-2</v>
      </c>
      <c r="I114" s="34">
        <v>6.4931299999999997E-2</v>
      </c>
      <c r="J114" s="34">
        <v>6.3912460000000004E-2</v>
      </c>
      <c r="K114" s="34">
        <v>6.1693610000000003E-2</v>
      </c>
      <c r="L114" s="34">
        <v>5.4426040000000002E-2</v>
      </c>
      <c r="M114" s="34">
        <v>8.556656E-2</v>
      </c>
      <c r="N114" s="34">
        <v>8.1653809999999993E-2</v>
      </c>
      <c r="O114" s="34">
        <v>7.5878589999999996E-2</v>
      </c>
      <c r="P114" s="34">
        <v>6.1356269999999997E-2</v>
      </c>
      <c r="Q114" s="34">
        <v>8.1797350000000005E-2</v>
      </c>
      <c r="R114" s="34">
        <v>8.4442320000000001E-2</v>
      </c>
      <c r="S114" s="34">
        <v>6.0270190000000001E-2</v>
      </c>
      <c r="T114" s="34">
        <v>7.2970759999999996E-2</v>
      </c>
      <c r="U114" s="34">
        <v>5.7315959999999999E-2</v>
      </c>
      <c r="V114" s="34">
        <v>6.0796679999999999E-2</v>
      </c>
      <c r="W114" s="34">
        <v>5.7293660000000003E-2</v>
      </c>
      <c r="X114" s="38"/>
    </row>
    <row r="115" spans="2:24" x14ac:dyDescent="0.2">
      <c r="C115" s="38"/>
      <c r="D115" s="38"/>
      <c r="E115" s="34"/>
      <c r="F115" s="34"/>
      <c r="G115" s="38"/>
      <c r="H115" s="118"/>
      <c r="I115" s="118"/>
      <c r="J115" s="118"/>
      <c r="K115" s="118"/>
      <c r="L115" s="118"/>
      <c r="M115" s="118"/>
      <c r="N115" s="118"/>
      <c r="O115" s="118"/>
      <c r="P115" s="118"/>
      <c r="Q115" s="118"/>
      <c r="R115" s="118"/>
      <c r="S115" s="118"/>
      <c r="T115" s="118"/>
      <c r="U115" s="118"/>
      <c r="V115" s="118"/>
      <c r="W115" s="118"/>
      <c r="X115" s="38"/>
    </row>
    <row r="116" spans="2:24"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2:24" x14ac:dyDescent="0.2">
      <c r="D117" s="259"/>
      <c r="E117" s="259"/>
      <c r="F117" s="259"/>
      <c r="G117" s="259"/>
    </row>
    <row r="118" spans="2:24" x14ac:dyDescent="0.2">
      <c r="D118" s="259"/>
      <c r="E118" s="259"/>
      <c r="F118" s="259"/>
      <c r="G118" s="259"/>
      <c r="H118" s="259"/>
      <c r="I118" s="259"/>
      <c r="J118" s="259"/>
      <c r="K118" s="259"/>
      <c r="L118" s="259"/>
      <c r="M118" s="259"/>
      <c r="N118" s="259"/>
      <c r="O118" s="259"/>
      <c r="P118" s="259"/>
      <c r="Q118" s="259"/>
      <c r="R118" s="259"/>
      <c r="S118" s="259"/>
      <c r="T118" s="259"/>
      <c r="U118" s="121"/>
      <c r="V118" s="121"/>
      <c r="W118" s="121"/>
    </row>
    <row r="119" spans="2:24" x14ac:dyDescent="0.2">
      <c r="E119" s="34"/>
      <c r="F119" s="34"/>
      <c r="G119" s="121"/>
      <c r="H119" s="121"/>
      <c r="I119" s="121"/>
      <c r="J119" s="121"/>
      <c r="K119" s="121"/>
      <c r="L119" s="121"/>
      <c r="M119" s="121"/>
      <c r="N119" s="121"/>
      <c r="O119" s="121"/>
      <c r="P119" s="121"/>
      <c r="Q119" s="121"/>
      <c r="R119" s="121"/>
      <c r="S119" s="121"/>
      <c r="T119" s="121"/>
      <c r="U119" s="121"/>
      <c r="V119" s="121"/>
      <c r="W119" s="121"/>
      <c r="X119" s="121"/>
    </row>
    <row r="120" spans="2:24" x14ac:dyDescent="0.2">
      <c r="G120" s="121"/>
      <c r="H120" s="121"/>
      <c r="I120" s="121"/>
      <c r="J120" s="121"/>
      <c r="K120" s="121"/>
      <c r="L120" s="121"/>
      <c r="M120" s="121"/>
      <c r="N120" s="121"/>
      <c r="O120" s="121"/>
      <c r="P120" s="121"/>
      <c r="Q120" s="121"/>
      <c r="R120" s="121"/>
      <c r="S120" s="121"/>
      <c r="T120" s="121"/>
      <c r="U120" s="121"/>
      <c r="V120" s="121"/>
      <c r="W120" s="121"/>
      <c r="X120" s="121"/>
    </row>
    <row r="121" spans="2:24" x14ac:dyDescent="0.2">
      <c r="E121" s="34"/>
      <c r="F121" s="98"/>
      <c r="G121" s="98"/>
      <c r="H121" s="98"/>
      <c r="I121" s="98"/>
      <c r="J121" s="98"/>
      <c r="K121" s="98"/>
      <c r="L121" s="98"/>
      <c r="M121" s="98"/>
      <c r="N121" s="98"/>
      <c r="O121" s="98"/>
      <c r="P121" s="98"/>
      <c r="Q121" s="98"/>
      <c r="R121" s="98"/>
      <c r="S121" s="98"/>
      <c r="T121" s="98"/>
      <c r="U121" s="98"/>
      <c r="V121" s="98"/>
      <c r="W121" s="98"/>
      <c r="X121" s="121"/>
    </row>
    <row r="122" spans="2:24" x14ac:dyDescent="0.2">
      <c r="E122" s="34"/>
      <c r="F122" s="34"/>
      <c r="G122" s="121"/>
      <c r="H122" s="121"/>
      <c r="I122" s="121"/>
      <c r="J122" s="121"/>
      <c r="K122" s="121"/>
      <c r="L122" s="121"/>
      <c r="M122" s="121"/>
      <c r="N122" s="121"/>
      <c r="O122" s="121"/>
      <c r="P122" s="121"/>
      <c r="Q122" s="121"/>
      <c r="R122" s="121"/>
      <c r="S122" s="121"/>
      <c r="T122" s="121"/>
      <c r="U122" s="121"/>
      <c r="V122" s="121"/>
      <c r="W122" s="121"/>
      <c r="X122" s="121"/>
    </row>
    <row r="123" spans="2:24" x14ac:dyDescent="0.2">
      <c r="G123" s="121"/>
      <c r="H123" s="121"/>
      <c r="I123" s="121"/>
      <c r="J123" s="121"/>
      <c r="K123" s="121"/>
      <c r="L123" s="121"/>
      <c r="M123" s="121"/>
      <c r="N123" s="121"/>
      <c r="O123" s="121"/>
      <c r="P123" s="121"/>
      <c r="Q123" s="121"/>
      <c r="R123" s="121"/>
      <c r="S123" s="121"/>
      <c r="T123" s="121"/>
      <c r="U123" s="121"/>
      <c r="V123" s="121"/>
      <c r="W123" s="121"/>
      <c r="X123" s="121"/>
    </row>
  </sheetData>
  <conditionalFormatting sqref="U10:W43 U45:W52 U82:W103 U105:W129 U54:W8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35"/>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-4.222766</v>
      </c>
      <c r="D12" s="2">
        <f>'Input data'!D13</f>
        <v>-0.85058520000000004</v>
      </c>
      <c r="E12" s="2">
        <f>'Input data'!E13</f>
        <v>-3.5136029999999998</v>
      </c>
      <c r="F12" s="2">
        <f>'Input data'!F13</f>
        <v>-4.2628820000000003</v>
      </c>
      <c r="G12" s="3">
        <f>IF(G10&lt;=$C$6,
IF(AND(F87=1,F77&lt;=-3.05,'Criteria results'!$F$6&lt;0.5),F12+0.5,
IF(AND(F78&lt;=-1.55,'Criteria results'!$F$5=4,'Criteria results'!$F$6&lt;0.4),F12+0.4,
IF(AND(F78&lt;=-1.55,'Criteria results'!$F$5=7,'Criteria results'!$F$6&lt;0.25),F12+0.25,
F12+'Criteria results'!$F$6))),F12)</f>
        <v>-2.9628820000000005</v>
      </c>
      <c r="H12" s="3">
        <f>IF(H10&lt;=$C$6,
IF(AND(G87=1,G77&lt;=-3.05,'Criteria results'!$F$6&lt;0.5),G12+0.5,
IF(AND(G78&lt;=-1.55,'Criteria results'!$F$5=4,'Criteria results'!$F$6&lt;0.4),G12+0.4,
IF(AND(G78&lt;=-1.55,'Criteria results'!$F$5=7,'Criteria results'!$F$6&lt;0.25),G12+0.25,
G12+'Criteria results'!$F$6))),G12)</f>
        <v>-1.6628820000000004</v>
      </c>
      <c r="I12" s="3">
        <f>IF(I10&lt;=$C$6,
IF(AND(H87=1,H77&lt;=-3.05,'Criteria results'!$F$6&lt;0.5),H12+0.5,
IF(AND(H78&lt;=-1.55,'Criteria results'!$F$5=4,'Criteria results'!$F$6&lt;0.4),H12+0.4,
IF(AND(H78&lt;=-1.55,'Criteria results'!$F$5=7,'Criteria results'!$F$6&lt;0.25),H12+0.25,
H12+'Criteria results'!$F$6))),H12)</f>
        <v>-0.36288200000000037</v>
      </c>
      <c r="J12" s="3">
        <f>IF(J10&lt;=$C$6,
IF(AND(I87=1,I77&lt;=-3.05,'Criteria results'!$F$6&lt;0.5+J91),I12+0.5+J91,
IF(AND(I78&lt;=-1.55,'Criteria results'!$F$5=4,'Criteria results'!$F$6&lt;0.4),I12+0.4,
IF(AND(I78&lt;=-1.55,'Criteria results'!$F$5=7,'Criteria results'!$F$6&lt;0.25),I12+0.25,
I12+'Criteria results'!$F$6))),I12)</f>
        <v>0.93711799999999967</v>
      </c>
      <c r="K12" s="119">
        <f>IF(K10&lt;=$C$6,
IF(AND(J87=1,J77&lt;=-3.05,'Criteria results'!$F$6&lt;0.5+K91),J12+0.5+K91,
IF(AND(J78&lt;=-1.55,'Criteria results'!$F$5=4,'Criteria results'!$F$6&lt;0.4),J12+0.4,
IF(AND(J78&lt;=-1.55,'Criteria results'!$F$5=7,'Criteria results'!$F$6&lt;0.25),J12+0.25,
J12+'Criteria results'!$F$6))),J12)</f>
        <v>0.93711799999999967</v>
      </c>
      <c r="L12" s="119">
        <f>IF(L10&lt;=$C$6,
IF(AND(K87=1,K77&lt;=-3.05,'Criteria results'!$F$6&lt;0.5+L91),K12+0.5+L91,
IF(AND(K78&lt;=-1.55,'Criteria results'!$F$5=4,'Criteria results'!$F$6&lt;0.4),K12+0.4,
IF(AND(K78&lt;=-1.55,'Criteria results'!$F$5=7,'Criteria results'!$F$6&lt;0.25),K12+0.25,
K12+'Criteria results'!$F$6))),K12)</f>
        <v>0.93711799999999967</v>
      </c>
      <c r="M12" s="119">
        <f>IF(M10&lt;=$C$6,
IF(AND(L87=1,L77&lt;=-3.05,'Criteria results'!$F$6&lt;0.5+M91),L12+0.5+M91,
IF(AND(L78&lt;=-1.55,'Criteria results'!$F$5=4,'Criteria results'!$F$6&lt;0.4),L12+0.4,
IF(AND(L78&lt;=-1.55,'Criteria results'!$F$5=7,'Criteria results'!$F$6&lt;0.25),L12+0.25,
L12+'Criteria results'!$F$6))),L12)</f>
        <v>0.93711799999999967</v>
      </c>
      <c r="N12" s="119">
        <f>M12</f>
        <v>0.93711799999999967</v>
      </c>
      <c r="O12" s="119">
        <f t="shared" ref="O12:W12" si="0">N12</f>
        <v>0.93711799999999967</v>
      </c>
      <c r="P12" s="119">
        <f t="shared" si="0"/>
        <v>0.93711799999999967</v>
      </c>
      <c r="Q12" s="119">
        <f t="shared" si="0"/>
        <v>0.93711799999999967</v>
      </c>
      <c r="R12" s="119">
        <f t="shared" si="0"/>
        <v>0.93711799999999967</v>
      </c>
      <c r="S12" s="119">
        <f t="shared" si="0"/>
        <v>0.93711799999999967</v>
      </c>
      <c r="T12" s="119">
        <f t="shared" si="0"/>
        <v>0.93711799999999967</v>
      </c>
      <c r="U12" s="119">
        <f t="shared" si="0"/>
        <v>0.93711799999999967</v>
      </c>
      <c r="V12" s="119">
        <f t="shared" si="0"/>
        <v>0.93711799999999967</v>
      </c>
      <c r="W12" s="119">
        <f t="shared" si="0"/>
        <v>0.93711799999999967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1.2999999999999998</v>
      </c>
      <c r="H13" s="263">
        <f t="shared" ref="H13:W13" si="1">H12-G12</f>
        <v>1.3</v>
      </c>
      <c r="I13" s="263">
        <f t="shared" si="1"/>
        <v>1.3</v>
      </c>
      <c r="J13" s="263">
        <f t="shared" si="1"/>
        <v>1.3</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1.0478270000000001</v>
      </c>
      <c r="D15" s="2">
        <f>'Input data'!D15</f>
        <v>0.27736460000000002</v>
      </c>
      <c r="E15" s="2">
        <f>'Input data'!E15</f>
        <v>-0.45438450000000002</v>
      </c>
      <c r="F15" s="2">
        <f>'Input data'!F15</f>
        <v>0.2</v>
      </c>
      <c r="G15" s="2">
        <f>'Input data'!G15</f>
        <v>-0.6</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18.962240000000001</v>
      </c>
      <c r="E18" s="101">
        <f>'Input data'!E20</f>
        <v>20.503689999999999</v>
      </c>
      <c r="F18" s="101">
        <f>'Input data'!F20</f>
        <v>20.335599999999999</v>
      </c>
      <c r="G18" s="101">
        <f>'Input data'!G20</f>
        <v>20.668779999999998</v>
      </c>
      <c r="H18" s="101">
        <f>'Input data'!H20</f>
        <v>21.016960000000001</v>
      </c>
      <c r="I18" s="101">
        <f>'Input data'!I20</f>
        <v>21.357330000000001</v>
      </c>
      <c r="J18" s="101">
        <f>'Input data'!J20</f>
        <v>21.584160000000001</v>
      </c>
      <c r="K18" s="101">
        <f>'Input data'!K20</f>
        <v>21.737720000000003</v>
      </c>
      <c r="L18" s="101">
        <f>'Input data'!L20</f>
        <v>21.863299999999999</v>
      </c>
      <c r="M18" s="101">
        <f>'Input data'!M20</f>
        <v>22.01473</v>
      </c>
      <c r="N18" s="101">
        <f>'Input data'!N20</f>
        <v>22.161089999999998</v>
      </c>
      <c r="O18" s="101">
        <f>'Input data'!O20</f>
        <v>22.310850000000002</v>
      </c>
      <c r="P18" s="101">
        <f>'Input data'!P20</f>
        <v>22.436720000000001</v>
      </c>
      <c r="Q18" s="101">
        <f>'Input data'!Q20</f>
        <v>22.553650000000001</v>
      </c>
      <c r="R18" s="101">
        <f>'Input data'!R20</f>
        <v>22.657159999999998</v>
      </c>
      <c r="S18" s="101">
        <f>'Input data'!S20</f>
        <v>22.766190000000002</v>
      </c>
      <c r="T18" s="101">
        <f>'Input data'!T20</f>
        <v>22.879989999999999</v>
      </c>
      <c r="U18" s="101">
        <f>'Input data'!U20</f>
        <v>22.977649999999997</v>
      </c>
      <c r="V18" s="101">
        <f>'Input data'!V20</f>
        <v>23.127649999999999</v>
      </c>
      <c r="W18" s="101">
        <f>'Input data'!W20</f>
        <v>23.266509999999997</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0.75515319999999997</v>
      </c>
      <c r="D19" s="101">
        <f>'Input data'!D26</f>
        <v>0.6825677</v>
      </c>
      <c r="E19" s="101">
        <f>'Input data'!E26</f>
        <v>0.68126889999999996</v>
      </c>
      <c r="F19" s="101">
        <f>'Input data'!F26</f>
        <v>0.67997019999999997</v>
      </c>
      <c r="G19" s="101">
        <f>'Input data'!G26</f>
        <v>0.67867149999999998</v>
      </c>
      <c r="H19" s="101">
        <f>'Input data'!H26</f>
        <v>0.6773728</v>
      </c>
      <c r="I19" s="101">
        <f>'Input data'!I26</f>
        <v>0.67607399999999995</v>
      </c>
      <c r="J19" s="101">
        <f>'Input data'!J26</f>
        <v>0.67477529999999997</v>
      </c>
      <c r="K19" s="101">
        <f>'Input data'!K26</f>
        <v>0.67347659999999998</v>
      </c>
      <c r="L19" s="101">
        <f>'Input data'!L26</f>
        <v>0.67217789999999999</v>
      </c>
      <c r="M19" s="101">
        <f>'Input data'!M26</f>
        <v>0.67087909999999995</v>
      </c>
      <c r="N19" s="101">
        <f>'Input data'!N26</f>
        <v>0.66958050000000002</v>
      </c>
      <c r="O19" s="101">
        <f>'Input data'!O26</f>
        <v>0.66828169999999998</v>
      </c>
      <c r="P19" s="101">
        <f>'Input data'!P26</f>
        <v>0.66698299999999999</v>
      </c>
      <c r="Q19" s="101">
        <f>'Input data'!Q26</f>
        <v>0.66568430000000001</v>
      </c>
      <c r="R19" s="101">
        <f>'Input data'!R26</f>
        <v>0.66438569999999997</v>
      </c>
      <c r="S19" s="101">
        <f>'Input data'!S26</f>
        <v>0.66308699999999998</v>
      </c>
      <c r="T19" s="101">
        <f>'Input data'!T26</f>
        <v>0.66178820000000005</v>
      </c>
      <c r="U19" s="101">
        <f>'Input data'!U26</f>
        <v>0.66048960000000001</v>
      </c>
      <c r="V19" s="101">
        <f>'Input data'!V26</f>
        <v>0.65919090000000002</v>
      </c>
      <c r="W19" s="101">
        <f>'Input data'!W26</f>
        <v>0.65789220000000004</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90.819270000000003</v>
      </c>
      <c r="D23" s="100">
        <f>'Baseline NFPC'!D22</f>
        <v>92.517623952129895</v>
      </c>
      <c r="E23" s="100">
        <f>'Baseline NFPC'!E22</f>
        <v>93.99462526041863</v>
      </c>
      <c r="F23" s="100">
        <f>'Baseline NFPC'!F22</f>
        <v>96.088680759497848</v>
      </c>
      <c r="G23" s="34">
        <f>IF(AND(G50&gt;1,F50&gt;1),IF(AND(G50&gt;0,F50&gt;0),G27*(G51/100+1),0)+IF(G50&gt;0,F23*(1+G52/100),0)-F23*(1+'Input data'!G30/100),IF(G50=1,G27,F23*(1+G52/100)))</f>
        <v>98.246123394892152</v>
      </c>
      <c r="H23" s="34">
        <f>IF(AND(H50&gt;1,G50&gt;1),IF(AND(H50&gt;0,G50&gt;0),H27*(H51/100+1),0)+IF(H50&gt;0,G23*(1+H52/100),0)-G23*(1+'Input data'!H30/100),IF(H50=1,H27,G23*(1+H52/100)))</f>
        <v>99.230952445979725</v>
      </c>
      <c r="I23" s="34">
        <f>IF(AND(I50&gt;1,H50&gt;1),IF(AND(I50&gt;0,H50&gt;0),I27*(I51/100+1),0)+IF(I50&gt;0,H23*(1+I52/100),0)-H23*(1+'Input data'!I30/100),IF(I50=1,I27,H23*(1+I52/100)))</f>
        <v>100.19884884789428</v>
      </c>
      <c r="J23" s="34">
        <f>IF(AND(J50&gt;1,I50&gt;1),IF(AND(J50&gt;0,I50&gt;0),J27*(J51/100+1),0)+IF(J50&gt;0,I23*(1+J52/100),0)-I23*(1+'Input data'!J30/100),IF(J50=1,J27,I23*(1+J52/100)))</f>
        <v>101.30452937245487</v>
      </c>
      <c r="K23" s="34">
        <f>IF(AND(K50&gt;1,J50&gt;1),IF(AND(K50&gt;0,J50&gt;0),K27*(K51/100+1),0)+IF(K50&gt;0,J23*(1+K52/100),0)-J23*(1+'Input data'!K30/100),IF(K50=1,K27,J23*(1+K52/100)))</f>
        <v>103.57011110097454</v>
      </c>
      <c r="L23" s="34">
        <f>IF(AND(L50&gt;1,K50&gt;1),IF(AND(L50&gt;0,K50&gt;0),L27*(L51/100+1),0)+IF(L50&gt;0,K23*(1+L52/100),0)-K23*(1+'Input data'!L30/100),IF(L50=1,L27,K23*(1+L52/100)))</f>
        <v>105.92575691893687</v>
      </c>
      <c r="M23" s="34">
        <f>IF(AND(M50&gt;1,L50&gt;1),IF(AND(M50&gt;0,L50&gt;0),M27*(M51/100+1),0)+IF(M50&gt;0,L23*(1+M52/100),0)-L23*(1+'Input data'!M30/100),IF(M50=1,M27,L23*(1+M52/100)))</f>
        <v>108.37474768731215</v>
      </c>
      <c r="N23" s="34">
        <f>IF(AND(N50&gt;1,M50&gt;1),IF(AND(N50&gt;0,M50&gt;0),N27*(N51/100+1),0)+IF(N50&gt;0,M23*(1+N52/100),0)-M23*(1+'Input data'!N30/100),IF(N50=1,N27,M23*(1+N52/100)))</f>
        <v>110.07796413821846</v>
      </c>
      <c r="O23" s="34">
        <f>IF(AND(O50&gt;1,N50&gt;1),IF(AND(O50&gt;0,N50&gt;0),O27*(O51/100+1),0)+IF(O50&gt;0,N23*(1+O52/100),0)-N23*(1+'Input data'!O30/100),IF(O50=1,O27,N23*(1+O52/100)))</f>
        <v>111.80988239166496</v>
      </c>
      <c r="P23" s="34">
        <f>IF(AND(P50&gt;1,O50&gt;1),IF(AND(P50&gt;0,O50&gt;0),P27*(P51/100+1),0)+IF(P50&gt;0,O23*(1+P52/100),0)-O23*(1+'Input data'!P30/100),IF(P50=1,P27,O23*(1+P52/100)))</f>
        <v>113.60351416301556</v>
      </c>
      <c r="Q23" s="34">
        <f>IF(AND(Q50&gt;1,P50&gt;1),IF(AND(Q50&gt;0,P50&gt;0),Q27*(Q51/100+1),0)+IF(Q50&gt;0,P23*(1+Q52/100),0)-P23*(1+'Input data'!Q30/100),IF(Q50=1,Q27,P23*(1+Q52/100)))</f>
        <v>115.46093616372144</v>
      </c>
      <c r="R23" s="34">
        <f>IF(AND(R50&gt;1,Q50&gt;1),IF(AND(R50&gt;0,Q50&gt;0),R27*(R51/100+1),0)+IF(R50&gt;0,Q23*(1+R52/100),0)-Q23*(1+'Input data'!R30/100),IF(R50=1,R27,Q23*(1+R52/100)))</f>
        <v>117.38431330357076</v>
      </c>
      <c r="S23" s="34">
        <f>IF(AND(S50&gt;1,R50&gt;1),IF(AND(S50&gt;0,R50&gt;0),S27*(S51/100+1),0)+IF(S50&gt;0,R23*(1+S52/100),0)-R23*(1+'Input data'!S30/100),IF(S50=1,S27,R23*(1+S52/100)))</f>
        <v>119.34650126785131</v>
      </c>
      <c r="T23" s="34">
        <f>IF(AND(T50&gt;1,S50&gt;1),IF(AND(T50&gt;0,S50&gt;0),T27*(T51/100+1),0)+IF(T50&gt;0,S23*(1+T52/100),0)-S23*(1+'Input data'!T30/100),IF(T50=1,T27,S23*(1+T52/100)))</f>
        <v>121.27197685259118</v>
      </c>
      <c r="U23" s="34">
        <f>IF(AND(U50&gt;1,T50&gt;1),IF(AND(U50&gt;0,T50&gt;0),U27*(U51/100+1),0)+IF(U50&gt;0,T23*(1+U52/100),0)-T23*(1+'Input data'!U30/100),IF(U50=1,U27,T23*(1+U52/100)))</f>
        <v>123.16610324281574</v>
      </c>
      <c r="V23" s="34">
        <f>IF(AND(V50&gt;1,U50&gt;1),IF(AND(V50&gt;0,U50&gt;0),V27*(V51/100+1),0)+IF(V50&gt;0,U23*(1+V52/100),0)-U23*(1+'Input data'!V30/100),IF(V50=1,V27,U23*(1+V52/100)))</f>
        <v>125.01985532448582</v>
      </c>
      <c r="W23" s="34">
        <f>IF(AND(W50&gt;1,V50&gt;1),IF(AND(W50&gt;0,V50&gt;0),W27*(W51/100+1),0)+IF(W50&gt;0,V23*(1+W52/100),0)-V23*(1+'Input data'!W30/100),IF(W50=1,W27,V23*(1+W52/100)))</f>
        <v>126.87475866535401</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4.7712199999999996</v>
      </c>
      <c r="D24" s="100">
        <f>'Baseline NFPC'!D23</f>
        <v>1.8700369999999999</v>
      </c>
      <c r="E24" s="100">
        <f>'Baseline NFPC'!E23</f>
        <v>1.596454</v>
      </c>
      <c r="F24" s="100">
        <f>'Baseline NFPC'!F23</f>
        <v>2.227846</v>
      </c>
      <c r="G24" s="34">
        <f t="shared" ref="G24:S24" si="2">100*(G23/F23-1)</f>
        <v>2.2452619999999923</v>
      </c>
      <c r="H24" s="34">
        <f t="shared" si="2"/>
        <v>1.0024100870923203</v>
      </c>
      <c r="I24" s="34">
        <f t="shared" si="2"/>
        <v>0.97539767386740639</v>
      </c>
      <c r="J24" s="34">
        <f t="shared" si="2"/>
        <v>1.1034862548561231</v>
      </c>
      <c r="K24" s="34">
        <f t="shared" si="2"/>
        <v>2.2364071404843866</v>
      </c>
      <c r="L24" s="34">
        <f t="shared" si="2"/>
        <v>2.2744455836932742</v>
      </c>
      <c r="M24" s="34">
        <f t="shared" si="2"/>
        <v>2.31198798064709</v>
      </c>
      <c r="N24" s="34">
        <f t="shared" si="2"/>
        <v>1.5715989999999902</v>
      </c>
      <c r="O24" s="34">
        <f t="shared" si="2"/>
        <v>1.5733559999999924</v>
      </c>
      <c r="P24" s="34">
        <f t="shared" si="2"/>
        <v>1.6041799999999995</v>
      </c>
      <c r="Q24" s="34">
        <f t="shared" si="2"/>
        <v>1.6350040000000066</v>
      </c>
      <c r="R24" s="34">
        <f t="shared" si="2"/>
        <v>1.6658250000000097</v>
      </c>
      <c r="S24" s="34">
        <f t="shared" si="2"/>
        <v>1.6715929999999934</v>
      </c>
      <c r="T24" s="34">
        <f>100*(T23/S23-1)</f>
        <v>1.6133490000000084</v>
      </c>
      <c r="U24" s="34">
        <f t="shared" ref="U24" si="3">100*(U23/T23-1)</f>
        <v>1.5618829999999972</v>
      </c>
      <c r="V24" s="34">
        <f t="shared" ref="V24" si="4">100*(V23/U23-1)</f>
        <v>1.5050830000000071</v>
      </c>
      <c r="W24" s="34">
        <f t="shared" ref="W24" si="5">100*(W23/V23-1)</f>
        <v>1.4836869999999891</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90.493570000000005</v>
      </c>
      <c r="D27" s="100">
        <f>+C27*(1+'Input data'!D33/100)</f>
        <v>91.997178581434795</v>
      </c>
      <c r="E27" s="100">
        <f>+D27*(1+'Input data'!E33/100)</f>
        <v>94.548125107645475</v>
      </c>
      <c r="F27" s="100">
        <f>+E27*(1+'Input data'!F33/100)</f>
        <v>96.752617701986594</v>
      </c>
      <c r="G27" s="34">
        <f>+F27*(1+'Input data'!G33/100)</f>
        <v>99.08699810259391</v>
      </c>
      <c r="H27" s="34">
        <f>+G27*(1+'Input data'!H33/100)</f>
        <v>100.75889401244896</v>
      </c>
      <c r="I27" s="34">
        <f>+H27*(1+'Input data'!I33/100)</f>
        <v>102.19954266386108</v>
      </c>
      <c r="J27" s="34">
        <f>+I27*(1+'Input data'!J33/100)</f>
        <v>103.63398478482823</v>
      </c>
      <c r="K27" s="34">
        <f>+J27*(1+'Input data'!K33/100)</f>
        <v>105.14573517447842</v>
      </c>
      <c r="L27" s="34">
        <f>+K27*(1+'Input data'!L33/100)</f>
        <v>106.72540474436042</v>
      </c>
      <c r="M27" s="34">
        <f>+L27*(1+'Input data'!M33/100)</f>
        <v>108.37474768731215</v>
      </c>
      <c r="N27" s="34">
        <f>+M27*(1+'Input data'!N33/100)</f>
        <v>110.07796197072352</v>
      </c>
      <c r="O27" s="34">
        <f>+N27*(1+'Input data'!O33/100)</f>
        <v>111.80988129084724</v>
      </c>
      <c r="P27" s="34">
        <f>+O27*(1+'Input data'!P33/100)</f>
        <v>113.60351304453876</v>
      </c>
      <c r="Q27" s="34">
        <f>+P27*(1+'Input data'!Q33/100)</f>
        <v>115.46093616299262</v>
      </c>
      <c r="R27" s="34">
        <f>+Q27*(1+'Input data'!R33/100)</f>
        <v>117.38431676665788</v>
      </c>
      <c r="S27" s="34">
        <f>+R27*(1+'Input data'!S33/100)</f>
        <v>119.34650244114083</v>
      </c>
      <c r="T27" s="34">
        <f>+S27*(1+'Input data'!T33/100)</f>
        <v>121.27197446441488</v>
      </c>
      <c r="U27" s="34">
        <f>+T27*(1+'Input data'!U33/100)</f>
        <v>123.16609839189944</v>
      </c>
      <c r="V27" s="34">
        <f>+U27*(1+'Input data'!V33/100)</f>
        <v>125.01984916889819</v>
      </c>
      <c r="W27" s="34">
        <f>+V27*(1+'Input data'!W33/100)</f>
        <v>126.87475616903221</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0.35991507462904693</v>
      </c>
      <c r="D30" s="100">
        <f t="shared" ref="D30:T30" si="6">100*(D23/D27-1)</f>
        <v>0.56571883912115428</v>
      </c>
      <c r="E30" s="100">
        <f t="shared" si="6"/>
        <v>-0.5854159948668225</v>
      </c>
      <c r="F30" s="100">
        <f t="shared" si="6"/>
        <v>-0.68622116719754267</v>
      </c>
      <c r="G30" s="34">
        <f t="shared" si="6"/>
        <v>-0.84862264858516223</v>
      </c>
      <c r="H30" s="34">
        <f t="shared" si="6"/>
        <v>-1.5164334438609983</v>
      </c>
      <c r="I30" s="34">
        <f t="shared" si="6"/>
        <v>-1.9576348032663615</v>
      </c>
      <c r="J30" s="34">
        <f t="shared" si="6"/>
        <v>-2.2477717297177513</v>
      </c>
      <c r="K30" s="34">
        <f t="shared" si="6"/>
        <v>-1.4985144864784972</v>
      </c>
      <c r="L30" s="34">
        <f t="shared" si="6"/>
        <v>-0.74925724323926524</v>
      </c>
      <c r="M30" s="34">
        <f>100*(M23/M27-1)</f>
        <v>0</v>
      </c>
      <c r="N30" s="34">
        <f t="shared" si="6"/>
        <v>1.9690543862083132E-6</v>
      </c>
      <c r="O30" s="34">
        <f t="shared" si="6"/>
        <v>9.8454420172089385E-7</v>
      </c>
      <c r="P30" s="34">
        <f t="shared" si="6"/>
        <v>9.8454420172089385E-7</v>
      </c>
      <c r="Q30" s="34">
        <f t="shared" si="6"/>
        <v>6.31228402880879E-10</v>
      </c>
      <c r="R30" s="34">
        <f t="shared" si="6"/>
        <v>-2.9502127740776984E-6</v>
      </c>
      <c r="S30" s="34">
        <f t="shared" si="6"/>
        <v>-9.8309501650462039E-7</v>
      </c>
      <c r="T30" s="34">
        <f t="shared" si="6"/>
        <v>1.9692730335307829E-6</v>
      </c>
      <c r="U30" s="34">
        <f t="shared" ref="U30:W30" si="7">100*(U23/U27-1)</f>
        <v>3.9385158467908354E-6</v>
      </c>
      <c r="V30" s="34">
        <f t="shared" si="7"/>
        <v>4.9236882571079832E-6</v>
      </c>
      <c r="W30" s="34">
        <f t="shared" si="7"/>
        <v>1.9675480578129623E-6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8">100*((1+C24/100)*(1+C42/100)-1)</f>
        <v>7.2711398876150302</v>
      </c>
      <c r="D33" s="2">
        <f t="shared" si="8"/>
        <v>9.4942523750750851</v>
      </c>
      <c r="E33" s="2">
        <f t="shared" si="8"/>
        <v>11.890074643889781</v>
      </c>
      <c r="F33" s="2">
        <f>100*((1+F24/100)*(1+F42/100)-1)</f>
        <v>6.908274325060848</v>
      </c>
      <c r="G33" s="1">
        <f>100*((1+G24/100)*(1+G42/100)-1)</f>
        <v>5.486920425489239</v>
      </c>
      <c r="H33" s="1">
        <f t="shared" si="8"/>
        <v>4.1263276427603968</v>
      </c>
      <c r="I33" s="1">
        <f t="shared" si="8"/>
        <v>4.020164123957759</v>
      </c>
      <c r="J33" s="1">
        <f t="shared" si="8"/>
        <v>4.0737000507737653</v>
      </c>
      <c r="K33" s="1">
        <f t="shared" si="8"/>
        <v>5.1606101738051358</v>
      </c>
      <c r="L33" s="1">
        <f t="shared" si="8"/>
        <v>5.1204134413573854</v>
      </c>
      <c r="M33" s="1">
        <f t="shared" si="8"/>
        <v>5.0796482394493747</v>
      </c>
      <c r="N33" s="1">
        <f t="shared" si="8"/>
        <v>4.2404528179328826</v>
      </c>
      <c r="O33" s="1">
        <f t="shared" si="8"/>
        <v>4.1634765780000027</v>
      </c>
      <c r="P33" s="1">
        <f t="shared" si="8"/>
        <v>4.1671454405000086</v>
      </c>
      <c r="Q33" s="1">
        <f t="shared" si="8"/>
        <v>4.170797349800015</v>
      </c>
      <c r="R33" s="1">
        <f t="shared" si="8"/>
        <v>4.1744292318750098</v>
      </c>
      <c r="S33" s="1">
        <f t="shared" si="8"/>
        <v>4.1523798691999847</v>
      </c>
      <c r="T33" s="1">
        <f t="shared" si="8"/>
        <v>4.0647710446249929</v>
      </c>
      <c r="U33" s="1">
        <f>100*((1+U24/100)*(1+U42/100)-1)</f>
        <v>3.9841339095499917</v>
      </c>
      <c r="V33" s="1">
        <f t="shared" si="8"/>
        <v>3.8980653317249869</v>
      </c>
      <c r="W33" s="1">
        <f t="shared" si="8"/>
        <v>3.8482569071000006</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1.998502</v>
      </c>
      <c r="D36" s="100">
        <f>'Input data'!D37</f>
        <v>1.859802</v>
      </c>
      <c r="E36" s="100">
        <f>'Input data'!E37</f>
        <v>2.2416550000000002</v>
      </c>
      <c r="F36" s="100">
        <f>'Input data'!F37</f>
        <v>2.5392969999999999</v>
      </c>
      <c r="G36" s="100">
        <f>'Input data'!G37</f>
        <v>2.7068880000000002</v>
      </c>
      <c r="H36" s="34">
        <f t="shared" ref="H36:W36" si="9">H109</f>
        <v>2.8542031799392458</v>
      </c>
      <c r="I36" s="34">
        <f t="shared" si="9"/>
        <v>2.979782618905352</v>
      </c>
      <c r="J36" s="34">
        <f t="shared" si="9"/>
        <v>3.0791222957454929</v>
      </c>
      <c r="K36" s="34">
        <f t="shared" si="9"/>
        <v>3.1566440765560015</v>
      </c>
      <c r="L36" s="34">
        <f t="shared" si="9"/>
        <v>3.2286592210948779</v>
      </c>
      <c r="M36" s="34">
        <f t="shared" si="9"/>
        <v>3.2953481883418272</v>
      </c>
      <c r="N36" s="34">
        <f t="shared" si="9"/>
        <v>3.3575047340298072</v>
      </c>
      <c r="O36" s="34">
        <f t="shared" si="9"/>
        <v>3.4191568536493411</v>
      </c>
      <c r="P36" s="34">
        <f t="shared" si="9"/>
        <v>3.4750845207263823</v>
      </c>
      <c r="Q36" s="34">
        <f t="shared" si="9"/>
        <v>3.5273893585872655</v>
      </c>
      <c r="R36" s="34">
        <f t="shared" si="9"/>
        <v>3.5759582955698113</v>
      </c>
      <c r="S36" s="34">
        <f t="shared" si="9"/>
        <v>3.6206940749993275</v>
      </c>
      <c r="T36" s="34">
        <f t="shared" si="9"/>
        <v>3.6617175585238386</v>
      </c>
      <c r="U36" s="34">
        <f t="shared" si="9"/>
        <v>3.6991422585042391</v>
      </c>
      <c r="V36" s="34">
        <f t="shared" si="9"/>
        <v>3.7329565657267412</v>
      </c>
      <c r="W36" s="34">
        <f t="shared" si="9"/>
        <v>3.7635848067053392</v>
      </c>
    </row>
    <row r="37" spans="2:51" x14ac:dyDescent="0.2">
      <c r="B37" s="32" t="s">
        <v>94</v>
      </c>
      <c r="C37" s="1"/>
      <c r="D37" s="2">
        <f>'Input data'!D$39</f>
        <v>2.0699999999999998</v>
      </c>
      <c r="E37" s="2">
        <f>'Input data'!E$39</f>
        <v>3.65</v>
      </c>
      <c r="F37" s="166">
        <f>'Input data'!F$39</f>
        <v>3.6707719999999999</v>
      </c>
      <c r="G37" s="166">
        <f>'Input data'!G$39</f>
        <v>3.780141</v>
      </c>
      <c r="H37" s="1">
        <f>G37+($O$37-$G$37)/($O$10-$G$10)</f>
        <v>3.8293008749999999</v>
      </c>
      <c r="I37" s="1">
        <f t="shared" ref="I37:N37" si="10">H37+($O$37-$G$37)/($O$10-$G$10)</f>
        <v>3.8784607499999999</v>
      </c>
      <c r="J37" s="1">
        <f t="shared" si="10"/>
        <v>3.9276206249999999</v>
      </c>
      <c r="K37" s="1">
        <f t="shared" si="10"/>
        <v>3.9767804999999998</v>
      </c>
      <c r="L37" s="1">
        <f t="shared" si="10"/>
        <v>4.0259403750000002</v>
      </c>
      <c r="M37" s="1">
        <f t="shared" si="10"/>
        <v>4.0751002500000002</v>
      </c>
      <c r="N37" s="1">
        <f t="shared" si="10"/>
        <v>4.1242601250000002</v>
      </c>
      <c r="O37" s="252">
        <f>'Input data'!$C$52</f>
        <v>4.1734200000000001</v>
      </c>
      <c r="P37" s="1">
        <f>'Baseline NFPC'!P36</f>
        <v>4.1647490000000005</v>
      </c>
      <c r="Q37" s="1">
        <f>'Baseline NFPC'!Q36</f>
        <v>4.1560779999999999</v>
      </c>
      <c r="R37" s="1">
        <f>'Baseline NFPC'!R36</f>
        <v>4.1474070000000003</v>
      </c>
      <c r="S37" s="1">
        <f>'Baseline NFPC'!S36</f>
        <v>4.1387359999999997</v>
      </c>
      <c r="T37" s="1">
        <f>'Baseline NFPC'!T36</f>
        <v>4.1300650000000001</v>
      </c>
      <c r="U37" s="1">
        <f>'Baseline NFPC'!U36</f>
        <v>4.1213940000000004</v>
      </c>
      <c r="V37" s="1">
        <f>'Baseline NFPC'!V36</f>
        <v>4.1127229999999999</v>
      </c>
      <c r="W37" s="1">
        <f>'Baseline NFPC'!W36</f>
        <v>4.1040520000000003</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11">H38+($O$38-$G$38)/($O$10-$G$10)</f>
        <v>2.7938037499999995</v>
      </c>
      <c r="J38" s="1">
        <f t="shared" si="11"/>
        <v>2.7825181249999993</v>
      </c>
      <c r="K38" s="1">
        <f t="shared" si="11"/>
        <v>2.7712324999999991</v>
      </c>
      <c r="L38" s="1">
        <f t="shared" si="11"/>
        <v>2.7599468749999989</v>
      </c>
      <c r="M38" s="1">
        <f t="shared" si="11"/>
        <v>2.7486612499999987</v>
      </c>
      <c r="N38" s="1">
        <f t="shared" si="11"/>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2.7338669999999999E-2</v>
      </c>
      <c r="D39" s="34">
        <f>'Baseline NFPC'!D38</f>
        <v>2.727796E-2</v>
      </c>
      <c r="E39" s="34">
        <f>'Baseline NFPC'!E38</f>
        <v>7.6967090000000002E-2</v>
      </c>
      <c r="F39" s="34">
        <f>'Baseline NFPC'!F38</f>
        <v>7.1996260000000006E-2</v>
      </c>
      <c r="G39" s="34">
        <f>'Baseline NFPC'!G38</f>
        <v>6.9917991111111119E-2</v>
      </c>
      <c r="H39" s="34">
        <f>'Baseline NFPC'!H38</f>
        <v>6.7839722222222232E-2</v>
      </c>
      <c r="I39" s="34">
        <f>'Baseline NFPC'!I38</f>
        <v>6.5761453333333331E-2</v>
      </c>
      <c r="J39" s="34">
        <f>'Baseline NFPC'!J38</f>
        <v>6.3683184444444443E-2</v>
      </c>
      <c r="K39" s="34">
        <f>'Baseline NFPC'!K38</f>
        <v>6.1604915555555556E-2</v>
      </c>
      <c r="L39" s="34">
        <f>'Baseline NFPC'!L38</f>
        <v>5.9526646666666669E-2</v>
      </c>
      <c r="M39" s="34">
        <f>'Baseline NFPC'!M38</f>
        <v>5.7448377777777782E-2</v>
      </c>
      <c r="N39" s="34">
        <f>'Baseline NFPC'!N38</f>
        <v>5.5370108888888894E-2</v>
      </c>
      <c r="O39" s="34">
        <f>'Baseline NFPC'!O38</f>
        <v>5.329184E-2</v>
      </c>
      <c r="P39" s="34">
        <f>'Baseline NFPC'!P38</f>
        <v>5.329184E-2</v>
      </c>
      <c r="Q39" s="34">
        <f>'Baseline NFPC'!Q38</f>
        <v>5.329184E-2</v>
      </c>
      <c r="R39" s="34">
        <f>'Baseline NFPC'!R38</f>
        <v>5.329184E-2</v>
      </c>
      <c r="S39" s="34">
        <f>'Baseline NFPC'!S38</f>
        <v>5.329184E-2</v>
      </c>
      <c r="T39" s="34">
        <f>'Baseline NFPC'!T38</f>
        <v>5.329184E-2</v>
      </c>
      <c r="U39" s="34">
        <f>'Baseline NFPC'!U38</f>
        <v>5.329184E-2</v>
      </c>
      <c r="V39" s="34">
        <f>'Baseline NFPC'!V38</f>
        <v>5.329184E-2</v>
      </c>
      <c r="W39" s="34">
        <f>'Baseline NFPC'!W38</f>
        <v>5.329184E-2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2.3860749999999999</v>
      </c>
      <c r="D42" s="2">
        <f>'Input data'!D42</f>
        <v>7.4842570000000004</v>
      </c>
      <c r="E42" s="2">
        <f>'Input data'!E42</f>
        <v>10.131869999999999</v>
      </c>
      <c r="F42" s="2">
        <f>'Input data'!F42</f>
        <v>4.5784279999999997</v>
      </c>
      <c r="G42" s="2">
        <f>'Input data'!G42</f>
        <v>3.1704729999999999</v>
      </c>
      <c r="H42" s="1">
        <f>'Baseline NFPC'!H41</f>
        <v>3.0929138749999998</v>
      </c>
      <c r="I42" s="1">
        <f>'Baseline NFPC'!I41</f>
        <v>3.0153547499999998</v>
      </c>
      <c r="J42" s="1">
        <f>'Baseline NFPC'!J41</f>
        <v>2.9377956249999997</v>
      </c>
      <c r="K42" s="1">
        <f>'Baseline NFPC'!K41</f>
        <v>2.8602365000000001</v>
      </c>
      <c r="L42" s="1">
        <f>'Baseline NFPC'!L41</f>
        <v>2.782677375</v>
      </c>
      <c r="M42" s="1">
        <f>'Baseline NFPC'!M41</f>
        <v>2.7051182499999999</v>
      </c>
      <c r="N42" s="1">
        <f>'Baseline NFPC'!N41</f>
        <v>2.6275591249999999</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0.38100000000000001</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12">IF(C50=4,2/3*C30,IF(C50=3,1/3*B30,0))</f>
        <v>0</v>
      </c>
      <c r="E51" s="34">
        <f t="shared" si="12"/>
        <v>0</v>
      </c>
      <c r="F51" s="34">
        <f t="shared" si="12"/>
        <v>0</v>
      </c>
      <c r="G51" s="34">
        <f t="shared" si="12"/>
        <v>0</v>
      </c>
      <c r="H51" s="34">
        <f t="shared" si="12"/>
        <v>-0.56574843239010808</v>
      </c>
      <c r="I51" s="34">
        <f t="shared" si="12"/>
        <v>-1.0109556292406654</v>
      </c>
      <c r="J51" s="34">
        <f t="shared" si="12"/>
        <v>-1.3050898688442409</v>
      </c>
      <c r="K51" s="34">
        <f t="shared" si="12"/>
        <v>-1.4985144864785007</v>
      </c>
      <c r="L51" s="34">
        <f t="shared" si="12"/>
        <v>-0.74925724323925036</v>
      </c>
      <c r="M51" s="34">
        <f t="shared" si="12"/>
        <v>0</v>
      </c>
      <c r="N51" s="34">
        <f t="shared" si="12"/>
        <v>0</v>
      </c>
      <c r="O51" s="34">
        <f t="shared" si="12"/>
        <v>0</v>
      </c>
      <c r="P51" s="34">
        <f t="shared" si="12"/>
        <v>0</v>
      </c>
      <c r="Q51" s="34">
        <f t="shared" si="12"/>
        <v>0</v>
      </c>
      <c r="R51" s="34">
        <f t="shared" si="12"/>
        <v>0</v>
      </c>
      <c r="S51" s="34">
        <f t="shared" si="12"/>
        <v>0</v>
      </c>
      <c r="T51" s="34">
        <f t="shared" si="12"/>
        <v>0</v>
      </c>
      <c r="U51" s="34">
        <f t="shared" si="12"/>
        <v>0</v>
      </c>
      <c r="V51" s="34">
        <f t="shared" si="12"/>
        <v>0</v>
      </c>
      <c r="W51" s="34">
        <f t="shared" si="12"/>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1.8700369999999999</v>
      </c>
      <c r="E52" s="34">
        <f>'Input data'!E30-$C$47*((E12-D12)-('Input data'!E13-'Input data'!D13))</f>
        <v>1.596454</v>
      </c>
      <c r="F52" s="34">
        <f>'Input data'!F30-$C$47*((F12-E12)-('Input data'!F13-'Input data'!E13))</f>
        <v>2.227846</v>
      </c>
      <c r="G52" s="34">
        <f>'Input data'!G30-$C$47*((G12-F12))</f>
        <v>2.2452620000000003</v>
      </c>
      <c r="H52" s="34">
        <f>'Input data'!H30-$C$47*((H12-G12))</f>
        <v>0.67950099999999991</v>
      </c>
      <c r="I52" s="34">
        <f>'Input data'!I30-$C$47*((I12-H12))</f>
        <v>0.41115400000000002</v>
      </c>
      <c r="J52" s="34">
        <f>'Input data'!J30-$C$47*((J12-I12))</f>
        <v>0.40674899999999981</v>
      </c>
      <c r="K52" s="34">
        <f>'Input data'!K30-$C$47*((K12-J12))</f>
        <v>1.458739</v>
      </c>
      <c r="L52" s="34">
        <f>'Input data'!L30-$C$47*((L12-K12))</f>
        <v>1.5023660000000001</v>
      </c>
      <c r="M52" s="34">
        <f>'Input data'!M30-$C$47*((M12-L12))</f>
        <v>1.54541</v>
      </c>
      <c r="N52" s="34">
        <f>'Input data'!N30-$C$47*((N12-M12))</f>
        <v>1.571599</v>
      </c>
      <c r="O52" s="34">
        <f>'Input data'!O30-$C$47*((O12-N12))</f>
        <v>1.573356</v>
      </c>
      <c r="P52" s="34">
        <f>'Input data'!P30-$C$47*((P12-O12))</f>
        <v>1.6041799999999999</v>
      </c>
      <c r="Q52" s="34">
        <f>'Input data'!Q30-$C$47*((Q12-P12))</f>
        <v>1.6350039999999999</v>
      </c>
      <c r="R52" s="34">
        <f>'Input data'!R30-$C$47*((R12-Q12))</f>
        <v>1.6658249999999999</v>
      </c>
      <c r="S52" s="34">
        <f>'Input data'!S30-$C$47*((S12-R12))</f>
        <v>1.6715930000000001</v>
      </c>
      <c r="T52" s="34">
        <f>'Input data'!T30-$C$47*((T12-S12))</f>
        <v>1.6133489999999999</v>
      </c>
      <c r="U52" s="34">
        <f>'Input data'!U30-$C$47*((U12-T12))</f>
        <v>1.5618829999999999</v>
      </c>
      <c r="V52" s="34">
        <f>'Input data'!V30-$C$47*((V12-U12))</f>
        <v>1.5050829999999999</v>
      </c>
      <c r="W52" s="34">
        <f>'Input data'!W30-$C$47*((W12-V12))</f>
        <v>1.483687</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61.088839999999998</v>
      </c>
      <c r="D57" s="45">
        <f>+C57+D58</f>
        <v>57.741851922294835</v>
      </c>
      <c r="E57" s="45">
        <f>+D57+E58</f>
        <v>56.044964616339094</v>
      </c>
      <c r="F57" s="45">
        <f>+E57+F58</f>
        <v>58.478930381041359</v>
      </c>
      <c r="G57" s="45">
        <f>+F57+G58</f>
        <v>59.623964733451906</v>
      </c>
      <c r="H57" s="45">
        <f t="shared" ref="H57:S57" si="13">+G57+H58</f>
        <v>61.136174386887198</v>
      </c>
      <c r="I57" s="45">
        <f t="shared" si="13"/>
        <v>61.633447791006695</v>
      </c>
      <c r="J57" s="45">
        <f t="shared" si="13"/>
        <v>60.963732291979078</v>
      </c>
      <c r="K57" s="45">
        <f t="shared" si="13"/>
        <v>59.590667340237786</v>
      </c>
      <c r="L57" s="45">
        <f t="shared" si="13"/>
        <v>58.148355984923676</v>
      </c>
      <c r="M57" s="45">
        <f t="shared" si="13"/>
        <v>56.658318746410494</v>
      </c>
      <c r="N57" s="45">
        <f t="shared" si="13"/>
        <v>55.823411743043856</v>
      </c>
      <c r="O57" s="45">
        <f t="shared" si="13"/>
        <v>55.220580273948023</v>
      </c>
      <c r="P57" s="45">
        <f t="shared" si="13"/>
        <v>54.776942231545902</v>
      </c>
      <c r="Q57" s="45">
        <f t="shared" si="13"/>
        <v>54.480076992848822</v>
      </c>
      <c r="R57" s="45">
        <f t="shared" si="13"/>
        <v>54.31336751070608</v>
      </c>
      <c r="S57" s="45">
        <f t="shared" si="13"/>
        <v>54.292704756653201</v>
      </c>
      <c r="T57" s="45">
        <f>+S57+T58</f>
        <v>54.454121916074875</v>
      </c>
      <c r="U57" s="45">
        <f>+T57+U58</f>
        <v>54.775534480653036</v>
      </c>
      <c r="V57" s="45">
        <f t="shared" ref="V57" si="14">+U57+V58</f>
        <v>55.310442909344602</v>
      </c>
      <c r="W57" s="45">
        <f t="shared" ref="W57" si="15">+V57+W58</f>
        <v>56.027460196798216</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-3.3469880777051602</v>
      </c>
      <c r="E58" s="47">
        <f>-E59+E67+E72</f>
        <v>-1.6968873059557408</v>
      </c>
      <c r="F58" s="47">
        <f>-F59+F67+F72</f>
        <v>2.4339657647022639</v>
      </c>
      <c r="G58" s="47">
        <f>-G59+G67+G72</f>
        <v>1.1450343524105504</v>
      </c>
      <c r="H58" s="47">
        <f t="shared" ref="H58:S58" si="16">-H59+H67+H72</f>
        <v>1.5122096534352933</v>
      </c>
      <c r="I58" s="47">
        <f t="shared" si="16"/>
        <v>0.49727340411949839</v>
      </c>
      <c r="J58" s="47">
        <f t="shared" si="16"/>
        <v>-0.66971549902761796</v>
      </c>
      <c r="K58" s="47">
        <f t="shared" si="16"/>
        <v>-1.3730649517412881</v>
      </c>
      <c r="L58" s="47">
        <f t="shared" si="16"/>
        <v>-1.4423113553141105</v>
      </c>
      <c r="M58" s="47">
        <f t="shared" si="16"/>
        <v>-1.4900372385131813</v>
      </c>
      <c r="N58" s="47">
        <f t="shared" si="16"/>
        <v>-0.83490700336664059</v>
      </c>
      <c r="O58" s="47">
        <f t="shared" si="16"/>
        <v>-0.6028314690958313</v>
      </c>
      <c r="P58" s="47">
        <f t="shared" si="16"/>
        <v>-0.4436380424021229</v>
      </c>
      <c r="Q58" s="47">
        <f t="shared" si="16"/>
        <v>-0.29686523869707837</v>
      </c>
      <c r="R58" s="47">
        <f t="shared" si="16"/>
        <v>-0.16670948214274461</v>
      </c>
      <c r="S58" s="47">
        <f t="shared" si="16"/>
        <v>-2.0662754052879428E-2</v>
      </c>
      <c r="T58" s="47">
        <f>-T59+T67+T72</f>
        <v>0.16141715942167634</v>
      </c>
      <c r="U58" s="47">
        <f t="shared" ref="U58:W58" si="17">-U59+U67+U72</f>
        <v>0.32141256457816358</v>
      </c>
      <c r="V58" s="47">
        <f t="shared" si="17"/>
        <v>0.53490842869156485</v>
      </c>
      <c r="W58" s="47">
        <f t="shared" si="17"/>
        <v>0.71701728745361581</v>
      </c>
    </row>
    <row r="59" spans="2:48" outlineLevel="1" x14ac:dyDescent="0.2">
      <c r="B59" s="84" t="s">
        <v>106</v>
      </c>
      <c r="C59" s="48"/>
      <c r="D59" s="48">
        <f>D60+D61-D62-D63-D64-D65-D66</f>
        <v>-0.63504632229484026</v>
      </c>
      <c r="E59" s="48">
        <f t="shared" ref="E59:R59" si="18">E60+E61-E62-E63-E64-E65-E66</f>
        <v>-3.7366464940442592</v>
      </c>
      <c r="F59" s="48">
        <f t="shared" si="18"/>
        <v>-4.5243322647022639</v>
      </c>
      <c r="G59" s="48">
        <f t="shared" si="18"/>
        <v>-3.2862072291109472</v>
      </c>
      <c r="H59" s="48">
        <f t="shared" si="18"/>
        <v>-2.2406431421110407</v>
      </c>
      <c r="I59" s="48">
        <f t="shared" si="18"/>
        <v>-1.1087408600444841</v>
      </c>
      <c r="J59" s="48">
        <f t="shared" si="18"/>
        <v>8.0716970977536384E-2</v>
      </c>
      <c r="K59" s="48">
        <f t="shared" si="18"/>
        <v>0.21132528065168987</v>
      </c>
      <c r="L59" s="48">
        <f t="shared" si="18"/>
        <v>0.36991359032584148</v>
      </c>
      <c r="M59" s="48">
        <f t="shared" si="18"/>
        <v>0.5026518000000002</v>
      </c>
      <c r="N59" s="48">
        <f t="shared" si="18"/>
        <v>0.35499395020972357</v>
      </c>
      <c r="O59" s="48">
        <f t="shared" si="18"/>
        <v>0.20393477511133917</v>
      </c>
      <c r="P59" s="48">
        <f t="shared" si="18"/>
        <v>7.6766075111340148E-2</v>
      </c>
      <c r="Q59" s="48">
        <f t="shared" si="18"/>
        <v>-4.1462999759502628E-2</v>
      </c>
      <c r="R59" s="48">
        <f t="shared" si="18"/>
        <v>-0.14627272403106406</v>
      </c>
      <c r="S59" s="48">
        <f>S60+S61-S62-S63-S64-S65-S66</f>
        <v>-0.25660067455920266</v>
      </c>
      <c r="T59" s="48">
        <f>T60+T61-T62-T63-T64-T65-T66</f>
        <v>-0.37169834970697313</v>
      </c>
      <c r="U59" s="48">
        <f>U60+U61-U62-U63-U64-U65-U66</f>
        <v>-0.470656199425459</v>
      </c>
      <c r="V59" s="48">
        <f t="shared" ref="V59:W59" si="19">V60+V61-V62-V63-V64-V65-V66</f>
        <v>-0.62195452407477281</v>
      </c>
      <c r="W59" s="48">
        <f t="shared" si="19"/>
        <v>-0.76211435036418629</v>
      </c>
    </row>
    <row r="60" spans="2:48" outlineLevel="1" x14ac:dyDescent="0.2">
      <c r="B60" s="79" t="s">
        <v>107</v>
      </c>
      <c r="C60" s="1"/>
      <c r="D60" s="1">
        <f>D12</f>
        <v>-0.85058520000000004</v>
      </c>
      <c r="E60" s="1">
        <f>E12</f>
        <v>-3.5136029999999998</v>
      </c>
      <c r="F60" s="1">
        <f>F12</f>
        <v>-4.2628820000000003</v>
      </c>
      <c r="G60" s="1">
        <f t="shared" ref="G60:W60" si="20">IF(G12="",F60,G12)</f>
        <v>-2.9628820000000005</v>
      </c>
      <c r="H60" s="1">
        <f t="shared" si="20"/>
        <v>-1.6628820000000004</v>
      </c>
      <c r="I60" s="1">
        <f t="shared" si="20"/>
        <v>-0.36288200000000037</v>
      </c>
      <c r="J60" s="1">
        <f t="shared" si="20"/>
        <v>0.93711799999999967</v>
      </c>
      <c r="K60" s="1">
        <f t="shared" si="20"/>
        <v>0.93711799999999967</v>
      </c>
      <c r="L60" s="1">
        <f t="shared" si="20"/>
        <v>0.93711799999999967</v>
      </c>
      <c r="M60" s="1">
        <f t="shared" si="20"/>
        <v>0.93711799999999967</v>
      </c>
      <c r="N60" s="1">
        <f t="shared" si="20"/>
        <v>0.93711799999999967</v>
      </c>
      <c r="O60" s="1">
        <f t="shared" si="20"/>
        <v>0.93711799999999967</v>
      </c>
      <c r="P60" s="1">
        <f t="shared" si="20"/>
        <v>0.93711799999999967</v>
      </c>
      <c r="Q60" s="1">
        <f t="shared" si="20"/>
        <v>0.93711799999999967</v>
      </c>
      <c r="R60" s="1">
        <f t="shared" si="20"/>
        <v>0.93711799999999967</v>
      </c>
      <c r="S60" s="1">
        <f t="shared" si="20"/>
        <v>0.93711799999999967</v>
      </c>
      <c r="T60" s="1">
        <f t="shared" si="20"/>
        <v>0.93711799999999967</v>
      </c>
      <c r="U60" s="1">
        <f t="shared" si="20"/>
        <v>0.93711799999999967</v>
      </c>
      <c r="V60" s="1">
        <f t="shared" si="20"/>
        <v>0.93711799999999967</v>
      </c>
      <c r="W60" s="1">
        <f t="shared" si="20"/>
        <v>0.93711799999999967</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21">-$C$48*D30</f>
        <v>-0.21553887770515978</v>
      </c>
      <c r="E62" s="1">
        <f t="shared" si="21"/>
        <v>0.22304349404425938</v>
      </c>
      <c r="F62" s="1">
        <f t="shared" si="21"/>
        <v>0.26145026470226373</v>
      </c>
      <c r="G62" s="1">
        <f t="shared" si="21"/>
        <v>0.3233252291109468</v>
      </c>
      <c r="H62" s="1">
        <f t="shared" si="21"/>
        <v>0.57776114211104035</v>
      </c>
      <c r="I62" s="1">
        <f t="shared" si="21"/>
        <v>0.74585886004448376</v>
      </c>
      <c r="J62" s="1">
        <f t="shared" si="21"/>
        <v>0.85640102902246329</v>
      </c>
      <c r="K62" s="1">
        <f t="shared" si="21"/>
        <v>0.57093401934830745</v>
      </c>
      <c r="L62" s="1">
        <f t="shared" si="21"/>
        <v>0.28546700967416005</v>
      </c>
      <c r="M62" s="1">
        <f>-$C$48*M30</f>
        <v>0</v>
      </c>
      <c r="N62" s="1">
        <f t="shared" si="21"/>
        <v>-7.502097211453673E-7</v>
      </c>
      <c r="O62" s="1">
        <f t="shared" si="21"/>
        <v>-3.7511134085566058E-7</v>
      </c>
      <c r="P62" s="1">
        <f t="shared" si="21"/>
        <v>-3.7511134085566058E-7</v>
      </c>
      <c r="Q62" s="1">
        <f t="shared" si="21"/>
        <v>-2.4049802149761491E-10</v>
      </c>
      <c r="R62" s="1">
        <f t="shared" si="21"/>
        <v>1.124031066923603E-6</v>
      </c>
      <c r="S62" s="1">
        <f t="shared" si="21"/>
        <v>3.7455920128826035E-7</v>
      </c>
      <c r="T62" s="1">
        <f t="shared" si="21"/>
        <v>-7.5029302577522832E-7</v>
      </c>
      <c r="U62" s="1">
        <f>-$C$48*U30</f>
        <v>-1.5005745376273083E-6</v>
      </c>
      <c r="V62" s="1">
        <f t="shared" si="21"/>
        <v>-1.8759252259581417E-6</v>
      </c>
      <c r="W62" s="1">
        <f t="shared" si="21"/>
        <v>-7.4963581002673858E-7</v>
      </c>
    </row>
    <row r="63" spans="2:48" outlineLevel="1" x14ac:dyDescent="0.2">
      <c r="B63" s="79" t="s">
        <v>110</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0.15356000000000236</v>
      </c>
      <c r="L64" s="1">
        <f>IF(L$56&lt;=$C$6,0,HLOOKUP(L$56,'Input data'!$C$9:$BB$26,12,FALSE)-HLOOKUP($C$6,'Input data'!$C$9:$BB$26,12,FALSE))</f>
        <v>0.27913999999999817</v>
      </c>
      <c r="M64" s="1">
        <f>IF(M$56&lt;=$C$6,0,HLOOKUP(M$56,'Input data'!$C$9:$BB$26,12,FALSE)-HLOOKUP($C$6,'Input data'!$C$9:$BB$26,12,FALSE))</f>
        <v>0.43056999999999945</v>
      </c>
      <c r="N64" s="1">
        <f>IF(N$56&lt;=$C$6,0,HLOOKUP(N$56,'Input data'!$C$9:$BB$26,12,FALSE)-HLOOKUP($C$6,'Input data'!$C$9:$BB$26,12,FALSE))</f>
        <v>0.57692999999999728</v>
      </c>
      <c r="O64" s="1">
        <f>IF(O$56&lt;=$C$6,0,HLOOKUP(O$56,'Input data'!$C$9:$BB$26,12,FALSE)-HLOOKUP($C$6,'Input data'!$C$9:$BB$26,12,FALSE))</f>
        <v>0.72669000000000139</v>
      </c>
      <c r="P64" s="1">
        <f>IF(P$56&lt;=$C$6,0,HLOOKUP(P$56,'Input data'!$C$9:$BB$26,12,FALSE)-HLOOKUP($C$6,'Input data'!$C$9:$BB$26,12,FALSE))</f>
        <v>0.85256000000000043</v>
      </c>
      <c r="Q64" s="1">
        <f>IF(Q$56&lt;=$C$6,0,HLOOKUP(Q$56,'Input data'!$C$9:$BB$26,12,FALSE)-HLOOKUP($C$6,'Input data'!$C$9:$BB$26,12,FALSE))</f>
        <v>0.96949000000000041</v>
      </c>
      <c r="R64" s="1">
        <f>IF(R$56&lt;=$C$6,0,HLOOKUP(R$56,'Input data'!$C$9:$BB$26,12,FALSE)-HLOOKUP($C$6,'Input data'!$C$9:$BB$26,12,FALSE))</f>
        <v>1.0729999999999968</v>
      </c>
      <c r="S64" s="1">
        <f>IF(S$56&lt;=$C$6,0,HLOOKUP(S$56,'Input data'!$C$9:$BB$26,12,FALSE)-HLOOKUP($C$6,'Input data'!$C$9:$BB$26,12,FALSE))</f>
        <v>1.182030000000001</v>
      </c>
      <c r="T64" s="1">
        <f>IF(T$56&lt;=$C$6,0,HLOOKUP(T$56,'Input data'!$C$9:$BB$26,12,FALSE)-HLOOKUP($C$6,'Input data'!$C$9:$BB$26,12,FALSE))</f>
        <v>1.2958299999999987</v>
      </c>
      <c r="U64" s="1">
        <f>IF(U$56&lt;=$C$6,0,HLOOKUP(U$56,'Input data'!$C$9:$BB$26,12,FALSE)-HLOOKUP($C$6,'Input data'!$C$9:$BB$26,12,FALSE))</f>
        <v>1.3934899999999963</v>
      </c>
      <c r="V64" s="1">
        <f>IF(V$56&lt;=$C$6,0,HLOOKUP(V$56,'Input data'!$C$9:$BB$26,12,FALSE)-HLOOKUP($C$6,'Input data'!$C$9:$BB$26,12,FALSE))</f>
        <v>1.5434899999999985</v>
      </c>
      <c r="W64" s="1">
        <f>IF(W$56&lt;=$C$6,0,HLOOKUP(W$56,'Input data'!$C$9:$BB$26,12,FALSE)-HLOOKUP($C$6,'Input data'!$C$9:$BB$26,12,FALSE))</f>
        <v>1.682349999999996</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1.298699999999986E-3</v>
      </c>
      <c r="L65" s="1">
        <f>IF(L$56&lt;=$C$6,0,-HLOOKUP(L$56,'Input data'!$C$9:$BB$26,18,FALSE)+HLOOKUP($C$6,'Input data'!$C$9:$BB$26,18,FALSE))</f>
        <v>2.597399999999972E-3</v>
      </c>
      <c r="M65" s="1">
        <f>IF(M$56&lt;=$C$6,0,-HLOOKUP(M$56,'Input data'!$C$9:$BB$26,18,FALSE)+HLOOKUP($C$6,'Input data'!$C$9:$BB$26,18,FALSE))</f>
        <v>3.8962000000000163E-3</v>
      </c>
      <c r="N65" s="1">
        <f>IF(N$56&lt;=$C$6,0,-HLOOKUP(N$56,'Input data'!$C$9:$BB$26,18,FALSE)+HLOOKUP($C$6,'Input data'!$C$9:$BB$26,18,FALSE))</f>
        <v>5.1947999999999439E-3</v>
      </c>
      <c r="O65" s="1">
        <f>IF(O$56&lt;=$C$6,0,-HLOOKUP(O$56,'Input data'!$C$9:$BB$26,18,FALSE)+HLOOKUP($C$6,'Input data'!$C$9:$BB$26,18,FALSE))</f>
        <v>6.4935999999999883E-3</v>
      </c>
      <c r="P65" s="1">
        <f>IF(P$56&lt;=$C$6,0,-HLOOKUP(P$56,'Input data'!$C$9:$BB$26,18,FALSE)+HLOOKUP($C$6,'Input data'!$C$9:$BB$26,18,FALSE))</f>
        <v>7.7922999999999742E-3</v>
      </c>
      <c r="Q65" s="1">
        <f>IF(Q$56&lt;=$C$6,0,-HLOOKUP(Q$56,'Input data'!$C$9:$BB$26,18,FALSE)+HLOOKUP($C$6,'Input data'!$C$9:$BB$26,18,FALSE))</f>
        <v>9.0909999999999602E-3</v>
      </c>
      <c r="R65" s="1">
        <f>IF(R$56&lt;=$C$6,0,-HLOOKUP(R$56,'Input data'!$C$9:$BB$26,18,FALSE)+HLOOKUP($C$6,'Input data'!$C$9:$BB$26,18,FALSE))</f>
        <v>1.0389599999999999E-2</v>
      </c>
      <c r="S65" s="1">
        <f>IF(S$56&lt;=$C$6,0,-HLOOKUP(S$56,'Input data'!$C$9:$BB$26,18,FALSE)+HLOOKUP($C$6,'Input data'!$C$9:$BB$26,18,FALSE))</f>
        <v>1.1688299999999985E-2</v>
      </c>
      <c r="T65" s="1">
        <f>IF(T$56&lt;=$C$6,0,-HLOOKUP(T$56,'Input data'!$C$9:$BB$26,18,FALSE)+HLOOKUP($C$6,'Input data'!$C$9:$BB$26,18,FALSE))</f>
        <v>1.2987099999999918E-2</v>
      </c>
      <c r="U65" s="264">
        <f>IF(U$56&lt;=$C$6,0,-HLOOKUP(U$56,'Input data'!$C$9:$BB$26,18,FALSE)+HLOOKUP($C$6,'Input data'!$C$9:$BB$26,18,FALSE))</f>
        <v>1.4285699999999957E-2</v>
      </c>
      <c r="V65" s="264">
        <f>IF(V$56&lt;=$C$6,0,-HLOOKUP(V$56,'Input data'!$C$9:$BB$26,18,FALSE)+HLOOKUP($C$6,'Input data'!$C$9:$BB$26,18,FALSE))</f>
        <v>1.5584399999999943E-2</v>
      </c>
      <c r="W65" s="264">
        <f>IF(W$56&lt;=$C$6,0,-HLOOKUP(W$56,'Input data'!$C$9:$BB$26,18,FALSE)+HLOOKUP($C$6,'Input data'!$C$9:$BB$26,18,FALSE))</f>
        <v>1.6883099999999929E-2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23">SUM(D68:D71)</f>
        <v>-4.2593990000000002</v>
      </c>
      <c r="E67" s="48">
        <f t="shared" si="23"/>
        <v>-4.979152</v>
      </c>
      <c r="F67" s="48">
        <f t="shared" si="23"/>
        <v>-2.2903669999999998</v>
      </c>
      <c r="G67" s="48">
        <f t="shared" si="23"/>
        <v>-1.5411701767003969</v>
      </c>
      <c r="H67" s="48">
        <f t="shared" si="23"/>
        <v>-0.72843348867574731</v>
      </c>
      <c r="I67" s="48">
        <f t="shared" si="23"/>
        <v>-0.61146745592498575</v>
      </c>
      <c r="J67" s="48">
        <f t="shared" si="23"/>
        <v>-0.58899852805008157</v>
      </c>
      <c r="K67" s="48">
        <f t="shared" si="23"/>
        <v>-1.1617396710895982</v>
      </c>
      <c r="L67" s="48">
        <f t="shared" si="23"/>
        <v>-1.072397764988269</v>
      </c>
      <c r="M67" s="48">
        <f t="shared" si="23"/>
        <v>-0.98738543851318106</v>
      </c>
      <c r="N67" s="48">
        <f t="shared" si="23"/>
        <v>-0.47991305315691701</v>
      </c>
      <c r="O67" s="48">
        <f t="shared" si="23"/>
        <v>-0.39889669398449212</v>
      </c>
      <c r="P67" s="48">
        <f t="shared" ref="P67:T67" si="24">SUM(P68:P71)</f>
        <v>-0.36687196729078275</v>
      </c>
      <c r="Q67" s="48">
        <f t="shared" si="24"/>
        <v>-0.338328238456581</v>
      </c>
      <c r="R67" s="48">
        <f t="shared" si="24"/>
        <v>-0.31298220617380867</v>
      </c>
      <c r="S67" s="48">
        <f t="shared" si="24"/>
        <v>-0.27726342861208209</v>
      </c>
      <c r="T67" s="48">
        <f t="shared" si="24"/>
        <v>-0.21028119028529679</v>
      </c>
      <c r="U67" s="48">
        <f t="shared" ref="U67:W67" si="25">SUM(U68:U71)</f>
        <v>-0.14924363484729541</v>
      </c>
      <c r="V67" s="48">
        <f t="shared" si="25"/>
        <v>-8.7046095383207955E-2</v>
      </c>
      <c r="W67" s="48">
        <f t="shared" si="25"/>
        <v>-4.5097062910570473E-2</v>
      </c>
    </row>
    <row r="68" spans="2:23" outlineLevel="1" x14ac:dyDescent="0.2">
      <c r="B68" s="79" t="s">
        <v>115</v>
      </c>
      <c r="C68" s="34"/>
      <c r="D68" s="34">
        <f t="shared" ref="D68:E68" si="26">C57*D36/100*(1/(1+D33/100))</f>
        <v>1.037617448818186</v>
      </c>
      <c r="E68" s="34">
        <f t="shared" si="26"/>
        <v>1.1568256745098193</v>
      </c>
      <c r="F68" s="34">
        <f>E57*F36/100*(1/(1+F33/100))</f>
        <v>1.3311861164521233</v>
      </c>
      <c r="G68" s="34">
        <f>F57*G36/100*(1/(1+G33/100))</f>
        <v>1.5006212548700644</v>
      </c>
      <c r="H68" s="34">
        <f t="shared" ref="H68:W68" si="27">G57*H36/100*(1/(1+H33/100))</f>
        <v>1.6343504433063132</v>
      </c>
      <c r="I68" s="34">
        <f t="shared" si="27"/>
        <v>1.7513191923762341</v>
      </c>
      <c r="J68" s="34">
        <f>I57*J36/100*(1/(1+J33/100))</f>
        <v>1.8234858870624306</v>
      </c>
      <c r="K68" s="34">
        <f t="shared" si="27"/>
        <v>1.8299704053272736</v>
      </c>
      <c r="L68" s="34">
        <f>K57*L36/100*(1/(1+L33/100))</f>
        <v>1.8302625655728371</v>
      </c>
      <c r="M68" s="34">
        <f t="shared" si="27"/>
        <v>1.8235603445619033</v>
      </c>
      <c r="N68" s="34">
        <f t="shared" si="27"/>
        <v>1.8249208274785711</v>
      </c>
      <c r="O68" s="34">
        <f t="shared" si="27"/>
        <v>1.83239852514322</v>
      </c>
      <c r="P68" s="34">
        <f t="shared" si="27"/>
        <v>1.842194896711804</v>
      </c>
      <c r="Q68" s="34">
        <f t="shared" si="27"/>
        <v>1.8548346373377869</v>
      </c>
      <c r="R68" s="34">
        <f t="shared" si="27"/>
        <v>1.8701180769824628</v>
      </c>
      <c r="S68" s="34">
        <f t="shared" si="27"/>
        <v>1.8881190058858039</v>
      </c>
      <c r="T68" s="34">
        <f t="shared" si="27"/>
        <v>1.9103924249440427</v>
      </c>
      <c r="U68" s="34">
        <f t="shared" si="27"/>
        <v>1.9371565252898124</v>
      </c>
      <c r="V68" s="34">
        <f t="shared" si="27"/>
        <v>1.9680317475392823</v>
      </c>
      <c r="W68" s="34">
        <f t="shared" si="27"/>
        <v>2.0045164818892625</v>
      </c>
    </row>
    <row r="69" spans="2:23" outlineLevel="1" x14ac:dyDescent="0.2">
      <c r="B69" s="79" t="s">
        <v>116</v>
      </c>
      <c r="C69" s="34"/>
      <c r="D69" s="34">
        <f t="shared" ref="D69:W69" si="28">-C57*(D24/100)*(1/(1+D33/100))</f>
        <v>-1.0433277419508173</v>
      </c>
      <c r="E69" s="34">
        <f t="shared" si="28"/>
        <v>-0.82386405373436111</v>
      </c>
      <c r="F69" s="34">
        <f t="shared" si="28"/>
        <v>-1.1679128769865823</v>
      </c>
      <c r="G69" s="34">
        <f t="shared" si="28"/>
        <v>-1.2447090089992858</v>
      </c>
      <c r="H69" s="34">
        <f t="shared" si="28"/>
        <v>-0.57399185234210492</v>
      </c>
      <c r="I69" s="34">
        <f t="shared" si="28"/>
        <v>-0.57327425685523903</v>
      </c>
      <c r="J69" s="34">
        <f t="shared" si="28"/>
        <v>-0.65349519084637098</v>
      </c>
      <c r="K69" s="34">
        <f t="shared" si="28"/>
        <v>-1.296490444312028</v>
      </c>
      <c r="L69" s="34">
        <f t="shared" si="28"/>
        <v>-1.289337871915325</v>
      </c>
      <c r="M69" s="34">
        <f t="shared" si="28"/>
        <v>-1.2793942726681162</v>
      </c>
      <c r="N69" s="34">
        <f t="shared" si="28"/>
        <v>-0.85421882461566623</v>
      </c>
      <c r="O69" s="34">
        <f t="shared" si="28"/>
        <v>-0.84319478085602195</v>
      </c>
      <c r="P69" s="34">
        <f t="shared" si="28"/>
        <v>-0.85040009581966225</v>
      </c>
      <c r="Q69" s="34">
        <f t="shared" si="28"/>
        <v>-0.85974689581771513</v>
      </c>
      <c r="R69" s="34">
        <f t="shared" si="28"/>
        <v>-0.87117611227424085</v>
      </c>
      <c r="S69" s="34">
        <f t="shared" si="28"/>
        <v>-0.87170206817493756</v>
      </c>
      <c r="T69" s="34">
        <f t="shared" si="28"/>
        <v>-0.84171694269985486</v>
      </c>
      <c r="U69" s="34">
        <f t="shared" si="28"/>
        <v>-0.81792254359329208</v>
      </c>
      <c r="V69" s="34">
        <f t="shared" si="28"/>
        <v>-0.79348663037685785</v>
      </c>
      <c r="W69" s="34">
        <f t="shared" si="28"/>
        <v>-0.79022400137392745</v>
      </c>
    </row>
    <row r="70" spans="2:23" outlineLevel="1" x14ac:dyDescent="0.2">
      <c r="B70" s="79" t="s">
        <v>117</v>
      </c>
      <c r="C70" s="34"/>
      <c r="D70" s="34">
        <f t="shared" ref="D70:W70" si="29">-C57*D42/100*(1/(1+D42/100))</f>
        <v>-4.2536887833897383</v>
      </c>
      <c r="E70" s="34">
        <f t="shared" si="29"/>
        <v>-5.312112989963226</v>
      </c>
      <c r="F70" s="34">
        <f t="shared" si="29"/>
        <v>-2.4536402025325548</v>
      </c>
      <c r="G70" s="34">
        <f t="shared" si="29"/>
        <v>-1.7970826773467574</v>
      </c>
      <c r="H70" s="34">
        <f t="shared" si="29"/>
        <v>-1.7887920796399555</v>
      </c>
      <c r="I70" s="34">
        <f t="shared" si="29"/>
        <v>-1.789512391445981</v>
      </c>
      <c r="J70" s="34">
        <f t="shared" si="29"/>
        <v>-1.7589892242661413</v>
      </c>
      <c r="K70" s="34">
        <f t="shared" si="29"/>
        <v>-1.6952196321048438</v>
      </c>
      <c r="L70" s="34">
        <f t="shared" si="29"/>
        <v>-1.6133224586457811</v>
      </c>
      <c r="M70" s="34">
        <f t="shared" si="29"/>
        <v>-1.5315515104069681</v>
      </c>
      <c r="N70" s="34">
        <f t="shared" si="29"/>
        <v>-1.4506150560198219</v>
      </c>
      <c r="O70" s="34">
        <f t="shared" si="29"/>
        <v>-1.3881004382716902</v>
      </c>
      <c r="P70" s="34">
        <f t="shared" si="29"/>
        <v>-1.3586667681829245</v>
      </c>
      <c r="Q70" s="34">
        <f t="shared" si="29"/>
        <v>-1.3334159799766527</v>
      </c>
      <c r="R70" s="34">
        <f t="shared" si="29"/>
        <v>-1.3119241708820306</v>
      </c>
      <c r="S70" s="34">
        <f t="shared" si="29"/>
        <v>-1.2936803663229484</v>
      </c>
      <c r="T70" s="34">
        <f t="shared" si="29"/>
        <v>-1.2789566725294848</v>
      </c>
      <c r="U70" s="34">
        <f t="shared" si="29"/>
        <v>-1.2684776165438159</v>
      </c>
      <c r="V70" s="34">
        <f t="shared" si="29"/>
        <v>-1.2615912125456323</v>
      </c>
      <c r="W70" s="34">
        <f t="shared" si="29"/>
        <v>-1.2593895434259055</v>
      </c>
    </row>
    <row r="71" spans="2:23" outlineLevel="1" x14ac:dyDescent="0.2">
      <c r="B71" s="79" t="s">
        <v>118</v>
      </c>
      <c r="C71" s="49"/>
      <c r="D71" s="49">
        <f>'Baseline NFPC'!D70</f>
        <v>7.6522369774068011E-8</v>
      </c>
      <c r="E71" s="49">
        <f>'Baseline NFPC'!E70</f>
        <v>-6.3081223178329537E-7</v>
      </c>
      <c r="F71" s="49">
        <f>'Baseline NFPC'!F70</f>
        <v>-3.6932986002824464E-8</v>
      </c>
      <c r="G71" s="49">
        <f>'Baseline NFPC'!G70</f>
        <v>2.5477558196485006E-7</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0.27736460000000002</v>
      </c>
      <c r="E72" s="50">
        <f>'Input data'!E16</f>
        <v>-0.4543818</v>
      </c>
      <c r="F72" s="50">
        <f>'Input data'!F16</f>
        <v>0.2000005</v>
      </c>
      <c r="G72" s="50">
        <f>'Input data'!G16</f>
        <v>-0.6000027</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30">D15</f>
        <v>0.27736460000000002</v>
      </c>
      <c r="E73" s="34">
        <f t="shared" si="30"/>
        <v>-0.45438450000000002</v>
      </c>
      <c r="F73" s="34">
        <f t="shared" si="30"/>
        <v>0.2</v>
      </c>
      <c r="G73" s="34">
        <f t="shared" si="30"/>
        <v>-0.6</v>
      </c>
      <c r="H73" s="34">
        <f t="shared" si="30"/>
        <v>0</v>
      </c>
      <c r="I73" s="34">
        <f t="shared" si="30"/>
        <v>0</v>
      </c>
      <c r="J73" s="34">
        <f t="shared" si="30"/>
        <v>0</v>
      </c>
      <c r="K73" s="34">
        <f t="shared" si="30"/>
        <v>0</v>
      </c>
      <c r="L73" s="34">
        <f t="shared" si="30"/>
        <v>0</v>
      </c>
      <c r="M73" s="34">
        <f t="shared" si="30"/>
        <v>0</v>
      </c>
      <c r="N73" s="34">
        <f t="shared" si="30"/>
        <v>0</v>
      </c>
      <c r="O73" s="34">
        <f t="shared" si="30"/>
        <v>0</v>
      </c>
      <c r="P73" s="34">
        <f t="shared" si="30"/>
        <v>0</v>
      </c>
      <c r="Q73" s="34">
        <f t="shared" si="30"/>
        <v>0</v>
      </c>
      <c r="R73" s="34">
        <f t="shared" si="30"/>
        <v>0</v>
      </c>
      <c r="S73" s="34">
        <f t="shared" si="30"/>
        <v>0</v>
      </c>
      <c r="T73" s="34">
        <f t="shared" si="30"/>
        <v>0</v>
      </c>
      <c r="U73" s="34">
        <f t="shared" si="30"/>
        <v>0</v>
      </c>
      <c r="V73" s="34">
        <f t="shared" si="30"/>
        <v>0</v>
      </c>
      <c r="W73" s="34">
        <f t="shared" si="30"/>
        <v>0</v>
      </c>
    </row>
    <row r="74" spans="2:23" outlineLevel="1" x14ac:dyDescent="0.2">
      <c r="B74" s="89" t="s">
        <v>121</v>
      </c>
      <c r="C74" s="49"/>
      <c r="D74" s="49">
        <f>+D72-D73</f>
        <v>0</v>
      </c>
      <c r="E74" s="49">
        <f t="shared" ref="E74:T74" si="31">+E72-E73</f>
        <v>2.7000000000221291E-6</v>
      </c>
      <c r="F74" s="49">
        <f t="shared" si="31"/>
        <v>4.9999999998662226E-7</v>
      </c>
      <c r="G74" s="49">
        <f t="shared" si="31"/>
        <v>-2.7000000000221291E-6</v>
      </c>
      <c r="H74" s="49">
        <f t="shared" si="31"/>
        <v>0</v>
      </c>
      <c r="I74" s="49">
        <f t="shared" si="31"/>
        <v>0</v>
      </c>
      <c r="J74" s="49">
        <f t="shared" si="31"/>
        <v>0</v>
      </c>
      <c r="K74" s="49">
        <f t="shared" si="31"/>
        <v>0</v>
      </c>
      <c r="L74" s="49">
        <f t="shared" si="31"/>
        <v>0</v>
      </c>
      <c r="M74" s="49">
        <f t="shared" si="31"/>
        <v>0</v>
      </c>
      <c r="N74" s="49">
        <f t="shared" si="31"/>
        <v>0</v>
      </c>
      <c r="O74" s="49">
        <f t="shared" si="31"/>
        <v>0</v>
      </c>
      <c r="P74" s="49">
        <f t="shared" si="31"/>
        <v>0</v>
      </c>
      <c r="Q74" s="49">
        <f t="shared" si="31"/>
        <v>0</v>
      </c>
      <c r="R74" s="49">
        <f t="shared" si="31"/>
        <v>0</v>
      </c>
      <c r="S74" s="49">
        <f t="shared" si="31"/>
        <v>0</v>
      </c>
      <c r="T74" s="49">
        <f t="shared" si="31"/>
        <v>0</v>
      </c>
      <c r="U74" s="49">
        <f t="shared" ref="U74:W74" si="32">+U72-U73</f>
        <v>0</v>
      </c>
      <c r="V74" s="49">
        <f t="shared" si="32"/>
        <v>0</v>
      </c>
      <c r="W74" s="49">
        <f t="shared" si="32"/>
        <v>0</v>
      </c>
    </row>
    <row r="75" spans="2:23" ht="10.5" customHeight="1" outlineLevel="1" x14ac:dyDescent="0.2"/>
    <row r="76" spans="2:23" ht="10.5" customHeight="1" outlineLevel="1" x14ac:dyDescent="0.2">
      <c r="B76" s="91" t="s">
        <v>122</v>
      </c>
    </row>
    <row r="77" spans="2:23" x14ac:dyDescent="0.2">
      <c r="B77" s="77" t="s">
        <v>41</v>
      </c>
      <c r="C77" s="77"/>
      <c r="D77" s="78">
        <f>D59-D68</f>
        <v>-1.6726637711130263</v>
      </c>
      <c r="E77" s="78">
        <f t="shared" ref="E77:T77" si="33">E59-E68</f>
        <v>-4.8934721685540783</v>
      </c>
      <c r="F77" s="78">
        <f t="shared" si="33"/>
        <v>-5.8555183811543872</v>
      </c>
      <c r="G77" s="78">
        <f>G59-G68</f>
        <v>-4.7868284839810116</v>
      </c>
      <c r="H77" s="78">
        <f t="shared" si="33"/>
        <v>-3.8749935854173536</v>
      </c>
      <c r="I77" s="78">
        <f t="shared" si="33"/>
        <v>-2.8600600524207183</v>
      </c>
      <c r="J77" s="78">
        <f t="shared" si="33"/>
        <v>-1.7427689160848943</v>
      </c>
      <c r="K77" s="78">
        <f t="shared" si="33"/>
        <v>-1.6186451246755837</v>
      </c>
      <c r="L77" s="78">
        <f t="shared" si="33"/>
        <v>-1.4603489752469956</v>
      </c>
      <c r="M77" s="78">
        <f t="shared" si="33"/>
        <v>-1.3209085445619031</v>
      </c>
      <c r="N77" s="78">
        <f t="shared" si="33"/>
        <v>-1.4699268772688474</v>
      </c>
      <c r="O77" s="78">
        <f t="shared" si="33"/>
        <v>-1.6284637500318808</v>
      </c>
      <c r="P77" s="78">
        <f t="shared" si="33"/>
        <v>-1.7654288216004639</v>
      </c>
      <c r="Q77" s="78">
        <f t="shared" si="33"/>
        <v>-1.8962976370972895</v>
      </c>
      <c r="R77" s="78">
        <f t="shared" si="33"/>
        <v>-2.016390801013527</v>
      </c>
      <c r="S77" s="78">
        <f t="shared" si="33"/>
        <v>-2.1447196804450064</v>
      </c>
      <c r="T77" s="78">
        <f t="shared" si="33"/>
        <v>-2.282090774651016</v>
      </c>
      <c r="U77" s="78">
        <f t="shared" ref="U77:W77" si="34">U59-U68</f>
        <v>-2.4078127247152716</v>
      </c>
      <c r="V77" s="78">
        <f t="shared" si="34"/>
        <v>-2.5899862716140554</v>
      </c>
      <c r="W77" s="78">
        <f t="shared" si="34"/>
        <v>-2.7666308322534485</v>
      </c>
    </row>
    <row r="78" spans="2:23" x14ac:dyDescent="0.2">
      <c r="B78" s="26" t="s">
        <v>42</v>
      </c>
      <c r="D78" s="34">
        <f>D60-D68-D64-D65-D66</f>
        <v>-1.888202648818186</v>
      </c>
      <c r="E78" s="34">
        <f t="shared" ref="E78:W78" si="35">E60-E68-E64-E65-E66</f>
        <v>-4.6704286745098189</v>
      </c>
      <c r="F78" s="34">
        <f t="shared" si="35"/>
        <v>-5.5940681164521235</v>
      </c>
      <c r="G78" s="34">
        <f t="shared" si="35"/>
        <v>-4.4635032548700648</v>
      </c>
      <c r="H78" s="34">
        <f t="shared" si="35"/>
        <v>-3.2972324433063136</v>
      </c>
      <c r="I78" s="34">
        <f t="shared" si="35"/>
        <v>-2.1142011923762345</v>
      </c>
      <c r="J78" s="34">
        <f t="shared" si="35"/>
        <v>-0.88636788706243097</v>
      </c>
      <c r="K78" s="34">
        <f t="shared" si="35"/>
        <v>-1.0477111053272763</v>
      </c>
      <c r="L78" s="34">
        <f t="shared" si="35"/>
        <v>-1.1748819655728355</v>
      </c>
      <c r="M78" s="34">
        <f t="shared" si="35"/>
        <v>-1.3209085445619031</v>
      </c>
      <c r="N78" s="34">
        <f t="shared" si="35"/>
        <v>-1.4699276274785686</v>
      </c>
      <c r="O78" s="34">
        <f t="shared" si="35"/>
        <v>-1.6284641251432217</v>
      </c>
      <c r="P78" s="34">
        <f t="shared" si="35"/>
        <v>-1.7654291967118048</v>
      </c>
      <c r="Q78" s="34">
        <f t="shared" si="35"/>
        <v>-1.8962976373377876</v>
      </c>
      <c r="R78" s="34">
        <f t="shared" si="35"/>
        <v>-2.0163896769824596</v>
      </c>
      <c r="S78" s="34">
        <f t="shared" si="35"/>
        <v>-2.1447193058858054</v>
      </c>
      <c r="T78" s="34">
        <f t="shared" si="35"/>
        <v>-2.2820915249440414</v>
      </c>
      <c r="U78" s="34">
        <f t="shared" si="35"/>
        <v>-2.4078142252898087</v>
      </c>
      <c r="V78" s="34">
        <f t="shared" si="35"/>
        <v>-2.5899881475392812</v>
      </c>
      <c r="W78" s="34">
        <f t="shared" si="35"/>
        <v>-2.7666315818892584</v>
      </c>
    </row>
    <row r="79" spans="2:23" x14ac:dyDescent="0.2">
      <c r="B79" s="35" t="s">
        <v>123</v>
      </c>
      <c r="C79" s="35"/>
      <c r="D79" s="285">
        <f>'Input data'!D45</f>
        <v>7.0970051470311883</v>
      </c>
      <c r="E79" s="285">
        <f>'Input data'!E45</f>
        <v>23.97555200834967</v>
      </c>
      <c r="F79" s="285">
        <f>'Input data'!F45</f>
        <v>6.2131458703570441</v>
      </c>
      <c r="G79" s="49">
        <f>'Input data'!G33+G42-(G$12-F$12)/'Input data'!$C$64*100</f>
        <v>2.7658458841428533</v>
      </c>
      <c r="H79" s="49">
        <f>'Input data'!H33+H42-(H$12-G$12)/'Input data'!$C$64*100</f>
        <v>1.9628567591428516</v>
      </c>
      <c r="I79" s="49">
        <f>'Input data'!I33+I42-(I$12-H$12)/'Input data'!$C$64*100</f>
        <v>1.6277946341428522</v>
      </c>
      <c r="J79" s="49">
        <f>'Input data'!J33+J42-(J$12-I$12)/'Input data'!$C$64*100</f>
        <v>1.524007509142852</v>
      </c>
      <c r="K79" s="49">
        <f>'Input data'!K33+K42-(K$12-J$12)/'Input data'!$C$64*100</f>
        <v>4.3189764999999998</v>
      </c>
      <c r="L79" s="49">
        <f>'Input data'!L33+L42-(L$12-K$12)/'Input data'!$C$64*100</f>
        <v>4.2850393750000002</v>
      </c>
      <c r="M79" s="49">
        <f>'Input data'!M33+M42-(M$12-L$12)/'Input data'!$C$64*100</f>
        <v>4.2505262500000001</v>
      </c>
      <c r="N79" s="49">
        <f>'Input data'!N33+N42-(N$12-M$12)/'Input data'!$C$64*100</f>
        <v>4.199156125</v>
      </c>
      <c r="O79" s="49">
        <f>'Input data'!O33+O42-(O$12-N$12)/'Input data'!$C$64*100</f>
        <v>4.1233569999999995</v>
      </c>
      <c r="P79" s="49">
        <f>'Input data'!P33+P42-(P$12-O$12)/'Input data'!$C$64*100</f>
        <v>4.1266800000000003</v>
      </c>
      <c r="Q79" s="49">
        <f>'Input data'!Q33+Q42-(Q$12-P$12)/'Input data'!$C$64*100</f>
        <v>4.1300049999999997</v>
      </c>
      <c r="R79" s="49">
        <f>'Input data'!R33+R42-(R$12-Q$12)/'Input data'!$C$64*100</f>
        <v>4.1333279999999997</v>
      </c>
      <c r="S79" s="49">
        <f>'Input data'!S33+S42-(S$12-R$12)/'Input data'!$C$64*100</f>
        <v>4.1115909999999998</v>
      </c>
      <c r="T79" s="49">
        <f>'Input data'!T33+T42-(T$12-S$12)/'Input data'!$C$64*100</f>
        <v>4.0258459999999996</v>
      </c>
      <c r="U79" s="49">
        <f>'Input data'!U33+U42-(U$12-T$12)/'Input data'!$C$64*100</f>
        <v>3.9468809999999999</v>
      </c>
      <c r="V79" s="49">
        <f>'Input data'!V33+V42-(V$12-U$12)/'Input data'!$C$64*100</f>
        <v>3.8625819999999997</v>
      </c>
      <c r="W79" s="49">
        <f>'Input data'!W33+W42-(W$12-V$12)/'Input data'!$C$64*100</f>
        <v>3.8136900000000002</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1.9701261966428523</v>
      </c>
      <c r="E81" s="34"/>
      <c r="F81" s="34"/>
      <c r="G81" s="358"/>
      <c r="H81" s="358"/>
      <c r="I81" s="358"/>
      <c r="J81" s="358"/>
      <c r="K81" s="358"/>
      <c r="L81" s="358"/>
      <c r="M81" s="358"/>
      <c r="N81" s="358"/>
      <c r="O81" s="358"/>
      <c r="P81" s="358"/>
      <c r="Q81" s="358"/>
      <c r="R81" s="358"/>
      <c r="S81" s="358"/>
      <c r="T81" s="358"/>
      <c r="U81" s="34"/>
      <c r="V81" s="34"/>
      <c r="W81" s="34"/>
    </row>
    <row r="82" spans="2:23" x14ac:dyDescent="0.2">
      <c r="B82" s="77"/>
      <c r="C82" s="77"/>
      <c r="D82" s="78"/>
      <c r="E82" s="34"/>
      <c r="F82" s="34"/>
      <c r="G82" s="34"/>
      <c r="H82" s="34"/>
      <c r="I82" s="34"/>
      <c r="J82" s="34"/>
      <c r="K82" s="34"/>
      <c r="L82" s="34"/>
      <c r="M82" s="34"/>
      <c r="N82" s="34"/>
      <c r="O82" s="34"/>
      <c r="P82" s="34"/>
      <c r="Q82" s="34"/>
      <c r="R82" s="34"/>
      <c r="S82" s="34"/>
      <c r="T82" s="34"/>
      <c r="U82" s="34"/>
      <c r="V82" s="34"/>
      <c r="W82" s="34"/>
    </row>
    <row r="83" spans="2:23" x14ac:dyDescent="0.2">
      <c r="B83" s="51" t="s">
        <v>187</v>
      </c>
      <c r="C83" s="51"/>
      <c r="D83" s="51"/>
      <c r="E83" s="51"/>
      <c r="F83" s="51"/>
      <c r="G83" s="258"/>
      <c r="H83" s="258"/>
      <c r="I83" s="258"/>
      <c r="J83" s="258"/>
      <c r="K83" s="258">
        <f t="shared" ref="K83:W83" si="36">IF(K57&lt;J57,0,1)</f>
        <v>0</v>
      </c>
      <c r="L83" s="258">
        <f t="shared" si="36"/>
        <v>0</v>
      </c>
      <c r="M83" s="258">
        <f t="shared" si="36"/>
        <v>0</v>
      </c>
      <c r="N83" s="258">
        <f t="shared" si="36"/>
        <v>0</v>
      </c>
      <c r="O83" s="258">
        <f t="shared" si="36"/>
        <v>0</v>
      </c>
      <c r="P83" s="258">
        <f t="shared" si="36"/>
        <v>0</v>
      </c>
      <c r="Q83" s="258">
        <f t="shared" si="36"/>
        <v>0</v>
      </c>
      <c r="R83" s="258">
        <f t="shared" si="36"/>
        <v>0</v>
      </c>
      <c r="S83" s="258">
        <f t="shared" si="36"/>
        <v>0</v>
      </c>
      <c r="T83" s="258">
        <f t="shared" si="36"/>
        <v>1</v>
      </c>
      <c r="U83" s="258">
        <f t="shared" si="36"/>
        <v>1</v>
      </c>
      <c r="V83" s="258">
        <f t="shared" si="36"/>
        <v>1</v>
      </c>
      <c r="W83" s="258">
        <f t="shared" si="36"/>
        <v>1</v>
      </c>
    </row>
    <row r="84" spans="2:23" x14ac:dyDescent="0.2">
      <c r="B84" s="26" t="s">
        <v>261</v>
      </c>
      <c r="F84" s="29">
        <f t="shared" ref="F84:W84" si="37">IF(F57&gt;90,1,0)</f>
        <v>0</v>
      </c>
      <c r="G84" s="29">
        <f t="shared" si="37"/>
        <v>0</v>
      </c>
      <c r="H84" s="29">
        <f t="shared" si="37"/>
        <v>0</v>
      </c>
      <c r="I84" s="29">
        <f t="shared" si="37"/>
        <v>0</v>
      </c>
      <c r="J84" s="29">
        <f t="shared" si="37"/>
        <v>0</v>
      </c>
      <c r="K84" s="29">
        <f t="shared" si="37"/>
        <v>0</v>
      </c>
      <c r="L84" s="29">
        <f t="shared" si="37"/>
        <v>0</v>
      </c>
      <c r="M84" s="29">
        <f t="shared" si="37"/>
        <v>0</v>
      </c>
      <c r="N84" s="29">
        <f t="shared" si="37"/>
        <v>0</v>
      </c>
      <c r="O84" s="29">
        <f t="shared" si="37"/>
        <v>0</v>
      </c>
      <c r="P84" s="29">
        <f t="shared" si="37"/>
        <v>0</v>
      </c>
      <c r="Q84" s="29">
        <f t="shared" si="37"/>
        <v>0</v>
      </c>
      <c r="R84" s="29">
        <f t="shared" si="37"/>
        <v>0</v>
      </c>
      <c r="S84" s="29">
        <f t="shared" si="37"/>
        <v>0</v>
      </c>
      <c r="T84" s="29">
        <f t="shared" si="37"/>
        <v>0</v>
      </c>
      <c r="U84" s="29">
        <f t="shared" si="37"/>
        <v>0</v>
      </c>
      <c r="V84" s="29">
        <f t="shared" si="37"/>
        <v>0</v>
      </c>
      <c r="W84" s="29">
        <f t="shared" si="37"/>
        <v>0</v>
      </c>
    </row>
    <row r="85" spans="2:23" x14ac:dyDescent="0.2">
      <c r="B85" s="26" t="s">
        <v>262</v>
      </c>
      <c r="F85" s="29">
        <f t="shared" ref="F85:W85" si="38">IF(AND(F57&gt;60,F57&lt;=90),1,0)</f>
        <v>0</v>
      </c>
      <c r="G85" s="29">
        <f t="shared" si="38"/>
        <v>0</v>
      </c>
      <c r="H85" s="29">
        <f t="shared" si="38"/>
        <v>1</v>
      </c>
      <c r="I85" s="29">
        <f t="shared" si="38"/>
        <v>1</v>
      </c>
      <c r="J85" s="29">
        <f t="shared" si="38"/>
        <v>1</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c r="U85" s="29">
        <f t="shared" si="38"/>
        <v>0</v>
      </c>
      <c r="V85" s="29">
        <f t="shared" si="38"/>
        <v>0</v>
      </c>
      <c r="W85" s="29">
        <f t="shared" si="38"/>
        <v>0</v>
      </c>
    </row>
    <row r="86" spans="2:23" x14ac:dyDescent="0.2">
      <c r="B86" s="26" t="s">
        <v>263</v>
      </c>
      <c r="F86" s="29">
        <f t="shared" ref="F86:W86" si="39">IF(F57&gt;60,1,0)</f>
        <v>0</v>
      </c>
      <c r="G86" s="29">
        <f t="shared" si="39"/>
        <v>0</v>
      </c>
      <c r="H86" s="29">
        <f t="shared" si="39"/>
        <v>1</v>
      </c>
      <c r="I86" s="29">
        <f t="shared" si="39"/>
        <v>1</v>
      </c>
      <c r="J86" s="29">
        <f t="shared" si="39"/>
        <v>1</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c r="U86" s="29">
        <f t="shared" si="39"/>
        <v>0</v>
      </c>
      <c r="V86" s="29">
        <f t="shared" si="39"/>
        <v>0</v>
      </c>
      <c r="W86" s="29">
        <f t="shared" si="39"/>
        <v>0</v>
      </c>
    </row>
    <row r="87" spans="2:23" x14ac:dyDescent="0.2">
      <c r="B87" s="26" t="s">
        <v>264</v>
      </c>
      <c r="F87" s="366">
        <f>'Input data'!F17</f>
        <v>1</v>
      </c>
      <c r="G87" s="29">
        <f>IF(F87=0,0,IF(AND(E77&gt;-3.05,F77&gt;-3.05),0,1))</f>
        <v>1</v>
      </c>
      <c r="H87" s="29">
        <f t="shared" ref="H87:W87" si="40">IF(G87=0,0,IF(AND(F77&gt;-3.05,G77&gt;-3.05),0,1))</f>
        <v>1</v>
      </c>
      <c r="I87" s="29">
        <f t="shared" si="40"/>
        <v>1</v>
      </c>
      <c r="J87" s="29">
        <f t="shared" si="40"/>
        <v>1</v>
      </c>
      <c r="K87" s="29">
        <f t="shared" si="40"/>
        <v>0</v>
      </c>
      <c r="L87" s="29">
        <f t="shared" si="40"/>
        <v>0</v>
      </c>
      <c r="M87" s="29">
        <f t="shared" si="40"/>
        <v>0</v>
      </c>
      <c r="N87" s="29">
        <f t="shared" si="40"/>
        <v>0</v>
      </c>
      <c r="O87" s="29">
        <f t="shared" si="40"/>
        <v>0</v>
      </c>
      <c r="P87" s="29">
        <f t="shared" si="40"/>
        <v>0</v>
      </c>
      <c r="Q87" s="29">
        <f t="shared" si="40"/>
        <v>0</v>
      </c>
      <c r="R87" s="29">
        <f t="shared" si="40"/>
        <v>0</v>
      </c>
      <c r="S87" s="29">
        <f t="shared" si="40"/>
        <v>0</v>
      </c>
      <c r="T87" s="29">
        <f t="shared" si="40"/>
        <v>0</v>
      </c>
      <c r="U87" s="29">
        <f t="shared" si="40"/>
        <v>0</v>
      </c>
      <c r="V87" s="29">
        <f t="shared" si="40"/>
        <v>0</v>
      </c>
      <c r="W87" s="29">
        <f t="shared" si="40"/>
        <v>0</v>
      </c>
    </row>
    <row r="88" spans="2:23" x14ac:dyDescent="0.2">
      <c r="B88" s="26" t="s">
        <v>259</v>
      </c>
      <c r="F88" s="29">
        <f t="shared" ref="F88:W88" si="41">IF(F78&gt;=-1.55,1,0)</f>
        <v>0</v>
      </c>
      <c r="G88" s="29">
        <f t="shared" si="41"/>
        <v>0</v>
      </c>
      <c r="H88" s="29">
        <f t="shared" si="41"/>
        <v>0</v>
      </c>
      <c r="I88" s="29">
        <f t="shared" si="41"/>
        <v>0</v>
      </c>
      <c r="J88" s="29">
        <f t="shared" si="41"/>
        <v>1</v>
      </c>
      <c r="K88" s="29">
        <f t="shared" si="41"/>
        <v>1</v>
      </c>
      <c r="L88" s="29">
        <f t="shared" si="41"/>
        <v>1</v>
      </c>
      <c r="M88" s="29">
        <f t="shared" si="41"/>
        <v>1</v>
      </c>
      <c r="N88" s="29">
        <f t="shared" si="41"/>
        <v>1</v>
      </c>
      <c r="O88" s="29">
        <f t="shared" si="41"/>
        <v>0</v>
      </c>
      <c r="P88" s="29">
        <f t="shared" si="41"/>
        <v>0</v>
      </c>
      <c r="Q88" s="29">
        <f t="shared" si="41"/>
        <v>0</v>
      </c>
      <c r="R88" s="29">
        <f t="shared" si="41"/>
        <v>0</v>
      </c>
      <c r="S88" s="29">
        <f t="shared" si="41"/>
        <v>0</v>
      </c>
      <c r="T88" s="29">
        <f t="shared" si="41"/>
        <v>0</v>
      </c>
      <c r="U88" s="29">
        <f t="shared" si="41"/>
        <v>0</v>
      </c>
      <c r="V88" s="29">
        <f t="shared" si="41"/>
        <v>0</v>
      </c>
      <c r="W88" s="29">
        <f t="shared" si="41"/>
        <v>0</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144</v>
      </c>
      <c r="F90" s="34">
        <f>E57*F36/100*(1/((1+'Input data'!F30/100)*(1+F42/100)))</f>
        <v>1.3311861164521233</v>
      </c>
      <c r="G90" s="34">
        <f>F57*G36/100*(1/((1+'Input data'!G30/100)*(1+G42/100)))</f>
        <v>1.4864466568294359</v>
      </c>
      <c r="H90" s="34">
        <f>G57*H36/100*(1/((1+'Input data'!H30/100)*(1+H42/100)))</f>
        <v>1.6238664503487692</v>
      </c>
      <c r="I90" s="34">
        <f>H57*I36/100*(1/((1+'Input data'!I30/100)*(1+I42/100)))</f>
        <v>1.744223889822929</v>
      </c>
      <c r="J90" s="34">
        <f>I57*J36/100*(1/((1+'Input data'!J30/100)*(1+J42/100)))</f>
        <v>1.818480960695801</v>
      </c>
      <c r="K90" s="34">
        <f>J57*K36/100*(1/((1+'Input data'!K30/100)*(1+K42/100)))</f>
        <v>1.8439968923137948</v>
      </c>
      <c r="L90" s="34">
        <f>K57*L36/100*(1/((1+'Input data'!L30/100)*(1+L42/100)))</f>
        <v>1.8441844908969902</v>
      </c>
      <c r="M90" s="34">
        <f>L57*M36/100*(1/((1+'Input data'!M30/100)*(1+M42/100)))</f>
        <v>1.8373266113633511</v>
      </c>
      <c r="N90" s="34">
        <f>M57*N36/100*(1/((1+'Input data'!N30/100)*(1+N42/100)))</f>
        <v>1.8249208274785711</v>
      </c>
      <c r="O90" s="34">
        <f>N57*O36/100*(1/((1+'Input data'!O30/100)*(1+O42/100)))</f>
        <v>1.83239852514322</v>
      </c>
      <c r="P90" s="34">
        <f>O57*P36/100*(1/((1+'Input data'!P30/100)*(1+P42/100)))</f>
        <v>1.842194896711804</v>
      </c>
      <c r="Q90" s="34">
        <f>P57*Q36/100*(1/((1+'Input data'!Q30/100)*(1+Q42/100)))</f>
        <v>1.8548346373377869</v>
      </c>
      <c r="R90" s="34">
        <f>Q57*R36/100*(1/((1+'Input data'!R30/100)*(1+R42/100)))</f>
        <v>1.8701180769824628</v>
      </c>
      <c r="S90" s="34">
        <f>R57*S36/100*(1/((1+'Input data'!S30/100)*(1+S42/100)))</f>
        <v>1.8881190058858039</v>
      </c>
      <c r="T90" s="34">
        <f>S57*T36/100*(1/((1+'Input data'!T30/100)*(1+T42/100)))</f>
        <v>1.9103924249440427</v>
      </c>
      <c r="U90" s="34">
        <f>T57*U36/100*(1/((1+'Input data'!U30/100)*(1+U42/100)))</f>
        <v>1.9371565252898124</v>
      </c>
      <c r="V90" s="34">
        <f>U57*V36/100*(1/((1+'Input data'!V30/100)*(1+V42/100)))</f>
        <v>1.9680317475392823</v>
      </c>
      <c r="W90" s="34">
        <f>V57*W36/100*(1/((1+'Input data'!W30/100)*(1+W42/100)))</f>
        <v>2.0045164818892625</v>
      </c>
    </row>
    <row r="91" spans="2:23" x14ac:dyDescent="0.2">
      <c r="B91" s="32" t="s">
        <v>260</v>
      </c>
      <c r="F91" s="34"/>
      <c r="G91" s="34">
        <f>G90-F90</f>
        <v>0.15526054037731263</v>
      </c>
      <c r="H91" s="34">
        <f t="shared" ref="H91:W91" si="42">H90-G90</f>
        <v>0.13741979351933331</v>
      </c>
      <c r="I91" s="34">
        <f t="shared" si="42"/>
        <v>0.12035743947415978</v>
      </c>
      <c r="J91" s="34">
        <f t="shared" si="42"/>
        <v>7.4257070872872033E-2</v>
      </c>
      <c r="K91" s="34">
        <f t="shared" si="42"/>
        <v>2.5515931617993814E-2</v>
      </c>
      <c r="L91" s="34">
        <f t="shared" si="42"/>
        <v>1.8759858319539191E-4</v>
      </c>
      <c r="M91" s="34">
        <f t="shared" si="42"/>
        <v>-6.857879533639144E-3</v>
      </c>
      <c r="N91" s="34">
        <f t="shared" si="42"/>
        <v>-1.2405783884779975E-2</v>
      </c>
      <c r="O91" s="34">
        <f t="shared" si="42"/>
        <v>7.4776976646488968E-3</v>
      </c>
      <c r="P91" s="34">
        <f t="shared" si="42"/>
        <v>9.7963715685840391E-3</v>
      </c>
      <c r="Q91" s="34">
        <f t="shared" si="42"/>
        <v>1.2639740625982832E-2</v>
      </c>
      <c r="R91" s="34">
        <f t="shared" si="42"/>
        <v>1.5283439644675934E-2</v>
      </c>
      <c r="S91" s="34">
        <f t="shared" si="42"/>
        <v>1.8000928903341151E-2</v>
      </c>
      <c r="T91" s="34">
        <f t="shared" si="42"/>
        <v>2.2273419058238764E-2</v>
      </c>
      <c r="U91" s="34">
        <f t="shared" si="42"/>
        <v>2.6764100345769704E-2</v>
      </c>
      <c r="V91" s="34">
        <f t="shared" si="42"/>
        <v>3.0875222249469925E-2</v>
      </c>
      <c r="W91" s="34">
        <f t="shared" si="42"/>
        <v>3.6484734349980119E-2</v>
      </c>
    </row>
    <row r="92" spans="2:23" x14ac:dyDescent="0.2">
      <c r="D92" s="53"/>
    </row>
    <row r="93" spans="2:23" s="93" customFormat="1" ht="12.75" outlineLevel="1" x14ac:dyDescent="0.2">
      <c r="B93" s="94" t="s">
        <v>124</v>
      </c>
      <c r="C93" s="95"/>
      <c r="E93" s="96"/>
      <c r="F93" s="95"/>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125</v>
      </c>
      <c r="D95" s="29">
        <f t="shared" ref="D95:W95" si="43">IF((D100-C100*D43/((1+D24/100)*(1+D42/100)))&gt;0,1,0)</f>
        <v>1</v>
      </c>
      <c r="E95" s="29">
        <f t="shared" si="43"/>
        <v>1</v>
      </c>
      <c r="F95" s="29">
        <f t="shared" si="43"/>
        <v>1</v>
      </c>
      <c r="G95" s="29">
        <f t="shared" si="43"/>
        <v>1</v>
      </c>
      <c r="H95" s="29">
        <f t="shared" si="43"/>
        <v>1</v>
      </c>
      <c r="I95" s="29">
        <f t="shared" si="43"/>
        <v>1</v>
      </c>
      <c r="J95" s="29">
        <f t="shared" si="43"/>
        <v>1</v>
      </c>
      <c r="K95" s="29">
        <f t="shared" si="43"/>
        <v>1</v>
      </c>
      <c r="L95" s="29">
        <f t="shared" si="43"/>
        <v>1</v>
      </c>
      <c r="M95" s="29">
        <f t="shared" si="43"/>
        <v>1</v>
      </c>
      <c r="N95" s="29">
        <f t="shared" si="43"/>
        <v>1</v>
      </c>
      <c r="O95" s="29">
        <f t="shared" si="43"/>
        <v>1</v>
      </c>
      <c r="P95" s="29">
        <f t="shared" si="43"/>
        <v>1</v>
      </c>
      <c r="Q95" s="29">
        <f t="shared" si="43"/>
        <v>1</v>
      </c>
      <c r="R95" s="29">
        <f t="shared" si="43"/>
        <v>1</v>
      </c>
      <c r="S95" s="29">
        <f t="shared" si="43"/>
        <v>1</v>
      </c>
      <c r="T95" s="29">
        <f t="shared" si="43"/>
        <v>1</v>
      </c>
      <c r="U95" s="29">
        <f t="shared" si="43"/>
        <v>1</v>
      </c>
      <c r="V95" s="29">
        <f t="shared" si="43"/>
        <v>1</v>
      </c>
      <c r="W95" s="29">
        <f t="shared" si="43"/>
        <v>1</v>
      </c>
    </row>
    <row r="96" spans="2:23" x14ac:dyDescent="0.2">
      <c r="B96" s="26" t="s">
        <v>126</v>
      </c>
      <c r="D96" s="29">
        <f t="shared" ref="D96:W96" si="44">IF(AND(D95=0,ABS(D100-C100*D43/((1+D24/100)*(1+D42/100)))&lt;((C106*C100*D43/((1+D24/100)*(1+D42/100))+(D39*C100*C107*D43/((1+D24/100)*(1+D42/100)))))),1,0)</f>
        <v>0</v>
      </c>
      <c r="E96" s="29">
        <f t="shared" si="44"/>
        <v>0</v>
      </c>
      <c r="F96" s="29">
        <f t="shared" si="44"/>
        <v>0</v>
      </c>
      <c r="G96" s="29">
        <f t="shared" si="44"/>
        <v>0</v>
      </c>
      <c r="H96" s="29">
        <f t="shared" si="44"/>
        <v>0</v>
      </c>
      <c r="I96" s="29">
        <f t="shared" si="44"/>
        <v>0</v>
      </c>
      <c r="J96" s="29">
        <f t="shared" si="44"/>
        <v>0</v>
      </c>
      <c r="K96" s="29">
        <f t="shared" si="44"/>
        <v>0</v>
      </c>
      <c r="L96" s="29">
        <f t="shared" si="44"/>
        <v>0</v>
      </c>
      <c r="M96" s="29">
        <f t="shared" si="44"/>
        <v>0</v>
      </c>
      <c r="N96" s="29">
        <f t="shared" si="44"/>
        <v>0</v>
      </c>
      <c r="O96" s="29">
        <f t="shared" si="44"/>
        <v>0</v>
      </c>
      <c r="P96" s="29">
        <f t="shared" si="44"/>
        <v>0</v>
      </c>
      <c r="Q96" s="29">
        <f t="shared" si="44"/>
        <v>0</v>
      </c>
      <c r="R96" s="29">
        <f t="shared" si="44"/>
        <v>0</v>
      </c>
      <c r="S96" s="29">
        <f t="shared" si="44"/>
        <v>0</v>
      </c>
      <c r="T96" s="29">
        <f t="shared" si="44"/>
        <v>0</v>
      </c>
      <c r="U96" s="29">
        <f t="shared" si="44"/>
        <v>0</v>
      </c>
      <c r="V96" s="29">
        <f t="shared" si="44"/>
        <v>0</v>
      </c>
      <c r="W96" s="29">
        <f t="shared" si="44"/>
        <v>0</v>
      </c>
    </row>
    <row r="98" spans="2:23" x14ac:dyDescent="0.2">
      <c r="H98" s="38"/>
      <c r="I98" s="38"/>
      <c r="J98" s="38"/>
      <c r="K98" s="38"/>
      <c r="L98" s="38"/>
      <c r="M98" s="38"/>
      <c r="N98" s="38"/>
      <c r="O98" s="38"/>
      <c r="P98" s="38"/>
      <c r="Q98" s="38"/>
      <c r="R98" s="38"/>
      <c r="S98" s="38"/>
      <c r="T98" s="38"/>
    </row>
    <row r="99" spans="2:23" x14ac:dyDescent="0.2">
      <c r="B99" s="51"/>
      <c r="C99" s="86">
        <v>2021</v>
      </c>
      <c r="D99" s="86">
        <v>2022</v>
      </c>
      <c r="E99" s="86">
        <v>2023</v>
      </c>
      <c r="F99" s="86">
        <v>2024</v>
      </c>
      <c r="G99" s="86">
        <v>2025</v>
      </c>
      <c r="H99" s="86">
        <v>2026</v>
      </c>
      <c r="I99" s="86">
        <v>2027</v>
      </c>
      <c r="J99" s="86">
        <v>2028</v>
      </c>
      <c r="K99" s="86">
        <v>2029</v>
      </c>
      <c r="L99" s="86">
        <v>2030</v>
      </c>
      <c r="M99" s="86">
        <v>2031</v>
      </c>
      <c r="N99" s="86">
        <v>2032</v>
      </c>
      <c r="O99" s="86">
        <v>2033</v>
      </c>
      <c r="P99" s="86">
        <v>2034</v>
      </c>
      <c r="Q99" s="86">
        <v>2035</v>
      </c>
      <c r="R99" s="86">
        <v>2036</v>
      </c>
      <c r="S99" s="86">
        <v>2037</v>
      </c>
      <c r="T99" s="86">
        <v>2038</v>
      </c>
      <c r="U99" s="86">
        <v>2039</v>
      </c>
      <c r="V99" s="86">
        <v>2040</v>
      </c>
      <c r="W99" s="86">
        <v>2041</v>
      </c>
    </row>
    <row r="100" spans="2:23" x14ac:dyDescent="0.2">
      <c r="B100" s="106" t="s">
        <v>104</v>
      </c>
      <c r="C100" s="110">
        <f>C57</f>
        <v>61.088839999999998</v>
      </c>
      <c r="D100" s="110">
        <f>D57</f>
        <v>57.741851922294835</v>
      </c>
      <c r="E100" s="110">
        <f>E57</f>
        <v>56.044964616339094</v>
      </c>
      <c r="F100" s="110">
        <f>F57</f>
        <v>58.478930381041359</v>
      </c>
      <c r="G100" s="110">
        <f>G57</f>
        <v>59.623964733451906</v>
      </c>
      <c r="H100" s="110">
        <f t="shared" ref="H100:W100" si="45">G100*(1+H113/100)*H43-H60-H61+H62+H63+H64+H65+H66+H72</f>
        <v>61.136174386887213</v>
      </c>
      <c r="I100" s="110">
        <f t="shared" si="45"/>
        <v>61.633447791006709</v>
      </c>
      <c r="J100" s="110">
        <f t="shared" si="45"/>
        <v>60.963732291979092</v>
      </c>
      <c r="K100" s="110">
        <f t="shared" si="45"/>
        <v>59.590667340237808</v>
      </c>
      <c r="L100" s="110">
        <f t="shared" si="45"/>
        <v>58.148355984923697</v>
      </c>
      <c r="M100" s="110">
        <f t="shared" si="45"/>
        <v>56.658318746410529</v>
      </c>
      <c r="N100" s="110">
        <f t="shared" si="45"/>
        <v>55.823411743043899</v>
      </c>
      <c r="O100" s="110">
        <f t="shared" si="45"/>
        <v>55.220580273948059</v>
      </c>
      <c r="P100" s="110">
        <f t="shared" si="45"/>
        <v>54.776942231545938</v>
      </c>
      <c r="Q100" s="110">
        <f t="shared" si="45"/>
        <v>54.480076992848865</v>
      </c>
      <c r="R100" s="110">
        <f t="shared" si="45"/>
        <v>54.313367510706122</v>
      </c>
      <c r="S100" s="110">
        <f t="shared" si="45"/>
        <v>54.292704756653251</v>
      </c>
      <c r="T100" s="110">
        <f t="shared" si="45"/>
        <v>54.454121916074946</v>
      </c>
      <c r="U100" s="110">
        <f t="shared" si="45"/>
        <v>54.775534480653107</v>
      </c>
      <c r="V100" s="110">
        <f t="shared" si="45"/>
        <v>55.31044290934468</v>
      </c>
      <c r="W100" s="110">
        <f t="shared" si="45"/>
        <v>56.027460196798287</v>
      </c>
    </row>
    <row r="101" spans="2:23" x14ac:dyDescent="0.2">
      <c r="B101" s="26" t="s">
        <v>127</v>
      </c>
      <c r="C101" s="34"/>
      <c r="D101" s="254">
        <f>'Input data'!C66*$D$100</f>
        <v>52.315862681355021</v>
      </c>
      <c r="E101" s="34">
        <f t="shared" ref="E101:W101" si="46">IF(E100=0,0,IF(E95=1,D100*E43/((1+E24/100)*(1+E42/100))-E102-E103,IF(AND(E95=0,E96=1),(1-D106-E39*D107)*D100*E43/((1+E24/100)*(1+E42/100)),E100)))</f>
        <v>45.918787023684288</v>
      </c>
      <c r="F101" s="34">
        <f t="shared" si="46"/>
        <v>46.936801284818955</v>
      </c>
      <c r="G101" s="34">
        <f t="shared" si="46"/>
        <v>49.796493226638624</v>
      </c>
      <c r="H101" s="34">
        <f t="shared" si="46"/>
        <v>51.58148690998658</v>
      </c>
      <c r="I101" s="34">
        <f t="shared" si="46"/>
        <v>53.089026673249592</v>
      </c>
      <c r="J101" s="34">
        <f t="shared" si="46"/>
        <v>53.631210153156147</v>
      </c>
      <c r="K101" s="34">
        <f t="shared" si="46"/>
        <v>52.62757562138188</v>
      </c>
      <c r="L101" s="34">
        <f t="shared" si="46"/>
        <v>51.585758621472287</v>
      </c>
      <c r="M101" s="34">
        <f t="shared" si="46"/>
        <v>50.476671475036007</v>
      </c>
      <c r="N101" s="34">
        <f t="shared" si="46"/>
        <v>49.696214520038033</v>
      </c>
      <c r="O101" s="34">
        <f t="shared" si="46"/>
        <v>49.116307101573732</v>
      </c>
      <c r="P101" s="34">
        <f t="shared" si="46"/>
        <v>48.59327451916257</v>
      </c>
      <c r="Q101" s="34">
        <f t="shared" si="46"/>
        <v>48.210743789043008</v>
      </c>
      <c r="R101" s="34">
        <f t="shared" si="46"/>
        <v>47.957723573432794</v>
      </c>
      <c r="S101" s="34">
        <f t="shared" si="46"/>
        <v>47.831288802023238</v>
      </c>
      <c r="T101" s="34">
        <f t="shared" si="46"/>
        <v>47.863793958466609</v>
      </c>
      <c r="U101" s="34">
        <f t="shared" si="46"/>
        <v>48.054012856157804</v>
      </c>
      <c r="V101" s="34">
        <f t="shared" si="46"/>
        <v>48.388504849701853</v>
      </c>
      <c r="W101" s="34">
        <f t="shared" si="46"/>
        <v>48.89560130972194</v>
      </c>
    </row>
    <row r="102" spans="2:23" x14ac:dyDescent="0.2">
      <c r="B102" s="105" t="s">
        <v>128</v>
      </c>
      <c r="C102" s="34"/>
      <c r="D102" s="254">
        <f>'Input data'!C67*$D$100</f>
        <v>1.4670897947637904</v>
      </c>
      <c r="E102" s="34">
        <f t="shared" ref="E102:W102" si="47">IF(E100=0,0,IF(E95=1,E39*D100*D107*E43/((1+E24/100)*(1+E42/100)),IF(AND(E95=0,E96=1),(E39*D100*D107*E43/((1+E24/100)*(1+E42/100)))*(1-ABS(E100-D100*E43/((1+E24/100)*(1+E42/100)))/((E39*D100*D107*E43/((1+E24/100)*(1+E42/100)))+(D106*D100*E43/((1+E24/100)*(1+E42/100))))),0)))</f>
        <v>3.8289375982734368</v>
      </c>
      <c r="F102" s="34">
        <f t="shared" si="47"/>
        <v>3.6414445364952521</v>
      </c>
      <c r="G102" s="34">
        <f t="shared" si="47"/>
        <v>3.7434019124227125</v>
      </c>
      <c r="H102" s="34">
        <f t="shared" si="47"/>
        <v>3.7539399899390373</v>
      </c>
      <c r="I102" s="34">
        <f t="shared" si="47"/>
        <v>3.7369594334782299</v>
      </c>
      <c r="J102" s="34">
        <f t="shared" si="47"/>
        <v>3.6477036313138331</v>
      </c>
      <c r="K102" s="34">
        <f t="shared" si="47"/>
        <v>3.4549598626342619</v>
      </c>
      <c r="L102" s="34">
        <f t="shared" si="47"/>
        <v>3.2650869007704597</v>
      </c>
      <c r="M102" s="34">
        <f t="shared" si="47"/>
        <v>3.0765454363400067</v>
      </c>
      <c r="N102" s="34">
        <f t="shared" si="47"/>
        <v>2.9129766432686632</v>
      </c>
      <c r="O102" s="34">
        <f t="shared" si="47"/>
        <v>2.7648418911356285</v>
      </c>
      <c r="P102" s="34">
        <f t="shared" si="47"/>
        <v>2.7353994822979959</v>
      </c>
      <c r="Q102" s="34">
        <f t="shared" si="47"/>
        <v>2.7138661657745442</v>
      </c>
      <c r="R102" s="34">
        <f t="shared" si="47"/>
        <v>2.6996232201480219</v>
      </c>
      <c r="S102" s="34">
        <f t="shared" si="47"/>
        <v>2.6925059881507876</v>
      </c>
      <c r="T102" s="34">
        <f t="shared" si="47"/>
        <v>2.6943357596363899</v>
      </c>
      <c r="U102" s="34">
        <f t="shared" si="47"/>
        <v>2.7050435104396948</v>
      </c>
      <c r="V102" s="34">
        <f t="shared" si="47"/>
        <v>2.7238726433809712</v>
      </c>
      <c r="W102" s="34">
        <f t="shared" si="47"/>
        <v>2.7524179803219315</v>
      </c>
    </row>
    <row r="103" spans="2:23" x14ac:dyDescent="0.2">
      <c r="B103" s="105" t="s">
        <v>129</v>
      </c>
      <c r="C103" s="34"/>
      <c r="D103" s="254">
        <f>'Input data'!C68*$D$100</f>
        <v>2.0088707189722039</v>
      </c>
      <c r="E103" s="34">
        <f t="shared" ref="E103:W103" si="48">IF(E100=0,0,IF(E95=1,(1-D107)*D100*E43/((1+E24/100)*(1+E42/100)),IF(AND(E95=0,E96=1),(D106*D100*E43/((1+E24/100)*(1+E42/100)))*(1-ABS(E100-D100*E43/((1+E24/100)*(1+E42/100)))/((E39*D100*D107*E43/((1+E24/100)*(1+E42/100)))+(D106*D100*E43/((1+E24/100)*(1+E42/100))))),0)))</f>
        <v>1.8581502566395298</v>
      </c>
      <c r="F103" s="34">
        <f t="shared" si="48"/>
        <v>1.8451657155057619</v>
      </c>
      <c r="G103" s="34">
        <f t="shared" si="48"/>
        <v>1.8972380119201142</v>
      </c>
      <c r="H103" s="34">
        <f t="shared" si="48"/>
        <v>1.9257539015442364</v>
      </c>
      <c r="I103" s="34">
        <f t="shared" si="48"/>
        <v>1.9474016318581715</v>
      </c>
      <c r="J103" s="34">
        <f t="shared" si="48"/>
        <v>1.9420495914242122</v>
      </c>
      <c r="K103" s="34">
        <f t="shared" si="48"/>
        <v>1.8894867315460735</v>
      </c>
      <c r="L103" s="34">
        <f t="shared" si="48"/>
        <v>1.8371614874339537</v>
      </c>
      <c r="M103" s="34">
        <f t="shared" si="48"/>
        <v>1.7841932904726041</v>
      </c>
      <c r="N103" s="34">
        <f t="shared" si="48"/>
        <v>1.7442937024683565</v>
      </c>
      <c r="O103" s="34">
        <f t="shared" si="48"/>
        <v>1.7109675312068213</v>
      </c>
      <c r="P103" s="34">
        <f t="shared" si="48"/>
        <v>1.6828394084849048</v>
      </c>
      <c r="Q103" s="34">
        <f t="shared" si="48"/>
        <v>1.6591694009340121</v>
      </c>
      <c r="R103" s="34">
        <f t="shared" si="48"/>
        <v>1.6396299161117762</v>
      </c>
      <c r="S103" s="34">
        <f t="shared" si="48"/>
        <v>1.6241902860342148</v>
      </c>
      <c r="T103" s="34">
        <f t="shared" si="48"/>
        <v>1.6139014233209166</v>
      </c>
      <c r="U103" s="34">
        <f t="shared" si="48"/>
        <v>1.6086653893403409</v>
      </c>
      <c r="V103" s="34">
        <f t="shared" si="48"/>
        <v>1.6080791446478002</v>
      </c>
      <c r="W103" s="34">
        <f t="shared" si="48"/>
        <v>1.6128100745009708</v>
      </c>
    </row>
    <row r="104" spans="2:23" x14ac:dyDescent="0.2">
      <c r="B104" s="105" t="s">
        <v>130</v>
      </c>
      <c r="C104" s="34"/>
      <c r="D104" s="254">
        <f>'Input data'!C69*$D$100</f>
        <v>1.8798137370264267</v>
      </c>
      <c r="E104" s="34">
        <f>IF(E100=0,0,IF(E95=1,'Input data'!$C$58*(E100-D100*E43/((1+E24/100)*(1+E42/100))),0))</f>
        <v>4.3246051694965022</v>
      </c>
      <c r="F104" s="34">
        <f>IF(F100=0,0,IF(F95=1,'Input data'!$C$58*(F100-E100*F43/((1+F24/100)*(1+F42/100))),0))</f>
        <v>5.8993464076770348</v>
      </c>
      <c r="G104" s="34">
        <f>IF(G100=0,0,IF(G95=1,'Input data'!$C$58*(G100-F100*G43/((1+G24/100)*(1+G42/100))),0))</f>
        <v>4.0788527772753822</v>
      </c>
      <c r="H104" s="34">
        <f>IF(H100=0,0,IF(H95=1,'Input data'!$C$58*(H100-G100*H43/((1+H24/100)*(1+H42/100))),0))</f>
        <v>3.7750571133500919</v>
      </c>
      <c r="I104" s="34">
        <f>IF(I100=0,0,IF(I95=1,'Input data'!$C$58*(I100-H100*I43/((1+I24/100)*(1+I42/100))),0))</f>
        <v>2.786298817662785</v>
      </c>
      <c r="J104" s="34">
        <f>IF(J100=0,0,IF(J95=1,'Input data'!$C$58*(J100-I100*J43/((1+J24/100)*(1+J42/100))),0))</f>
        <v>1.6978227314621772</v>
      </c>
      <c r="K104" s="34">
        <f>IF(K100=0,0,IF(K95=1,'Input data'!$C$58*(K100-J100*K43/((1+K24/100)*(1+K42/100))),0))</f>
        <v>1.576900105045699</v>
      </c>
      <c r="L104" s="34">
        <f>IF(L100=0,0,IF(L95=1,'Input data'!$C$58*(L100-K100*L43/((1+L24/100)*(1+L42/100))),0))</f>
        <v>1.4226864291404764</v>
      </c>
      <c r="M104" s="34">
        <f>IF(M100=0,0,IF(M95=1,'Input data'!$C$58*(M100-L100*M43/((1+M24/100)*(1+M42/100))),0))</f>
        <v>1.2868421811068103</v>
      </c>
      <c r="N104" s="34">
        <f>IF(N100=0,0,IF(N95=1,'Input data'!$C$58*(N100-M100*N43/((1+N24/100)*(1+N42/100))),0))</f>
        <v>1.4320173161113956</v>
      </c>
      <c r="O104" s="34">
        <f>IF(O100=0,0,IF(O95=1,'Input data'!$C$58*(O100-N100*O43/((1+O24/100)*(1+O42/100))),0))</f>
        <v>1.5864655070721794</v>
      </c>
      <c r="P104" s="34">
        <f>IF(P100=0,0,IF(P95=1,'Input data'!$C$58*(P100-O100*P43/((1+P24/100)*(1+P42/100))),0))</f>
        <v>1.7198982357485146</v>
      </c>
      <c r="Q104" s="34">
        <f>IF(Q100=0,0,IF(Q95=1,'Input data'!$C$58*(Q100-P100*Q43/((1+Q24/100)*(1+Q42/100))),0))</f>
        <v>1.847391931406795</v>
      </c>
      <c r="R104" s="34">
        <f>IF(R100=0,0,IF(R95=1,'Input data'!$C$58*(R100-Q100*R43/((1+R24/100)*(1+R42/100))),0))</f>
        <v>1.9643878806163098</v>
      </c>
      <c r="S104" s="34">
        <f>IF(S100=0,0,IF(S95=1,'Input data'!$C$58*(S100-R100*S43/((1+S24/100)*(1+S42/100))),0))</f>
        <v>2.0894071454143694</v>
      </c>
      <c r="T104" s="34">
        <f>IF(T100=0,0,IF(T95=1,'Input data'!$C$58*(T100-S100*T43/((1+T24/100)*(1+T42/100))),0))</f>
        <v>2.2232354253637037</v>
      </c>
      <c r="U104" s="34">
        <f>IF(U100=0,0,IF(U95=1,'Input data'!$C$58*(U100-T100*U43/((1+U24/100)*(1+U42/100))),0))</f>
        <v>2.3457149937635915</v>
      </c>
      <c r="V104" s="34">
        <f>IF(V100=0,0,IF(V95=1,'Input data'!$C$58*(V100-U100*V43/((1+V24/100)*(1+V42/100))),0))</f>
        <v>2.5231902666704982</v>
      </c>
      <c r="W104" s="34">
        <f>IF(W100=0,0,IF(W95=1,'Input data'!$C$58*(W100-V100*W43/((1+W24/100)*(1+W42/100))),0))</f>
        <v>2.695279146426548</v>
      </c>
    </row>
    <row r="105" spans="2:23" x14ac:dyDescent="0.2">
      <c r="B105" s="107" t="s">
        <v>131</v>
      </c>
      <c r="C105" s="49"/>
      <c r="D105" s="255">
        <f>'Input data'!C70*$D$100</f>
        <v>7.0213790177552735E-2</v>
      </c>
      <c r="E105" s="49">
        <f>IF(E100=0,0,IF(E95=1,'Input data'!$C$57*(E100-D100*E43/((1+E24/100)*(1+E42/100))),0))</f>
        <v>0.11448456824533579</v>
      </c>
      <c r="F105" s="49">
        <f>IF(F100=0,0,IF(F95=1,'Input data'!$C$57*(F100-E100*F43/((1+F24/100)*(1+F42/100))),0))</f>
        <v>0.15617243654435403</v>
      </c>
      <c r="G105" s="49">
        <f>IF(G100=0,0,IF(G95=1,'Input data'!$C$57*(G100-F100*G43/((1+G24/100)*(1+G42/100))),0))</f>
        <v>0.10797880519507125</v>
      </c>
      <c r="H105" s="49">
        <f>IF(H100=0,0,IF(H95=1,'Input data'!$C$57*(H100-G100*H43/((1+H24/100)*(1+H42/100))),0))</f>
        <v>9.9936472067272367E-2</v>
      </c>
      <c r="I105" s="49">
        <f>IF(I100=0,0,IF(I95=1,'Input data'!$C$57*(I100-H100*I43/((1+I24/100)*(1+I42/100))),0))</f>
        <v>7.376123475793564E-2</v>
      </c>
      <c r="J105" s="49">
        <f>IF(J100=0,0,IF(J95=1,'Input data'!$C$57*(J100-I100*J43/((1+J24/100)*(1+J42/100))),0))</f>
        <v>4.4946184622721139E-2</v>
      </c>
      <c r="K105" s="49">
        <f>IF(K100=0,0,IF(K95=1,'Input data'!$C$57*(K100-J100*K43/((1+K24/100)*(1+K42/100))),0))</f>
        <v>4.1745019629896067E-2</v>
      </c>
      <c r="L105" s="49">
        <f>IF(L100=0,0,IF(L95=1,'Input data'!$C$57*(L100-K100*L43/((1+L24/100)*(1+L42/100))),0))</f>
        <v>3.7662546106517501E-2</v>
      </c>
      <c r="M105" s="49">
        <f>IF(M100=0,0,IF(M95=1,'Input data'!$C$57*(M100-L100*M43/((1+M24/100)*(1+M42/100))),0))</f>
        <v>3.4066363455106288E-2</v>
      </c>
      <c r="N105" s="49">
        <f>IF(N100=0,0,IF(N95=1,'Input data'!$C$57*(N100-M100*N43/((1+N24/100)*(1+N42/100))),0))</f>
        <v>3.7909561157451289E-2</v>
      </c>
      <c r="O105" s="49">
        <f>IF(O100=0,0,IF(O95=1,'Input data'!$C$57*(O100-N100*O43/((1+O24/100)*(1+O42/100))),0))</f>
        <v>4.1998242959697098E-2</v>
      </c>
      <c r="P105" s="49">
        <f>IF(P100=0,0,IF(P95=1,'Input data'!$C$57*(P100-O100*P43/((1+P24/100)*(1+P42/100))),0))</f>
        <v>4.5530585851958356E-2</v>
      </c>
      <c r="Q105" s="49">
        <f>IF(Q100=0,0,IF(Q95=1,'Input data'!$C$57*(Q100-P100*Q43/((1+Q24/100)*(1+Q42/100))),0))</f>
        <v>4.890570569050303E-2</v>
      </c>
      <c r="R105" s="49">
        <f>IF(R100=0,0,IF(R95=1,'Input data'!$C$57*(R100-Q100*R43/((1+R24/100)*(1+R42/100))),0))</f>
        <v>5.2002920397219009E-2</v>
      </c>
      <c r="S105" s="49">
        <f>IF(S100=0,0,IF(S95=1,'Input data'!$C$57*(S100-R100*S43/((1+S24/100)*(1+S42/100))),0))</f>
        <v>5.5312535030644962E-2</v>
      </c>
      <c r="T105" s="49">
        <f>IF(T100=0,0,IF(T95=1,'Input data'!$C$57*(T100-S100*T43/((1+T24/100)*(1+T42/100))),0))</f>
        <v>5.8855349287327566E-2</v>
      </c>
      <c r="U105" s="49">
        <f>IF(U100=0,0,IF(U95=1,'Input data'!$C$57*(U100-T100*U43/((1+U24/100)*(1+U42/100))),0))</f>
        <v>6.2097730951679302E-2</v>
      </c>
      <c r="V105" s="49">
        <f>IF(V100=0,0,IF(V95=1,'Input data'!$C$57*(V100-U100*V43/((1+V24/100)*(1+V42/100))),0))</f>
        <v>6.6796004943553561E-2</v>
      </c>
      <c r="W105" s="49">
        <f>IF(W100=0,0,IF(W95=1,'Input data'!$C$57*(W100-V100*W43/((1+W24/100)*(1+W42/100))),0))</f>
        <v>7.1351685826899644E-2</v>
      </c>
    </row>
    <row r="106" spans="2:23" x14ac:dyDescent="0.2">
      <c r="B106" s="26" t="s">
        <v>73</v>
      </c>
      <c r="C106" s="36"/>
      <c r="D106" s="260">
        <f>'Baseline NFPC'!$D$93</f>
        <v>3.6006564388469831E-2</v>
      </c>
      <c r="E106" s="36">
        <f t="shared" ref="E106:G106" si="49">IF(E100&lt;&gt;0,(E103+E105)/(E101+E102+E103+E104+E105),0)</f>
        <v>3.5197360519160226E-2</v>
      </c>
      <c r="F106" s="36">
        <f t="shared" si="49"/>
        <v>3.4223234573711389E-2</v>
      </c>
      <c r="G106" s="36">
        <f t="shared" si="49"/>
        <v>3.3631054661988333E-2</v>
      </c>
      <c r="H106" s="36">
        <f t="shared" ref="H106:W106" si="50">IF(H100&lt;&gt;0,(H103+H105)/(H101+H102+H103+H104+H105),0)</f>
        <v>3.3134071503924341E-2</v>
      </c>
      <c r="I106" s="36">
        <f t="shared" si="50"/>
        <v>3.2793279283509863E-2</v>
      </c>
      <c r="J106" s="36">
        <f t="shared" si="50"/>
        <v>3.2593079546548026E-2</v>
      </c>
      <c r="K106" s="36">
        <f t="shared" si="50"/>
        <v>3.2408292059383115E-2</v>
      </c>
      <c r="L106" s="36">
        <f t="shared" si="50"/>
        <v>3.2242081513474991E-2</v>
      </c>
      <c r="M106" s="36">
        <f t="shared" si="50"/>
        <v>3.2091662692389764E-2</v>
      </c>
      <c r="N106" s="36">
        <f t="shared" si="50"/>
        <v>3.1925731659492966E-2</v>
      </c>
      <c r="O106" s="36">
        <f t="shared" si="50"/>
        <v>3.1744790899879978E-2</v>
      </c>
      <c r="P106" s="36">
        <f t="shared" si="50"/>
        <v>3.1552874693715524E-2</v>
      </c>
      <c r="Q106" s="36">
        <f t="shared" si="50"/>
        <v>3.1352288779781273E-2</v>
      </c>
      <c r="R106" s="36">
        <f t="shared" si="50"/>
        <v>3.1145791801172051E-2</v>
      </c>
      <c r="S106" s="36">
        <f t="shared" si="50"/>
        <v>3.0934226404681867E-2</v>
      </c>
      <c r="T106" s="36">
        <f t="shared" si="50"/>
        <v>3.0718643763759667E-2</v>
      </c>
      <c r="U106" s="36">
        <f>IF(U100&lt;&gt;0,(U103+U105)/(U101+U102+U103+U104+U105),0)</f>
        <v>3.0501995756556953E-2</v>
      </c>
      <c r="V106" s="36">
        <f t="shared" si="50"/>
        <v>3.028135486704599E-2</v>
      </c>
      <c r="W106" s="34">
        <f t="shared" si="50"/>
        <v>3.005957711472548E-2</v>
      </c>
    </row>
    <row r="107" spans="2:23" x14ac:dyDescent="0.2">
      <c r="B107" s="35" t="s">
        <v>74</v>
      </c>
      <c r="C107" s="108"/>
      <c r="D107" s="261">
        <f>'Baseline NFPC'!$D$94</f>
        <v>0.96399343561153017</v>
      </c>
      <c r="E107" s="108">
        <f t="shared" ref="E107:G107" si="51">IF(E100&lt;&gt;0,(E101+E102+E104)/(E101+E102+E103+E104+E105),1)</f>
        <v>0.96480263948083966</v>
      </c>
      <c r="F107" s="108">
        <f t="shared" si="51"/>
        <v>0.96577676542628854</v>
      </c>
      <c r="G107" s="108">
        <f t="shared" si="51"/>
        <v>0.96636894533801154</v>
      </c>
      <c r="H107" s="108">
        <f t="shared" ref="H107:W107" si="52">IF(H100&lt;&gt;0,(H101+H102+H104)/(H101+H102+H103+H104+H105),1)</f>
        <v>0.96686592849607578</v>
      </c>
      <c r="I107" s="108">
        <f t="shared" si="52"/>
        <v>0.96720672071649005</v>
      </c>
      <c r="J107" s="108">
        <f t="shared" si="52"/>
        <v>0.96740692045345189</v>
      </c>
      <c r="K107" s="108">
        <f t="shared" si="52"/>
        <v>0.967591707940617</v>
      </c>
      <c r="L107" s="108">
        <f t="shared" si="52"/>
        <v>0.96775791848652504</v>
      </c>
      <c r="M107" s="108">
        <f t="shared" si="52"/>
        <v>0.96790833730761039</v>
      </c>
      <c r="N107" s="108">
        <f t="shared" si="52"/>
        <v>0.96807426834050714</v>
      </c>
      <c r="O107" s="108">
        <f t="shared" si="52"/>
        <v>0.96825520910011997</v>
      </c>
      <c r="P107" s="108">
        <f t="shared" si="52"/>
        <v>0.96844712530628452</v>
      </c>
      <c r="Q107" s="108">
        <f t="shared" si="52"/>
        <v>0.96864771122021875</v>
      </c>
      <c r="R107" s="108">
        <f t="shared" si="52"/>
        <v>0.96885420819882784</v>
      </c>
      <c r="S107" s="108">
        <f t="shared" si="52"/>
        <v>0.9690657735953182</v>
      </c>
      <c r="T107" s="108">
        <f t="shared" si="52"/>
        <v>0.96928135623624034</v>
      </c>
      <c r="U107" s="108">
        <f t="shared" si="52"/>
        <v>0.96949800424344312</v>
      </c>
      <c r="V107" s="108">
        <f t="shared" si="52"/>
        <v>0.96971864513295392</v>
      </c>
      <c r="W107" s="49">
        <f t="shared" si="52"/>
        <v>0.9699404228852746</v>
      </c>
    </row>
    <row r="108" spans="2:23" x14ac:dyDescent="0.2">
      <c r="C108" s="38"/>
      <c r="D108" s="38"/>
      <c r="E108" s="38"/>
      <c r="F108" s="38"/>
      <c r="G108" s="38"/>
      <c r="H108" s="38"/>
      <c r="I108" s="38"/>
      <c r="J108" s="38"/>
      <c r="K108" s="38"/>
      <c r="L108" s="38"/>
      <c r="M108" s="38"/>
      <c r="N108" s="38"/>
      <c r="O108" s="38"/>
      <c r="P108" s="38"/>
      <c r="Q108" s="38"/>
      <c r="R108" s="38"/>
      <c r="S108" s="38"/>
      <c r="T108" s="38"/>
      <c r="U108" s="38"/>
      <c r="V108" s="38"/>
      <c r="W108" s="38"/>
    </row>
    <row r="109" spans="2:23" x14ac:dyDescent="0.2">
      <c r="B109" s="113" t="s">
        <v>132</v>
      </c>
      <c r="C109" s="115">
        <f>'Baseline NFPC'!C96</f>
        <v>1.998502</v>
      </c>
      <c r="D109" s="115">
        <f>'Baseline NFPC'!D96</f>
        <v>1.859802</v>
      </c>
      <c r="E109" s="115">
        <f>'Baseline NFPC'!E96</f>
        <v>2.2416550000000002</v>
      </c>
      <c r="F109" s="115">
        <f>'Baseline NFPC'!F96</f>
        <v>2.5392969999999999</v>
      </c>
      <c r="G109" s="115">
        <f>'Baseline NFPC'!G96</f>
        <v>2.7068880000000002</v>
      </c>
      <c r="H109" s="115">
        <f>H111</f>
        <v>2.8542031799392458</v>
      </c>
      <c r="I109" s="115">
        <f t="shared" ref="I109:V109" si="53">I111</f>
        <v>2.979782618905352</v>
      </c>
      <c r="J109" s="115">
        <f t="shared" si="53"/>
        <v>3.0791222957454929</v>
      </c>
      <c r="K109" s="115">
        <f t="shared" si="53"/>
        <v>3.1566440765560015</v>
      </c>
      <c r="L109" s="115">
        <f t="shared" si="53"/>
        <v>3.2286592210948779</v>
      </c>
      <c r="M109" s="115">
        <f t="shared" si="53"/>
        <v>3.2953481883418272</v>
      </c>
      <c r="N109" s="115">
        <f t="shared" si="53"/>
        <v>3.3575047340298072</v>
      </c>
      <c r="O109" s="115">
        <f t="shared" si="53"/>
        <v>3.4191568536493411</v>
      </c>
      <c r="P109" s="115">
        <f t="shared" si="53"/>
        <v>3.4750845207263823</v>
      </c>
      <c r="Q109" s="115">
        <f t="shared" si="53"/>
        <v>3.5273893585872655</v>
      </c>
      <c r="R109" s="115">
        <f t="shared" si="53"/>
        <v>3.5759582955698113</v>
      </c>
      <c r="S109" s="115">
        <f t="shared" si="53"/>
        <v>3.6206940749993275</v>
      </c>
      <c r="T109" s="115">
        <f t="shared" si="53"/>
        <v>3.6617175585238386</v>
      </c>
      <c r="U109" s="115">
        <f t="shared" si="53"/>
        <v>3.6991422585042391</v>
      </c>
      <c r="V109" s="115">
        <f t="shared" si="53"/>
        <v>3.7329565657267412</v>
      </c>
      <c r="W109" s="115">
        <f>W111</f>
        <v>3.7635848067053392</v>
      </c>
    </row>
    <row r="110" spans="2:23" x14ac:dyDescent="0.2">
      <c r="B110" s="33" t="s">
        <v>133</v>
      </c>
      <c r="C110" s="34"/>
      <c r="D110" s="34"/>
      <c r="E110" s="266">
        <f>((E36*D100)-(E38*(D103+D105)))/(D101+D102+D104)</f>
        <v>2.1972686505760572</v>
      </c>
      <c r="F110" s="266">
        <f>((F36*E100)-(F38*(E103+E105)))/(E101+E102+E104)</f>
        <v>2.5019068017450858</v>
      </c>
      <c r="G110" s="266">
        <f>((G36*F100)-(G38*(F103+F105)))/(F101+F102+F104)</f>
        <v>2.7030082221694394</v>
      </c>
      <c r="H110" s="34">
        <f t="shared" ref="H110:W110" si="54">IF(G100&gt;0,(G110*G101+H37*(G104+G102))/(G101+G102+G104),H37)</f>
        <v>2.855912412284241</v>
      </c>
      <c r="I110" s="34">
        <f t="shared" si="54"/>
        <v>2.9861560332112154</v>
      </c>
      <c r="J110" s="34">
        <f t="shared" si="54"/>
        <v>3.0891787016818633</v>
      </c>
      <c r="K110" s="34">
        <f t="shared" si="54"/>
        <v>3.16962904690019</v>
      </c>
      <c r="L110" s="34">
        <f t="shared" si="54"/>
        <v>3.2443581636131138</v>
      </c>
      <c r="M110" s="34">
        <f t="shared" si="54"/>
        <v>3.3135617565200497</v>
      </c>
      <c r="N110" s="34">
        <f t="shared" si="54"/>
        <v>3.3780655386283853</v>
      </c>
      <c r="O110" s="34">
        <f t="shared" si="54"/>
        <v>3.4420132264663024</v>
      </c>
      <c r="P110" s="34">
        <f t="shared" si="54"/>
        <v>3.5008309902238284</v>
      </c>
      <c r="Q110" s="34">
        <f t="shared" si="54"/>
        <v>3.5558620755913801</v>
      </c>
      <c r="R110" s="34">
        <f t="shared" si="54"/>
        <v>3.6069912535619744</v>
      </c>
      <c r="S110" s="34">
        <f t="shared" si="54"/>
        <v>3.654121273420027</v>
      </c>
      <c r="T110" s="34">
        <f t="shared" si="54"/>
        <v>3.6973788869702724</v>
      </c>
      <c r="U110" s="34">
        <f t="shared" si="54"/>
        <v>3.7368838239148157</v>
      </c>
      <c r="V110" s="34">
        <f t="shared" si="54"/>
        <v>3.7726296310466005</v>
      </c>
      <c r="W110" s="34">
        <f t="shared" si="54"/>
        <v>3.8050520345435892</v>
      </c>
    </row>
    <row r="111" spans="2:23" x14ac:dyDescent="0.2">
      <c r="B111" s="35" t="s">
        <v>63</v>
      </c>
      <c r="C111" s="49"/>
      <c r="D111" s="49"/>
      <c r="E111" s="49">
        <f t="shared" ref="E111:W111" si="55">(E110*(D101+D102+D104)+E38*(D103+D105))/D100</f>
        <v>2.2416550000000002</v>
      </c>
      <c r="F111" s="49">
        <f t="shared" si="55"/>
        <v>2.5392969999999999</v>
      </c>
      <c r="G111" s="49">
        <f t="shared" si="55"/>
        <v>2.7068880000000002</v>
      </c>
      <c r="H111" s="49">
        <f t="shared" si="55"/>
        <v>2.8542031799392458</v>
      </c>
      <c r="I111" s="49">
        <f t="shared" si="55"/>
        <v>2.979782618905352</v>
      </c>
      <c r="J111" s="49">
        <f t="shared" si="55"/>
        <v>3.0791222957454929</v>
      </c>
      <c r="K111" s="49">
        <f t="shared" si="55"/>
        <v>3.1566440765560015</v>
      </c>
      <c r="L111" s="49">
        <f t="shared" si="55"/>
        <v>3.2286592210948779</v>
      </c>
      <c r="M111" s="49">
        <f t="shared" si="55"/>
        <v>3.2953481883418272</v>
      </c>
      <c r="N111" s="49">
        <f t="shared" si="55"/>
        <v>3.3575047340298072</v>
      </c>
      <c r="O111" s="49">
        <f t="shared" si="55"/>
        <v>3.4191568536493411</v>
      </c>
      <c r="P111" s="49">
        <f t="shared" si="55"/>
        <v>3.4750845207263823</v>
      </c>
      <c r="Q111" s="49">
        <f t="shared" si="55"/>
        <v>3.5273893585872655</v>
      </c>
      <c r="R111" s="49">
        <f t="shared" si="55"/>
        <v>3.5759582955698113</v>
      </c>
      <c r="S111" s="49">
        <f t="shared" si="55"/>
        <v>3.6206940749993275</v>
      </c>
      <c r="T111" s="49">
        <f t="shared" si="55"/>
        <v>3.6617175585238386</v>
      </c>
      <c r="U111" s="49">
        <f t="shared" si="55"/>
        <v>3.6991422585042391</v>
      </c>
      <c r="V111" s="49">
        <f t="shared" si="55"/>
        <v>3.7329565657267412</v>
      </c>
      <c r="W111" s="49">
        <f t="shared" si="55"/>
        <v>3.7635848067053392</v>
      </c>
    </row>
    <row r="112" spans="2:23" x14ac:dyDescent="0.2">
      <c r="C112" s="38"/>
      <c r="D112" s="38"/>
      <c r="E112" s="38"/>
      <c r="F112" s="38"/>
      <c r="G112" s="34"/>
      <c r="H112" s="34"/>
      <c r="I112" s="34"/>
      <c r="J112" s="34"/>
      <c r="K112" s="34"/>
      <c r="L112" s="34"/>
      <c r="M112" s="34"/>
      <c r="N112" s="34"/>
      <c r="O112" s="34"/>
      <c r="P112" s="34"/>
      <c r="Q112" s="34"/>
      <c r="R112" s="34"/>
      <c r="S112" s="34"/>
      <c r="T112" s="34"/>
      <c r="U112" s="34"/>
      <c r="V112" s="34"/>
      <c r="W112" s="34"/>
    </row>
    <row r="113" spans="2:25" x14ac:dyDescent="0.2">
      <c r="B113" s="113" t="s">
        <v>186</v>
      </c>
      <c r="C113" s="115">
        <f t="shared" ref="C113:W113" si="56">((1+C109/100)/((1+C24/100)*(1+C42/100))-1)*100</f>
        <v>-4.9152436462771121</v>
      </c>
      <c r="D113" s="115">
        <f t="shared" si="56"/>
        <v>-6.9724667820216695</v>
      </c>
      <c r="E113" s="115">
        <f t="shared" si="56"/>
        <v>-8.6231237887700161</v>
      </c>
      <c r="F113" s="115">
        <f t="shared" si="56"/>
        <v>-4.0866596646922932</v>
      </c>
      <c r="G113" s="115">
        <f t="shared" si="56"/>
        <v>-2.6354285576598135</v>
      </c>
      <c r="H113" s="115">
        <f t="shared" si="56"/>
        <v>-1.2217125981678567</v>
      </c>
      <c r="I113" s="115">
        <f t="shared" si="56"/>
        <v>-1.0001729124486047</v>
      </c>
      <c r="J113" s="115">
        <f t="shared" si="56"/>
        <v>-0.95564754067843927</v>
      </c>
      <c r="K113" s="115">
        <f t="shared" si="56"/>
        <v>-1.9056242579203908</v>
      </c>
      <c r="L113" s="115">
        <f t="shared" si="56"/>
        <v>-1.7996069063387465</v>
      </c>
      <c r="M113" s="115">
        <f t="shared" si="56"/>
        <v>-1.6980453218130132</v>
      </c>
      <c r="N113" s="115">
        <f t="shared" si="56"/>
        <v>-0.84703016922349494</v>
      </c>
      <c r="O113" s="115">
        <f t="shared" si="56"/>
        <v>-0.71456881894039759</v>
      </c>
      <c r="P113" s="115">
        <f t="shared" si="56"/>
        <v>-0.66437542936119698</v>
      </c>
      <c r="Q113" s="115">
        <f t="shared" si="56"/>
        <v>-0.61764717903829425</v>
      </c>
      <c r="R113" s="115">
        <f t="shared" si="56"/>
        <v>-0.57448928755166051</v>
      </c>
      <c r="S113" s="115">
        <f t="shared" si="56"/>
        <v>-0.51048837757561305</v>
      </c>
      <c r="T113" s="115">
        <f t="shared" si="56"/>
        <v>-0.38731021272155886</v>
      </c>
      <c r="U113" s="115">
        <f t="shared" si="56"/>
        <v>-0.27407224576555533</v>
      </c>
      <c r="V113" s="115">
        <f t="shared" si="56"/>
        <v>-0.15891418716131867</v>
      </c>
      <c r="W113" s="115">
        <f t="shared" si="56"/>
        <v>-8.1534445465381022E-2</v>
      </c>
    </row>
    <row r="114" spans="2:25" x14ac:dyDescent="0.2">
      <c r="F114" s="34"/>
      <c r="G114" s="34"/>
      <c r="H114" s="34"/>
      <c r="I114" s="34"/>
      <c r="J114" s="34"/>
      <c r="K114" s="34"/>
      <c r="L114" s="34"/>
      <c r="M114" s="34"/>
      <c r="N114" s="34"/>
      <c r="O114" s="34"/>
      <c r="P114" s="34"/>
      <c r="Q114" s="34"/>
      <c r="R114" s="34"/>
      <c r="S114" s="34"/>
      <c r="T114" s="34"/>
      <c r="U114" s="34"/>
      <c r="V114" s="34"/>
      <c r="W114" s="34"/>
    </row>
    <row r="115" spans="2:25" x14ac:dyDescent="0.2">
      <c r="F115" s="34"/>
      <c r="G115" s="34"/>
      <c r="H115" s="253"/>
      <c r="I115" s="253"/>
      <c r="J115" s="253"/>
      <c r="K115" s="253"/>
      <c r="L115" s="253"/>
      <c r="M115" s="253"/>
      <c r="N115" s="253"/>
      <c r="O115" s="253"/>
      <c r="P115" s="253"/>
      <c r="Q115" s="253"/>
      <c r="R115" s="253"/>
      <c r="S115" s="253"/>
      <c r="T115" s="253"/>
      <c r="U115" s="34"/>
      <c r="V115" s="34"/>
      <c r="W115" s="34"/>
    </row>
    <row r="116" spans="2:25" x14ac:dyDescent="0.2">
      <c r="T116" s="62"/>
      <c r="U116" s="62"/>
      <c r="V116" s="62"/>
      <c r="W116" s="62"/>
      <c r="X116" s="62"/>
      <c r="Y116" s="62"/>
    </row>
    <row r="117" spans="2:25" x14ac:dyDescent="0.2">
      <c r="T117" s="62"/>
      <c r="U117" s="116"/>
      <c r="V117" s="116"/>
      <c r="W117" s="116"/>
      <c r="X117" s="116"/>
      <c r="Y117" s="62"/>
    </row>
    <row r="118" spans="2:25" x14ac:dyDescent="0.2">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2:25" x14ac:dyDescent="0.2">
      <c r="E120" s="34"/>
      <c r="F120" s="34"/>
      <c r="G120" s="121"/>
      <c r="H120" s="121"/>
      <c r="I120" s="121"/>
      <c r="J120" s="121"/>
      <c r="K120" s="121"/>
      <c r="L120" s="121"/>
      <c r="M120" s="121"/>
      <c r="N120" s="121"/>
      <c r="O120" s="121"/>
      <c r="P120" s="121"/>
      <c r="Q120" s="121"/>
      <c r="R120" s="121"/>
      <c r="S120" s="121"/>
      <c r="T120" s="121"/>
      <c r="U120" s="121"/>
      <c r="V120" s="121"/>
      <c r="W120" s="121"/>
    </row>
    <row r="123" spans="2:25"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row>
    <row r="125" spans="2:25" x14ac:dyDescent="0.2">
      <c r="G125" s="53"/>
      <c r="H125" s="53"/>
      <c r="I125" s="53"/>
      <c r="J125" s="53"/>
      <c r="K125" s="53"/>
      <c r="L125" s="53"/>
      <c r="M125" s="53"/>
      <c r="N125" s="53"/>
      <c r="O125" s="53"/>
      <c r="P125" s="53"/>
      <c r="Q125" s="53"/>
      <c r="R125" s="53"/>
      <c r="S125" s="53"/>
      <c r="T125" s="53"/>
      <c r="U125" s="53"/>
      <c r="V125" s="53"/>
      <c r="W125" s="53"/>
      <c r="X125" s="53"/>
    </row>
    <row r="126" spans="2:25" x14ac:dyDescent="0.2">
      <c r="E126" s="34"/>
      <c r="F126" s="34"/>
      <c r="G126" s="121"/>
      <c r="H126" s="121"/>
      <c r="I126" s="121"/>
      <c r="J126" s="121"/>
      <c r="K126" s="121"/>
      <c r="L126" s="121"/>
      <c r="M126" s="121"/>
      <c r="N126" s="121"/>
      <c r="O126" s="121"/>
      <c r="P126" s="121"/>
      <c r="Q126" s="121"/>
      <c r="R126" s="121"/>
      <c r="S126" s="121"/>
      <c r="T126" s="121"/>
      <c r="U126" s="121"/>
      <c r="V126" s="121"/>
      <c r="W126" s="121"/>
      <c r="X126" s="53"/>
    </row>
    <row r="127" spans="2:25" x14ac:dyDescent="0.2">
      <c r="E127" s="34"/>
      <c r="F127" s="34"/>
      <c r="G127" s="121"/>
      <c r="H127" s="121"/>
      <c r="I127" s="121"/>
      <c r="J127" s="121"/>
      <c r="K127" s="121"/>
      <c r="L127" s="121"/>
      <c r="M127" s="121"/>
      <c r="N127" s="121"/>
      <c r="O127" s="121"/>
      <c r="P127" s="121"/>
      <c r="Q127" s="121"/>
      <c r="R127" s="121"/>
      <c r="S127" s="121"/>
      <c r="T127" s="121"/>
      <c r="U127" s="121"/>
      <c r="V127" s="121"/>
      <c r="W127" s="121"/>
      <c r="X127" s="53"/>
    </row>
    <row r="128" spans="2:25" x14ac:dyDescent="0.2">
      <c r="G128" s="53"/>
      <c r="H128" s="53"/>
      <c r="I128" s="53"/>
      <c r="J128" s="53"/>
      <c r="K128" s="53"/>
      <c r="L128" s="53"/>
      <c r="M128" s="53"/>
      <c r="N128" s="53"/>
      <c r="O128" s="53"/>
      <c r="P128" s="53"/>
      <c r="Q128" s="53"/>
      <c r="R128" s="53"/>
      <c r="S128" s="53"/>
      <c r="T128" s="53"/>
      <c r="U128" s="53"/>
      <c r="V128" s="53"/>
      <c r="W128" s="53"/>
      <c r="X128" s="53"/>
    </row>
    <row r="129" spans="5:24" x14ac:dyDescent="0.2">
      <c r="E129" s="34"/>
      <c r="F129" s="34"/>
      <c r="G129" s="121"/>
      <c r="H129" s="121"/>
      <c r="I129" s="121"/>
      <c r="J129" s="121"/>
      <c r="K129" s="121"/>
      <c r="L129" s="121"/>
      <c r="M129" s="121"/>
      <c r="N129" s="121"/>
      <c r="O129" s="121"/>
      <c r="P129" s="121"/>
      <c r="Q129" s="121"/>
      <c r="R129" s="121"/>
      <c r="S129" s="121"/>
      <c r="T129" s="121"/>
      <c r="U129" s="121"/>
      <c r="V129" s="121"/>
      <c r="W129" s="121"/>
      <c r="X129" s="121"/>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121"/>
    </row>
    <row r="131" spans="5:24" x14ac:dyDescent="0.2">
      <c r="G131" s="121"/>
      <c r="H131" s="121"/>
      <c r="I131" s="121"/>
      <c r="J131" s="121"/>
      <c r="K131" s="121"/>
      <c r="L131" s="121"/>
      <c r="M131" s="121"/>
      <c r="N131" s="121"/>
      <c r="O131" s="121"/>
      <c r="P131" s="121"/>
      <c r="Q131" s="121"/>
      <c r="R131" s="121"/>
      <c r="S131" s="121"/>
      <c r="T131" s="121"/>
      <c r="U131" s="121"/>
      <c r="V131" s="121"/>
      <c r="W131" s="121"/>
      <c r="X131" s="121"/>
    </row>
    <row r="132" spans="5:24" x14ac:dyDescent="0.2">
      <c r="E132" s="34"/>
      <c r="F132" s="34"/>
      <c r="G132" s="121"/>
      <c r="H132" s="121"/>
      <c r="I132" s="121"/>
      <c r="J132" s="121"/>
      <c r="K132" s="121"/>
      <c r="L132" s="121"/>
      <c r="M132" s="121"/>
      <c r="N132" s="121"/>
      <c r="O132" s="121"/>
      <c r="P132" s="121"/>
      <c r="Q132" s="121"/>
      <c r="R132" s="121"/>
      <c r="S132" s="121"/>
      <c r="T132" s="121"/>
      <c r="U132" s="121"/>
      <c r="V132" s="121"/>
      <c r="W132" s="121"/>
      <c r="X132" s="121"/>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sheetData>
  <conditionalFormatting sqref="G12:M12">
    <cfRule type="expression" dxfId="37" priority="4">
      <formula>AND(G10&gt;$C$5,G10&lt;=$C$6)</formula>
    </cfRule>
  </conditionalFormatting>
  <conditionalFormatting sqref="U10:W44 U46:W53 U94:W150 U55:W92">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-4.222766</v>
      </c>
      <c r="D12" s="2">
        <f>'Input data'!D13</f>
        <v>-0.85058520000000004</v>
      </c>
      <c r="E12" s="2">
        <f>'Input data'!E13</f>
        <v>-3.5136029999999998</v>
      </c>
      <c r="F12" s="2">
        <f>'Input data'!F13</f>
        <v>-4.2628820000000003</v>
      </c>
      <c r="G12" s="3">
        <f>IF(G10&lt;=$C$6,F12+'Criteria results'!$F$6,F12)</f>
        <v>-2.9628820000000005</v>
      </c>
      <c r="H12" s="3">
        <f>IF(H10&lt;=$C$6,G12+'Criteria results'!$F$6,G12)</f>
        <v>-1.6628820000000004</v>
      </c>
      <c r="I12" s="3">
        <f>IF(I10&lt;=$C$6,H12+'Criteria results'!$F$6,H12)</f>
        <v>-0.36288200000000037</v>
      </c>
      <c r="J12" s="3">
        <f>IF(J10&lt;=$C$6,I12+'Criteria results'!$F$6,I12)</f>
        <v>0.93711799999999967</v>
      </c>
      <c r="K12" s="119">
        <f>IF(K10&lt;=$C$6,J12+'Criteria results'!$F$6,J12)</f>
        <v>0.93711799999999967</v>
      </c>
      <c r="L12" s="119">
        <f>IF(L10&lt;=$C$6,K12+'Criteria results'!$F$6,K12)</f>
        <v>0.93711799999999967</v>
      </c>
      <c r="M12" s="119">
        <f>IF(M10&lt;=$C$6,L12+'Criteria results'!$F$6,L12)</f>
        <v>0.93711799999999967</v>
      </c>
      <c r="N12" s="119">
        <f>M12</f>
        <v>0.93711799999999967</v>
      </c>
      <c r="O12" s="119">
        <f t="shared" ref="O12:W12" si="0">N12</f>
        <v>0.93711799999999967</v>
      </c>
      <c r="P12" s="119">
        <f t="shared" si="0"/>
        <v>0.93711799999999967</v>
      </c>
      <c r="Q12" s="119">
        <f t="shared" si="0"/>
        <v>0.93711799999999967</v>
      </c>
      <c r="R12" s="119">
        <f t="shared" si="0"/>
        <v>0.93711799999999967</v>
      </c>
      <c r="S12" s="119">
        <f t="shared" si="0"/>
        <v>0.93711799999999967</v>
      </c>
      <c r="T12" s="119">
        <f t="shared" si="0"/>
        <v>0.93711799999999967</v>
      </c>
      <c r="U12" s="119">
        <f t="shared" si="0"/>
        <v>0.93711799999999967</v>
      </c>
      <c r="V12" s="119">
        <f t="shared" si="0"/>
        <v>0.93711799999999967</v>
      </c>
      <c r="W12" s="119">
        <f t="shared" si="0"/>
        <v>0.93711799999999967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1.2999999999999998</v>
      </c>
      <c r="H13" s="263">
        <f t="shared" ref="H13:W13" si="1">H12-G12</f>
        <v>1.3</v>
      </c>
      <c r="I13" s="263">
        <f t="shared" si="1"/>
        <v>1.3</v>
      </c>
      <c r="J13" s="263">
        <f t="shared" si="1"/>
        <v>1.3</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1.0478270000000001</v>
      </c>
      <c r="D15" s="2">
        <f>'Input data'!D15</f>
        <v>0.27736460000000002</v>
      </c>
      <c r="E15" s="2">
        <f>'Input data'!E15</f>
        <v>-0.45438450000000002</v>
      </c>
      <c r="F15" s="2">
        <f>'Input data'!F15</f>
        <v>0.2</v>
      </c>
      <c r="G15" s="2">
        <f>'Input data'!G15</f>
        <v>-0.6</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18.962240000000001</v>
      </c>
      <c r="E18" s="101">
        <f>'Input data'!E20</f>
        <v>20.503689999999999</v>
      </c>
      <c r="F18" s="101">
        <f>'Input data'!F20</f>
        <v>20.335599999999999</v>
      </c>
      <c r="G18" s="101">
        <f>'Input data'!G20</f>
        <v>20.668779999999998</v>
      </c>
      <c r="H18" s="101">
        <f>'Input data'!H20</f>
        <v>21.016960000000001</v>
      </c>
      <c r="I18" s="101">
        <f>'Input data'!I20</f>
        <v>21.357330000000001</v>
      </c>
      <c r="J18" s="101">
        <f>'Input data'!J20</f>
        <v>21.584160000000001</v>
      </c>
      <c r="K18" s="101">
        <f>'Input data'!K20</f>
        <v>21.737720000000003</v>
      </c>
      <c r="L18" s="101">
        <f>'Input data'!L20</f>
        <v>21.863299999999999</v>
      </c>
      <c r="M18" s="101">
        <f>'Input data'!M20</f>
        <v>22.01473</v>
      </c>
      <c r="N18" s="101">
        <f>'Input data'!N20</f>
        <v>22.161089999999998</v>
      </c>
      <c r="O18" s="101">
        <f>'Input data'!O20</f>
        <v>22.310850000000002</v>
      </c>
      <c r="P18" s="101">
        <f>'Input data'!P20</f>
        <v>22.436720000000001</v>
      </c>
      <c r="Q18" s="101">
        <f>'Input data'!Q20</f>
        <v>22.553650000000001</v>
      </c>
      <c r="R18" s="101">
        <f>'Input data'!R20</f>
        <v>22.657159999999998</v>
      </c>
      <c r="S18" s="101">
        <f>'Input data'!S20</f>
        <v>22.766190000000002</v>
      </c>
      <c r="T18" s="101">
        <f>'Input data'!T20</f>
        <v>22.879989999999999</v>
      </c>
      <c r="U18" s="101">
        <f>'Input data'!U20</f>
        <v>22.977649999999997</v>
      </c>
      <c r="V18" s="101">
        <f>'Input data'!V20</f>
        <v>23.127649999999999</v>
      </c>
      <c r="W18" s="101">
        <f>'Input data'!W20</f>
        <v>23.266509999999997</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0.75515319999999997</v>
      </c>
      <c r="D19" s="101">
        <f>'Input data'!D26</f>
        <v>0.6825677</v>
      </c>
      <c r="E19" s="101">
        <f>'Input data'!E26</f>
        <v>0.68126889999999996</v>
      </c>
      <c r="F19" s="101">
        <f>'Input data'!F26</f>
        <v>0.67997019999999997</v>
      </c>
      <c r="G19" s="101">
        <f>'Input data'!G26</f>
        <v>0.67867149999999998</v>
      </c>
      <c r="H19" s="101">
        <f>'Input data'!H26</f>
        <v>0.6773728</v>
      </c>
      <c r="I19" s="101">
        <f>'Input data'!I26</f>
        <v>0.67607399999999995</v>
      </c>
      <c r="J19" s="101">
        <f>'Input data'!J26</f>
        <v>0.67477529999999997</v>
      </c>
      <c r="K19" s="101">
        <f>'Input data'!K26</f>
        <v>0.67347659999999998</v>
      </c>
      <c r="L19" s="101">
        <f>'Input data'!L26</f>
        <v>0.67217789999999999</v>
      </c>
      <c r="M19" s="101">
        <f>'Input data'!M26</f>
        <v>0.67087909999999995</v>
      </c>
      <c r="N19" s="101">
        <f>'Input data'!N26</f>
        <v>0.66958050000000002</v>
      </c>
      <c r="O19" s="101">
        <f>'Input data'!O26</f>
        <v>0.66828169999999998</v>
      </c>
      <c r="P19" s="101">
        <f>'Input data'!P26</f>
        <v>0.66698299999999999</v>
      </c>
      <c r="Q19" s="101">
        <f>'Input data'!Q26</f>
        <v>0.66568430000000001</v>
      </c>
      <c r="R19" s="101">
        <f>'Input data'!R26</f>
        <v>0.66438569999999997</v>
      </c>
      <c r="S19" s="101">
        <f>'Input data'!S26</f>
        <v>0.66308699999999998</v>
      </c>
      <c r="T19" s="101">
        <f>'Input data'!T26</f>
        <v>0.66178820000000005</v>
      </c>
      <c r="U19" s="101">
        <f>'Input data'!U26</f>
        <v>0.66048960000000001</v>
      </c>
      <c r="V19" s="101">
        <f>'Input data'!V26</f>
        <v>0.65919090000000002</v>
      </c>
      <c r="W19" s="101">
        <f>'Input data'!W26</f>
        <v>0.65789220000000004</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90.819270000000003</v>
      </c>
      <c r="D23" s="100">
        <f>'Baseline NFPC'!D22</f>
        <v>92.517623952129895</v>
      </c>
      <c r="E23" s="100">
        <f>'Baseline NFPC'!E22</f>
        <v>93.99462526041863</v>
      </c>
      <c r="F23" s="100">
        <f>'Baseline NFPC'!F22</f>
        <v>96.088680759497848</v>
      </c>
      <c r="G23" s="34">
        <f>IF(AND(G50&gt;1,F50&gt;1),IF(AND(G50&gt;0,F50&gt;0),G27*(G51/100+1),0)+IF(G50&gt;0,F23*(1+G52/100),0)-F23*(1+'Input data'!G30/100),IF(G50=1,G27,F23*(1+G52/100)))</f>
        <v>98.246123394892152</v>
      </c>
      <c r="H23" s="34">
        <f>IF(AND(H50&gt;1,G50&gt;1),IF(AND(H50&gt;0,G50&gt;0),H27*(H51/100+1),0)+IF(H50&gt;0,G23*(1+H52/100),0)-G23*(1+'Input data'!H30/100),IF(H50=1,H27,G23*(1+H52/100)))</f>
        <v>99.230952445979725</v>
      </c>
      <c r="I23" s="34">
        <f>IF(AND(I50&gt;1,H50&gt;1),IF(AND(I50&gt;0,H50&gt;0),I27*(I51/100+1),0)+IF(I50&gt;0,H23*(1+I52/100),0)-H23*(1+'Input data'!I30/100),IF(I50=1,I27,H23*(1+I52/100)))</f>
        <v>100.19884884789428</v>
      </c>
      <c r="J23" s="34">
        <f>IF(AND(J50&gt;1,I50&gt;1),IF(AND(J50&gt;0,I50&gt;0),J27*(J51/100+1),0)+IF(J50&gt;0,I23*(1+J52/100),0)-I23*(1+'Input data'!J30/100),IF(J50=1,J27,I23*(1+J52/100)))</f>
        <v>101.30452937245487</v>
      </c>
      <c r="K23" s="34">
        <f>IF(AND(K50&gt;1,J50&gt;1),IF(AND(K50&gt;0,J50&gt;0),K27*(K51/100+1),0)+IF(K50&gt;0,J23*(1+K52/100),0)-J23*(1+'Input data'!K30/100),IF(K50=1,K27,J23*(1+K52/100)))</f>
        <v>103.57011110097454</v>
      </c>
      <c r="L23" s="34">
        <f>IF(AND(L50&gt;1,K50&gt;1),IF(AND(L50&gt;0,K50&gt;0),L27*(L51/100+1),0)+IF(L50&gt;0,K23*(1+L52/100),0)-K23*(1+'Input data'!L30/100),IF(L50=1,L27,K23*(1+L52/100)))</f>
        <v>105.92575691893687</v>
      </c>
      <c r="M23" s="34">
        <f>IF(AND(M50&gt;1,L50&gt;1),IF(AND(M50&gt;0,L50&gt;0),M27*(M51/100+1),0)+IF(M50&gt;0,L23*(1+M52/100),0)-L23*(1+'Input data'!M30/100),IF(M50=1,M27,L23*(1+M52/100)))</f>
        <v>108.37474768731215</v>
      </c>
      <c r="N23" s="34">
        <f>IF(AND(N50&gt;1,M50&gt;1),IF(AND(N50&gt;0,M50&gt;0),N27*(N51/100+1),0)+IF(N50&gt;0,M23*(1+N52/100),0)-M23*(1+'Input data'!N30/100),IF(N50=1,N27,M23*(1+N52/100)))</f>
        <v>110.07796413821846</v>
      </c>
      <c r="O23" s="34">
        <f>IF(AND(O50&gt;1,N50&gt;1),IF(AND(O50&gt;0,N50&gt;0),O27*(O51/100+1),0)+IF(O50&gt;0,N23*(1+O52/100),0)-N23*(1+'Input data'!O30/100),IF(O50=1,O27,N23*(1+O52/100)))</f>
        <v>111.80988239166496</v>
      </c>
      <c r="P23" s="34">
        <f>IF(AND(P50&gt;1,O50&gt;1),IF(AND(P50&gt;0,O50&gt;0),P27*(P51/100+1),0)+IF(P50&gt;0,O23*(1+P52/100),0)-O23*(1+'Input data'!P30/100),IF(P50=1,P27,O23*(1+P52/100)))</f>
        <v>113.60351416301556</v>
      </c>
      <c r="Q23" s="34">
        <f>IF(AND(Q50&gt;1,P50&gt;1),IF(AND(Q50&gt;0,P50&gt;0),Q27*(Q51/100+1),0)+IF(Q50&gt;0,P23*(1+Q52/100),0)-P23*(1+'Input data'!Q30/100),IF(Q50=1,Q27,P23*(1+Q52/100)))</f>
        <v>115.46093616372144</v>
      </c>
      <c r="R23" s="34">
        <f>IF(AND(R50&gt;1,Q50&gt;1),IF(AND(R50&gt;0,Q50&gt;0),R27*(R51/100+1),0)+IF(R50&gt;0,Q23*(1+R52/100),0)-Q23*(1+'Input data'!R30/100),IF(R50=1,R27,Q23*(1+R52/100)))</f>
        <v>117.38431330357076</v>
      </c>
      <c r="S23" s="34">
        <f>IF(AND(S50&gt;1,R50&gt;1),IF(AND(S50&gt;0,R50&gt;0),S27*(S51/100+1),0)+IF(S50&gt;0,R23*(1+S52/100),0)-R23*(1+'Input data'!S30/100),IF(S50=1,S27,R23*(1+S52/100)))</f>
        <v>119.34650126785131</v>
      </c>
      <c r="T23" s="34">
        <f>IF(AND(T50&gt;1,S50&gt;1),IF(AND(T50&gt;0,S50&gt;0),T27*(T51/100+1),0)+IF(T50&gt;0,S23*(1+T52/100),0)-S23*(1+'Input data'!T30/100),IF(T50=1,T27,S23*(1+T52/100)))</f>
        <v>121.27197685259118</v>
      </c>
      <c r="U23" s="34">
        <f>IF(AND(U50&gt;1,T50&gt;1),IF(AND(U50&gt;0,T50&gt;0),U27*(U51/100+1),0)+IF(U50&gt;0,T23*(1+U52/100),0)-T23*(1+'Input data'!U30/100),IF(U50=1,U27,T23*(1+U52/100)))</f>
        <v>123.16610324281574</v>
      </c>
      <c r="V23" s="34">
        <f>IF(AND(V50&gt;1,U50&gt;1),IF(AND(V50&gt;0,U50&gt;0),V27*(V51/100+1),0)+IF(V50&gt;0,U23*(1+V52/100),0)-U23*(1+'Input data'!V30/100),IF(V50=1,V27,U23*(1+V52/100)))</f>
        <v>125.01985532448582</v>
      </c>
      <c r="W23" s="34">
        <f>IF(AND(W50&gt;1,V50&gt;1),IF(AND(W50&gt;0,V50&gt;0),W27*(W51/100+1),0)+IF(W50&gt;0,V23*(1+W52/100),0)-V23*(1+'Input data'!W30/100),IF(W50=1,W27,V23*(1+W52/100)))</f>
        <v>126.87475866535401</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4.7712199999999996</v>
      </c>
      <c r="D24" s="100">
        <f>'Baseline NFPC'!D23</f>
        <v>1.8700369999999999</v>
      </c>
      <c r="E24" s="100">
        <f>'Baseline NFPC'!E23</f>
        <v>1.596454</v>
      </c>
      <c r="F24" s="100">
        <f>'Baseline NFPC'!F23</f>
        <v>2.227846</v>
      </c>
      <c r="G24" s="34">
        <f t="shared" ref="G24:S24" si="2">100*(G23/F23-1)</f>
        <v>2.2452619999999923</v>
      </c>
      <c r="H24" s="34">
        <f t="shared" si="2"/>
        <v>1.0024100870923203</v>
      </c>
      <c r="I24" s="34">
        <f t="shared" si="2"/>
        <v>0.97539767386740639</v>
      </c>
      <c r="J24" s="34">
        <f t="shared" si="2"/>
        <v>1.1034862548561231</v>
      </c>
      <c r="K24" s="34">
        <f t="shared" si="2"/>
        <v>2.2364071404843866</v>
      </c>
      <c r="L24" s="34">
        <f t="shared" si="2"/>
        <v>2.2744455836932742</v>
      </c>
      <c r="M24" s="34">
        <f t="shared" si="2"/>
        <v>2.31198798064709</v>
      </c>
      <c r="N24" s="34">
        <f t="shared" si="2"/>
        <v>1.5715989999999902</v>
      </c>
      <c r="O24" s="34">
        <f t="shared" si="2"/>
        <v>1.5733559999999924</v>
      </c>
      <c r="P24" s="34">
        <f t="shared" si="2"/>
        <v>1.6041799999999995</v>
      </c>
      <c r="Q24" s="34">
        <f t="shared" si="2"/>
        <v>1.6350040000000066</v>
      </c>
      <c r="R24" s="34">
        <f t="shared" si="2"/>
        <v>1.6658250000000097</v>
      </c>
      <c r="S24" s="34">
        <f t="shared" si="2"/>
        <v>1.6715929999999934</v>
      </c>
      <c r="T24" s="34">
        <f>100*(T23/S23-1)</f>
        <v>1.6133490000000084</v>
      </c>
      <c r="U24" s="34">
        <f t="shared" ref="U24:W24" si="3">100*(U23/T23-1)</f>
        <v>1.5618829999999972</v>
      </c>
      <c r="V24" s="34">
        <f t="shared" si="3"/>
        <v>1.5050830000000071</v>
      </c>
      <c r="W24" s="34">
        <f t="shared" si="3"/>
        <v>1.4836869999999891</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90.493570000000005</v>
      </c>
      <c r="D27" s="100">
        <f>+C27*(1+'Input data'!D33/100)</f>
        <v>91.997178581434795</v>
      </c>
      <c r="E27" s="100">
        <f>+D27*(1+'Input data'!E33/100)</f>
        <v>94.548125107645475</v>
      </c>
      <c r="F27" s="100">
        <f>+E27*(1+'Input data'!F33/100)</f>
        <v>96.752617701986594</v>
      </c>
      <c r="G27" s="34">
        <f>+F27*(1+'Input data'!G33/100)</f>
        <v>99.08699810259391</v>
      </c>
      <c r="H27" s="34">
        <f>+G27*(1+'Input data'!H33/100)</f>
        <v>100.75889401244896</v>
      </c>
      <c r="I27" s="34">
        <f>+H27*(1+'Input data'!I33/100)</f>
        <v>102.19954266386108</v>
      </c>
      <c r="J27" s="34">
        <f>+I27*(1+'Input data'!J33/100)</f>
        <v>103.63398478482823</v>
      </c>
      <c r="K27" s="34">
        <f>+J27*(1+'Input data'!K33/100)</f>
        <v>105.14573517447842</v>
      </c>
      <c r="L27" s="34">
        <f>+K27*(1+'Input data'!L33/100)</f>
        <v>106.72540474436042</v>
      </c>
      <c r="M27" s="34">
        <f>+L27*(1+'Input data'!M33/100)</f>
        <v>108.37474768731215</v>
      </c>
      <c r="N27" s="34">
        <f>+M27*(1+'Input data'!N33/100)</f>
        <v>110.07796197072352</v>
      </c>
      <c r="O27" s="34">
        <f>+N27*(1+'Input data'!O33/100)</f>
        <v>111.80988129084724</v>
      </c>
      <c r="P27" s="34">
        <f>+O27*(1+'Input data'!P33/100)</f>
        <v>113.60351304453876</v>
      </c>
      <c r="Q27" s="34">
        <f>+P27*(1+'Input data'!Q33/100)</f>
        <v>115.46093616299262</v>
      </c>
      <c r="R27" s="34">
        <f>+Q27*(1+'Input data'!R33/100)</f>
        <v>117.38431676665788</v>
      </c>
      <c r="S27" s="34">
        <f>+R27*(1+'Input data'!S33/100)</f>
        <v>119.34650244114083</v>
      </c>
      <c r="T27" s="34">
        <f>+S27*(1+'Input data'!T33/100)</f>
        <v>121.27197446441488</v>
      </c>
      <c r="U27" s="34">
        <f>+T27*(1+'Input data'!U33/100)</f>
        <v>123.16609839189944</v>
      </c>
      <c r="V27" s="34">
        <f>+U27*(1+'Input data'!V33/100)</f>
        <v>125.01984916889819</v>
      </c>
      <c r="W27" s="34">
        <f>+V27*(1+'Input data'!W33/100)</f>
        <v>126.87475616903221</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0.35991507462904693</v>
      </c>
      <c r="D30" s="100">
        <f t="shared" ref="D30:W30" si="4">100*(D23/D27-1)</f>
        <v>0.56571883912115428</v>
      </c>
      <c r="E30" s="100">
        <f t="shared" si="4"/>
        <v>-0.5854159948668225</v>
      </c>
      <c r="F30" s="100">
        <f t="shared" si="4"/>
        <v>-0.68622116719754267</v>
      </c>
      <c r="G30" s="34">
        <f t="shared" si="4"/>
        <v>-0.84862264858516223</v>
      </c>
      <c r="H30" s="34">
        <f t="shared" si="4"/>
        <v>-1.5164334438609983</v>
      </c>
      <c r="I30" s="34">
        <f t="shared" si="4"/>
        <v>-1.9576348032663615</v>
      </c>
      <c r="J30" s="34">
        <f t="shared" si="4"/>
        <v>-2.2477717297177513</v>
      </c>
      <c r="K30" s="34">
        <f t="shared" si="4"/>
        <v>-1.4985144864784972</v>
      </c>
      <c r="L30" s="34">
        <f t="shared" si="4"/>
        <v>-0.74925724323926524</v>
      </c>
      <c r="M30" s="34">
        <f>100*(M23/M27-1)</f>
        <v>0</v>
      </c>
      <c r="N30" s="34">
        <f t="shared" si="4"/>
        <v>1.9690543862083132E-6</v>
      </c>
      <c r="O30" s="34">
        <f t="shared" si="4"/>
        <v>9.8454420172089385E-7</v>
      </c>
      <c r="P30" s="34">
        <f t="shared" si="4"/>
        <v>9.8454420172089385E-7</v>
      </c>
      <c r="Q30" s="34">
        <f t="shared" si="4"/>
        <v>6.31228402880879E-10</v>
      </c>
      <c r="R30" s="34">
        <f t="shared" si="4"/>
        <v>-2.9502127740776984E-6</v>
      </c>
      <c r="S30" s="34">
        <f t="shared" si="4"/>
        <v>-9.8309501650462039E-7</v>
      </c>
      <c r="T30" s="34">
        <f t="shared" si="4"/>
        <v>1.9692730335307829E-6</v>
      </c>
      <c r="U30" s="34">
        <f t="shared" si="4"/>
        <v>3.9385158467908354E-6</v>
      </c>
      <c r="V30" s="34">
        <f t="shared" si="4"/>
        <v>4.9236882571079832E-6</v>
      </c>
      <c r="W30" s="34">
        <f t="shared" si="4"/>
        <v>1.9675480578129623E-6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100*((1+C24/100)*(1+C42/100)-1)</f>
        <v>7.2711398876150302</v>
      </c>
      <c r="D33" s="2">
        <f t="shared" si="5"/>
        <v>9.4942523750750851</v>
      </c>
      <c r="E33" s="2">
        <f t="shared" si="5"/>
        <v>11.890074643889781</v>
      </c>
      <c r="F33" s="2">
        <f>100*((1+F24/100)*(1+F42/100)-1)</f>
        <v>6.908274325060848</v>
      </c>
      <c r="G33" s="1">
        <f>100*((1+G24/100)*(1+G42/100)-1)</f>
        <v>5.486920425489239</v>
      </c>
      <c r="H33" s="1">
        <f t="shared" si="5"/>
        <v>4.1263276427603968</v>
      </c>
      <c r="I33" s="1">
        <f t="shared" si="5"/>
        <v>4.020164123957759</v>
      </c>
      <c r="J33" s="1">
        <f t="shared" si="5"/>
        <v>4.0737000507737653</v>
      </c>
      <c r="K33" s="1">
        <f t="shared" si="5"/>
        <v>5.1606101738051358</v>
      </c>
      <c r="L33" s="1">
        <f t="shared" si="5"/>
        <v>5.1204134413573854</v>
      </c>
      <c r="M33" s="1">
        <f t="shared" si="5"/>
        <v>5.0796482394493747</v>
      </c>
      <c r="N33" s="1">
        <f t="shared" si="5"/>
        <v>4.2404528179328826</v>
      </c>
      <c r="O33" s="1">
        <f t="shared" si="5"/>
        <v>4.1634765780000027</v>
      </c>
      <c r="P33" s="1">
        <f t="shared" si="5"/>
        <v>4.1671454405000086</v>
      </c>
      <c r="Q33" s="1">
        <f t="shared" si="5"/>
        <v>4.170797349800015</v>
      </c>
      <c r="R33" s="1">
        <f t="shared" si="5"/>
        <v>4.1744292318750098</v>
      </c>
      <c r="S33" s="1">
        <f t="shared" si="5"/>
        <v>4.1523798691999847</v>
      </c>
      <c r="T33" s="1">
        <f t="shared" si="5"/>
        <v>4.0647710446249929</v>
      </c>
      <c r="U33" s="1">
        <f>100*((1+U24/100)*(1+U42/100)-1)</f>
        <v>3.9841339095499917</v>
      </c>
      <c r="V33" s="1">
        <f t="shared" si="5"/>
        <v>3.8980653317249869</v>
      </c>
      <c r="W33" s="1">
        <f t="shared" si="5"/>
        <v>3.8482569071000006</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1.998502</v>
      </c>
      <c r="D36" s="100">
        <f>'Input data'!D37</f>
        <v>1.859802</v>
      </c>
      <c r="E36" s="100">
        <f>'Input data'!E37</f>
        <v>2.2416550000000002</v>
      </c>
      <c r="F36" s="100">
        <f>'Input data'!F37</f>
        <v>2.5392969999999999</v>
      </c>
      <c r="G36" s="100">
        <f>'Input data'!G37</f>
        <v>2.7068880000000002</v>
      </c>
      <c r="H36" s="34">
        <f t="shared" ref="H36:W36" si="6">H101</f>
        <v>2.8542031799392458</v>
      </c>
      <c r="I36" s="34">
        <f t="shared" si="6"/>
        <v>2.979782618905352</v>
      </c>
      <c r="J36" s="34">
        <f t="shared" si="6"/>
        <v>3.0791222957454929</v>
      </c>
      <c r="K36" s="34">
        <f t="shared" si="6"/>
        <v>3.1566440765560015</v>
      </c>
      <c r="L36" s="34">
        <f t="shared" si="6"/>
        <v>3.2286592210948779</v>
      </c>
      <c r="M36" s="34">
        <f t="shared" si="6"/>
        <v>3.2953481883418272</v>
      </c>
      <c r="N36" s="34">
        <f t="shared" si="6"/>
        <v>3.3575047340298072</v>
      </c>
      <c r="O36" s="34">
        <f t="shared" si="6"/>
        <v>3.4191568536493411</v>
      </c>
      <c r="P36" s="34">
        <f t="shared" si="6"/>
        <v>3.4750845207263823</v>
      </c>
      <c r="Q36" s="34">
        <f t="shared" si="6"/>
        <v>3.5273893585872655</v>
      </c>
      <c r="R36" s="34">
        <f t="shared" si="6"/>
        <v>3.5759582955698113</v>
      </c>
      <c r="S36" s="34">
        <f t="shared" si="6"/>
        <v>3.6206940749993275</v>
      </c>
      <c r="T36" s="34">
        <f t="shared" si="6"/>
        <v>3.6617175585238386</v>
      </c>
      <c r="U36" s="34">
        <f t="shared" si="6"/>
        <v>3.6991422585042391</v>
      </c>
      <c r="V36" s="34">
        <f t="shared" si="6"/>
        <v>3.7329565657267412</v>
      </c>
      <c r="W36" s="34">
        <f t="shared" si="6"/>
        <v>3.7635848067053392</v>
      </c>
    </row>
    <row r="37" spans="2:51" x14ac:dyDescent="0.2">
      <c r="B37" s="32" t="s">
        <v>94</v>
      </c>
      <c r="C37" s="1"/>
      <c r="D37" s="2">
        <f>'Input data'!D$39</f>
        <v>2.0699999999999998</v>
      </c>
      <c r="E37" s="2">
        <f>'Input data'!E$39</f>
        <v>3.65</v>
      </c>
      <c r="F37" s="166">
        <f>'Input data'!F$39</f>
        <v>3.6707719999999999</v>
      </c>
      <c r="G37" s="166">
        <f>'Input data'!G$39</f>
        <v>3.780141</v>
      </c>
      <c r="H37" s="1">
        <f>G37+($O$37-$G$37)/($O$10-$G$10)</f>
        <v>3.8293008749999999</v>
      </c>
      <c r="I37" s="1">
        <f t="shared" ref="I37:N37" si="7">H37+($O$37-$G$37)/($O$10-$G$10)</f>
        <v>3.8784607499999999</v>
      </c>
      <c r="J37" s="1">
        <f t="shared" si="7"/>
        <v>3.9276206249999999</v>
      </c>
      <c r="K37" s="1">
        <f t="shared" si="7"/>
        <v>3.9767804999999998</v>
      </c>
      <c r="L37" s="1">
        <f t="shared" si="7"/>
        <v>4.0259403750000002</v>
      </c>
      <c r="M37" s="1">
        <f t="shared" si="7"/>
        <v>4.0751002500000002</v>
      </c>
      <c r="N37" s="1">
        <f t="shared" si="7"/>
        <v>4.1242601250000002</v>
      </c>
      <c r="O37" s="252">
        <f>'Input data'!$C$52</f>
        <v>4.1734200000000001</v>
      </c>
      <c r="P37" s="1">
        <f>'Baseline NFPC'!P36</f>
        <v>4.1647490000000005</v>
      </c>
      <c r="Q37" s="1">
        <f>'Baseline NFPC'!Q36</f>
        <v>4.1560779999999999</v>
      </c>
      <c r="R37" s="1">
        <f>'Baseline NFPC'!R36</f>
        <v>4.1474070000000003</v>
      </c>
      <c r="S37" s="1">
        <f>'Baseline NFPC'!S36</f>
        <v>4.1387359999999997</v>
      </c>
      <c r="T37" s="1">
        <f>'Baseline NFPC'!T36</f>
        <v>4.1300650000000001</v>
      </c>
      <c r="U37" s="1">
        <f>'Baseline NFPC'!U36</f>
        <v>4.1213940000000004</v>
      </c>
      <c r="V37" s="1">
        <f>'Baseline NFPC'!V36</f>
        <v>4.1127229999999999</v>
      </c>
      <c r="W37" s="1">
        <f>'Baseline NFPC'!W36</f>
        <v>4.1040520000000003</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8">H38+($O$38-$G$38)/($O$10-$G$10)</f>
        <v>2.7938037499999995</v>
      </c>
      <c r="J38" s="1">
        <f t="shared" si="8"/>
        <v>2.7825181249999993</v>
      </c>
      <c r="K38" s="1">
        <f t="shared" si="8"/>
        <v>2.7712324999999991</v>
      </c>
      <c r="L38" s="1">
        <f t="shared" si="8"/>
        <v>2.7599468749999989</v>
      </c>
      <c r="M38" s="1">
        <f t="shared" si="8"/>
        <v>2.7486612499999987</v>
      </c>
      <c r="N38" s="1">
        <f t="shared" si="8"/>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2.7338669999999999E-2</v>
      </c>
      <c r="D39" s="34">
        <f>'Baseline NFPC'!D38</f>
        <v>2.727796E-2</v>
      </c>
      <c r="E39" s="34">
        <f>'Baseline NFPC'!E38</f>
        <v>7.6967090000000002E-2</v>
      </c>
      <c r="F39" s="34">
        <f>'Baseline NFPC'!F38</f>
        <v>7.1996260000000006E-2</v>
      </c>
      <c r="G39" s="34">
        <f>'Baseline NFPC'!G38</f>
        <v>6.9917991111111119E-2</v>
      </c>
      <c r="H39" s="34">
        <f>'Baseline NFPC'!H38</f>
        <v>6.7839722222222232E-2</v>
      </c>
      <c r="I39" s="34">
        <f>'Baseline NFPC'!I38</f>
        <v>6.5761453333333331E-2</v>
      </c>
      <c r="J39" s="34">
        <f>'Baseline NFPC'!J38</f>
        <v>6.3683184444444443E-2</v>
      </c>
      <c r="K39" s="34">
        <f>'Baseline NFPC'!K38</f>
        <v>6.1604915555555556E-2</v>
      </c>
      <c r="L39" s="34">
        <f>'Baseline NFPC'!L38</f>
        <v>5.9526646666666669E-2</v>
      </c>
      <c r="M39" s="34">
        <f>'Baseline NFPC'!M38</f>
        <v>5.7448377777777782E-2</v>
      </c>
      <c r="N39" s="34">
        <f>'Baseline NFPC'!N38</f>
        <v>5.5370108888888894E-2</v>
      </c>
      <c r="O39" s="34">
        <f>'Baseline NFPC'!O38</f>
        <v>5.329184E-2</v>
      </c>
      <c r="P39" s="34">
        <f>'Baseline NFPC'!P38</f>
        <v>5.329184E-2</v>
      </c>
      <c r="Q39" s="34">
        <f>'Baseline NFPC'!Q38</f>
        <v>5.329184E-2</v>
      </c>
      <c r="R39" s="34">
        <f>'Baseline NFPC'!R38</f>
        <v>5.329184E-2</v>
      </c>
      <c r="S39" s="34">
        <f>'Baseline NFPC'!S38</f>
        <v>5.329184E-2</v>
      </c>
      <c r="T39" s="34">
        <f>'Baseline NFPC'!T38</f>
        <v>5.329184E-2</v>
      </c>
      <c r="U39" s="34">
        <f>'Baseline NFPC'!U38</f>
        <v>5.329184E-2</v>
      </c>
      <c r="V39" s="34">
        <f>'Baseline NFPC'!V38</f>
        <v>5.329184E-2</v>
      </c>
      <c r="W39" s="34">
        <f>'Baseline NFPC'!W38</f>
        <v>5.329184E-2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2.3860749999999999</v>
      </c>
      <c r="D42" s="2">
        <f>'Input data'!D42</f>
        <v>7.4842570000000004</v>
      </c>
      <c r="E42" s="2">
        <f>'Input data'!E42</f>
        <v>10.131869999999999</v>
      </c>
      <c r="F42" s="2">
        <f>'Input data'!F42</f>
        <v>4.5784279999999997</v>
      </c>
      <c r="G42" s="2">
        <f>'Input data'!G42</f>
        <v>3.1704729999999999</v>
      </c>
      <c r="H42" s="1">
        <f>'Baseline NFPC'!H41</f>
        <v>3.0929138749999998</v>
      </c>
      <c r="I42" s="1">
        <f>'Baseline NFPC'!I41</f>
        <v>3.0153547499999998</v>
      </c>
      <c r="J42" s="1">
        <f>'Baseline NFPC'!J41</f>
        <v>2.9377956249999997</v>
      </c>
      <c r="K42" s="1">
        <f>'Baseline NFPC'!K41</f>
        <v>2.8602365000000001</v>
      </c>
      <c r="L42" s="1">
        <f>'Baseline NFPC'!L41</f>
        <v>2.782677375</v>
      </c>
      <c r="M42" s="1">
        <f>'Baseline NFPC'!M41</f>
        <v>2.7051182499999999</v>
      </c>
      <c r="N42" s="1">
        <f>'Baseline NFPC'!N41</f>
        <v>2.6275591249999999</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0.38100000000000001</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9">IF(C50=4,2/3*C30,IF(C50=3,1/3*B30,0))</f>
        <v>0</v>
      </c>
      <c r="E51" s="34">
        <f t="shared" si="9"/>
        <v>0</v>
      </c>
      <c r="F51" s="34">
        <f t="shared" si="9"/>
        <v>0</v>
      </c>
      <c r="G51" s="34">
        <f t="shared" si="9"/>
        <v>0</v>
      </c>
      <c r="H51" s="34">
        <f t="shared" si="9"/>
        <v>-0.56574843239010808</v>
      </c>
      <c r="I51" s="34">
        <f t="shared" si="9"/>
        <v>-1.0109556292406654</v>
      </c>
      <c r="J51" s="34">
        <f t="shared" si="9"/>
        <v>-1.3050898688442409</v>
      </c>
      <c r="K51" s="34">
        <f t="shared" si="9"/>
        <v>-1.4985144864785007</v>
      </c>
      <c r="L51" s="34">
        <f t="shared" si="9"/>
        <v>-0.74925724323925036</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f t="shared" si="9"/>
        <v>0</v>
      </c>
      <c r="W51" s="34">
        <f t="shared" si="9"/>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1.8700369999999999</v>
      </c>
      <c r="E52" s="34">
        <f>'Input data'!E30-$C$47*((E12-D12)-('Input data'!E13-'Input data'!D13))</f>
        <v>1.596454</v>
      </c>
      <c r="F52" s="34">
        <f>'Input data'!F30-$C$47*((F12-E12)-('Input data'!F13-'Input data'!E13))</f>
        <v>2.227846</v>
      </c>
      <c r="G52" s="34">
        <f>'Input data'!G30-$C$47*((G12-F12))</f>
        <v>2.2452620000000003</v>
      </c>
      <c r="H52" s="34">
        <f>'Input data'!H30-$C$47*((H12-G12))</f>
        <v>0.67950099999999991</v>
      </c>
      <c r="I52" s="34">
        <f>'Input data'!I30-$C$47*((I12-H12))</f>
        <v>0.41115400000000002</v>
      </c>
      <c r="J52" s="34">
        <f>'Input data'!J30-$C$47*((J12-I12))</f>
        <v>0.40674899999999981</v>
      </c>
      <c r="K52" s="34">
        <f>'Input data'!K30-$C$47*((K12-J12))</f>
        <v>1.458739</v>
      </c>
      <c r="L52" s="34">
        <f>'Input data'!L30-$C$47*((L12-K12))</f>
        <v>1.5023660000000001</v>
      </c>
      <c r="M52" s="34">
        <f>'Input data'!M30-$C$47*((M12-L12))</f>
        <v>1.54541</v>
      </c>
      <c r="N52" s="34">
        <f>'Input data'!N30-$C$47*((N12-M12))</f>
        <v>1.571599</v>
      </c>
      <c r="O52" s="34">
        <f>'Input data'!O30-$C$47*((O12-N12))</f>
        <v>1.573356</v>
      </c>
      <c r="P52" s="34">
        <f>'Input data'!P30-$C$47*((P12-O12))</f>
        <v>1.6041799999999999</v>
      </c>
      <c r="Q52" s="34">
        <f>'Input data'!Q30-$C$47*((Q12-P12))</f>
        <v>1.6350039999999999</v>
      </c>
      <c r="R52" s="34">
        <f>'Input data'!R30-$C$47*((R12-Q12))</f>
        <v>1.6658249999999999</v>
      </c>
      <c r="S52" s="34">
        <f>'Input data'!S30-$C$47*((S12-R12))</f>
        <v>1.6715930000000001</v>
      </c>
      <c r="T52" s="34">
        <f>'Input data'!T30-$C$47*((T12-S12))</f>
        <v>1.6133489999999999</v>
      </c>
      <c r="U52" s="34">
        <f>'Input data'!U30-$C$47*((U12-T12))</f>
        <v>1.5618829999999999</v>
      </c>
      <c r="V52" s="34">
        <f>'Input data'!V30-$C$47*((V12-U12))</f>
        <v>1.5050829999999999</v>
      </c>
      <c r="W52" s="34">
        <f>'Input data'!W30-$C$47*((W12-V12))</f>
        <v>1.483687</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61.088839999999998</v>
      </c>
      <c r="D57" s="45">
        <f>+C57+D58</f>
        <v>57.741851922294835</v>
      </c>
      <c r="E57" s="45">
        <f>+D57+E58</f>
        <v>56.044964616339094</v>
      </c>
      <c r="F57" s="45">
        <f>+E57+F58</f>
        <v>58.478930381041359</v>
      </c>
      <c r="G57" s="45">
        <f>+F57+G58</f>
        <v>59.623964733451906</v>
      </c>
      <c r="H57" s="45">
        <f t="shared" ref="H57:S57" si="10">+G57+H58</f>
        <v>61.136174386887198</v>
      </c>
      <c r="I57" s="45">
        <f t="shared" si="10"/>
        <v>61.633447791006695</v>
      </c>
      <c r="J57" s="45">
        <f t="shared" si="10"/>
        <v>60.963732291979078</v>
      </c>
      <c r="K57" s="45">
        <f t="shared" si="10"/>
        <v>59.590667340237786</v>
      </c>
      <c r="L57" s="45">
        <f t="shared" si="10"/>
        <v>58.148355984923676</v>
      </c>
      <c r="M57" s="45">
        <f t="shared" si="10"/>
        <v>56.658318746410494</v>
      </c>
      <c r="N57" s="45">
        <f t="shared" si="10"/>
        <v>55.823411743043856</v>
      </c>
      <c r="O57" s="45">
        <f t="shared" si="10"/>
        <v>55.220580273948023</v>
      </c>
      <c r="P57" s="45">
        <f t="shared" si="10"/>
        <v>54.776942231545902</v>
      </c>
      <c r="Q57" s="45">
        <f t="shared" si="10"/>
        <v>54.480076992848822</v>
      </c>
      <c r="R57" s="45">
        <f t="shared" si="10"/>
        <v>54.31336751070608</v>
      </c>
      <c r="S57" s="45">
        <f t="shared" si="10"/>
        <v>54.292704756653201</v>
      </c>
      <c r="T57" s="45">
        <f>+S57+T58</f>
        <v>54.454121916074875</v>
      </c>
      <c r="U57" s="45">
        <f>+T57+U58</f>
        <v>54.775534480653036</v>
      </c>
      <c r="V57" s="45">
        <f t="shared" ref="V57:W57" si="11">+U57+V58</f>
        <v>55.310442909344602</v>
      </c>
      <c r="W57" s="45">
        <f t="shared" si="11"/>
        <v>56.027460196798216</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-3.3469880777051602</v>
      </c>
      <c r="E58" s="47">
        <f>-E59+E67+E72</f>
        <v>-1.6968873059557408</v>
      </c>
      <c r="F58" s="47">
        <f>-F59+F67+F72</f>
        <v>2.4339657647022639</v>
      </c>
      <c r="G58" s="47">
        <f>-G59+G67+G72</f>
        <v>1.1450343524105504</v>
      </c>
      <c r="H58" s="47">
        <f t="shared" ref="H58:S58" si="12">-H59+H67+H72</f>
        <v>1.5122096534352933</v>
      </c>
      <c r="I58" s="47">
        <f t="shared" si="12"/>
        <v>0.49727340411949839</v>
      </c>
      <c r="J58" s="47">
        <f t="shared" si="12"/>
        <v>-0.66971549902761796</v>
      </c>
      <c r="K58" s="47">
        <f t="shared" si="12"/>
        <v>-1.3730649517412881</v>
      </c>
      <c r="L58" s="47">
        <f t="shared" si="12"/>
        <v>-1.4423113553141105</v>
      </c>
      <c r="M58" s="47">
        <f t="shared" si="12"/>
        <v>-1.4900372385131813</v>
      </c>
      <c r="N58" s="47">
        <f t="shared" si="12"/>
        <v>-0.83490700336664059</v>
      </c>
      <c r="O58" s="47">
        <f t="shared" si="12"/>
        <v>-0.6028314690958313</v>
      </c>
      <c r="P58" s="47">
        <f t="shared" si="12"/>
        <v>-0.4436380424021229</v>
      </c>
      <c r="Q58" s="47">
        <f t="shared" si="12"/>
        <v>-0.29686523869707837</v>
      </c>
      <c r="R58" s="47">
        <f t="shared" si="12"/>
        <v>-0.16670948214274461</v>
      </c>
      <c r="S58" s="47">
        <f t="shared" si="12"/>
        <v>-2.0662754052879428E-2</v>
      </c>
      <c r="T58" s="47">
        <f>-T59+T67+T72</f>
        <v>0.16141715942167634</v>
      </c>
      <c r="U58" s="47">
        <f t="shared" ref="U58:W58" si="13">-U59+U67+U72</f>
        <v>0.32141256457816358</v>
      </c>
      <c r="V58" s="47">
        <f t="shared" si="13"/>
        <v>0.53490842869156485</v>
      </c>
      <c r="W58" s="47">
        <f t="shared" si="13"/>
        <v>0.71701728745361581</v>
      </c>
    </row>
    <row r="59" spans="2:48" outlineLevel="1" x14ac:dyDescent="0.2">
      <c r="B59" s="84" t="s">
        <v>106</v>
      </c>
      <c r="C59" s="48"/>
      <c r="D59" s="48">
        <f>D60+D61-D62-D63-D64-D65-D66</f>
        <v>-0.63504632229484026</v>
      </c>
      <c r="E59" s="48">
        <f>E60+E61-E62-E63-E64-E65-E66</f>
        <v>-3.7366464940442592</v>
      </c>
      <c r="F59" s="48">
        <f t="shared" ref="F59:R59" si="14">F60+F61-F62-F63-F64-F65-F66</f>
        <v>-4.5243322647022639</v>
      </c>
      <c r="G59" s="48">
        <f t="shared" si="14"/>
        <v>-3.2862072291109472</v>
      </c>
      <c r="H59" s="48">
        <f t="shared" si="14"/>
        <v>-2.2406431421110407</v>
      </c>
      <c r="I59" s="48">
        <f t="shared" si="14"/>
        <v>-1.1087408600444841</v>
      </c>
      <c r="J59" s="48">
        <f t="shared" si="14"/>
        <v>8.0716970977536384E-2</v>
      </c>
      <c r="K59" s="48">
        <f t="shared" si="14"/>
        <v>0.21132528065168987</v>
      </c>
      <c r="L59" s="48">
        <f t="shared" si="14"/>
        <v>0.36991359032584148</v>
      </c>
      <c r="M59" s="48">
        <f t="shared" si="14"/>
        <v>0.5026518000000002</v>
      </c>
      <c r="N59" s="48">
        <f t="shared" si="14"/>
        <v>0.35499395020972357</v>
      </c>
      <c r="O59" s="48">
        <f t="shared" si="14"/>
        <v>0.20393477511133917</v>
      </c>
      <c r="P59" s="48">
        <f t="shared" si="14"/>
        <v>7.6766075111340148E-2</v>
      </c>
      <c r="Q59" s="48">
        <f t="shared" si="14"/>
        <v>-4.1462999759502628E-2</v>
      </c>
      <c r="R59" s="48">
        <f t="shared" si="14"/>
        <v>-0.14627272403106406</v>
      </c>
      <c r="S59" s="48">
        <f>S60+S61-S62-S63-S64-S65-S66</f>
        <v>-0.25660067455920266</v>
      </c>
      <c r="T59" s="48">
        <f>T60+T61-T62-T63-T64-T65-T66</f>
        <v>-0.37169834970697313</v>
      </c>
      <c r="U59" s="48">
        <f>U60+U61-U62-U63-U64-U65-U66</f>
        <v>-0.470656199425459</v>
      </c>
      <c r="V59" s="48">
        <f t="shared" ref="V59:W59" si="15">V60+V61-V62-V63-V64-V65-V66</f>
        <v>-0.62195452407477281</v>
      </c>
      <c r="W59" s="48">
        <f t="shared" si="15"/>
        <v>-0.76211435036418629</v>
      </c>
    </row>
    <row r="60" spans="2:48" outlineLevel="1" x14ac:dyDescent="0.2">
      <c r="B60" s="79" t="s">
        <v>107</v>
      </c>
      <c r="C60" s="1"/>
      <c r="D60" s="1">
        <f>D12</f>
        <v>-0.85058520000000004</v>
      </c>
      <c r="E60" s="1">
        <f>E12</f>
        <v>-3.5136029999999998</v>
      </c>
      <c r="F60" s="1">
        <f>F12</f>
        <v>-4.2628820000000003</v>
      </c>
      <c r="G60" s="1">
        <f t="shared" ref="G60:W60" si="16">IF(G12="",F60,G12)</f>
        <v>-2.9628820000000005</v>
      </c>
      <c r="H60" s="1">
        <f t="shared" si="16"/>
        <v>-1.6628820000000004</v>
      </c>
      <c r="I60" s="1">
        <f t="shared" si="16"/>
        <v>-0.36288200000000037</v>
      </c>
      <c r="J60" s="1">
        <f t="shared" si="16"/>
        <v>0.93711799999999967</v>
      </c>
      <c r="K60" s="1">
        <f t="shared" si="16"/>
        <v>0.93711799999999967</v>
      </c>
      <c r="L60" s="1">
        <f t="shared" si="16"/>
        <v>0.93711799999999967</v>
      </c>
      <c r="M60" s="1">
        <f t="shared" si="16"/>
        <v>0.93711799999999967</v>
      </c>
      <c r="N60" s="1">
        <f t="shared" si="16"/>
        <v>0.93711799999999967</v>
      </c>
      <c r="O60" s="1">
        <f t="shared" si="16"/>
        <v>0.93711799999999967</v>
      </c>
      <c r="P60" s="1">
        <f t="shared" si="16"/>
        <v>0.93711799999999967</v>
      </c>
      <c r="Q60" s="1">
        <f t="shared" si="16"/>
        <v>0.93711799999999967</v>
      </c>
      <c r="R60" s="1">
        <f t="shared" si="16"/>
        <v>0.93711799999999967</v>
      </c>
      <c r="S60" s="1">
        <f t="shared" si="16"/>
        <v>0.93711799999999967</v>
      </c>
      <c r="T60" s="1">
        <f t="shared" si="16"/>
        <v>0.93711799999999967</v>
      </c>
      <c r="U60" s="1">
        <f t="shared" si="16"/>
        <v>0.93711799999999967</v>
      </c>
      <c r="V60" s="1">
        <f t="shared" si="16"/>
        <v>0.93711799999999967</v>
      </c>
      <c r="W60" s="1">
        <f t="shared" si="16"/>
        <v>0.93711799999999967</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-0.21553887770515978</v>
      </c>
      <c r="E62" s="1">
        <f t="shared" si="17"/>
        <v>0.22304349404425938</v>
      </c>
      <c r="F62" s="1">
        <f t="shared" si="17"/>
        <v>0.26145026470226373</v>
      </c>
      <c r="G62" s="1">
        <f t="shared" si="17"/>
        <v>0.3233252291109468</v>
      </c>
      <c r="H62" s="1">
        <f t="shared" si="17"/>
        <v>0.57776114211104035</v>
      </c>
      <c r="I62" s="1">
        <f t="shared" si="17"/>
        <v>0.74585886004448376</v>
      </c>
      <c r="J62" s="1">
        <f t="shared" si="17"/>
        <v>0.85640102902246329</v>
      </c>
      <c r="K62" s="1">
        <f t="shared" si="17"/>
        <v>0.57093401934830745</v>
      </c>
      <c r="L62" s="1">
        <f t="shared" si="17"/>
        <v>0.28546700967416005</v>
      </c>
      <c r="M62" s="1">
        <f>-$C$48*M30</f>
        <v>0</v>
      </c>
      <c r="N62" s="1">
        <f t="shared" si="17"/>
        <v>-7.502097211453673E-7</v>
      </c>
      <c r="O62" s="1">
        <f t="shared" si="17"/>
        <v>-3.7511134085566058E-7</v>
      </c>
      <c r="P62" s="1">
        <f t="shared" si="17"/>
        <v>-3.7511134085566058E-7</v>
      </c>
      <c r="Q62" s="1">
        <f t="shared" si="17"/>
        <v>-2.4049802149761491E-10</v>
      </c>
      <c r="R62" s="1">
        <f t="shared" si="17"/>
        <v>1.124031066923603E-6</v>
      </c>
      <c r="S62" s="1">
        <f t="shared" si="17"/>
        <v>3.7455920128826035E-7</v>
      </c>
      <c r="T62" s="1">
        <f t="shared" si="17"/>
        <v>-7.5029302577522832E-7</v>
      </c>
      <c r="U62" s="1">
        <f>-$C$48*U30</f>
        <v>-1.5005745376273083E-6</v>
      </c>
      <c r="V62" s="1">
        <f t="shared" si="17"/>
        <v>-1.8759252259581417E-6</v>
      </c>
      <c r="W62" s="1">
        <f t="shared" si="17"/>
        <v>-7.4963581002673858E-7</v>
      </c>
    </row>
    <row r="63" spans="2:48" outlineLevel="1" x14ac:dyDescent="0.2">
      <c r="B63" s="79" t="s">
        <v>110</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0.15356000000000236</v>
      </c>
      <c r="L64" s="1">
        <f>IF(L$56&lt;=$C$6,0,HLOOKUP(L$56,'Input data'!$C$9:$BB$26,12,FALSE)-HLOOKUP($C$6,'Input data'!$C$9:$BB$26,12,FALSE))</f>
        <v>0.27913999999999817</v>
      </c>
      <c r="M64" s="1">
        <f>IF(M$56&lt;=$C$6,0,HLOOKUP(M$56,'Input data'!$C$9:$BB$26,12,FALSE)-HLOOKUP($C$6,'Input data'!$C$9:$BB$26,12,FALSE))</f>
        <v>0.43056999999999945</v>
      </c>
      <c r="N64" s="1">
        <f>IF(N$56&lt;=$C$6,0,HLOOKUP(N$56,'Input data'!$C$9:$BB$26,12,FALSE)-HLOOKUP($C$6,'Input data'!$C$9:$BB$26,12,FALSE))</f>
        <v>0.57692999999999728</v>
      </c>
      <c r="O64" s="1">
        <f>IF(O$56&lt;=$C$6,0,HLOOKUP(O$56,'Input data'!$C$9:$BB$26,12,FALSE)-HLOOKUP($C$6,'Input data'!$C$9:$BB$26,12,FALSE))</f>
        <v>0.72669000000000139</v>
      </c>
      <c r="P64" s="1">
        <f>IF(P$56&lt;=$C$6,0,HLOOKUP(P$56,'Input data'!$C$9:$BB$26,12,FALSE)-HLOOKUP($C$6,'Input data'!$C$9:$BB$26,12,FALSE))</f>
        <v>0.85256000000000043</v>
      </c>
      <c r="Q64" s="1">
        <f>IF(Q$56&lt;=$C$6,0,HLOOKUP(Q$56,'Input data'!$C$9:$BB$26,12,FALSE)-HLOOKUP($C$6,'Input data'!$C$9:$BB$26,12,FALSE))</f>
        <v>0.96949000000000041</v>
      </c>
      <c r="R64" s="1">
        <f>IF(R$56&lt;=$C$6,0,HLOOKUP(R$56,'Input data'!$C$9:$BB$26,12,FALSE)-HLOOKUP($C$6,'Input data'!$C$9:$BB$26,12,FALSE))</f>
        <v>1.0729999999999968</v>
      </c>
      <c r="S64" s="1">
        <f>IF(S$56&lt;=$C$6,0,HLOOKUP(S$56,'Input data'!$C$9:$BB$26,12,FALSE)-HLOOKUP($C$6,'Input data'!$C$9:$BB$26,12,FALSE))</f>
        <v>1.182030000000001</v>
      </c>
      <c r="T64" s="1">
        <f>IF(T$56&lt;=$C$6,0,HLOOKUP(T$56,'Input data'!$C$9:$BB$26,12,FALSE)-HLOOKUP($C$6,'Input data'!$C$9:$BB$26,12,FALSE))</f>
        <v>1.2958299999999987</v>
      </c>
      <c r="U64" s="1">
        <f>IF(U$56&lt;=$C$6,0,HLOOKUP(U$56,'Input data'!$C$9:$BB$26,12,FALSE)-HLOOKUP($C$6,'Input data'!$C$9:$BB$26,12,FALSE))</f>
        <v>1.3934899999999963</v>
      </c>
      <c r="V64" s="1">
        <f>IF(V$56&lt;=$C$6,0,HLOOKUP(V$56,'Input data'!$C$9:$BB$26,12,FALSE)-HLOOKUP($C$6,'Input data'!$C$9:$BB$26,12,FALSE))</f>
        <v>1.5434899999999985</v>
      </c>
      <c r="W64" s="1">
        <f>IF(W$56&lt;=$C$6,0,HLOOKUP(W$56,'Input data'!$C$9:$BB$26,12,FALSE)-HLOOKUP($C$6,'Input data'!$C$9:$BB$26,12,FALSE))</f>
        <v>1.682349999999996</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1.298699999999986E-3</v>
      </c>
      <c r="L65" s="1">
        <f>IF(L$56&lt;=$C$6,0,-HLOOKUP(L$56,'Input data'!$C$9:$BB$26,18,FALSE)+HLOOKUP($C$6,'Input data'!$C$9:$BB$26,18,FALSE))</f>
        <v>2.597399999999972E-3</v>
      </c>
      <c r="M65" s="1">
        <f>IF(M$56&lt;=$C$6,0,-HLOOKUP(M$56,'Input data'!$C$9:$BB$26,18,FALSE)+HLOOKUP($C$6,'Input data'!$C$9:$BB$26,18,FALSE))</f>
        <v>3.8962000000000163E-3</v>
      </c>
      <c r="N65" s="1">
        <f>IF(N$56&lt;=$C$6,0,-HLOOKUP(N$56,'Input data'!$C$9:$BB$26,18,FALSE)+HLOOKUP($C$6,'Input data'!$C$9:$BB$26,18,FALSE))</f>
        <v>5.1947999999999439E-3</v>
      </c>
      <c r="O65" s="1">
        <f>IF(O$56&lt;=$C$6,0,-HLOOKUP(O$56,'Input data'!$C$9:$BB$26,18,FALSE)+HLOOKUP($C$6,'Input data'!$C$9:$BB$26,18,FALSE))</f>
        <v>6.4935999999999883E-3</v>
      </c>
      <c r="P65" s="1">
        <f>IF(P$56&lt;=$C$6,0,-HLOOKUP(P$56,'Input data'!$C$9:$BB$26,18,FALSE)+HLOOKUP($C$6,'Input data'!$C$9:$BB$26,18,FALSE))</f>
        <v>7.7922999999999742E-3</v>
      </c>
      <c r="Q65" s="1">
        <f>IF(Q$56&lt;=$C$6,0,-HLOOKUP(Q$56,'Input data'!$C$9:$BB$26,18,FALSE)+HLOOKUP($C$6,'Input data'!$C$9:$BB$26,18,FALSE))</f>
        <v>9.0909999999999602E-3</v>
      </c>
      <c r="R65" s="1">
        <f>IF(R$56&lt;=$C$6,0,-HLOOKUP(R$56,'Input data'!$C$9:$BB$26,18,FALSE)+HLOOKUP($C$6,'Input data'!$C$9:$BB$26,18,FALSE))</f>
        <v>1.0389599999999999E-2</v>
      </c>
      <c r="S65" s="1">
        <f>IF(S$56&lt;=$C$6,0,-HLOOKUP(S$56,'Input data'!$C$9:$BB$26,18,FALSE)+HLOOKUP($C$6,'Input data'!$C$9:$BB$26,18,FALSE))</f>
        <v>1.1688299999999985E-2</v>
      </c>
      <c r="T65" s="1">
        <f>IF(T$56&lt;=$C$6,0,-HLOOKUP(T$56,'Input data'!$C$9:$BB$26,18,FALSE)+HLOOKUP($C$6,'Input data'!$C$9:$BB$26,18,FALSE))</f>
        <v>1.2987099999999918E-2</v>
      </c>
      <c r="U65" s="264">
        <f>IF(U$56&lt;=$C$6,0,-HLOOKUP(U$56,'Input data'!$C$9:$BB$26,18,FALSE)+HLOOKUP($C$6,'Input data'!$C$9:$BB$26,18,FALSE))</f>
        <v>1.4285699999999957E-2</v>
      </c>
      <c r="V65" s="264">
        <f>IF(V$56&lt;=$C$6,0,-HLOOKUP(V$56,'Input data'!$C$9:$BB$26,18,FALSE)+HLOOKUP($C$6,'Input data'!$C$9:$BB$26,18,FALSE))</f>
        <v>1.5584399999999943E-2</v>
      </c>
      <c r="W65" s="264">
        <f>IF(W$56&lt;=$C$6,0,-HLOOKUP(W$56,'Input data'!$C$9:$BB$26,18,FALSE)+HLOOKUP($C$6,'Input data'!$C$9:$BB$26,18,FALSE))</f>
        <v>1.6883099999999929E-2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19">SUM(D68:D71)</f>
        <v>-4.2593990000000002</v>
      </c>
      <c r="E67" s="48">
        <f t="shared" si="19"/>
        <v>-4.979152</v>
      </c>
      <c r="F67" s="48">
        <f t="shared" si="19"/>
        <v>-2.2903669999999998</v>
      </c>
      <c r="G67" s="48">
        <f t="shared" si="19"/>
        <v>-1.5411701767003969</v>
      </c>
      <c r="H67" s="48">
        <f t="shared" si="19"/>
        <v>-0.72843348867574731</v>
      </c>
      <c r="I67" s="48">
        <f t="shared" si="19"/>
        <v>-0.61146745592498575</v>
      </c>
      <c r="J67" s="48">
        <f t="shared" si="19"/>
        <v>-0.58899852805008157</v>
      </c>
      <c r="K67" s="48">
        <f t="shared" si="19"/>
        <v>-1.1617396710895982</v>
      </c>
      <c r="L67" s="48">
        <f t="shared" si="19"/>
        <v>-1.072397764988269</v>
      </c>
      <c r="M67" s="48">
        <f t="shared" si="19"/>
        <v>-0.98738543851318106</v>
      </c>
      <c r="N67" s="48">
        <f t="shared" si="19"/>
        <v>-0.47991305315691701</v>
      </c>
      <c r="O67" s="48">
        <f t="shared" si="19"/>
        <v>-0.39889669398449212</v>
      </c>
      <c r="P67" s="48">
        <f t="shared" ref="P67:W67" si="20">SUM(P68:P71)</f>
        <v>-0.36687196729078275</v>
      </c>
      <c r="Q67" s="48">
        <f t="shared" si="20"/>
        <v>-0.338328238456581</v>
      </c>
      <c r="R67" s="48">
        <f t="shared" si="20"/>
        <v>-0.31298220617380867</v>
      </c>
      <c r="S67" s="48">
        <f t="shared" si="20"/>
        <v>-0.27726342861208209</v>
      </c>
      <c r="T67" s="48">
        <f t="shared" si="20"/>
        <v>-0.21028119028529679</v>
      </c>
      <c r="U67" s="48">
        <f t="shared" si="20"/>
        <v>-0.14924363484729541</v>
      </c>
      <c r="V67" s="48">
        <f t="shared" si="20"/>
        <v>-8.7046095383207955E-2</v>
      </c>
      <c r="W67" s="48">
        <f t="shared" si="20"/>
        <v>-4.5097062910570473E-2</v>
      </c>
    </row>
    <row r="68" spans="2:23" outlineLevel="1" x14ac:dyDescent="0.2">
      <c r="B68" s="79" t="s">
        <v>115</v>
      </c>
      <c r="C68" s="34"/>
      <c r="D68" s="34">
        <f t="shared" ref="D68:E68" si="21">C57*D36/100*(1/(1+D33/100))</f>
        <v>1.037617448818186</v>
      </c>
      <c r="E68" s="34">
        <f t="shared" si="21"/>
        <v>1.1568256745098193</v>
      </c>
      <c r="F68" s="34">
        <f>E57*F36/100*(1/(1+F33/100))</f>
        <v>1.3311861164521233</v>
      </c>
      <c r="G68" s="34">
        <f>F57*G36/100*(1/(1+G33/100))</f>
        <v>1.5006212548700644</v>
      </c>
      <c r="H68" s="34">
        <f t="shared" ref="H68:W68" si="22">G57*H36/100*(1/(1+H33/100))</f>
        <v>1.6343504433063132</v>
      </c>
      <c r="I68" s="34">
        <f t="shared" si="22"/>
        <v>1.7513191923762341</v>
      </c>
      <c r="J68" s="34">
        <f>I57*J36/100*(1/(1+J33/100))</f>
        <v>1.8234858870624306</v>
      </c>
      <c r="K68" s="34">
        <f t="shared" si="22"/>
        <v>1.8299704053272736</v>
      </c>
      <c r="L68" s="34">
        <f t="shared" si="22"/>
        <v>1.8302625655728371</v>
      </c>
      <c r="M68" s="34">
        <f t="shared" si="22"/>
        <v>1.8235603445619033</v>
      </c>
      <c r="N68" s="34">
        <f t="shared" si="22"/>
        <v>1.8249208274785711</v>
      </c>
      <c r="O68" s="34">
        <f t="shared" si="22"/>
        <v>1.83239852514322</v>
      </c>
      <c r="P68" s="34">
        <f t="shared" si="22"/>
        <v>1.842194896711804</v>
      </c>
      <c r="Q68" s="34">
        <f t="shared" si="22"/>
        <v>1.8548346373377869</v>
      </c>
      <c r="R68" s="34">
        <f t="shared" si="22"/>
        <v>1.8701180769824628</v>
      </c>
      <c r="S68" s="34">
        <f t="shared" si="22"/>
        <v>1.8881190058858039</v>
      </c>
      <c r="T68" s="34">
        <f t="shared" si="22"/>
        <v>1.9103924249440427</v>
      </c>
      <c r="U68" s="34">
        <f t="shared" si="22"/>
        <v>1.9371565252898124</v>
      </c>
      <c r="V68" s="34">
        <f t="shared" si="22"/>
        <v>1.9680317475392823</v>
      </c>
      <c r="W68" s="34">
        <f t="shared" si="22"/>
        <v>2.0045164818892625</v>
      </c>
    </row>
    <row r="69" spans="2:23" outlineLevel="1" x14ac:dyDescent="0.2">
      <c r="B69" s="79" t="s">
        <v>116</v>
      </c>
      <c r="C69" s="34"/>
      <c r="D69" s="34">
        <f t="shared" ref="D69:W69" si="23">-C57*(D24/100)*(1/(1+D33/100))</f>
        <v>-1.0433277419508173</v>
      </c>
      <c r="E69" s="34">
        <f t="shared" si="23"/>
        <v>-0.82386405373436111</v>
      </c>
      <c r="F69" s="34">
        <f t="shared" si="23"/>
        <v>-1.1679128769865823</v>
      </c>
      <c r="G69" s="34">
        <f t="shared" si="23"/>
        <v>-1.2447090089992858</v>
      </c>
      <c r="H69" s="34">
        <f t="shared" si="23"/>
        <v>-0.57399185234210492</v>
      </c>
      <c r="I69" s="34">
        <f t="shared" si="23"/>
        <v>-0.57327425685523903</v>
      </c>
      <c r="J69" s="34">
        <f t="shared" si="23"/>
        <v>-0.65349519084637098</v>
      </c>
      <c r="K69" s="34">
        <f t="shared" si="23"/>
        <v>-1.296490444312028</v>
      </c>
      <c r="L69" s="34">
        <f t="shared" si="23"/>
        <v>-1.289337871915325</v>
      </c>
      <c r="M69" s="34">
        <f t="shared" si="23"/>
        <v>-1.2793942726681162</v>
      </c>
      <c r="N69" s="34">
        <f t="shared" si="23"/>
        <v>-0.85421882461566623</v>
      </c>
      <c r="O69" s="34">
        <f t="shared" si="23"/>
        <v>-0.84319478085602195</v>
      </c>
      <c r="P69" s="34">
        <f t="shared" si="23"/>
        <v>-0.85040009581966225</v>
      </c>
      <c r="Q69" s="34">
        <f t="shared" si="23"/>
        <v>-0.85974689581771513</v>
      </c>
      <c r="R69" s="34">
        <f t="shared" si="23"/>
        <v>-0.87117611227424085</v>
      </c>
      <c r="S69" s="34">
        <f t="shared" si="23"/>
        <v>-0.87170206817493756</v>
      </c>
      <c r="T69" s="34">
        <f t="shared" si="23"/>
        <v>-0.84171694269985486</v>
      </c>
      <c r="U69" s="34">
        <f t="shared" si="23"/>
        <v>-0.81792254359329208</v>
      </c>
      <c r="V69" s="34">
        <f t="shared" si="23"/>
        <v>-0.79348663037685785</v>
      </c>
      <c r="W69" s="34">
        <f t="shared" si="23"/>
        <v>-0.79022400137392745</v>
      </c>
    </row>
    <row r="70" spans="2:23" outlineLevel="1" x14ac:dyDescent="0.2">
      <c r="B70" s="79" t="s">
        <v>117</v>
      </c>
      <c r="C70" s="34"/>
      <c r="D70" s="34">
        <f t="shared" ref="D70:W70" si="24">-C57*D42/100*(1/(1+D42/100))</f>
        <v>-4.2536887833897383</v>
      </c>
      <c r="E70" s="34">
        <f t="shared" si="24"/>
        <v>-5.312112989963226</v>
      </c>
      <c r="F70" s="34">
        <f t="shared" si="24"/>
        <v>-2.4536402025325548</v>
      </c>
      <c r="G70" s="34">
        <f t="shared" si="24"/>
        <v>-1.7970826773467574</v>
      </c>
      <c r="H70" s="34">
        <f t="shared" si="24"/>
        <v>-1.7887920796399555</v>
      </c>
      <c r="I70" s="34">
        <f t="shared" si="24"/>
        <v>-1.789512391445981</v>
      </c>
      <c r="J70" s="34">
        <f t="shared" si="24"/>
        <v>-1.7589892242661413</v>
      </c>
      <c r="K70" s="34">
        <f t="shared" si="24"/>
        <v>-1.6952196321048438</v>
      </c>
      <c r="L70" s="34">
        <f t="shared" si="24"/>
        <v>-1.6133224586457811</v>
      </c>
      <c r="M70" s="34">
        <f t="shared" si="24"/>
        <v>-1.5315515104069681</v>
      </c>
      <c r="N70" s="34">
        <f t="shared" si="24"/>
        <v>-1.4506150560198219</v>
      </c>
      <c r="O70" s="34">
        <f t="shared" si="24"/>
        <v>-1.3881004382716902</v>
      </c>
      <c r="P70" s="34">
        <f t="shared" si="24"/>
        <v>-1.3586667681829245</v>
      </c>
      <c r="Q70" s="34">
        <f t="shared" si="24"/>
        <v>-1.3334159799766527</v>
      </c>
      <c r="R70" s="34">
        <f t="shared" si="24"/>
        <v>-1.3119241708820306</v>
      </c>
      <c r="S70" s="34">
        <f t="shared" si="24"/>
        <v>-1.2936803663229484</v>
      </c>
      <c r="T70" s="34">
        <f t="shared" si="24"/>
        <v>-1.2789566725294848</v>
      </c>
      <c r="U70" s="34">
        <f t="shared" si="24"/>
        <v>-1.2684776165438159</v>
      </c>
      <c r="V70" s="34">
        <f t="shared" si="24"/>
        <v>-1.2615912125456323</v>
      </c>
      <c r="W70" s="34">
        <f t="shared" si="24"/>
        <v>-1.2593895434259055</v>
      </c>
    </row>
    <row r="71" spans="2:23" outlineLevel="1" x14ac:dyDescent="0.2">
      <c r="B71" s="79" t="s">
        <v>118</v>
      </c>
      <c r="C71" s="49"/>
      <c r="D71" s="49">
        <f>'Baseline NFPC'!D70</f>
        <v>7.6522369774068011E-8</v>
      </c>
      <c r="E71" s="49">
        <f>'Baseline NFPC'!E70</f>
        <v>-6.3081223178329537E-7</v>
      </c>
      <c r="F71" s="49">
        <f>'Baseline NFPC'!F70</f>
        <v>-3.6932986002824464E-8</v>
      </c>
      <c r="G71" s="49">
        <f>'Baseline NFPC'!G70</f>
        <v>2.5477558196485006E-7</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0.27736460000000002</v>
      </c>
      <c r="E72" s="50">
        <f>'Input data'!E16</f>
        <v>-0.4543818</v>
      </c>
      <c r="F72" s="50">
        <f>'Input data'!F16</f>
        <v>0.2000005</v>
      </c>
      <c r="G72" s="50">
        <f>'Input data'!G16</f>
        <v>-0.6000027</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5">D15</f>
        <v>0.27736460000000002</v>
      </c>
      <c r="E73" s="34">
        <f t="shared" si="25"/>
        <v>-0.45438450000000002</v>
      </c>
      <c r="F73" s="34">
        <f t="shared" si="25"/>
        <v>0.2</v>
      </c>
      <c r="G73" s="34">
        <f t="shared" si="25"/>
        <v>-0.6</v>
      </c>
      <c r="H73" s="34">
        <f t="shared" si="25"/>
        <v>0</v>
      </c>
      <c r="I73" s="34">
        <f t="shared" si="25"/>
        <v>0</v>
      </c>
      <c r="J73" s="34">
        <f t="shared" si="25"/>
        <v>0</v>
      </c>
      <c r="K73" s="34">
        <f t="shared" si="25"/>
        <v>0</v>
      </c>
      <c r="L73" s="34">
        <f t="shared" si="25"/>
        <v>0</v>
      </c>
      <c r="M73" s="34">
        <f t="shared" si="25"/>
        <v>0</v>
      </c>
      <c r="N73" s="34">
        <f t="shared" si="25"/>
        <v>0</v>
      </c>
      <c r="O73" s="34">
        <f t="shared" si="25"/>
        <v>0</v>
      </c>
      <c r="P73" s="34">
        <f t="shared" si="25"/>
        <v>0</v>
      </c>
      <c r="Q73" s="34">
        <f t="shared" si="25"/>
        <v>0</v>
      </c>
      <c r="R73" s="34">
        <f t="shared" si="25"/>
        <v>0</v>
      </c>
      <c r="S73" s="34">
        <f t="shared" si="25"/>
        <v>0</v>
      </c>
      <c r="T73" s="34">
        <f t="shared" si="25"/>
        <v>0</v>
      </c>
      <c r="U73" s="34">
        <f t="shared" si="25"/>
        <v>0</v>
      </c>
      <c r="V73" s="34">
        <f t="shared" si="25"/>
        <v>0</v>
      </c>
      <c r="W73" s="34">
        <f t="shared" si="25"/>
        <v>0</v>
      </c>
    </row>
    <row r="74" spans="2:23" outlineLevel="1" x14ac:dyDescent="0.2">
      <c r="B74" s="89" t="s">
        <v>121</v>
      </c>
      <c r="C74" s="49"/>
      <c r="D74" s="49">
        <f>+D72-D73</f>
        <v>0</v>
      </c>
      <c r="E74" s="49">
        <f t="shared" ref="E74:W74" si="26">+E72-E73</f>
        <v>2.7000000000221291E-6</v>
      </c>
      <c r="F74" s="49">
        <f t="shared" si="26"/>
        <v>4.9999999998662226E-7</v>
      </c>
      <c r="G74" s="49">
        <f t="shared" si="26"/>
        <v>-2.7000000000221291E-6</v>
      </c>
      <c r="H74" s="49">
        <f t="shared" si="26"/>
        <v>0</v>
      </c>
      <c r="I74" s="49">
        <f t="shared" si="26"/>
        <v>0</v>
      </c>
      <c r="J74" s="49">
        <f t="shared" si="26"/>
        <v>0</v>
      </c>
      <c r="K74" s="49">
        <f t="shared" si="26"/>
        <v>0</v>
      </c>
      <c r="L74" s="49">
        <f t="shared" si="26"/>
        <v>0</v>
      </c>
      <c r="M74" s="49">
        <f t="shared" si="26"/>
        <v>0</v>
      </c>
      <c r="N74" s="49">
        <f t="shared" si="26"/>
        <v>0</v>
      </c>
      <c r="O74" s="49">
        <f t="shared" si="26"/>
        <v>0</v>
      </c>
      <c r="P74" s="49">
        <f t="shared" si="26"/>
        <v>0</v>
      </c>
      <c r="Q74" s="49">
        <f t="shared" si="26"/>
        <v>0</v>
      </c>
      <c r="R74" s="49">
        <f t="shared" si="26"/>
        <v>0</v>
      </c>
      <c r="S74" s="49">
        <f t="shared" si="26"/>
        <v>0</v>
      </c>
      <c r="T74" s="49">
        <f t="shared" si="26"/>
        <v>0</v>
      </c>
      <c r="U74" s="49">
        <f t="shared" si="26"/>
        <v>0</v>
      </c>
      <c r="V74" s="49">
        <f t="shared" si="26"/>
        <v>0</v>
      </c>
      <c r="W74" s="49">
        <f t="shared" si="26"/>
        <v>0</v>
      </c>
    </row>
    <row r="75" spans="2:23" ht="10.5" customHeight="1" outlineLevel="1" x14ac:dyDescent="0.2"/>
    <row r="76" spans="2:23" ht="10.5" customHeight="1" outlineLevel="1" x14ac:dyDescent="0.2">
      <c r="B76" s="91" t="s">
        <v>122</v>
      </c>
    </row>
    <row r="77" spans="2:23" x14ac:dyDescent="0.2">
      <c r="B77" s="77" t="s">
        <v>41</v>
      </c>
      <c r="C77" s="77"/>
      <c r="D77" s="78">
        <f>D59-D68</f>
        <v>-1.6726637711130263</v>
      </c>
      <c r="E77" s="78">
        <f t="shared" ref="E77:W77" si="27">E59-E68</f>
        <v>-4.8934721685540783</v>
      </c>
      <c r="F77" s="78">
        <f t="shared" si="27"/>
        <v>-5.8555183811543872</v>
      </c>
      <c r="G77" s="78">
        <f>G59-G68</f>
        <v>-4.7868284839810116</v>
      </c>
      <c r="H77" s="78">
        <f t="shared" si="27"/>
        <v>-3.8749935854173536</v>
      </c>
      <c r="I77" s="78">
        <f t="shared" si="27"/>
        <v>-2.8600600524207183</v>
      </c>
      <c r="J77" s="78">
        <f t="shared" si="27"/>
        <v>-1.7427689160848943</v>
      </c>
      <c r="K77" s="78">
        <f t="shared" si="27"/>
        <v>-1.6186451246755837</v>
      </c>
      <c r="L77" s="78">
        <f t="shared" si="27"/>
        <v>-1.4603489752469956</v>
      </c>
      <c r="M77" s="78">
        <f t="shared" si="27"/>
        <v>-1.3209085445619031</v>
      </c>
      <c r="N77" s="78">
        <f t="shared" si="27"/>
        <v>-1.4699268772688474</v>
      </c>
      <c r="O77" s="78">
        <f t="shared" si="27"/>
        <v>-1.6284637500318808</v>
      </c>
      <c r="P77" s="78">
        <f t="shared" si="27"/>
        <v>-1.7654288216004639</v>
      </c>
      <c r="Q77" s="78">
        <f t="shared" si="27"/>
        <v>-1.8962976370972895</v>
      </c>
      <c r="R77" s="78">
        <f t="shared" si="27"/>
        <v>-2.016390801013527</v>
      </c>
      <c r="S77" s="78">
        <f t="shared" si="27"/>
        <v>-2.1447196804450064</v>
      </c>
      <c r="T77" s="78">
        <f t="shared" si="27"/>
        <v>-2.282090774651016</v>
      </c>
      <c r="U77" s="78">
        <f t="shared" si="27"/>
        <v>-2.4078127247152716</v>
      </c>
      <c r="V77" s="78">
        <f t="shared" si="27"/>
        <v>-2.5899862716140554</v>
      </c>
      <c r="W77" s="78">
        <f t="shared" si="27"/>
        <v>-2.7666308322534485</v>
      </c>
    </row>
    <row r="78" spans="2:23" x14ac:dyDescent="0.2">
      <c r="B78" s="26" t="s">
        <v>42</v>
      </c>
      <c r="D78" s="34">
        <f>D60-D68-D64-D65-D66</f>
        <v>-1.888202648818186</v>
      </c>
      <c r="E78" s="34">
        <f t="shared" ref="E78:W78" si="28">E60-E68-E64-E65-E66</f>
        <v>-4.6704286745098189</v>
      </c>
      <c r="F78" s="34">
        <f t="shared" si="28"/>
        <v>-5.5940681164521235</v>
      </c>
      <c r="G78" s="34">
        <f t="shared" si="28"/>
        <v>-4.4635032548700648</v>
      </c>
      <c r="H78" s="34">
        <f t="shared" si="28"/>
        <v>-3.2972324433063136</v>
      </c>
      <c r="I78" s="34">
        <f t="shared" si="28"/>
        <v>-2.1142011923762345</v>
      </c>
      <c r="J78" s="34">
        <f t="shared" si="28"/>
        <v>-0.88636788706243097</v>
      </c>
      <c r="K78" s="34">
        <f t="shared" si="28"/>
        <v>-1.0477111053272763</v>
      </c>
      <c r="L78" s="34">
        <f t="shared" si="28"/>
        <v>-1.1748819655728355</v>
      </c>
      <c r="M78" s="34">
        <f t="shared" si="28"/>
        <v>-1.3209085445619031</v>
      </c>
      <c r="N78" s="34">
        <f t="shared" si="28"/>
        <v>-1.4699276274785686</v>
      </c>
      <c r="O78" s="34">
        <f t="shared" si="28"/>
        <v>-1.6284641251432217</v>
      </c>
      <c r="P78" s="34">
        <f t="shared" si="28"/>
        <v>-1.7654291967118048</v>
      </c>
      <c r="Q78" s="34">
        <f t="shared" si="28"/>
        <v>-1.8962976373377876</v>
      </c>
      <c r="R78" s="34">
        <f t="shared" si="28"/>
        <v>-2.0163896769824596</v>
      </c>
      <c r="S78" s="34">
        <f t="shared" si="28"/>
        <v>-2.1447193058858054</v>
      </c>
      <c r="T78" s="34">
        <f t="shared" si="28"/>
        <v>-2.2820915249440414</v>
      </c>
      <c r="U78" s="34">
        <f t="shared" si="28"/>
        <v>-2.4078142252898087</v>
      </c>
      <c r="V78" s="34">
        <f t="shared" si="28"/>
        <v>-2.5899881475392812</v>
      </c>
      <c r="W78" s="34">
        <f t="shared" si="28"/>
        <v>-2.7666315818892584</v>
      </c>
    </row>
    <row r="79" spans="2:23" x14ac:dyDescent="0.2">
      <c r="B79" s="35" t="s">
        <v>123</v>
      </c>
      <c r="C79" s="35"/>
      <c r="D79" s="285">
        <f>'Input data'!D45</f>
        <v>7.0970051470311883</v>
      </c>
      <c r="E79" s="285">
        <f>'Input data'!E45</f>
        <v>23.97555200834967</v>
      </c>
      <c r="F79" s="285">
        <f>'Input data'!F45</f>
        <v>6.2131458703570441</v>
      </c>
      <c r="G79" s="49">
        <f>'Input data'!G33+G42-(G$12-F$12)/'Input data'!$C$64*100</f>
        <v>2.7658458841428533</v>
      </c>
      <c r="H79" s="49">
        <f>'Input data'!H33+H42-(H$12-G$12)/'Input data'!$C$64*100</f>
        <v>1.9628567591428516</v>
      </c>
      <c r="I79" s="49">
        <f>'Input data'!I33+I42-(I$12-H$12)/'Input data'!$C$64*100</f>
        <v>1.6277946341428522</v>
      </c>
      <c r="J79" s="49">
        <f>'Input data'!J33+J42-(J$12-I$12)/'Input data'!$C$64*100</f>
        <v>1.524007509142852</v>
      </c>
      <c r="K79" s="49">
        <f>'Input data'!K33+K42-(K$12-J$12)/'Input data'!$C$64*100</f>
        <v>4.3189764999999998</v>
      </c>
      <c r="L79" s="49">
        <f>'Input data'!L33+L42-(L$12-K$12)/'Input data'!$C$64*100</f>
        <v>4.2850393750000002</v>
      </c>
      <c r="M79" s="49">
        <f>'Input data'!M33+M42-(M$12-L$12)/'Input data'!$C$64*100</f>
        <v>4.2505262500000001</v>
      </c>
      <c r="N79" s="49">
        <f>'Input data'!N33+N42-(N$12-M$12)/'Input data'!$C$64*100</f>
        <v>4.199156125</v>
      </c>
      <c r="O79" s="49">
        <f>'Input data'!O33+O42-(O$12-N$12)/'Input data'!$C$64*100</f>
        <v>4.1233569999999995</v>
      </c>
      <c r="P79" s="49">
        <f>'Input data'!P33+P42-(P$12-O$12)/'Input data'!$C$64*100</f>
        <v>4.1266800000000003</v>
      </c>
      <c r="Q79" s="49">
        <f>'Input data'!Q33+Q42-(Q$12-P$12)/'Input data'!$C$64*100</f>
        <v>4.1300049999999997</v>
      </c>
      <c r="R79" s="49">
        <f>'Input data'!R33+R42-(R$12-Q$12)/'Input data'!$C$64*100</f>
        <v>4.1333279999999997</v>
      </c>
      <c r="S79" s="49">
        <f>'Input data'!S33+S42-(S$12-R$12)/'Input data'!$C$64*100</f>
        <v>4.1115909999999998</v>
      </c>
      <c r="T79" s="49">
        <f>'Input data'!T33+T42-(T$12-S$12)/'Input data'!$C$64*100</f>
        <v>4.0258459999999996</v>
      </c>
      <c r="U79" s="49">
        <f>'Input data'!U33+U42-(U$12-T$12)/'Input data'!$C$64*100</f>
        <v>3.9468809999999999</v>
      </c>
      <c r="V79" s="49">
        <f>'Input data'!V33+V42-(V$12-U$12)/'Input data'!$C$64*100</f>
        <v>3.8625819999999997</v>
      </c>
      <c r="W79" s="49">
        <f>'Input data'!W33+W42-(W$12-V$12)/'Input data'!$C$64*100</f>
        <v>3.8136900000000002</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1.9701261966428523</v>
      </c>
      <c r="E81" s="34"/>
      <c r="F81" s="34"/>
      <c r="G81" s="34"/>
      <c r="H81" s="34"/>
      <c r="I81" s="36"/>
      <c r="J81" s="36"/>
      <c r="K81" s="36"/>
      <c r="L81" s="36"/>
      <c r="M81" s="34"/>
      <c r="N81" s="34"/>
      <c r="O81" s="34"/>
      <c r="P81" s="34"/>
      <c r="Q81" s="34"/>
      <c r="R81" s="34"/>
      <c r="S81" s="34"/>
      <c r="T81" s="34"/>
      <c r="U81" s="34"/>
      <c r="V81" s="34"/>
      <c r="W81" s="34"/>
    </row>
    <row r="82" spans="2:23" x14ac:dyDescent="0.2">
      <c r="B82" s="87"/>
      <c r="C82" s="77"/>
      <c r="D82" s="330"/>
      <c r="E82" s="34"/>
      <c r="F82" s="34"/>
      <c r="G82" s="34"/>
      <c r="H82" s="34"/>
      <c r="I82" s="36"/>
      <c r="J82" s="36"/>
      <c r="K82" s="36"/>
      <c r="L82" s="36"/>
      <c r="M82" s="34"/>
      <c r="N82" s="34"/>
      <c r="O82" s="34"/>
      <c r="P82" s="34"/>
      <c r="Q82" s="34"/>
      <c r="R82" s="34"/>
      <c r="S82" s="34"/>
      <c r="T82" s="34"/>
      <c r="U82" s="34"/>
      <c r="V82" s="34"/>
      <c r="W82" s="34"/>
    </row>
    <row r="83" spans="2:23" x14ac:dyDescent="0.2">
      <c r="B83" s="51" t="s">
        <v>218</v>
      </c>
      <c r="C83" s="51"/>
      <c r="D83" s="51"/>
      <c r="E83" s="51"/>
      <c r="F83" s="51"/>
      <c r="G83" s="258"/>
      <c r="H83" s="258"/>
      <c r="I83" s="258"/>
      <c r="J83" s="258"/>
      <c r="K83" s="258">
        <f t="shared" ref="K83:W83" si="29">IF(K57&lt;J57,0,1)</f>
        <v>0</v>
      </c>
      <c r="L83" s="258">
        <f t="shared" si="29"/>
        <v>0</v>
      </c>
      <c r="M83" s="258">
        <f t="shared" si="29"/>
        <v>0</v>
      </c>
      <c r="N83" s="258">
        <f t="shared" si="29"/>
        <v>0</v>
      </c>
      <c r="O83" s="258">
        <f t="shared" si="29"/>
        <v>0</v>
      </c>
      <c r="P83" s="258">
        <f t="shared" si="29"/>
        <v>0</v>
      </c>
      <c r="Q83" s="258">
        <f t="shared" si="29"/>
        <v>0</v>
      </c>
      <c r="R83" s="258">
        <f t="shared" si="29"/>
        <v>0</v>
      </c>
      <c r="S83" s="258">
        <f t="shared" si="29"/>
        <v>0</v>
      </c>
      <c r="T83" s="258">
        <f t="shared" si="29"/>
        <v>1</v>
      </c>
      <c r="U83" s="78">
        <f t="shared" si="29"/>
        <v>1</v>
      </c>
      <c r="V83" s="78">
        <f t="shared" si="29"/>
        <v>1</v>
      </c>
      <c r="W83" s="78">
        <f t="shared" si="29"/>
        <v>1</v>
      </c>
    </row>
    <row r="84" spans="2:23" x14ac:dyDescent="0.2">
      <c r="B84" s="77"/>
      <c r="C84" s="77"/>
      <c r="D84" s="78"/>
      <c r="E84" s="34"/>
      <c r="F84" s="34"/>
      <c r="G84" s="34"/>
      <c r="H84" s="34"/>
      <c r="I84" s="34"/>
      <c r="J84" s="34"/>
      <c r="K84" s="34"/>
      <c r="L84" s="34"/>
      <c r="M84" s="34"/>
      <c r="N84" s="34"/>
      <c r="O84" s="34"/>
      <c r="P84" s="34"/>
      <c r="Q84" s="34"/>
      <c r="R84" s="34"/>
      <c r="S84" s="34"/>
      <c r="T84" s="34"/>
      <c r="U84" s="34"/>
      <c r="V84" s="34"/>
      <c r="W84" s="34"/>
    </row>
    <row r="85" spans="2:23" s="93" customFormat="1" ht="12.75" outlineLevel="1" x14ac:dyDescent="0.2">
      <c r="B85" s="94" t="s">
        <v>124</v>
      </c>
      <c r="C85" s="95"/>
      <c r="E85" s="96"/>
      <c r="F85" s="95"/>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125</v>
      </c>
      <c r="D87" s="29">
        <f t="shared" ref="D87:W87" si="30">IF((D92-C92*D43/((1+D24/100)*(1+D42/100)))&gt;0,1,0)</f>
        <v>1</v>
      </c>
      <c r="E87" s="29">
        <f t="shared" si="30"/>
        <v>1</v>
      </c>
      <c r="F87" s="29">
        <f t="shared" si="30"/>
        <v>1</v>
      </c>
      <c r="G87" s="29">
        <f t="shared" si="30"/>
        <v>1</v>
      </c>
      <c r="H87" s="29">
        <f t="shared" si="30"/>
        <v>1</v>
      </c>
      <c r="I87" s="29">
        <f t="shared" si="30"/>
        <v>1</v>
      </c>
      <c r="J87" s="29">
        <f t="shared" si="30"/>
        <v>1</v>
      </c>
      <c r="K87" s="29">
        <f t="shared" si="30"/>
        <v>1</v>
      </c>
      <c r="L87" s="29">
        <f t="shared" si="30"/>
        <v>1</v>
      </c>
      <c r="M87" s="29">
        <f t="shared" si="30"/>
        <v>1</v>
      </c>
      <c r="N87" s="29">
        <f t="shared" si="30"/>
        <v>1</v>
      </c>
      <c r="O87" s="29">
        <f t="shared" si="30"/>
        <v>1</v>
      </c>
      <c r="P87" s="29">
        <f t="shared" si="30"/>
        <v>1</v>
      </c>
      <c r="Q87" s="29">
        <f t="shared" si="30"/>
        <v>1</v>
      </c>
      <c r="R87" s="29">
        <f t="shared" si="30"/>
        <v>1</v>
      </c>
      <c r="S87" s="29">
        <f t="shared" si="30"/>
        <v>1</v>
      </c>
      <c r="T87" s="29">
        <f t="shared" si="30"/>
        <v>1</v>
      </c>
      <c r="U87" s="29">
        <f t="shared" si="30"/>
        <v>1</v>
      </c>
      <c r="V87" s="29">
        <f t="shared" si="30"/>
        <v>1</v>
      </c>
      <c r="W87" s="29">
        <f t="shared" si="30"/>
        <v>1</v>
      </c>
    </row>
    <row r="88" spans="2:23" x14ac:dyDescent="0.2">
      <c r="B88" s="26" t="s">
        <v>126</v>
      </c>
      <c r="D88" s="29">
        <f t="shared" ref="D88:W88" si="31">IF(AND(D87=0,ABS(D92-C92*D43/((1+D24/100)*(1+D42/100)))&lt;((C98*C92*D43/((1+D24/100)*(1+D42/100))+(D39*C92*C99*D43/((1+D24/100)*(1+D42/100)))))),1,0)</f>
        <v>0</v>
      </c>
      <c r="E88" s="29">
        <f t="shared" si="31"/>
        <v>0</v>
      </c>
      <c r="F88" s="29">
        <f t="shared" si="31"/>
        <v>0</v>
      </c>
      <c r="G88" s="29">
        <f t="shared" si="31"/>
        <v>0</v>
      </c>
      <c r="H88" s="29">
        <f t="shared" si="31"/>
        <v>0</v>
      </c>
      <c r="I88" s="29">
        <f t="shared" si="31"/>
        <v>0</v>
      </c>
      <c r="J88" s="29">
        <f t="shared" si="31"/>
        <v>0</v>
      </c>
      <c r="K88" s="29">
        <f t="shared" si="31"/>
        <v>0</v>
      </c>
      <c r="L88" s="29">
        <f t="shared" si="31"/>
        <v>0</v>
      </c>
      <c r="M88" s="29">
        <f t="shared" si="31"/>
        <v>0</v>
      </c>
      <c r="N88" s="29">
        <f t="shared" si="31"/>
        <v>0</v>
      </c>
      <c r="O88" s="29">
        <f t="shared" si="31"/>
        <v>0</v>
      </c>
      <c r="P88" s="29">
        <f t="shared" si="31"/>
        <v>0</v>
      </c>
      <c r="Q88" s="29">
        <f t="shared" si="31"/>
        <v>0</v>
      </c>
      <c r="R88" s="29">
        <f t="shared" si="31"/>
        <v>0</v>
      </c>
      <c r="S88" s="29">
        <f t="shared" si="31"/>
        <v>0</v>
      </c>
      <c r="T88" s="29">
        <f t="shared" si="31"/>
        <v>0</v>
      </c>
      <c r="U88" s="29">
        <f t="shared" si="31"/>
        <v>0</v>
      </c>
      <c r="V88" s="29">
        <f t="shared" si="31"/>
        <v>0</v>
      </c>
      <c r="W88" s="29">
        <f t="shared" si="31"/>
        <v>0</v>
      </c>
    </row>
    <row r="90" spans="2:23" x14ac:dyDescent="0.2">
      <c r="H90" s="38"/>
      <c r="I90" s="38"/>
      <c r="J90" s="38"/>
      <c r="K90" s="38"/>
      <c r="L90" s="38"/>
      <c r="M90" s="38"/>
      <c r="N90" s="38"/>
      <c r="O90" s="38"/>
      <c r="P90" s="38"/>
      <c r="Q90" s="38"/>
      <c r="R90" s="38"/>
      <c r="S90" s="38"/>
      <c r="T90" s="38"/>
    </row>
    <row r="91" spans="2:23" x14ac:dyDescent="0.2">
      <c r="B91" s="51"/>
      <c r="C91" s="86">
        <v>2021</v>
      </c>
      <c r="D91" s="86">
        <v>2022</v>
      </c>
      <c r="E91" s="86">
        <v>2023</v>
      </c>
      <c r="F91" s="86">
        <v>2024</v>
      </c>
      <c r="G91" s="86">
        <v>2025</v>
      </c>
      <c r="H91" s="86">
        <v>2026</v>
      </c>
      <c r="I91" s="86">
        <v>2027</v>
      </c>
      <c r="J91" s="86">
        <v>2028</v>
      </c>
      <c r="K91" s="86">
        <v>2029</v>
      </c>
      <c r="L91" s="86">
        <v>2030</v>
      </c>
      <c r="M91" s="86">
        <v>2031</v>
      </c>
      <c r="N91" s="86">
        <v>2032</v>
      </c>
      <c r="O91" s="86">
        <v>2033</v>
      </c>
      <c r="P91" s="86">
        <v>2034</v>
      </c>
      <c r="Q91" s="86">
        <v>2035</v>
      </c>
      <c r="R91" s="86">
        <v>2036</v>
      </c>
      <c r="S91" s="86">
        <v>2037</v>
      </c>
      <c r="T91" s="86">
        <v>2038</v>
      </c>
      <c r="U91" s="86">
        <v>2039</v>
      </c>
      <c r="V91" s="86">
        <v>2040</v>
      </c>
      <c r="W91" s="86">
        <v>2041</v>
      </c>
    </row>
    <row r="92" spans="2:23" x14ac:dyDescent="0.2">
      <c r="B92" s="106" t="s">
        <v>104</v>
      </c>
      <c r="C92" s="110">
        <f>C57</f>
        <v>61.088839999999998</v>
      </c>
      <c r="D92" s="110">
        <f>D57</f>
        <v>57.741851922294835</v>
      </c>
      <c r="E92" s="110">
        <f>E57</f>
        <v>56.044964616339094</v>
      </c>
      <c r="F92" s="110">
        <f>F57</f>
        <v>58.478930381041359</v>
      </c>
      <c r="G92" s="110">
        <f>G57</f>
        <v>59.623964733451906</v>
      </c>
      <c r="H92" s="110">
        <f t="shared" ref="H92:W92" si="32">G92*(1+H106/100)*H43-H60-H61+H62+H63+H64+H65+H66+H72</f>
        <v>61.136174386887213</v>
      </c>
      <c r="I92" s="110">
        <f t="shared" si="32"/>
        <v>61.633447791006709</v>
      </c>
      <c r="J92" s="110">
        <f t="shared" si="32"/>
        <v>60.963732291979092</v>
      </c>
      <c r="K92" s="110">
        <f t="shared" si="32"/>
        <v>59.590667340237808</v>
      </c>
      <c r="L92" s="110">
        <f t="shared" si="32"/>
        <v>58.148355984923697</v>
      </c>
      <c r="M92" s="110">
        <f t="shared" si="32"/>
        <v>56.658318746410529</v>
      </c>
      <c r="N92" s="110">
        <f t="shared" si="32"/>
        <v>55.823411743043899</v>
      </c>
      <c r="O92" s="110">
        <f t="shared" si="32"/>
        <v>55.220580273948059</v>
      </c>
      <c r="P92" s="110">
        <f t="shared" si="32"/>
        <v>54.776942231545938</v>
      </c>
      <c r="Q92" s="110">
        <f t="shared" si="32"/>
        <v>54.480076992848865</v>
      </c>
      <c r="R92" s="110">
        <f t="shared" si="32"/>
        <v>54.313367510706122</v>
      </c>
      <c r="S92" s="110">
        <f t="shared" si="32"/>
        <v>54.292704756653251</v>
      </c>
      <c r="T92" s="110">
        <f t="shared" si="32"/>
        <v>54.454121916074946</v>
      </c>
      <c r="U92" s="110">
        <f t="shared" si="32"/>
        <v>54.775534480653107</v>
      </c>
      <c r="V92" s="110">
        <f t="shared" si="32"/>
        <v>55.31044290934468</v>
      </c>
      <c r="W92" s="110">
        <f t="shared" si="32"/>
        <v>56.027460196798287</v>
      </c>
    </row>
    <row r="93" spans="2:23" x14ac:dyDescent="0.2">
      <c r="B93" s="26" t="s">
        <v>127</v>
      </c>
      <c r="C93" s="34"/>
      <c r="D93" s="254">
        <f>'Input data'!C66*$D$92</f>
        <v>52.315862681355021</v>
      </c>
      <c r="E93" s="34">
        <f t="shared" ref="E93:W93" si="33">IF(E92=0,0,IF(E87=1,D92*E43/((1+E24/100)*(1+E42/100))-E94-E95,IF(AND(E87=0,E88=1),(1-D98-E39*D99)*D92*E43/((1+E24/100)*(1+E42/100)),E92)))</f>
        <v>45.918787023684288</v>
      </c>
      <c r="F93" s="34">
        <f t="shared" si="33"/>
        <v>46.936801284818955</v>
      </c>
      <c r="G93" s="34">
        <f t="shared" si="33"/>
        <v>49.796493226638624</v>
      </c>
      <c r="H93" s="34">
        <f t="shared" si="33"/>
        <v>51.58148690998658</v>
      </c>
      <c r="I93" s="34">
        <f t="shared" si="33"/>
        <v>53.089026673249592</v>
      </c>
      <c r="J93" s="34">
        <f t="shared" si="33"/>
        <v>53.631210153156147</v>
      </c>
      <c r="K93" s="34">
        <f t="shared" si="33"/>
        <v>52.62757562138188</v>
      </c>
      <c r="L93" s="34">
        <f t="shared" si="33"/>
        <v>51.585758621472287</v>
      </c>
      <c r="M93" s="34">
        <f t="shared" si="33"/>
        <v>50.476671475036007</v>
      </c>
      <c r="N93" s="34">
        <f t="shared" si="33"/>
        <v>49.696214520038033</v>
      </c>
      <c r="O93" s="34">
        <f t="shared" si="33"/>
        <v>49.116307101573732</v>
      </c>
      <c r="P93" s="34">
        <f t="shared" si="33"/>
        <v>48.59327451916257</v>
      </c>
      <c r="Q93" s="34">
        <f t="shared" si="33"/>
        <v>48.210743789043008</v>
      </c>
      <c r="R93" s="34">
        <f t="shared" si="33"/>
        <v>47.957723573432794</v>
      </c>
      <c r="S93" s="34">
        <f t="shared" si="33"/>
        <v>47.831288802023238</v>
      </c>
      <c r="T93" s="34">
        <f t="shared" si="33"/>
        <v>47.863793958466609</v>
      </c>
      <c r="U93" s="34">
        <f t="shared" si="33"/>
        <v>48.054012856157804</v>
      </c>
      <c r="V93" s="34">
        <f t="shared" si="33"/>
        <v>48.388504849701853</v>
      </c>
      <c r="W93" s="34">
        <f t="shared" si="33"/>
        <v>48.89560130972194</v>
      </c>
    </row>
    <row r="94" spans="2:23" x14ac:dyDescent="0.2">
      <c r="B94" s="105" t="s">
        <v>128</v>
      </c>
      <c r="C94" s="34"/>
      <c r="D94" s="254">
        <f>'Input data'!C67*$D$92</f>
        <v>1.4670897947637904</v>
      </c>
      <c r="E94" s="34">
        <f t="shared" ref="E94:W94" si="34">IF(E92=0,0,IF(E87=1,E39*D92*D99*E43/((1+E24/100)*(1+E42/100)),IF(AND(E87=0,E88=1),(E39*D92*D99*E43/((1+E24/100)*(1+E42/100)))*(1-ABS(E92-D92*E43/((1+E24/100)*(1+E42/100)))/((E39*D92*D99*E43/((1+E24/100)*(1+E42/100)))+(D98*D92*E43/((1+E24/100)*(1+E42/100))))),0)))</f>
        <v>3.8289375982734368</v>
      </c>
      <c r="F94" s="34">
        <f t="shared" si="34"/>
        <v>3.6414445364952521</v>
      </c>
      <c r="G94" s="34">
        <f t="shared" si="34"/>
        <v>3.7434019124227125</v>
      </c>
      <c r="H94" s="34">
        <f t="shared" si="34"/>
        <v>3.7539399899390373</v>
      </c>
      <c r="I94" s="34">
        <f t="shared" si="34"/>
        <v>3.7369594334782299</v>
      </c>
      <c r="J94" s="34">
        <f t="shared" si="34"/>
        <v>3.6477036313138331</v>
      </c>
      <c r="K94" s="34">
        <f t="shared" si="34"/>
        <v>3.4549598626342619</v>
      </c>
      <c r="L94" s="34">
        <f t="shared" si="34"/>
        <v>3.2650869007704597</v>
      </c>
      <c r="M94" s="34">
        <f t="shared" si="34"/>
        <v>3.0765454363400067</v>
      </c>
      <c r="N94" s="34">
        <f t="shared" si="34"/>
        <v>2.9129766432686632</v>
      </c>
      <c r="O94" s="34">
        <f t="shared" si="34"/>
        <v>2.7648418911356285</v>
      </c>
      <c r="P94" s="34">
        <f t="shared" si="34"/>
        <v>2.7353994822979959</v>
      </c>
      <c r="Q94" s="34">
        <f t="shared" si="34"/>
        <v>2.7138661657745442</v>
      </c>
      <c r="R94" s="34">
        <f t="shared" si="34"/>
        <v>2.6996232201480219</v>
      </c>
      <c r="S94" s="34">
        <f t="shared" si="34"/>
        <v>2.6925059881507876</v>
      </c>
      <c r="T94" s="34">
        <f t="shared" si="34"/>
        <v>2.6943357596363899</v>
      </c>
      <c r="U94" s="34">
        <f t="shared" si="34"/>
        <v>2.7050435104396948</v>
      </c>
      <c r="V94" s="34">
        <f t="shared" si="34"/>
        <v>2.7238726433809712</v>
      </c>
      <c r="W94" s="34">
        <f t="shared" si="34"/>
        <v>2.7524179803219315</v>
      </c>
    </row>
    <row r="95" spans="2:23" x14ac:dyDescent="0.2">
      <c r="B95" s="105" t="s">
        <v>129</v>
      </c>
      <c r="C95" s="34"/>
      <c r="D95" s="254">
        <f>'Input data'!C68*$D$92</f>
        <v>2.0088707189722039</v>
      </c>
      <c r="E95" s="34">
        <f t="shared" ref="E95:W95" si="35">IF(E92=0,0,IF(E87=1,(1-D99)*D92*E43/((1+E24/100)*(1+E42/100)),IF(AND(E87=0,E88=1),(D98*D92*E43/((1+E24/100)*(1+E42/100)))*(1-ABS(E92-D92*E43/((1+E24/100)*(1+E42/100)))/((E39*D92*D99*E43/((1+E24/100)*(1+E42/100)))+(D98*D92*E43/((1+E24/100)*(1+E42/100))))),0)))</f>
        <v>1.8581502566395298</v>
      </c>
      <c r="F95" s="34">
        <f t="shared" si="35"/>
        <v>1.8451657155057619</v>
      </c>
      <c r="G95" s="34">
        <f t="shared" si="35"/>
        <v>1.8972380119201142</v>
      </c>
      <c r="H95" s="34">
        <f t="shared" si="35"/>
        <v>1.9257539015442364</v>
      </c>
      <c r="I95" s="34">
        <f t="shared" si="35"/>
        <v>1.9474016318581715</v>
      </c>
      <c r="J95" s="34">
        <f t="shared" si="35"/>
        <v>1.9420495914242122</v>
      </c>
      <c r="K95" s="34">
        <f t="shared" si="35"/>
        <v>1.8894867315460735</v>
      </c>
      <c r="L95" s="34">
        <f t="shared" si="35"/>
        <v>1.8371614874339537</v>
      </c>
      <c r="M95" s="34">
        <f t="shared" si="35"/>
        <v>1.7841932904726041</v>
      </c>
      <c r="N95" s="34">
        <f t="shared" si="35"/>
        <v>1.7442937024683565</v>
      </c>
      <c r="O95" s="34">
        <f t="shared" si="35"/>
        <v>1.7109675312068213</v>
      </c>
      <c r="P95" s="34">
        <f t="shared" si="35"/>
        <v>1.6828394084849048</v>
      </c>
      <c r="Q95" s="34">
        <f t="shared" si="35"/>
        <v>1.6591694009340121</v>
      </c>
      <c r="R95" s="34">
        <f t="shared" si="35"/>
        <v>1.6396299161117762</v>
      </c>
      <c r="S95" s="34">
        <f t="shared" si="35"/>
        <v>1.6241902860342148</v>
      </c>
      <c r="T95" s="34">
        <f t="shared" si="35"/>
        <v>1.6139014233209166</v>
      </c>
      <c r="U95" s="34">
        <f t="shared" si="35"/>
        <v>1.6086653893403409</v>
      </c>
      <c r="V95" s="34">
        <f t="shared" si="35"/>
        <v>1.6080791446478002</v>
      </c>
      <c r="W95" s="34">
        <f t="shared" si="35"/>
        <v>1.6128100745009708</v>
      </c>
    </row>
    <row r="96" spans="2:23" x14ac:dyDescent="0.2">
      <c r="B96" s="105" t="s">
        <v>130</v>
      </c>
      <c r="C96" s="34"/>
      <c r="D96" s="254">
        <f>'Input data'!C69*$D$92</f>
        <v>1.8798137370264267</v>
      </c>
      <c r="E96" s="34">
        <f>IF(E92=0,0,IF(E87=1,'Input data'!$C$58*(E92-D92*E43/((1+E24/100)*(1+E42/100))),0))</f>
        <v>4.3246051694965022</v>
      </c>
      <c r="F96" s="34">
        <f>IF(F92=0,0,IF(F87=1,'Input data'!$C$58*(F92-E92*F43/((1+F24/100)*(1+F42/100))),0))</f>
        <v>5.8993464076770348</v>
      </c>
      <c r="G96" s="34">
        <f>IF(G92=0,0,IF(G87=1,'Input data'!$C$58*(G92-F92*G43/((1+G24/100)*(1+G42/100))),0))</f>
        <v>4.0788527772753822</v>
      </c>
      <c r="H96" s="34">
        <f>IF(H92=0,0,IF(H87=1,'Input data'!$C$58*(H92-G92*H43/((1+H24/100)*(1+H42/100))),0))</f>
        <v>3.7750571133500919</v>
      </c>
      <c r="I96" s="34">
        <f>IF(I92=0,0,IF(I87=1,'Input data'!$C$58*(I92-H92*I43/((1+I24/100)*(1+I42/100))),0))</f>
        <v>2.786298817662785</v>
      </c>
      <c r="J96" s="34">
        <f>IF(J92=0,0,IF(J87=1,'Input data'!$C$58*(J92-I92*J43/((1+J24/100)*(1+J42/100))),0))</f>
        <v>1.6978227314621772</v>
      </c>
      <c r="K96" s="34">
        <f>IF(K92=0,0,IF(K87=1,'Input data'!$C$58*(K92-J92*K43/((1+K24/100)*(1+K42/100))),0))</f>
        <v>1.576900105045699</v>
      </c>
      <c r="L96" s="34">
        <f>IF(L92=0,0,IF(L87=1,'Input data'!$C$58*(L92-K92*L43/((1+L24/100)*(1+L42/100))),0))</f>
        <v>1.4226864291404764</v>
      </c>
      <c r="M96" s="34">
        <f>IF(M92=0,0,IF(M87=1,'Input data'!$C$58*(M92-L92*M43/((1+M24/100)*(1+M42/100))),0))</f>
        <v>1.2868421811068103</v>
      </c>
      <c r="N96" s="34">
        <f>IF(N92=0,0,IF(N87=1,'Input data'!$C$58*(N92-M92*N43/((1+N24/100)*(1+N42/100))),0))</f>
        <v>1.4320173161113956</v>
      </c>
      <c r="O96" s="34">
        <f>IF(O92=0,0,IF(O87=1,'Input data'!$C$58*(O92-N92*O43/((1+O24/100)*(1+O42/100))),0))</f>
        <v>1.5864655070721794</v>
      </c>
      <c r="P96" s="34">
        <f>IF(P92=0,0,IF(P87=1,'Input data'!$C$58*(P92-O92*P43/((1+P24/100)*(1+P42/100))),0))</f>
        <v>1.7198982357485146</v>
      </c>
      <c r="Q96" s="34">
        <f>IF(Q92=0,0,IF(Q87=1,'Input data'!$C$58*(Q92-P92*Q43/((1+Q24/100)*(1+Q42/100))),0))</f>
        <v>1.847391931406795</v>
      </c>
      <c r="R96" s="34">
        <f>IF(R92=0,0,IF(R87=1,'Input data'!$C$58*(R92-Q92*R43/((1+R24/100)*(1+R42/100))),0))</f>
        <v>1.9643878806163098</v>
      </c>
      <c r="S96" s="34">
        <f>IF(S92=0,0,IF(S87=1,'Input data'!$C$58*(S92-R92*S43/((1+S24/100)*(1+S42/100))),0))</f>
        <v>2.0894071454143694</v>
      </c>
      <c r="T96" s="34">
        <f>IF(T92=0,0,IF(T87=1,'Input data'!$C$58*(T92-S92*T43/((1+T24/100)*(1+T42/100))),0))</f>
        <v>2.2232354253637037</v>
      </c>
      <c r="U96" s="34">
        <f>IF(U92=0,0,IF(U87=1,'Input data'!$C$58*(U92-T92*U43/((1+U24/100)*(1+U42/100))),0))</f>
        <v>2.3457149937635915</v>
      </c>
      <c r="V96" s="34">
        <f>IF(V92=0,0,IF(V87=1,'Input data'!$C$58*(V92-U92*V43/((1+V24/100)*(1+V42/100))),0))</f>
        <v>2.5231902666704982</v>
      </c>
      <c r="W96" s="34">
        <f>IF(W92=0,0,IF(W87=1,'Input data'!$C$58*(W92-V92*W43/((1+W24/100)*(1+W42/100))),0))</f>
        <v>2.695279146426548</v>
      </c>
    </row>
    <row r="97" spans="2:25" x14ac:dyDescent="0.2">
      <c r="B97" s="107" t="s">
        <v>131</v>
      </c>
      <c r="C97" s="49"/>
      <c r="D97" s="255">
        <f>'Input data'!C70*$D$92</f>
        <v>7.0213790177552735E-2</v>
      </c>
      <c r="E97" s="49">
        <f>IF(E92=0,0,IF(E87=1,'Input data'!$C$57*(E92-D92*E43/((1+E24/100)*(1+E42/100))),0))</f>
        <v>0.11448456824533579</v>
      </c>
      <c r="F97" s="49">
        <f>IF(F92=0,0,IF(F87=1,'Input data'!$C$57*(F92-E92*F43/((1+F24/100)*(1+F42/100))),0))</f>
        <v>0.15617243654435403</v>
      </c>
      <c r="G97" s="49">
        <f>IF(G92=0,0,IF(G87=1,'Input data'!$C$57*(G92-F92*G43/((1+G24/100)*(1+G42/100))),0))</f>
        <v>0.10797880519507125</v>
      </c>
      <c r="H97" s="49">
        <f>IF(H92=0,0,IF(H87=1,'Input data'!$C$57*(H92-G92*H43/((1+H24/100)*(1+H42/100))),0))</f>
        <v>9.9936472067272367E-2</v>
      </c>
      <c r="I97" s="49">
        <f>IF(I92=0,0,IF(I87=1,'Input data'!$C$57*(I92-H92*I43/((1+I24/100)*(1+I42/100))),0))</f>
        <v>7.376123475793564E-2</v>
      </c>
      <c r="J97" s="49">
        <f>IF(J92=0,0,IF(J87=1,'Input data'!$C$57*(J92-I92*J43/((1+J24/100)*(1+J42/100))),0))</f>
        <v>4.4946184622721139E-2</v>
      </c>
      <c r="K97" s="49">
        <f>IF(K92=0,0,IF(K87=1,'Input data'!$C$57*(K92-J92*K43/((1+K24/100)*(1+K42/100))),0))</f>
        <v>4.1745019629896067E-2</v>
      </c>
      <c r="L97" s="49">
        <f>IF(L92=0,0,IF(L87=1,'Input data'!$C$57*(L92-K92*L43/((1+L24/100)*(1+L42/100))),0))</f>
        <v>3.7662546106517501E-2</v>
      </c>
      <c r="M97" s="49">
        <f>IF(M92=0,0,IF(M87=1,'Input data'!$C$57*(M92-L92*M43/((1+M24/100)*(1+M42/100))),0))</f>
        <v>3.4066363455106288E-2</v>
      </c>
      <c r="N97" s="49">
        <f>IF(N92=0,0,IF(N87=1,'Input data'!$C$57*(N92-M92*N43/((1+N24/100)*(1+N42/100))),0))</f>
        <v>3.7909561157451289E-2</v>
      </c>
      <c r="O97" s="49">
        <f>IF(O92=0,0,IF(O87=1,'Input data'!$C$57*(O92-N92*O43/((1+O24/100)*(1+O42/100))),0))</f>
        <v>4.1998242959697098E-2</v>
      </c>
      <c r="P97" s="49">
        <f>IF(P92=0,0,IF(P87=1,'Input data'!$C$57*(P92-O92*P43/((1+P24/100)*(1+P42/100))),0))</f>
        <v>4.5530585851958356E-2</v>
      </c>
      <c r="Q97" s="49">
        <f>IF(Q92=0,0,IF(Q87=1,'Input data'!$C$57*(Q92-P92*Q43/((1+Q24/100)*(1+Q42/100))),0))</f>
        <v>4.890570569050303E-2</v>
      </c>
      <c r="R97" s="49">
        <f>IF(R92=0,0,IF(R87=1,'Input data'!$C$57*(R92-Q92*R43/((1+R24/100)*(1+R42/100))),0))</f>
        <v>5.2002920397219009E-2</v>
      </c>
      <c r="S97" s="49">
        <f>IF(S92=0,0,IF(S87=1,'Input data'!$C$57*(S92-R92*S43/((1+S24/100)*(1+S42/100))),0))</f>
        <v>5.5312535030644962E-2</v>
      </c>
      <c r="T97" s="49">
        <f>IF(T92=0,0,IF(T87=1,'Input data'!$C$57*(T92-S92*T43/((1+T24/100)*(1+T42/100))),0))</f>
        <v>5.8855349287327566E-2</v>
      </c>
      <c r="U97" s="49">
        <f>IF(U92=0,0,IF(U87=1,'Input data'!$C$57*(U92-T92*U43/((1+U24/100)*(1+U42/100))),0))</f>
        <v>6.2097730951679302E-2</v>
      </c>
      <c r="V97" s="49">
        <f>IF(V92=0,0,IF(V87=1,'Input data'!$C$57*(V92-U92*V43/((1+V24/100)*(1+V42/100))),0))</f>
        <v>6.6796004943553561E-2</v>
      </c>
      <c r="W97" s="49">
        <f>IF(W92=0,0,IF(W87=1,'Input data'!$C$57*(W92-V92*W43/((1+W24/100)*(1+W42/100))),0))</f>
        <v>7.1351685826899644E-2</v>
      </c>
    </row>
    <row r="98" spans="2:25" x14ac:dyDescent="0.2">
      <c r="B98" s="26" t="s">
        <v>73</v>
      </c>
      <c r="C98" s="36"/>
      <c r="D98" s="260">
        <f>'Baseline NFPC'!$D$93</f>
        <v>3.6006564388469831E-2</v>
      </c>
      <c r="E98" s="36">
        <f t="shared" ref="E98:W98" si="36">IF(E92&lt;&gt;0,(E95+E97)/(E93+E94+E95+E96+E97),0)</f>
        <v>3.5197360519160226E-2</v>
      </c>
      <c r="F98" s="36">
        <f t="shared" si="36"/>
        <v>3.4223234573711389E-2</v>
      </c>
      <c r="G98" s="36">
        <f t="shared" si="36"/>
        <v>3.3631054661988333E-2</v>
      </c>
      <c r="H98" s="36">
        <f t="shared" si="36"/>
        <v>3.3134071503924341E-2</v>
      </c>
      <c r="I98" s="36">
        <f t="shared" si="36"/>
        <v>3.2793279283509863E-2</v>
      </c>
      <c r="J98" s="36">
        <f t="shared" si="36"/>
        <v>3.2593079546548026E-2</v>
      </c>
      <c r="K98" s="36">
        <f t="shared" si="36"/>
        <v>3.2408292059383115E-2</v>
      </c>
      <c r="L98" s="36">
        <f t="shared" si="36"/>
        <v>3.2242081513474991E-2</v>
      </c>
      <c r="M98" s="36">
        <f t="shared" si="36"/>
        <v>3.2091662692389764E-2</v>
      </c>
      <c r="N98" s="36">
        <f t="shared" si="36"/>
        <v>3.1925731659492966E-2</v>
      </c>
      <c r="O98" s="36">
        <f t="shared" si="36"/>
        <v>3.1744790899879978E-2</v>
      </c>
      <c r="P98" s="36">
        <f t="shared" si="36"/>
        <v>3.1552874693715524E-2</v>
      </c>
      <c r="Q98" s="36">
        <f t="shared" si="36"/>
        <v>3.1352288779781273E-2</v>
      </c>
      <c r="R98" s="36">
        <f t="shared" si="36"/>
        <v>3.1145791801172051E-2</v>
      </c>
      <c r="S98" s="36">
        <f t="shared" si="36"/>
        <v>3.0934226404681867E-2</v>
      </c>
      <c r="T98" s="36">
        <f t="shared" si="36"/>
        <v>3.0718643763759667E-2</v>
      </c>
      <c r="U98" s="36">
        <f>IF(U92&lt;&gt;0,(U95+U97)/(U93+U94+U95+U96+U97),0)</f>
        <v>3.0501995756556953E-2</v>
      </c>
      <c r="V98" s="36">
        <f t="shared" si="36"/>
        <v>3.028135486704599E-2</v>
      </c>
      <c r="W98" s="34">
        <f t="shared" si="36"/>
        <v>3.005957711472548E-2</v>
      </c>
    </row>
    <row r="99" spans="2:25" x14ac:dyDescent="0.2">
      <c r="B99" s="35" t="s">
        <v>74</v>
      </c>
      <c r="C99" s="108"/>
      <c r="D99" s="261">
        <f>'Baseline NFPC'!$D$94</f>
        <v>0.96399343561153017</v>
      </c>
      <c r="E99" s="108">
        <f t="shared" ref="E99:W99" si="37">IF(E92&lt;&gt;0,(E93+E94+E96)/(E93+E94+E95+E96+E97),1)</f>
        <v>0.96480263948083966</v>
      </c>
      <c r="F99" s="108">
        <f t="shared" si="37"/>
        <v>0.96577676542628854</v>
      </c>
      <c r="G99" s="108">
        <f t="shared" si="37"/>
        <v>0.96636894533801154</v>
      </c>
      <c r="H99" s="108">
        <f t="shared" si="37"/>
        <v>0.96686592849607578</v>
      </c>
      <c r="I99" s="108">
        <f t="shared" si="37"/>
        <v>0.96720672071649005</v>
      </c>
      <c r="J99" s="108">
        <f t="shared" si="37"/>
        <v>0.96740692045345189</v>
      </c>
      <c r="K99" s="108">
        <f t="shared" si="37"/>
        <v>0.967591707940617</v>
      </c>
      <c r="L99" s="108">
        <f t="shared" si="37"/>
        <v>0.96775791848652504</v>
      </c>
      <c r="M99" s="108">
        <f t="shared" si="37"/>
        <v>0.96790833730761039</v>
      </c>
      <c r="N99" s="108">
        <f t="shared" si="37"/>
        <v>0.96807426834050714</v>
      </c>
      <c r="O99" s="108">
        <f t="shared" si="37"/>
        <v>0.96825520910011997</v>
      </c>
      <c r="P99" s="108">
        <f t="shared" si="37"/>
        <v>0.96844712530628452</v>
      </c>
      <c r="Q99" s="108">
        <f t="shared" si="37"/>
        <v>0.96864771122021875</v>
      </c>
      <c r="R99" s="108">
        <f t="shared" si="37"/>
        <v>0.96885420819882784</v>
      </c>
      <c r="S99" s="108">
        <f t="shared" si="37"/>
        <v>0.9690657735953182</v>
      </c>
      <c r="T99" s="108">
        <f t="shared" si="37"/>
        <v>0.96928135623624034</v>
      </c>
      <c r="U99" s="108">
        <f t="shared" si="37"/>
        <v>0.96949800424344312</v>
      </c>
      <c r="V99" s="108">
        <f t="shared" si="37"/>
        <v>0.96971864513295392</v>
      </c>
      <c r="W99" s="49">
        <f t="shared" si="37"/>
        <v>0.9699404228852746</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3" t="s">
        <v>132</v>
      </c>
      <c r="C101" s="115">
        <f>'Baseline NFPC'!C96</f>
        <v>1.998502</v>
      </c>
      <c r="D101" s="115">
        <f>'Baseline NFPC'!D96</f>
        <v>1.859802</v>
      </c>
      <c r="E101" s="115">
        <f>'Baseline NFPC'!E96</f>
        <v>2.2416550000000002</v>
      </c>
      <c r="F101" s="115">
        <f>'Baseline NFPC'!F96</f>
        <v>2.5392969999999999</v>
      </c>
      <c r="G101" s="115">
        <f>'Baseline NFPC'!G96</f>
        <v>2.7068880000000002</v>
      </c>
      <c r="H101" s="115">
        <f t="shared" ref="H101:W101" si="38">H103+H104</f>
        <v>2.8542031799392458</v>
      </c>
      <c r="I101" s="115">
        <f t="shared" si="38"/>
        <v>2.979782618905352</v>
      </c>
      <c r="J101" s="115">
        <f>J103+J104</f>
        <v>3.0791222957454929</v>
      </c>
      <c r="K101" s="115">
        <f t="shared" si="38"/>
        <v>3.1566440765560015</v>
      </c>
      <c r="L101" s="115">
        <f t="shared" si="38"/>
        <v>3.2286592210948779</v>
      </c>
      <c r="M101" s="115">
        <f t="shared" si="38"/>
        <v>3.2953481883418272</v>
      </c>
      <c r="N101" s="115">
        <f t="shared" si="38"/>
        <v>3.3575047340298072</v>
      </c>
      <c r="O101" s="115">
        <f t="shared" si="38"/>
        <v>3.4191568536493411</v>
      </c>
      <c r="P101" s="115">
        <f t="shared" si="38"/>
        <v>3.4750845207263823</v>
      </c>
      <c r="Q101" s="115">
        <f t="shared" si="38"/>
        <v>3.5273893585872655</v>
      </c>
      <c r="R101" s="115">
        <f t="shared" si="38"/>
        <v>3.5759582955698113</v>
      </c>
      <c r="S101" s="115">
        <f t="shared" si="38"/>
        <v>3.6206940749993275</v>
      </c>
      <c r="T101" s="115">
        <f t="shared" si="38"/>
        <v>3.6617175585238386</v>
      </c>
      <c r="U101" s="115">
        <f t="shared" si="38"/>
        <v>3.6991422585042391</v>
      </c>
      <c r="V101" s="115">
        <f t="shared" si="38"/>
        <v>3.7329565657267412</v>
      </c>
      <c r="W101" s="115">
        <f t="shared" si="38"/>
        <v>3.7635848067053392</v>
      </c>
    </row>
    <row r="102" spans="2:25" x14ac:dyDescent="0.2">
      <c r="B102" s="33" t="s">
        <v>133</v>
      </c>
      <c r="C102" s="34"/>
      <c r="D102" s="34"/>
      <c r="E102" s="266">
        <f>((E36*D92)-(E38*(D95+D97)))/(D93+D94+D96)</f>
        <v>2.1972686505760572</v>
      </c>
      <c r="F102" s="266">
        <f>((F36*E92)-(F38*(E95+E97)))/(E93+E94+E96)</f>
        <v>2.5019068017450858</v>
      </c>
      <c r="G102" s="266">
        <f>((G36*F92)-(G38*(F95+F97)))/(F93+F94+F96)</f>
        <v>2.7030082221694394</v>
      </c>
      <c r="H102" s="34">
        <f t="shared" ref="H102:W102" si="39">IF(G92&gt;0,(G102*G93+H37*(G96+G94))/(G93+G94+G96),H37)</f>
        <v>2.855912412284241</v>
      </c>
      <c r="I102" s="34">
        <f t="shared" si="39"/>
        <v>2.9861560332112154</v>
      </c>
      <c r="J102" s="34">
        <f t="shared" si="39"/>
        <v>3.0891787016818633</v>
      </c>
      <c r="K102" s="34">
        <f t="shared" si="39"/>
        <v>3.16962904690019</v>
      </c>
      <c r="L102" s="34">
        <f t="shared" si="39"/>
        <v>3.2443581636131138</v>
      </c>
      <c r="M102" s="34">
        <f t="shared" si="39"/>
        <v>3.3135617565200497</v>
      </c>
      <c r="N102" s="34">
        <f t="shared" si="39"/>
        <v>3.3780655386283853</v>
      </c>
      <c r="O102" s="34">
        <f t="shared" si="39"/>
        <v>3.4420132264663024</v>
      </c>
      <c r="P102" s="34">
        <f t="shared" si="39"/>
        <v>3.5008309902238284</v>
      </c>
      <c r="Q102" s="34">
        <f t="shared" si="39"/>
        <v>3.5558620755913801</v>
      </c>
      <c r="R102" s="34">
        <f t="shared" si="39"/>
        <v>3.6069912535619744</v>
      </c>
      <c r="S102" s="34">
        <f t="shared" si="39"/>
        <v>3.654121273420027</v>
      </c>
      <c r="T102" s="34">
        <f t="shared" si="39"/>
        <v>3.6973788869702724</v>
      </c>
      <c r="U102" s="34">
        <f t="shared" si="39"/>
        <v>3.7368838239148157</v>
      </c>
      <c r="V102" s="34">
        <f t="shared" si="39"/>
        <v>3.7726296310466005</v>
      </c>
      <c r="W102" s="34">
        <f t="shared" si="39"/>
        <v>3.8050520345435892</v>
      </c>
    </row>
    <row r="103" spans="2:25" x14ac:dyDescent="0.2">
      <c r="B103" s="26" t="s">
        <v>134</v>
      </c>
      <c r="C103" s="34"/>
      <c r="D103" s="34"/>
      <c r="E103" s="34">
        <f t="shared" ref="E103:W103" si="40">(E102*(D93+D94+D96)+E38*(D95+D97))/D92</f>
        <v>2.2416550000000002</v>
      </c>
      <c r="F103" s="34">
        <f t="shared" si="40"/>
        <v>2.5392969999999999</v>
      </c>
      <c r="G103" s="34">
        <f t="shared" si="40"/>
        <v>2.7068880000000002</v>
      </c>
      <c r="H103" s="34">
        <f t="shared" si="40"/>
        <v>2.8542031799392458</v>
      </c>
      <c r="I103" s="34">
        <f t="shared" si="40"/>
        <v>2.979782618905352</v>
      </c>
      <c r="J103" s="34">
        <f t="shared" si="40"/>
        <v>3.0791222957454929</v>
      </c>
      <c r="K103" s="34">
        <f t="shared" si="40"/>
        <v>3.1566440765560015</v>
      </c>
      <c r="L103" s="34">
        <f t="shared" si="40"/>
        <v>3.2286592210948779</v>
      </c>
      <c r="M103" s="34">
        <f t="shared" si="40"/>
        <v>3.2953481883418272</v>
      </c>
      <c r="N103" s="34">
        <f t="shared" si="40"/>
        <v>3.3575047340298072</v>
      </c>
      <c r="O103" s="34">
        <f t="shared" si="40"/>
        <v>3.4191568536493411</v>
      </c>
      <c r="P103" s="34">
        <f t="shared" si="40"/>
        <v>3.4750845207263823</v>
      </c>
      <c r="Q103" s="34">
        <f t="shared" si="40"/>
        <v>3.5273893585872655</v>
      </c>
      <c r="R103" s="34">
        <f t="shared" si="40"/>
        <v>3.5759582955698113</v>
      </c>
      <c r="S103" s="34">
        <f t="shared" si="40"/>
        <v>3.6206940749993275</v>
      </c>
      <c r="T103" s="34">
        <f t="shared" si="40"/>
        <v>3.6617175585238386</v>
      </c>
      <c r="U103" s="34">
        <f t="shared" si="40"/>
        <v>3.6991422585042391</v>
      </c>
      <c r="V103" s="34">
        <f t="shared" si="40"/>
        <v>3.7329565657267412</v>
      </c>
      <c r="W103" s="34">
        <f t="shared" si="40"/>
        <v>3.7635848067053392</v>
      </c>
    </row>
    <row r="104" spans="2:25" x14ac:dyDescent="0.2">
      <c r="B104" s="35" t="s">
        <v>135</v>
      </c>
      <c r="C104" s="114"/>
      <c r="D104" s="114"/>
      <c r="E104" s="49">
        <f>IF('Criteria results'!$F$5=4,E115,E120)</f>
        <v>0</v>
      </c>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3" t="s">
        <v>186</v>
      </c>
      <c r="C106" s="115">
        <f t="shared" ref="C106:W106" si="41">((1+C101/100)/((1+C24/100)*(1+C42/100))-1)*100</f>
        <v>-4.9152436462771121</v>
      </c>
      <c r="D106" s="115">
        <f t="shared" si="41"/>
        <v>-6.9724667820216695</v>
      </c>
      <c r="E106" s="115">
        <f t="shared" si="41"/>
        <v>-8.6231237887700161</v>
      </c>
      <c r="F106" s="115">
        <f t="shared" si="41"/>
        <v>-4.0866596646922932</v>
      </c>
      <c r="G106" s="115">
        <f t="shared" si="41"/>
        <v>-2.6354285576598135</v>
      </c>
      <c r="H106" s="115">
        <f t="shared" si="41"/>
        <v>-1.2217125981678567</v>
      </c>
      <c r="I106" s="115">
        <f t="shared" si="41"/>
        <v>-1.0001729124486047</v>
      </c>
      <c r="J106" s="115">
        <f t="shared" si="41"/>
        <v>-0.95564754067843927</v>
      </c>
      <c r="K106" s="115">
        <f t="shared" si="41"/>
        <v>-1.9056242579203908</v>
      </c>
      <c r="L106" s="115">
        <f t="shared" si="41"/>
        <v>-1.7996069063387465</v>
      </c>
      <c r="M106" s="115">
        <f t="shared" si="41"/>
        <v>-1.6980453218130132</v>
      </c>
      <c r="N106" s="115">
        <f t="shared" si="41"/>
        <v>-0.84703016922349494</v>
      </c>
      <c r="O106" s="115">
        <f t="shared" si="41"/>
        <v>-0.71456881894039759</v>
      </c>
      <c r="P106" s="115">
        <f t="shared" si="41"/>
        <v>-0.66437542936119698</v>
      </c>
      <c r="Q106" s="115">
        <f t="shared" si="41"/>
        <v>-0.61764717903829425</v>
      </c>
      <c r="R106" s="115">
        <f t="shared" si="41"/>
        <v>-0.57448928755166051</v>
      </c>
      <c r="S106" s="115">
        <f t="shared" si="41"/>
        <v>-0.51048837757561305</v>
      </c>
      <c r="T106" s="115">
        <f t="shared" si="41"/>
        <v>-0.38731021272155886</v>
      </c>
      <c r="U106" s="115">
        <f t="shared" si="41"/>
        <v>-0.27407224576555533</v>
      </c>
      <c r="V106" s="115">
        <f t="shared" si="41"/>
        <v>-0.15891418716131867</v>
      </c>
      <c r="W106" s="115">
        <f t="shared" si="41"/>
        <v>-8.1534445465381022E-2</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F108" s="34"/>
      <c r="G108" s="34"/>
      <c r="H108" s="253"/>
      <c r="I108" s="253"/>
      <c r="J108" s="253"/>
      <c r="K108" s="253"/>
      <c r="L108" s="253"/>
      <c r="M108" s="253"/>
      <c r="N108" s="253"/>
      <c r="O108" s="253"/>
      <c r="P108" s="253"/>
      <c r="Q108" s="253"/>
      <c r="R108" s="253"/>
      <c r="S108" s="253"/>
      <c r="T108" s="253"/>
      <c r="U108" s="34"/>
      <c r="V108" s="34"/>
      <c r="W108" s="34"/>
    </row>
    <row r="109" spans="2:25" x14ac:dyDescent="0.2">
      <c r="T109" s="62"/>
      <c r="U109" s="62"/>
      <c r="V109" s="62"/>
      <c r="W109" s="62"/>
      <c r="X109" s="62"/>
      <c r="Y109" s="62"/>
    </row>
    <row r="110" spans="2:25" s="25" customFormat="1" ht="12.75" outlineLevel="1" x14ac:dyDescent="0.2">
      <c r="B110" s="25" t="s">
        <v>136</v>
      </c>
      <c r="C110" s="112"/>
      <c r="D110" s="112"/>
      <c r="E110" s="112"/>
      <c r="F110" s="112"/>
      <c r="G110" s="112"/>
      <c r="H110" s="112"/>
      <c r="I110" s="112"/>
      <c r="J110" s="112"/>
      <c r="K110" s="112"/>
      <c r="L110" s="112"/>
      <c r="M110" s="112"/>
      <c r="N110" s="112"/>
      <c r="O110" s="112"/>
      <c r="P110" s="112"/>
      <c r="Q110" s="112"/>
      <c r="R110" s="112"/>
      <c r="S110" s="112"/>
      <c r="T110" s="112"/>
      <c r="U110" s="112"/>
      <c r="V110" s="112"/>
      <c r="W110" s="112"/>
    </row>
    <row r="111" spans="2:25" s="102" customFormat="1" ht="12.75" outlineLevel="1" x14ac:dyDescent="0.2">
      <c r="C111" s="124"/>
      <c r="D111" s="124"/>
      <c r="E111" s="124"/>
      <c r="F111" s="124"/>
      <c r="G111" s="124"/>
      <c r="H111" s="124"/>
      <c r="I111" s="124"/>
      <c r="J111" s="124"/>
      <c r="K111" s="124"/>
      <c r="L111" s="124"/>
      <c r="M111" s="124"/>
      <c r="N111" s="124"/>
      <c r="O111" s="124"/>
      <c r="P111" s="124"/>
      <c r="Q111" s="124"/>
      <c r="R111" s="124"/>
      <c r="S111" s="124"/>
      <c r="T111" s="124"/>
      <c r="U111" s="124"/>
      <c r="V111" s="124"/>
      <c r="W111" s="124"/>
    </row>
    <row r="112" spans="2:25" s="102" customFormat="1" ht="12.75" outlineLevel="1" x14ac:dyDescent="0.2">
      <c r="B112" s="106" t="s">
        <v>293</v>
      </c>
      <c r="C112" s="125"/>
      <c r="D112" s="125"/>
      <c r="E112" s="125"/>
      <c r="F112" s="125"/>
      <c r="G112" s="125"/>
      <c r="H112" s="37"/>
      <c r="I112" s="37"/>
      <c r="J112" s="37"/>
      <c r="K112" s="37"/>
      <c r="L112" s="37"/>
      <c r="M112" s="37"/>
      <c r="N112" s="37"/>
      <c r="O112" s="37"/>
      <c r="P112" s="37"/>
      <c r="Q112" s="37"/>
      <c r="R112" s="37"/>
      <c r="S112" s="37"/>
      <c r="T112" s="37"/>
      <c r="U112" s="125"/>
      <c r="V112" s="125"/>
      <c r="W112" s="125"/>
    </row>
    <row r="113" spans="1:51" outlineLevel="1" x14ac:dyDescent="0.2">
      <c r="B113" s="120" t="s">
        <v>43</v>
      </c>
      <c r="C113" s="34">
        <v>61.088844299316406</v>
      </c>
      <c r="D113" s="34">
        <v>57.741855621337891</v>
      </c>
      <c r="E113" s="34">
        <v>56.044967651367188</v>
      </c>
      <c r="F113" s="34">
        <v>58.478935241699219</v>
      </c>
      <c r="G113" s="34">
        <v>59.623966217041016</v>
      </c>
      <c r="H113" s="34">
        <v>61.136177062988281</v>
      </c>
      <c r="I113" s="34">
        <v>61.633457183837891</v>
      </c>
      <c r="J113" s="34">
        <v>60.963733673095703</v>
      </c>
      <c r="K113" s="34">
        <v>59.590675354003906</v>
      </c>
      <c r="L113" s="34">
        <v>58.148380279541016</v>
      </c>
      <c r="M113" s="34">
        <v>56.658348083496094</v>
      </c>
      <c r="N113" s="34">
        <v>55.823436737060547</v>
      </c>
      <c r="O113" s="34">
        <v>55.220596313476563</v>
      </c>
      <c r="P113" s="34">
        <v>54.776962280273438</v>
      </c>
      <c r="Q113" s="34">
        <v>54.480094909667969</v>
      </c>
      <c r="R113" s="34">
        <v>54.313373565673828</v>
      </c>
      <c r="S113" s="34">
        <v>54.292709350585938</v>
      </c>
      <c r="T113" s="34">
        <v>54.454120635986328</v>
      </c>
      <c r="U113" s="34">
        <v>54.775543212890625</v>
      </c>
      <c r="V113" s="34">
        <v>55.310462951660156</v>
      </c>
      <c r="W113" s="34">
        <v>56.027488708496094</v>
      </c>
      <c r="X113" s="116"/>
      <c r="Y113" s="62"/>
    </row>
    <row r="114" spans="1:51" x14ac:dyDescent="0.2">
      <c r="B114" s="26" t="s">
        <v>132</v>
      </c>
      <c r="C114" s="1">
        <v>1.9985023736953735</v>
      </c>
      <c r="D114" s="1">
        <v>1.8598021268844604</v>
      </c>
      <c r="E114" s="1">
        <v>2.241654634475708</v>
      </c>
      <c r="F114" s="1">
        <v>2.5392966270446777</v>
      </c>
      <c r="G114" s="1">
        <v>2.70688796043396</v>
      </c>
      <c r="H114" s="1">
        <v>2.8542029857635498</v>
      </c>
      <c r="I114" s="1">
        <v>2.9797823429107666</v>
      </c>
      <c r="J114" s="1">
        <v>3.0791223049163818</v>
      </c>
      <c r="K114" s="1">
        <v>3.1566438674926758</v>
      </c>
      <c r="L114" s="1">
        <v>3.2286591529846191</v>
      </c>
      <c r="M114" s="1">
        <v>3.2953481674194336</v>
      </c>
      <c r="N114" s="1">
        <v>3.3575050830841064</v>
      </c>
      <c r="O114" s="1">
        <v>3.4191572666168213</v>
      </c>
      <c r="P114" s="1">
        <v>3.4750847816467285</v>
      </c>
      <c r="Q114" s="1">
        <v>3.5273895263671875</v>
      </c>
      <c r="R114" s="1">
        <v>3.5759584903717041</v>
      </c>
      <c r="S114" s="1">
        <v>3.6206943988800049</v>
      </c>
      <c r="T114" s="1">
        <v>3.6617178916931152</v>
      </c>
      <c r="U114" s="1">
        <v>3.6991426944732666</v>
      </c>
      <c r="V114" s="1">
        <v>3.7329568862915039</v>
      </c>
      <c r="W114" s="1">
        <v>3.7635855674743652</v>
      </c>
      <c r="X114" s="117"/>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185</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7"/>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9"/>
      <c r="F116" s="99"/>
      <c r="G116" s="99"/>
      <c r="H116" s="99"/>
      <c r="I116" s="99"/>
      <c r="J116" s="99"/>
      <c r="K116" s="99"/>
      <c r="L116" s="99"/>
      <c r="M116" s="99"/>
      <c r="N116" s="99"/>
      <c r="O116" s="99"/>
      <c r="P116" s="99"/>
      <c r="Q116" s="99"/>
      <c r="R116" s="99"/>
      <c r="S116" s="99"/>
      <c r="T116" s="99"/>
      <c r="U116" s="103"/>
      <c r="V116" s="103"/>
      <c r="W116" s="103"/>
      <c r="X116" s="117"/>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6" t="s">
        <v>294</v>
      </c>
      <c r="C117" s="37"/>
      <c r="D117" s="37"/>
      <c r="E117" s="37"/>
      <c r="F117" s="37"/>
      <c r="G117" s="37"/>
      <c r="H117" s="37"/>
      <c r="I117" s="37"/>
      <c r="J117" s="37"/>
      <c r="K117" s="37"/>
      <c r="L117" s="37"/>
      <c r="M117" s="37"/>
      <c r="N117" s="37"/>
      <c r="O117" s="37"/>
      <c r="P117" s="37"/>
      <c r="Q117" s="37"/>
      <c r="R117" s="37"/>
      <c r="S117" s="37"/>
      <c r="T117" s="37"/>
      <c r="U117" s="37"/>
      <c r="V117" s="126"/>
      <c r="W117" s="126"/>
      <c r="X117" s="117"/>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20" t="s">
        <v>43</v>
      </c>
      <c r="C118" s="34">
        <v>61.088844299316406</v>
      </c>
      <c r="D118" s="34">
        <v>57.741855621337891</v>
      </c>
      <c r="E118" s="34">
        <v>56.044967651367188</v>
      </c>
      <c r="F118" s="34">
        <v>58.478935241699219</v>
      </c>
      <c r="G118" s="34">
        <v>59.777347564697266</v>
      </c>
      <c r="H118" s="34">
        <v>61.914356231689453</v>
      </c>
      <c r="I118" s="34">
        <v>63.522014617919922</v>
      </c>
      <c r="J118" s="34">
        <v>64.454345703125</v>
      </c>
      <c r="K118" s="34">
        <v>64.654975891113281</v>
      </c>
      <c r="L118" s="34">
        <v>64.127777099609375</v>
      </c>
      <c r="M118" s="34">
        <v>62.870491027832031</v>
      </c>
      <c r="N118" s="34">
        <v>61.250534057617188</v>
      </c>
      <c r="O118" s="34">
        <v>59.673412322998047</v>
      </c>
      <c r="P118" s="34">
        <v>58.060924530029297</v>
      </c>
      <c r="Q118" s="34">
        <v>56.921836853027344</v>
      </c>
      <c r="R118" s="34">
        <v>55.913818359375</v>
      </c>
      <c r="S118" s="34">
        <v>55.053245544433594</v>
      </c>
      <c r="T118" s="34">
        <v>54.376289367675781</v>
      </c>
      <c r="U118" s="34">
        <v>53.859512329101563</v>
      </c>
      <c r="V118" s="34">
        <v>53.555103302001953</v>
      </c>
      <c r="W118" s="34">
        <v>53.430950164794922</v>
      </c>
      <c r="X118" s="116"/>
      <c r="Y118" s="62"/>
    </row>
    <row r="119" spans="1:51" x14ac:dyDescent="0.2">
      <c r="B119" s="26" t="s">
        <v>132</v>
      </c>
      <c r="C119" s="1">
        <v>1.9985023736953735</v>
      </c>
      <c r="D119" s="1">
        <v>1.8598021268844604</v>
      </c>
      <c r="E119" s="1">
        <v>2.241654634475708</v>
      </c>
      <c r="F119" s="1">
        <v>2.5392966270446777</v>
      </c>
      <c r="G119" s="1">
        <v>2.70688796043396</v>
      </c>
      <c r="H119" s="1">
        <v>2.8600950241088867</v>
      </c>
      <c r="I119" s="1">
        <v>2.9957270622253418</v>
      </c>
      <c r="J119" s="1">
        <v>3.1086156368255615</v>
      </c>
      <c r="K119" s="1">
        <v>3.2034740447998047</v>
      </c>
      <c r="L119" s="1">
        <v>3.2836165428161621</v>
      </c>
      <c r="M119" s="1">
        <v>3.3512592315673828</v>
      </c>
      <c r="N119" s="1">
        <v>3.4077279567718506</v>
      </c>
      <c r="O119" s="1">
        <v>3.4615466594696045</v>
      </c>
      <c r="P119" s="1">
        <v>3.5080983638763428</v>
      </c>
      <c r="Q119" s="1">
        <v>3.5498759746551514</v>
      </c>
      <c r="R119" s="1">
        <v>3.5891351699829102</v>
      </c>
      <c r="S119" s="1">
        <v>3.6257858276367188</v>
      </c>
      <c r="T119" s="1">
        <v>3.6599195003509521</v>
      </c>
      <c r="U119" s="1">
        <v>3.6916098594665527</v>
      </c>
      <c r="V119" s="1">
        <v>3.7207834720611572</v>
      </c>
      <c r="W119" s="1">
        <v>3.7478084564208984</v>
      </c>
      <c r="X119" s="117"/>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185</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7"/>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6"/>
      <c r="V121" s="116"/>
      <c r="W121" s="116"/>
      <c r="X121" s="116"/>
      <c r="Y121" s="62"/>
    </row>
    <row r="122" spans="1:51" x14ac:dyDescent="0.2">
      <c r="H122" s="121"/>
      <c r="I122" s="121"/>
      <c r="J122" s="121"/>
      <c r="K122" s="121"/>
      <c r="L122" s="121"/>
      <c r="M122" s="121"/>
      <c r="N122" s="121"/>
      <c r="O122" s="121"/>
      <c r="P122" s="121"/>
      <c r="Q122" s="121"/>
      <c r="R122" s="121"/>
      <c r="S122" s="121"/>
      <c r="T122" s="121"/>
      <c r="U122" s="121"/>
      <c r="V122" s="121"/>
      <c r="W122" s="121"/>
    </row>
    <row r="123" spans="1:51"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1:51" x14ac:dyDescent="0.2">
      <c r="E128" s="34"/>
      <c r="F128" s="34"/>
      <c r="G128" s="121"/>
      <c r="H128" s="121"/>
      <c r="I128" s="121"/>
      <c r="J128" s="121"/>
      <c r="K128" s="121"/>
      <c r="L128" s="121"/>
      <c r="M128" s="121"/>
      <c r="N128" s="121"/>
      <c r="O128" s="121"/>
      <c r="P128" s="121"/>
      <c r="Q128" s="121"/>
      <c r="R128" s="121"/>
      <c r="S128" s="121"/>
      <c r="T128" s="121"/>
      <c r="U128" s="121"/>
      <c r="V128" s="121"/>
      <c r="W128" s="121"/>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53"/>
    </row>
    <row r="131" spans="5:24" x14ac:dyDescent="0.2">
      <c r="E131" s="34"/>
      <c r="F131" s="34"/>
      <c r="G131" s="121"/>
      <c r="H131" s="121"/>
      <c r="I131" s="121"/>
      <c r="J131" s="121"/>
      <c r="K131" s="121"/>
      <c r="L131" s="121"/>
      <c r="M131" s="121"/>
      <c r="N131" s="121"/>
      <c r="O131" s="121"/>
      <c r="P131" s="121"/>
      <c r="Q131" s="121"/>
      <c r="R131" s="121"/>
      <c r="S131" s="121"/>
      <c r="T131" s="121"/>
      <c r="U131" s="121"/>
      <c r="V131" s="121"/>
      <c r="W131" s="121"/>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E134" s="34"/>
      <c r="F134" s="34"/>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row r="136" spans="5:24" x14ac:dyDescent="0.2">
      <c r="E136" s="34"/>
      <c r="F136" s="34"/>
      <c r="G136" s="121"/>
      <c r="H136" s="121"/>
      <c r="I136" s="121"/>
      <c r="J136" s="121"/>
      <c r="K136" s="121"/>
      <c r="L136" s="121"/>
      <c r="M136" s="121"/>
      <c r="N136" s="121"/>
      <c r="O136" s="121"/>
      <c r="P136" s="121"/>
      <c r="Q136" s="121"/>
      <c r="R136" s="121"/>
      <c r="S136" s="121"/>
      <c r="T136" s="121"/>
      <c r="U136" s="121"/>
      <c r="V136" s="121"/>
      <c r="W136" s="121"/>
      <c r="X136" s="121"/>
    </row>
    <row r="137" spans="5:24" x14ac:dyDescent="0.2">
      <c r="E137" s="34"/>
      <c r="F137" s="34"/>
      <c r="G137" s="121"/>
      <c r="H137" s="121"/>
      <c r="I137" s="121"/>
      <c r="J137" s="121"/>
      <c r="K137" s="121"/>
      <c r="L137" s="121"/>
      <c r="M137" s="121"/>
      <c r="N137" s="121"/>
      <c r="O137" s="121"/>
      <c r="P137" s="121"/>
      <c r="Q137" s="121"/>
      <c r="R137" s="121"/>
      <c r="S137" s="121"/>
      <c r="T137" s="121"/>
      <c r="U137" s="121"/>
      <c r="V137" s="121"/>
      <c r="W137" s="121"/>
      <c r="X137" s="121"/>
    </row>
    <row r="138" spans="5:24" x14ac:dyDescent="0.2">
      <c r="G138" s="121"/>
      <c r="H138" s="121"/>
      <c r="I138" s="121"/>
      <c r="J138" s="121"/>
      <c r="K138" s="121"/>
      <c r="L138" s="121"/>
      <c r="M138" s="121"/>
      <c r="N138" s="121"/>
      <c r="O138" s="121"/>
      <c r="P138" s="121"/>
      <c r="Q138" s="121"/>
      <c r="R138" s="121"/>
      <c r="S138" s="121"/>
      <c r="T138" s="121"/>
      <c r="U138" s="121"/>
      <c r="V138" s="121"/>
      <c r="W138" s="121"/>
      <c r="X138" s="121"/>
    </row>
    <row r="139" spans="5:24" x14ac:dyDescent="0.2">
      <c r="G139" s="121"/>
      <c r="H139" s="121"/>
      <c r="I139" s="121"/>
      <c r="J139" s="121"/>
      <c r="K139" s="121"/>
      <c r="L139" s="121"/>
      <c r="M139" s="121"/>
      <c r="N139" s="121"/>
      <c r="O139" s="121"/>
      <c r="P139" s="121"/>
      <c r="Q139" s="121"/>
      <c r="R139" s="121"/>
      <c r="S139" s="121"/>
      <c r="T139" s="121"/>
      <c r="U139" s="121"/>
      <c r="V139" s="121"/>
      <c r="W139" s="121"/>
      <c r="X139" s="121"/>
    </row>
  </sheetData>
  <conditionalFormatting sqref="G12:M12">
    <cfRule type="expression" dxfId="33" priority="6">
      <formula>AND(G10&gt;$C$5,G10&lt;=$C$6)</formula>
    </cfRule>
  </conditionalFormatting>
  <conditionalFormatting sqref="U10:W44 U46:W53 U86:W109 U111:W123 U126:W150 U55:W78 U80:W84">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-4.222766</v>
      </c>
      <c r="D12" s="2">
        <f>'Input data'!D13</f>
        <v>-0.85058520000000004</v>
      </c>
      <c r="E12" s="2">
        <f>'Input data'!E13</f>
        <v>-3.5136029999999998</v>
      </c>
      <c r="F12" s="2">
        <f>'Input data'!F13</f>
        <v>-4.2628820000000003</v>
      </c>
      <c r="G12" s="3">
        <f>'Adjust. no safeguard'!G12</f>
        <v>-2.9628820000000005</v>
      </c>
      <c r="H12" s="3">
        <f>'Adjust. no safeguard'!H12</f>
        <v>-1.6628820000000004</v>
      </c>
      <c r="I12" s="3">
        <f>'Adjust. no safeguard'!I12</f>
        <v>-0.36288200000000037</v>
      </c>
      <c r="J12" s="3">
        <f>'Adjust. no safeguard'!J12</f>
        <v>0.93711799999999967</v>
      </c>
      <c r="K12" s="119">
        <f>'Adjust. no safeguard'!K12</f>
        <v>0.93711799999999967</v>
      </c>
      <c r="L12" s="119">
        <f>'Adjust. no safeguard'!L12</f>
        <v>0.93711799999999967</v>
      </c>
      <c r="M12" s="119">
        <f>'Adjust. no safeguard'!M12</f>
        <v>0.93711799999999967</v>
      </c>
      <c r="N12" s="119">
        <f>IF(N10&lt;=$C$6,M12+'Criteria results'!$F$6,M12)</f>
        <v>0.93711799999999967</v>
      </c>
      <c r="O12" s="119">
        <f>IF(O10&lt;=$C$6,N12+'Criteria results'!$F$6,N12)</f>
        <v>0.93711799999999967</v>
      </c>
      <c r="P12" s="119">
        <f>IF(P10&lt;=$C$6,O12+'Criteria results'!$F$6,O12)</f>
        <v>0.93711799999999967</v>
      </c>
      <c r="Q12" s="119">
        <f>IF(Q10&lt;=$C$6,P12+'Criteria results'!$F$6,P12)</f>
        <v>0.93711799999999967</v>
      </c>
      <c r="R12" s="119">
        <f>IF(R10&lt;=$C$6,Q12+'Criteria results'!$F$6,Q12)</f>
        <v>0.93711799999999967</v>
      </c>
      <c r="S12" s="119">
        <f>IF(S10&lt;=$C$6,R12+'Criteria results'!$F$6,R12)</f>
        <v>0.93711799999999967</v>
      </c>
      <c r="T12" s="119">
        <f>IF(T10&lt;=$C$6,S12+'Criteria results'!$F$6,S12)</f>
        <v>0.93711799999999967</v>
      </c>
      <c r="U12" s="119">
        <f>IF(U10&lt;=$C$6,T12+'Criteria results'!$F$6,T12)</f>
        <v>0.93711799999999967</v>
      </c>
      <c r="V12" s="119">
        <f>IF(V10&lt;=$C$6,U12+'Criteria results'!$F$6,U12)</f>
        <v>0.93711799999999967</v>
      </c>
      <c r="W12" s="119">
        <f>IF(W10&lt;=$C$6,V12+'Criteria results'!$F$6,V12)</f>
        <v>0.93711799999999967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1.0478270000000001</v>
      </c>
      <c r="D14" s="2">
        <f>'Input data'!D15</f>
        <v>0.27736460000000002</v>
      </c>
      <c r="E14" s="2">
        <f>'Input data'!E15</f>
        <v>-0.45438450000000002</v>
      </c>
      <c r="F14" s="2">
        <f>'Input data'!F15</f>
        <v>0.2</v>
      </c>
      <c r="G14" s="2">
        <f>'Input data'!G15</f>
        <v>-0.6</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18.962240000000001</v>
      </c>
      <c r="E17" s="101">
        <f>'Input data'!E20</f>
        <v>20.503689999999999</v>
      </c>
      <c r="F17" s="101">
        <f>'Input data'!F20</f>
        <v>20.335599999999999</v>
      </c>
      <c r="G17" s="101">
        <f>'Input data'!G20</f>
        <v>20.668779999999998</v>
      </c>
      <c r="H17" s="101">
        <f>'Input data'!H20</f>
        <v>21.016960000000001</v>
      </c>
      <c r="I17" s="101">
        <f>'Input data'!I20</f>
        <v>21.357330000000001</v>
      </c>
      <c r="J17" s="101">
        <f>'Input data'!J20</f>
        <v>21.584160000000001</v>
      </c>
      <c r="K17" s="101">
        <f>'Input data'!K20</f>
        <v>21.737720000000003</v>
      </c>
      <c r="L17" s="101">
        <f>'Input data'!L20</f>
        <v>21.863299999999999</v>
      </c>
      <c r="M17" s="101">
        <f>'Input data'!M20</f>
        <v>22.01473</v>
      </c>
      <c r="N17" s="101">
        <f>'Input data'!N20</f>
        <v>22.161089999999998</v>
      </c>
      <c r="O17" s="101">
        <f>'Input data'!O20</f>
        <v>22.310850000000002</v>
      </c>
      <c r="P17" s="101">
        <f>'Input data'!P20</f>
        <v>22.436720000000001</v>
      </c>
      <c r="Q17" s="101">
        <f>'Input data'!Q20</f>
        <v>22.553650000000001</v>
      </c>
      <c r="R17" s="101">
        <f>'Input data'!R20</f>
        <v>22.657159999999998</v>
      </c>
      <c r="S17" s="101">
        <f>'Input data'!S20</f>
        <v>22.766190000000002</v>
      </c>
      <c r="T17" s="101">
        <f>'Input data'!T20</f>
        <v>22.879989999999999</v>
      </c>
      <c r="U17" s="101">
        <f>'Input data'!U20</f>
        <v>22.977649999999997</v>
      </c>
      <c r="V17" s="101">
        <f>'Input data'!V20</f>
        <v>23.127649999999999</v>
      </c>
      <c r="W17" s="101">
        <f>'Input data'!W20</f>
        <v>23.266509999999997</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0.75515319999999997</v>
      </c>
      <c r="D18" s="101">
        <f>'Input data'!D26</f>
        <v>0.6825677</v>
      </c>
      <c r="E18" s="101">
        <f>'Input data'!E26</f>
        <v>0.68126889999999996</v>
      </c>
      <c r="F18" s="101">
        <f>'Input data'!F26</f>
        <v>0.67997019999999997</v>
      </c>
      <c r="G18" s="101">
        <f>'Input data'!G26</f>
        <v>0.67867149999999998</v>
      </c>
      <c r="H18" s="101">
        <f>'Input data'!H26</f>
        <v>0.6773728</v>
      </c>
      <c r="I18" s="101">
        <f>'Input data'!I26</f>
        <v>0.67607399999999995</v>
      </c>
      <c r="J18" s="101">
        <f>'Input data'!J26</f>
        <v>0.67477529999999997</v>
      </c>
      <c r="K18" s="101">
        <f>'Input data'!K26</f>
        <v>0.67347659999999998</v>
      </c>
      <c r="L18" s="101">
        <f>'Input data'!L26</f>
        <v>0.67217789999999999</v>
      </c>
      <c r="M18" s="101">
        <f>'Input data'!M26</f>
        <v>0.67087909999999995</v>
      </c>
      <c r="N18" s="101">
        <f>'Input data'!N26</f>
        <v>0.66958050000000002</v>
      </c>
      <c r="O18" s="101">
        <f>'Input data'!O26</f>
        <v>0.66828169999999998</v>
      </c>
      <c r="P18" s="101">
        <f>'Input data'!P26</f>
        <v>0.66698299999999999</v>
      </c>
      <c r="Q18" s="101">
        <f>'Input data'!Q26</f>
        <v>0.66568430000000001</v>
      </c>
      <c r="R18" s="101">
        <f>'Input data'!R26</f>
        <v>0.66438569999999997</v>
      </c>
      <c r="S18" s="101">
        <f>'Input data'!S26</f>
        <v>0.66308699999999998</v>
      </c>
      <c r="T18" s="101">
        <f>'Input data'!T26</f>
        <v>0.66178820000000005</v>
      </c>
      <c r="U18" s="101">
        <f>'Input data'!U26</f>
        <v>0.66048960000000001</v>
      </c>
      <c r="V18" s="101">
        <f>'Input data'!V26</f>
        <v>0.65919090000000002</v>
      </c>
      <c r="W18" s="101">
        <f>'Input data'!W26</f>
        <v>0.65789220000000004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90.819270000000003</v>
      </c>
      <c r="D22" s="100">
        <f>'Baseline NFPC'!D22</f>
        <v>92.517623952129895</v>
      </c>
      <c r="E22" s="100">
        <f>'Baseline NFPC'!E22</f>
        <v>93.99462526041863</v>
      </c>
      <c r="F22" s="100">
        <f>'Baseline NFPC'!F22</f>
        <v>96.088680759497848</v>
      </c>
      <c r="G22" s="34">
        <f>IF(AND(G49&gt;1,F49&gt;1),IF(AND(G49&gt;0,F49&gt;0),G26*(G50/100+1),0)+IF(G49&gt;0,F22*(1+G51/100),0)-F22*(1+'Input data'!G30/100),IF(G49=1,G26,F22*(1+G51/100)))</f>
        <v>98.246123394892152</v>
      </c>
      <c r="H22" s="34">
        <f>IF(AND(H49&gt;1,G49&gt;1),IF(AND(H49&gt;0,G49&gt;0),H26*(H50/100+1),0)+IF(H49&gt;0,G22*(1+H51/100),0)-G22*(1+'Input data'!H30/100),IF(H49=1,H26,G22*(1+H51/100)))</f>
        <v>99.230952445979725</v>
      </c>
      <c r="I22" s="34">
        <f>IF(AND(I49&gt;1,H49&gt;1),IF(AND(I49&gt;0,H49&gt;0),I26*(I50/100+1),0)+IF(I49&gt;0,H22*(1+I51/100),0)-H22*(1+'Input data'!I30/100),IF(I49=1,I26,H22*(1+I51/100)))</f>
        <v>100.19884884789428</v>
      </c>
      <c r="J22" s="34">
        <f>IF(AND(J49&gt;1,I49&gt;1),IF(AND(J49&gt;0,I49&gt;0),J26*(J50/100+1),0)+IF(J49&gt;0,I22*(1+J51/100),0)-I22*(1+'Input data'!J30/100),IF(J49=1,J26,I22*(1+J51/100)))</f>
        <v>101.30452937245487</v>
      </c>
      <c r="K22" s="34">
        <f>IF(AND(K49&gt;1,J49&gt;1),IF(AND(K49&gt;0,J49&gt;0),K26*(K50/100+1),0)+IF(K49&gt;0,J22*(1+K51/100),0)-J22*(1+'Input data'!K30/100),IF(K49=1,K26,J22*(1+K51/100)))</f>
        <v>103.57011110097454</v>
      </c>
      <c r="L22" s="34">
        <f>IF(AND(L49&gt;1,K49&gt;1),IF(AND(L49&gt;0,K49&gt;0),L26*(L50/100+1),0)+IF(L49&gt;0,K22*(1+L51/100),0)-K22*(1+'Input data'!L30/100),IF(L49=1,L26,K22*(1+L51/100)))</f>
        <v>105.92575691893687</v>
      </c>
      <c r="M22" s="34">
        <f>IF(AND(M49&gt;1,L49&gt;1),IF(AND(M49&gt;0,L49&gt;0),M26*(M50/100+1),0)+IF(M49&gt;0,L22*(1+M51/100),0)-L22*(1+'Input data'!M30/100),IF(M49=1,M26,L22*(1+M51/100)))</f>
        <v>108.37474768731215</v>
      </c>
      <c r="N22" s="34">
        <f>IF(AND(N49&gt;1,M49&gt;1),IF(AND(N49&gt;0,M49&gt;0),N26*(N50/100+1),0)+IF(N49&gt;0,M22*(1+N51/100),0)-M22*(1+'Input data'!N30/100),IF(N49=1,N26,M22*(1+N51/100)))</f>
        <v>110.07796413821846</v>
      </c>
      <c r="O22" s="34">
        <f>IF(AND(O49&gt;1,N49&gt;1),IF(AND(O49&gt;0,N49&gt;0),O26*(O50/100+1),0)+IF(O49&gt;0,N22*(1+O51/100),0)-N22*(1+'Input data'!O30/100),IF(O49=1,O26,N22*(1+O51/100)))</f>
        <v>111.80988239166496</v>
      </c>
      <c r="P22" s="34">
        <f>IF(AND(P49&gt;1,O49&gt;1),IF(AND(P49&gt;0,O49&gt;0),P26*(P50/100+1),0)+IF(P49&gt;0,O22*(1+P51/100),0)-O22*(1+'Input data'!P30/100),IF(P49=1,P26,O22*(1+P51/100)))</f>
        <v>113.60351416301556</v>
      </c>
      <c r="Q22" s="34">
        <f>IF(AND(Q49&gt;1,P49&gt;1),IF(AND(Q49&gt;0,P49&gt;0),Q26*(Q50/100+1),0)+IF(Q49&gt;0,P22*(1+Q51/100),0)-P22*(1+'Input data'!Q30/100),IF(Q49=1,Q26,P22*(1+Q51/100)))</f>
        <v>115.46093616372144</v>
      </c>
      <c r="R22" s="34">
        <f>IF(AND(R49&gt;1,Q49&gt;1),IF(AND(R49&gt;0,Q49&gt;0),R26*(R50/100+1),0)+IF(R49&gt;0,Q22*(1+R51/100),0)-Q22*(1+'Input data'!R30/100),IF(R49=1,R26,Q22*(1+R51/100)))</f>
        <v>117.38431330357076</v>
      </c>
      <c r="S22" s="34">
        <f>IF(AND(S49&gt;1,R49&gt;1),IF(AND(S49&gt;0,R49&gt;0),S26*(S50/100+1),0)+IF(S49&gt;0,R22*(1+S51/100),0)-R22*(1+'Input data'!S30/100),IF(S49=1,S26,R22*(1+S51/100)))</f>
        <v>119.34650126785131</v>
      </c>
      <c r="T22" s="34">
        <f>IF(AND(T49&gt;1,S49&gt;1),IF(AND(T49&gt;0,S49&gt;0),T26*(T50/100+1),0)+IF(T49&gt;0,S22*(1+T51/100),0)-S22*(1+'Input data'!T30/100),IF(T49=1,T26,S22*(1+T51/100)))</f>
        <v>121.27197685259118</v>
      </c>
      <c r="U22" s="34">
        <f>IF(AND(U49&gt;1,T49&gt;1),IF(AND(U49&gt;0,T49&gt;0),U26*(U50/100+1),0)+IF(U49&gt;0,T22*(1+U51/100),0)-T22*(1+'Input data'!U30/100),IF(U49=1,U26,T22*(1+U51/100)))</f>
        <v>123.16610324281574</v>
      </c>
      <c r="V22" s="34">
        <f>IF(AND(V49&gt;1,U49&gt;1),IF(AND(V49&gt;0,U49&gt;0),V26*(V50/100+1),0)+IF(V49&gt;0,U22*(1+V51/100),0)-U22*(1+'Input data'!V30/100),IF(V49=1,V26,U22*(1+V51/100)))</f>
        <v>125.01985532448582</v>
      </c>
      <c r="W22" s="34">
        <f>IF(AND(W49&gt;1,V49&gt;1),IF(AND(W49&gt;0,V49&gt;0),W26*(W50/100+1),0)+IF(W49&gt;0,V22*(1+W51/100),0)-V22*(1+'Input data'!W30/100),IF(W49=1,W26,V22*(1+W51/100)))</f>
        <v>126.87475866535401</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4.7712199999999996</v>
      </c>
      <c r="D23" s="100">
        <f>'Baseline NFPC'!D23</f>
        <v>1.8700369999999999</v>
      </c>
      <c r="E23" s="100">
        <f>'Baseline NFPC'!E23</f>
        <v>1.596454</v>
      </c>
      <c r="F23" s="100">
        <f>'Baseline NFPC'!F23</f>
        <v>2.227846</v>
      </c>
      <c r="G23" s="34">
        <f t="shared" ref="G23:T23" si="0">100*(G22/F22-1)</f>
        <v>2.2452619999999923</v>
      </c>
      <c r="H23" s="34">
        <f t="shared" si="0"/>
        <v>1.0024100870923203</v>
      </c>
      <c r="I23" s="34">
        <f t="shared" si="0"/>
        <v>0.97539767386740639</v>
      </c>
      <c r="J23" s="34">
        <f t="shared" si="0"/>
        <v>1.1034862548561231</v>
      </c>
      <c r="K23" s="34">
        <f t="shared" si="0"/>
        <v>2.2364071404843866</v>
      </c>
      <c r="L23" s="34">
        <f t="shared" si="0"/>
        <v>2.2744455836932742</v>
      </c>
      <c r="M23" s="34">
        <f t="shared" si="0"/>
        <v>2.31198798064709</v>
      </c>
      <c r="N23" s="34">
        <f t="shared" si="0"/>
        <v>1.5715989999999902</v>
      </c>
      <c r="O23" s="34">
        <f t="shared" si="0"/>
        <v>1.5733559999999924</v>
      </c>
      <c r="P23" s="34">
        <f t="shared" si="0"/>
        <v>1.6041799999999995</v>
      </c>
      <c r="Q23" s="34">
        <f t="shared" si="0"/>
        <v>1.6350040000000066</v>
      </c>
      <c r="R23" s="34">
        <f t="shared" si="0"/>
        <v>1.6658250000000097</v>
      </c>
      <c r="S23" s="34">
        <f t="shared" si="0"/>
        <v>1.6715929999999934</v>
      </c>
      <c r="T23" s="34">
        <f t="shared" si="0"/>
        <v>1.6133490000000084</v>
      </c>
      <c r="U23" s="34">
        <f t="shared" ref="U23" si="1">100*(U22/T22-1)</f>
        <v>1.5618829999999972</v>
      </c>
      <c r="V23" s="34">
        <f t="shared" ref="V23" si="2">100*(V22/U22-1)</f>
        <v>1.5050830000000071</v>
      </c>
      <c r="W23" s="34">
        <f t="shared" ref="W23" si="3">100*(W22/V22-1)</f>
        <v>1.4836869999999891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row>
    <row r="26" spans="1:50" x14ac:dyDescent="0.2">
      <c r="B26" s="26" t="s">
        <v>61</v>
      </c>
      <c r="C26" s="34">
        <f>'Input data'!C34</f>
        <v>90.493570000000005</v>
      </c>
      <c r="D26" s="100">
        <f>+C26*(1+'Input data'!D33/100)</f>
        <v>91.997178581434795</v>
      </c>
      <c r="E26" s="100">
        <f>+D26*(1+'Input data'!E33/100)</f>
        <v>94.548125107645475</v>
      </c>
      <c r="F26" s="100">
        <f>+E26*(1+'Input data'!F33/100)</f>
        <v>96.752617701986594</v>
      </c>
      <c r="G26" s="34">
        <f>+F26*(1+'Input data'!G33/100)</f>
        <v>99.08699810259391</v>
      </c>
      <c r="H26" s="34">
        <f>+G26*(1+'Input data'!H33/100)</f>
        <v>100.75889401244896</v>
      </c>
      <c r="I26" s="34">
        <f>+H26*(1+'Input data'!I33/100)</f>
        <v>102.19954266386108</v>
      </c>
      <c r="J26" s="34">
        <f>+I26*(1+'Input data'!J33/100)</f>
        <v>103.63398478482823</v>
      </c>
      <c r="K26" s="34">
        <f>+J26*(1+'Input data'!K33/100)</f>
        <v>105.14573517447842</v>
      </c>
      <c r="L26" s="34">
        <f>+K26*(1+'Input data'!L33/100)</f>
        <v>106.72540474436042</v>
      </c>
      <c r="M26" s="34">
        <f>+L26*(1+'Input data'!M33/100)</f>
        <v>108.37474768731215</v>
      </c>
      <c r="N26" s="34">
        <f>+M26*(1+'Input data'!N33/100)</f>
        <v>110.07796197072352</v>
      </c>
      <c r="O26" s="34">
        <f>+N26*(1+'Input data'!O33/100)</f>
        <v>111.80988129084724</v>
      </c>
      <c r="P26" s="34">
        <f>+O26*(1+'Input data'!P33/100)</f>
        <v>113.60351304453876</v>
      </c>
      <c r="Q26" s="34">
        <f>+P26*(1+'Input data'!Q33/100)</f>
        <v>115.46093616299262</v>
      </c>
      <c r="R26" s="34">
        <f>+Q26*(1+'Input data'!R33/100)</f>
        <v>117.38431676665788</v>
      </c>
      <c r="S26" s="34">
        <f>+R26*(1+'Input data'!S33/100)</f>
        <v>119.34650244114083</v>
      </c>
      <c r="T26" s="34">
        <f>+S26*(1+'Input data'!T33/100)</f>
        <v>121.27197446441488</v>
      </c>
      <c r="U26" s="34">
        <f>+T26*(1+'Input data'!U33/100)</f>
        <v>123.16609839189944</v>
      </c>
      <c r="V26" s="34">
        <f>+U26*(1+'Input data'!V33/100)</f>
        <v>125.01984916889819</v>
      </c>
      <c r="W26" s="34">
        <f>+V26*(1+'Input data'!W33/100)</f>
        <v>126.87475616903221</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100*(C22/C26-1)</f>
        <v>0.35991507462904693</v>
      </c>
      <c r="D29" s="100">
        <f t="shared" ref="D29:T29" si="4">100*(D22/D26-1)</f>
        <v>0.56571883912115428</v>
      </c>
      <c r="E29" s="100">
        <f t="shared" si="4"/>
        <v>-0.5854159948668225</v>
      </c>
      <c r="F29" s="100">
        <f t="shared" si="4"/>
        <v>-0.68622116719754267</v>
      </c>
      <c r="G29" s="34">
        <f t="shared" si="4"/>
        <v>-0.84862264858516223</v>
      </c>
      <c r="H29" s="34">
        <f t="shared" si="4"/>
        <v>-1.5164334438609983</v>
      </c>
      <c r="I29" s="34">
        <f t="shared" si="4"/>
        <v>-1.9576348032663615</v>
      </c>
      <c r="J29" s="34">
        <f t="shared" si="4"/>
        <v>-2.2477717297177513</v>
      </c>
      <c r="K29" s="34">
        <f t="shared" si="4"/>
        <v>-1.4985144864784972</v>
      </c>
      <c r="L29" s="34">
        <f t="shared" si="4"/>
        <v>-0.74925724323926524</v>
      </c>
      <c r="M29" s="34">
        <f t="shared" si="4"/>
        <v>0</v>
      </c>
      <c r="N29" s="34">
        <f t="shared" si="4"/>
        <v>1.9690543862083132E-6</v>
      </c>
      <c r="O29" s="34">
        <f t="shared" si="4"/>
        <v>9.8454420172089385E-7</v>
      </c>
      <c r="P29" s="34">
        <f t="shared" si="4"/>
        <v>9.8454420172089385E-7</v>
      </c>
      <c r="Q29" s="34">
        <f t="shared" si="4"/>
        <v>6.31228402880879E-10</v>
      </c>
      <c r="R29" s="34">
        <f t="shared" si="4"/>
        <v>-2.9502127740776984E-6</v>
      </c>
      <c r="S29" s="34">
        <f t="shared" si="4"/>
        <v>-9.8309501650462039E-7</v>
      </c>
      <c r="T29" s="34">
        <f t="shared" si="4"/>
        <v>1.9692730335307829E-6</v>
      </c>
      <c r="U29" s="34">
        <f t="shared" ref="U29:W29" si="5">100*(U22/U26-1)</f>
        <v>3.9385158467908354E-6</v>
      </c>
      <c r="V29" s="34">
        <f t="shared" si="5"/>
        <v>4.9236882571079832E-6</v>
      </c>
      <c r="W29" s="34">
        <f t="shared" si="5"/>
        <v>1.9675480578129623E-6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7.2711398876150302</v>
      </c>
      <c r="D32" s="2">
        <f t="shared" si="6"/>
        <v>9.4942523750750851</v>
      </c>
      <c r="E32" s="2">
        <f t="shared" si="6"/>
        <v>11.890074643889781</v>
      </c>
      <c r="F32" s="2">
        <f t="shared" si="6"/>
        <v>6.908274325060848</v>
      </c>
      <c r="G32" s="1">
        <f t="shared" si="6"/>
        <v>5.486920425489239</v>
      </c>
      <c r="H32" s="1">
        <f t="shared" si="6"/>
        <v>4.1263276427603968</v>
      </c>
      <c r="I32" s="1">
        <f t="shared" si="6"/>
        <v>4.020164123957759</v>
      </c>
      <c r="J32" s="1">
        <f t="shared" si="6"/>
        <v>4.0737000507737653</v>
      </c>
      <c r="K32" s="1">
        <f t="shared" si="6"/>
        <v>5.1606101738051358</v>
      </c>
      <c r="L32" s="1">
        <f t="shared" si="6"/>
        <v>5.1204134413573854</v>
      </c>
      <c r="M32" s="1">
        <f t="shared" si="6"/>
        <v>5.0796482394493747</v>
      </c>
      <c r="N32" s="1">
        <f t="shared" si="6"/>
        <v>4.2404528179328826</v>
      </c>
      <c r="O32" s="1">
        <f t="shared" si="6"/>
        <v>4.1634765780000027</v>
      </c>
      <c r="P32" s="1">
        <f t="shared" si="6"/>
        <v>4.1671454405000086</v>
      </c>
      <c r="Q32" s="1">
        <f t="shared" si="6"/>
        <v>4.170797349800015</v>
      </c>
      <c r="R32" s="1">
        <f t="shared" si="6"/>
        <v>4.1744292318750098</v>
      </c>
      <c r="S32" s="1">
        <f t="shared" si="6"/>
        <v>4.1523798691999847</v>
      </c>
      <c r="T32" s="1">
        <f t="shared" si="6"/>
        <v>4.0647710446249929</v>
      </c>
      <c r="U32" s="1">
        <f t="shared" si="6"/>
        <v>3.9841339095499917</v>
      </c>
      <c r="V32" s="1">
        <f t="shared" si="6"/>
        <v>3.8980653317249869</v>
      </c>
      <c r="W32" s="1">
        <f t="shared" si="6"/>
        <v>3.8482569071000006</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1.998502</v>
      </c>
      <c r="D35" s="100">
        <f>'Input data'!D37</f>
        <v>1.859802</v>
      </c>
      <c r="E35" s="100">
        <f>'Input data'!E37</f>
        <v>2.2416550000000002</v>
      </c>
      <c r="F35" s="100">
        <f>'Input data'!F37</f>
        <v>2.5392969999999999</v>
      </c>
      <c r="G35" s="100">
        <f>'Input data'!G37</f>
        <v>2.7068880000000002</v>
      </c>
      <c r="H35" s="34">
        <f>H92</f>
        <v>2.8542031799392458</v>
      </c>
      <c r="I35" s="34">
        <f t="shared" ref="I35:W35" si="7">I92</f>
        <v>2.979782618905352</v>
      </c>
      <c r="J35" s="34">
        <f t="shared" si="7"/>
        <v>3.0791222957454929</v>
      </c>
      <c r="K35" s="34">
        <f>K92</f>
        <v>3.2769208683984798</v>
      </c>
      <c r="L35" s="34">
        <f t="shared" si="7"/>
        <v>3.3095062769455796</v>
      </c>
      <c r="M35" s="34">
        <f t="shared" si="7"/>
        <v>3.3700075764211603</v>
      </c>
      <c r="N35" s="34">
        <f t="shared" si="7"/>
        <v>3.426729666415866</v>
      </c>
      <c r="O35" s="34">
        <f t="shared" si="7"/>
        <v>3.4832796689635002</v>
      </c>
      <c r="P35" s="34">
        <f t="shared" si="7"/>
        <v>3.5343782282805249</v>
      </c>
      <c r="Q35" s="34">
        <f t="shared" si="7"/>
        <v>3.582026882750954</v>
      </c>
      <c r="R35" s="34">
        <f t="shared" si="7"/>
        <v>3.6261390199960686</v>
      </c>
      <c r="S35" s="34">
        <f t="shared" si="7"/>
        <v>3.6666428431752371</v>
      </c>
      <c r="T35" s="34">
        <f t="shared" si="7"/>
        <v>3.7036626225112061</v>
      </c>
      <c r="U35" s="34">
        <f t="shared" si="7"/>
        <v>3.7373149712958895</v>
      </c>
      <c r="V35" s="34">
        <f t="shared" si="7"/>
        <v>3.7676040199584975</v>
      </c>
      <c r="W35" s="34">
        <f t="shared" si="7"/>
        <v>3.7949214910300517</v>
      </c>
    </row>
    <row r="36" spans="2:51" x14ac:dyDescent="0.2">
      <c r="B36" s="32" t="s">
        <v>94</v>
      </c>
      <c r="C36" s="1"/>
      <c r="D36" s="2">
        <f>'Input data'!D$39</f>
        <v>2.0699999999999998</v>
      </c>
      <c r="E36" s="2">
        <f>'Input data'!E$39</f>
        <v>3.65</v>
      </c>
      <c r="F36" s="166">
        <f>'Input data'!F$39</f>
        <v>3.6707719999999999</v>
      </c>
      <c r="G36" s="166">
        <f>'Input data'!G$39</f>
        <v>3.780141</v>
      </c>
      <c r="H36" s="1">
        <f>G36+($O$36-$G$36)/($O$10-$G$10)</f>
        <v>3.8293008749999999</v>
      </c>
      <c r="I36" s="1">
        <f t="shared" ref="I36:J36" si="8">H36+($O$36-$G$36)/($O$10-$G$10)</f>
        <v>3.8784607499999999</v>
      </c>
      <c r="J36" s="1">
        <f t="shared" si="8"/>
        <v>3.9276206249999999</v>
      </c>
      <c r="K36" s="1">
        <f>IF('Criteria results'!$F$5=4,IF(J56&gt;90,G36+('Input data'!$C$52-$G$36)/($O$10-$G$10)*(K10-$G$10)+1+0.06*(J56-90),G36+('Input data'!$C$52-$G$36)/($O$10-$G$10)*(K10-$G$10)+1),G36+('Input data'!$C$52-$G$36)/($O$10-$G$10)*(K10-$G$10))</f>
        <v>4.9767805000000003</v>
      </c>
      <c r="L36" s="1">
        <f>$G$36+('Input data'!$C$52-$G$36)/($O$10-$G$10)*(L10-$G$10)</f>
        <v>4.0259403750000002</v>
      </c>
      <c r="M36" s="1">
        <f>$G$36+('Input data'!$C$52-$G$36)/($O$10-$G$10)*(M10-$G$10)</f>
        <v>4.0751002500000002</v>
      </c>
      <c r="N36" s="1">
        <f>IF('Criteria results'!$F$5=7,IF(M56&gt;90,G36+('Input data'!$C$52-$G$36)/($O$10-$G$10)*(N10-$G$10)+1+0.06*(M56-90),G36+('Input data'!$C$52-$G$36)/($O$10-$G$10)*(N10-$G$10)+1),G36+('Input data'!$C$52-$G$36)/($O$10-$G$10)*(N10-$G$10))</f>
        <v>4.1242601250000002</v>
      </c>
      <c r="O36" s="252">
        <f>'Baseline NFPC'!O36</f>
        <v>4.1734200000000001</v>
      </c>
      <c r="P36" s="1">
        <f>'Baseline NFPC'!P36</f>
        <v>4.1647490000000005</v>
      </c>
      <c r="Q36" s="1">
        <f>'Baseline NFPC'!Q36</f>
        <v>4.1560779999999999</v>
      </c>
      <c r="R36" s="1">
        <f>'Baseline NFPC'!R36</f>
        <v>4.1474070000000003</v>
      </c>
      <c r="S36" s="1">
        <f>'Baseline NFPC'!S36</f>
        <v>4.1387359999999997</v>
      </c>
      <c r="T36" s="1">
        <f>'Baseline NFPC'!T36</f>
        <v>4.1300650000000001</v>
      </c>
      <c r="U36" s="1">
        <f>'Baseline NFPC'!U36</f>
        <v>4.1213940000000004</v>
      </c>
      <c r="V36" s="1">
        <f>'Baseline NFPC'!V36</f>
        <v>4.1127229999999999</v>
      </c>
      <c r="W36" s="1">
        <f>'Baseline NFPC'!W36</f>
        <v>4.1040520000000003</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J37" si="9">H37+($O$37-$G$37)/($O$10-$G$10)</f>
        <v>2.7938037499999995</v>
      </c>
      <c r="J37" s="1">
        <f t="shared" si="9"/>
        <v>2.7825181249999993</v>
      </c>
      <c r="K37" s="1">
        <f>IF('Criteria results'!$F$5=4,IF(J56&gt;90,G37+('Input data'!$C$53-$G$37)/($O$10-$G$10)*(K10-$G$10)+1+0.06*(J56-90),G37+('Input data'!$C$53-$G$37)/($O$10-$G$10)*(K10-$G$10)+1),G37+('Input data'!$C$53-$G$37)/($O$10-$G$10)*(K10-$G$10))</f>
        <v>3.7712325</v>
      </c>
      <c r="L37" s="1">
        <f>$G$37+('Input data'!$C$53-$G$37)/($O$10-$G$10)*(L10-$G$10)</f>
        <v>2.7599468749999998</v>
      </c>
      <c r="M37" s="1">
        <f>$G$37+('Input data'!$C$53-$G$37)/($O$10-$G$10)*(M10-$G$10)</f>
        <v>2.7486612500000001</v>
      </c>
      <c r="N37" s="1">
        <f>IF('Criteria results'!$F$5=7,IF(M56&gt;90,G37+('Input data'!$C$53-$G$37)/($O$10-$G$10)*(N10-$G$10)+1+0.06*(M56-90),G37+('Input data'!$C$53-$G$37)/($O$10-$G$10)*(N10-$G$10)+1),G37+('Input data'!$C$53-$G$37)/($O$10-$G$10)*(N10-$G$10))</f>
        <v>2.7373756250000003</v>
      </c>
      <c r="O37" s="252">
        <f>'Baseline NFPC'!O37</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2.7338669999999999E-2</v>
      </c>
      <c r="D38" s="34">
        <f>'Baseline NFPC'!D38</f>
        <v>2.727796E-2</v>
      </c>
      <c r="E38" s="34">
        <f>'Baseline NFPC'!E38</f>
        <v>7.6967090000000002E-2</v>
      </c>
      <c r="F38" s="34">
        <f>'Baseline NFPC'!F38</f>
        <v>7.1996260000000006E-2</v>
      </c>
      <c r="G38" s="34">
        <f>'Baseline NFPC'!G38</f>
        <v>6.9917991111111119E-2</v>
      </c>
      <c r="H38" s="34">
        <f>'Baseline NFPC'!H38</f>
        <v>6.7839722222222232E-2</v>
      </c>
      <c r="I38" s="34">
        <f>'Baseline NFPC'!I38</f>
        <v>6.5761453333333331E-2</v>
      </c>
      <c r="J38" s="34">
        <f>'Baseline NFPC'!J38</f>
        <v>6.3683184444444443E-2</v>
      </c>
      <c r="K38" s="34">
        <f>'Baseline NFPC'!K38</f>
        <v>6.1604915555555556E-2</v>
      </c>
      <c r="L38" s="34">
        <f>'Baseline NFPC'!L38</f>
        <v>5.9526646666666669E-2</v>
      </c>
      <c r="M38" s="34">
        <f>'Baseline NFPC'!M38</f>
        <v>5.7448377777777782E-2</v>
      </c>
      <c r="N38" s="34">
        <f>'Baseline NFPC'!N38</f>
        <v>5.5370108888888894E-2</v>
      </c>
      <c r="O38" s="34">
        <f>'Baseline NFPC'!O38</f>
        <v>5.329184E-2</v>
      </c>
      <c r="P38" s="34">
        <f>'Baseline NFPC'!P38</f>
        <v>5.329184E-2</v>
      </c>
      <c r="Q38" s="34">
        <f>'Baseline NFPC'!Q38</f>
        <v>5.329184E-2</v>
      </c>
      <c r="R38" s="34">
        <f>'Baseline NFPC'!R38</f>
        <v>5.329184E-2</v>
      </c>
      <c r="S38" s="34">
        <f>'Baseline NFPC'!S38</f>
        <v>5.329184E-2</v>
      </c>
      <c r="T38" s="34">
        <f>'Baseline NFPC'!T38</f>
        <v>5.329184E-2</v>
      </c>
      <c r="U38" s="34">
        <f>'Baseline NFPC'!U38</f>
        <v>5.329184E-2</v>
      </c>
      <c r="V38" s="34">
        <f>'Baseline NFPC'!V38</f>
        <v>5.329184E-2</v>
      </c>
      <c r="W38" s="34">
        <f>'Baseline NFPC'!W38</f>
        <v>5.329184E-2</v>
      </c>
    </row>
    <row r="39" spans="2:51" x14ac:dyDescent="0.2">
      <c r="C39" s="1"/>
      <c r="D39" s="1"/>
      <c r="E39" s="1"/>
      <c r="F39" s="1"/>
      <c r="G39" s="99"/>
      <c r="H39" s="99"/>
      <c r="I39" s="99"/>
      <c r="J39" s="99"/>
      <c r="K39" s="99"/>
      <c r="L39" s="99"/>
      <c r="M39" s="99"/>
      <c r="N39" s="99"/>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99"/>
      <c r="H40" s="99"/>
      <c r="I40" s="99"/>
      <c r="J40" s="99"/>
      <c r="K40" s="99"/>
      <c r="L40" s="99"/>
      <c r="M40" s="99"/>
      <c r="N40" s="99"/>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2.3860749999999999</v>
      </c>
      <c r="D41" s="2">
        <f>'Input data'!D42</f>
        <v>7.4842570000000004</v>
      </c>
      <c r="E41" s="2">
        <f>'Input data'!E42</f>
        <v>10.131869999999999</v>
      </c>
      <c r="F41" s="2">
        <f>'Input data'!F42</f>
        <v>4.5784279999999997</v>
      </c>
      <c r="G41" s="2">
        <f>'Input data'!G42</f>
        <v>3.1704729999999999</v>
      </c>
      <c r="H41" s="1">
        <f>'Baseline NFPC'!H41</f>
        <v>3.0929138749999998</v>
      </c>
      <c r="I41" s="1">
        <f>'Baseline NFPC'!I41</f>
        <v>3.0153547499999998</v>
      </c>
      <c r="J41" s="1">
        <f>'Baseline NFPC'!J41</f>
        <v>2.9377956249999997</v>
      </c>
      <c r="K41" s="1">
        <f>'Baseline NFPC'!K41</f>
        <v>2.8602365000000001</v>
      </c>
      <c r="L41" s="1">
        <f>'Baseline NFPC'!L41</f>
        <v>2.782677375</v>
      </c>
      <c r="M41" s="1">
        <f>'Baseline NFPC'!M41</f>
        <v>2.7051182499999999</v>
      </c>
      <c r="N41" s="1">
        <f>'Baseline NFPC'!N41</f>
        <v>2.6275591249999999</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1</v>
      </c>
      <c r="G42" s="1">
        <f>'Baseline NFPC'!G42</f>
        <v>0.99999990000000005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0.38100000000000001</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3</v>
      </c>
      <c r="L49" s="34">
        <f>IF(AND(ABS((L12-K12)-('Input data'!L13-'Input data'!K13))&gt;0.0001,ABS(L12-K12)&gt;0.0001,L$10&gt;$C$5),4,IF(K49=4,3,IF(K49=3,2,IF(K49=2,1,0))))</f>
        <v>2</v>
      </c>
      <c r="M49" s="34">
        <f>IF(AND(ABS((M12-L12)-('Input data'!M13-'Input data'!L13))&gt;0.0001,ABS(M12-L12)&gt;0.0001,M$10&gt;$C$5),4,IF(L49=4,3,IF(L49=3,2,IF(L49=2,1,0))))</f>
        <v>1</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-0.56574843239010808</v>
      </c>
      <c r="I50" s="34">
        <f t="shared" si="10"/>
        <v>-1.0109556292406654</v>
      </c>
      <c r="J50" s="34">
        <f t="shared" si="10"/>
        <v>-1.3050898688442409</v>
      </c>
      <c r="K50" s="34">
        <f t="shared" si="10"/>
        <v>-1.4985144864785007</v>
      </c>
      <c r="L50" s="34">
        <f t="shared" si="10"/>
        <v>-0.74925724323925036</v>
      </c>
      <c r="M50" s="34">
        <f t="shared" si="10"/>
        <v>0</v>
      </c>
      <c r="N50" s="34">
        <f t="shared" si="10"/>
        <v>0</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1.8700369999999999</v>
      </c>
      <c r="E51" s="34">
        <f>'Input data'!E30-$C$46*((E12-D12)-('Input data'!E13-'Input data'!D13))</f>
        <v>1.596454</v>
      </c>
      <c r="F51" s="34">
        <f>'Input data'!F30-$C$46*((F12-E12)-('Input data'!F13-'Input data'!E13))</f>
        <v>2.227846</v>
      </c>
      <c r="G51" s="34">
        <f>'Input data'!G30-$C$46*((G12-F12))</f>
        <v>2.2452620000000003</v>
      </c>
      <c r="H51" s="34">
        <f>'Input data'!H30-$C$46*((H12-G12))</f>
        <v>0.67950099999999991</v>
      </c>
      <c r="I51" s="34">
        <f>'Input data'!I30-$C$46*((I12-H12))</f>
        <v>0.41115400000000002</v>
      </c>
      <c r="J51" s="34">
        <f>'Input data'!J30-$C$46*((J12-I12))</f>
        <v>0.40674899999999981</v>
      </c>
      <c r="K51" s="34">
        <f>'Input data'!K30-$C$46*((K12-J12))</f>
        <v>1.458739</v>
      </c>
      <c r="L51" s="34">
        <f>'Input data'!L30-$C$46*((L12-K12))</f>
        <v>1.5023660000000001</v>
      </c>
      <c r="M51" s="34">
        <f>'Input data'!M30-$C$46*((M12-L12))</f>
        <v>1.54541</v>
      </c>
      <c r="N51" s="34">
        <f>'Input data'!N30-$C$46*((N12-M12))</f>
        <v>1.571599</v>
      </c>
      <c r="O51" s="34">
        <f>'Input data'!O30-$C$46*((O12-N12))</f>
        <v>1.573356</v>
      </c>
      <c r="P51" s="34">
        <f>'Input data'!P30-$C$46*((P12-O12))</f>
        <v>1.6041799999999999</v>
      </c>
      <c r="Q51" s="34">
        <f>'Input data'!Q30-$C$46*((Q12-P12))</f>
        <v>1.6350039999999999</v>
      </c>
      <c r="R51" s="34">
        <f>'Input data'!R30-$C$46*((R12-Q12))</f>
        <v>1.6658249999999999</v>
      </c>
      <c r="S51" s="34">
        <f>'Input data'!S30-$C$46*((S12-R12))</f>
        <v>1.6715930000000001</v>
      </c>
      <c r="T51" s="34">
        <f>'Input data'!T30-$C$46*((T12-S12))</f>
        <v>1.6133489999999999</v>
      </c>
      <c r="U51" s="34">
        <f>'Input data'!U30-$C$46*((U12-T12))</f>
        <v>1.5618829999999999</v>
      </c>
      <c r="V51" s="34">
        <f>'Input data'!V30-$C$46*((V12-U12))</f>
        <v>1.5050829999999999</v>
      </c>
      <c r="W51" s="34">
        <f>'Input data'!W30-$C$46*((W12-V12))</f>
        <v>1.483687</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61.088839999999998</v>
      </c>
      <c r="D56" s="45">
        <f>+C56+D57</f>
        <v>57.741851922294835</v>
      </c>
      <c r="E56" s="45">
        <f t="shared" ref="E56:T56" si="11">+D56+E57</f>
        <v>56.044964616339094</v>
      </c>
      <c r="F56" s="45">
        <f>+E56+F57</f>
        <v>58.478930381041359</v>
      </c>
      <c r="G56" s="45">
        <f>+F56+G57</f>
        <v>59.623964733451906</v>
      </c>
      <c r="H56" s="45">
        <f>+G56+H57</f>
        <v>61.136174386887198</v>
      </c>
      <c r="I56" s="45">
        <f t="shared" si="11"/>
        <v>61.633447791006695</v>
      </c>
      <c r="J56" s="45">
        <f t="shared" si="11"/>
        <v>60.963732291979078</v>
      </c>
      <c r="K56" s="45">
        <f>+J56+K57</f>
        <v>59.660394228724876</v>
      </c>
      <c r="L56" s="45">
        <f t="shared" si="11"/>
        <v>58.262712274448468</v>
      </c>
      <c r="M56" s="45">
        <f t="shared" si="11"/>
        <v>56.812129036614486</v>
      </c>
      <c r="N56" s="45">
        <f t="shared" si="11"/>
        <v>56.013647520547671</v>
      </c>
      <c r="O56" s="46">
        <f t="shared" si="11"/>
        <v>55.443938568546166</v>
      </c>
      <c r="P56" s="46">
        <f>+O56+P57</f>
        <v>55.030376219579686</v>
      </c>
      <c r="Q56" s="46">
        <f t="shared" si="11"/>
        <v>54.760809054139543</v>
      </c>
      <c r="R56" s="46">
        <f t="shared" si="11"/>
        <v>54.618865026513383</v>
      </c>
      <c r="S56" s="46">
        <f t="shared" si="11"/>
        <v>54.62073887585607</v>
      </c>
      <c r="T56" s="46">
        <f t="shared" si="11"/>
        <v>54.802901337172031</v>
      </c>
      <c r="U56" s="46">
        <f t="shared" ref="U56" si="12">+T56+U57</f>
        <v>55.143476211565236</v>
      </c>
      <c r="V56" s="46">
        <f t="shared" ref="V56" si="13">+U56+V57</f>
        <v>55.696188924265016</v>
      </c>
      <c r="W56" s="46">
        <f t="shared" ref="W56" si="14">+V56+W57</f>
        <v>56.429698274427388</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-3.3469880777051602</v>
      </c>
      <c r="E57" s="47">
        <f t="shared" ref="E57:S57" si="15">-E58+E66+E71</f>
        <v>-1.6968873059557408</v>
      </c>
      <c r="F57" s="47">
        <f>-F58+F66+F71</f>
        <v>2.4339657647022639</v>
      </c>
      <c r="G57" s="47">
        <f>-G58+G66+G71</f>
        <v>1.1450343524105504</v>
      </c>
      <c r="H57" s="47">
        <f>-H58+H66+H71</f>
        <v>1.5122096534352933</v>
      </c>
      <c r="I57" s="47">
        <f t="shared" si="15"/>
        <v>0.49727340411949839</v>
      </c>
      <c r="J57" s="47">
        <f t="shared" si="15"/>
        <v>-0.66971549902761796</v>
      </c>
      <c r="K57" s="47">
        <f t="shared" si="15"/>
        <v>-1.3033380632542011</v>
      </c>
      <c r="L57" s="47">
        <f t="shared" si="15"/>
        <v>-1.3976819542764092</v>
      </c>
      <c r="M57" s="47">
        <f t="shared" si="15"/>
        <v>-1.450583237833984</v>
      </c>
      <c r="N57" s="47">
        <f t="shared" si="15"/>
        <v>-0.79848151606681672</v>
      </c>
      <c r="O57" s="47">
        <f t="shared" si="15"/>
        <v>-0.56970895200150573</v>
      </c>
      <c r="P57" s="47">
        <f>-P58+P66+P71</f>
        <v>-0.41356234896647925</v>
      </c>
      <c r="Q57" s="47">
        <f t="shared" si="15"/>
        <v>-0.26956716544014214</v>
      </c>
      <c r="R57" s="47">
        <f t="shared" si="15"/>
        <v>-0.14194402762616043</v>
      </c>
      <c r="S57" s="47">
        <f t="shared" si="15"/>
        <v>1.8738493426837532E-3</v>
      </c>
      <c r="T57" s="47">
        <f>-T58+T66+T71</f>
        <v>0.18216246131595992</v>
      </c>
      <c r="U57" s="47">
        <f>-U58+U66+U71</f>
        <v>0.34057487439320711</v>
      </c>
      <c r="V57" s="47">
        <f t="shared" ref="V57:W57" si="16">-V58+V66+V71</f>
        <v>0.55271271269977862</v>
      </c>
      <c r="W57" s="47">
        <f t="shared" si="16"/>
        <v>0.73350935016237351</v>
      </c>
    </row>
    <row r="58" spans="2:48" outlineLevel="1" x14ac:dyDescent="0.2">
      <c r="B58" s="84" t="s">
        <v>106</v>
      </c>
      <c r="C58" s="48"/>
      <c r="D58" s="48">
        <f>D59+D60-D61-D62-D63-D64-D65</f>
        <v>-0.63504632229484026</v>
      </c>
      <c r="E58" s="48">
        <f t="shared" ref="E58:S58" si="17">E59+E60-E61-E62-E63-E64-E65</f>
        <v>-3.7366464940442592</v>
      </c>
      <c r="F58" s="48">
        <f t="shared" si="17"/>
        <v>-4.5243322647022639</v>
      </c>
      <c r="G58" s="48">
        <f t="shared" si="17"/>
        <v>-3.2862072291109472</v>
      </c>
      <c r="H58" s="48">
        <f t="shared" si="17"/>
        <v>-2.2406431421110407</v>
      </c>
      <c r="I58" s="48">
        <f t="shared" si="17"/>
        <v>-1.1087408600444841</v>
      </c>
      <c r="J58" s="48">
        <f t="shared" si="17"/>
        <v>8.0716970977536384E-2</v>
      </c>
      <c r="K58" s="48">
        <f t="shared" si="17"/>
        <v>0.21132528065168987</v>
      </c>
      <c r="L58" s="48">
        <f t="shared" si="17"/>
        <v>0.36991359032584148</v>
      </c>
      <c r="M58" s="48">
        <f t="shared" si="17"/>
        <v>0.5026518000000002</v>
      </c>
      <c r="N58" s="48">
        <f t="shared" si="17"/>
        <v>0.35499395020972357</v>
      </c>
      <c r="O58" s="48">
        <f t="shared" si="17"/>
        <v>0.20393477511133917</v>
      </c>
      <c r="P58" s="48">
        <f t="shared" si="17"/>
        <v>7.6766075111340148E-2</v>
      </c>
      <c r="Q58" s="48">
        <f t="shared" si="17"/>
        <v>-4.1462999759502628E-2</v>
      </c>
      <c r="R58" s="48">
        <f t="shared" si="17"/>
        <v>-0.14627272403106406</v>
      </c>
      <c r="S58" s="48">
        <f t="shared" si="17"/>
        <v>-0.25660067455920266</v>
      </c>
      <c r="T58" s="48">
        <f>T59+T60-T61-T62-T63-T64-T65</f>
        <v>-0.37169834970697313</v>
      </c>
      <c r="U58" s="48">
        <f>U59+U60-U61-U62-U63-U64-U65</f>
        <v>-0.470656199425459</v>
      </c>
      <c r="V58" s="48">
        <f t="shared" ref="V58:W58" si="18">V59+V60-V61-V62-V63-V64-V65</f>
        <v>-0.62195452407477281</v>
      </c>
      <c r="W58" s="48">
        <f t="shared" si="18"/>
        <v>-0.76211435036418629</v>
      </c>
    </row>
    <row r="59" spans="2:48" outlineLevel="1" x14ac:dyDescent="0.2">
      <c r="B59" s="79" t="s">
        <v>107</v>
      </c>
      <c r="C59" s="1"/>
      <c r="D59" s="1">
        <f>D12</f>
        <v>-0.85058520000000004</v>
      </c>
      <c r="E59" s="1">
        <f>E12</f>
        <v>-3.5136029999999998</v>
      </c>
      <c r="F59" s="1">
        <f>F12</f>
        <v>-4.2628820000000003</v>
      </c>
      <c r="G59" s="1">
        <f t="shared" ref="G59:W59" si="19">IF(G12="",F59,G12)</f>
        <v>-2.9628820000000005</v>
      </c>
      <c r="H59" s="1">
        <f t="shared" si="19"/>
        <v>-1.6628820000000004</v>
      </c>
      <c r="I59" s="1">
        <f t="shared" si="19"/>
        <v>-0.36288200000000037</v>
      </c>
      <c r="J59" s="1">
        <f t="shared" si="19"/>
        <v>0.93711799999999967</v>
      </c>
      <c r="K59" s="1">
        <f t="shared" si="19"/>
        <v>0.93711799999999967</v>
      </c>
      <c r="L59" s="1">
        <f t="shared" si="19"/>
        <v>0.93711799999999967</v>
      </c>
      <c r="M59" s="1">
        <f t="shared" si="19"/>
        <v>0.93711799999999967</v>
      </c>
      <c r="N59" s="1">
        <f t="shared" si="19"/>
        <v>0.93711799999999967</v>
      </c>
      <c r="O59" s="1">
        <f t="shared" si="19"/>
        <v>0.93711799999999967</v>
      </c>
      <c r="P59" s="1">
        <f t="shared" si="19"/>
        <v>0.93711799999999967</v>
      </c>
      <c r="Q59" s="1">
        <f t="shared" si="19"/>
        <v>0.93711799999999967</v>
      </c>
      <c r="R59" s="1">
        <f t="shared" si="19"/>
        <v>0.93711799999999967</v>
      </c>
      <c r="S59" s="1">
        <f t="shared" si="19"/>
        <v>0.93711799999999967</v>
      </c>
      <c r="T59" s="1">
        <f t="shared" si="19"/>
        <v>0.93711799999999967</v>
      </c>
      <c r="U59" s="1">
        <f t="shared" si="19"/>
        <v>0.93711799999999967</v>
      </c>
      <c r="V59" s="1">
        <f t="shared" si="19"/>
        <v>0.93711799999999967</v>
      </c>
      <c r="W59" s="1">
        <f t="shared" si="19"/>
        <v>0.93711799999999967</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-0.21553887770515978</v>
      </c>
      <c r="E61" s="1">
        <f t="shared" si="20"/>
        <v>0.22304349404425938</v>
      </c>
      <c r="F61" s="1">
        <f t="shared" si="20"/>
        <v>0.26145026470226373</v>
      </c>
      <c r="G61" s="1">
        <f t="shared" si="20"/>
        <v>0.3233252291109468</v>
      </c>
      <c r="H61" s="1">
        <f t="shared" si="20"/>
        <v>0.57776114211104035</v>
      </c>
      <c r="I61" s="1">
        <f t="shared" si="20"/>
        <v>0.74585886004448376</v>
      </c>
      <c r="J61" s="1">
        <f t="shared" si="20"/>
        <v>0.85640102902246329</v>
      </c>
      <c r="K61" s="1">
        <f t="shared" si="20"/>
        <v>0.57093401934830745</v>
      </c>
      <c r="L61" s="1">
        <f t="shared" si="20"/>
        <v>0.28546700967416005</v>
      </c>
      <c r="M61" s="1">
        <f t="shared" si="20"/>
        <v>0</v>
      </c>
      <c r="N61" s="1">
        <f t="shared" si="20"/>
        <v>-7.502097211453673E-7</v>
      </c>
      <c r="O61" s="1">
        <f t="shared" si="20"/>
        <v>-3.7511134085566058E-7</v>
      </c>
      <c r="P61" s="1">
        <f t="shared" si="20"/>
        <v>-3.7511134085566058E-7</v>
      </c>
      <c r="Q61" s="1">
        <f t="shared" si="20"/>
        <v>-2.4049802149761491E-10</v>
      </c>
      <c r="R61" s="1">
        <f t="shared" si="20"/>
        <v>1.124031066923603E-6</v>
      </c>
      <c r="S61" s="1">
        <f t="shared" si="20"/>
        <v>3.7455920128826035E-7</v>
      </c>
      <c r="T61" s="1">
        <f t="shared" si="20"/>
        <v>-7.5029302577522832E-7</v>
      </c>
      <c r="U61" s="1">
        <f t="shared" si="20"/>
        <v>-1.5005745376273083E-6</v>
      </c>
      <c r="V61" s="1">
        <f t="shared" si="20"/>
        <v>-1.8759252259581417E-6</v>
      </c>
      <c r="W61" s="1">
        <f t="shared" si="20"/>
        <v>-7.4963581002673858E-7</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0.15356000000000236</v>
      </c>
      <c r="L63" s="1">
        <f>IF(L$55&lt;=$C$6,0,HLOOKUP(L$55,'Input data'!$C$9:$BB$26,12,FALSE)-HLOOKUP($C$6,'Input data'!$C$9:$BB$26,12,FALSE))</f>
        <v>0.27913999999999817</v>
      </c>
      <c r="M63" s="1">
        <f>IF(M$55&lt;=$C$6,0,HLOOKUP(M$55,'Input data'!$C$9:$BB$26,12,FALSE)-HLOOKUP($C$6,'Input data'!$C$9:$BB$26,12,FALSE))</f>
        <v>0.43056999999999945</v>
      </c>
      <c r="N63" s="1">
        <f>IF(N$55&lt;=$C$6,0,HLOOKUP(N$55,'Input data'!$C$9:$BB$26,12,FALSE)-HLOOKUP($C$6,'Input data'!$C$9:$BB$26,12,FALSE))</f>
        <v>0.57692999999999728</v>
      </c>
      <c r="O63" s="1">
        <f>IF(O$55&lt;=$C$6,0,HLOOKUP(O$55,'Input data'!$C$9:$BB$26,12,FALSE)-HLOOKUP($C$6,'Input data'!$C$9:$BB$26,12,FALSE))</f>
        <v>0.72669000000000139</v>
      </c>
      <c r="P63" s="1">
        <f>IF(P$55&lt;=$C$6,0,HLOOKUP(P$55,'Input data'!$C$9:$BB$26,12,FALSE)-HLOOKUP($C$6,'Input data'!$C$9:$BB$26,12,FALSE))</f>
        <v>0.85256000000000043</v>
      </c>
      <c r="Q63" s="1">
        <f>IF(Q$55&lt;=$C$6,0,HLOOKUP(Q$55,'Input data'!$C$9:$BB$26,12,FALSE)-HLOOKUP($C$6,'Input data'!$C$9:$BB$26,12,FALSE))</f>
        <v>0.96949000000000041</v>
      </c>
      <c r="R63" s="1">
        <f>IF(R$55&lt;=$C$6,0,HLOOKUP(R$55,'Input data'!$C$9:$BB$26,12,FALSE)-HLOOKUP($C$6,'Input data'!$C$9:$BB$26,12,FALSE))</f>
        <v>1.0729999999999968</v>
      </c>
      <c r="S63" s="1">
        <f>IF(S$55&lt;=$C$6,0,HLOOKUP(S$55,'Input data'!$C$9:$BB$26,12,FALSE)-HLOOKUP($C$6,'Input data'!$C$9:$BB$26,12,FALSE))</f>
        <v>1.182030000000001</v>
      </c>
      <c r="T63" s="1">
        <f>IF(T$55&lt;=$C$6,0,HLOOKUP(T$55,'Input data'!$C$9:$BB$26,12,FALSE)-HLOOKUP($C$6,'Input data'!$C$9:$BB$26,12,FALSE))</f>
        <v>1.2958299999999987</v>
      </c>
      <c r="U63" s="1">
        <f>IF(U$55&lt;=$C$6,0,HLOOKUP(U$55,'Input data'!$C$9:$BB$26,12,FALSE)-HLOOKUP($C$6,'Input data'!$C$9:$BB$26,12,FALSE))</f>
        <v>1.3934899999999963</v>
      </c>
      <c r="V63" s="1">
        <f>IF(V$55&lt;=$C$6,0,HLOOKUP(V$55,'Input data'!$C$9:$BB$26,12,FALSE)-HLOOKUP($C$6,'Input data'!$C$9:$BB$26,12,FALSE))</f>
        <v>1.5434899999999985</v>
      </c>
      <c r="W63" s="1">
        <f>IF(W$55&lt;=$C$6,0,HLOOKUP(W$55,'Input data'!$C$9:$BB$26,12,FALSE)-HLOOKUP($C$6,'Input data'!$C$9:$BB$26,12,FALSE))</f>
        <v>1.682349999999996</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1.298699999999986E-3</v>
      </c>
      <c r="L64" s="1">
        <f>IF(L$55&lt;=$C$6,0,-HLOOKUP(L$55,'Input data'!$C$9:$BB$26,18,FALSE)+HLOOKUP($C$6,'Input data'!$C$9:$BB$26,18,FALSE))</f>
        <v>2.597399999999972E-3</v>
      </c>
      <c r="M64" s="1">
        <f>IF(M$55&lt;=$C$6,0,-HLOOKUP(M$55,'Input data'!$C$9:$BB$26,18,FALSE)+HLOOKUP($C$6,'Input data'!$C$9:$BB$26,18,FALSE))</f>
        <v>3.8962000000000163E-3</v>
      </c>
      <c r="N64" s="1">
        <f>IF(N$55&lt;=$C$6,0,-HLOOKUP(N$55,'Input data'!$C$9:$BB$26,18,FALSE)+HLOOKUP($C$6,'Input data'!$C$9:$BB$26,18,FALSE))</f>
        <v>5.1947999999999439E-3</v>
      </c>
      <c r="O64" s="1">
        <f>IF(O$55&lt;=$C$6,0,-HLOOKUP(O$55,'Input data'!$C$9:$BB$26,18,FALSE)+HLOOKUP($C$6,'Input data'!$C$9:$BB$26,18,FALSE))</f>
        <v>6.4935999999999883E-3</v>
      </c>
      <c r="P64" s="1">
        <f>IF(P$55&lt;=$C$6,0,-HLOOKUP(P$55,'Input data'!$C$9:$BB$26,18,FALSE)+HLOOKUP($C$6,'Input data'!$C$9:$BB$26,18,FALSE))</f>
        <v>7.7922999999999742E-3</v>
      </c>
      <c r="Q64" s="1">
        <f>IF(Q$55&lt;=$C$6,0,-HLOOKUP(Q$55,'Input data'!$C$9:$BB$26,18,FALSE)+HLOOKUP($C$6,'Input data'!$C$9:$BB$26,18,FALSE))</f>
        <v>9.0909999999999602E-3</v>
      </c>
      <c r="R64" s="1">
        <f>IF(R$55&lt;=$C$6,0,-HLOOKUP(R$55,'Input data'!$C$9:$BB$26,18,FALSE)+HLOOKUP($C$6,'Input data'!$C$9:$BB$26,18,FALSE))</f>
        <v>1.0389599999999999E-2</v>
      </c>
      <c r="S64" s="1">
        <f>IF(S$55&lt;=$C$6,0,-HLOOKUP(S$55,'Input data'!$C$9:$BB$26,18,FALSE)+HLOOKUP($C$6,'Input data'!$C$9:$BB$26,18,FALSE))</f>
        <v>1.1688299999999985E-2</v>
      </c>
      <c r="T64" s="1">
        <f>IF(T$55&lt;=$C$6,0,-HLOOKUP(T$55,'Input data'!$C$9:$BB$26,18,FALSE)+HLOOKUP($C$6,'Input data'!$C$9:$BB$26,18,FALSE))</f>
        <v>1.2987099999999918E-2</v>
      </c>
      <c r="U64" s="1">
        <f>IF(U$55&lt;=$C$6,0,-HLOOKUP(U$55,'Input data'!$C$9:$BB$26,18,FALSE)+HLOOKUP($C$6,'Input data'!$C$9:$BB$26,18,FALSE))</f>
        <v>1.4285699999999957E-2</v>
      </c>
      <c r="V64" s="1">
        <f>IF(V$55&lt;=$C$6,0,-HLOOKUP(V$55,'Input data'!$C$9:$BB$26,18,FALSE)+HLOOKUP($C$6,'Input data'!$C$9:$BB$26,18,FALSE))</f>
        <v>1.5584399999999943E-2</v>
      </c>
      <c r="W64" s="1">
        <f>IF(W$55&lt;=$C$6,0,-HLOOKUP(W$55,'Input data'!$C$9:$BB$26,18,FALSE)+HLOOKUP($C$6,'Input data'!$C$9:$BB$26,18,FALSE))</f>
        <v>1.6883099999999929E-2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-4.2593990000000002</v>
      </c>
      <c r="E66" s="48">
        <f t="shared" si="22"/>
        <v>-4.979152</v>
      </c>
      <c r="F66" s="48">
        <f t="shared" si="22"/>
        <v>-2.2903669999999998</v>
      </c>
      <c r="G66" s="48">
        <f>SUM(G67:G70)</f>
        <v>-1.5411701767003969</v>
      </c>
      <c r="H66" s="48">
        <f>SUM(H67:H70)</f>
        <v>-0.72843348867574731</v>
      </c>
      <c r="I66" s="48">
        <f t="shared" si="22"/>
        <v>-0.61146745592498575</v>
      </c>
      <c r="J66" s="48">
        <f t="shared" si="22"/>
        <v>-0.58899852805008157</v>
      </c>
      <c r="K66" s="48">
        <f t="shared" si="22"/>
        <v>-1.0920127826025112</v>
      </c>
      <c r="L66" s="48">
        <f t="shared" si="22"/>
        <v>-1.0277683639505677</v>
      </c>
      <c r="M66" s="48">
        <f t="shared" si="22"/>
        <v>-0.94793143783398381</v>
      </c>
      <c r="N66" s="48">
        <f t="shared" si="22"/>
        <v>-0.44348756585709315</v>
      </c>
      <c r="O66" s="48">
        <f t="shared" si="22"/>
        <v>-0.36577417689016656</v>
      </c>
      <c r="P66" s="48">
        <f t="shared" si="22"/>
        <v>-0.33679627385513911</v>
      </c>
      <c r="Q66" s="48">
        <f t="shared" si="22"/>
        <v>-0.31103016519964477</v>
      </c>
      <c r="R66" s="48">
        <f t="shared" si="22"/>
        <v>-0.28821675165722449</v>
      </c>
      <c r="S66" s="48">
        <f t="shared" si="22"/>
        <v>-0.2547268252165189</v>
      </c>
      <c r="T66" s="48">
        <f t="shared" si="22"/>
        <v>-0.18953588839101321</v>
      </c>
      <c r="U66" s="48">
        <f>SUM(U67:U70)</f>
        <v>-0.13008132503225189</v>
      </c>
      <c r="V66" s="48">
        <f t="shared" ref="V66:W66" si="23">SUM(V67:V70)</f>
        <v>-6.9241811374994189E-2</v>
      </c>
      <c r="W66" s="48">
        <f t="shared" si="23"/>
        <v>-2.860500020181278E-2</v>
      </c>
    </row>
    <row r="67" spans="2:23" outlineLevel="1" x14ac:dyDescent="0.2">
      <c r="B67" s="79" t="s">
        <v>115</v>
      </c>
      <c r="C67" s="34"/>
      <c r="D67" s="34">
        <f>C56*D35/100*(1/(1+D32/100))</f>
        <v>1.037617448818186</v>
      </c>
      <c r="E67" s="34">
        <f t="shared" ref="E67:F67" si="24">D56*E35/100*(1/(1+E32/100))</f>
        <v>1.1568256745098193</v>
      </c>
      <c r="F67" s="34">
        <f t="shared" si="24"/>
        <v>1.3311861164521233</v>
      </c>
      <c r="G67" s="34">
        <f>F56*G35/100*(1/(1+G32/100))</f>
        <v>1.5006212548700644</v>
      </c>
      <c r="H67" s="34">
        <f t="shared" ref="H67:W67" si="25">G56*H35/100*(1/(1+H32/100))</f>
        <v>1.6343504433063132</v>
      </c>
      <c r="I67" s="34">
        <f t="shared" si="25"/>
        <v>1.7513191923762341</v>
      </c>
      <c r="J67" s="34">
        <f t="shared" si="25"/>
        <v>1.8234858870624306</v>
      </c>
      <c r="K67" s="34">
        <f t="shared" si="25"/>
        <v>1.8996972938143606</v>
      </c>
      <c r="L67" s="34">
        <f t="shared" si="25"/>
        <v>1.8782883620902093</v>
      </c>
      <c r="M67" s="34">
        <f t="shared" si="25"/>
        <v>1.868542434975764</v>
      </c>
      <c r="N67" s="34">
        <f t="shared" si="25"/>
        <v>1.8676032453738689</v>
      </c>
      <c r="O67" s="34">
        <f t="shared" si="25"/>
        <v>1.8731248802617273</v>
      </c>
      <c r="P67" s="34">
        <f t="shared" si="25"/>
        <v>1.8812059074684369</v>
      </c>
      <c r="Q67" s="34">
        <f t="shared" si="25"/>
        <v>1.8922797175537955</v>
      </c>
      <c r="R67" s="34">
        <f t="shared" si="25"/>
        <v>1.9061328959699391</v>
      </c>
      <c r="S67" s="34">
        <f t="shared" si="25"/>
        <v>1.9228352804163134</v>
      </c>
      <c r="T67" s="34">
        <f t="shared" si="25"/>
        <v>1.9439507429628042</v>
      </c>
      <c r="U67" s="34">
        <f t="shared" si="25"/>
        <v>1.9696822576415587</v>
      </c>
      <c r="V67" s="34">
        <f t="shared" si="25"/>
        <v>1.9996405321489694</v>
      </c>
      <c r="W67" s="34">
        <f t="shared" si="25"/>
        <v>2.0353029565652014</v>
      </c>
    </row>
    <row r="68" spans="2:23" outlineLevel="1" x14ac:dyDescent="0.2">
      <c r="B68" s="79" t="s">
        <v>116</v>
      </c>
      <c r="C68" s="34"/>
      <c r="D68" s="34">
        <f t="shared" ref="D68:W68" si="26">-C56*(D23/100)*(1/(1+D32/100))</f>
        <v>-1.0433277419508173</v>
      </c>
      <c r="E68" s="34">
        <f t="shared" si="26"/>
        <v>-0.82386405373436111</v>
      </c>
      <c r="F68" s="34">
        <f t="shared" si="26"/>
        <v>-1.1679128769865823</v>
      </c>
      <c r="G68" s="34">
        <f t="shared" si="26"/>
        <v>-1.2447090089992858</v>
      </c>
      <c r="H68" s="34">
        <f>-G56*(H23/100)*(1/(1+H32/100))</f>
        <v>-0.57399185234210492</v>
      </c>
      <c r="I68" s="34">
        <f t="shared" si="26"/>
        <v>-0.57327425685523903</v>
      </c>
      <c r="J68" s="34">
        <f t="shared" si="26"/>
        <v>-0.65349519084637098</v>
      </c>
      <c r="K68" s="34">
        <f t="shared" si="26"/>
        <v>-1.296490444312028</v>
      </c>
      <c r="L68" s="34">
        <f t="shared" si="26"/>
        <v>-1.2908465228841743</v>
      </c>
      <c r="M68" s="34">
        <f t="shared" si="26"/>
        <v>-1.2819103675668184</v>
      </c>
      <c r="N68" s="34">
        <f t="shared" si="26"/>
        <v>-0.85653777173973999</v>
      </c>
      <c r="O68" s="34">
        <f t="shared" si="26"/>
        <v>-0.84606823143374121</v>
      </c>
      <c r="P68" s="34">
        <f t="shared" si="26"/>
        <v>-0.85383982633654698</v>
      </c>
      <c r="Q68" s="34">
        <f t="shared" si="26"/>
        <v>-0.86372464768976598</v>
      </c>
      <c r="R68" s="34">
        <f t="shared" si="26"/>
        <v>-0.87566522240853994</v>
      </c>
      <c r="S68" s="34">
        <f t="shared" si="26"/>
        <v>-0.87660514873423145</v>
      </c>
      <c r="T68" s="34">
        <f t="shared" si="26"/>
        <v>-0.84680255921415915</v>
      </c>
      <c r="U68" s="34">
        <f t="shared" si="26"/>
        <v>-0.82316134905408811</v>
      </c>
      <c r="V68" s="34">
        <f t="shared" si="26"/>
        <v>-0.79881668962693553</v>
      </c>
      <c r="W68" s="34">
        <f t="shared" si="26"/>
        <v>-0.79573518051823611</v>
      </c>
    </row>
    <row r="69" spans="2:23" outlineLevel="1" x14ac:dyDescent="0.2">
      <c r="B69" s="79" t="s">
        <v>117</v>
      </c>
      <c r="C69" s="34"/>
      <c r="D69" s="34">
        <f t="shared" ref="D69:T69" si="27">-C56*D41/100*(1/(1+D41/100))</f>
        <v>-4.2536887833897383</v>
      </c>
      <c r="E69" s="34">
        <f t="shared" si="27"/>
        <v>-5.312112989963226</v>
      </c>
      <c r="F69" s="34">
        <f t="shared" si="27"/>
        <v>-2.4536402025325548</v>
      </c>
      <c r="G69" s="34">
        <f t="shared" si="27"/>
        <v>-1.7970826773467574</v>
      </c>
      <c r="H69" s="34">
        <f>-G56*H41/100*(1/(1+H41/100))</f>
        <v>-1.7887920796399555</v>
      </c>
      <c r="I69" s="34">
        <f t="shared" si="27"/>
        <v>-1.789512391445981</v>
      </c>
      <c r="J69" s="34">
        <f t="shared" si="27"/>
        <v>-1.7589892242661413</v>
      </c>
      <c r="K69" s="34">
        <f t="shared" si="27"/>
        <v>-1.6952196321048438</v>
      </c>
      <c r="L69" s="34">
        <f t="shared" si="27"/>
        <v>-1.6152102031566027</v>
      </c>
      <c r="M69" s="34">
        <f t="shared" si="27"/>
        <v>-1.5345635052429294</v>
      </c>
      <c r="N69" s="34">
        <f t="shared" si="27"/>
        <v>-1.4545530394912221</v>
      </c>
      <c r="O69" s="34">
        <f t="shared" si="27"/>
        <v>-1.3928308257181525</v>
      </c>
      <c r="P69" s="34">
        <f t="shared" si="27"/>
        <v>-1.364162354987029</v>
      </c>
      <c r="Q69" s="34">
        <f t="shared" si="27"/>
        <v>-1.3395852350636743</v>
      </c>
      <c r="R69" s="34">
        <f t="shared" si="27"/>
        <v>-1.3186844252186236</v>
      </c>
      <c r="S69" s="34">
        <f>-R56*S41/100*(1/(1+S41/100))</f>
        <v>-1.3009569568986008</v>
      </c>
      <c r="T69" s="34">
        <f t="shared" si="27"/>
        <v>-1.2866840721396582</v>
      </c>
      <c r="U69" s="34">
        <f t="shared" ref="U69" si="28">-T56*U41/100*(1/(1+U41/100))</f>
        <v>-1.2766022336197225</v>
      </c>
      <c r="V69" s="34">
        <f t="shared" ref="V69" si="29">-U56*V41/100*(1/(1+V41/100))</f>
        <v>-1.2700656538970281</v>
      </c>
      <c r="W69" s="34">
        <f t="shared" ref="W69" si="30">-V56*W41/100*(1/(1+W41/100))</f>
        <v>-1.2681727762487782</v>
      </c>
    </row>
    <row r="70" spans="2:23" outlineLevel="1" x14ac:dyDescent="0.2">
      <c r="B70" s="79" t="s">
        <v>118</v>
      </c>
      <c r="C70" s="49"/>
      <c r="D70" s="49">
        <f>'Baseline NFPC'!D70</f>
        <v>7.6522369774068011E-8</v>
      </c>
      <c r="E70" s="49">
        <f>'Baseline NFPC'!E70</f>
        <v>-6.3081223178329537E-7</v>
      </c>
      <c r="F70" s="49">
        <f>'Baseline NFPC'!F70</f>
        <v>-3.6932986002824464E-8</v>
      </c>
      <c r="G70" s="49">
        <f>'Baseline NFPC'!G70</f>
        <v>2.5477558196485006E-7</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0.27736460000000002</v>
      </c>
      <c r="E71" s="50">
        <f>'Input data'!E16</f>
        <v>-0.4543818</v>
      </c>
      <c r="F71" s="50">
        <f>'Input data'!F16</f>
        <v>0.2000005</v>
      </c>
      <c r="G71" s="50">
        <f>'Input data'!G16</f>
        <v>-0.6000027</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1">D14</f>
        <v>0.27736460000000002</v>
      </c>
      <c r="E72" s="34">
        <f t="shared" si="31"/>
        <v>-0.45438450000000002</v>
      </c>
      <c r="F72" s="34">
        <f t="shared" si="31"/>
        <v>0.2</v>
      </c>
      <c r="G72" s="34">
        <f t="shared" si="31"/>
        <v>-0.6</v>
      </c>
      <c r="H72" s="34">
        <f t="shared" si="31"/>
        <v>0</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9" t="s">
        <v>121</v>
      </c>
      <c r="C73" s="49"/>
      <c r="D73" s="49">
        <f>+D71-D72</f>
        <v>0</v>
      </c>
      <c r="E73" s="49">
        <f t="shared" ref="E73:T73" si="32">+E71-E72</f>
        <v>2.7000000000221291E-6</v>
      </c>
      <c r="F73" s="49">
        <f t="shared" si="32"/>
        <v>4.9999999998662226E-7</v>
      </c>
      <c r="G73" s="49">
        <f t="shared" si="32"/>
        <v>-2.7000000000221291E-6</v>
      </c>
      <c r="H73" s="49">
        <f t="shared" si="32"/>
        <v>0</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187</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1</v>
      </c>
      <c r="T75" s="51">
        <f t="shared" si="34"/>
        <v>1</v>
      </c>
      <c r="U75" s="51">
        <f t="shared" si="34"/>
        <v>1</v>
      </c>
      <c r="V75" s="51">
        <f t="shared" si="34"/>
        <v>1</v>
      </c>
      <c r="W75" s="51">
        <f t="shared" si="34"/>
        <v>1</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111">
        <f t="shared" ref="E79:F79" si="35">IF((E83-D83*E42/((1+E23/100)*(1+E41/100)))&gt;0,1,0)</f>
        <v>1</v>
      </c>
      <c r="F79" s="111">
        <f t="shared" si="35"/>
        <v>1</v>
      </c>
      <c r="G79" s="111">
        <f>IF((G83-F83*G42/((1+G23/100)*(1+G41/100)))&gt;0,1,0)</f>
        <v>1</v>
      </c>
      <c r="H79" s="111">
        <f t="shared" ref="H79:W79" si="36">IF((H83-G83*H42/((1+H23/100)*(1+H41/100)))&gt;0,1,0)</f>
        <v>1</v>
      </c>
      <c r="I79" s="111">
        <f t="shared" si="36"/>
        <v>1</v>
      </c>
      <c r="J79" s="111">
        <f t="shared" si="36"/>
        <v>1</v>
      </c>
      <c r="K79" s="111">
        <f t="shared" si="36"/>
        <v>1</v>
      </c>
      <c r="L79" s="111">
        <f t="shared" si="36"/>
        <v>1</v>
      </c>
      <c r="M79" s="111">
        <f t="shared" si="36"/>
        <v>1</v>
      </c>
      <c r="N79" s="111">
        <f t="shared" si="36"/>
        <v>1</v>
      </c>
      <c r="O79" s="111">
        <f t="shared" si="36"/>
        <v>1</v>
      </c>
      <c r="P79" s="111">
        <f t="shared" si="36"/>
        <v>1</v>
      </c>
      <c r="Q79" s="111">
        <f t="shared" si="36"/>
        <v>1</v>
      </c>
      <c r="R79" s="111">
        <f t="shared" si="36"/>
        <v>1</v>
      </c>
      <c r="S79" s="111">
        <f t="shared" si="36"/>
        <v>1</v>
      </c>
      <c r="T79" s="111">
        <f t="shared" si="36"/>
        <v>1</v>
      </c>
      <c r="U79" s="111">
        <f t="shared" si="36"/>
        <v>1</v>
      </c>
      <c r="V79" s="111">
        <f t="shared" si="36"/>
        <v>1</v>
      </c>
      <c r="W79" s="111">
        <f t="shared" si="36"/>
        <v>1</v>
      </c>
    </row>
    <row r="80" spans="2:23" x14ac:dyDescent="0.2">
      <c r="B80" s="26" t="s">
        <v>126</v>
      </c>
      <c r="E80" s="111">
        <f t="shared" ref="E80:F80" si="37">IF(AND(E79=0,ABS(E83-D83*E42/((1+E23/100)*(1+E41/100)))&lt;((D89*D83*E42/((1+E23/100)*(1+E41/100))+(E38*D83*D90*E42/((1+E23/100)*(1+E41/100)))))),1,0)</f>
        <v>0</v>
      </c>
      <c r="F80" s="111">
        <f t="shared" si="37"/>
        <v>0</v>
      </c>
      <c r="G80" s="111">
        <f>IF(AND(G79=0,ABS(G83-F83*G42/((1+G23/100)*(1+G41/100)))&lt;((F89*F83*G42/((1+G23/100)*(1+G41/100))+(G38*F83*F90*G42/((1+G23/100)*(1+G41/100)))))),1,0)</f>
        <v>0</v>
      </c>
      <c r="H80" s="111">
        <f t="shared" ref="H80:W80" si="38">IF(AND(H79=0,ABS(H83-G83*H42/((1+H23/100)*(1+H41/100)))&lt;((G89*G83*H42/((1+H23/100)*(1+H41/100))+(H38*G83*G90*H42/((1+H23/100)*(1+H41/100)))))),1,0)</f>
        <v>0</v>
      </c>
      <c r="I80" s="111">
        <f t="shared" si="38"/>
        <v>0</v>
      </c>
      <c r="J80" s="111">
        <f t="shared" si="38"/>
        <v>0</v>
      </c>
      <c r="K80" s="111">
        <f t="shared" si="38"/>
        <v>0</v>
      </c>
      <c r="L80" s="111">
        <f t="shared" si="38"/>
        <v>0</v>
      </c>
      <c r="M80" s="111">
        <f t="shared" si="38"/>
        <v>0</v>
      </c>
      <c r="N80" s="111">
        <f t="shared" si="38"/>
        <v>0</v>
      </c>
      <c r="O80" s="111">
        <f t="shared" si="38"/>
        <v>0</v>
      </c>
      <c r="P80" s="111">
        <f t="shared" si="38"/>
        <v>0</v>
      </c>
      <c r="Q80" s="111">
        <f t="shared" si="38"/>
        <v>0</v>
      </c>
      <c r="R80" s="111">
        <f t="shared" si="38"/>
        <v>0</v>
      </c>
      <c r="S80" s="111">
        <f t="shared" si="38"/>
        <v>0</v>
      </c>
      <c r="T80" s="111">
        <f t="shared" si="38"/>
        <v>0</v>
      </c>
      <c r="U80" s="111">
        <f t="shared" si="38"/>
        <v>0</v>
      </c>
      <c r="V80" s="111">
        <f t="shared" si="38"/>
        <v>0</v>
      </c>
      <c r="W80" s="111">
        <f t="shared" si="38"/>
        <v>0</v>
      </c>
    </row>
    <row r="82" spans="2:23"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3" x14ac:dyDescent="0.2">
      <c r="B83" s="106" t="s">
        <v>104</v>
      </c>
      <c r="C83" s="110">
        <f>C56</f>
        <v>61.088839999999998</v>
      </c>
      <c r="D83" s="110">
        <f>D56</f>
        <v>57.741851922294835</v>
      </c>
      <c r="E83" s="110">
        <f>E56</f>
        <v>56.044964616339094</v>
      </c>
      <c r="F83" s="110">
        <f>F56</f>
        <v>58.478930381041359</v>
      </c>
      <c r="G83" s="110">
        <f>G56</f>
        <v>59.623964733451906</v>
      </c>
      <c r="H83" s="110">
        <f>G83*(1+H97/100)*H42-H59-H60+H61+H62+H63+H64+H65+H71</f>
        <v>61.136174386887213</v>
      </c>
      <c r="I83" s="110">
        <f t="shared" ref="I83:T83" si="39">H83*(1+I97/100)*I42-I59-I60+I61+I62+I63+I64+I65+I71</f>
        <v>61.633447791006709</v>
      </c>
      <c r="J83" s="110">
        <f t="shared" si="39"/>
        <v>60.963732291979092</v>
      </c>
      <c r="K83" s="110">
        <f t="shared" si="39"/>
        <v>59.66039422872489</v>
      </c>
      <c r="L83" s="110">
        <f t="shared" si="39"/>
        <v>58.262712274448482</v>
      </c>
      <c r="M83" s="110">
        <f t="shared" si="39"/>
        <v>56.812129036614508</v>
      </c>
      <c r="N83" s="110">
        <f t="shared" si="39"/>
        <v>56.013647520547693</v>
      </c>
      <c r="O83" s="110">
        <f t="shared" si="39"/>
        <v>55.443938568546173</v>
      </c>
      <c r="P83" s="110">
        <f t="shared" si="39"/>
        <v>55.030376219579686</v>
      </c>
      <c r="Q83" s="110">
        <f t="shared" si="39"/>
        <v>54.760809054139543</v>
      </c>
      <c r="R83" s="110">
        <f t="shared" si="39"/>
        <v>54.618865026513383</v>
      </c>
      <c r="S83" s="110">
        <f t="shared" si="39"/>
        <v>54.620738875856077</v>
      </c>
      <c r="T83" s="110">
        <f t="shared" si="39"/>
        <v>54.802901337172038</v>
      </c>
      <c r="U83" s="110">
        <f>T83*(1+U97/100)*U42-U59-U60+U61+U62+U63+U64+U65+U71</f>
        <v>55.143476211565243</v>
      </c>
      <c r="V83" s="110">
        <f t="shared" ref="V83:W83" si="40">U83*(1+V97/100)*V42-V59-V60+V61+V62+V63+V64+V65+V71</f>
        <v>55.696188924265037</v>
      </c>
      <c r="W83" s="110">
        <f t="shared" si="40"/>
        <v>56.429698274427409</v>
      </c>
    </row>
    <row r="84" spans="2:23" x14ac:dyDescent="0.2">
      <c r="B84" s="26" t="s">
        <v>127</v>
      </c>
      <c r="C84" s="34"/>
      <c r="D84" s="254">
        <f>'Input data'!C66*$D$83</f>
        <v>52.315862681355021</v>
      </c>
      <c r="E84" s="34">
        <f t="shared" ref="E84" si="41">IF(E83=0,0,IF(E79=1,D83*E42/((1+E23/100)*(1+E41/100))-E85-E86,IF(AND(E79=0,E80=1),(1-D89-E38*D90)*D83*E42/((1+E23/100)*(1+E41/100)),E83)))</f>
        <v>45.918787023684288</v>
      </c>
      <c r="F84" s="34">
        <f t="shared" ref="F84" si="42">IF(F83=0,0,IF(F79=1,E83*F42/((1+F23/100)*(1+F41/100))-F85-F86,IF(AND(F79=0,F80=1),(1-E89-F38*E90)*E83*F42/((1+F23/100)*(1+F41/100)),F83)))</f>
        <v>46.936801284818955</v>
      </c>
      <c r="G84" s="34">
        <f t="shared" ref="G84" si="43">IF(G83=0,0,IF(G79=1,F83*G42/((1+G23/100)*(1+G41/100))-G85-G86,IF(AND(G79=0,G80=1),(1-F89-G38*F90)*F83*G42/((1+G23/100)*(1+G41/100)),G83)))</f>
        <v>49.796493226638624</v>
      </c>
      <c r="H84" s="34">
        <f t="shared" ref="H84:W84" si="44">IF(H83=0,0,IF(H79=1,G83*H42/((1+H23/100)*(1+H41/100))-H85-H86,IF(AND(H79=0,H80=1),(1-G89-H38*G90)*G83*H42/((1+H23/100)*(1+H41/100)),H83)))</f>
        <v>51.58148690998658</v>
      </c>
      <c r="I84" s="34">
        <f t="shared" si="44"/>
        <v>53.089026673249592</v>
      </c>
      <c r="J84" s="34">
        <f t="shared" si="44"/>
        <v>53.631210153156147</v>
      </c>
      <c r="K84" s="34">
        <f t="shared" si="44"/>
        <v>52.62757562138188</v>
      </c>
      <c r="L84" s="34">
        <f t="shared" si="44"/>
        <v>51.646531843063002</v>
      </c>
      <c r="M84" s="34">
        <f t="shared" si="44"/>
        <v>50.576602220932649</v>
      </c>
      <c r="N84" s="34">
        <f t="shared" si="44"/>
        <v>49.83200312445117</v>
      </c>
      <c r="O84" s="34">
        <f t="shared" si="44"/>
        <v>49.284747162654796</v>
      </c>
      <c r="P84" s="34">
        <f t="shared" si="44"/>
        <v>48.791035214759717</v>
      </c>
      <c r="Q84" s="34">
        <f t="shared" si="44"/>
        <v>48.435125537762396</v>
      </c>
      <c r="R84" s="34">
        <f t="shared" si="44"/>
        <v>48.206265433317519</v>
      </c>
      <c r="S84" s="34">
        <f t="shared" si="44"/>
        <v>48.101813639100207</v>
      </c>
      <c r="T84" s="34">
        <f t="shared" si="44"/>
        <v>48.154520005662135</v>
      </c>
      <c r="U84" s="34">
        <f t="shared" si="44"/>
        <v>48.363364503224922</v>
      </c>
      <c r="V84" s="34">
        <f t="shared" si="44"/>
        <v>48.715122947689423</v>
      </c>
      <c r="W84" s="34">
        <f t="shared" si="44"/>
        <v>49.238188323079932</v>
      </c>
    </row>
    <row r="85" spans="2:23" x14ac:dyDescent="0.2">
      <c r="B85" s="105" t="s">
        <v>128</v>
      </c>
      <c r="C85" s="34"/>
      <c r="D85" s="254">
        <f>'Input data'!C67*$D$83</f>
        <v>1.4670897947637904</v>
      </c>
      <c r="E85" s="34">
        <f t="shared" ref="E85" si="45">IF(E83=0,0,IF(E79=1,E38*D83*D90*E42/((1+E23/100)*(1+E41/100)),IF(AND(E79=0,E80=1),(E38*D83*D90*E42/((1+E23/100)*(1+E41/100)))*(1-ABS(E83-D83*E42/((1+E23/100)*(1+E41/100)))/((E38*D83*D90*E42/((1+E23/100)*(1+E41/100)))+(D89*D83*E42/((1+E23/100)*(1+E41/100))))),0)))</f>
        <v>3.8289375982734368</v>
      </c>
      <c r="F85" s="34">
        <f t="shared" ref="F85" si="46">IF(F83=0,0,IF(F79=1,F38*E83*E90*F42/((1+F23/100)*(1+F41/100)),IF(AND(F79=0,F80=1),(F38*E83*E90*F42/((1+F23/100)*(1+F41/100)))*(1-ABS(F83-E83*F42/((1+F23/100)*(1+F41/100)))/((F38*E83*E90*F42/((1+F23/100)*(1+F41/100)))+(E89*E83*F42/((1+F23/100)*(1+F41/100))))),0)))</f>
        <v>3.6414445364952521</v>
      </c>
      <c r="G85" s="34">
        <f t="shared" ref="G85" si="47">IF(G83=0,0,IF(G79=1,G38*F83*F90*G42/((1+G23/100)*(1+G41/100)),IF(AND(G79=0,G80=1),(G38*F83*F90*G42/((1+G23/100)*(1+G41/100)))*(1-ABS(G83-F83*G42/((1+G23/100)*(1+G41/100)))/((G38*F83*F90*G42/((1+G23/100)*(1+G41/100)))+(F89*F83*G42/((1+G23/100)*(1+G41/100))))),0)))</f>
        <v>3.7434019124227125</v>
      </c>
      <c r="H85" s="34">
        <f t="shared" ref="H85:W85" si="48">IF(H83=0,0,IF(H79=1,H38*G83*G90*H42/((1+H23/100)*(1+H41/100)),IF(AND(H79=0,H80=1),(H38*G83*G90*H42/((1+H23/100)*(1+H41/100)))*(1-ABS(H83-G83*H42/((1+H23/100)*(1+H41/100)))/((H38*G83*G90*H42/((1+H23/100)*(1+H41/100)))+(G89*G83*H42/((1+H23/100)*(1+H41/100))))),0)))</f>
        <v>3.7539399899390373</v>
      </c>
      <c r="I85" s="34">
        <f t="shared" si="48"/>
        <v>3.7369594334782299</v>
      </c>
      <c r="J85" s="34">
        <f t="shared" si="48"/>
        <v>3.6477036313138331</v>
      </c>
      <c r="K85" s="34">
        <f t="shared" si="48"/>
        <v>3.4549598626342619</v>
      </c>
      <c r="L85" s="34">
        <f t="shared" si="48"/>
        <v>3.2689335021394443</v>
      </c>
      <c r="M85" s="34">
        <f t="shared" si="48"/>
        <v>3.0826362000780723</v>
      </c>
      <c r="N85" s="34">
        <f t="shared" si="48"/>
        <v>2.9209359825643757</v>
      </c>
      <c r="O85" s="34">
        <f t="shared" si="48"/>
        <v>2.7743236735517876</v>
      </c>
      <c r="P85" s="34">
        <f t="shared" si="48"/>
        <v>2.7465317739516899</v>
      </c>
      <c r="Q85" s="34">
        <f t="shared" si="48"/>
        <v>2.7264970025592126</v>
      </c>
      <c r="R85" s="34">
        <f t="shared" si="48"/>
        <v>2.713614071383823</v>
      </c>
      <c r="S85" s="34">
        <f t="shared" si="48"/>
        <v>2.7077342992002373</v>
      </c>
      <c r="T85" s="34">
        <f t="shared" si="48"/>
        <v>2.7107012317487005</v>
      </c>
      <c r="U85" s="34">
        <f t="shared" si="48"/>
        <v>2.7224574497884779</v>
      </c>
      <c r="V85" s="34">
        <f t="shared" si="48"/>
        <v>2.7422585411206271</v>
      </c>
      <c r="W85" s="34">
        <f t="shared" si="48"/>
        <v>2.7717027959317937</v>
      </c>
    </row>
    <row r="86" spans="2:23" x14ac:dyDescent="0.2">
      <c r="B86" s="105" t="s">
        <v>129</v>
      </c>
      <c r="C86" s="34"/>
      <c r="D86" s="254">
        <f>'Input data'!C68*$D$83</f>
        <v>2.0088707189722039</v>
      </c>
      <c r="E86" s="34">
        <f t="shared" ref="E86" si="49">IF(E83=0,0,IF(E79=1,(1-D90)*D83*E42/((1+E23/100)*(1+E41/100)),IF(AND(E79=0,E80=1),(D89*D83*E42/((1+E23/100)*(1+E41/100)))*(1-ABS(E83-D83*E42/((1+E23/100)*(1+E41/100)))/((E38*D83*D90*E42/((1+E23/100)*(1+E41/100)))+(D89*D83*E42/((1+E23/100)*(1+E41/100))))),0)))</f>
        <v>1.8581502566395298</v>
      </c>
      <c r="F86" s="34">
        <f t="shared" ref="F86" si="50">IF(F83=0,0,IF(F79=1,(1-E90)*E83*F42/((1+F23/100)*(1+F41/100)),IF(AND(F79=0,F80=1),(E89*E83*F42/((1+F23/100)*(1+F41/100)))*(1-ABS(F83-E83*F42/((1+F23/100)*(1+F41/100)))/((F38*E83*E90*F42/((1+F23/100)*(1+F41/100)))+(E89*E83*F42/((1+F23/100)*(1+F41/100))))),0)))</f>
        <v>1.8451657155057619</v>
      </c>
      <c r="G86" s="34">
        <f t="shared" ref="G86" si="51">IF(G83=0,0,IF(G79=1,(1-F90)*F83*G42/((1+G23/100)*(1+G41/100)),IF(AND(G79=0,G80=1),(F89*F83*G42/((1+G23/100)*(1+G41/100)))*(1-ABS(G83-F83*G42/((1+G23/100)*(1+G41/100)))/((G38*F83*F90*G42/((1+G23/100)*(1+G41/100)))+(F89*F83*G42/((1+G23/100)*(1+G41/100))))),0)))</f>
        <v>1.8972380119201142</v>
      </c>
      <c r="H86" s="34">
        <f t="shared" ref="H86:W86" si="52">IF(H83=0,0,IF(H79=1,(1-G90)*G83*H42/((1+H23/100)*(1+H41/100)),IF(AND(H79=0,H80=1),(G89*G83*H42/((1+H23/100)*(1+H41/100)))*(1-ABS(H83-G83*H42/((1+H23/100)*(1+H41/100)))/((H38*G83*G90*H42/((1+H23/100)*(1+H41/100)))+(G89*G83*H42/((1+H23/100)*(1+H41/100))))),0)))</f>
        <v>1.9257539015442364</v>
      </c>
      <c r="I86" s="34">
        <f t="shared" si="52"/>
        <v>1.9474016318581715</v>
      </c>
      <c r="J86" s="34">
        <f t="shared" si="52"/>
        <v>1.9420495914242122</v>
      </c>
      <c r="K86" s="34">
        <f t="shared" si="52"/>
        <v>1.8894867315460735</v>
      </c>
      <c r="L86" s="34">
        <f t="shared" si="52"/>
        <v>1.8388721574816655</v>
      </c>
      <c r="M86" s="34">
        <f t="shared" si="52"/>
        <v>1.7869999806280152</v>
      </c>
      <c r="N86" s="34">
        <f t="shared" si="52"/>
        <v>1.7480991183680088</v>
      </c>
      <c r="O86" s="34">
        <f t="shared" si="52"/>
        <v>1.7156776271892102</v>
      </c>
      <c r="P86" s="34">
        <f t="shared" si="52"/>
        <v>1.6883693985111883</v>
      </c>
      <c r="Q86" s="34">
        <f t="shared" si="52"/>
        <v>1.6654437965046336</v>
      </c>
      <c r="R86" s="34">
        <f t="shared" si="52"/>
        <v>1.6465799018110381</v>
      </c>
      <c r="S86" s="34">
        <f t="shared" si="52"/>
        <v>1.6317549825801041</v>
      </c>
      <c r="T86" s="34">
        <f t="shared" si="52"/>
        <v>1.6220310070914272</v>
      </c>
      <c r="U86" s="34">
        <f t="shared" si="52"/>
        <v>1.6173158014848259</v>
      </c>
      <c r="V86" s="34">
        <f t="shared" si="52"/>
        <v>1.6172123792312414</v>
      </c>
      <c r="W86" s="34">
        <f t="shared" si="52"/>
        <v>1.6223898484862898</v>
      </c>
    </row>
    <row r="87" spans="2:23" x14ac:dyDescent="0.2">
      <c r="B87" s="105" t="s">
        <v>130</v>
      </c>
      <c r="C87" s="34"/>
      <c r="D87" s="254">
        <f>'Input data'!C69*$D$83</f>
        <v>1.8798137370264267</v>
      </c>
      <c r="E87" s="34">
        <f>IF(E83=0,0,IF(E79=1,'Input data'!$C$58*(E83-D83*E42/((1+E23/100)*(1+E41/100))),0))</f>
        <v>4.3246051694965022</v>
      </c>
      <c r="F87" s="34">
        <f>IF(F83=0,0,IF(F79=1,'Input data'!$C$58*(F83-E83*F42/((1+F23/100)*(1+F41/100))),0))</f>
        <v>5.8993464076770348</v>
      </c>
      <c r="G87" s="34">
        <f>IF(G83=0,0,IF(G79=1,'Input data'!$C$58*(G83-F83*G42/((1+G23/100)*(1+G41/100))),0))</f>
        <v>4.0788527772753822</v>
      </c>
      <c r="H87" s="34">
        <f>IF(H83=0,0,IF(H79=1,'Input data'!$C$58*(H83-G83*H42/((1+H23/100)*(1+H41/100))),0))</f>
        <v>3.7750571133500919</v>
      </c>
      <c r="I87" s="34">
        <f>IF(I83=0,0,IF(I79=1,'Input data'!$C$58*(I83-H83*I42/((1+I23/100)*(1+I41/100))),0))</f>
        <v>2.786298817662785</v>
      </c>
      <c r="J87" s="34">
        <f>IF(J83=0,0,IF(J79=1,'Input data'!$C$58*(J83-I83*J42/((1+J23/100)*(1+J41/100))),0))</f>
        <v>1.6978227314621772</v>
      </c>
      <c r="K87" s="34">
        <f>IF(K83=0,0,IF(K79=1,'Input data'!$C$58*(K83-J83*K42/((1+K23/100)*(1+K41/100))),0))</f>
        <v>1.6448287301060105</v>
      </c>
      <c r="L87" s="34">
        <f>IF(L83=0,0,IF(L79=1,'Input data'!$C$58*(L83-K83*L42/((1+L23/100)*(1+L41/100))),0))</f>
        <v>1.4694736355630857</v>
      </c>
      <c r="M87" s="34">
        <f>IF(M83=0,0,IF(M79=1,'Input data'!$C$58*(M83-L83*M42/((1+M23/100)*(1+M41/100))),0))</f>
        <v>1.3306641789106814</v>
      </c>
      <c r="N87" s="34">
        <f>IF(N83=0,0,IF(N79=1,'Input data'!$C$58*(N83-M83*N42/((1+N23/100)*(1+N41/100))),0))</f>
        <v>1.473598950180927</v>
      </c>
      <c r="O87" s="34">
        <f>IF(O83=0,0,IF(O79=1,'Input data'!$C$58*(O83-N83*O42/((1+O23/100)*(1+O41/100))),0))</f>
        <v>1.6261415254195388</v>
      </c>
      <c r="P87" s="34">
        <f>IF(P83=0,0,IF(P79=1,'Input data'!$C$58*(P83-O83*P42/((1+P23/100)*(1+P41/100))),0))</f>
        <v>1.7579031486366246</v>
      </c>
      <c r="Q87" s="34">
        <f>IF(Q83=0,0,IF(Q79=1,'Input data'!$C$58*(Q83-P83*Q42/((1+Q23/100)*(1+Q41/100))),0))</f>
        <v>1.883871299259519</v>
      </c>
      <c r="R87" s="34">
        <f>IF(R83=0,0,IF(R79=1,'Input data'!$C$58*(R83-Q83*R42/((1+R23/100)*(1+R41/100))),0))</f>
        <v>1.9994738738206157</v>
      </c>
      <c r="S87" s="34">
        <f>IF(S83=0,0,IF(S79=1,'Input data'!$C$58*(S83-R83*S42/((1+S23/100)*(1+S41/100))),0))</f>
        <v>2.1232280837531099</v>
      </c>
      <c r="T87" s="34">
        <f>IF(T83=0,0,IF(T79=1,'Input data'!$C$58*(T83-S83*T42/((1+T23/100)*(1+T41/100))),0))</f>
        <v>2.25592827100491</v>
      </c>
      <c r="U87" s="34">
        <f>IF(U83=0,0,IF(U79=1,'Input data'!$C$58*(U83-T83*U42/((1+U23/100)*(1+U41/100))),0))</f>
        <v>2.3774018842254101</v>
      </c>
      <c r="V87" s="34">
        <f>IF(V83=0,0,IF(V79=1,'Input data'!$C$58*(V83-U83*V42/((1+V23/100)*(1+V41/100))),0))</f>
        <v>2.5539838575642304</v>
      </c>
      <c r="W87" s="34">
        <f>IF(W83=0,0,IF(W79=1,'Input data'!$C$58*(W83-V83*W42/((1+W23/100)*(1+W41/100))),0))</f>
        <v>2.7252716348419499</v>
      </c>
    </row>
    <row r="88" spans="2:23" x14ac:dyDescent="0.2">
      <c r="B88" s="107" t="s">
        <v>131</v>
      </c>
      <c r="C88" s="49"/>
      <c r="D88" s="255">
        <f>'Input data'!C70*$D$83</f>
        <v>7.0213790177552735E-2</v>
      </c>
      <c r="E88" s="49">
        <f>IF(E83=0,0,IF(E79=1,'Input data'!$C$57*(E83-D83*E42/((1+E23/100)*(1+E41/100))),0))</f>
        <v>0.11448456824533579</v>
      </c>
      <c r="F88" s="49">
        <f>IF(F83=0,0,IF(F79=1,'Input data'!$C$57*(F83-E83*F42/((1+F23/100)*(1+F41/100))),0))</f>
        <v>0.15617243654435403</v>
      </c>
      <c r="G88" s="49">
        <f>IF(G83=0,0,IF(G79=1,'Input data'!$C$57*(G83-F83*G42/((1+G23/100)*(1+G41/100))),0))</f>
        <v>0.10797880519507125</v>
      </c>
      <c r="H88" s="49">
        <f>IF(H83=0,0,IF(H79=1,'Input data'!$C$57*(H83-G83*H42/((1+H23/100)*(1+H41/100))),0))</f>
        <v>9.9936472067272367E-2</v>
      </c>
      <c r="I88" s="49">
        <f>IF(I83=0,0,IF(I79=1,'Input data'!$C$57*(I83-H83*I42/((1+I23/100)*(1+I41/100))),0))</f>
        <v>7.376123475793564E-2</v>
      </c>
      <c r="J88" s="49">
        <f>IF(J83=0,0,IF(J79=1,'Input data'!$C$57*(J83-I83*J42/((1+J23/100)*(1+J41/100))),0))</f>
        <v>4.4946184622721139E-2</v>
      </c>
      <c r="K88" s="49">
        <f>IF(K83=0,0,IF(K79=1,'Input data'!$C$57*(K83-J83*K42/((1+K23/100)*(1+K41/100))),0))</f>
        <v>4.3543283056666764E-2</v>
      </c>
      <c r="L88" s="49">
        <f>IF(L83=0,0,IF(L79=1,'Input data'!$C$57*(L83-K83*L42/((1+L23/100)*(1+L41/100))),0))</f>
        <v>3.8901136201280176E-2</v>
      </c>
      <c r="M88" s="49">
        <f>IF(M83=0,0,IF(M79=1,'Input data'!$C$57*(M83-L83*M42/((1+M23/100)*(1+M41/100))),0))</f>
        <v>3.5226456065088604E-2</v>
      </c>
      <c r="N88" s="49">
        <f>IF(N83=0,0,IF(N79=1,'Input data'!$C$57*(N83-M83*N42/((1+N23/100)*(1+N41/100))),0))</f>
        <v>3.901034498321268E-2</v>
      </c>
      <c r="O88" s="49">
        <f>IF(O83=0,0,IF(O79=1,'Input data'!$C$57*(O83-N83*O42/((1+O23/100)*(1+O41/100))),0))</f>
        <v>4.3048579730838754E-2</v>
      </c>
      <c r="P88" s="49">
        <f>IF(P83=0,0,IF(P79=1,'Input data'!$C$57*(P83-O83*P42/((1+P23/100)*(1+P41/100))),0))</f>
        <v>4.6536683720472774E-2</v>
      </c>
      <c r="Q88" s="49">
        <f>IF(Q83=0,0,IF(Q79=1,'Input data'!$C$57*(Q83-P83*Q42/((1+Q23/100)*(1+Q41/100))),0))</f>
        <v>4.9871418053781758E-2</v>
      </c>
      <c r="R88" s="49">
        <f>IF(R83=0,0,IF(R79=1,'Input data'!$C$57*(R83-Q83*R42/((1+R23/100)*(1+R41/100))),0))</f>
        <v>5.2931746180387887E-2</v>
      </c>
      <c r="S88" s="49">
        <f>IF(S83=0,0,IF(S79=1,'Input data'!$C$57*(S83-R83*S42/((1+S23/100)*(1+S41/100))),0))</f>
        <v>5.6207871222414267E-2</v>
      </c>
      <c r="T88" s="49">
        <f>IF(T83=0,0,IF(T79=1,'Input data'!$C$57*(T83-S83*T42/((1+T23/100)*(1+T41/100))),0))</f>
        <v>5.9720821664862707E-2</v>
      </c>
      <c r="U88" s="49">
        <f>IF(U83=0,0,IF(U79=1,'Input data'!$C$57*(U83-T83*U42/((1+U23/100)*(1+U41/100))),0))</f>
        <v>6.2936572841604005E-2</v>
      </c>
      <c r="V88" s="49">
        <f>IF(V83=0,0,IF(V79=1,'Input data'!$C$57*(V83-U83*V42/((1+V23/100)*(1+V41/100))),0))</f>
        <v>6.761119865951605E-2</v>
      </c>
      <c r="W88" s="49">
        <f>IF(W83=0,0,IF(W79=1,'Input data'!$C$57*(W83-V83*W42/((1+W23/100)*(1+W41/100))),0))</f>
        <v>7.2145672087439647E-2</v>
      </c>
    </row>
    <row r="89" spans="2:23" x14ac:dyDescent="0.2">
      <c r="B89" s="26" t="s">
        <v>73</v>
      </c>
      <c r="C89" s="36"/>
      <c r="D89" s="260">
        <f>'Baseline NFPC'!$D$93</f>
        <v>3.6006564388469831E-2</v>
      </c>
      <c r="E89" s="36">
        <f t="shared" ref="E89:G89" si="53">IF(E83&lt;&gt;0,(E86+E88)/(E84+E85+E86+E87+E88),0)</f>
        <v>3.5197360519160226E-2</v>
      </c>
      <c r="F89" s="36">
        <f t="shared" si="53"/>
        <v>3.4223234573711389E-2</v>
      </c>
      <c r="G89" s="36">
        <f t="shared" si="53"/>
        <v>3.3631054661988333E-2</v>
      </c>
      <c r="H89" s="36">
        <f t="shared" ref="H89" si="54">IF(H83&lt;&gt;0,(H86+H88)/(H84+H85+H86+H87+H88),0)</f>
        <v>3.3134071503924341E-2</v>
      </c>
      <c r="I89" s="36">
        <f t="shared" ref="I89:W89" si="55">IF(I83&lt;&gt;0,(I86+I88)/(I84+I85+I86+I87+I88),0)</f>
        <v>3.2793279283509863E-2</v>
      </c>
      <c r="J89" s="36">
        <f t="shared" si="55"/>
        <v>3.2593079546548026E-2</v>
      </c>
      <c r="K89" s="36">
        <f t="shared" si="55"/>
        <v>3.2400557180227912E-2</v>
      </c>
      <c r="L89" s="36">
        <f t="shared" si="55"/>
        <v>3.222941775929742E-2</v>
      </c>
      <c r="M89" s="36">
        <f t="shared" si="55"/>
        <v>3.2074602159667488E-2</v>
      </c>
      <c r="N89" s="36">
        <f t="shared" si="55"/>
        <v>3.1904893583222724E-2</v>
      </c>
      <c r="O89" s="36">
        <f t="shared" si="55"/>
        <v>3.1720802171110361E-2</v>
      </c>
      <c r="P89" s="36">
        <f t="shared" si="55"/>
        <v>3.1526335115520894E-2</v>
      </c>
      <c r="Q89" s="36">
        <f t="shared" si="55"/>
        <v>3.1323774140417843E-2</v>
      </c>
      <c r="R89" s="36">
        <f t="shared" si="55"/>
        <v>3.1115836024172967E-2</v>
      </c>
      <c r="S89" s="36">
        <f t="shared" si="55"/>
        <v>3.0903332480341932E-2</v>
      </c>
      <c r="T89" s="36">
        <f t="shared" si="55"/>
        <v>3.0687277274051572E-2</v>
      </c>
      <c r="U89" s="36">
        <f t="shared" si="55"/>
        <v>3.0470555898215766E-2</v>
      </c>
      <c r="V89" s="36">
        <f t="shared" si="55"/>
        <v>3.0250248902698871E-2</v>
      </c>
      <c r="W89" s="36">
        <f t="shared" si="55"/>
        <v>3.0029143737981892E-2</v>
      </c>
    </row>
    <row r="90" spans="2:23" x14ac:dyDescent="0.2">
      <c r="B90" s="35" t="s">
        <v>74</v>
      </c>
      <c r="C90" s="108"/>
      <c r="D90" s="261">
        <f>'Baseline NFPC'!$D$94</f>
        <v>0.96399343561153017</v>
      </c>
      <c r="E90" s="108">
        <f t="shared" ref="E90:G90" si="56">IF(E83&lt;&gt;0,(E84+E85+E87)/(E84+E85+E86+E87+E88),1)</f>
        <v>0.96480263948083966</v>
      </c>
      <c r="F90" s="108">
        <f t="shared" si="56"/>
        <v>0.96577676542628854</v>
      </c>
      <c r="G90" s="108">
        <f t="shared" si="56"/>
        <v>0.96636894533801154</v>
      </c>
      <c r="H90" s="108">
        <f t="shared" ref="H90" si="57">IF(H83&lt;&gt;0,(H84+H85+H87)/(H84+H85+H86+H87+H88),1)</f>
        <v>0.96686592849607578</v>
      </c>
      <c r="I90" s="108">
        <f t="shared" ref="I90:W90" si="58">IF(I83&lt;&gt;0,(I84+I85+I87)/(I84+I85+I86+I87+I88),1)</f>
        <v>0.96720672071649005</v>
      </c>
      <c r="J90" s="108">
        <f t="shared" si="58"/>
        <v>0.96740692045345189</v>
      </c>
      <c r="K90" s="108">
        <f t="shared" si="58"/>
        <v>0.96759944281977217</v>
      </c>
      <c r="L90" s="108">
        <f t="shared" si="58"/>
        <v>0.96777058224070256</v>
      </c>
      <c r="M90" s="108">
        <f t="shared" si="58"/>
        <v>0.96792539784033249</v>
      </c>
      <c r="N90" s="108">
        <f t="shared" si="58"/>
        <v>0.96809510641677732</v>
      </c>
      <c r="O90" s="108">
        <f t="shared" si="58"/>
        <v>0.96827919782888972</v>
      </c>
      <c r="P90" s="108">
        <f t="shared" si="58"/>
        <v>0.96847366488447917</v>
      </c>
      <c r="Q90" s="108">
        <f t="shared" si="58"/>
        <v>0.96867622585958213</v>
      </c>
      <c r="R90" s="108">
        <f t="shared" si="58"/>
        <v>0.968884163975827</v>
      </c>
      <c r="S90" s="108">
        <f t="shared" si="58"/>
        <v>0.96909666751965806</v>
      </c>
      <c r="T90" s="108">
        <f t="shared" si="58"/>
        <v>0.96931272272594837</v>
      </c>
      <c r="U90" s="108">
        <f t="shared" si="58"/>
        <v>0.96952944410178443</v>
      </c>
      <c r="V90" s="108">
        <f t="shared" si="58"/>
        <v>0.96974975109730122</v>
      </c>
      <c r="W90" s="108">
        <f t="shared" si="58"/>
        <v>0.96997085626201807</v>
      </c>
    </row>
    <row r="92" spans="2:23" x14ac:dyDescent="0.2">
      <c r="B92" s="113" t="s">
        <v>132</v>
      </c>
      <c r="C92" s="113"/>
      <c r="D92" s="113"/>
      <c r="E92" s="115">
        <f t="shared" ref="E92:G92" si="59">E94+E95</f>
        <v>2.2416550000000002</v>
      </c>
      <c r="F92" s="115">
        <f t="shared" si="59"/>
        <v>2.5392969999999999</v>
      </c>
      <c r="G92" s="115">
        <f t="shared" si="59"/>
        <v>2.7068880000000002</v>
      </c>
      <c r="H92" s="115">
        <f t="shared" ref="H92:W92" si="60">H94+H95</f>
        <v>2.8542031799392458</v>
      </c>
      <c r="I92" s="115">
        <f t="shared" si="60"/>
        <v>2.979782618905352</v>
      </c>
      <c r="J92" s="115">
        <f>J94+J95</f>
        <v>3.0791222957454929</v>
      </c>
      <c r="K92" s="115">
        <f t="shared" si="60"/>
        <v>3.2769208683984798</v>
      </c>
      <c r="L92" s="115">
        <f t="shared" si="60"/>
        <v>3.3095062769455796</v>
      </c>
      <c r="M92" s="115">
        <f t="shared" si="60"/>
        <v>3.3700075764211603</v>
      </c>
      <c r="N92" s="115">
        <f t="shared" si="60"/>
        <v>3.426729666415866</v>
      </c>
      <c r="O92" s="115">
        <f t="shared" si="60"/>
        <v>3.4832796689635002</v>
      </c>
      <c r="P92" s="115">
        <f t="shared" si="60"/>
        <v>3.5343782282805249</v>
      </c>
      <c r="Q92" s="115">
        <f t="shared" si="60"/>
        <v>3.582026882750954</v>
      </c>
      <c r="R92" s="115">
        <f t="shared" si="60"/>
        <v>3.6261390199960686</v>
      </c>
      <c r="S92" s="115">
        <f t="shared" si="60"/>
        <v>3.6666428431752371</v>
      </c>
      <c r="T92" s="115">
        <f t="shared" si="60"/>
        <v>3.7036626225112061</v>
      </c>
      <c r="U92" s="115">
        <f t="shared" si="60"/>
        <v>3.7373149712958895</v>
      </c>
      <c r="V92" s="115">
        <f t="shared" si="60"/>
        <v>3.7676040199584975</v>
      </c>
      <c r="W92" s="115">
        <f t="shared" si="60"/>
        <v>3.7949214910300517</v>
      </c>
    </row>
    <row r="93" spans="2:23" x14ac:dyDescent="0.2">
      <c r="B93" s="33" t="s">
        <v>133</v>
      </c>
      <c r="C93" s="97"/>
      <c r="D93" s="97"/>
      <c r="E93" s="266">
        <f>((E35*D83)-(E37*(D86+D88)))/(D84+D85+D87)</f>
        <v>2.1972686505760572</v>
      </c>
      <c r="F93" s="266">
        <f t="shared" ref="F93:G93" si="61">((F35*E83)-(F37*(E86+E88)))/(E84+E85+E87)</f>
        <v>2.5019068017450858</v>
      </c>
      <c r="G93" s="266">
        <f t="shared" si="61"/>
        <v>2.7030082221694394</v>
      </c>
      <c r="H93" s="34">
        <f t="shared" ref="H93:W93" si="62">IF(G83&gt;0,(G93*G84+H36*(G87+G85))/(G84+G85+G87),H36)</f>
        <v>2.855912412284241</v>
      </c>
      <c r="I93" s="34">
        <f t="shared" si="62"/>
        <v>2.9861560332112154</v>
      </c>
      <c r="J93" s="34">
        <f t="shared" si="62"/>
        <v>3.0891787016818633</v>
      </c>
      <c r="K93" s="34">
        <f t="shared" si="62"/>
        <v>3.2602669268264886</v>
      </c>
      <c r="L93" s="34">
        <f t="shared" si="62"/>
        <v>3.3279085517286027</v>
      </c>
      <c r="M93" s="34">
        <f t="shared" si="62"/>
        <v>3.3907001152262422</v>
      </c>
      <c r="N93" s="34">
        <f t="shared" si="62"/>
        <v>3.4495731176517848</v>
      </c>
      <c r="O93" s="34">
        <f t="shared" si="62"/>
        <v>3.5082338864267122</v>
      </c>
      <c r="P93" s="34">
        <f t="shared" si="62"/>
        <v>3.5620470648196312</v>
      </c>
      <c r="Q93" s="34">
        <f t="shared" si="62"/>
        <v>3.6122534647749838</v>
      </c>
      <c r="R93" s="34">
        <f t="shared" si="62"/>
        <v>3.6587655191800024</v>
      </c>
      <c r="S93" s="34">
        <f t="shared" si="62"/>
        <v>3.7015125095112347</v>
      </c>
      <c r="T93" s="34">
        <f t="shared" si="62"/>
        <v>3.7406247782463868</v>
      </c>
      <c r="U93" s="34">
        <f t="shared" si="62"/>
        <v>3.7762252813981947</v>
      </c>
      <c r="V93" s="34">
        <f t="shared" si="62"/>
        <v>3.8083238139578879</v>
      </c>
      <c r="W93" s="34">
        <f t="shared" si="62"/>
        <v>3.8373223061707407</v>
      </c>
    </row>
    <row r="94" spans="2:23" x14ac:dyDescent="0.2">
      <c r="B94" s="26" t="s">
        <v>134</v>
      </c>
      <c r="C94" s="97"/>
      <c r="D94" s="97"/>
      <c r="E94" s="34">
        <f t="shared" ref="E94" si="63">(E93*(D84+D85+D87)+E37*(D86+D88))/D83</f>
        <v>2.2416550000000002</v>
      </c>
      <c r="F94" s="34">
        <f t="shared" ref="F94" si="64">(F93*(E84+E85+E87)+F37*(E86+E88))/E83</f>
        <v>2.5392969999999999</v>
      </c>
      <c r="G94" s="34">
        <f t="shared" ref="G94" si="65">(G93*(F84+F85+F87)+G37*(F86+F88))/F83</f>
        <v>2.7068880000000002</v>
      </c>
      <c r="H94" s="34">
        <f t="shared" ref="H94:W94" si="66">(H93*(G84+G85+G87)+H37*(G86+G88))/G83</f>
        <v>2.8542031799392458</v>
      </c>
      <c r="I94" s="34">
        <f t="shared" si="66"/>
        <v>2.979782618905352</v>
      </c>
      <c r="J94" s="34">
        <f>(J93*(I84+I85+I87)+J37*(I86+I88))/I83</f>
        <v>3.0791222957454929</v>
      </c>
      <c r="K94" s="34">
        <f>(K93*(J84+J85+J87)+K37*(J86+J88))/J83</f>
        <v>3.2769208683984798</v>
      </c>
      <c r="L94" s="34">
        <f t="shared" si="66"/>
        <v>3.3095062769455796</v>
      </c>
      <c r="M94" s="34">
        <f t="shared" si="66"/>
        <v>3.3700075764211603</v>
      </c>
      <c r="N94" s="34">
        <f t="shared" si="66"/>
        <v>3.426729666415866</v>
      </c>
      <c r="O94" s="34">
        <f t="shared" si="66"/>
        <v>3.4832796689635002</v>
      </c>
      <c r="P94" s="34">
        <f t="shared" si="66"/>
        <v>3.5343782282805249</v>
      </c>
      <c r="Q94" s="34">
        <f t="shared" si="66"/>
        <v>3.582026882750954</v>
      </c>
      <c r="R94" s="34">
        <f t="shared" si="66"/>
        <v>3.6261390199960686</v>
      </c>
      <c r="S94" s="34">
        <f t="shared" si="66"/>
        <v>3.6666428431752371</v>
      </c>
      <c r="T94" s="34">
        <f t="shared" si="66"/>
        <v>3.7036626225112061</v>
      </c>
      <c r="U94" s="97">
        <f t="shared" si="66"/>
        <v>3.7373149712958895</v>
      </c>
      <c r="V94" s="97">
        <f t="shared" si="66"/>
        <v>3.7676040199584975</v>
      </c>
      <c r="W94" s="97">
        <f t="shared" si="66"/>
        <v>3.7949214910300517</v>
      </c>
    </row>
    <row r="95" spans="2:23" x14ac:dyDescent="0.2">
      <c r="B95" s="35" t="s">
        <v>135</v>
      </c>
      <c r="C95" s="35"/>
      <c r="D95" s="35"/>
      <c r="E95" s="49">
        <f>IF('Criteria results'!$F$5=4,E104,E109)</f>
        <v>0</v>
      </c>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3" t="s">
        <v>186</v>
      </c>
      <c r="C97" s="115">
        <f t="shared" ref="C97:T97" si="67">((1+C92/100)/((1+C23/100)*(1+C41/100))-1)*100</f>
        <v>-6.7782815538576351</v>
      </c>
      <c r="D97" s="115">
        <f t="shared" si="67"/>
        <v>-8.6710052529079817</v>
      </c>
      <c r="E97" s="115">
        <f>((1+E92/100)/((1+E23/100)*(1+E41/100))-1)*100</f>
        <v>-8.6231237887700161</v>
      </c>
      <c r="F97" s="115">
        <f t="shared" si="67"/>
        <v>-4.0866596646922932</v>
      </c>
      <c r="G97" s="115">
        <f t="shared" si="67"/>
        <v>-2.6354285576598135</v>
      </c>
      <c r="H97" s="115">
        <f t="shared" si="67"/>
        <v>-1.2217125981678567</v>
      </c>
      <c r="I97" s="115">
        <f t="shared" si="67"/>
        <v>-1.0001729124486047</v>
      </c>
      <c r="J97" s="115">
        <f t="shared" si="67"/>
        <v>-0.95564754067843927</v>
      </c>
      <c r="K97" s="115">
        <f t="shared" si="67"/>
        <v>-1.7912498817697742</v>
      </c>
      <c r="L97" s="115">
        <f t="shared" si="67"/>
        <v>-1.7226979091192862</v>
      </c>
      <c r="M97" s="115">
        <f t="shared" si="67"/>
        <v>-1.6269950382136633</v>
      </c>
      <c r="N97" s="115">
        <f t="shared" si="67"/>
        <v>-0.78062127467757314</v>
      </c>
      <c r="O97" s="115">
        <f t="shared" si="67"/>
        <v>-0.65300903097945673</v>
      </c>
      <c r="P97" s="115">
        <f t="shared" si="67"/>
        <v>-0.60745373173436423</v>
      </c>
      <c r="Q97" s="115">
        <f t="shared" si="67"/>
        <v>-0.56519723572048264</v>
      </c>
      <c r="R97" s="115">
        <f t="shared" si="67"/>
        <v>-0.5263193817539813</v>
      </c>
      <c r="S97" s="115">
        <f t="shared" si="67"/>
        <v>-0.4663715093546239</v>
      </c>
      <c r="T97" s="115">
        <f t="shared" si="67"/>
        <v>-0.34700352337193596</v>
      </c>
      <c r="U97" s="115">
        <f>((1+U92/100)/((1+U23/100)*(1+U41/100))-1)*100</f>
        <v>-0.2373621137901738</v>
      </c>
      <c r="V97" s="115">
        <f t="shared" ref="V97:W97" si="68">((1+V92/100)/((1+V23/100)*(1+V41/100))-1)*100</f>
        <v>-0.1255666420254764</v>
      </c>
      <c r="W97" s="115">
        <f t="shared" si="68"/>
        <v>-5.135899018282597E-2</v>
      </c>
    </row>
    <row r="98" spans="1:54" ht="15" x14ac:dyDescent="0.2">
      <c r="A98" s="224"/>
      <c r="F98" s="223"/>
      <c r="G98" s="223"/>
      <c r="H98" s="223"/>
      <c r="I98" s="223"/>
      <c r="J98" s="223"/>
      <c r="K98" s="223"/>
      <c r="L98" s="223"/>
      <c r="M98" s="223"/>
      <c r="N98" s="223"/>
      <c r="O98" s="223"/>
      <c r="P98" s="223"/>
      <c r="Q98" s="223"/>
      <c r="R98" s="223"/>
      <c r="S98" s="223"/>
      <c r="T98" s="223"/>
      <c r="U98" s="77"/>
      <c r="V98" s="77"/>
      <c r="W98" s="77"/>
    </row>
    <row r="99" spans="1:54" s="25" customFormat="1" ht="12.75" outlineLevel="1" x14ac:dyDescent="0.2">
      <c r="B99" s="25" t="s">
        <v>136</v>
      </c>
      <c r="C99" s="112"/>
      <c r="D99" s="112"/>
      <c r="E99" s="112"/>
      <c r="F99" s="112"/>
      <c r="G99" s="112"/>
      <c r="H99" s="112"/>
      <c r="I99" s="112"/>
      <c r="J99" s="112"/>
      <c r="K99" s="112"/>
      <c r="L99" s="112"/>
      <c r="M99" s="112"/>
      <c r="N99" s="112"/>
      <c r="O99" s="112"/>
      <c r="P99" s="112"/>
      <c r="Q99" s="112"/>
      <c r="R99" s="112"/>
      <c r="S99" s="112"/>
      <c r="T99" s="112"/>
      <c r="U99" s="112"/>
      <c r="V99" s="112"/>
      <c r="W99" s="112"/>
    </row>
    <row r="100" spans="1:54" s="127" customFormat="1" ht="12.75" outlineLevel="1"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row>
    <row r="101" spans="1:54" s="127" customFormat="1" ht="12.75" outlineLevel="1" x14ac:dyDescent="0.2">
      <c r="B101" s="106" t="s">
        <v>293</v>
      </c>
      <c r="C101" s="129"/>
      <c r="D101" s="129"/>
      <c r="E101" s="129"/>
      <c r="F101" s="129"/>
      <c r="G101" s="129"/>
      <c r="H101" s="129"/>
      <c r="I101" s="129"/>
      <c r="J101" s="129"/>
      <c r="K101" s="129"/>
      <c r="L101" s="129"/>
      <c r="M101" s="129"/>
      <c r="N101" s="129"/>
      <c r="O101" s="129"/>
      <c r="P101" s="129"/>
      <c r="Q101" s="129"/>
      <c r="R101" s="129"/>
      <c r="S101" s="129"/>
      <c r="T101" s="129"/>
      <c r="U101" s="129"/>
      <c r="V101" s="129"/>
      <c r="W101" s="129"/>
    </row>
    <row r="102" spans="1:54" outlineLevel="1" x14ac:dyDescent="0.2">
      <c r="B102" s="120" t="s">
        <v>43</v>
      </c>
      <c r="C102" s="34">
        <v>61.088844299316406</v>
      </c>
      <c r="D102" s="34">
        <v>57.741855621337891</v>
      </c>
      <c r="E102" s="34">
        <v>56.044967651367188</v>
      </c>
      <c r="F102" s="34">
        <v>58.478935241699219</v>
      </c>
      <c r="G102" s="34">
        <v>59.623966217041016</v>
      </c>
      <c r="H102" s="34">
        <v>61.136177062988281</v>
      </c>
      <c r="I102" s="34">
        <v>61.633457183837891</v>
      </c>
      <c r="J102" s="34">
        <v>60.963733673095703</v>
      </c>
      <c r="K102" s="34">
        <v>59.660400390625</v>
      </c>
      <c r="L102" s="34">
        <v>58.262733459472656</v>
      </c>
      <c r="M102" s="34">
        <v>56.812156677246094</v>
      </c>
      <c r="N102" s="34">
        <v>56.013671875</v>
      </c>
      <c r="O102" s="34">
        <v>55.443954467773438</v>
      </c>
      <c r="P102" s="34">
        <v>55.030391693115234</v>
      </c>
      <c r="Q102" s="34">
        <v>54.760822296142578</v>
      </c>
      <c r="R102" s="34">
        <v>54.618869781494141</v>
      </c>
      <c r="S102" s="34">
        <v>54.620742797851563</v>
      </c>
      <c r="T102" s="34">
        <v>54.802902221679688</v>
      </c>
      <c r="U102" s="34">
        <v>55.143482208251953</v>
      </c>
      <c r="V102" s="34">
        <v>55.696205139160156</v>
      </c>
      <c r="W102" s="34">
        <v>56.429718017578125</v>
      </c>
      <c r="X102" s="34"/>
      <c r="Y102" s="34"/>
      <c r="Z102" s="34"/>
    </row>
    <row r="103" spans="1:54" s="5" customFormat="1" ht="12.75" x14ac:dyDescent="0.2">
      <c r="A103" s="26"/>
      <c r="B103" s="26" t="s">
        <v>132</v>
      </c>
      <c r="C103" s="1">
        <v>1.9985023736953735</v>
      </c>
      <c r="D103" s="1">
        <v>1.8598021268844604</v>
      </c>
      <c r="E103" s="1">
        <v>2.241654634475708</v>
      </c>
      <c r="F103" s="1">
        <v>2.5392966270446777</v>
      </c>
      <c r="G103" s="1">
        <v>2.70688796043396</v>
      </c>
      <c r="H103" s="1">
        <v>2.8542029857635498</v>
      </c>
      <c r="I103" s="1">
        <v>2.9797823429107666</v>
      </c>
      <c r="J103" s="1">
        <v>3.0791223049163818</v>
      </c>
      <c r="K103" s="1">
        <v>3.2769207954406738</v>
      </c>
      <c r="L103" s="1">
        <v>3.3095064163208008</v>
      </c>
      <c r="M103" s="1">
        <v>3.3700077533721924</v>
      </c>
      <c r="N103" s="1">
        <v>3.426729679107666</v>
      </c>
      <c r="O103" s="1">
        <v>3.4832797050476074</v>
      </c>
      <c r="P103" s="1">
        <v>3.5343780517578125</v>
      </c>
      <c r="Q103" s="1">
        <v>3.5820269584655762</v>
      </c>
      <c r="R103" s="1">
        <v>3.6261391639709473</v>
      </c>
      <c r="S103" s="1">
        <v>3.6666429042816162</v>
      </c>
      <c r="T103" s="1">
        <v>3.7036628723144531</v>
      </c>
      <c r="U103" s="99">
        <v>3.7373149394989014</v>
      </c>
      <c r="V103" s="99">
        <v>3.7676041126251221</v>
      </c>
      <c r="W103" s="99">
        <v>3.794921875</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2.75" x14ac:dyDescent="0.2">
      <c r="B104" s="26" t="s">
        <v>185</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c r="C105" s="1"/>
      <c r="D105" s="1"/>
      <c r="E105" s="1"/>
      <c r="F105" s="1"/>
      <c r="G105" s="222"/>
      <c r="H105" s="222"/>
      <c r="I105" s="222"/>
      <c r="J105" s="222"/>
      <c r="K105" s="222"/>
      <c r="L105" s="222"/>
      <c r="M105" s="222"/>
      <c r="N105" s="222"/>
      <c r="O105" s="222"/>
      <c r="P105" s="222"/>
      <c r="Q105" s="222"/>
      <c r="R105" s="222"/>
      <c r="S105" s="222"/>
      <c r="T105" s="222"/>
      <c r="U105" s="222"/>
      <c r="V105" s="222"/>
      <c r="W105" s="222"/>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106" t="s">
        <v>294</v>
      </c>
      <c r="C106" s="37"/>
      <c r="D106" s="37"/>
      <c r="E106" s="37"/>
      <c r="F106" s="37"/>
      <c r="G106" s="225"/>
      <c r="H106" s="225"/>
      <c r="I106" s="225"/>
      <c r="J106" s="225"/>
      <c r="K106" s="225"/>
      <c r="L106" s="225"/>
      <c r="M106" s="225"/>
      <c r="N106" s="225"/>
      <c r="O106" s="225"/>
      <c r="P106" s="225"/>
      <c r="Q106" s="225"/>
      <c r="R106" s="225"/>
      <c r="S106" s="225"/>
      <c r="T106" s="225"/>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20" t="s">
        <v>43</v>
      </c>
      <c r="C107" s="34">
        <v>61.088844299316406</v>
      </c>
      <c r="D107" s="34">
        <v>57.741855621337891</v>
      </c>
      <c r="E107" s="34">
        <v>56.044967651367188</v>
      </c>
      <c r="F107" s="34">
        <v>58.478935241699219</v>
      </c>
      <c r="G107" s="34">
        <v>59.777347564697266</v>
      </c>
      <c r="H107" s="34">
        <v>61.914356231689453</v>
      </c>
      <c r="I107" s="34">
        <v>63.522014617919922</v>
      </c>
      <c r="J107" s="34">
        <v>64.454345703125</v>
      </c>
      <c r="K107" s="34">
        <v>64.654975891113281</v>
      </c>
      <c r="L107" s="34">
        <v>64.127777099609375</v>
      </c>
      <c r="M107" s="34">
        <v>62.870491027832031</v>
      </c>
      <c r="N107" s="34">
        <v>61.314647674560547</v>
      </c>
      <c r="O107" s="34">
        <v>59.777912139892578</v>
      </c>
      <c r="P107" s="34">
        <v>58.201652526855469</v>
      </c>
      <c r="Q107" s="34">
        <v>57.095981597900391</v>
      </c>
      <c r="R107" s="34">
        <v>56.118293762207031</v>
      </c>
      <c r="S107" s="34">
        <v>55.285301208496094</v>
      </c>
      <c r="T107" s="34">
        <v>54.633598327636719</v>
      </c>
      <c r="U107" s="34">
        <v>54.140018463134766</v>
      </c>
      <c r="V107" s="34">
        <v>53.857017517089844</v>
      </c>
      <c r="W107" s="34">
        <v>53.752593994140625</v>
      </c>
      <c r="X107" s="34"/>
      <c r="Y107" s="34"/>
      <c r="Z107" s="34"/>
    </row>
    <row r="108" spans="1:54" x14ac:dyDescent="0.2">
      <c r="B108" s="26" t="s">
        <v>132</v>
      </c>
      <c r="C108" s="1">
        <v>1.9985023736953735</v>
      </c>
      <c r="D108" s="1">
        <v>1.8598021268844604</v>
      </c>
      <c r="E108" s="1">
        <v>2.241654634475708</v>
      </c>
      <c r="F108" s="1">
        <v>2.5392966270446777</v>
      </c>
      <c r="G108" s="1">
        <v>2.70688796043396</v>
      </c>
      <c r="H108" s="1">
        <v>2.8600950241088867</v>
      </c>
      <c r="I108" s="1">
        <v>2.9957270622253418</v>
      </c>
      <c r="J108" s="1">
        <v>3.1086156368255615</v>
      </c>
      <c r="K108" s="1">
        <v>3.2034740447998047</v>
      </c>
      <c r="L108" s="1">
        <v>3.2836165428161621</v>
      </c>
      <c r="M108" s="1">
        <v>3.3512592315673828</v>
      </c>
      <c r="N108" s="1">
        <v>3.5146236419677734</v>
      </c>
      <c r="O108" s="1">
        <v>3.5318641662597656</v>
      </c>
      <c r="P108" s="1">
        <v>3.5737266540527344</v>
      </c>
      <c r="Q108" s="1">
        <v>3.6111834049224854</v>
      </c>
      <c r="R108" s="1">
        <v>3.6462609767913818</v>
      </c>
      <c r="S108" s="1">
        <v>3.6788880825042725</v>
      </c>
      <c r="T108" s="1">
        <v>3.7091553211212158</v>
      </c>
      <c r="U108" s="1">
        <v>3.7371375560760498</v>
      </c>
      <c r="V108" s="1">
        <v>3.762779712677002</v>
      </c>
      <c r="W108" s="1">
        <v>3.7864129543304443</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185</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1"/>
      <c r="H112" s="121"/>
      <c r="I112" s="121"/>
      <c r="J112" s="121"/>
      <c r="K112" s="121"/>
      <c r="L112" s="121"/>
      <c r="M112" s="121"/>
      <c r="N112" s="121"/>
      <c r="O112" s="121"/>
      <c r="P112" s="121"/>
      <c r="Q112" s="121"/>
      <c r="R112" s="121"/>
      <c r="S112" s="121"/>
      <c r="T112" s="121"/>
      <c r="U112" s="121"/>
      <c r="V112" s="121"/>
      <c r="W112" s="121"/>
    </row>
    <row r="113" spans="5:23" x14ac:dyDescent="0.2">
      <c r="E113" s="34"/>
      <c r="F113" s="34"/>
      <c r="G113" s="121"/>
      <c r="H113" s="121"/>
      <c r="I113" s="121"/>
      <c r="J113" s="121"/>
      <c r="K113" s="121"/>
      <c r="L113" s="121"/>
      <c r="M113" s="121"/>
      <c r="N113" s="121"/>
      <c r="O113" s="121"/>
      <c r="P113" s="121"/>
      <c r="Q113" s="121"/>
      <c r="R113" s="121"/>
      <c r="S113" s="121"/>
      <c r="T113" s="121"/>
      <c r="U113" s="121"/>
      <c r="V113" s="121"/>
      <c r="W113"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6" spans="5:23"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E122" s="34"/>
      <c r="F122" s="34"/>
      <c r="G122" s="121"/>
      <c r="H122" s="121"/>
      <c r="I122" s="121"/>
      <c r="J122" s="121"/>
      <c r="K122" s="121"/>
      <c r="L122" s="121"/>
      <c r="M122" s="121"/>
      <c r="N122" s="121"/>
      <c r="O122" s="121"/>
      <c r="P122" s="121"/>
      <c r="Q122" s="121"/>
      <c r="R122" s="121"/>
      <c r="S122" s="121"/>
      <c r="T122" s="121"/>
      <c r="U122" s="121"/>
      <c r="V122" s="121"/>
      <c r="W122" s="121"/>
    </row>
    <row r="123" spans="5:23" x14ac:dyDescent="0.2">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E125" s="34"/>
      <c r="F125" s="34"/>
      <c r="G125" s="121"/>
      <c r="H125" s="121"/>
      <c r="I125" s="121"/>
      <c r="J125" s="121"/>
      <c r="K125" s="121"/>
      <c r="L125" s="121"/>
      <c r="M125" s="121"/>
      <c r="N125" s="121"/>
      <c r="O125" s="121"/>
      <c r="P125" s="121"/>
      <c r="Q125" s="121"/>
      <c r="R125" s="121"/>
      <c r="S125" s="121"/>
      <c r="T125" s="121"/>
      <c r="U125" s="121"/>
      <c r="V125" s="121"/>
      <c r="W125" s="121"/>
    </row>
    <row r="126" spans="5:23" x14ac:dyDescent="0.2">
      <c r="G126" s="121"/>
      <c r="H126" s="121"/>
      <c r="I126" s="121"/>
      <c r="J126" s="121"/>
      <c r="K126" s="121"/>
      <c r="L126" s="121"/>
      <c r="M126" s="121"/>
      <c r="N126" s="121"/>
      <c r="O126" s="121"/>
      <c r="P126" s="121"/>
      <c r="Q126" s="121"/>
      <c r="R126" s="121"/>
      <c r="S126" s="121"/>
      <c r="T126" s="121"/>
      <c r="U126" s="121"/>
      <c r="V126" s="121"/>
      <c r="W126" s="121"/>
    </row>
    <row r="127" spans="5:23" x14ac:dyDescent="0.2">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K36:N36">
    <cfRule type="expression" dxfId="30" priority="8">
      <formula>K10=$C$6+1</formula>
    </cfRule>
  </conditionalFormatting>
  <conditionalFormatting sqref="K37:N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c r="K5" s="80"/>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-4.222766</v>
      </c>
      <c r="D12" s="2">
        <f>'Adjustment scenario'!D12</f>
        <v>-0.85058520000000004</v>
      </c>
      <c r="E12" s="2">
        <f>'Adjustment scenario'!E12</f>
        <v>-3.5136029999999998</v>
      </c>
      <c r="F12" s="2">
        <f>'Adjust. no safeguard'!F12</f>
        <v>-4.2628820000000003</v>
      </c>
      <c r="G12" s="3">
        <f>'Adjust. no safeguard'!G12</f>
        <v>-2.9628820000000005</v>
      </c>
      <c r="H12" s="3">
        <f>'Adjust. no safeguard'!H12</f>
        <v>-1.6628820000000004</v>
      </c>
      <c r="I12" s="3">
        <f>'Adjust. no safeguard'!I12</f>
        <v>-0.36288200000000037</v>
      </c>
      <c r="J12" s="3">
        <f>'Adjust. no safeguard'!J12</f>
        <v>0.93711799999999967</v>
      </c>
      <c r="K12" s="3">
        <f>IF(AND('Criteria results'!$F$5=4,'Criteria results'!$F$5=4),'Adjust. no safeguard'!K12-0.25,IF(AND('Criteria results'!$F$5=4,'Criteria results'!$F$5=7),'Adjust. no safeguard'!K12-0.5/3,IF(AND('Criteria results'!$F$5=7,'Criteria results'!$F$5=7),'Adjust. no safeguard'!K12,'Adjust. no safeguard'!K12)))</f>
        <v>0.68711799999999967</v>
      </c>
      <c r="L12" s="3">
        <f>IF(AND('Criteria results'!$F$5=4,'Criteria results'!$F$5=4),'Adjust. no safeguard'!L12-0.5,IF(AND('Criteria results'!$F$5=4,'Criteria results'!$F$5=7),'Adjust. no safeguard'!L12-0.5*2/3,IF(AND('Criteria results'!$F$5=7,'Criteria results'!$F$5=7),'Adjust. no safeguard'!L12,'Adjust. no safeguard'!L12)))</f>
        <v>0.43711799999999967</v>
      </c>
      <c r="M12" s="3">
        <f>IF('Criteria results'!$F$5=4,'Adjust. no safeguard'!M12-0.5,'Adjust. no safeguard'!M12)</f>
        <v>0.43711799999999967</v>
      </c>
      <c r="N12" s="3">
        <f>IF('Criteria results'!$F$5=4,'Adjust. no safeguard'!N12-0.5,IF(AND('Criteria results'!$F$5=7,'Criteria results'!$F$5=7),'Adjust. no safeguard'!N12-0.25,'Adjust. no safeguard'!N12-1/3*0.5))</f>
        <v>0.43711799999999967</v>
      </c>
      <c r="O12" s="3">
        <f>IF('Criteria results'!$F$5=4,'Adjust. no safeguard'!N12-0.5,IF(AND('Criteria results'!$F$5=7,'Criteria results'!$F$5=7),'Adjust. no safeguard'!O12-0.5,'Adjust. no safeguard'!O12-2/3*0.5))</f>
        <v>0.43711799999999967</v>
      </c>
      <c r="P12" s="3">
        <f>'Adjust. no safeguard'!P12-0.5</f>
        <v>0.43711799999999967</v>
      </c>
      <c r="Q12" s="3">
        <f>'Adjust. no safeguard'!Q12-0.5</f>
        <v>0.43711799999999967</v>
      </c>
      <c r="R12" s="3">
        <f>'Adjust. no safeguard'!R12-0.5</f>
        <v>0.43711799999999967</v>
      </c>
      <c r="S12" s="3">
        <f>'Adjust. no safeguard'!S12-0.5</f>
        <v>0.43711799999999967</v>
      </c>
      <c r="T12" s="3">
        <f>'Adjust. no safeguard'!T12-0.5</f>
        <v>0.43711799999999967</v>
      </c>
      <c r="U12" s="3">
        <f>'Adjust. no safeguard'!U12-0.5</f>
        <v>0.43711799999999967</v>
      </c>
      <c r="V12" s="3">
        <f>'Adjust. no safeguard'!V12-0.5</f>
        <v>0.43711799999999967</v>
      </c>
      <c r="W12" s="3">
        <f>'Adjust. no safeguard'!W12-0.5</f>
        <v>0.43711799999999967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1.0478270000000001</v>
      </c>
      <c r="D14" s="2">
        <f>'Input data'!D15</f>
        <v>0.27736460000000002</v>
      </c>
      <c r="E14" s="2">
        <f>'Input data'!E15</f>
        <v>-0.45438450000000002</v>
      </c>
      <c r="F14" s="2">
        <f>'Input data'!F15</f>
        <v>0.2</v>
      </c>
      <c r="G14" s="2">
        <f>'Input data'!G15</f>
        <v>-0.6</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18.962240000000001</v>
      </c>
      <c r="E17" s="101">
        <f>'Input data'!E20</f>
        <v>20.503689999999999</v>
      </c>
      <c r="F17" s="101">
        <f>'Input data'!F20</f>
        <v>20.335599999999999</v>
      </c>
      <c r="G17" s="101">
        <f>'Input data'!G20</f>
        <v>20.668779999999998</v>
      </c>
      <c r="H17" s="101">
        <f>'Input data'!H20</f>
        <v>21.016960000000001</v>
      </c>
      <c r="I17" s="101">
        <f>'Input data'!I20</f>
        <v>21.357330000000001</v>
      </c>
      <c r="J17" s="101">
        <f>'Input data'!J20</f>
        <v>21.584160000000001</v>
      </c>
      <c r="K17" s="101">
        <f>'Input data'!K20</f>
        <v>21.737720000000003</v>
      </c>
      <c r="L17" s="101">
        <f>'Input data'!L20</f>
        <v>21.863299999999999</v>
      </c>
      <c r="M17" s="101">
        <f>'Input data'!M20</f>
        <v>22.01473</v>
      </c>
      <c r="N17" s="101">
        <f>'Input data'!N20</f>
        <v>22.161089999999998</v>
      </c>
      <c r="O17" s="101">
        <f>'Input data'!O20</f>
        <v>22.310850000000002</v>
      </c>
      <c r="P17" s="101">
        <f>'Input data'!P20</f>
        <v>22.436720000000001</v>
      </c>
      <c r="Q17" s="101">
        <f>'Input data'!Q20</f>
        <v>22.553650000000001</v>
      </c>
      <c r="R17" s="101">
        <f>'Input data'!R20</f>
        <v>22.657159999999998</v>
      </c>
      <c r="S17" s="101">
        <f>'Input data'!S20</f>
        <v>22.766190000000002</v>
      </c>
      <c r="T17" s="101">
        <f>'Input data'!T20</f>
        <v>22.879989999999999</v>
      </c>
      <c r="U17" s="101">
        <f>'Input data'!U20</f>
        <v>22.977649999999997</v>
      </c>
      <c r="V17" s="101">
        <f>'Input data'!V20</f>
        <v>23.127649999999999</v>
      </c>
      <c r="W17" s="101">
        <f>'Input data'!W20</f>
        <v>23.266509999999997</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0.75515319999999997</v>
      </c>
      <c r="D18" s="101">
        <f>'Input data'!D26</f>
        <v>0.6825677</v>
      </c>
      <c r="E18" s="101">
        <f>'Input data'!E26</f>
        <v>0.68126889999999996</v>
      </c>
      <c r="F18" s="101">
        <f>'Input data'!F26</f>
        <v>0.67997019999999997</v>
      </c>
      <c r="G18" s="101">
        <f>'Input data'!G26</f>
        <v>0.67867149999999998</v>
      </c>
      <c r="H18" s="101">
        <f>'Input data'!H26</f>
        <v>0.6773728</v>
      </c>
      <c r="I18" s="101">
        <f>'Input data'!I26</f>
        <v>0.67607399999999995</v>
      </c>
      <c r="J18" s="101">
        <f>'Input data'!J26</f>
        <v>0.67477529999999997</v>
      </c>
      <c r="K18" s="101">
        <f>'Input data'!K26</f>
        <v>0.67347659999999998</v>
      </c>
      <c r="L18" s="101">
        <f>'Input data'!L26</f>
        <v>0.67217789999999999</v>
      </c>
      <c r="M18" s="101">
        <f>'Input data'!M26</f>
        <v>0.67087909999999995</v>
      </c>
      <c r="N18" s="101">
        <f>'Input data'!N26</f>
        <v>0.66958050000000002</v>
      </c>
      <c r="O18" s="101">
        <f>'Input data'!O26</f>
        <v>0.66828169999999998</v>
      </c>
      <c r="P18" s="101">
        <f>'Input data'!P26</f>
        <v>0.66698299999999999</v>
      </c>
      <c r="Q18" s="101">
        <f>'Input data'!Q26</f>
        <v>0.66568430000000001</v>
      </c>
      <c r="R18" s="101">
        <f>'Input data'!R26</f>
        <v>0.66438569999999997</v>
      </c>
      <c r="S18" s="101">
        <f>'Input data'!S26</f>
        <v>0.66308699999999998</v>
      </c>
      <c r="T18" s="101">
        <f>'Input data'!T26</f>
        <v>0.66178820000000005</v>
      </c>
      <c r="U18" s="101">
        <f>'Input data'!U26</f>
        <v>0.66048960000000001</v>
      </c>
      <c r="V18" s="101">
        <f>'Input data'!V26</f>
        <v>0.65919090000000002</v>
      </c>
      <c r="W18" s="101">
        <f>'Input data'!W26</f>
        <v>0.65789220000000004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90.819270000000003</v>
      </c>
      <c r="D22" s="100">
        <f>IF(AND(D49&gt;1,C49&gt;1),IF(AND(D49&gt;0,C49&gt;0),D26*(D50/100+1),0)+IF(D49&gt;0,C22*(1+D51/100),0)-C22*(1+'Input data'!D30/100),IF(D49=1,D26,C22*(1+D51/100)))</f>
        <v>92.517623952129895</v>
      </c>
      <c r="E22" s="100">
        <f>IF(AND(E49&gt;1,D49&gt;1),IF(AND(E49&gt;0,D49&gt;0),E26*(E50/100+1),0)+IF(E49&gt;0,D22*(1+E51/100),0)-D22*(1+'Input data'!E30/100),IF(E49=1,E26,D22*(1+E51/100)))</f>
        <v>93.99462526041863</v>
      </c>
      <c r="F22" s="100">
        <f>IF(AND(F49&gt;1,E49&gt;1),IF(AND(F49&gt;0,E49&gt;0),F26*(F50/100+1),0)+IF(F49&gt;0,E22*(1+F51/100),0)-E22*(1+'Input data'!F30/100),IF(F49=1,F26,E22*(1+F51/100)))</f>
        <v>96.088680759497848</v>
      </c>
      <c r="G22" s="34">
        <f>IF(AND(G49&gt;1,F49&gt;1),IF(AND(G49&gt;0,F49&gt;0),G26*(G50/100+1),0)+IF(G49&gt;0,F22*(1+G51/100),0)-F22*(1+'Input data'!G30/100),IF(G49=1,G26,F22*(1+G51/100)))</f>
        <v>98.246123394892152</v>
      </c>
      <c r="H22" s="34">
        <f>IF(AND(H49&gt;1,G49&gt;1),IF(AND(H49&gt;0,G49&gt;0),H26*(H50/100+1),0)+IF(H49&gt;0,G22*(1+H51/100),0)-G22*(1+'Input data'!H30/100),IF(H49=1,H26,G22*(1+H51/100)))</f>
        <v>99.230952445979725</v>
      </c>
      <c r="I22" s="34">
        <f>IF(AND(I49&gt;1,H49&gt;1),IF(AND(I49&gt;0,H49&gt;0),I26*(I50/100+1),0)+IF(I49&gt;0,H22*(1+I51/100),0)-H22*(1+'Input data'!I30/100),IF(I49=1,I26,H22*(1+I51/100)))</f>
        <v>100.19884884789428</v>
      </c>
      <c r="J22" s="34">
        <f>IF(AND(J49&gt;1,I49&gt;1),IF(AND(J49&gt;0,I49&gt;0),J26*(J50/100+1),0)+IF(J49&gt;0,I22*(1+J51/100),0)-I22*(1+'Input data'!J30/100),IF(J49=1,J26,I22*(1+J51/100)))</f>
        <v>101.30452937245487</v>
      </c>
      <c r="K22" s="34">
        <f>IF(AND(K49&gt;1,J49&gt;1),IF(AND(K49&gt;0,J49&gt;0),K26*(K50/100+1),0)+IF(K49&gt;0,J22*(1+K51/100),0)-J22*(1+'Input data'!K30/100),IF(K49=1,K26,J22*(1+K51/100)))</f>
        <v>103.76005709354789</v>
      </c>
      <c r="L22" s="34">
        <f>IF(AND(L49&gt;1,K49&gt;1),IF(AND(L49&gt;0,K49&gt;0),L26*(L50/100+1),0)+IF(L49&gt;0,K22*(1+L51/100),0)-K22*(1+'Input data'!L30/100),IF(L49=1,L26,K22*(1+L51/100)))</f>
        <v>105.98229086350366</v>
      </c>
      <c r="M22" s="34">
        <f>IF(AND(M49&gt;1,L49&gt;1),IF(AND(M49&gt;0,L49&gt;0),M26*(M50/100+1),0)+IF(M49&gt;0,L22*(1+M51/100),0)-L22*(1+'Input data'!M30/100),IF(M49=1,M26,L22*(1+M51/100)))</f>
        <v>107.87168233916505</v>
      </c>
      <c r="N22" s="34">
        <f>IF(AND(N49&gt;1,M49&gt;1),IF(AND(N49&gt;0,M49&gt;0),N26*(N50/100+1),0)+IF(N49&gt;0,M22*(1+N51/100),0)-M22*(1+'Input data'!N30/100),IF(N49=1,N26,M22*(1+N51/100)))</f>
        <v>109.82247621669021</v>
      </c>
      <c r="O22" s="34">
        <f>IF(AND(O49&gt;1,N49&gt;1),IF(AND(O49&gt;0,N49&gt;0),O26*(O50/100+1),0)+IF(O49&gt;0,N22*(1+O51/100),0)-N22*(1+'Input data'!O30/100),IF(O49=1,O26,N22*(1+O51/100)))</f>
        <v>111.80988129084724</v>
      </c>
      <c r="P22" s="34">
        <f>IF(AND(P49&gt;1,O49&gt;1),IF(AND(P49&gt;0,O49&gt;0),P26*(P50/100+1),0)+IF(P49&gt;0,O22*(1+P51/100),0)-O22*(1+'Input data'!P30/100),IF(P49=1,P26,O22*(1+P51/100)))</f>
        <v>113.60351304453876</v>
      </c>
      <c r="Q22" s="34">
        <f>IF(AND(Q49&gt;1,P49&gt;1),IF(AND(Q49&gt;0,P49&gt;0),Q26*(Q50/100+1),0)+IF(Q49&gt;0,P22*(1+Q51/100),0)-P22*(1+'Input data'!Q30/100),IF(Q49=1,Q26,P22*(1+Q51/100)))</f>
        <v>115.4609350269575</v>
      </c>
      <c r="R22" s="34">
        <f>IF(AND(R49&gt;1,Q49&gt;1),IF(AND(R49&gt;0,Q49&gt;0),R26*(R50/100+1),0)+IF(R49&gt;0,Q22*(1+R51/100),0)-Q22*(1+'Input data'!R30/100),IF(R49=1,R26,Q22*(1+R51/100)))</f>
        <v>117.38431214787033</v>
      </c>
      <c r="S22" s="34">
        <f>IF(AND(S49&gt;1,R49&gt;1),IF(AND(S49&gt;0,R49&gt;0),S26*(S50/100+1),0)+IF(S49&gt;0,R22*(1+S51/100),0)-R22*(1+'Input data'!S30/100),IF(S49=1,S26,R22*(1+S51/100)))</f>
        <v>119.34650009283227</v>
      </c>
      <c r="T22" s="34">
        <f>IF(AND(T49&gt;1,S49&gt;1),IF(AND(T49&gt;0,S49&gt;0),T26*(T50/100+1),0)+IF(T49&gt;0,S22*(1+T51/100),0)-S22*(1+'Input data'!T30/100),IF(T49=1,T26,S22*(1+T51/100)))</f>
        <v>121.27197565861499</v>
      </c>
      <c r="U22" s="34">
        <f>IF(AND(U49&gt;1,T49&gt;1),IF(AND(U49&gt;0,T49&gt;0),U26*(U50/100+1),0)+IF(U49&gt;0,T22*(1+U51/100),0)-T22*(1+'Input data'!U30/100),IF(U49=1,U26,T22*(1+U51/100)))</f>
        <v>123.16610203019103</v>
      </c>
      <c r="V22" s="34">
        <f>IF(AND(V49&gt;1,U49&gt;1),IF(AND(V49&gt;0,U49&gt;0),V26*(V50/100+1),0)+IF(V49&gt;0,U22*(1+V51/100),0)-U22*(1+'Input data'!V30/100),IF(V49=1,V26,U22*(1+V51/100)))</f>
        <v>125.01985409361009</v>
      </c>
      <c r="W22" s="34">
        <f>IF(AND(W49&gt;1,V49&gt;1),IF(AND(W49&gt;0,V49&gt;0),W26*(W50/100+1),0)+IF(W49&gt;0,V22*(1+W51/100),0)-V22*(1+'Input data'!W30/100),IF(W49=1,W26,V22*(1+W51/100)))</f>
        <v>126.87475741621594</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4.7712199999999996</v>
      </c>
      <c r="D23" s="100">
        <f t="shared" ref="D23:T23" si="0">100*(D22/C22-1)</f>
        <v>1.8700369999999911</v>
      </c>
      <c r="E23" s="100">
        <f t="shared" si="0"/>
        <v>1.5964539999999916</v>
      </c>
      <c r="F23" s="100">
        <f t="shared" si="0"/>
        <v>2.2278459999999889</v>
      </c>
      <c r="G23" s="34">
        <f t="shared" si="0"/>
        <v>2.2452619999999923</v>
      </c>
      <c r="H23" s="34">
        <f t="shared" si="0"/>
        <v>1.0024100870923203</v>
      </c>
      <c r="I23" s="34">
        <f t="shared" si="0"/>
        <v>0.97539767386740639</v>
      </c>
      <c r="J23" s="34">
        <f t="shared" si="0"/>
        <v>1.1034862548561231</v>
      </c>
      <c r="K23" s="34">
        <f t="shared" si="0"/>
        <v>2.4239071404843715</v>
      </c>
      <c r="L23" s="34">
        <f t="shared" si="0"/>
        <v>2.1417044595033907</v>
      </c>
      <c r="M23" s="34">
        <f t="shared" si="0"/>
        <v>1.7827426264023227</v>
      </c>
      <c r="N23" s="34">
        <f>100*(N22/M22-1)</f>
        <v>1.8084392819531336</v>
      </c>
      <c r="O23" s="34">
        <f t="shared" si="0"/>
        <v>1.8096523977803036</v>
      </c>
      <c r="P23" s="34">
        <f t="shared" si="0"/>
        <v>1.6041799999999995</v>
      </c>
      <c r="Q23" s="34">
        <f t="shared" si="0"/>
        <v>1.6350040000000066</v>
      </c>
      <c r="R23" s="34">
        <f t="shared" si="0"/>
        <v>1.6658250000000097</v>
      </c>
      <c r="S23" s="34">
        <f t="shared" si="0"/>
        <v>1.6715929999999934</v>
      </c>
      <c r="T23" s="34">
        <f t="shared" si="0"/>
        <v>1.6133490000000084</v>
      </c>
      <c r="U23" s="34">
        <f t="shared" ref="U23" si="1">100*(U22/T22-1)</f>
        <v>1.5618829999999972</v>
      </c>
      <c r="V23" s="34">
        <f t="shared" ref="V23" si="2">100*(V22/U22-1)</f>
        <v>1.5050830000000071</v>
      </c>
      <c r="W23" s="34">
        <f t="shared" ref="W23" si="3">100*(W22/V22-1)</f>
        <v>1.4836869999999891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90</v>
      </c>
    </row>
    <row r="26" spans="1:50" x14ac:dyDescent="0.2">
      <c r="B26" s="26" t="s">
        <v>61</v>
      </c>
      <c r="C26" s="34">
        <f>'Input data'!C34</f>
        <v>90.493570000000005</v>
      </c>
      <c r="D26" s="100">
        <f>+C26*(1+'Input data'!D33/100)</f>
        <v>91.997178581434795</v>
      </c>
      <c r="E26" s="100">
        <f>+D26*(1+'Input data'!E33/100)</f>
        <v>94.548125107645475</v>
      </c>
      <c r="F26" s="100">
        <f>+E26*(1+'Input data'!F33/100)</f>
        <v>96.752617701986594</v>
      </c>
      <c r="G26" s="34">
        <f>+F26*(1+'Input data'!G33/100)</f>
        <v>99.08699810259391</v>
      </c>
      <c r="H26" s="34">
        <f>+G26*(1+'Input data'!H33/100)</f>
        <v>100.75889401244896</v>
      </c>
      <c r="I26" s="34">
        <f>+H26*(1+'Input data'!I33/100)</f>
        <v>102.19954266386108</v>
      </c>
      <c r="J26" s="34">
        <f>+I26*(1+'Input data'!J33/100)</f>
        <v>103.63398478482823</v>
      </c>
      <c r="K26" s="34">
        <f>+J26*(1+'Input data'!K33/100)</f>
        <v>105.14573517447842</v>
      </c>
      <c r="L26" s="34">
        <f>+K26*(1+'Input data'!L33/100)</f>
        <v>106.72540474436042</v>
      </c>
      <c r="M26" s="34">
        <f>+L26*(1+'Input data'!M33/100)</f>
        <v>108.37474768731215</v>
      </c>
      <c r="N26" s="34">
        <f>+M26*(1+'Input data'!N33/100)</f>
        <v>110.07796197072352</v>
      </c>
      <c r="O26" s="34">
        <f>+N26*(1+'Input data'!O33/100)</f>
        <v>111.80988129084724</v>
      </c>
      <c r="P26" s="34">
        <f>+O26*(1+'Input data'!P33/100)</f>
        <v>113.60351304453876</v>
      </c>
      <c r="Q26" s="34">
        <f>+P26*(1+'Input data'!Q33/100)</f>
        <v>115.46093616299262</v>
      </c>
      <c r="R26" s="34">
        <f>+Q26*(1+'Input data'!R33/100)</f>
        <v>117.38431676665788</v>
      </c>
      <c r="S26" s="34">
        <f>+R26*(1+'Input data'!S33/100)</f>
        <v>119.34650244114083</v>
      </c>
      <c r="T26" s="34">
        <f>+S26*(1+'Input data'!T33/100)</f>
        <v>121.27197446441488</v>
      </c>
      <c r="U26" s="34">
        <f>+T26*(1+'Input data'!U33/100)</f>
        <v>123.16609839189944</v>
      </c>
      <c r="V26" s="34">
        <f>+U26*(1+'Input data'!V33/100)</f>
        <v>125.01984916889819</v>
      </c>
      <c r="W26" s="34">
        <f>+V26*(1+'Input data'!W33/100)</f>
        <v>126.87475616903221</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4">100*(C22/C26-1)</f>
        <v>0.35991507462904693</v>
      </c>
      <c r="D29" s="100">
        <f t="shared" si="4"/>
        <v>0.56571883912115428</v>
      </c>
      <c r="E29" s="100">
        <f t="shared" si="4"/>
        <v>-0.5854159948668225</v>
      </c>
      <c r="F29" s="100">
        <f t="shared" si="4"/>
        <v>-0.68622116719754267</v>
      </c>
      <c r="G29" s="34">
        <f t="shared" si="4"/>
        <v>-0.84862264858516223</v>
      </c>
      <c r="H29" s="34">
        <f t="shared" si="4"/>
        <v>-1.5164334438609983</v>
      </c>
      <c r="I29" s="34">
        <f t="shared" si="4"/>
        <v>-1.9576348032663615</v>
      </c>
      <c r="J29" s="34">
        <f t="shared" si="4"/>
        <v>-2.2477717297177513</v>
      </c>
      <c r="K29" s="34">
        <f t="shared" si="4"/>
        <v>-1.3178642753613801</v>
      </c>
      <c r="L29" s="34">
        <f t="shared" si="4"/>
        <v>-0.69628583994292281</v>
      </c>
      <c r="M29" s="34">
        <f t="shared" si="4"/>
        <v>-0.46419055996196334</v>
      </c>
      <c r="N29" s="34">
        <f t="shared" si="4"/>
        <v>-0.23209527998099277</v>
      </c>
      <c r="O29" s="34">
        <f t="shared" si="4"/>
        <v>0</v>
      </c>
      <c r="P29" s="34">
        <f t="shared" si="4"/>
        <v>0</v>
      </c>
      <c r="Q29" s="34">
        <f t="shared" si="4"/>
        <v>-9.8391297331801297E-7</v>
      </c>
      <c r="R29" s="34">
        <f t="shared" si="4"/>
        <v>-3.9347569313896713E-6</v>
      </c>
      <c r="S29" s="34">
        <f t="shared" si="4"/>
        <v>-1.9676391960210537E-6</v>
      </c>
      <c r="T29" s="34">
        <f t="shared" si="4"/>
        <v>9.8472883180988902E-7</v>
      </c>
      <c r="U29" s="34">
        <f t="shared" ref="U29:W29" si="5">100*(U22/U26-1)</f>
        <v>2.9539716228654811E-6</v>
      </c>
      <c r="V29" s="34">
        <f t="shared" si="5"/>
        <v>3.9391440109781684E-6</v>
      </c>
      <c r="W29" s="34">
        <f t="shared" si="5"/>
        <v>9.8300385609206842E-7</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7.2711398876150302</v>
      </c>
      <c r="D32" s="2">
        <f t="shared" si="6"/>
        <v>9.4942523750750851</v>
      </c>
      <c r="E32" s="2">
        <f t="shared" si="6"/>
        <v>11.890074643889781</v>
      </c>
      <c r="F32" s="2">
        <f t="shared" si="6"/>
        <v>6.908274325060848</v>
      </c>
      <c r="G32" s="1">
        <f t="shared" si="6"/>
        <v>5.486920425489239</v>
      </c>
      <c r="H32" s="1">
        <f t="shared" si="6"/>
        <v>4.1263276427603968</v>
      </c>
      <c r="I32" s="1">
        <f t="shared" si="6"/>
        <v>4.020164123957759</v>
      </c>
      <c r="J32" s="1">
        <f t="shared" si="6"/>
        <v>4.0737000507737653</v>
      </c>
      <c r="K32" s="1">
        <f t="shared" si="6"/>
        <v>5.3534731172426131</v>
      </c>
      <c r="L32" s="1">
        <f t="shared" si="6"/>
        <v>4.9839785599373521</v>
      </c>
      <c r="M32" s="1">
        <f t="shared" si="6"/>
        <v>4.536086172539644</v>
      </c>
      <c r="N32" s="1">
        <f t="shared" si="6"/>
        <v>4.4835162183261668</v>
      </c>
      <c r="O32" s="1">
        <f t="shared" si="6"/>
        <v>4.4057985339237105</v>
      </c>
      <c r="P32" s="1">
        <f t="shared" si="6"/>
        <v>4.1671454405000086</v>
      </c>
      <c r="Q32" s="1">
        <f t="shared" si="6"/>
        <v>4.170797349800015</v>
      </c>
      <c r="R32" s="1">
        <f t="shared" si="6"/>
        <v>4.1744292318750098</v>
      </c>
      <c r="S32" s="1">
        <f t="shared" si="6"/>
        <v>4.1523798691999847</v>
      </c>
      <c r="T32" s="1">
        <f t="shared" si="6"/>
        <v>4.0647710446249929</v>
      </c>
      <c r="U32" s="1">
        <f t="shared" si="6"/>
        <v>3.9841339095499917</v>
      </c>
      <c r="V32" s="1">
        <f t="shared" si="6"/>
        <v>3.8980653317249869</v>
      </c>
      <c r="W32" s="1">
        <f t="shared" si="6"/>
        <v>3.8482569071000006</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1.998502</v>
      </c>
      <c r="D35" s="100">
        <f>'Input data'!D37</f>
        <v>1.859802</v>
      </c>
      <c r="E35" s="100">
        <f>'Input data'!E37</f>
        <v>2.2416550000000002</v>
      </c>
      <c r="F35" s="100">
        <f>'Input data'!F37</f>
        <v>2.5392969999999999</v>
      </c>
      <c r="G35" s="100">
        <f>'Input data'!G37</f>
        <v>2.7068880000000002</v>
      </c>
      <c r="H35" s="34">
        <f t="shared" ref="H35:W35" si="7">H92</f>
        <v>2.8542031799392462</v>
      </c>
      <c r="I35" s="34">
        <f t="shared" si="7"/>
        <v>2.9797826189053516</v>
      </c>
      <c r="J35" s="34">
        <f t="shared" si="7"/>
        <v>3.079122295745492</v>
      </c>
      <c r="K35" s="34">
        <f t="shared" si="7"/>
        <v>3.1566440765560007</v>
      </c>
      <c r="L35" s="34">
        <f t="shared" si="7"/>
        <v>3.2309761614536687</v>
      </c>
      <c r="M35" s="34">
        <f t="shared" si="7"/>
        <v>3.303571488304093</v>
      </c>
      <c r="N35" s="34">
        <f t="shared" si="7"/>
        <v>3.3736437750684782</v>
      </c>
      <c r="O35" s="34">
        <f t="shared" si="7"/>
        <v>3.4413726042867032</v>
      </c>
      <c r="P35" s="34">
        <f t="shared" si="7"/>
        <v>3.5012057925699329</v>
      </c>
      <c r="Q35" s="34">
        <f t="shared" si="7"/>
        <v>3.5564293711903687</v>
      </c>
      <c r="R35" s="34">
        <f t="shared" si="7"/>
        <v>3.6070128478952279</v>
      </c>
      <c r="S35" s="34">
        <f t="shared" si="7"/>
        <v>3.6529623065249202</v>
      </c>
      <c r="T35" s="34">
        <f t="shared" si="7"/>
        <v>3.6944884639871147</v>
      </c>
      <c r="U35" s="34">
        <f t="shared" si="7"/>
        <v>3.7317975591480557</v>
      </c>
      <c r="V35" s="34">
        <f t="shared" si="7"/>
        <v>3.7649959478317192</v>
      </c>
      <c r="W35" s="34">
        <f t="shared" si="7"/>
        <v>3.7945504559485048</v>
      </c>
    </row>
    <row r="36" spans="2:51" x14ac:dyDescent="0.2">
      <c r="B36" s="32" t="s">
        <v>94</v>
      </c>
      <c r="C36" s="1"/>
      <c r="D36" s="2">
        <f>'Input data'!D$39</f>
        <v>2.0699999999999998</v>
      </c>
      <c r="E36" s="2">
        <f>'Input data'!E$39</f>
        <v>3.65</v>
      </c>
      <c r="F36" s="166">
        <f>'Input data'!F$39</f>
        <v>3.6707719999999999</v>
      </c>
      <c r="G36" s="166">
        <f>'Input data'!G$39</f>
        <v>3.780141</v>
      </c>
      <c r="H36" s="1">
        <f>G36+($O$36-$G$36)/($O$10-$G$10)</f>
        <v>3.8293008749999999</v>
      </c>
      <c r="I36" s="1">
        <f t="shared" ref="I36:M36" si="8">H36+($O$36-$G$36)/($O$10-$G$10)</f>
        <v>3.8784607499999999</v>
      </c>
      <c r="J36" s="1">
        <f t="shared" si="8"/>
        <v>3.9276206249999999</v>
      </c>
      <c r="K36" s="1">
        <f t="shared" si="8"/>
        <v>3.9767804999999998</v>
      </c>
      <c r="L36" s="1">
        <f t="shared" si="8"/>
        <v>4.0259403750000002</v>
      </c>
      <c r="M36" s="1">
        <f t="shared" si="8"/>
        <v>4.0751002500000002</v>
      </c>
      <c r="N36" s="1">
        <f>M36+($O$36-$G$36)/($O$10-$G$10)</f>
        <v>4.1242601250000002</v>
      </c>
      <c r="O36" s="252">
        <f>'Input data'!$C$52</f>
        <v>4.1734200000000001</v>
      </c>
      <c r="P36" s="1">
        <f>'Baseline NFPC'!P36</f>
        <v>4.1647490000000005</v>
      </c>
      <c r="Q36" s="1">
        <f>'Baseline NFPC'!Q36</f>
        <v>4.1560779999999999</v>
      </c>
      <c r="R36" s="1">
        <f>'Baseline NFPC'!R36</f>
        <v>4.1474070000000003</v>
      </c>
      <c r="S36" s="1">
        <f>'Baseline NFPC'!S36</f>
        <v>4.1387359999999997</v>
      </c>
      <c r="T36" s="1">
        <f>'Baseline NFPC'!T36</f>
        <v>4.1300650000000001</v>
      </c>
      <c r="U36" s="1">
        <f>'Baseline NFPC'!U36</f>
        <v>4.1213940000000004</v>
      </c>
      <c r="V36" s="1">
        <f>'Baseline NFPC'!V36</f>
        <v>4.1127229999999999</v>
      </c>
      <c r="W36" s="1">
        <f>'Baseline NFPC'!W36</f>
        <v>4.1040520000000003</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N37" si="9">H37+($O$37-$G$37)/($O$10-$G$10)</f>
        <v>2.7938037499999995</v>
      </c>
      <c r="J37" s="1">
        <f t="shared" si="9"/>
        <v>2.7825181249999993</v>
      </c>
      <c r="K37" s="1">
        <f t="shared" si="9"/>
        <v>2.7712324999999991</v>
      </c>
      <c r="L37" s="1">
        <f t="shared" si="9"/>
        <v>2.7599468749999989</v>
      </c>
      <c r="M37" s="1">
        <f t="shared" si="9"/>
        <v>2.7486612499999987</v>
      </c>
      <c r="N37" s="1">
        <f t="shared" si="9"/>
        <v>2.7373756249999985</v>
      </c>
      <c r="O37" s="252">
        <f>'Input data'!$C$53</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2.7338669999999999E-2</v>
      </c>
      <c r="D38" s="34">
        <f>'Baseline NFPC'!D38</f>
        <v>2.727796E-2</v>
      </c>
      <c r="E38" s="34">
        <f>'Baseline NFPC'!E38</f>
        <v>7.6967090000000002E-2</v>
      </c>
      <c r="F38" s="34">
        <f>'Baseline NFPC'!F38</f>
        <v>7.1996260000000006E-2</v>
      </c>
      <c r="G38" s="34">
        <f>'Baseline NFPC'!G38</f>
        <v>6.9917991111111119E-2</v>
      </c>
      <c r="H38" s="34">
        <f>'Baseline NFPC'!H38</f>
        <v>6.7839722222222232E-2</v>
      </c>
      <c r="I38" s="34">
        <f>'Baseline NFPC'!I38</f>
        <v>6.5761453333333331E-2</v>
      </c>
      <c r="J38" s="34">
        <f>'Baseline NFPC'!J38</f>
        <v>6.3683184444444443E-2</v>
      </c>
      <c r="K38" s="34">
        <f>'Baseline NFPC'!K38</f>
        <v>6.1604915555555556E-2</v>
      </c>
      <c r="L38" s="34">
        <f>'Baseline NFPC'!L38</f>
        <v>5.9526646666666669E-2</v>
      </c>
      <c r="M38" s="34">
        <f>'Baseline NFPC'!M38</f>
        <v>5.7448377777777782E-2</v>
      </c>
      <c r="N38" s="34">
        <f>'Baseline NFPC'!N38</f>
        <v>5.5370108888888894E-2</v>
      </c>
      <c r="O38" s="34">
        <f>'Baseline NFPC'!O38</f>
        <v>5.329184E-2</v>
      </c>
      <c r="P38" s="34">
        <f>'Baseline NFPC'!P38</f>
        <v>5.329184E-2</v>
      </c>
      <c r="Q38" s="34">
        <f>'Baseline NFPC'!Q38</f>
        <v>5.329184E-2</v>
      </c>
      <c r="R38" s="34">
        <f>'Baseline NFPC'!R38</f>
        <v>5.329184E-2</v>
      </c>
      <c r="S38" s="34">
        <f>'Baseline NFPC'!S38</f>
        <v>5.329184E-2</v>
      </c>
      <c r="T38" s="34">
        <f>'Baseline NFPC'!T38</f>
        <v>5.329184E-2</v>
      </c>
      <c r="U38" s="34">
        <f>'Baseline NFPC'!U38</f>
        <v>5.329184E-2</v>
      </c>
      <c r="V38" s="34">
        <f>'Baseline NFPC'!V38</f>
        <v>5.329184E-2</v>
      </c>
      <c r="W38" s="34">
        <f>'Baseline NFPC'!W38</f>
        <v>5.329184E-2</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2.3860749999999999</v>
      </c>
      <c r="D41" s="2">
        <f>'Input data'!D42</f>
        <v>7.4842570000000004</v>
      </c>
      <c r="E41" s="2">
        <f>'Input data'!E42</f>
        <v>10.131869999999999</v>
      </c>
      <c r="F41" s="2">
        <f>'Input data'!F42</f>
        <v>4.5784279999999997</v>
      </c>
      <c r="G41" s="2">
        <f>'Input data'!G42</f>
        <v>3.1704729999999999</v>
      </c>
      <c r="H41" s="1">
        <f>'Baseline NFPC'!H41</f>
        <v>3.0929138749999998</v>
      </c>
      <c r="I41" s="1">
        <f>'Baseline NFPC'!I41</f>
        <v>3.0153547499999998</v>
      </c>
      <c r="J41" s="1">
        <f>'Baseline NFPC'!J41</f>
        <v>2.9377956249999997</v>
      </c>
      <c r="K41" s="1">
        <f>'Baseline NFPC'!K41</f>
        <v>2.8602365000000001</v>
      </c>
      <c r="L41" s="1">
        <f>'Baseline NFPC'!L41</f>
        <v>2.782677375</v>
      </c>
      <c r="M41" s="1">
        <f>'Baseline NFPC'!M41</f>
        <v>2.7051182499999999</v>
      </c>
      <c r="N41" s="1">
        <f>'Baseline NFPC'!N41</f>
        <v>2.6275591249999999</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1</v>
      </c>
      <c r="G42" s="1">
        <f>'Baseline NFPC'!G42</f>
        <v>0.99999990000000005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0.38100000000000001</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4</v>
      </c>
      <c r="L49" s="34">
        <f>IF(AND(ABS((L12-K12)-('Input data'!L13-'Input data'!K13))&gt;0.0001,ABS(L12-K12)&gt;0.0001,L$10&gt;$C$5),4,IF(K49=4,3,IF(K49=3,2,IF(K49=2,1,0))))</f>
        <v>4</v>
      </c>
      <c r="M49" s="34">
        <f>IF(AND(ABS((M12-L12)-('Input data'!M13-'Input data'!L13))&gt;0.0001,ABS(M12-L12)&gt;0.0001,M$10&gt;$C$5),4,IF(L49=4,3,IF(L49=3,2,IF(L49=2,1,0))))</f>
        <v>3</v>
      </c>
      <c r="N49" s="34">
        <f>IF(AND(ABS((N12-M12)-('Input data'!N13-'Input data'!M13))&gt;0.0001,ABS(N12-M12)&gt;0.0001,N$10&gt;$C$5),4,IF(M49=4,3,IF(M49=3,2,IF(M49=2,1,0))))</f>
        <v>2</v>
      </c>
      <c r="O49" s="34">
        <f>IF(AND(ABS((O12-N12)-('Input data'!O13-'Input data'!N13))&gt;0.0001,ABS(O12-N12)&gt;0.0001,O$10&gt;$C$5),4,IF(N49=4,3,IF(N49=3,2,IF(N49=2,1,0))))</f>
        <v>1</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-0.56574843239010808</v>
      </c>
      <c r="I50" s="34">
        <f t="shared" si="10"/>
        <v>-1.0109556292406654</v>
      </c>
      <c r="J50" s="34">
        <f t="shared" si="10"/>
        <v>-1.3050898688442409</v>
      </c>
      <c r="K50" s="34">
        <f t="shared" si="10"/>
        <v>-1.4985144864785007</v>
      </c>
      <c r="L50" s="34">
        <f t="shared" si="10"/>
        <v>-0.87857618357425338</v>
      </c>
      <c r="M50" s="34">
        <f t="shared" si="10"/>
        <v>-0.46419055996194852</v>
      </c>
      <c r="N50" s="34">
        <f t="shared" si="10"/>
        <v>-0.23209527998097426</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1.8700369999999999</v>
      </c>
      <c r="E51" s="34">
        <f>'Input data'!E30-$C$46*((E12-D12)-('Input data'!E13-'Input data'!D13))</f>
        <v>1.596454</v>
      </c>
      <c r="F51" s="34">
        <f>'Input data'!F30-$C$46*((F12-E12)-('Input data'!F13-'Input data'!E13))</f>
        <v>2.227846</v>
      </c>
      <c r="G51" s="34">
        <f>'Input data'!G30-$C$46*((G12-F12))</f>
        <v>2.2452620000000003</v>
      </c>
      <c r="H51" s="34">
        <f>'Input data'!H30-$C$46*((H12-G12))</f>
        <v>0.67950099999999991</v>
      </c>
      <c r="I51" s="34">
        <f>'Input data'!I30-$C$46*((I12-H12))</f>
        <v>0.41115400000000002</v>
      </c>
      <c r="J51" s="34">
        <f>'Input data'!J30-$C$46*((J12-I12))</f>
        <v>0.40674899999999981</v>
      </c>
      <c r="K51" s="34">
        <f>'Input data'!K30-$C$46*((K12-J12))</f>
        <v>1.646239</v>
      </c>
      <c r="L51" s="34">
        <f>'Input data'!L30-$C$46*((L12-K12))</f>
        <v>1.6898660000000001</v>
      </c>
      <c r="M51" s="34">
        <f>'Input data'!M30-$C$46*((M12-L12))</f>
        <v>1.54541</v>
      </c>
      <c r="N51" s="34">
        <f>'Input data'!N30-$C$46*((N12-M12))</f>
        <v>1.571599</v>
      </c>
      <c r="O51" s="34">
        <f>'Input data'!O30-$C$46*((O12-N12))</f>
        <v>1.573356</v>
      </c>
      <c r="P51" s="34">
        <f>'Input data'!P30-$C$46*((P12-O12))</f>
        <v>1.6041799999999999</v>
      </c>
      <c r="Q51" s="34">
        <f>'Input data'!Q30-$C$46*((Q12-P12))</f>
        <v>1.6350039999999999</v>
      </c>
      <c r="R51" s="34">
        <f>'Input data'!R30-$C$46*((R12-Q12))</f>
        <v>1.6658249999999999</v>
      </c>
      <c r="S51" s="34">
        <f>'Input data'!S30-$C$46*((S12-R12))</f>
        <v>1.6715930000000001</v>
      </c>
      <c r="T51" s="34">
        <f>'Input data'!T30-$C$46*((T12-S12))</f>
        <v>1.6133489999999999</v>
      </c>
      <c r="U51" s="34">
        <f>'Input data'!U30-$C$46*((U12-T12))</f>
        <v>1.5618829999999999</v>
      </c>
      <c r="V51" s="34">
        <f>'Input data'!V30-$C$46*((V12-U12))</f>
        <v>1.5050829999999999</v>
      </c>
      <c r="W51" s="34">
        <f>'Input data'!W30-$C$46*((W12-V12))</f>
        <v>1.483687</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61.088839999999998</v>
      </c>
      <c r="D56" s="45">
        <f t="shared" ref="D56:T56" si="11">+C56+D57</f>
        <v>57.741851922294842</v>
      </c>
      <c r="E56" s="45">
        <f t="shared" si="11"/>
        <v>56.044964616339108</v>
      </c>
      <c r="F56" s="45">
        <f t="shared" si="11"/>
        <v>58.47893038104138</v>
      </c>
      <c r="G56" s="45">
        <f t="shared" si="11"/>
        <v>59.623964733451928</v>
      </c>
      <c r="H56" s="45">
        <f t="shared" si="11"/>
        <v>61.13617438688722</v>
      </c>
      <c r="I56" s="45">
        <f t="shared" si="11"/>
        <v>61.633447791006716</v>
      </c>
      <c r="J56" s="45">
        <f t="shared" si="11"/>
        <v>60.963732291979099</v>
      </c>
      <c r="K56" s="45">
        <f t="shared" si="11"/>
        <v>59.662364449856994</v>
      </c>
      <c r="L56" s="45">
        <f t="shared" si="11"/>
        <v>58.776038002198106</v>
      </c>
      <c r="M56" s="45">
        <f t="shared" si="11"/>
        <v>58.257254072453598</v>
      </c>
      <c r="N56" s="45">
        <f t="shared" si="11"/>
        <v>57.871853560097335</v>
      </c>
      <c r="O56" s="46">
        <f t="shared" si="11"/>
        <v>57.633340458978758</v>
      </c>
      <c r="P56" s="46">
        <f t="shared" si="11"/>
        <v>57.688125318495544</v>
      </c>
      <c r="Q56" s="46">
        <f t="shared" si="11"/>
        <v>57.889361510284623</v>
      </c>
      <c r="R56" s="46">
        <f t="shared" si="11"/>
        <v>58.22032333370165</v>
      </c>
      <c r="S56" s="46">
        <f t="shared" si="11"/>
        <v>58.69775407527181</v>
      </c>
      <c r="T56" s="46">
        <f t="shared" si="11"/>
        <v>59.360594839432913</v>
      </c>
      <c r="U56" s="46">
        <f t="shared" ref="U56" si="12">+T56+U57</f>
        <v>60.187202170144694</v>
      </c>
      <c r="V56" s="46">
        <f t="shared" ref="V56" si="13">+U56+V57</f>
        <v>61.232071188227351</v>
      </c>
      <c r="W56" s="46">
        <f t="shared" ref="W56" si="14">+V56+W57</f>
        <v>62.462518966773608</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 t="shared" ref="D57:T57" si="15">-D58+D66+D71</f>
        <v>-3.3469880777051548</v>
      </c>
      <c r="E57" s="47">
        <f t="shared" si="15"/>
        <v>-1.6968873059557363</v>
      </c>
      <c r="F57" s="47">
        <f t="shared" si="15"/>
        <v>2.4339657647022697</v>
      </c>
      <c r="G57" s="47">
        <f t="shared" si="15"/>
        <v>1.14503435241055</v>
      </c>
      <c r="H57" s="47">
        <f t="shared" si="15"/>
        <v>1.5122096534352933</v>
      </c>
      <c r="I57" s="47">
        <f t="shared" si="15"/>
        <v>0.49727340411949794</v>
      </c>
      <c r="J57" s="47">
        <f t="shared" si="15"/>
        <v>-0.66971549902761929</v>
      </c>
      <c r="K57" s="47">
        <f t="shared" si="15"/>
        <v>-1.3013678421221013</v>
      </c>
      <c r="L57" s="47">
        <f t="shared" si="15"/>
        <v>-0.88632644765888946</v>
      </c>
      <c r="M57" s="47">
        <f t="shared" si="15"/>
        <v>-0.51878392974450815</v>
      </c>
      <c r="N57" s="47">
        <f t="shared" si="15"/>
        <v>-0.38540051235626094</v>
      </c>
      <c r="O57" s="47">
        <f t="shared" si="15"/>
        <v>-0.23851310111857815</v>
      </c>
      <c r="P57" s="47">
        <f t="shared" si="15"/>
        <v>5.4784859516785023E-2</v>
      </c>
      <c r="Q57" s="47">
        <f t="shared" si="15"/>
        <v>0.20123619178908059</v>
      </c>
      <c r="R57" s="47">
        <f t="shared" si="15"/>
        <v>0.33096182341702496</v>
      </c>
      <c r="S57" s="47">
        <f t="shared" si="15"/>
        <v>0.47743074157015875</v>
      </c>
      <c r="T57" s="47">
        <f t="shared" si="15"/>
        <v>0.66284076416110194</v>
      </c>
      <c r="U57" s="47">
        <f t="shared" ref="U57:W57" si="16">-U58+U66+U71</f>
        <v>0.82660733071178338</v>
      </c>
      <c r="V57" s="47">
        <f t="shared" si="16"/>
        <v>1.0448690180826605</v>
      </c>
      <c r="W57" s="47">
        <f t="shared" si="16"/>
        <v>1.2304477785462533</v>
      </c>
    </row>
    <row r="58" spans="2:48" outlineLevel="1" x14ac:dyDescent="0.2">
      <c r="B58" s="84" t="s">
        <v>106</v>
      </c>
      <c r="C58" s="48"/>
      <c r="D58" s="48">
        <f t="shared" ref="D58:T58" si="17">D59+D60-D61-D62-D63-D64-D65</f>
        <v>-0.63504632229484026</v>
      </c>
      <c r="E58" s="48">
        <f t="shared" si="17"/>
        <v>-3.7366464940442592</v>
      </c>
      <c r="F58" s="48">
        <f t="shared" si="17"/>
        <v>-4.5243322647022639</v>
      </c>
      <c r="G58" s="48">
        <f t="shared" si="17"/>
        <v>-3.2862072291109472</v>
      </c>
      <c r="H58" s="48">
        <f t="shared" si="17"/>
        <v>-2.2406431421110407</v>
      </c>
      <c r="I58" s="48">
        <f t="shared" si="17"/>
        <v>-1.1087408600444841</v>
      </c>
      <c r="J58" s="48">
        <f t="shared" si="17"/>
        <v>8.0716970977536384E-2</v>
      </c>
      <c r="K58" s="48">
        <f t="shared" si="17"/>
        <v>3.0153011087311499E-2</v>
      </c>
      <c r="L58" s="48">
        <f t="shared" si="17"/>
        <v>-0.10990430501825205</v>
      </c>
      <c r="M58" s="48">
        <f t="shared" si="17"/>
        <v>-0.17420480334550781</v>
      </c>
      <c r="N58" s="48">
        <f t="shared" si="17"/>
        <v>-0.23343510167275583</v>
      </c>
      <c r="O58" s="48">
        <f t="shared" si="17"/>
        <v>-0.29606560000000171</v>
      </c>
      <c r="P58" s="48">
        <f t="shared" si="17"/>
        <v>-0.42323430000000073</v>
      </c>
      <c r="Q58" s="48">
        <f t="shared" si="17"/>
        <v>-0.54146337487084351</v>
      </c>
      <c r="R58" s="48">
        <f t="shared" si="17"/>
        <v>-0.64627309914238806</v>
      </c>
      <c r="S58" s="48">
        <f t="shared" si="17"/>
        <v>-0.75660104967053499</v>
      </c>
      <c r="T58" s="48">
        <f t="shared" si="17"/>
        <v>-0.87169872481831401</v>
      </c>
      <c r="U58" s="48">
        <f t="shared" ref="U58:W58" si="18">U59+U60-U61-U62-U63-U64-U65</f>
        <v>-0.97065657453680831</v>
      </c>
      <c r="V58" s="48">
        <f t="shared" si="18"/>
        <v>-1.1219548991861306</v>
      </c>
      <c r="W58" s="48">
        <f t="shared" si="18"/>
        <v>-1.2621147254755272</v>
      </c>
    </row>
    <row r="59" spans="2:48" outlineLevel="1" x14ac:dyDescent="0.2">
      <c r="B59" s="79" t="s">
        <v>107</v>
      </c>
      <c r="C59" s="1"/>
      <c r="D59" s="1">
        <f>D12</f>
        <v>-0.85058520000000004</v>
      </c>
      <c r="E59" s="1">
        <f>E12</f>
        <v>-3.5136029999999998</v>
      </c>
      <c r="F59" s="1">
        <f>F12</f>
        <v>-4.2628820000000003</v>
      </c>
      <c r="G59" s="1">
        <f t="shared" ref="G59:W59" si="19">IF(G12="",F59,G12)</f>
        <v>-2.9628820000000005</v>
      </c>
      <c r="H59" s="1">
        <f t="shared" si="19"/>
        <v>-1.6628820000000004</v>
      </c>
      <c r="I59" s="1">
        <f t="shared" si="19"/>
        <v>-0.36288200000000037</v>
      </c>
      <c r="J59" s="1">
        <f t="shared" si="19"/>
        <v>0.93711799999999967</v>
      </c>
      <c r="K59" s="1">
        <f t="shared" si="19"/>
        <v>0.68711799999999967</v>
      </c>
      <c r="L59" s="1">
        <f t="shared" si="19"/>
        <v>0.43711799999999967</v>
      </c>
      <c r="M59" s="1">
        <f t="shared" si="19"/>
        <v>0.43711799999999967</v>
      </c>
      <c r="N59" s="1">
        <f t="shared" si="19"/>
        <v>0.43711799999999967</v>
      </c>
      <c r="O59" s="1">
        <f t="shared" si="19"/>
        <v>0.43711799999999967</v>
      </c>
      <c r="P59" s="1">
        <f t="shared" si="19"/>
        <v>0.43711799999999967</v>
      </c>
      <c r="Q59" s="1">
        <f t="shared" si="19"/>
        <v>0.43711799999999967</v>
      </c>
      <c r="R59" s="1">
        <f t="shared" si="19"/>
        <v>0.43711799999999967</v>
      </c>
      <c r="S59" s="1">
        <f t="shared" si="19"/>
        <v>0.43711799999999967</v>
      </c>
      <c r="T59" s="1">
        <f t="shared" si="19"/>
        <v>0.43711799999999967</v>
      </c>
      <c r="U59" s="1">
        <f t="shared" si="19"/>
        <v>0.43711799999999967</v>
      </c>
      <c r="V59" s="1">
        <f t="shared" si="19"/>
        <v>0.43711799999999967</v>
      </c>
      <c r="W59" s="1">
        <f t="shared" si="19"/>
        <v>0.43711799999999967</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-0.21553887770515978</v>
      </c>
      <c r="E61" s="1">
        <f t="shared" si="20"/>
        <v>0.22304349404425938</v>
      </c>
      <c r="F61" s="1">
        <f t="shared" si="20"/>
        <v>0.26145026470226373</v>
      </c>
      <c r="G61" s="1">
        <f t="shared" si="20"/>
        <v>0.3233252291109468</v>
      </c>
      <c r="H61" s="1">
        <f t="shared" si="20"/>
        <v>0.57776114211104035</v>
      </c>
      <c r="I61" s="1">
        <f t="shared" si="20"/>
        <v>0.74585886004448376</v>
      </c>
      <c r="J61" s="1">
        <f t="shared" si="20"/>
        <v>0.85640102902246329</v>
      </c>
      <c r="K61" s="1">
        <f t="shared" si="20"/>
        <v>0.50210628891268583</v>
      </c>
      <c r="L61" s="1">
        <f t="shared" si="20"/>
        <v>0.26528490501825358</v>
      </c>
      <c r="M61" s="1">
        <f t="shared" si="20"/>
        <v>0.17685660334550804</v>
      </c>
      <c r="N61" s="1">
        <f t="shared" si="20"/>
        <v>8.8428301672758253E-2</v>
      </c>
      <c r="O61" s="1">
        <f t="shared" si="20"/>
        <v>0</v>
      </c>
      <c r="P61" s="1">
        <f t="shared" si="20"/>
        <v>0</v>
      </c>
      <c r="Q61" s="1">
        <f t="shared" si="20"/>
        <v>3.7487084283416292E-7</v>
      </c>
      <c r="R61" s="1">
        <f t="shared" si="20"/>
        <v>1.4991423908594649E-6</v>
      </c>
      <c r="S61" s="1">
        <f t="shared" si="20"/>
        <v>7.496705336840215E-7</v>
      </c>
      <c r="T61" s="1">
        <f t="shared" si="20"/>
        <v>-3.7518168491956774E-7</v>
      </c>
      <c r="U61" s="1">
        <f t="shared" si="20"/>
        <v>-1.1254631883117483E-6</v>
      </c>
      <c r="V61" s="1">
        <f t="shared" si="20"/>
        <v>-1.5008138681826821E-6</v>
      </c>
      <c r="W61" s="1">
        <f t="shared" si="20"/>
        <v>-3.7452446917107806E-7</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0.15356000000000236</v>
      </c>
      <c r="L63" s="1">
        <f>IF(L$55&lt;=$C$6,0,HLOOKUP(L$55,'Input data'!$C$9:$BB$26,12,FALSE)-HLOOKUP($C$6,'Input data'!$C$9:$BB$26,12,FALSE))</f>
        <v>0.27913999999999817</v>
      </c>
      <c r="M63" s="1">
        <f>IF(M$55&lt;=$C$6,0,HLOOKUP(M$55,'Input data'!$C$9:$BB$26,12,FALSE)-HLOOKUP($C$6,'Input data'!$C$9:$BB$26,12,FALSE))</f>
        <v>0.43056999999999945</v>
      </c>
      <c r="N63" s="1">
        <f>IF(N$55&lt;=$C$6,0,HLOOKUP(N$55,'Input data'!$C$9:$BB$26,12,FALSE)-HLOOKUP($C$6,'Input data'!$C$9:$BB$26,12,FALSE))</f>
        <v>0.57692999999999728</v>
      </c>
      <c r="O63" s="1">
        <f>IF(O$55&lt;=$C$6,0,HLOOKUP(O$55,'Input data'!$C$9:$BB$26,12,FALSE)-HLOOKUP($C$6,'Input data'!$C$9:$BB$26,12,FALSE))</f>
        <v>0.72669000000000139</v>
      </c>
      <c r="P63" s="1">
        <f>IF(P$55&lt;=$C$6,0,HLOOKUP(P$55,'Input data'!$C$9:$BB$26,12,FALSE)-HLOOKUP($C$6,'Input data'!$C$9:$BB$26,12,FALSE))</f>
        <v>0.85256000000000043</v>
      </c>
      <c r="Q63" s="1">
        <f>IF(Q$55&lt;=$C$6,0,HLOOKUP(Q$55,'Input data'!$C$9:$BB$26,12,FALSE)-HLOOKUP($C$6,'Input data'!$C$9:$BB$26,12,FALSE))</f>
        <v>0.96949000000000041</v>
      </c>
      <c r="R63" s="1">
        <f>IF(R$55&lt;=$C$6,0,HLOOKUP(R$55,'Input data'!$C$9:$BB$26,12,FALSE)-HLOOKUP($C$6,'Input data'!$C$9:$BB$26,12,FALSE))</f>
        <v>1.0729999999999968</v>
      </c>
      <c r="S63" s="1">
        <f>IF(S$55&lt;=$C$6,0,HLOOKUP(S$55,'Input data'!$C$9:$BB$26,12,FALSE)-HLOOKUP($C$6,'Input data'!$C$9:$BB$26,12,FALSE))</f>
        <v>1.182030000000001</v>
      </c>
      <c r="T63" s="1">
        <f>IF(T$55&lt;=$C$6,0,HLOOKUP(T$55,'Input data'!$C$9:$BB$26,12,FALSE)-HLOOKUP($C$6,'Input data'!$C$9:$BB$26,12,FALSE))</f>
        <v>1.2958299999999987</v>
      </c>
      <c r="U63" s="1">
        <f>IF(U$55&lt;=$C$6,0,HLOOKUP(U$55,'Input data'!$C$9:$BB$26,12,FALSE)-HLOOKUP($C$6,'Input data'!$C$9:$BB$26,12,FALSE))</f>
        <v>1.3934899999999963</v>
      </c>
      <c r="V63" s="1">
        <f>IF(V$55&lt;=$C$6,0,HLOOKUP(V$55,'Input data'!$C$9:$BB$26,12,FALSE)-HLOOKUP($C$6,'Input data'!$C$9:$BB$26,12,FALSE))</f>
        <v>1.5434899999999985</v>
      </c>
      <c r="W63" s="1">
        <f>IF(W$55&lt;=$C$6,0,HLOOKUP(W$55,'Input data'!$C$9:$BB$26,12,FALSE)-HLOOKUP($C$6,'Input data'!$C$9:$BB$26,12,FALSE))</f>
        <v>1.682349999999996</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1.298699999999986E-3</v>
      </c>
      <c r="L64" s="1">
        <f>IF(L$55&lt;=$C$6,0,-HLOOKUP(L$55,'Input data'!$C$9:$BB$26,18,FALSE)+HLOOKUP($C$6,'Input data'!$C$9:$BB$26,18,FALSE))</f>
        <v>2.597399999999972E-3</v>
      </c>
      <c r="M64" s="1">
        <f>IF(M$55&lt;=$C$6,0,-HLOOKUP(M$55,'Input data'!$C$9:$BB$26,18,FALSE)+HLOOKUP($C$6,'Input data'!$C$9:$BB$26,18,FALSE))</f>
        <v>3.8962000000000163E-3</v>
      </c>
      <c r="N64" s="1">
        <f>IF(N$55&lt;=$C$6,0,-HLOOKUP(N$55,'Input data'!$C$9:$BB$26,18,FALSE)+HLOOKUP($C$6,'Input data'!$C$9:$BB$26,18,FALSE))</f>
        <v>5.1947999999999439E-3</v>
      </c>
      <c r="O64" s="1">
        <f>IF(O$55&lt;=$C$6,0,-HLOOKUP(O$55,'Input data'!$C$9:$BB$26,18,FALSE)+HLOOKUP($C$6,'Input data'!$C$9:$BB$26,18,FALSE))</f>
        <v>6.4935999999999883E-3</v>
      </c>
      <c r="P64" s="1">
        <f>IF(P$55&lt;=$C$6,0,-HLOOKUP(P$55,'Input data'!$C$9:$BB$26,18,FALSE)+HLOOKUP($C$6,'Input data'!$C$9:$BB$26,18,FALSE))</f>
        <v>7.7922999999999742E-3</v>
      </c>
      <c r="Q64" s="1">
        <f>IF(Q$55&lt;=$C$6,0,-HLOOKUP(Q$55,'Input data'!$C$9:$BB$26,18,FALSE)+HLOOKUP($C$6,'Input data'!$C$9:$BB$26,18,FALSE))</f>
        <v>9.0909999999999602E-3</v>
      </c>
      <c r="R64" s="1">
        <f>IF(R$55&lt;=$C$6,0,-HLOOKUP(R$55,'Input data'!$C$9:$BB$26,18,FALSE)+HLOOKUP($C$6,'Input data'!$C$9:$BB$26,18,FALSE))</f>
        <v>1.0389599999999999E-2</v>
      </c>
      <c r="S64" s="1">
        <f>IF(S$55&lt;=$C$6,0,-HLOOKUP(S$55,'Input data'!$C$9:$BB$26,18,FALSE)+HLOOKUP($C$6,'Input data'!$C$9:$BB$26,18,FALSE))</f>
        <v>1.1688299999999985E-2</v>
      </c>
      <c r="T64" s="1">
        <f>IF(T$55&lt;=$C$6,0,-HLOOKUP(T$55,'Input data'!$C$9:$BB$26,18,FALSE)+HLOOKUP($C$6,'Input data'!$C$9:$BB$26,18,FALSE))</f>
        <v>1.2987099999999918E-2</v>
      </c>
      <c r="U64" s="1">
        <f>IF(U$55&lt;=$C$6,0,-HLOOKUP(U$55,'Input data'!$C$9:$BB$26,18,FALSE)+HLOOKUP($C$6,'Input data'!$C$9:$BB$26,18,FALSE))</f>
        <v>1.4285699999999957E-2</v>
      </c>
      <c r="V64" s="1">
        <f>IF(V$55&lt;=$C$6,0,-HLOOKUP(V$55,'Input data'!$C$9:$BB$26,18,FALSE)+HLOOKUP($C$6,'Input data'!$C$9:$BB$26,18,FALSE))</f>
        <v>1.5584399999999943E-2</v>
      </c>
      <c r="W64" s="1">
        <f>IF(W$55&lt;=$C$6,0,-HLOOKUP(W$55,'Input data'!$C$9:$BB$26,18,FALSE)+HLOOKUP($C$6,'Input data'!$C$9:$BB$26,18,FALSE))</f>
        <v>1.6883099999999929E-2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-4.2593989999999948</v>
      </c>
      <c r="E66" s="48">
        <f t="shared" si="22"/>
        <v>-4.9791519999999956</v>
      </c>
      <c r="F66" s="48">
        <f t="shared" si="22"/>
        <v>-2.290366999999994</v>
      </c>
      <c r="G66" s="48">
        <f t="shared" si="22"/>
        <v>-1.5411701767003971</v>
      </c>
      <c r="H66" s="48">
        <f t="shared" si="22"/>
        <v>-0.72843348867574731</v>
      </c>
      <c r="I66" s="48">
        <f t="shared" si="22"/>
        <v>-0.61146745592498619</v>
      </c>
      <c r="J66" s="48">
        <f t="shared" si="22"/>
        <v>-0.5889985280500829</v>
      </c>
      <c r="K66" s="48">
        <f t="shared" si="22"/>
        <v>-1.2712148310347899</v>
      </c>
      <c r="L66" s="48">
        <f t="shared" si="22"/>
        <v>-0.99623075267714145</v>
      </c>
      <c r="M66" s="48">
        <f t="shared" si="22"/>
        <v>-0.69298873309001596</v>
      </c>
      <c r="N66" s="48">
        <f t="shared" si="22"/>
        <v>-0.61883561402901677</v>
      </c>
      <c r="O66" s="48">
        <f t="shared" si="22"/>
        <v>-0.53457870111857986</v>
      </c>
      <c r="P66" s="48">
        <f t="shared" si="22"/>
        <v>-0.36844944048321571</v>
      </c>
      <c r="Q66" s="48">
        <f t="shared" si="22"/>
        <v>-0.34022718308176292</v>
      </c>
      <c r="R66" s="48">
        <f t="shared" si="22"/>
        <v>-0.3153112757253631</v>
      </c>
      <c r="S66" s="48">
        <f t="shared" si="22"/>
        <v>-0.27917030810037624</v>
      </c>
      <c r="T66" s="48">
        <f t="shared" si="22"/>
        <v>-0.20885796065721207</v>
      </c>
      <c r="U66" s="48">
        <f t="shared" ref="U66:W66" si="23">SUM(U67:U70)</f>
        <v>-0.14404924382502493</v>
      </c>
      <c r="V66" s="48">
        <f t="shared" si="23"/>
        <v>-7.7085881103470033E-2</v>
      </c>
      <c r="W66" s="48">
        <f t="shared" si="23"/>
        <v>-3.1666946929273854E-2</v>
      </c>
    </row>
    <row r="67" spans="2:23" outlineLevel="1" x14ac:dyDescent="0.2">
      <c r="B67" s="79" t="s">
        <v>115</v>
      </c>
      <c r="C67" s="34"/>
      <c r="D67" s="34">
        <f>C56*D35/100*(1/(1+D32/100))</f>
        <v>1.037617448818186</v>
      </c>
      <c r="E67" s="34">
        <f t="shared" ref="E67:W67" si="24">D56*E35/100*(1/(1+E32/100))</f>
        <v>1.1568256745098198</v>
      </c>
      <c r="F67" s="34">
        <f t="shared" si="24"/>
        <v>1.3311861164521237</v>
      </c>
      <c r="G67" s="34">
        <f t="shared" si="24"/>
        <v>1.500621254870065</v>
      </c>
      <c r="H67" s="34">
        <f t="shared" si="24"/>
        <v>1.6343504433063141</v>
      </c>
      <c r="I67" s="34">
        <f t="shared" si="24"/>
        <v>1.7513191923762348</v>
      </c>
      <c r="J67" s="34">
        <f t="shared" si="24"/>
        <v>1.8234858870624306</v>
      </c>
      <c r="K67" s="34">
        <f t="shared" si="24"/>
        <v>1.8266204115555247</v>
      </c>
      <c r="L67" s="34">
        <f t="shared" si="24"/>
        <v>1.8361628118655653</v>
      </c>
      <c r="M67" s="34">
        <f t="shared" si="24"/>
        <v>1.8574527749111944</v>
      </c>
      <c r="N67" s="34">
        <f t="shared" si="24"/>
        <v>1.8810548272842613</v>
      </c>
      <c r="O67" s="34">
        <f t="shared" si="24"/>
        <v>1.9075435866361381</v>
      </c>
      <c r="P67" s="34">
        <f t="shared" si="24"/>
        <v>1.937138476885605</v>
      </c>
      <c r="Q67" s="34">
        <f t="shared" si="24"/>
        <v>1.969493835807739</v>
      </c>
      <c r="R67" s="34">
        <f t="shared" si="24"/>
        <v>2.0044042694899424</v>
      </c>
      <c r="S67" s="34">
        <f t="shared" si="24"/>
        <v>2.0419758711111151</v>
      </c>
      <c r="T67" s="34">
        <f t="shared" si="24"/>
        <v>2.0838769269962776</v>
      </c>
      <c r="U67" s="34">
        <f t="shared" si="24"/>
        <v>2.1303415684941109</v>
      </c>
      <c r="V67" s="34">
        <f t="shared" si="24"/>
        <v>2.1810278329863197</v>
      </c>
      <c r="W67" s="34">
        <f t="shared" si="24"/>
        <v>2.2373816428504156</v>
      </c>
    </row>
    <row r="68" spans="2:23" outlineLevel="1" x14ac:dyDescent="0.2">
      <c r="B68" s="79" t="s">
        <v>116</v>
      </c>
      <c r="C68" s="34"/>
      <c r="D68" s="34">
        <f t="shared" ref="D68:W68" si="25">-C56*(D23/100)*(1/(1+D32/100))</f>
        <v>-1.0433277419508122</v>
      </c>
      <c r="E68" s="34">
        <f t="shared" si="25"/>
        <v>-0.82386405373435678</v>
      </c>
      <c r="F68" s="34">
        <f t="shared" si="25"/>
        <v>-1.1679128769865765</v>
      </c>
      <c r="G68" s="34">
        <f t="shared" si="25"/>
        <v>-1.2447090089992863</v>
      </c>
      <c r="H68" s="34">
        <f t="shared" si="25"/>
        <v>-0.57399185234210515</v>
      </c>
      <c r="I68" s="34">
        <f t="shared" si="25"/>
        <v>-0.57327425685523925</v>
      </c>
      <c r="J68" s="34">
        <f t="shared" si="25"/>
        <v>-0.6534951908463712</v>
      </c>
      <c r="K68" s="34">
        <f t="shared" si="25"/>
        <v>-1.4026156104854701</v>
      </c>
      <c r="L68" s="34">
        <f t="shared" si="25"/>
        <v>-1.2171300207852549</v>
      </c>
      <c r="M68" s="34">
        <f t="shared" si="25"/>
        <v>-1.0023576756510182</v>
      </c>
      <c r="N68" s="34">
        <f t="shared" si="25"/>
        <v>-1.0083380664869916</v>
      </c>
      <c r="O68" s="34">
        <f t="shared" si="25"/>
        <v>-1.0030854610531268</v>
      </c>
      <c r="P68" s="34">
        <f t="shared" si="25"/>
        <v>-0.88755674072199786</v>
      </c>
      <c r="Q68" s="34">
        <f t="shared" si="25"/>
        <v>-0.90543912543473437</v>
      </c>
      <c r="R68" s="34">
        <f t="shared" si="25"/>
        <v>-0.92569305489762133</v>
      </c>
      <c r="S68" s="34">
        <f t="shared" si="25"/>
        <v>-0.93440673237205318</v>
      </c>
      <c r="T68" s="34">
        <f t="shared" si="25"/>
        <v>-0.91000981301325312</v>
      </c>
      <c r="U68" s="34">
        <f t="shared" si="25"/>
        <v>-0.89161971604480394</v>
      </c>
      <c r="V68" s="34">
        <f t="shared" si="25"/>
        <v>-0.8718808624070491</v>
      </c>
      <c r="W68" s="34">
        <f t="shared" si="25"/>
        <v>-0.87482670110022376</v>
      </c>
    </row>
    <row r="69" spans="2:23" outlineLevel="1" x14ac:dyDescent="0.2">
      <c r="B69" s="79" t="s">
        <v>117</v>
      </c>
      <c r="C69" s="34"/>
      <c r="D69" s="34">
        <f t="shared" ref="D69:T69" si="26">-C56*D41/100*(1/(1+D41/100))</f>
        <v>-4.2536887833897383</v>
      </c>
      <c r="E69" s="34">
        <f t="shared" si="26"/>
        <v>-5.3121129899632269</v>
      </c>
      <c r="F69" s="34">
        <f t="shared" si="26"/>
        <v>-2.4536402025325552</v>
      </c>
      <c r="G69" s="34">
        <f t="shared" si="26"/>
        <v>-1.7970826773467579</v>
      </c>
      <c r="H69" s="34">
        <f t="shared" si="26"/>
        <v>-1.7887920796399563</v>
      </c>
      <c r="I69" s="34">
        <f t="shared" si="26"/>
        <v>-1.7895123914459818</v>
      </c>
      <c r="J69" s="34">
        <f t="shared" si="26"/>
        <v>-1.7589892242661422</v>
      </c>
      <c r="K69" s="34">
        <f t="shared" si="26"/>
        <v>-1.6952196321048445</v>
      </c>
      <c r="L69" s="34">
        <f t="shared" si="26"/>
        <v>-1.6152635437574518</v>
      </c>
      <c r="M69" s="34">
        <f t="shared" si="26"/>
        <v>-1.5480838323501922</v>
      </c>
      <c r="N69" s="34">
        <f t="shared" si="26"/>
        <v>-1.4915523748262864</v>
      </c>
      <c r="O69" s="34">
        <f t="shared" si="26"/>
        <v>-1.4390368267015912</v>
      </c>
      <c r="P69" s="34">
        <f t="shared" si="26"/>
        <v>-1.418031176646823</v>
      </c>
      <c r="Q69" s="34">
        <f t="shared" si="26"/>
        <v>-1.4042818934547674</v>
      </c>
      <c r="R69" s="34">
        <f t="shared" si="26"/>
        <v>-1.3940224903176841</v>
      </c>
      <c r="S69" s="34">
        <f t="shared" si="26"/>
        <v>-1.3867394468394381</v>
      </c>
      <c r="T69" s="34">
        <f t="shared" si="26"/>
        <v>-1.3827250746402364</v>
      </c>
      <c r="U69" s="34">
        <f t="shared" ref="U69" si="27">-T56*U41/100*(1/(1+U41/100))</f>
        <v>-1.382771096274332</v>
      </c>
      <c r="V69" s="34">
        <f t="shared" ref="V69" si="28">-U56*V41/100*(1/(1+V41/100))</f>
        <v>-1.3862328516827407</v>
      </c>
      <c r="W69" s="34">
        <f t="shared" ref="W69" si="29">-V56*W41/100*(1/(1+W41/100))</f>
        <v>-1.3942218886794657</v>
      </c>
    </row>
    <row r="70" spans="2:23" outlineLevel="1" x14ac:dyDescent="0.2">
      <c r="B70" s="79" t="s">
        <v>118</v>
      </c>
      <c r="C70" s="49"/>
      <c r="D70" s="49">
        <f>'Baseline NFPC'!D70</f>
        <v>7.6522369774068011E-8</v>
      </c>
      <c r="E70" s="49">
        <f>'Baseline NFPC'!E70</f>
        <v>-6.3081223178329537E-7</v>
      </c>
      <c r="F70" s="49">
        <f>'Baseline NFPC'!F70</f>
        <v>-3.6932986002824464E-8</v>
      </c>
      <c r="G70" s="49">
        <f>'Baseline NFPC'!G70</f>
        <v>2.5477558196485006E-7</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0.27736460000000002</v>
      </c>
      <c r="E71" s="50">
        <f>'Input data'!E16</f>
        <v>-0.4543818</v>
      </c>
      <c r="F71" s="50">
        <f>'Input data'!F16</f>
        <v>0.2000005</v>
      </c>
      <c r="G71" s="50">
        <f>'Input data'!G16</f>
        <v>-0.6000027</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0">D14</f>
        <v>0.27736460000000002</v>
      </c>
      <c r="E72" s="34">
        <f t="shared" si="30"/>
        <v>-0.45438450000000002</v>
      </c>
      <c r="F72" s="34">
        <f t="shared" si="30"/>
        <v>0.2</v>
      </c>
      <c r="G72" s="34">
        <f t="shared" si="30"/>
        <v>-0.6</v>
      </c>
      <c r="H72" s="34">
        <f t="shared" si="30"/>
        <v>0</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c r="V72" s="34">
        <f t="shared" si="30"/>
        <v>0</v>
      </c>
      <c r="W72" s="34">
        <f t="shared" si="30"/>
        <v>0</v>
      </c>
    </row>
    <row r="73" spans="2:23" outlineLevel="1" x14ac:dyDescent="0.2">
      <c r="B73" s="89" t="s">
        <v>121</v>
      </c>
      <c r="C73" s="49"/>
      <c r="D73" s="49">
        <f t="shared" ref="D73:T73" si="31">+D71-D72</f>
        <v>0</v>
      </c>
      <c r="E73" s="49">
        <f t="shared" si="31"/>
        <v>2.7000000000221291E-6</v>
      </c>
      <c r="F73" s="49">
        <f t="shared" si="31"/>
        <v>4.9999999998662226E-7</v>
      </c>
      <c r="G73" s="49">
        <f t="shared" si="31"/>
        <v>-2.7000000000221291E-6</v>
      </c>
      <c r="H73" s="49">
        <f t="shared" si="31"/>
        <v>0</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5" spans="2:23" x14ac:dyDescent="0.2">
      <c r="B75" s="51" t="s">
        <v>187</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1</v>
      </c>
      <c r="Q75" s="51">
        <f t="shared" si="33"/>
        <v>1</v>
      </c>
      <c r="R75" s="51">
        <f t="shared" si="33"/>
        <v>1</v>
      </c>
      <c r="S75" s="51">
        <f t="shared" si="33"/>
        <v>1</v>
      </c>
      <c r="T75" s="51">
        <f t="shared" si="33"/>
        <v>1</v>
      </c>
      <c r="U75" s="51">
        <f t="shared" si="33"/>
        <v>1</v>
      </c>
      <c r="V75" s="51">
        <f t="shared" si="33"/>
        <v>1</v>
      </c>
      <c r="W75" s="51">
        <f t="shared" si="33"/>
        <v>1</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29">
        <f t="shared" ref="E79" si="34">IF((E83-D83*E42/((1+E23/100)*(1+E41/100)))&gt;0,1,0)</f>
        <v>1</v>
      </c>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126</v>
      </c>
      <c r="E80" s="29">
        <f t="shared" ref="E80" si="37">IF(AND(E79=0,ABS(E83-D83*E42/((1+E23/100)*(1+E41/100)))&lt;((D89*D83*E42/((1+E23/100)*(1+E41/100))+(E38*D83*D90*E42/((1+E23/100)*(1+E41/100)))))),1,0)</f>
        <v>0</v>
      </c>
      <c r="F80" s="29">
        <f t="shared" ref="F80" si="38">IF(AND(F79=0,ABS(F83-E83*F42/((1+F23/100)*(1+F41/100)))&lt;((E89*E83*F42/((1+F23/100)*(1+F41/100))+(F38*E83*E90*F42/((1+F23/100)*(1+F41/100)))))),1,0)</f>
        <v>0</v>
      </c>
      <c r="G80" s="29">
        <f t="shared" ref="G80:W80" si="39">IF(AND(G79=0,ABS(G83-F83*G42/((1+G23/100)*(1+G41/100)))&lt;((F89*F83*G42/((1+G23/100)*(1+G41/100))+(G38*F83*F90*G42/((1+G23/100)*(1+G41/100)))))),1,0)</f>
        <v>0</v>
      </c>
      <c r="H80" s="29">
        <f t="shared" si="39"/>
        <v>0</v>
      </c>
      <c r="I80" s="29">
        <f t="shared" si="39"/>
        <v>0</v>
      </c>
      <c r="J80" s="29">
        <f t="shared" si="39"/>
        <v>0</v>
      </c>
      <c r="K80" s="29">
        <f t="shared" si="39"/>
        <v>0</v>
      </c>
      <c r="L80" s="29">
        <f t="shared" si="39"/>
        <v>0</v>
      </c>
      <c r="M80" s="29">
        <f t="shared" si="39"/>
        <v>0</v>
      </c>
      <c r="N80" s="29">
        <f t="shared" si="39"/>
        <v>0</v>
      </c>
      <c r="O80" s="29">
        <f t="shared" si="39"/>
        <v>0</v>
      </c>
      <c r="P80" s="29">
        <f t="shared" si="39"/>
        <v>0</v>
      </c>
      <c r="Q80" s="29">
        <f t="shared" si="39"/>
        <v>0</v>
      </c>
      <c r="R80" s="29">
        <f t="shared" si="39"/>
        <v>0</v>
      </c>
      <c r="S80" s="29">
        <f t="shared" si="39"/>
        <v>0</v>
      </c>
      <c r="T80" s="29">
        <f t="shared" si="39"/>
        <v>0</v>
      </c>
      <c r="U80" s="29">
        <f t="shared" si="39"/>
        <v>0</v>
      </c>
      <c r="V80" s="29">
        <f t="shared" si="39"/>
        <v>0</v>
      </c>
      <c r="W80" s="29">
        <f t="shared" si="39"/>
        <v>0</v>
      </c>
    </row>
    <row r="82" spans="2:24"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4" x14ac:dyDescent="0.2">
      <c r="B83" s="106" t="s">
        <v>104</v>
      </c>
      <c r="C83" s="110">
        <f>C56</f>
        <v>61.088839999999998</v>
      </c>
      <c r="D83" s="110">
        <f>D56</f>
        <v>57.741851922294842</v>
      </c>
      <c r="E83" s="110">
        <f>E56</f>
        <v>56.044964616339108</v>
      </c>
      <c r="F83" s="110">
        <f>F56</f>
        <v>58.47893038104138</v>
      </c>
      <c r="G83" s="110">
        <f>G56</f>
        <v>59.623964733451928</v>
      </c>
      <c r="H83" s="110">
        <f>G83*(1+H97/100)*H42-H59-H60+H61+H62+H63+H64+H65+H71</f>
        <v>61.136174386887234</v>
      </c>
      <c r="I83" s="110">
        <f t="shared" ref="I83:S83" si="40">H83*(1+I97/100)*I42-I59-I60+I61+I62+I63+I64+I65+I71</f>
        <v>61.633447791006731</v>
      </c>
      <c r="J83" s="110">
        <f t="shared" si="40"/>
        <v>60.963732291979113</v>
      </c>
      <c r="K83" s="110">
        <f t="shared" si="40"/>
        <v>59.662364449857016</v>
      </c>
      <c r="L83" s="110">
        <f t="shared" si="40"/>
        <v>58.776038002198135</v>
      </c>
      <c r="M83" s="110">
        <f t="shared" si="40"/>
        <v>58.257254072453634</v>
      </c>
      <c r="N83" s="110">
        <f t="shared" si="40"/>
        <v>57.871853560097378</v>
      </c>
      <c r="O83" s="110">
        <f t="shared" si="40"/>
        <v>57.633340458978793</v>
      </c>
      <c r="P83" s="110">
        <f t="shared" si="40"/>
        <v>57.688125318495572</v>
      </c>
      <c r="Q83" s="110">
        <f t="shared" si="40"/>
        <v>57.889361510284644</v>
      </c>
      <c r="R83" s="110">
        <f t="shared" si="40"/>
        <v>58.220323333701678</v>
      </c>
      <c r="S83" s="110">
        <f t="shared" si="40"/>
        <v>58.697754075271845</v>
      </c>
      <c r="T83" s="110">
        <f>S83*(1+T97/100)*T42-T59-T60+T61+T62+T63+T64+T65+T71</f>
        <v>59.360594839432956</v>
      </c>
      <c r="U83" s="110">
        <f>T83*(1+U97/100)*U42-U59-U60+U61+U62+U63+U64+U65+U71</f>
        <v>60.187202170144744</v>
      </c>
      <c r="V83" s="110">
        <f t="shared" ref="V83:W83" si="41">U83*(1+V97/100)*V42-V59-V60+V61+V62+V63+V64+V65+V71</f>
        <v>61.23207118822743</v>
      </c>
      <c r="W83" s="110">
        <f t="shared" si="41"/>
        <v>62.462518966773672</v>
      </c>
    </row>
    <row r="84" spans="2:24" x14ac:dyDescent="0.2">
      <c r="B84" s="26" t="s">
        <v>127</v>
      </c>
      <c r="C84" s="34"/>
      <c r="D84" s="254">
        <f>'Input data'!C66*$D$83</f>
        <v>52.315862681355028</v>
      </c>
      <c r="E84" s="34">
        <f t="shared" ref="E84" si="42">IF(E83=0,0,IF(E79=1,D83*E42/((1+E23/100)*(1+E41/100))-E85-E86,IF(AND(E79=0,E80=1),(1-D89-E38*D90)*D83*E42/((1+E23/100)*(1+E41/100)),E83)))</f>
        <v>45.918787023684288</v>
      </c>
      <c r="F84" s="34">
        <f t="shared" ref="F84" si="43">IF(F83=0,0,IF(F79=1,E83*F42/((1+F23/100)*(1+F41/100))-F85-F86,IF(AND(F79=0,F80=1),(1-E89-F38*E90)*E83*F42/((1+F23/100)*(1+F41/100)),F83)))</f>
        <v>46.936801284818969</v>
      </c>
      <c r="G84" s="34">
        <f>IF(G83=0,0,IF(G79=1,F83*G42/((1+G23/100)*(1+G41/100))-G85-G86,IF(AND(G79=0,G80=1),(1-F89-G38*F90)*F83*G42/((1+G23/100)*(1+G41/100)),G83)))</f>
        <v>49.796493226638653</v>
      </c>
      <c r="H84" s="34">
        <f t="shared" ref="H84:W84" si="44">IF(H83=0,0,IF(H79=1,G83*H42/((1+H23/100)*(1+H41/100))-H85-H86,IF(AND(H79=0,H80=1),(1-G89-H38*G90)*G83*H42/((1+H23/100)*(1+H41/100)),H83)))</f>
        <v>51.581486909986602</v>
      </c>
      <c r="I84" s="34">
        <f t="shared" si="44"/>
        <v>53.089026673249613</v>
      </c>
      <c r="J84" s="34">
        <f t="shared" si="44"/>
        <v>53.631210153156175</v>
      </c>
      <c r="K84" s="34">
        <f t="shared" si="44"/>
        <v>52.531234145016697</v>
      </c>
      <c r="L84" s="34">
        <f t="shared" si="44"/>
        <v>51.716016758260047</v>
      </c>
      <c r="M84" s="34">
        <f t="shared" si="44"/>
        <v>51.290673027290111</v>
      </c>
      <c r="N84" s="34">
        <f t="shared" si="44"/>
        <v>50.987406240754559</v>
      </c>
      <c r="O84" s="34">
        <f t="shared" si="44"/>
        <v>50.811125328827217</v>
      </c>
      <c r="P84" s="34">
        <f t="shared" si="44"/>
        <v>50.7295244072724</v>
      </c>
      <c r="Q84" s="34">
        <f t="shared" si="44"/>
        <v>50.788205305725157</v>
      </c>
      <c r="R84" s="34">
        <f t="shared" si="44"/>
        <v>50.976081755191018</v>
      </c>
      <c r="S84" s="34">
        <f t="shared" si="44"/>
        <v>51.290984976293906</v>
      </c>
      <c r="T84" s="34">
        <f t="shared" si="44"/>
        <v>51.767846922210175</v>
      </c>
      <c r="U84" s="34">
        <f t="shared" si="44"/>
        <v>52.405833483985305</v>
      </c>
      <c r="V84" s="34">
        <f t="shared" si="44"/>
        <v>53.19238671014979</v>
      </c>
      <c r="W84" s="34">
        <f t="shared" si="44"/>
        <v>54.15469114331998</v>
      </c>
      <c r="X84" s="34"/>
    </row>
    <row r="85" spans="2:24" x14ac:dyDescent="0.2">
      <c r="B85" s="105" t="s">
        <v>128</v>
      </c>
      <c r="C85" s="34"/>
      <c r="D85" s="254">
        <f>'Input data'!C67*$D$83</f>
        <v>1.4670897947637906</v>
      </c>
      <c r="E85" s="34">
        <f t="shared" ref="E85" si="45">IF(E83=0,0,IF(E79=1,E38*D83*D90*E42/((1+E23/100)*(1+E41/100)),IF(AND(E79=0,E80=1),(E38*D83*D90*E42/((1+E23/100)*(1+E41/100)))*(1-ABS(E83-D83*E42/((1+E23/100)*(1+E41/100)))/((E38*D83*D90*E42/((1+E23/100)*(1+E41/100)))+(D89*D83*E42/((1+E23/100)*(1+E41/100))))),0)))</f>
        <v>3.8289375982734377</v>
      </c>
      <c r="F85" s="34">
        <f t="shared" ref="F85" si="46">IF(F83=0,0,IF(F79=1,F38*E83*E90*F42/((1+F23/100)*(1+F41/100)),IF(AND(F79=0,F80=1),(F38*E83*E90*F42/((1+F23/100)*(1+F41/100)))*(1-ABS(F83-E83*F42/((1+F23/100)*(1+F41/100)))/((F38*E83*E90*F42/((1+F23/100)*(1+F41/100)))+(E89*E83*F42/((1+F23/100)*(1+F41/100))))),0)))</f>
        <v>3.641444536495253</v>
      </c>
      <c r="G85" s="34">
        <f t="shared" ref="G85" si="47">IF(G83=0,0,IF(G79=1,G38*F83*F90*G42/((1+G23/100)*(1+G41/100)),IF(AND(G79=0,G80=1),(G38*F83*F90*G42/((1+G23/100)*(1+G41/100)))*(1-ABS(G83-F83*G42/((1+G23/100)*(1+G41/100)))/((G38*F83*F90*G42/((1+G23/100)*(1+G41/100)))+(F89*F83*G42/((1+G23/100)*(1+G41/100))))),0)))</f>
        <v>3.7434019124227138</v>
      </c>
      <c r="H85" s="34">
        <f t="shared" ref="H85:W85" si="48">IF(H83=0,0,IF(H79=1,H38*G83*G90*H42/((1+H23/100)*(1+H41/100)),IF(AND(H79=0,H80=1),(H38*G83*G90*H42/((1+H23/100)*(1+H41/100)))*(1-ABS(H83-G83*H42/((1+H23/100)*(1+H41/100)))/((H38*G83*G90*H42/((1+H23/100)*(1+H41/100)))+(G89*G83*H42/((1+H23/100)*(1+H41/100))))),0)))</f>
        <v>3.7539399899390395</v>
      </c>
      <c r="I85" s="34">
        <f t="shared" si="48"/>
        <v>3.7369594334782308</v>
      </c>
      <c r="J85" s="34">
        <f t="shared" si="48"/>
        <v>3.6477036313138353</v>
      </c>
      <c r="K85" s="34">
        <f t="shared" si="48"/>
        <v>3.448635118809023</v>
      </c>
      <c r="L85" s="34">
        <f t="shared" si="48"/>
        <v>3.2733315044655469</v>
      </c>
      <c r="M85" s="34">
        <f t="shared" si="48"/>
        <v>3.1261587069376851</v>
      </c>
      <c r="N85" s="34">
        <f t="shared" si="48"/>
        <v>2.9886607041323443</v>
      </c>
      <c r="O85" s="34">
        <f t="shared" si="48"/>
        <v>2.8602461409478157</v>
      </c>
      <c r="P85" s="34">
        <f t="shared" si="48"/>
        <v>2.855652683915237</v>
      </c>
      <c r="Q85" s="34">
        <f t="shared" si="48"/>
        <v>2.8589559331989451</v>
      </c>
      <c r="R85" s="34">
        <f t="shared" si="48"/>
        <v>2.8695318235395364</v>
      </c>
      <c r="S85" s="34">
        <f t="shared" si="48"/>
        <v>2.887258270594244</v>
      </c>
      <c r="T85" s="34">
        <f t="shared" si="48"/>
        <v>2.9141016544347909</v>
      </c>
      <c r="U85" s="34">
        <f t="shared" si="48"/>
        <v>2.9500150216252359</v>
      </c>
      <c r="V85" s="34">
        <f t="shared" si="48"/>
        <v>2.9942914633538487</v>
      </c>
      <c r="W85" s="34">
        <f t="shared" si="48"/>
        <v>3.0484612445499839</v>
      </c>
    </row>
    <row r="86" spans="2:24" x14ac:dyDescent="0.2">
      <c r="B86" s="105" t="s">
        <v>129</v>
      </c>
      <c r="C86" s="34"/>
      <c r="D86" s="254">
        <f>'Input data'!C68*$D$83</f>
        <v>2.0088707189722044</v>
      </c>
      <c r="E86" s="34">
        <f t="shared" ref="E86" si="49">IF(E83=0,0,IF(E79=1,(1-D90)*D83*E42/((1+E23/100)*(1+E41/100)),IF(AND(E79=0,E80=1),(D89*D83*E42/((1+E23/100)*(1+E41/100)))*(1-ABS(E83-D83*E42/((1+E23/100)*(1+E41/100)))/((E38*D83*D90*E42/((1+E23/100)*(1+E41/100)))+(D89*D83*E42/((1+E23/100)*(1+E41/100))))),0)))</f>
        <v>1.8581502566395298</v>
      </c>
      <c r="F86" s="34">
        <f t="shared" ref="F86" si="50">IF(F83=0,0,IF(F79=1,(1-E90)*E83*F42/((1+F23/100)*(1+F41/100)),IF(AND(F79=0,F80=1),(E89*E83*F42/((1+F23/100)*(1+F41/100)))*(1-ABS(F83-E83*F42/((1+F23/100)*(1+F41/100)))/((F38*E83*E90*F42/((1+F23/100)*(1+F41/100)))+(E89*E83*F42/((1+F23/100)*(1+F41/100))))),0)))</f>
        <v>1.8451657155057624</v>
      </c>
      <c r="G86" s="34">
        <f t="shared" ref="G86" si="51">IF(G83=0,0,IF(G79=1,(1-F90)*F83*G42/((1+G23/100)*(1+G41/100)),IF(AND(G79=0,G80=1),(F89*F83*G42/((1+G23/100)*(1+G41/100)))*(1-ABS(G83-F83*G42/((1+G23/100)*(1+G41/100)))/((G38*F83*F90*G42/((1+G23/100)*(1+G41/100)))+(F89*F83*G42/((1+G23/100)*(1+G41/100))))),0)))</f>
        <v>1.8972380119201087</v>
      </c>
      <c r="H86" s="34">
        <f t="shared" ref="H86:W86" si="52">IF(H83=0,0,IF(H79=1,(1-G90)*G83*H42/((1+H23/100)*(1+H41/100)),IF(AND(H79=0,H80=1),(G89*G83*H42/((1+H23/100)*(1+H41/100)))*(1-ABS(H83-G83*H42/((1+H23/100)*(1+H41/100)))/((H38*G83*G90*H42/((1+H23/100)*(1+H41/100)))+(G89*G83*H42/((1+H23/100)*(1+H41/100))))),0)))</f>
        <v>1.9257539015442247</v>
      </c>
      <c r="I86" s="34">
        <f t="shared" si="52"/>
        <v>1.9474016318581655</v>
      </c>
      <c r="J86" s="34">
        <f t="shared" si="52"/>
        <v>1.9420495914242</v>
      </c>
      <c r="K86" s="34">
        <f t="shared" si="52"/>
        <v>1.8860277855630798</v>
      </c>
      <c r="L86" s="34">
        <f t="shared" si="52"/>
        <v>1.8406226225887206</v>
      </c>
      <c r="M86" s="34">
        <f t="shared" si="52"/>
        <v>1.8087647599691354</v>
      </c>
      <c r="N86" s="34">
        <f t="shared" si="52"/>
        <v>1.7812966862534538</v>
      </c>
      <c r="O86" s="34">
        <f t="shared" si="52"/>
        <v>1.7583598025676217</v>
      </c>
      <c r="P86" s="34">
        <f t="shared" si="52"/>
        <v>1.7425754504223323</v>
      </c>
      <c r="Q86" s="34">
        <f t="shared" si="52"/>
        <v>1.7312430606819682</v>
      </c>
      <c r="R86" s="34">
        <f t="shared" si="52"/>
        <v>1.7240323863387736</v>
      </c>
      <c r="S86" s="34">
        <f t="shared" si="52"/>
        <v>1.720933907602036</v>
      </c>
      <c r="T86" s="34">
        <f t="shared" si="52"/>
        <v>1.7230706109733998</v>
      </c>
      <c r="U86" s="34">
        <f t="shared" si="52"/>
        <v>1.7303555215032862</v>
      </c>
      <c r="V86" s="34">
        <f t="shared" si="52"/>
        <v>1.7424102825513239</v>
      </c>
      <c r="W86" s="34">
        <f t="shared" si="52"/>
        <v>1.7598702105777693</v>
      </c>
    </row>
    <row r="87" spans="2:24" x14ac:dyDescent="0.2">
      <c r="B87" s="105" t="s">
        <v>130</v>
      </c>
      <c r="C87" s="34"/>
      <c r="D87" s="254">
        <f>'Input data'!C69*$D$83</f>
        <v>1.879813737026427</v>
      </c>
      <c r="E87" s="34">
        <f>IF(E83=0,0,IF(E79=1,'Input data'!$C$58*(E83-D83*E42/((1+E23/100)*(1+E41/100))),0))</f>
        <v>4.3246051694965093</v>
      </c>
      <c r="F87" s="34">
        <f>IF(F83=0,0,IF(F79=1,'Input data'!$C$58*(F83-E83*F42/((1+F23/100)*(1+F41/100))),0))</f>
        <v>5.8993464076770419</v>
      </c>
      <c r="G87" s="34">
        <f>IF(G83=0,0,IF(G79=1,'Input data'!$C$58*(G83-F83*G42/((1+G23/100)*(1+G41/100))),0))</f>
        <v>4.0788527772753822</v>
      </c>
      <c r="H87" s="34">
        <f>IF(H83=0,0,IF(H79=1,'Input data'!$C$58*(H83-G83*H42/((1+H23/100)*(1+H41/100))),0))</f>
        <v>3.7750571133500919</v>
      </c>
      <c r="I87" s="34">
        <f>IF(I83=0,0,IF(I79=1,'Input data'!$C$58*(I83-H83*I42/((1+I23/100)*(1+I41/100))),0))</f>
        <v>2.786298817662785</v>
      </c>
      <c r="J87" s="34">
        <f>IF(J83=0,0,IF(J79=1,'Input data'!$C$58*(J83-I83*J42/((1+J23/100)*(1+J41/100))),0))</f>
        <v>1.6978227314621772</v>
      </c>
      <c r="K87" s="34">
        <f>IF(K83=0,0,IF(K79=1,'Input data'!$C$58*(K83-J83*K42/((1+K23/100)*(1+K41/100))),0))</f>
        <v>1.7501363265634011</v>
      </c>
      <c r="L87" s="34">
        <f>IF(L83=0,0,IF(L79=1,'Input data'!$C$58*(L83-K83*L42/((1+L23/100)*(1+L41/100))),0))</f>
        <v>1.8958778513326791</v>
      </c>
      <c r="M87" s="34">
        <f>IF(M83=0,0,IF(M79=1,'Input data'!$C$58*(M83-L83*M42/((1+M23/100)*(1+M41/100))),0))</f>
        <v>1.9792609261477003</v>
      </c>
      <c r="N87" s="34">
        <f>IF(N83=0,0,IF(N79=1,'Input data'!$C$58*(N83-M83*N42/((1+N23/100)*(1+N41/100))),0))</f>
        <v>2.0599570222402259</v>
      </c>
      <c r="O87" s="34">
        <f>IF(O83=0,0,IF(O79=1,'Input data'!$C$58*(O83-N83*O42/((1+O23/100)*(1+O41/100))),0))</f>
        <v>2.1467778853518782</v>
      </c>
      <c r="P87" s="34">
        <f>IF(P83=0,0,IF(P79=1,'Input data'!$C$58*(P83-O83*P42/((1+P23/100)*(1+P41/100))),0))</f>
        <v>2.2994985269324473</v>
      </c>
      <c r="Q87" s="34">
        <f>IF(Q83=0,0,IF(Q79=1,'Input data'!$C$58*(Q83-P83*Q42/((1+Q23/100)*(1+Q41/100))),0))</f>
        <v>2.4461993731194545</v>
      </c>
      <c r="R87" s="34">
        <f>IF(R83=0,0,IF(R79=1,'Input data'!$C$58*(R83-Q83*R42/((1+R23/100)*(1+R41/100))),0))</f>
        <v>2.5823161342275789</v>
      </c>
      <c r="S87" s="34">
        <f>IF(S83=0,0,IF(S79=1,'Input data'!$C$58*(S83-R83*S42/((1+S23/100)*(1+S41/100))),0))</f>
        <v>2.726401342137005</v>
      </c>
      <c r="T87" s="34">
        <f>IF(T83=0,0,IF(T79=1,'Input data'!$C$58*(T83-S83*T42/((1+T23/100)*(1+T41/100))),0))</f>
        <v>2.8793510601967278</v>
      </c>
      <c r="U87" s="34">
        <f>IF(U83=0,0,IF(U79=1,'Input data'!$C$58*(U83-T83*U42/((1+U23/100)*(1+U41/100))),0))</f>
        <v>3.021023090822339</v>
      </c>
      <c r="V87" s="34">
        <f>IF(V83=0,0,IF(V79=1,'Input data'!$C$58*(V83-U83*V42/((1+V23/100)*(1+V41/100))),0))</f>
        <v>3.2177984772114656</v>
      </c>
      <c r="W87" s="34">
        <f>IF(W83=0,0,IF(W79=1,'Input data'!$C$58*(W83-V83*W42/((1+W23/100)*(1+W41/100))),0))</f>
        <v>3.4092440070371799</v>
      </c>
    </row>
    <row r="88" spans="2:24" x14ac:dyDescent="0.2">
      <c r="B88" s="107" t="s">
        <v>131</v>
      </c>
      <c r="C88" s="49"/>
      <c r="D88" s="255">
        <f>'Input data'!C70*$D$83</f>
        <v>7.0213790177552735E-2</v>
      </c>
      <c r="E88" s="49">
        <f>IF(E83=0,0,IF(E79=1,'Input data'!$C$57*(E83-D83*E42/((1+E23/100)*(1+E41/100))),0))</f>
        <v>0.11448456824533597</v>
      </c>
      <c r="F88" s="49">
        <f>IF(F83=0,0,IF(F79=1,'Input data'!$C$57*(F83-E83*F42/((1+F23/100)*(1+F41/100))),0))</f>
        <v>0.15617243654435423</v>
      </c>
      <c r="G88" s="49">
        <f>IF(G83=0,0,IF(G79=1,'Input data'!$C$57*(G83-F83*G42/((1+G23/100)*(1+G41/100))),0))</f>
        <v>0.10797880519507125</v>
      </c>
      <c r="H88" s="49">
        <f>IF(H83=0,0,IF(H79=1,'Input data'!$C$57*(H83-G83*H42/((1+H23/100)*(1+H41/100))),0))</f>
        <v>9.9936472067272367E-2</v>
      </c>
      <c r="I88" s="49">
        <f>IF(I83=0,0,IF(I79=1,'Input data'!$C$57*(I83-H83*I42/((1+I23/100)*(1+I41/100))),0))</f>
        <v>7.376123475793564E-2</v>
      </c>
      <c r="J88" s="49">
        <f>IF(J83=0,0,IF(J79=1,'Input data'!$C$57*(J83-I83*J42/((1+J23/100)*(1+J41/100))),0))</f>
        <v>4.4946184622721139E-2</v>
      </c>
      <c r="K88" s="49">
        <f>IF(K83=0,0,IF(K79=1,'Input data'!$C$57*(K83-J83*K42/((1+K23/100)*(1+K41/100))),0))</f>
        <v>4.6331073904815355E-2</v>
      </c>
      <c r="L88" s="49">
        <f>IF(L83=0,0,IF(L79=1,'Input data'!$C$57*(L83-K83*L42/((1+L23/100)*(1+L41/100))),0))</f>
        <v>5.0189265551145522E-2</v>
      </c>
      <c r="M88" s="49">
        <f>IF(M83=0,0,IF(M79=1,'Input data'!$C$57*(M83-L83*M42/((1+M23/100)*(1+M41/100))),0))</f>
        <v>5.2396652108998083E-2</v>
      </c>
      <c r="N88" s="49">
        <f>IF(N83=0,0,IF(N79=1,'Input data'!$C$57*(N83-M83*N42/((1+N23/100)*(1+N41/100))),0))</f>
        <v>5.4532906716794456E-2</v>
      </c>
      <c r="O88" s="49">
        <f>IF(O83=0,0,IF(O79=1,'Input data'!$C$57*(O83-N83*O42/((1+O23/100)*(1+O41/100))),0))</f>
        <v>5.6831301284264793E-2</v>
      </c>
      <c r="P88" s="49">
        <f>IF(P83=0,0,IF(P79=1,'Input data'!$C$57*(P83-O83*P42/((1+P23/100)*(1+P41/100))),0))</f>
        <v>6.0874249953157433E-2</v>
      </c>
      <c r="Q88" s="49">
        <f>IF(Q83=0,0,IF(Q79=1,'Input data'!$C$57*(Q83-P83*Q42/((1+Q23/100)*(1+Q41/100))),0))</f>
        <v>6.4757837559121553E-2</v>
      </c>
      <c r="R88" s="49">
        <f>IF(R83=0,0,IF(R79=1,'Input data'!$C$57*(R83-Q83*R42/((1+R23/100)*(1+R41/100))),0))</f>
        <v>6.836123440476502E-2</v>
      </c>
      <c r="S88" s="49">
        <f>IF(S83=0,0,IF(S79=1,'Input data'!$C$57*(S83-R83*S42/((1+S23/100)*(1+S41/100))),0))</f>
        <v>7.2175578644650989E-2</v>
      </c>
      <c r="T88" s="49">
        <f>IF(T83=0,0,IF(T79=1,'Input data'!$C$57*(T83-S83*T42/((1+T23/100)*(1+T41/100))),0))</f>
        <v>7.6224591617863491E-2</v>
      </c>
      <c r="U88" s="49">
        <f>IF(U83=0,0,IF(U79=1,'Input data'!$C$57*(U83-T83*U42/((1+U23/100)*(1+U41/100))),0))</f>
        <v>7.9975052208581754E-2</v>
      </c>
      <c r="V88" s="49">
        <f>IF(V83=0,0,IF(V79=1,'Input data'!$C$57*(V83-U83*V42/((1+V23/100)*(1+V41/100))),0))</f>
        <v>8.5184254961001141E-2</v>
      </c>
      <c r="W88" s="49">
        <f>IF(W83=0,0,IF(W79=1,'Input data'!$C$57*(W83-V83*W42/((1+W23/100)*(1+W41/100))),0))</f>
        <v>9.0252361288762892E-2</v>
      </c>
    </row>
    <row r="89" spans="2:24" x14ac:dyDescent="0.2">
      <c r="B89" s="26" t="s">
        <v>73</v>
      </c>
      <c r="C89" s="34"/>
      <c r="D89" s="260">
        <f>'Baseline NFPC'!$D$93</f>
        <v>3.6006564388469831E-2</v>
      </c>
      <c r="E89" s="34">
        <f t="shared" ref="E89:G89" si="53">IF(E83&lt;&gt;0,(E86+E88)/(E84+E85+E86+E87+E88),0)</f>
        <v>3.5197360519160219E-2</v>
      </c>
      <c r="F89" s="34">
        <f t="shared" si="53"/>
        <v>3.4223234573711389E-2</v>
      </c>
      <c r="G89" s="34">
        <f t="shared" si="53"/>
        <v>3.3631054661988222E-2</v>
      </c>
      <c r="H89" s="34">
        <f t="shared" ref="H89:W89" si="54">IF(H83&lt;&gt;0,(H86+H88)/(H84+H85+H86+H87+H88),0)</f>
        <v>3.3134071503924133E-2</v>
      </c>
      <c r="I89" s="34">
        <f t="shared" si="54"/>
        <v>3.2793279283509752E-2</v>
      </c>
      <c r="J89" s="34">
        <f t="shared" si="54"/>
        <v>3.2593079546547818E-2</v>
      </c>
      <c r="K89" s="34">
        <f t="shared" si="54"/>
        <v>3.238823800038864E-2</v>
      </c>
      <c r="L89" s="34">
        <f t="shared" si="54"/>
        <v>3.216977449329185E-2</v>
      </c>
      <c r="M89" s="34">
        <f t="shared" si="54"/>
        <v>3.1947290371143071E-2</v>
      </c>
      <c r="N89" s="34">
        <f t="shared" si="54"/>
        <v>3.17223223386792E-2</v>
      </c>
      <c r="O89" s="34">
        <f t="shared" si="54"/>
        <v>3.1495503980788167E-2</v>
      </c>
      <c r="P89" s="34">
        <f t="shared" si="54"/>
        <v>3.126206113335564E-2</v>
      </c>
      <c r="Q89" s="34">
        <f t="shared" si="54"/>
        <v>3.1024714237382144E-2</v>
      </c>
      <c r="R89" s="34">
        <f t="shared" si="54"/>
        <v>3.0786390698486311E-2</v>
      </c>
      <c r="S89" s="34">
        <f t="shared" si="54"/>
        <v>3.0548178793131833E-2</v>
      </c>
      <c r="T89" s="34">
        <f t="shared" si="54"/>
        <v>3.0311273117431769E-2</v>
      </c>
      <c r="U89" s="34">
        <f t="shared" si="54"/>
        <v>3.0078330748689697E-2</v>
      </c>
      <c r="V89" s="34">
        <f t="shared" si="54"/>
        <v>2.9847014841198137E-2</v>
      </c>
      <c r="W89" s="34">
        <f t="shared" si="54"/>
        <v>2.9619723995612263E-2</v>
      </c>
    </row>
    <row r="90" spans="2:24" x14ac:dyDescent="0.2">
      <c r="B90" s="35" t="s">
        <v>74</v>
      </c>
      <c r="C90" s="49"/>
      <c r="D90" s="261">
        <f>'Baseline NFPC'!$D$94</f>
        <v>0.96399343561153017</v>
      </c>
      <c r="E90" s="49">
        <f t="shared" ref="E90:G90" si="55">IF(E83&lt;&gt;0,(E84+E85+E87)/(E84+E85+E86+E87+E88),1)</f>
        <v>0.96480263948083966</v>
      </c>
      <c r="F90" s="49">
        <f t="shared" si="55"/>
        <v>0.96577676542628865</v>
      </c>
      <c r="G90" s="49">
        <f t="shared" si="55"/>
        <v>0.96636894533801176</v>
      </c>
      <c r="H90" s="49">
        <f t="shared" ref="H90:W90" si="56">IF(H83&lt;&gt;0,(H84+H85+H87)/(H84+H85+H86+H87+H88),1)</f>
        <v>0.96686592849607589</v>
      </c>
      <c r="I90" s="49">
        <f t="shared" si="56"/>
        <v>0.96720672071649028</v>
      </c>
      <c r="J90" s="49">
        <f t="shared" si="56"/>
        <v>0.96740692045345211</v>
      </c>
      <c r="K90" s="49">
        <f t="shared" si="56"/>
        <v>0.9676117619996113</v>
      </c>
      <c r="L90" s="49">
        <f t="shared" si="56"/>
        <v>0.96783022550670816</v>
      </c>
      <c r="M90" s="49">
        <f t="shared" si="56"/>
        <v>0.96805270962885692</v>
      </c>
      <c r="N90" s="49">
        <f t="shared" si="56"/>
        <v>0.96827767766132078</v>
      </c>
      <c r="O90" s="49">
        <f t="shared" si="56"/>
        <v>0.96850449601921196</v>
      </c>
      <c r="P90" s="49">
        <f t="shared" si="56"/>
        <v>0.96873793886664439</v>
      </c>
      <c r="Q90" s="49">
        <f t="shared" si="56"/>
        <v>0.96897528576261782</v>
      </c>
      <c r="R90" s="49">
        <f t="shared" si="56"/>
        <v>0.96921360930151368</v>
      </c>
      <c r="S90" s="49">
        <f t="shared" si="56"/>
        <v>0.96945182120686813</v>
      </c>
      <c r="T90" s="49">
        <f t="shared" si="56"/>
        <v>0.96968872688256813</v>
      </c>
      <c r="U90" s="49">
        <f t="shared" si="56"/>
        <v>0.96992166925131029</v>
      </c>
      <c r="V90" s="49">
        <f t="shared" si="56"/>
        <v>0.97015298515880188</v>
      </c>
      <c r="W90" s="49">
        <f t="shared" si="56"/>
        <v>0.97038027600438781</v>
      </c>
    </row>
    <row r="92" spans="2:24" x14ac:dyDescent="0.2">
      <c r="B92" s="113" t="s">
        <v>132</v>
      </c>
      <c r="C92" s="51"/>
      <c r="D92" s="51"/>
      <c r="E92" s="52">
        <f t="shared" ref="E92:G92" si="57">E94+E95</f>
        <v>2.2416550000000002</v>
      </c>
      <c r="F92" s="52">
        <f t="shared" si="57"/>
        <v>2.5392969999999999</v>
      </c>
      <c r="G92" s="52">
        <f t="shared" si="57"/>
        <v>2.7068880000000002</v>
      </c>
      <c r="H92" s="52">
        <f t="shared" ref="H92:W92" si="58">H94+H95</f>
        <v>2.8542031799392462</v>
      </c>
      <c r="I92" s="52">
        <f t="shared" si="58"/>
        <v>2.9797826189053516</v>
      </c>
      <c r="J92" s="52">
        <f t="shared" si="58"/>
        <v>3.079122295745492</v>
      </c>
      <c r="K92" s="52">
        <f t="shared" si="58"/>
        <v>3.1566440765560007</v>
      </c>
      <c r="L92" s="52">
        <f t="shared" si="58"/>
        <v>3.2309761614536687</v>
      </c>
      <c r="M92" s="52">
        <f t="shared" si="58"/>
        <v>3.303571488304093</v>
      </c>
      <c r="N92" s="52">
        <f t="shared" si="58"/>
        <v>3.3736437750684782</v>
      </c>
      <c r="O92" s="52">
        <f t="shared" si="58"/>
        <v>3.4413726042867032</v>
      </c>
      <c r="P92" s="52">
        <f t="shared" si="58"/>
        <v>3.5012057925699329</v>
      </c>
      <c r="Q92" s="52">
        <f t="shared" si="58"/>
        <v>3.5564293711903687</v>
      </c>
      <c r="R92" s="52">
        <f t="shared" si="58"/>
        <v>3.6070128478952279</v>
      </c>
      <c r="S92" s="52">
        <f t="shared" si="58"/>
        <v>3.6529623065249202</v>
      </c>
      <c r="T92" s="52">
        <f t="shared" si="58"/>
        <v>3.6944884639871147</v>
      </c>
      <c r="U92" s="52">
        <f t="shared" si="58"/>
        <v>3.7317975591480557</v>
      </c>
      <c r="V92" s="52">
        <f t="shared" si="58"/>
        <v>3.7649959478317192</v>
      </c>
      <c r="W92" s="52">
        <f t="shared" si="58"/>
        <v>3.7945504559485048</v>
      </c>
    </row>
    <row r="93" spans="2:24" x14ac:dyDescent="0.2">
      <c r="B93" s="33" t="s">
        <v>133</v>
      </c>
      <c r="C93" s="97"/>
      <c r="D93" s="97"/>
      <c r="E93" s="266">
        <f>((E35*D83)-(E37*(D86+D88)))/(D84+D85+D87)</f>
        <v>2.1972686505760568</v>
      </c>
      <c r="F93" s="266">
        <f t="shared" ref="F93:G93" si="59">((F35*E83)-(F37*(E86+E88)))/(E84+E85+E87)</f>
        <v>2.5019068017450863</v>
      </c>
      <c r="G93" s="266">
        <f t="shared" si="59"/>
        <v>2.7030082221694394</v>
      </c>
      <c r="H93" s="34">
        <f t="shared" ref="H93:W93" si="60">IF(G83&gt;0,(G93*G84+H36*(G87+G85))/(G84+G85+G87),H36)</f>
        <v>2.855912412284241</v>
      </c>
      <c r="I93" s="34">
        <f t="shared" si="60"/>
        <v>2.9861560332112149</v>
      </c>
      <c r="J93" s="34">
        <f t="shared" si="60"/>
        <v>3.0891787016818628</v>
      </c>
      <c r="K93" s="34">
        <f t="shared" si="60"/>
        <v>3.1696290469001887</v>
      </c>
      <c r="L93" s="34">
        <f t="shared" si="60"/>
        <v>3.2467426178300234</v>
      </c>
      <c r="M93" s="34">
        <f t="shared" si="60"/>
        <v>3.3220161873430341</v>
      </c>
      <c r="N93" s="34">
        <f>IF(M83&gt;0,(M93*M84+N36*(M87+M85))/(M84+M85+M87),N36)</f>
        <v>3.394641643409698</v>
      </c>
      <c r="O93" s="34">
        <f>IF(N83&gt;0,(N93*N84+O36*(N87+N85))/(N84+N85+N87),O36)</f>
        <v>3.4648064041768722</v>
      </c>
      <c r="P93" s="34">
        <f t="shared" si="60"/>
        <v>3.5275929607862606</v>
      </c>
      <c r="Q93" s="34">
        <f t="shared" si="60"/>
        <v>3.5855683426788207</v>
      </c>
      <c r="R93" s="34">
        <f t="shared" si="60"/>
        <v>3.638705492987877</v>
      </c>
      <c r="S93" s="34">
        <f t="shared" si="60"/>
        <v>3.6870165033748004</v>
      </c>
      <c r="T93" s="34">
        <f t="shared" si="60"/>
        <v>3.7307233654411327</v>
      </c>
      <c r="U93" s="34">
        <f t="shared" si="60"/>
        <v>3.7700437397653999</v>
      </c>
      <c r="V93" s="34">
        <f t="shared" si="60"/>
        <v>3.8050944519267409</v>
      </c>
      <c r="W93" s="34">
        <f t="shared" si="60"/>
        <v>3.8363572671512842</v>
      </c>
    </row>
    <row r="94" spans="2:24" x14ac:dyDescent="0.2">
      <c r="B94" s="26" t="s">
        <v>134</v>
      </c>
      <c r="C94" s="97"/>
      <c r="D94" s="97"/>
      <c r="E94" s="34">
        <f t="shared" ref="E94:F94" si="61">(E93*(D84+D85+D87)+E37*(D86+D88))/D83</f>
        <v>2.2416550000000002</v>
      </c>
      <c r="F94" s="34">
        <f t="shared" si="61"/>
        <v>2.5392969999999999</v>
      </c>
      <c r="G94" s="34">
        <f>(G93*(F84+F85+F87)+G37*(F86+F88))/F83</f>
        <v>2.7068880000000002</v>
      </c>
      <c r="H94" s="34">
        <f t="shared" ref="H94:W94" si="62">(H93*(G84+G85+G87)+H37*(G86+G88))/G83</f>
        <v>2.8542031799392462</v>
      </c>
      <c r="I94" s="34">
        <f t="shared" si="62"/>
        <v>2.9797826189053516</v>
      </c>
      <c r="J94" s="34">
        <f t="shared" si="62"/>
        <v>3.079122295745492</v>
      </c>
      <c r="K94" s="34">
        <f t="shared" si="62"/>
        <v>3.1566440765560007</v>
      </c>
      <c r="L94" s="34">
        <f t="shared" si="62"/>
        <v>3.2309761614536687</v>
      </c>
      <c r="M94" s="34">
        <f t="shared" si="62"/>
        <v>3.303571488304093</v>
      </c>
      <c r="N94" s="34">
        <f>(N93*(M84+M85+M87)+N37*(M86+M88))/M83</f>
        <v>3.3736437750684782</v>
      </c>
      <c r="O94" s="34">
        <f>(O93*(N84+N85+N87)+O37*(N86+N88))/N83</f>
        <v>3.4413726042867032</v>
      </c>
      <c r="P94" s="34">
        <f t="shared" si="62"/>
        <v>3.5012057925699329</v>
      </c>
      <c r="Q94" s="34">
        <f t="shared" si="62"/>
        <v>3.5564293711903687</v>
      </c>
      <c r="R94" s="34">
        <f t="shared" si="62"/>
        <v>3.6070128478952279</v>
      </c>
      <c r="S94" s="34">
        <f t="shared" si="62"/>
        <v>3.6529623065249202</v>
      </c>
      <c r="T94" s="34">
        <f t="shared" si="62"/>
        <v>3.6944884639871147</v>
      </c>
      <c r="U94" s="34">
        <f t="shared" si="62"/>
        <v>3.7317975591480557</v>
      </c>
      <c r="V94" s="34">
        <f t="shared" si="62"/>
        <v>3.7649959478317192</v>
      </c>
      <c r="W94" s="34">
        <f t="shared" si="62"/>
        <v>3.7945504559485048</v>
      </c>
    </row>
    <row r="95" spans="2:24" x14ac:dyDescent="0.2">
      <c r="B95" s="35" t="s">
        <v>135</v>
      </c>
      <c r="C95" s="35"/>
      <c r="D95" s="35"/>
      <c r="E95" s="49">
        <f>IF('Criteria results'!$F$5=4,E105,E110)</f>
        <v>0</v>
      </c>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8"/>
      <c r="H96" s="98"/>
      <c r="I96" s="98"/>
      <c r="J96" s="98"/>
      <c r="K96" s="98"/>
      <c r="L96" s="98"/>
      <c r="M96" s="98"/>
      <c r="N96" s="98"/>
      <c r="O96" s="98"/>
      <c r="P96" s="98"/>
      <c r="Q96" s="98"/>
      <c r="R96" s="98"/>
      <c r="S96" s="98"/>
      <c r="T96" s="98"/>
      <c r="U96" s="98"/>
      <c r="V96" s="98"/>
      <c r="W96" s="98"/>
    </row>
    <row r="97" spans="1:54" x14ac:dyDescent="0.2">
      <c r="B97" s="113" t="s">
        <v>186</v>
      </c>
      <c r="C97" s="52">
        <f t="shared" ref="C97:T97" si="63">((1+C92/100)/((1+C23/100)*(1+C41/100))-1)*100</f>
        <v>-6.7782815538576351</v>
      </c>
      <c r="D97" s="52">
        <f t="shared" si="63"/>
        <v>-8.6710052529079817</v>
      </c>
      <c r="E97" s="52">
        <f t="shared" si="63"/>
        <v>-8.6231237887700161</v>
      </c>
      <c r="F97" s="52">
        <f t="shared" si="63"/>
        <v>-4.0866596646922932</v>
      </c>
      <c r="G97" s="52">
        <f>((1+G92/100)/((1+G23/100)*(1+G41/100))-1)*100</f>
        <v>-2.6354285576598135</v>
      </c>
      <c r="H97" s="52">
        <f t="shared" si="63"/>
        <v>-1.2217125981678567</v>
      </c>
      <c r="I97" s="52">
        <f t="shared" si="63"/>
        <v>-1.0001729124486047</v>
      </c>
      <c r="J97" s="52">
        <f t="shared" si="63"/>
        <v>-0.95564754067843927</v>
      </c>
      <c r="K97" s="52">
        <f t="shared" si="63"/>
        <v>-2.0851984995709283</v>
      </c>
      <c r="L97" s="52">
        <f t="shared" si="63"/>
        <v>-1.6697808775487211</v>
      </c>
      <c r="M97" s="52">
        <f t="shared" si="63"/>
        <v>-1.1790327430101555</v>
      </c>
      <c r="N97" s="52">
        <f t="shared" si="63"/>
        <v>-1.0622464513335483</v>
      </c>
      <c r="O97" s="52">
        <f t="shared" si="63"/>
        <v>-0.9237283208208491</v>
      </c>
      <c r="P97" s="52">
        <f t="shared" si="63"/>
        <v>-0.63929912364781849</v>
      </c>
      <c r="Q97" s="52">
        <f t="shared" si="63"/>
        <v>-0.58976987240161316</v>
      </c>
      <c r="R97" s="52">
        <f t="shared" si="63"/>
        <v>-0.54467913879020502</v>
      </c>
      <c r="S97" s="52">
        <f t="shared" si="63"/>
        <v>-0.47950662606294214</v>
      </c>
      <c r="T97" s="52">
        <f t="shared" si="63"/>
        <v>-0.35581933916818409</v>
      </c>
      <c r="U97" s="52">
        <f>((1+U92/100)/((1+U23/100)*(1+U41/100))-1)*100</f>
        <v>-0.24266812725625142</v>
      </c>
      <c r="V97" s="52">
        <f t="shared" ref="V97:W97" si="64">((1+V92/100)/((1+V23/100)*(1+V41/100))-1)*100</f>
        <v>-0.12807686405746921</v>
      </c>
      <c r="W97" s="52">
        <f t="shared" si="64"/>
        <v>-5.1716275988678007E-2</v>
      </c>
    </row>
    <row r="100" spans="1:54" s="25" customFormat="1" ht="12.75" outlineLevel="1" x14ac:dyDescent="0.2">
      <c r="B100" s="25" t="s">
        <v>136</v>
      </c>
      <c r="C100" s="112"/>
      <c r="D100" s="112"/>
      <c r="E100" s="112"/>
      <c r="F100" s="112"/>
      <c r="G100" s="112"/>
      <c r="H100" s="112"/>
      <c r="I100" s="112"/>
      <c r="J100" s="112"/>
      <c r="K100" s="112"/>
      <c r="L100" s="112"/>
      <c r="M100" s="112"/>
      <c r="N100" s="112"/>
      <c r="O100" s="112"/>
      <c r="P100" s="112"/>
      <c r="Q100" s="112"/>
      <c r="R100" s="112"/>
      <c r="S100" s="112"/>
      <c r="T100" s="112"/>
      <c r="U100" s="112"/>
      <c r="V100" s="112"/>
      <c r="W100" s="112"/>
    </row>
    <row r="101" spans="1:54" s="127" customFormat="1" ht="12.75" outlineLevel="1" x14ac:dyDescent="0.2">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s="127" customFormat="1" ht="12.75" outlineLevel="1" x14ac:dyDescent="0.2">
      <c r="B102" s="106" t="s">
        <v>293</v>
      </c>
      <c r="C102" s="129"/>
      <c r="D102" s="129"/>
      <c r="E102" s="129"/>
      <c r="F102" s="129"/>
      <c r="G102" s="129"/>
      <c r="H102" s="129"/>
      <c r="I102" s="129"/>
      <c r="J102" s="129"/>
      <c r="K102" s="129"/>
      <c r="L102" s="129"/>
      <c r="M102" s="129"/>
      <c r="N102" s="129"/>
      <c r="O102" s="129"/>
      <c r="P102" s="129"/>
      <c r="Q102" s="129"/>
      <c r="R102" s="129"/>
      <c r="S102" s="129"/>
      <c r="T102" s="129"/>
      <c r="U102" s="129"/>
      <c r="V102" s="129"/>
      <c r="W102" s="129"/>
    </row>
    <row r="103" spans="1:54" outlineLevel="1" x14ac:dyDescent="0.2">
      <c r="B103" s="120" t="s">
        <v>43</v>
      </c>
      <c r="C103" s="34">
        <v>61.088844299316406</v>
      </c>
      <c r="D103" s="34">
        <v>57.741855621337891</v>
      </c>
      <c r="E103" s="34">
        <v>56.044967651367188</v>
      </c>
      <c r="F103" s="34">
        <v>58.478935241699219</v>
      </c>
      <c r="G103" s="34">
        <v>59.623966217041016</v>
      </c>
      <c r="H103" s="34">
        <v>61.136177062988281</v>
      </c>
      <c r="I103" s="34">
        <v>61.633457183837891</v>
      </c>
      <c r="J103" s="34">
        <v>60.963733673095703</v>
      </c>
      <c r="K103" s="34">
        <v>59.662376403808594</v>
      </c>
      <c r="L103" s="34">
        <v>58.77606201171875</v>
      </c>
      <c r="M103" s="34">
        <v>58.257289886474609</v>
      </c>
      <c r="N103" s="34">
        <v>57.871883392333984</v>
      </c>
      <c r="O103" s="34">
        <v>57.63336181640625</v>
      </c>
      <c r="P103" s="34">
        <v>57.688148498535156</v>
      </c>
      <c r="Q103" s="34">
        <v>57.889381408691406</v>
      </c>
      <c r="R103" s="34">
        <v>58.220329284667969</v>
      </c>
      <c r="S103" s="34">
        <v>58.697757720947266</v>
      </c>
      <c r="T103" s="34">
        <v>59.360595703125</v>
      </c>
      <c r="U103" s="34">
        <v>60.187210083007813</v>
      </c>
      <c r="V103" s="34">
        <v>61.232089996337891</v>
      </c>
      <c r="W103" s="34">
        <v>62.462543487548828</v>
      </c>
      <c r="X103" s="34"/>
      <c r="Y103" s="34"/>
      <c r="Z103" s="34"/>
    </row>
    <row r="104" spans="1:54" s="5" customFormat="1" ht="12.75" x14ac:dyDescent="0.2">
      <c r="A104" s="26"/>
      <c r="B104" s="26" t="s">
        <v>132</v>
      </c>
      <c r="C104" s="1">
        <v>1.9985023736953735</v>
      </c>
      <c r="D104" s="1">
        <v>1.8598021268844604</v>
      </c>
      <c r="E104" s="1">
        <v>2.241654634475708</v>
      </c>
      <c r="F104" s="1">
        <v>2.5392966270446777</v>
      </c>
      <c r="G104" s="1">
        <v>2.70688796043396</v>
      </c>
      <c r="H104" s="1">
        <v>2.8542029857635498</v>
      </c>
      <c r="I104" s="1">
        <v>2.9797823429107666</v>
      </c>
      <c r="J104" s="1">
        <v>3.0791223049163818</v>
      </c>
      <c r="K104" s="1">
        <v>3.1566438674926758</v>
      </c>
      <c r="L104" s="1">
        <v>3.2309761047363281</v>
      </c>
      <c r="M104" s="1">
        <v>3.3035717010498047</v>
      </c>
      <c r="N104" s="1">
        <v>3.3736441135406494</v>
      </c>
      <c r="O104" s="1">
        <v>3.4413726329803467</v>
      </c>
      <c r="P104" s="1">
        <v>3.5012059211730957</v>
      </c>
      <c r="Q104" s="1">
        <v>3.556429386138916</v>
      </c>
      <c r="R104" s="1">
        <v>3.6070127487182617</v>
      </c>
      <c r="S104" s="1">
        <v>3.6529622077941895</v>
      </c>
      <c r="T104" s="1">
        <v>3.694488525390625</v>
      </c>
      <c r="U104" s="99">
        <v>3.7317976951599121</v>
      </c>
      <c r="V104" s="99">
        <v>3.7649962902069092</v>
      </c>
      <c r="W104" s="99">
        <v>3.794550895690918</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t="s">
        <v>185</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106" t="s">
        <v>294</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20" t="s">
        <v>43</v>
      </c>
      <c r="C108" s="34">
        <v>61.088844299316406</v>
      </c>
      <c r="D108" s="34">
        <v>57.741855621337891</v>
      </c>
      <c r="E108" s="34">
        <v>56.044967651367188</v>
      </c>
      <c r="F108" s="34">
        <v>58.478935241699219</v>
      </c>
      <c r="G108" s="34">
        <v>59.777347564697266</v>
      </c>
      <c r="H108" s="34">
        <v>61.914356231689453</v>
      </c>
      <c r="I108" s="34">
        <v>63.522014617919922</v>
      </c>
      <c r="J108" s="34">
        <v>64.454345703125</v>
      </c>
      <c r="K108" s="34">
        <v>64.654975891113281</v>
      </c>
      <c r="L108" s="34">
        <v>64.127777099609375</v>
      </c>
      <c r="M108" s="34">
        <v>62.870491027832031</v>
      </c>
      <c r="N108" s="34">
        <v>61.317699432373047</v>
      </c>
      <c r="O108" s="34">
        <v>60.231300354003906</v>
      </c>
      <c r="P108" s="34">
        <v>59.465618133544922</v>
      </c>
      <c r="Q108" s="34">
        <v>58.795146942138672</v>
      </c>
      <c r="R108" s="34">
        <v>58.203044891357422</v>
      </c>
      <c r="S108" s="34">
        <v>57.841552734375</v>
      </c>
      <c r="T108" s="34">
        <v>57.665660858154297</v>
      </c>
      <c r="U108" s="34">
        <v>57.652488708496094</v>
      </c>
      <c r="V108" s="34">
        <v>57.855144500732422</v>
      </c>
      <c r="W108" s="34">
        <v>58.240787506103516</v>
      </c>
      <c r="X108" s="34"/>
      <c r="Y108" s="34"/>
      <c r="Z108" s="34"/>
    </row>
    <row r="109" spans="1:54" x14ac:dyDescent="0.2">
      <c r="B109" s="26" t="s">
        <v>132</v>
      </c>
      <c r="C109" s="1">
        <v>1.9985023736953735</v>
      </c>
      <c r="D109" s="1">
        <v>1.8598021268844604</v>
      </c>
      <c r="E109" s="1">
        <v>2.241654634475708</v>
      </c>
      <c r="F109" s="1">
        <v>2.5392966270446777</v>
      </c>
      <c r="G109" s="1">
        <v>2.70688796043396</v>
      </c>
      <c r="H109" s="1">
        <v>2.8600950241088867</v>
      </c>
      <c r="I109" s="1">
        <v>2.9957270622253418</v>
      </c>
      <c r="J109" s="1">
        <v>3.1086156368255615</v>
      </c>
      <c r="K109" s="1">
        <v>3.2034740447998047</v>
      </c>
      <c r="L109" s="1">
        <v>3.2836165428161621</v>
      </c>
      <c r="M109" s="1">
        <v>3.3512592315673828</v>
      </c>
      <c r="N109" s="1">
        <v>3.4077279567718506</v>
      </c>
      <c r="O109" s="1">
        <v>3.4635200500488281</v>
      </c>
      <c r="P109" s="1">
        <v>3.5146017074584961</v>
      </c>
      <c r="Q109" s="1">
        <v>3.5618119239807129</v>
      </c>
      <c r="R109" s="1">
        <v>3.6052095890045166</v>
      </c>
      <c r="S109" s="1">
        <v>3.6448512077331543</v>
      </c>
      <c r="T109" s="1">
        <v>3.6813459396362305</v>
      </c>
      <c r="U109" s="1">
        <v>3.7147936820983887</v>
      </c>
      <c r="V109" s="1">
        <v>3.7451722621917725</v>
      </c>
      <c r="W109" s="1">
        <v>3.7728517055511475</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185</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1"/>
      <c r="H114" s="121"/>
      <c r="I114" s="121"/>
      <c r="J114" s="121"/>
      <c r="K114" s="121"/>
      <c r="L114" s="121"/>
      <c r="M114" s="121"/>
      <c r="N114" s="121"/>
      <c r="O114" s="121"/>
      <c r="P114" s="121"/>
      <c r="Q114" s="121"/>
      <c r="R114" s="121"/>
      <c r="S114" s="121"/>
      <c r="T114" s="121"/>
      <c r="U114" s="121"/>
      <c r="V114" s="121"/>
      <c r="W114"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7" spans="5:23" x14ac:dyDescent="0.2">
      <c r="E117" s="34"/>
      <c r="F117" s="34"/>
      <c r="G117" s="121"/>
      <c r="H117" s="121"/>
      <c r="I117" s="121"/>
      <c r="J117" s="121"/>
      <c r="K117" s="121"/>
      <c r="L117" s="121"/>
      <c r="M117" s="121"/>
      <c r="N117" s="121"/>
      <c r="O117" s="121"/>
      <c r="P117" s="121"/>
      <c r="Q117" s="121"/>
      <c r="R117" s="121"/>
      <c r="S117" s="121"/>
      <c r="T117" s="121"/>
      <c r="U117" s="121"/>
      <c r="V117" s="121"/>
      <c r="W117" s="121"/>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1"/>
      <c r="H120" s="121"/>
      <c r="I120" s="121"/>
      <c r="J120" s="121"/>
      <c r="K120" s="121"/>
      <c r="L120" s="121"/>
      <c r="M120" s="121"/>
      <c r="N120" s="121"/>
      <c r="O120" s="121"/>
      <c r="P120" s="121"/>
      <c r="Q120" s="121"/>
      <c r="R120" s="121"/>
      <c r="S120" s="121"/>
      <c r="T120" s="121"/>
      <c r="U120" s="121"/>
      <c r="V120" s="121"/>
      <c r="W120" s="121"/>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G125" s="121"/>
      <c r="H125" s="121"/>
      <c r="I125" s="121"/>
      <c r="J125" s="121"/>
      <c r="K125" s="121"/>
      <c r="L125" s="121"/>
      <c r="M125" s="121"/>
      <c r="N125" s="121"/>
      <c r="O125" s="121"/>
      <c r="P125" s="121"/>
      <c r="Q125" s="121"/>
      <c r="R125" s="121"/>
      <c r="S125" s="121"/>
      <c r="T125" s="121"/>
      <c r="U125" s="121"/>
      <c r="V125" s="121"/>
      <c r="W125" s="121"/>
    </row>
    <row r="126" spans="5:23" x14ac:dyDescent="0.2">
      <c r="E126" s="34"/>
      <c r="F126" s="34"/>
      <c r="G126" s="121"/>
      <c r="H126" s="121"/>
      <c r="I126" s="121"/>
      <c r="J126" s="121"/>
      <c r="K126" s="121"/>
      <c r="L126" s="121"/>
      <c r="M126" s="121"/>
      <c r="N126" s="121"/>
      <c r="O126" s="121"/>
      <c r="P126" s="121"/>
      <c r="Q126" s="121"/>
      <c r="R126" s="121"/>
      <c r="S126" s="121"/>
      <c r="T126" s="121"/>
      <c r="U126" s="121"/>
      <c r="V126" s="121"/>
      <c r="W126" s="121"/>
    </row>
    <row r="127" spans="5:23"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BB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SK</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-4.222766</v>
      </c>
      <c r="D12" s="2">
        <f>'Input data'!D13</f>
        <v>-0.85058520000000004</v>
      </c>
      <c r="E12" s="2">
        <f>'Input data'!E13</f>
        <v>-3.5136029999999998</v>
      </c>
      <c r="F12" s="2">
        <f>'Input data'!F13</f>
        <v>-4.2628820000000003</v>
      </c>
      <c r="G12" s="3">
        <f>'Adjust. no safeguard'!G12</f>
        <v>-2.9628820000000005</v>
      </c>
      <c r="H12" s="3">
        <f>'Adjust. no safeguard'!H12</f>
        <v>-1.6628820000000004</v>
      </c>
      <c r="I12" s="3">
        <f>'Adjust. no safeguard'!I12</f>
        <v>-0.36288200000000037</v>
      </c>
      <c r="J12" s="3">
        <f>'Adjust. no safeguard'!J12</f>
        <v>0.93711799999999967</v>
      </c>
      <c r="K12" s="119">
        <f>'Adjust. no safeguard'!K12</f>
        <v>0.93711799999999967</v>
      </c>
      <c r="L12" s="119">
        <f>'Adjust. no safeguard'!L12</f>
        <v>0.93711799999999967</v>
      </c>
      <c r="M12" s="119">
        <f>'Adjust. no safeguard'!M12</f>
        <v>0.93711799999999967</v>
      </c>
      <c r="N12" s="119">
        <f>IF(N10&lt;=$C$6,M12+'Criteria results'!$F$6,M12)</f>
        <v>0.93711799999999967</v>
      </c>
      <c r="O12" s="119">
        <f>IF(O10&lt;=$C$6,N12+'Criteria results'!$F$6,N12)</f>
        <v>0.93711799999999967</v>
      </c>
      <c r="P12" s="119">
        <f>IF(P10&lt;=$C$6,O12+'Criteria results'!$F$6,O12)</f>
        <v>0.93711799999999967</v>
      </c>
      <c r="Q12" s="119">
        <f>IF(Q10&lt;=$C$6,P12+'Criteria results'!$F$6,P12)</f>
        <v>0.93711799999999967</v>
      </c>
      <c r="R12" s="119">
        <f>IF(R10&lt;=$C$6,Q12+'Criteria results'!$F$6,Q12)</f>
        <v>0.93711799999999967</v>
      </c>
      <c r="S12" s="119">
        <f>IF(S10&lt;=$C$6,R12+'Criteria results'!$F$6,R12)</f>
        <v>0.93711799999999967</v>
      </c>
      <c r="T12" s="119">
        <f>IF(T10&lt;=$C$6,S12+'Criteria results'!$F$6,S12)</f>
        <v>0.93711799999999967</v>
      </c>
      <c r="U12" s="119">
        <f>IF(U10&lt;=$C$6,T12+'Criteria results'!$F$6,T12)</f>
        <v>0.93711799999999967</v>
      </c>
      <c r="V12" s="119">
        <f>IF(V10&lt;=$C$6,U12+'Criteria results'!$F$6,U12)</f>
        <v>0.93711799999999967</v>
      </c>
      <c r="W12" s="119">
        <f>IF(W10&lt;=$C$6,V12+'Criteria results'!$F$6,V12)</f>
        <v>0.93711799999999967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1.0478270000000001</v>
      </c>
      <c r="D14" s="2">
        <f>'Input data'!D15</f>
        <v>0.27736460000000002</v>
      </c>
      <c r="E14" s="2">
        <f>'Input data'!E15</f>
        <v>-0.45438450000000002</v>
      </c>
      <c r="F14" s="2">
        <f>'Input data'!F15</f>
        <v>0.2</v>
      </c>
      <c r="G14" s="2">
        <f>'Input data'!G15</f>
        <v>-0.6</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1">
        <f>'Input data'!C20</f>
        <v>0</v>
      </c>
      <c r="D17" s="101">
        <f>'Input data'!D20</f>
        <v>18.962240000000001</v>
      </c>
      <c r="E17" s="101">
        <f>'Input data'!E20</f>
        <v>20.503689999999999</v>
      </c>
      <c r="F17" s="101">
        <f>'Input data'!F20</f>
        <v>20.335599999999999</v>
      </c>
      <c r="G17" s="101">
        <f>'Input data'!G20</f>
        <v>20.668779999999998</v>
      </c>
      <c r="H17" s="101">
        <f>'Input data'!H20</f>
        <v>21.016960000000001</v>
      </c>
      <c r="I17" s="101">
        <f>'Input data'!I20</f>
        <v>21.357330000000001</v>
      </c>
      <c r="J17" s="101">
        <f>'Input data'!J20</f>
        <v>21.584160000000001</v>
      </c>
      <c r="K17" s="101">
        <f>'Input data'!K20</f>
        <v>21.737720000000003</v>
      </c>
      <c r="L17" s="101">
        <f>'Input data'!L20</f>
        <v>21.863299999999999</v>
      </c>
      <c r="M17" s="101">
        <f>'Input data'!M20</f>
        <v>22.01473</v>
      </c>
      <c r="N17" s="101">
        <f>'Input data'!N20</f>
        <v>22.161089999999998</v>
      </c>
      <c r="O17" s="101">
        <f>'Input data'!O20</f>
        <v>22.310850000000002</v>
      </c>
      <c r="P17" s="101">
        <f>'Input data'!P20</f>
        <v>22.436720000000001</v>
      </c>
      <c r="Q17" s="101">
        <f>'Input data'!Q20</f>
        <v>22.553650000000001</v>
      </c>
      <c r="R17" s="101">
        <f>'Input data'!R20</f>
        <v>22.657159999999998</v>
      </c>
      <c r="S17" s="101">
        <f>'Input data'!S20</f>
        <v>22.766190000000002</v>
      </c>
      <c r="T17" s="101">
        <f>'Input data'!T20</f>
        <v>22.879989999999999</v>
      </c>
      <c r="U17" s="101">
        <f>'Input data'!U20</f>
        <v>22.977649999999997</v>
      </c>
      <c r="V17" s="101">
        <f>'Input data'!V20</f>
        <v>23.127649999999999</v>
      </c>
      <c r="W17" s="101">
        <f>'Input data'!W20</f>
        <v>23.266509999999997</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1">
        <f>'Input data'!C26</f>
        <v>0.75515319999999997</v>
      </c>
      <c r="D18" s="101">
        <f>'Input data'!D26</f>
        <v>0.6825677</v>
      </c>
      <c r="E18" s="101">
        <f>'Input data'!E26</f>
        <v>0.68126889999999996</v>
      </c>
      <c r="F18" s="101">
        <f>'Input data'!F26</f>
        <v>0.67997019999999997</v>
      </c>
      <c r="G18" s="101">
        <f>'Input data'!G26</f>
        <v>0.67867149999999998</v>
      </c>
      <c r="H18" s="101">
        <f>'Input data'!H26</f>
        <v>0.6773728</v>
      </c>
      <c r="I18" s="101">
        <f>'Input data'!I26</f>
        <v>0.67607399999999995</v>
      </c>
      <c r="J18" s="101">
        <f>'Input data'!J26</f>
        <v>0.67477529999999997</v>
      </c>
      <c r="K18" s="101">
        <f>'Input data'!K26</f>
        <v>0.67347659999999998</v>
      </c>
      <c r="L18" s="101">
        <f>'Input data'!L26</f>
        <v>0.67217789999999999</v>
      </c>
      <c r="M18" s="101">
        <f>'Input data'!M26</f>
        <v>0.67087909999999995</v>
      </c>
      <c r="N18" s="101">
        <f>'Input data'!N26</f>
        <v>0.66958050000000002</v>
      </c>
      <c r="O18" s="101">
        <f>'Input data'!O26</f>
        <v>0.66828169999999998</v>
      </c>
      <c r="P18" s="101">
        <f>'Input data'!P26</f>
        <v>0.66698299999999999</v>
      </c>
      <c r="Q18" s="101">
        <f>'Input data'!Q26</f>
        <v>0.66568430000000001</v>
      </c>
      <c r="R18" s="101">
        <f>'Input data'!R26</f>
        <v>0.66438569999999997</v>
      </c>
      <c r="S18" s="101">
        <f>'Input data'!S26</f>
        <v>0.66308699999999998</v>
      </c>
      <c r="T18" s="101">
        <f>'Input data'!T26</f>
        <v>0.66178820000000005</v>
      </c>
      <c r="U18" s="101">
        <f>'Input data'!U26</f>
        <v>0.66048960000000001</v>
      </c>
      <c r="V18" s="101">
        <f>'Input data'!V26</f>
        <v>0.65919090000000002</v>
      </c>
      <c r="W18" s="101">
        <f>'Input data'!W26</f>
        <v>0.65789220000000004</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88</v>
      </c>
      <c r="K20" s="38"/>
      <c r="L20" s="38"/>
      <c r="M20" s="38"/>
    </row>
    <row r="21" spans="1:54" ht="10.5" customHeight="1" x14ac:dyDescent="0.2">
      <c r="B21" s="30" t="s">
        <v>89</v>
      </c>
    </row>
    <row r="22" spans="1:54" x14ac:dyDescent="0.2">
      <c r="B22" s="26" t="s">
        <v>61</v>
      </c>
      <c r="C22" s="34">
        <f>'Input data'!C31</f>
        <v>90.819270000000003</v>
      </c>
      <c r="D22" s="100">
        <f>IF(AND(D50&gt;1,C50&gt;1),IF(AND(D50&gt;0,C50&gt;0),D27*(D51/100+1),0)+IF(D50&gt;0,C22*(1+D52/100),0)-C22*(1+'Input data'!D30/100),IF(D50=1,D27,C22*(1+D52/100)))</f>
        <v>92.517623952129895</v>
      </c>
      <c r="E22" s="100">
        <f>IF(AND(E50&gt;1,D50&gt;1),IF(AND(E50&gt;0,D50&gt;0),E27*(E51/100+1),0)+IF(E50&gt;0,D22*(1+E52/100),0)-D22*(1+'Input data'!E30/100),IF(E50=1,E27,D22*(1+E52/100)))</f>
        <v>93.99462526041863</v>
      </c>
      <c r="F22" s="100">
        <f>IF(AND(F50&gt;1,E50&gt;1),IF(AND(F50&gt;0,E50&gt;0),F27*(F51/100+1),0)+IF(F50&gt;0,E22*(1+F52/100),0)-E22*(1+'Input data'!F30/100),IF(F50=1,F27,E22*(1+F52/100)))</f>
        <v>96.088680759497848</v>
      </c>
      <c r="G22" s="34">
        <f>IF(AND(G50&gt;1,F50&gt;1),IF(AND(G50&gt;0,F50&gt;0),G27*(G51/100+1),0)+IF(G50&gt;0,F22*(1+G52/100),0)-F22*(1+'Input data'!G30/100),IF(G50=1,G27,F22*(1+G52/100)))</f>
        <v>98.246123394892152</v>
      </c>
      <c r="H22" s="34">
        <f>IF(AND(H50&gt;1,G50&gt;1),IF(AND(H50&gt;0,G50&gt;0),H27*(H51/100+1),0)+IF(H50&gt;0,G22*(1+H52/100),0)-G22*(1+'Input data'!H30/100),IF(H50=1,H27,G22*(1+H52/100)))</f>
        <v>99.230952445979725</v>
      </c>
      <c r="I22" s="34">
        <f>IF(AND(I50&gt;1,H50&gt;1),IF(AND(I50&gt;0,H50&gt;0),I27*(I51/100+1),0)+IF(I50&gt;0,H22*(1+I52/100),0)-H22*(1+'Input data'!I30/100),IF(I50=1,I27,H22*(1+I52/100)))</f>
        <v>100.19884884789428</v>
      </c>
      <c r="J22" s="34">
        <f>IF(AND(J50&gt;1,I50&gt;1),IF(AND(J50&gt;0,I50&gt;0),J27*(J51/100+1),0)+IF(J50&gt;0,I22*(1+J52/100),0)-I22*(1+'Input data'!J30/100),IF(J50=1,J27,I22*(1+J52/100)))</f>
        <v>101.30452937245487</v>
      </c>
      <c r="K22" s="4">
        <f>IF(AND(K50&gt;1,J50&gt;1),IF(AND(K50&gt;0,J50&gt;0),K27*(K51/100+1),0)+IF(K50&gt;0,J22*(1+K52/100),0)-J22*(1+'Adverse (r-g)'!K24/100),IF(K50=1,K27,J22*(1+K52/100)))</f>
        <v>103.05970602842498</v>
      </c>
      <c r="L22" s="4">
        <f>IF(AND(L50&gt;1,K50&gt;1),IF(AND(L50&gt;0,K50&gt;0),L27*(L51/100+1),0)+IF(L50&gt;0,K22*(1+L52/100),0)-K22*(1+'Adverse (r-g)'!L24/100),IF(L50=1,L27,K22*(1+L52/100)))</f>
        <v>104.88452478255836</v>
      </c>
      <c r="M22" s="4">
        <f>IF(AND(M50&gt;1,L50&gt;1),IF(AND(M50&gt;0,L50&gt;0),M27*(M51/100+1),0)+IF(M50&gt;0,L22*(1+M52/100),0)-L22*(1+'Adverse (r-g)'!M24/100),IF(M50=1,M27,L22*(1+M52/100)))</f>
        <v>106.78106082805917</v>
      </c>
      <c r="N22" s="4">
        <f>IF(AND(N50&gt;1,M50&gt;1),IF(AND(N50&gt;0,M50&gt;0),N27*(N51/100+1),0)+IF(N50&gt;0,M22*(1+N52/100),0)-M22*(1+'Adverse (r-g)'!N24/100),IF(N50=1,N27,M22*(1+N52/100)))</f>
        <v>107.92532560808205</v>
      </c>
      <c r="O22" s="4">
        <f>IF(AND(O50&gt;1,N50&gt;1),IF(AND(O50&gt;0,N50&gt;0),O27*(O51/100+1),0)+IF(O50&gt;0,N22*(1+O52/100),0)-N22*(1+'Adverse (r-g)'!O24/100),IF(O50=1,O27,N22*(1+O52/100)))</f>
        <v>109.08374856601594</v>
      </c>
      <c r="P22" s="4">
        <f>IF(AND(P50&gt;1,O50&gt;1),IF(AND(P50&gt;0,O50&gt;0),P27*(P51/100+1),0)+IF(P50&gt;0,O22*(1+P52/100),0)-O22*(1+'Adverse (r-g)'!P24/100),IF(P50=1,P27,O22*(1+P52/100)))</f>
        <v>110.28822950093219</v>
      </c>
      <c r="Q22" s="4">
        <f>IF(AND(Q50&gt;1,P50&gt;1),IF(AND(Q50&gt;0,P50&gt;0),Q27*(Q51/100+1),0)+IF(Q50&gt;0,P22*(1+Q52/100),0)-P22*(1+'Adverse (r-g)'!Q24/100),IF(Q50=1,Q27,P22*(1+Q52/100)))</f>
        <v>111.54000531729695</v>
      </c>
      <c r="R22" s="4">
        <f>IF(AND(R50&gt;1,Q50&gt;1),IF(AND(R50&gt;0,Q50&gt;0),R27*(R51/100+1),0)+IF(R50&gt;0,Q22*(1+R52/100),0)-Q22*(1+'Adverse (r-g)'!R24/100),IF(R50=1,R27,Q22*(1+R52/100)))</f>
        <v>112.84036658428732</v>
      </c>
      <c r="S22" s="4">
        <f>IF(AND(S50&gt;1,R50&gt;1),IF(AND(S50&gt;0,R50&gt;0),S27*(S51/100+1),0)+IF(S50&gt;0,R22*(1+S52/100),0)-R22*(1+'Adverse (r-g)'!S24/100),IF(S50=1,S27,R22*(1+S52/100)))</f>
        <v>114.16239642036318</v>
      </c>
      <c r="T22" s="4">
        <f>IF(AND(T50&gt;1,S50&gt;1),IF(AND(T50&gt;0,S50&gt;0),T27*(T51/100+1),0)+IF(T50&gt;0,S22*(1+T52/100),0)-S22*(1+'Adverse (r-g)'!T24/100),IF(T50=1,T27,S22*(1+T52/100)))</f>
        <v>115.43342231928533</v>
      </c>
      <c r="U22" s="4">
        <f>IF(AND(U50&gt;1,T50&gt;1),IF(AND(U50&gt;0,T50&gt;0),U27*(U51/100+1),0)+IF(U50&gt;0,T22*(1+U52/100),0)-T22*(1+'Adverse (r-g)'!U24/100),IF(U50=1,U27,T22*(1+U52/100)))</f>
        <v>116.65919020721203</v>
      </c>
      <c r="V22" s="4">
        <f>IF(AND(V50&gt;1,U50&gt;1),IF(AND(V50&gt;0,U50&gt;0),V27*(V51/100+1),0)+IF(V50&gt;0,U22*(1+V52/100),0)-U22*(1+'Adverse (r-g)'!V24/100),IF(V50=1,V27,U22*(1+V52/100)))</f>
        <v>117.83171189592238</v>
      </c>
      <c r="W22" s="4">
        <f>IF(AND(W50&gt;1,V50&gt;1),IF(AND(W50&gt;0,V50&gt;0),W27*(W51/100+1),0)+IF(W50&gt;0,V22*(1+W52/100),0)-V22*(1+'Adverse (r-g)'!W24/100),IF(W50=1,W27,V22*(1+W52/100)))</f>
        <v>118.99080712772002</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145</v>
      </c>
      <c r="C23" s="34">
        <f>+'Input data'!C30</f>
        <v>4.7712199999999996</v>
      </c>
      <c r="D23" s="100">
        <f>100*(D22/C22-1)</f>
        <v>1.8700369999999911</v>
      </c>
      <c r="E23" s="100">
        <f t="shared" ref="E23:T23" si="0">100*(E22/D22-1)</f>
        <v>1.5964539999999916</v>
      </c>
      <c r="F23" s="100">
        <f t="shared" si="0"/>
        <v>2.2278459999999889</v>
      </c>
      <c r="G23" s="34">
        <f t="shared" si="0"/>
        <v>2.2452619999999923</v>
      </c>
      <c r="H23" s="34">
        <f t="shared" si="0"/>
        <v>1.0024100870923203</v>
      </c>
      <c r="I23" s="34">
        <f t="shared" si="0"/>
        <v>0.97539767386740639</v>
      </c>
      <c r="J23" s="34">
        <f t="shared" si="0"/>
        <v>1.1034862548561231</v>
      </c>
      <c r="K23" s="4">
        <f>100*(K22/J22-1)</f>
        <v>1.7325747099787181</v>
      </c>
      <c r="L23" s="4">
        <f>100*(L22/K22-1)</f>
        <v>1.7706423047918252</v>
      </c>
      <c r="M23" s="4">
        <f t="shared" si="0"/>
        <v>1.8082134132109795</v>
      </c>
      <c r="N23" s="4">
        <f t="shared" si="0"/>
        <v>1.0715990000000009</v>
      </c>
      <c r="O23" s="4">
        <f t="shared" si="0"/>
        <v>1.0733560000000031</v>
      </c>
      <c r="P23" s="4">
        <f t="shared" si="0"/>
        <v>1.1041800000000102</v>
      </c>
      <c r="Q23" s="4">
        <f t="shared" si="0"/>
        <v>1.135003999999995</v>
      </c>
      <c r="R23" s="4">
        <f t="shared" si="0"/>
        <v>1.1658249999999981</v>
      </c>
      <c r="S23" s="4">
        <f t="shared" si="0"/>
        <v>1.1715930000000041</v>
      </c>
      <c r="T23" s="4">
        <f t="shared" si="0"/>
        <v>1.1133489999999968</v>
      </c>
      <c r="U23" s="4">
        <f t="shared" ref="U23" si="1">100*(U22/T22-1)</f>
        <v>1.0618830000000079</v>
      </c>
      <c r="V23" s="4">
        <f t="shared" ref="V23" si="2">100*(V22/U22-1)</f>
        <v>1.0050829999999955</v>
      </c>
      <c r="W23" s="4">
        <f t="shared" ref="W23" si="3">100*(W22/V22-1)</f>
        <v>0.98368699999999976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5" customHeight="1" x14ac:dyDescent="0.2">
      <c r="B24" s="32" t="s">
        <v>146</v>
      </c>
      <c r="C24" s="34"/>
      <c r="D24" s="34"/>
      <c r="E24" s="34"/>
      <c r="F24" s="34"/>
      <c r="G24" s="34"/>
      <c r="H24" s="34"/>
      <c r="I24" s="34"/>
      <c r="J24" s="34"/>
      <c r="K24" s="4">
        <f>IF('Criteria results'!$F$5=4,'Input data'!K30-0.5,'Input data'!K30)</f>
        <v>0.95873900000000001</v>
      </c>
      <c r="L24" s="4">
        <f>IF('Criteria results'!$F$5=4,'Input data'!L30-0.5,'Input data'!L30)</f>
        <v>1.0023660000000001</v>
      </c>
      <c r="M24" s="4">
        <f>IF('Criteria results'!$F$5=4,'Input data'!M30-0.5,'Input data'!M30)</f>
        <v>1.04541</v>
      </c>
      <c r="N24" s="4">
        <f>'Input data'!N30-0.5</f>
        <v>1.071599</v>
      </c>
      <c r="O24" s="4">
        <f>'Input data'!O30-0.5</f>
        <v>1.073356</v>
      </c>
      <c r="P24" s="4">
        <f>'Input data'!P30-0.5</f>
        <v>1.1041799999999999</v>
      </c>
      <c r="Q24" s="4">
        <f>'Input data'!Q30-0.5</f>
        <v>1.1350039999999999</v>
      </c>
      <c r="R24" s="4">
        <f>'Input data'!R30-0.5</f>
        <v>1.1658249999999999</v>
      </c>
      <c r="S24" s="4">
        <f>'Input data'!S30-0.5</f>
        <v>1.1715930000000001</v>
      </c>
      <c r="T24" s="4">
        <f>'Input data'!T30-0.5</f>
        <v>1.1133489999999999</v>
      </c>
      <c r="U24" s="4">
        <f>'Input data'!U30-0.5</f>
        <v>1.0618829999999999</v>
      </c>
      <c r="V24" s="4">
        <f>'Input data'!V30-0.5</f>
        <v>1.0050829999999999</v>
      </c>
      <c r="W24" s="4">
        <f>'Input data'!W30-0.5</f>
        <v>0.98368699999999998</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147</v>
      </c>
    </row>
    <row r="27" spans="1:54" x14ac:dyDescent="0.2">
      <c r="B27" s="26" t="s">
        <v>61</v>
      </c>
      <c r="C27" s="34">
        <f>'Input data'!C34</f>
        <v>90.493570000000005</v>
      </c>
      <c r="D27" s="100">
        <f>+C27*(1+'Input data'!D33/100)</f>
        <v>91.997178581434795</v>
      </c>
      <c r="E27" s="100">
        <f>+D27*(1+'Input data'!E33/100)</f>
        <v>94.548125107645475</v>
      </c>
      <c r="F27" s="100">
        <f>+E27*(1+'Input data'!F33/100)</f>
        <v>96.752617701986594</v>
      </c>
      <c r="G27" s="34">
        <f>+F27*(1+'Input data'!G33/100)</f>
        <v>99.08699810259391</v>
      </c>
      <c r="H27" s="34">
        <f>+G27*(1+'Input data'!H33/100)</f>
        <v>100.75889401244896</v>
      </c>
      <c r="I27" s="34">
        <f>+H27*(1+'Input data'!I33/100)</f>
        <v>102.19954266386108</v>
      </c>
      <c r="J27" s="34">
        <f>+I27*(1+'Input data'!J33/100)</f>
        <v>103.63398478482823</v>
      </c>
      <c r="K27" s="4">
        <f>IF('Criteria results'!$F$5=4,J27*(1+'Input data'!K33/100-0.005),J27*(1+'Input data'!K33/100))</f>
        <v>104.6275652505543</v>
      </c>
      <c r="L27" s="4">
        <f>IF('Criteria results'!$F$5=4,K27*(1+'Input data'!L33/100-0.005),K27*(1+'Input data'!L33/100))</f>
        <v>105.67631220615107</v>
      </c>
      <c r="M27" s="4">
        <f>IF('Criteria results'!$F$5=4,L27*(1+'Input data'!M33/100-0.005),L27*(1+'Input data'!M33/100))</f>
        <v>106.78106082805917</v>
      </c>
      <c r="N27" s="4">
        <f>+M27*(1+'Input data'!N33/100-0.005)</f>
        <v>107.92532347246085</v>
      </c>
      <c r="O27" s="4">
        <f>+N27*(1+'Input data'!O33/100-0.005)</f>
        <v>109.08374748672517</v>
      </c>
      <c r="P27" s="4">
        <f>+O27*(1+'Input data'!P33/100-0.005)</f>
        <v>110.28822840972411</v>
      </c>
      <c r="Q27" s="4">
        <f>+P27*(1+'Input data'!Q33/100-0.005)</f>
        <v>111.54000531658592</v>
      </c>
      <c r="R27" s="4">
        <f>+Q27*(1+'Input data'!R33/100-0.005)</f>
        <v>112.84036992976817</v>
      </c>
      <c r="S27" s="4">
        <f>+R27*(1+'Input data'!S33/100-0.005)</f>
        <v>114.16239754823206</v>
      </c>
      <c r="T27" s="4">
        <f>+S27*(1+'Input data'!T33/100-0.005)</f>
        <v>115.43342003483941</v>
      </c>
      <c r="U27" s="4">
        <f>+T27*(1+'Input data'!U33/100-0.005)</f>
        <v>116.65918558983959</v>
      </c>
      <c r="V27" s="4">
        <f>+U27*(1+'Input data'!V33/100-0.005)</f>
        <v>117.83170606554967</v>
      </c>
      <c r="W27" s="4">
        <f>+V27*(1+'Input data'!W33/100-0.005)</f>
        <v>118.99080477494587</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91</v>
      </c>
      <c r="C30" s="34">
        <f t="shared" ref="C30:W30" si="4">100*(C22/C27-1)</f>
        <v>0.35991507462904693</v>
      </c>
      <c r="D30" s="100">
        <f t="shared" si="4"/>
        <v>0.56571883912115428</v>
      </c>
      <c r="E30" s="100">
        <f t="shared" si="4"/>
        <v>-0.5854159948668225</v>
      </c>
      <c r="F30" s="100">
        <f t="shared" si="4"/>
        <v>-0.68622116719754267</v>
      </c>
      <c r="G30" s="34">
        <f t="shared" si="4"/>
        <v>-0.84862264858516223</v>
      </c>
      <c r="H30" s="34">
        <f t="shared" si="4"/>
        <v>-1.5164334438609983</v>
      </c>
      <c r="I30" s="34">
        <f t="shared" si="4"/>
        <v>-1.9576348032663615</v>
      </c>
      <c r="J30" s="34">
        <f t="shared" si="4"/>
        <v>-2.2477717297177513</v>
      </c>
      <c r="K30" s="34">
        <f t="shared" si="4"/>
        <v>-1.4985144864785083</v>
      </c>
      <c r="L30" s="34">
        <f t="shared" si="4"/>
        <v>-0.74925724323924303</v>
      </c>
      <c r="M30" s="34">
        <f t="shared" si="4"/>
        <v>0</v>
      </c>
      <c r="N30" s="34">
        <f t="shared" si="4"/>
        <v>1.9787952831862299E-6</v>
      </c>
      <c r="O30" s="34">
        <f t="shared" si="4"/>
        <v>9.8941481674330589E-7</v>
      </c>
      <c r="P30" s="34">
        <f t="shared" si="4"/>
        <v>9.8941481674330589E-7</v>
      </c>
      <c r="Q30" s="34">
        <f t="shared" si="4"/>
        <v>6.3746785627927238E-10</v>
      </c>
      <c r="R30" s="34">
        <f t="shared" si="4"/>
        <v>-2.9647907462404532E-6</v>
      </c>
      <c r="S30" s="34">
        <f t="shared" si="4"/>
        <v>-9.8795129854778452E-7</v>
      </c>
      <c r="T30" s="34">
        <f t="shared" si="4"/>
        <v>1.9790160621369068E-6</v>
      </c>
      <c r="U30" s="34">
        <f t="shared" si="4"/>
        <v>3.958001615345097E-6</v>
      </c>
      <c r="V30" s="34">
        <f t="shared" si="4"/>
        <v>4.9480508357291342E-6</v>
      </c>
      <c r="W30" s="34">
        <f t="shared" si="4"/>
        <v>1.9772739223711255E-6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100*((1+C23/100)*(1+C42/100)-1)</f>
        <v>7.2711398876150302</v>
      </c>
      <c r="D33" s="2">
        <f t="shared" si="5"/>
        <v>9.4942523750750851</v>
      </c>
      <c r="E33" s="2">
        <f t="shared" si="5"/>
        <v>11.890074643889781</v>
      </c>
      <c r="F33" s="2">
        <f t="shared" si="5"/>
        <v>6.908274325060848</v>
      </c>
      <c r="G33" s="1">
        <f t="shared" si="5"/>
        <v>5.486920425489239</v>
      </c>
      <c r="H33" s="1">
        <f t="shared" si="5"/>
        <v>4.1263276427603968</v>
      </c>
      <c r="I33" s="1">
        <f t="shared" si="5"/>
        <v>4.020164123957759</v>
      </c>
      <c r="J33" s="1">
        <f t="shared" si="5"/>
        <v>4.0737000507737653</v>
      </c>
      <c r="K33" s="1">
        <f t="shared" si="5"/>
        <v>4.6423669442233084</v>
      </c>
      <c r="L33" s="1">
        <f t="shared" si="5"/>
        <v>4.6025909425994493</v>
      </c>
      <c r="M33" s="1">
        <f t="shared" si="5"/>
        <v>4.5622459742507004</v>
      </c>
      <c r="N33" s="1">
        <f t="shared" si="5"/>
        <v>3.7273150223078977</v>
      </c>
      <c r="O33" s="1">
        <f t="shared" si="5"/>
        <v>3.6507265780000075</v>
      </c>
      <c r="P33" s="1">
        <f t="shared" si="5"/>
        <v>3.6545329405000215</v>
      </c>
      <c r="Q33" s="1">
        <f t="shared" si="5"/>
        <v>3.6583223497999917</v>
      </c>
      <c r="R33" s="1">
        <f t="shared" si="5"/>
        <v>3.6620917318749946</v>
      </c>
      <c r="S33" s="1">
        <f t="shared" si="5"/>
        <v>3.6401798691999998</v>
      </c>
      <c r="T33" s="1">
        <f t="shared" si="5"/>
        <v>3.552708544624994</v>
      </c>
      <c r="U33" s="1">
        <f t="shared" si="5"/>
        <v>3.4722089095500008</v>
      </c>
      <c r="V33" s="1">
        <f t="shared" si="5"/>
        <v>3.386277831724982</v>
      </c>
      <c r="W33" s="1">
        <f t="shared" si="5"/>
        <v>3.3366069071000037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148</v>
      </c>
    </row>
    <row r="36" spans="2:51" x14ac:dyDescent="0.2">
      <c r="B36" s="26" t="s">
        <v>63</v>
      </c>
      <c r="C36" s="34">
        <f>'Input data'!C37</f>
        <v>1.998502</v>
      </c>
      <c r="D36" s="100">
        <f>'Input data'!D37</f>
        <v>1.859802</v>
      </c>
      <c r="E36" s="100">
        <f>'Input data'!E37</f>
        <v>2.2416550000000002</v>
      </c>
      <c r="F36" s="100">
        <f>'Input data'!F37</f>
        <v>2.5392969999999999</v>
      </c>
      <c r="G36" s="100">
        <f>'Input data'!G37</f>
        <v>2.7068880000000002</v>
      </c>
      <c r="H36" s="34">
        <f t="shared" ref="H36:W36" si="6">H93</f>
        <v>2.8542031799392462</v>
      </c>
      <c r="I36" s="34">
        <f t="shared" si="6"/>
        <v>2.9797826189053516</v>
      </c>
      <c r="J36" s="34">
        <f t="shared" si="6"/>
        <v>3.079122295745492</v>
      </c>
      <c r="K36" s="34">
        <f>K93</f>
        <v>3.2167824724772398</v>
      </c>
      <c r="L36" s="34">
        <f t="shared" si="6"/>
        <v>3.3278092812808655</v>
      </c>
      <c r="M36" s="34">
        <f t="shared" si="6"/>
        <v>3.4289761413686071</v>
      </c>
      <c r="N36" s="34">
        <f t="shared" si="6"/>
        <v>3.5217784403035912</v>
      </c>
      <c r="O36" s="34">
        <f t="shared" si="6"/>
        <v>3.6121570010997668</v>
      </c>
      <c r="P36" s="34">
        <f t="shared" si="6"/>
        <v>3.6948649847485351</v>
      </c>
      <c r="Q36" s="34">
        <f t="shared" si="6"/>
        <v>3.7724969973112836</v>
      </c>
      <c r="R36" s="34">
        <f t="shared" si="6"/>
        <v>3.8448352455058963</v>
      </c>
      <c r="S36" s="34">
        <f t="shared" si="6"/>
        <v>3.9117048991745174</v>
      </c>
      <c r="T36" s="34">
        <f t="shared" si="6"/>
        <v>3.9732469830017556</v>
      </c>
      <c r="U36" s="34">
        <f t="shared" si="6"/>
        <v>4.0296064040538218</v>
      </c>
      <c r="V36" s="34">
        <f t="shared" si="6"/>
        <v>4.0807718960516981</v>
      </c>
      <c r="W36" s="34">
        <f t="shared" si="6"/>
        <v>4.1273287108072827</v>
      </c>
    </row>
    <row r="37" spans="2:51" x14ac:dyDescent="0.2">
      <c r="B37" s="32" t="s">
        <v>94</v>
      </c>
      <c r="C37" s="1"/>
      <c r="D37" s="2">
        <f>'Input data'!D$39</f>
        <v>2.0699999999999998</v>
      </c>
      <c r="E37" s="2">
        <f>'Input data'!E$39</f>
        <v>3.65</v>
      </c>
      <c r="F37" s="166">
        <f>'Input data'!F$39</f>
        <v>3.6707719999999999</v>
      </c>
      <c r="G37" s="166">
        <f>'Input data'!G$39</f>
        <v>3.780141</v>
      </c>
      <c r="H37" s="1">
        <f>$G$37+('Input data'!$C$52-$G$37)/($O$10-$G$10)*(H10-$G$10)</f>
        <v>3.8293008749999999</v>
      </c>
      <c r="I37" s="1">
        <f>$G$37+('Input data'!$C$52-$G$37)/($O$10-$G$10)*(I10-$G$10)</f>
        <v>3.8784607499999999</v>
      </c>
      <c r="J37" s="1">
        <f>$G$37+('Input data'!$C$52-$G$37)/($O$10-$G$10)*(J10-$G$10)</f>
        <v>3.9276206249999999</v>
      </c>
      <c r="K37" s="4">
        <f>IF('Criteria results'!$F$5=4,$G$37+('Input data'!$C$52-$G$37)/($O$10-$G$10)*(K10-$G$10)+0.5,$G$37+('Input data'!$C$52-$G$37)/($O$10-$G$10)*(K10-$G$10))</f>
        <v>4.4767805000000003</v>
      </c>
      <c r="L37" s="4">
        <f>IF('Criteria results'!$F$5=4,$G$37+('Input data'!$C$52-$G$37)/($O$10-$G$10)*(L10-$G$10)+0.5,$G$37+('Input data'!$C$52-$G$37)/($O$10-$G$10)*(L10-$G$10))</f>
        <v>4.5259403750000002</v>
      </c>
      <c r="M37" s="4">
        <f>IF('Criteria results'!$F$5=4,$G$37+('Input data'!$C$52-$G$37)/($O$10-$G$10)*(M10-$G$10)+0.5,$G$37+('Input data'!$C$52-$G$37)/($O$10-$G$10)*(M10-$G$10))</f>
        <v>4.5751002500000002</v>
      </c>
      <c r="N37" s="3">
        <f>IF('Criteria results'!$F$5=4,$G$37+('Input data'!$C$52-$G$37)/($O$10-$G$10)*(N10-$G$10)+0.5,$G$37+('Input data'!$C$52-$G$37)/($O$10-$G$10)*(N10-$G$10)+0.5)</f>
        <v>4.6242601250000002</v>
      </c>
      <c r="O37" s="3">
        <f>'Input data'!$C$52+0.5</f>
        <v>4.6734200000000001</v>
      </c>
      <c r="P37" s="3">
        <f>'Baseline NFPC'!P36+0.5</f>
        <v>4.6647490000000005</v>
      </c>
      <c r="Q37" s="3">
        <f>'Baseline NFPC'!Q36+0.5</f>
        <v>4.6560779999999999</v>
      </c>
      <c r="R37" s="3">
        <f>'Baseline NFPC'!R36+0.5</f>
        <v>4.6474070000000003</v>
      </c>
      <c r="S37" s="3">
        <f>'Baseline NFPC'!S36+0.5</f>
        <v>4.6387359999999997</v>
      </c>
      <c r="T37" s="3">
        <f>'Baseline NFPC'!T36+0.5</f>
        <v>4.6300650000000001</v>
      </c>
      <c r="U37" s="3">
        <f>'Baseline NFPC'!U36+0.5</f>
        <v>4.6213940000000004</v>
      </c>
      <c r="V37" s="3">
        <f>'Baseline NFPC'!V36+0.5</f>
        <v>4.6127229999999999</v>
      </c>
      <c r="W37" s="3">
        <f>'Baseline NFPC'!W36+0.5</f>
        <v>4.6040520000000003</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$G$38+('Input data'!$C$53-$G$38)/($O$10-$G$10)*(H10-$G$10)</f>
        <v>2.8050893749999997</v>
      </c>
      <c r="I38" s="1">
        <f>$G$38+('Input data'!$C$53-$G$38)/($O$10-$G$10)*(I10-$G$10)</f>
        <v>2.7938037499999999</v>
      </c>
      <c r="J38" s="1">
        <f>$G$38+('Input data'!$C$53-$G$38)/($O$10-$G$10)*(J10-$G$10)</f>
        <v>2.7825181250000002</v>
      </c>
      <c r="K38" s="4">
        <f>IF('Criteria results'!$F$5=4,$G$38+('Input data'!$C$53-$G$38)/($O$10-$G$10)*(K10-$G$10)+0.5,$G$38+('Input data'!$C$53-$G$38)/($O$10-$G$10)*(K10-$G$10))</f>
        <v>3.2712325</v>
      </c>
      <c r="L38" s="4">
        <f>IF('Criteria results'!$F$5=4,$G$38+('Input data'!$C$53-$G$38)/($O$10-$G$10)*(L10-$G$10)+0.5,$G$38+('Input data'!$C$53-$G$38)/($O$10-$G$10)*(L10-$G$10))</f>
        <v>3.2599468749999998</v>
      </c>
      <c r="M38" s="4">
        <f>IF('Criteria results'!$F$5=4,$G$38+('Input data'!$C$53-$G$38)/($O$10-$G$10)*(M10-$G$10)+0.5,$G$38+('Input data'!$C$53-$G$38)/($O$10-$G$10)*(M10-$G$10))</f>
        <v>3.2486612500000001</v>
      </c>
      <c r="N38" s="3">
        <f>IF('Criteria results'!$F$5=4,$G$38+('Input data'!$C$53-$G$38)/($O$10-$G$10)*(N10-$G$10)+0.5,$G$38+('Input data'!$C$53-$G$38)/($O$10-$G$10)*(N10-$G$10)+0.5)</f>
        <v>3.2373756250000003</v>
      </c>
      <c r="O38" s="3">
        <f>'Input data'!$C$53+0.5</f>
        <v>3.2260900000000001</v>
      </c>
      <c r="P38" s="3">
        <f>'Baseline NFPC'!P37+0.5</f>
        <v>3.1897855000000002</v>
      </c>
      <c r="Q38" s="3">
        <f>'Baseline NFPC'!Q37+0.5</f>
        <v>3.1534810000000002</v>
      </c>
      <c r="R38" s="3">
        <f>'Baseline NFPC'!R37+0.5</f>
        <v>3.1171765000000002</v>
      </c>
      <c r="S38" s="3">
        <f>'Baseline NFPC'!S37+0.5</f>
        <v>3.0808720000000003</v>
      </c>
      <c r="T38" s="3">
        <f>'Baseline NFPC'!T37+0.5</f>
        <v>3.0445675000000003</v>
      </c>
      <c r="U38" s="3">
        <f>'Baseline NFPC'!U37+0.5</f>
        <v>3.0082629999999999</v>
      </c>
      <c r="V38" s="3">
        <f>'Baseline NFPC'!V37+0.5</f>
        <v>2.9719584999999999</v>
      </c>
      <c r="W38" s="3">
        <f>'Baseline NFPC'!W37+0.5</f>
        <v>2.935654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2.7338669999999999E-2</v>
      </c>
      <c r="D39" s="34">
        <f>'Baseline NFPC'!D38</f>
        <v>2.727796E-2</v>
      </c>
      <c r="E39" s="34">
        <f>'Baseline NFPC'!E38</f>
        <v>7.6967090000000002E-2</v>
      </c>
      <c r="F39" s="34">
        <f>'Baseline NFPC'!F38</f>
        <v>7.1996260000000006E-2</v>
      </c>
      <c r="G39" s="34">
        <f>'Baseline NFPC'!G38</f>
        <v>6.9917991111111119E-2</v>
      </c>
      <c r="H39" s="34">
        <f>'Baseline NFPC'!H38</f>
        <v>6.7839722222222232E-2</v>
      </c>
      <c r="I39" s="34">
        <f>'Baseline NFPC'!I38</f>
        <v>6.5761453333333331E-2</v>
      </c>
      <c r="J39" s="34">
        <f>'Baseline NFPC'!J38</f>
        <v>6.3683184444444443E-2</v>
      </c>
      <c r="K39" s="34">
        <f>'Baseline NFPC'!K38</f>
        <v>6.1604915555555556E-2</v>
      </c>
      <c r="L39" s="34">
        <f>'Baseline NFPC'!L38</f>
        <v>5.9526646666666669E-2</v>
      </c>
      <c r="M39" s="34">
        <f>'Baseline NFPC'!M38</f>
        <v>5.7448377777777782E-2</v>
      </c>
      <c r="N39" s="34">
        <f>'Baseline NFPC'!N38</f>
        <v>5.5370108888888894E-2</v>
      </c>
      <c r="O39" s="34">
        <f>'Baseline NFPC'!O38</f>
        <v>5.329184E-2</v>
      </c>
      <c r="P39" s="34">
        <f>'Baseline NFPC'!P38</f>
        <v>5.329184E-2</v>
      </c>
      <c r="Q39" s="34">
        <f>'Baseline NFPC'!Q38</f>
        <v>5.329184E-2</v>
      </c>
      <c r="R39" s="34">
        <f>'Baseline NFPC'!R38</f>
        <v>5.329184E-2</v>
      </c>
      <c r="S39" s="34">
        <f>'Baseline NFPC'!S38</f>
        <v>5.329184E-2</v>
      </c>
      <c r="T39" s="34">
        <f>'Baseline NFPC'!T38</f>
        <v>5.329184E-2</v>
      </c>
      <c r="U39" s="34">
        <f>'Baseline NFPC'!U38</f>
        <v>5.329184E-2</v>
      </c>
      <c r="V39" s="34">
        <f>'Baseline NFPC'!V38</f>
        <v>5.329184E-2</v>
      </c>
      <c r="W39" s="34">
        <f>'Baseline NFPC'!W38</f>
        <v>5.329184E-2</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2.3860749999999999</v>
      </c>
      <c r="D42" s="2">
        <f>'Input data'!D42</f>
        <v>7.4842570000000004</v>
      </c>
      <c r="E42" s="2">
        <f>'Input data'!E42</f>
        <v>10.131869999999999</v>
      </c>
      <c r="F42" s="2">
        <f>'Input data'!F42</f>
        <v>4.5784279999999997</v>
      </c>
      <c r="G42" s="2">
        <f>'Input data'!G42</f>
        <v>3.1704729999999999</v>
      </c>
      <c r="H42" s="1">
        <f>'Baseline NFPC'!H41</f>
        <v>3.0929138749999998</v>
      </c>
      <c r="I42" s="1">
        <f>'Baseline NFPC'!I41</f>
        <v>3.0153547499999998</v>
      </c>
      <c r="J42" s="1">
        <f>'Baseline NFPC'!J41</f>
        <v>2.9377956249999997</v>
      </c>
      <c r="K42" s="1">
        <f>'Baseline NFPC'!K41</f>
        <v>2.8602365000000001</v>
      </c>
      <c r="L42" s="1">
        <f>'Baseline NFPC'!L41</f>
        <v>2.782677375</v>
      </c>
      <c r="M42" s="1">
        <f>'Baseline NFPC'!M41</f>
        <v>2.7051182499999999</v>
      </c>
      <c r="N42" s="1">
        <f>'Baseline NFPC'!N41</f>
        <v>2.6275591249999999</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0.38100000000000001</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7">IF(C50=4,2/3*C30,IF(C50=3,1/3*B30,0))</f>
        <v>0</v>
      </c>
      <c r="E51" s="34">
        <f t="shared" si="7"/>
        <v>0</v>
      </c>
      <c r="F51" s="34">
        <f t="shared" si="7"/>
        <v>0</v>
      </c>
      <c r="G51" s="34">
        <f t="shared" si="7"/>
        <v>0</v>
      </c>
      <c r="H51" s="34">
        <f t="shared" si="7"/>
        <v>-0.56574843239010808</v>
      </c>
      <c r="I51" s="34">
        <f t="shared" si="7"/>
        <v>-1.0109556292406654</v>
      </c>
      <c r="J51" s="34">
        <f t="shared" si="7"/>
        <v>-1.3050898688442409</v>
      </c>
      <c r="K51" s="34">
        <f t="shared" si="7"/>
        <v>-1.4985144864785007</v>
      </c>
      <c r="L51" s="34">
        <f t="shared" si="7"/>
        <v>-0.74925724323925036</v>
      </c>
      <c r="M51" s="34">
        <f t="shared" si="7"/>
        <v>0</v>
      </c>
      <c r="N51" s="34">
        <f t="shared" si="7"/>
        <v>0</v>
      </c>
      <c r="O51" s="34">
        <f t="shared" si="7"/>
        <v>0</v>
      </c>
      <c r="P51" s="34">
        <f t="shared" si="7"/>
        <v>0</v>
      </c>
      <c r="Q51" s="34">
        <f t="shared" si="7"/>
        <v>0</v>
      </c>
      <c r="R51" s="34">
        <f t="shared" si="7"/>
        <v>0</v>
      </c>
      <c r="S51" s="34">
        <f t="shared" si="7"/>
        <v>0</v>
      </c>
      <c r="T51" s="34">
        <f t="shared" si="7"/>
        <v>0</v>
      </c>
      <c r="U51" s="34">
        <f t="shared" si="7"/>
        <v>0</v>
      </c>
      <c r="V51" s="34">
        <f t="shared" si="7"/>
        <v>0</v>
      </c>
      <c r="W51" s="34">
        <f t="shared" si="7"/>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1.8700369999999999</v>
      </c>
      <c r="E52" s="34">
        <f>'Input data'!E30-$C$47*((E12-D12)-('Input data'!E13-'Input data'!D13))</f>
        <v>1.596454</v>
      </c>
      <c r="F52" s="34">
        <f>'Input data'!F30-$C$47*((F12-E12)-('Input data'!F13-'Input data'!E13))</f>
        <v>2.227846</v>
      </c>
      <c r="G52" s="34">
        <f>'Input data'!G30-$C$47*((G12-F12))</f>
        <v>2.2452620000000003</v>
      </c>
      <c r="H52" s="34">
        <f>'Input data'!H30-$C$47*((H12-G12))</f>
        <v>0.67950099999999991</v>
      </c>
      <c r="I52" s="34">
        <f>'Input data'!I30-$C$47*((I12-H12))</f>
        <v>0.41115400000000002</v>
      </c>
      <c r="J52" s="34">
        <f>'Input data'!J30-$C$47*((J12-I12))</f>
        <v>0.40674899999999981</v>
      </c>
      <c r="K52" s="4">
        <f>'Adverse (r-g)'!K24-$C$47*(K12-J12)</f>
        <v>0.95873900000000001</v>
      </c>
      <c r="L52" s="4">
        <f>'Adverse (r-g)'!L24-$C$47*(L12-K12)</f>
        <v>1.0023660000000001</v>
      </c>
      <c r="M52" s="4">
        <f>'Adverse (r-g)'!M24-$C$47*(M12-L12)</f>
        <v>1.04541</v>
      </c>
      <c r="N52" s="4">
        <f>'Adverse (r-g)'!N24-$C$47*((N12-M12))</f>
        <v>1.071599</v>
      </c>
      <c r="O52" s="4">
        <f>'Adverse (r-g)'!O24-$C$47*((O12-N12))</f>
        <v>1.073356</v>
      </c>
      <c r="P52" s="4">
        <f>'Adverse (r-g)'!P24-$C$47*((P12-O12))</f>
        <v>1.1041799999999999</v>
      </c>
      <c r="Q52" s="4">
        <f>'Adverse (r-g)'!Q24-$C$47*((Q12-P12))</f>
        <v>1.1350039999999999</v>
      </c>
      <c r="R52" s="4">
        <f>'Adverse (r-g)'!R24-$C$47*((R12-Q12))</f>
        <v>1.1658249999999999</v>
      </c>
      <c r="S52" s="4">
        <f>'Adverse (r-g)'!S24-$C$47*((S12-R12))</f>
        <v>1.1715930000000001</v>
      </c>
      <c r="T52" s="4">
        <f>'Adverse (r-g)'!T24-$C$47*((T12-S12))</f>
        <v>1.1133489999999999</v>
      </c>
      <c r="U52" s="4">
        <f>'Adverse (r-g)'!U24-$C$47*((U12-T12))</f>
        <v>1.0618829999999999</v>
      </c>
      <c r="V52" s="4">
        <f>'Adverse (r-g)'!V24-$C$47*((V12-U12))</f>
        <v>1.0050829999999999</v>
      </c>
      <c r="W52" s="4">
        <f>'Adverse (r-g)'!W24-$C$47*((W12-V12))</f>
        <v>0.98368699999999998</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61.088839999999998</v>
      </c>
      <c r="D57" s="45">
        <f>+C57+D58</f>
        <v>57.741851922294842</v>
      </c>
      <c r="E57" s="45">
        <f>+D57+E58</f>
        <v>56.044964616339108</v>
      </c>
      <c r="F57" s="45">
        <f t="shared" ref="F57:T57" si="8">+E57+F58</f>
        <v>58.47893038104138</v>
      </c>
      <c r="G57" s="45">
        <f t="shared" si="8"/>
        <v>59.623964733451928</v>
      </c>
      <c r="H57" s="45">
        <f t="shared" si="8"/>
        <v>61.13617438688722</v>
      </c>
      <c r="I57" s="45">
        <f t="shared" si="8"/>
        <v>61.633447791006716</v>
      </c>
      <c r="J57" s="45">
        <f t="shared" si="8"/>
        <v>60.963732291979099</v>
      </c>
      <c r="K57" s="45">
        <f t="shared" si="8"/>
        <v>59.921873904775516</v>
      </c>
      <c r="L57" s="45">
        <f t="shared" si="8"/>
        <v>58.821698231289893</v>
      </c>
      <c r="M57" s="45">
        <f t="shared" si="8"/>
        <v>57.681523245905844</v>
      </c>
      <c r="N57" s="45">
        <f t="shared" si="8"/>
        <v>57.212232849141252</v>
      </c>
      <c r="O57" s="46">
        <f t="shared" si="8"/>
        <v>56.987008770233345</v>
      </c>
      <c r="P57" s="46">
        <f t="shared" si="8"/>
        <v>56.932416374379038</v>
      </c>
      <c r="Q57" s="46">
        <f t="shared" si="8"/>
        <v>57.036587687604474</v>
      </c>
      <c r="R57" s="46">
        <f t="shared" si="8"/>
        <v>57.283408903771601</v>
      </c>
      <c r="S57" s="46">
        <f t="shared" si="8"/>
        <v>57.690085345576946</v>
      </c>
      <c r="T57" s="46">
        <f t="shared" si="8"/>
        <v>58.296069194500951</v>
      </c>
      <c r="U57" s="46">
        <f t="shared" ref="U57" si="9">+T57+U58</f>
        <v>59.080762201323211</v>
      </c>
      <c r="V57" s="46">
        <f t="shared" ref="V57" si="10">+U57+V58</f>
        <v>60.099589874964835</v>
      </c>
      <c r="W57" s="46">
        <f t="shared" ref="W57" si="11">+V57+W58</f>
        <v>61.321580518420426</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-3.3469880777051548</v>
      </c>
      <c r="E58" s="47">
        <f>-E59+E67+E72</f>
        <v>-1.6968873059557363</v>
      </c>
      <c r="F58" s="47">
        <f t="shared" ref="F58:T58" si="12">-F59+F67+F72</f>
        <v>2.4339657647022697</v>
      </c>
      <c r="G58" s="47">
        <f t="shared" si="12"/>
        <v>1.14503435241055</v>
      </c>
      <c r="H58" s="47">
        <f t="shared" si="12"/>
        <v>1.5122096534352933</v>
      </c>
      <c r="I58" s="47">
        <f t="shared" si="12"/>
        <v>0.49727340411949794</v>
      </c>
      <c r="J58" s="47">
        <f t="shared" si="12"/>
        <v>-0.66971549902761929</v>
      </c>
      <c r="K58" s="47">
        <f t="shared" si="12"/>
        <v>-1.0418583872035816</v>
      </c>
      <c r="L58" s="47">
        <f t="shared" si="12"/>
        <v>-1.1001756734856227</v>
      </c>
      <c r="M58" s="47">
        <f t="shared" si="12"/>
        <v>-1.1401749853840486</v>
      </c>
      <c r="N58" s="47">
        <f t="shared" si="12"/>
        <v>-0.46929039676459416</v>
      </c>
      <c r="O58" s="47">
        <f t="shared" si="12"/>
        <v>-0.22522407890790919</v>
      </c>
      <c r="P58" s="47">
        <f t="shared" si="12"/>
        <v>-5.4592395854309972E-2</v>
      </c>
      <c r="Q58" s="47">
        <f t="shared" si="12"/>
        <v>0.10417131322543849</v>
      </c>
      <c r="R58" s="47">
        <f t="shared" si="12"/>
        <v>0.24682121616712882</v>
      </c>
      <c r="S58" s="47">
        <f t="shared" si="12"/>
        <v>0.40667644180534557</v>
      </c>
      <c r="T58" s="47">
        <f t="shared" si="12"/>
        <v>0.60598384892400747</v>
      </c>
      <c r="U58" s="47">
        <f t="shared" ref="U58:W58" si="13">-U59+U67+U72</f>
        <v>0.78469300682226129</v>
      </c>
      <c r="V58" s="47">
        <f t="shared" si="13"/>
        <v>1.0188276736416242</v>
      </c>
      <c r="W58" s="47">
        <f t="shared" si="13"/>
        <v>1.2219906434555905</v>
      </c>
    </row>
    <row r="59" spans="2:48" outlineLevel="1" x14ac:dyDescent="0.2">
      <c r="B59" s="84" t="s">
        <v>106</v>
      </c>
      <c r="C59" s="48"/>
      <c r="D59" s="48">
        <f>D60+D61-D62-D63-D64-D65-D66</f>
        <v>-0.63504632229484026</v>
      </c>
      <c r="E59" s="48">
        <f t="shared" ref="E59:T59" si="14">E60+E61-E62-E63-E64-E65-E66</f>
        <v>-3.7366464940442592</v>
      </c>
      <c r="F59" s="48">
        <f t="shared" si="14"/>
        <v>-4.5243322647022639</v>
      </c>
      <c r="G59" s="48">
        <f t="shared" si="14"/>
        <v>-3.2862072291109472</v>
      </c>
      <c r="H59" s="48">
        <f t="shared" si="14"/>
        <v>-2.2406431421110407</v>
      </c>
      <c r="I59" s="48">
        <f t="shared" si="14"/>
        <v>-1.1087408600444841</v>
      </c>
      <c r="J59" s="48">
        <f t="shared" si="14"/>
        <v>8.0716970977536384E-2</v>
      </c>
      <c r="K59" s="48">
        <f t="shared" si="14"/>
        <v>0.21132528065168565</v>
      </c>
      <c r="L59" s="48">
        <f t="shared" si="14"/>
        <v>0.36991359032584992</v>
      </c>
      <c r="M59" s="48">
        <f t="shared" si="14"/>
        <v>0.5026518000000002</v>
      </c>
      <c r="N59" s="48">
        <f t="shared" si="14"/>
        <v>0.3549939539210053</v>
      </c>
      <c r="O59" s="48">
        <f t="shared" si="14"/>
        <v>0.20393477696704343</v>
      </c>
      <c r="P59" s="48">
        <f t="shared" si="14"/>
        <v>7.6766076967044405E-2</v>
      </c>
      <c r="Q59" s="48">
        <f t="shared" si="14"/>
        <v>-4.1462999757125418E-2</v>
      </c>
      <c r="R59" s="48">
        <f t="shared" si="14"/>
        <v>-0.14627272958527149</v>
      </c>
      <c r="S59" s="48">
        <f t="shared" si="14"/>
        <v>-0.25660067640944606</v>
      </c>
      <c r="T59" s="48">
        <f t="shared" si="14"/>
        <v>-0.37169834599487928</v>
      </c>
      <c r="U59" s="48">
        <f t="shared" ref="U59:W59" si="15">U60+U61-U62-U63-U64-U65-U66</f>
        <v>-0.4706561920013812</v>
      </c>
      <c r="V59" s="48">
        <f t="shared" si="15"/>
        <v>-0.62195451479263031</v>
      </c>
      <c r="W59" s="48">
        <f t="shared" si="15"/>
        <v>-0.76211434665863187</v>
      </c>
    </row>
    <row r="60" spans="2:48" outlineLevel="1" x14ac:dyDescent="0.2">
      <c r="B60" s="79" t="s">
        <v>107</v>
      </c>
      <c r="C60" s="1"/>
      <c r="D60" s="1">
        <f>D12</f>
        <v>-0.85058520000000004</v>
      </c>
      <c r="E60" s="1">
        <f>E12</f>
        <v>-3.5136029999999998</v>
      </c>
      <c r="F60" s="1">
        <f>F12</f>
        <v>-4.2628820000000003</v>
      </c>
      <c r="G60" s="1">
        <f t="shared" ref="G60:W60" si="16">IF(G12="",F60,G12)</f>
        <v>-2.9628820000000005</v>
      </c>
      <c r="H60" s="1">
        <f t="shared" si="16"/>
        <v>-1.6628820000000004</v>
      </c>
      <c r="I60" s="1">
        <f t="shared" si="16"/>
        <v>-0.36288200000000037</v>
      </c>
      <c r="J60" s="1">
        <f t="shared" si="16"/>
        <v>0.93711799999999967</v>
      </c>
      <c r="K60" s="1">
        <f t="shared" si="16"/>
        <v>0.93711799999999967</v>
      </c>
      <c r="L60" s="1">
        <f t="shared" si="16"/>
        <v>0.93711799999999967</v>
      </c>
      <c r="M60" s="1">
        <f t="shared" si="16"/>
        <v>0.93711799999999967</v>
      </c>
      <c r="N60" s="1">
        <f t="shared" si="16"/>
        <v>0.93711799999999967</v>
      </c>
      <c r="O60" s="1">
        <f t="shared" si="16"/>
        <v>0.93711799999999967</v>
      </c>
      <c r="P60" s="1">
        <f t="shared" si="16"/>
        <v>0.93711799999999967</v>
      </c>
      <c r="Q60" s="1">
        <f t="shared" si="16"/>
        <v>0.93711799999999967</v>
      </c>
      <c r="R60" s="1">
        <f t="shared" si="16"/>
        <v>0.93711799999999967</v>
      </c>
      <c r="S60" s="1">
        <f t="shared" si="16"/>
        <v>0.93711799999999967</v>
      </c>
      <c r="T60" s="1">
        <f t="shared" si="16"/>
        <v>0.93711799999999967</v>
      </c>
      <c r="U60" s="1">
        <f t="shared" si="16"/>
        <v>0.93711799999999967</v>
      </c>
      <c r="V60" s="1">
        <f t="shared" si="16"/>
        <v>0.93711799999999967</v>
      </c>
      <c r="W60" s="1">
        <f t="shared" si="16"/>
        <v>0.93711799999999967</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-0.21553887770515978</v>
      </c>
      <c r="E62" s="1">
        <f t="shared" si="17"/>
        <v>0.22304349404425938</v>
      </c>
      <c r="F62" s="1">
        <f t="shared" si="17"/>
        <v>0.26145026470226373</v>
      </c>
      <c r="G62" s="1">
        <f t="shared" si="17"/>
        <v>0.3233252291109468</v>
      </c>
      <c r="H62" s="1">
        <f t="shared" si="17"/>
        <v>0.57776114211104035</v>
      </c>
      <c r="I62" s="1">
        <f t="shared" si="17"/>
        <v>0.74585886004448376</v>
      </c>
      <c r="J62" s="1">
        <f t="shared" si="17"/>
        <v>0.85640102902246329</v>
      </c>
      <c r="K62" s="1">
        <f t="shared" si="17"/>
        <v>0.57093401934831167</v>
      </c>
      <c r="L62" s="1">
        <f t="shared" si="17"/>
        <v>0.28546700967415162</v>
      </c>
      <c r="M62" s="1">
        <f t="shared" si="17"/>
        <v>0</v>
      </c>
      <c r="N62" s="1">
        <f t="shared" si="17"/>
        <v>-7.5392100289395354E-7</v>
      </c>
      <c r="O62" s="1">
        <f t="shared" si="17"/>
        <v>-3.7696704517919956E-7</v>
      </c>
      <c r="P62" s="1">
        <f t="shared" si="17"/>
        <v>-3.7696704517919956E-7</v>
      </c>
      <c r="Q62" s="1">
        <f t="shared" si="17"/>
        <v>-2.4287525324240276E-10</v>
      </c>
      <c r="R62" s="1">
        <f t="shared" si="17"/>
        <v>1.1295852743176127E-6</v>
      </c>
      <c r="S62" s="1">
        <f t="shared" si="17"/>
        <v>3.7640944474670588E-7</v>
      </c>
      <c r="T62" s="1">
        <f t="shared" si="17"/>
        <v>-7.5400511967416151E-7</v>
      </c>
      <c r="U62" s="1">
        <f t="shared" si="17"/>
        <v>-1.507998615446482E-6</v>
      </c>
      <c r="V62" s="1">
        <f t="shared" si="17"/>
        <v>-1.8852073684128002E-6</v>
      </c>
      <c r="W62" s="1">
        <f t="shared" si="17"/>
        <v>-7.5334136442339881E-7</v>
      </c>
    </row>
    <row r="63" spans="2:48" outlineLevel="1" x14ac:dyDescent="0.2">
      <c r="B63" s="79" t="s">
        <v>110</v>
      </c>
      <c r="C63" s="1"/>
      <c r="D63" s="1">
        <f t="shared" ref="D63:W63" si="18">-D13</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0.15356000000000236</v>
      </c>
      <c r="L64" s="1">
        <f>IF(L$56&lt;=$C$6,0,HLOOKUP(L$56,'Input data'!$C$9:$BB$26,12,FALSE)-HLOOKUP($C$6,'Input data'!$C$9:$BB$26,12,FALSE))</f>
        <v>0.27913999999999817</v>
      </c>
      <c r="M64" s="1">
        <f>IF(M$56&lt;=$C$6,0,HLOOKUP(M$56,'Input data'!$C$9:$BB$26,12,FALSE)-HLOOKUP($C$6,'Input data'!$C$9:$BB$26,12,FALSE))</f>
        <v>0.43056999999999945</v>
      </c>
      <c r="N64" s="1">
        <f>IF(N$56&lt;=$C$6,0,HLOOKUP(N$56,'Input data'!$C$9:$BB$26,12,FALSE)-HLOOKUP($C$6,'Input data'!$C$9:$BB$26,12,FALSE))</f>
        <v>0.57692999999999728</v>
      </c>
      <c r="O64" s="1">
        <f>IF(O$56&lt;=$C$6,0,HLOOKUP(O$56,'Input data'!$C$9:$BB$26,12,FALSE)-HLOOKUP($C$6,'Input data'!$C$9:$BB$26,12,FALSE))</f>
        <v>0.72669000000000139</v>
      </c>
      <c r="P64" s="1">
        <f>IF(P$56&lt;=$C$6,0,HLOOKUP(P$56,'Input data'!$C$9:$BB$26,12,FALSE)-HLOOKUP($C$6,'Input data'!$C$9:$BB$26,12,FALSE))</f>
        <v>0.85256000000000043</v>
      </c>
      <c r="Q64" s="1">
        <f>IF(Q$56&lt;=$C$6,0,HLOOKUP(Q$56,'Input data'!$C$9:$BB$26,12,FALSE)-HLOOKUP($C$6,'Input data'!$C$9:$BB$26,12,FALSE))</f>
        <v>0.96949000000000041</v>
      </c>
      <c r="R64" s="1">
        <f>IF(R$56&lt;=$C$6,0,HLOOKUP(R$56,'Input data'!$C$9:$BB$26,12,FALSE)-HLOOKUP($C$6,'Input data'!$C$9:$BB$26,12,FALSE))</f>
        <v>1.0729999999999968</v>
      </c>
      <c r="S64" s="1">
        <f>IF(S$56&lt;=$C$6,0,HLOOKUP(S$56,'Input data'!$C$9:$BB$26,12,FALSE)-HLOOKUP($C$6,'Input data'!$C$9:$BB$26,12,FALSE))</f>
        <v>1.182030000000001</v>
      </c>
      <c r="T64" s="1">
        <f>IF(T$56&lt;=$C$6,0,HLOOKUP(T$56,'Input data'!$C$9:$BB$26,12,FALSE)-HLOOKUP($C$6,'Input data'!$C$9:$BB$26,12,FALSE))</f>
        <v>1.2958299999999987</v>
      </c>
      <c r="U64" s="1">
        <f>IF(U$56&lt;=$C$6,0,HLOOKUP(U$56,'Input data'!$C$9:$BB$26,12,FALSE)-HLOOKUP($C$6,'Input data'!$C$9:$BB$26,12,FALSE))</f>
        <v>1.3934899999999963</v>
      </c>
      <c r="V64" s="1">
        <f>IF(V$56&lt;=$C$6,0,HLOOKUP(V$56,'Input data'!$C$9:$BB$26,12,FALSE)-HLOOKUP($C$6,'Input data'!$C$9:$BB$26,12,FALSE))</f>
        <v>1.5434899999999985</v>
      </c>
      <c r="W64" s="1">
        <f>IF(W$56&lt;=$C$6,0,HLOOKUP(W$56,'Input data'!$C$9:$BB$26,12,FALSE)-HLOOKUP($C$6,'Input data'!$C$9:$BB$26,12,FALSE))</f>
        <v>1.682349999999996</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1.298699999999986E-3</v>
      </c>
      <c r="L65" s="1">
        <f>IF(L$56&lt;=$C$6,0,-HLOOKUP(L$56,'Input data'!$C$9:$BB$26,18,FALSE)+HLOOKUP($C$6,'Input data'!$C$9:$BB$26,18,FALSE))</f>
        <v>2.597399999999972E-3</v>
      </c>
      <c r="M65" s="1">
        <f>IF(M$56&lt;=$C$6,0,-HLOOKUP(M$56,'Input data'!$C$9:$BB$26,18,FALSE)+HLOOKUP($C$6,'Input data'!$C$9:$BB$26,18,FALSE))</f>
        <v>3.8962000000000163E-3</v>
      </c>
      <c r="N65" s="1">
        <f>IF(N$56&lt;=$C$6,0,-HLOOKUP(N$56,'Input data'!$C$9:$BB$26,18,FALSE)+HLOOKUP($C$6,'Input data'!$C$9:$BB$26,18,FALSE))</f>
        <v>5.1947999999999439E-3</v>
      </c>
      <c r="O65" s="1">
        <f>IF(O$56&lt;=$C$6,0,-HLOOKUP(O$56,'Input data'!$C$9:$BB$26,18,FALSE)+HLOOKUP($C$6,'Input data'!$C$9:$BB$26,18,FALSE))</f>
        <v>6.4935999999999883E-3</v>
      </c>
      <c r="P65" s="1">
        <f>IF(P$56&lt;=$C$6,0,-HLOOKUP(P$56,'Input data'!$C$9:$BB$26,18,FALSE)+HLOOKUP($C$6,'Input data'!$C$9:$BB$26,18,FALSE))</f>
        <v>7.7922999999999742E-3</v>
      </c>
      <c r="Q65" s="1">
        <f>IF(Q$56&lt;=$C$6,0,-HLOOKUP(Q$56,'Input data'!$C$9:$BB$26,18,FALSE)+HLOOKUP($C$6,'Input data'!$C$9:$BB$26,18,FALSE))</f>
        <v>9.0909999999999602E-3</v>
      </c>
      <c r="R65" s="1">
        <f>IF(R$56&lt;=$C$6,0,-HLOOKUP(R$56,'Input data'!$C$9:$BB$26,18,FALSE)+HLOOKUP($C$6,'Input data'!$C$9:$BB$26,18,FALSE))</f>
        <v>1.0389599999999999E-2</v>
      </c>
      <c r="S65" s="1">
        <f>IF(S$56&lt;=$C$6,0,-HLOOKUP(S$56,'Input data'!$C$9:$BB$26,18,FALSE)+HLOOKUP($C$6,'Input data'!$C$9:$BB$26,18,FALSE))</f>
        <v>1.1688299999999985E-2</v>
      </c>
      <c r="T65" s="1">
        <f>IF(T$56&lt;=$C$6,0,-HLOOKUP(T$56,'Input data'!$C$9:$BB$26,18,FALSE)+HLOOKUP($C$6,'Input data'!$C$9:$BB$26,18,FALSE))</f>
        <v>1.2987099999999918E-2</v>
      </c>
      <c r="U65" s="1">
        <f>IF(U$56&lt;=$C$6,0,-HLOOKUP(U$56,'Input data'!$C$9:$BB$26,18,FALSE)+HLOOKUP($C$6,'Input data'!$C$9:$BB$26,18,FALSE))</f>
        <v>1.4285699999999957E-2</v>
      </c>
      <c r="V65" s="1">
        <f>IF(V$56&lt;=$C$6,0,-HLOOKUP(V$56,'Input data'!$C$9:$BB$26,18,FALSE)+HLOOKUP($C$6,'Input data'!$C$9:$BB$26,18,FALSE))</f>
        <v>1.5584399999999943E-2</v>
      </c>
      <c r="W65" s="1">
        <f>IF(W$56&lt;=$C$6,0,-HLOOKUP(W$56,'Input data'!$C$9:$BB$26,18,FALSE)+HLOOKUP($C$6,'Input data'!$C$9:$BB$26,18,FALSE))</f>
        <v>1.6883099999999929E-2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4" t="s">
        <v>114</v>
      </c>
      <c r="C67" s="48"/>
      <c r="D67" s="48">
        <f t="shared" ref="D67:T67" si="19">SUM(D68:D71)</f>
        <v>-4.2593989999999948</v>
      </c>
      <c r="E67" s="48">
        <f>SUM(E68:E71)</f>
        <v>-4.9791519999999956</v>
      </c>
      <c r="F67" s="48">
        <f t="shared" si="19"/>
        <v>-2.290366999999994</v>
      </c>
      <c r="G67" s="48">
        <f t="shared" si="19"/>
        <v>-1.5411701767003971</v>
      </c>
      <c r="H67" s="48">
        <f t="shared" si="19"/>
        <v>-0.72843348867574731</v>
      </c>
      <c r="I67" s="48">
        <f t="shared" si="19"/>
        <v>-0.61146745592498619</v>
      </c>
      <c r="J67" s="48">
        <f t="shared" si="19"/>
        <v>-0.5889985280500829</v>
      </c>
      <c r="K67" s="48">
        <f t="shared" si="19"/>
        <v>-0.83053310655189594</v>
      </c>
      <c r="L67" s="48">
        <f t="shared" si="19"/>
        <v>-0.73026208315977281</v>
      </c>
      <c r="M67" s="48">
        <f t="shared" si="19"/>
        <v>-0.6375231853840484</v>
      </c>
      <c r="N67" s="48">
        <f t="shared" si="19"/>
        <v>-0.11429644284358886</v>
      </c>
      <c r="O67" s="48">
        <f t="shared" si="19"/>
        <v>-2.1289301940865757E-2</v>
      </c>
      <c r="P67" s="48">
        <f t="shared" si="19"/>
        <v>2.2173681112734434E-2</v>
      </c>
      <c r="Q67" s="48">
        <f t="shared" si="19"/>
        <v>6.2708313468313071E-2</v>
      </c>
      <c r="R67" s="48">
        <f t="shared" si="19"/>
        <v>0.10054848658185733</v>
      </c>
      <c r="S67" s="48">
        <f t="shared" si="19"/>
        <v>0.15007576539589951</v>
      </c>
      <c r="T67" s="48">
        <f t="shared" si="19"/>
        <v>0.2342855029291282</v>
      </c>
      <c r="U67" s="48">
        <f t="shared" ref="U67:W67" si="20">SUM(U68:U71)</f>
        <v>0.31403681482088008</v>
      </c>
      <c r="V67" s="48">
        <f t="shared" si="20"/>
        <v>0.39687315884899377</v>
      </c>
      <c r="W67" s="48">
        <f t="shared" si="20"/>
        <v>0.45987629679695874</v>
      </c>
    </row>
    <row r="68" spans="2:23" outlineLevel="1" x14ac:dyDescent="0.2">
      <c r="B68" s="79" t="s">
        <v>115</v>
      </c>
      <c r="C68" s="34"/>
      <c r="D68" s="34">
        <f>C57*D36/100*(1/(1+D33/100))</f>
        <v>1.037617448818186</v>
      </c>
      <c r="E68" s="34">
        <f>D57*E36/100*(1/(1+E33/100))</f>
        <v>1.1568256745098198</v>
      </c>
      <c r="F68" s="34">
        <f t="shared" ref="F68:W68" si="21">E57*F36/100*(1/(1+F33/100))</f>
        <v>1.3311861164521237</v>
      </c>
      <c r="G68" s="34">
        <f>F57*G36/100*(1/(1+G33/100))</f>
        <v>1.500621254870065</v>
      </c>
      <c r="H68" s="34">
        <f t="shared" si="21"/>
        <v>1.6343504433063141</v>
      </c>
      <c r="I68" s="34">
        <f t="shared" si="21"/>
        <v>1.7513191923762348</v>
      </c>
      <c r="J68" s="34">
        <f t="shared" si="21"/>
        <v>1.8234858870624306</v>
      </c>
      <c r="K68" s="34">
        <f t="shared" si="21"/>
        <v>1.8740694732006822</v>
      </c>
      <c r="L68" s="34">
        <f t="shared" si="21"/>
        <v>1.9063444445795694</v>
      </c>
      <c r="M68" s="34">
        <f t="shared" si="21"/>
        <v>1.9289773086889015</v>
      </c>
      <c r="N68" s="34">
        <f t="shared" si="21"/>
        <v>1.9584190039780109</v>
      </c>
      <c r="O68" s="34">
        <f t="shared" si="21"/>
        <v>1.9938072241014022</v>
      </c>
      <c r="P68" s="34">
        <f t="shared" si="21"/>
        <v>2.0313564425740891</v>
      </c>
      <c r="Q68" s="34">
        <f t="shared" si="21"/>
        <v>2.071974202874364</v>
      </c>
      <c r="R68" s="34">
        <f t="shared" si="21"/>
        <v>2.1154915838656385</v>
      </c>
      <c r="S68" s="34">
        <f t="shared" si="21"/>
        <v>2.1620552138475384</v>
      </c>
      <c r="T68" s="34">
        <f t="shared" si="21"/>
        <v>2.2135293298450871</v>
      </c>
      <c r="U68" s="34">
        <f t="shared" si="21"/>
        <v>2.2702734988741948</v>
      </c>
      <c r="V68" s="34">
        <f t="shared" si="21"/>
        <v>2.331983693047619</v>
      </c>
      <c r="W68" s="34">
        <f t="shared" si="21"/>
        <v>2.4004152083460957</v>
      </c>
    </row>
    <row r="69" spans="2:23" outlineLevel="1" x14ac:dyDescent="0.2">
      <c r="B69" s="79" t="s">
        <v>116</v>
      </c>
      <c r="C69" s="34"/>
      <c r="D69" s="34">
        <f t="shared" ref="D69:W69" si="22">-C57*(D23/100)*(1/(1+D33/100))</f>
        <v>-1.0433277419508122</v>
      </c>
      <c r="E69" s="34">
        <f>-D57*(E23/100)*(1/(1+E33/100))</f>
        <v>-0.82386405373435678</v>
      </c>
      <c r="F69" s="34">
        <f t="shared" si="22"/>
        <v>-1.1679128769865765</v>
      </c>
      <c r="G69" s="34">
        <f t="shared" si="22"/>
        <v>-1.2447090089992863</v>
      </c>
      <c r="H69" s="34">
        <f t="shared" si="22"/>
        <v>-0.57399185234210515</v>
      </c>
      <c r="I69" s="34">
        <f t="shared" si="22"/>
        <v>-0.57327425685523925</v>
      </c>
      <c r="J69" s="34">
        <f t="shared" si="22"/>
        <v>-0.6534951908463712</v>
      </c>
      <c r="K69" s="34">
        <f t="shared" si="22"/>
        <v>-1.0093829476477336</v>
      </c>
      <c r="L69" s="34">
        <f t="shared" si="22"/>
        <v>-1.0143171785909129</v>
      </c>
      <c r="M69" s="34">
        <f t="shared" si="22"/>
        <v>-1.0172140311127162</v>
      </c>
      <c r="N69" s="34">
        <f t="shared" si="22"/>
        <v>-0.59590342828690923</v>
      </c>
      <c r="O69" s="34">
        <f t="shared" si="22"/>
        <v>-0.59246177455216398</v>
      </c>
      <c r="P69" s="34">
        <f t="shared" si="22"/>
        <v>-0.60705415922366412</v>
      </c>
      <c r="Q69" s="34">
        <f t="shared" si="22"/>
        <v>-0.62337995493046017</v>
      </c>
      <c r="R69" s="34">
        <f t="shared" si="22"/>
        <v>-0.64145608804510523</v>
      </c>
      <c r="S69" s="34">
        <f t="shared" si="22"/>
        <v>-0.64755619849846913</v>
      </c>
      <c r="T69" s="34">
        <f t="shared" si="22"/>
        <v>-0.62025609693959516</v>
      </c>
      <c r="U69" s="34">
        <f t="shared" si="22"/>
        <v>-0.59826310365692115</v>
      </c>
      <c r="V69" s="34">
        <f t="shared" si="22"/>
        <v>-0.57436123014548335</v>
      </c>
      <c r="W69" s="34">
        <f t="shared" si="22"/>
        <v>-0.57210302365049481</v>
      </c>
    </row>
    <row r="70" spans="2:23" outlineLevel="1" x14ac:dyDescent="0.2">
      <c r="B70" s="79" t="s">
        <v>117</v>
      </c>
      <c r="C70" s="34"/>
      <c r="D70" s="34">
        <f t="shared" ref="D70:T70" si="23">-C57*D42/100*(1/(1+D42/100))</f>
        <v>-4.2536887833897383</v>
      </c>
      <c r="E70" s="34">
        <f>-D57*E42/100*(1/(1+E42/100))</f>
        <v>-5.3121129899632269</v>
      </c>
      <c r="F70" s="34">
        <f t="shared" si="23"/>
        <v>-2.4536402025325552</v>
      </c>
      <c r="G70" s="34">
        <f t="shared" si="23"/>
        <v>-1.7970826773467579</v>
      </c>
      <c r="H70" s="34">
        <f t="shared" si="23"/>
        <v>-1.7887920796399563</v>
      </c>
      <c r="I70" s="34">
        <f t="shared" si="23"/>
        <v>-1.7895123914459818</v>
      </c>
      <c r="J70" s="34">
        <f t="shared" si="23"/>
        <v>-1.7589892242661422</v>
      </c>
      <c r="K70" s="34">
        <f t="shared" si="23"/>
        <v>-1.6952196321048445</v>
      </c>
      <c r="L70" s="34">
        <f t="shared" si="23"/>
        <v>-1.6222893491484294</v>
      </c>
      <c r="M70" s="34">
        <f t="shared" si="23"/>
        <v>-1.5492864629602336</v>
      </c>
      <c r="N70" s="34">
        <f t="shared" si="23"/>
        <v>-1.4768120185346905</v>
      </c>
      <c r="O70" s="34">
        <f t="shared" si="23"/>
        <v>-1.4226347514901041</v>
      </c>
      <c r="P70" s="34">
        <f t="shared" si="23"/>
        <v>-1.4021286022376904</v>
      </c>
      <c r="Q70" s="34">
        <f t="shared" si="23"/>
        <v>-1.3858859344755907</v>
      </c>
      <c r="R70" s="34">
        <f t="shared" si="23"/>
        <v>-1.3734870092386759</v>
      </c>
      <c r="S70" s="34">
        <f t="shared" si="23"/>
        <v>-1.3644232499531699</v>
      </c>
      <c r="T70" s="34">
        <f t="shared" si="23"/>
        <v>-1.3589877299763637</v>
      </c>
      <c r="U70" s="34">
        <f t="shared" ref="U70" si="24">-T57*U42/100*(1/(1+U42/100))</f>
        <v>-1.3579735803963937</v>
      </c>
      <c r="V70" s="34">
        <f t="shared" ref="V70" si="25">-U57*V42/100*(1/(1+V42/100))</f>
        <v>-1.360749304053142</v>
      </c>
      <c r="W70" s="34">
        <f t="shared" ref="W70" si="26">-V57*W42/100*(1/(1+W42/100))</f>
        <v>-1.3684358878986422</v>
      </c>
    </row>
    <row r="71" spans="2:23" outlineLevel="1" x14ac:dyDescent="0.2">
      <c r="B71" s="79" t="s">
        <v>118</v>
      </c>
      <c r="C71" s="49"/>
      <c r="D71" s="49">
        <f>'Baseline NFPC'!D70</f>
        <v>7.6522369774068011E-8</v>
      </c>
      <c r="E71" s="49">
        <f>'Baseline NFPC'!E70</f>
        <v>-6.3081223178329537E-7</v>
      </c>
      <c r="F71" s="49">
        <f>'Baseline NFPC'!F70</f>
        <v>-3.6932986002824464E-8</v>
      </c>
      <c r="G71" s="49">
        <f>'Baseline NFPC'!G70</f>
        <v>2.5477558196485006E-7</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4" t="s">
        <v>119</v>
      </c>
      <c r="C72" s="50"/>
      <c r="D72" s="50">
        <f>'Input data'!D16</f>
        <v>0.27736460000000002</v>
      </c>
      <c r="E72" s="50">
        <f>'Input data'!E16</f>
        <v>-0.4543818</v>
      </c>
      <c r="F72" s="50">
        <f>'Input data'!F16</f>
        <v>0.2000005</v>
      </c>
      <c r="G72" s="50">
        <f>'Input data'!G16</f>
        <v>-0.6000027</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7">D14</f>
        <v>0.27736460000000002</v>
      </c>
      <c r="E73" s="34">
        <f t="shared" si="27"/>
        <v>-0.45438450000000002</v>
      </c>
      <c r="F73" s="34">
        <f t="shared" si="27"/>
        <v>0.2</v>
      </c>
      <c r="G73" s="34">
        <f t="shared" si="27"/>
        <v>-0.6</v>
      </c>
      <c r="H73" s="34">
        <f t="shared" si="27"/>
        <v>0</v>
      </c>
      <c r="I73" s="34">
        <f t="shared" si="27"/>
        <v>0</v>
      </c>
      <c r="J73" s="34">
        <f t="shared" si="27"/>
        <v>0</v>
      </c>
      <c r="K73" s="34">
        <f t="shared" si="27"/>
        <v>0</v>
      </c>
      <c r="L73" s="34">
        <f t="shared" si="27"/>
        <v>0</v>
      </c>
      <c r="M73" s="34">
        <f t="shared" si="27"/>
        <v>0</v>
      </c>
      <c r="N73" s="34">
        <f t="shared" si="27"/>
        <v>0</v>
      </c>
      <c r="O73" s="34">
        <f t="shared" si="27"/>
        <v>0</v>
      </c>
      <c r="P73" s="34">
        <f t="shared" si="27"/>
        <v>0</v>
      </c>
      <c r="Q73" s="34">
        <f t="shared" si="27"/>
        <v>0</v>
      </c>
      <c r="R73" s="34">
        <f t="shared" si="27"/>
        <v>0</v>
      </c>
      <c r="S73" s="34">
        <f t="shared" si="27"/>
        <v>0</v>
      </c>
      <c r="T73" s="34">
        <f t="shared" si="27"/>
        <v>0</v>
      </c>
      <c r="U73" s="34">
        <f t="shared" si="27"/>
        <v>0</v>
      </c>
      <c r="V73" s="34">
        <f t="shared" si="27"/>
        <v>0</v>
      </c>
      <c r="W73" s="34">
        <f t="shared" si="27"/>
        <v>0</v>
      </c>
    </row>
    <row r="74" spans="2:23" outlineLevel="1" x14ac:dyDescent="0.2">
      <c r="B74" s="89" t="s">
        <v>121</v>
      </c>
      <c r="C74" s="49"/>
      <c r="D74" s="49">
        <f>+D72-D73</f>
        <v>0</v>
      </c>
      <c r="E74" s="49">
        <f t="shared" ref="E74:T74" si="28">+E72-E73</f>
        <v>2.7000000000221291E-6</v>
      </c>
      <c r="F74" s="49">
        <f t="shared" si="28"/>
        <v>4.9999999998662226E-7</v>
      </c>
      <c r="G74" s="49">
        <f t="shared" si="28"/>
        <v>-2.7000000000221291E-6</v>
      </c>
      <c r="H74" s="49">
        <f t="shared" si="28"/>
        <v>0</v>
      </c>
      <c r="I74" s="49">
        <f t="shared" si="28"/>
        <v>0</v>
      </c>
      <c r="J74" s="49">
        <f t="shared" si="28"/>
        <v>0</v>
      </c>
      <c r="K74" s="49">
        <f t="shared" si="28"/>
        <v>0</v>
      </c>
      <c r="L74" s="49">
        <f t="shared" si="28"/>
        <v>0</v>
      </c>
      <c r="M74" s="49">
        <f t="shared" si="28"/>
        <v>0</v>
      </c>
      <c r="N74" s="49">
        <f t="shared" si="28"/>
        <v>0</v>
      </c>
      <c r="O74" s="49">
        <f t="shared" si="28"/>
        <v>0</v>
      </c>
      <c r="P74" s="49">
        <f t="shared" si="28"/>
        <v>0</v>
      </c>
      <c r="Q74" s="49">
        <f t="shared" si="28"/>
        <v>0</v>
      </c>
      <c r="R74" s="49">
        <f t="shared" si="28"/>
        <v>0</v>
      </c>
      <c r="S74" s="49">
        <f t="shared" si="28"/>
        <v>0</v>
      </c>
      <c r="T74" s="49">
        <f t="shared" si="28"/>
        <v>0</v>
      </c>
      <c r="U74" s="49">
        <f t="shared" ref="U74:W74" si="29">+U72-U73</f>
        <v>0</v>
      </c>
      <c r="V74" s="49">
        <f t="shared" si="29"/>
        <v>0</v>
      </c>
      <c r="W74" s="49">
        <f t="shared" si="29"/>
        <v>0</v>
      </c>
    </row>
    <row r="76" spans="2:23" x14ac:dyDescent="0.2">
      <c r="B76" s="51" t="s">
        <v>187</v>
      </c>
      <c r="C76" s="51"/>
      <c r="D76" s="51"/>
      <c r="E76" s="51"/>
      <c r="F76" s="51"/>
      <c r="G76" s="51"/>
      <c r="H76" s="51"/>
      <c r="I76" s="51"/>
      <c r="J76" s="51"/>
      <c r="K76" s="51">
        <f t="shared" ref="K76:W76" si="30">IF(K57&lt;J57,0,1)</f>
        <v>0</v>
      </c>
      <c r="L76" s="51">
        <f t="shared" si="30"/>
        <v>0</v>
      </c>
      <c r="M76" s="51">
        <f t="shared" si="30"/>
        <v>0</v>
      </c>
      <c r="N76" s="51">
        <f t="shared" si="30"/>
        <v>0</v>
      </c>
      <c r="O76" s="51">
        <f t="shared" si="30"/>
        <v>0</v>
      </c>
      <c r="P76" s="51">
        <f t="shared" si="30"/>
        <v>0</v>
      </c>
      <c r="Q76" s="51">
        <f t="shared" si="30"/>
        <v>1</v>
      </c>
      <c r="R76" s="51">
        <f t="shared" si="30"/>
        <v>1</v>
      </c>
      <c r="S76" s="51">
        <f t="shared" si="30"/>
        <v>1</v>
      </c>
      <c r="T76" s="51">
        <f t="shared" si="30"/>
        <v>1</v>
      </c>
      <c r="U76" s="51">
        <f t="shared" si="30"/>
        <v>1</v>
      </c>
      <c r="V76" s="51">
        <f t="shared" si="30"/>
        <v>1</v>
      </c>
      <c r="W76" s="51">
        <f t="shared" si="30"/>
        <v>1</v>
      </c>
    </row>
    <row r="77" spans="2:23" x14ac:dyDescent="0.2">
      <c r="D77" s="53"/>
    </row>
    <row r="78" spans="2:23" s="93" customFormat="1" ht="12.75" outlineLevel="1" x14ac:dyDescent="0.2">
      <c r="B78" s="94" t="s">
        <v>124</v>
      </c>
      <c r="C78" s="95"/>
      <c r="E78" s="96"/>
      <c r="F78" s="95"/>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125</v>
      </c>
      <c r="E80" s="29">
        <f t="shared" ref="E80" si="31">IF((E84-D84*E43/((1+E23/100)*(1+E42/100)))&gt;0,1,0)</f>
        <v>1</v>
      </c>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1</v>
      </c>
      <c r="M80" s="29">
        <f t="shared" si="33"/>
        <v>1</v>
      </c>
      <c r="N80" s="29">
        <f t="shared" si="33"/>
        <v>1</v>
      </c>
      <c r="O80" s="29">
        <f t="shared" si="33"/>
        <v>1</v>
      </c>
      <c r="P80" s="29">
        <f t="shared" si="33"/>
        <v>1</v>
      </c>
      <c r="Q80" s="29">
        <f t="shared" si="33"/>
        <v>1</v>
      </c>
      <c r="R80" s="29">
        <f t="shared" si="33"/>
        <v>1</v>
      </c>
      <c r="S80" s="29">
        <f t="shared" si="33"/>
        <v>1</v>
      </c>
      <c r="T80" s="29">
        <f t="shared" si="33"/>
        <v>1</v>
      </c>
      <c r="U80" s="29">
        <f t="shared" si="33"/>
        <v>1</v>
      </c>
      <c r="V80" s="29">
        <f t="shared" si="33"/>
        <v>1</v>
      </c>
      <c r="W80" s="29">
        <f t="shared" si="33"/>
        <v>1</v>
      </c>
    </row>
    <row r="81" spans="2:23" x14ac:dyDescent="0.2">
      <c r="B81" s="26" t="s">
        <v>126</v>
      </c>
      <c r="E81" s="29">
        <f t="shared" ref="E81" si="34">IF(AND(E80=0,ABS(E84-D84*E43/((1+E23/100)*(1+E42/100)))&lt;((D90*D84*E43/((1+E23/100)*(1+E42/100))+(E39*D84*D91*E43/((1+E23/100)*(1+E42/100)))))),1,0)</f>
        <v>0</v>
      </c>
      <c r="F81" s="29">
        <f t="shared" ref="F81" si="35">IF(AND(F80=0,ABS(F84-E84*F43/((1+F23/100)*(1+F42/100)))&lt;((E90*E84*F43/((1+F23/100)*(1+F42/100))+(F39*E84*E91*F43/((1+F23/100)*(1+F42/100)))))),1,0)</f>
        <v>0</v>
      </c>
      <c r="G81" s="29">
        <f t="shared" ref="G81:W81" si="36">IF(AND(G80=0,ABS(G84-F84*G43/((1+G23/100)*(1+G42/100)))&lt;((F90*F84*G43/((1+G23/100)*(1+G42/100))+(G39*F84*F91*G43/((1+G23/100)*(1+G42/100)))))),1,0)</f>
        <v>0</v>
      </c>
      <c r="H81" s="29">
        <f t="shared" si="36"/>
        <v>0</v>
      </c>
      <c r="I81" s="29">
        <f t="shared" si="36"/>
        <v>0</v>
      </c>
      <c r="J81" s="29">
        <f t="shared" si="36"/>
        <v>0</v>
      </c>
      <c r="K81" s="29">
        <f t="shared" si="36"/>
        <v>0</v>
      </c>
      <c r="L81" s="29">
        <f t="shared" si="36"/>
        <v>0</v>
      </c>
      <c r="M81" s="29">
        <f t="shared" si="36"/>
        <v>0</v>
      </c>
      <c r="N81" s="29">
        <f t="shared" si="36"/>
        <v>0</v>
      </c>
      <c r="O81" s="29">
        <f t="shared" si="36"/>
        <v>0</v>
      </c>
      <c r="P81" s="29">
        <f t="shared" si="36"/>
        <v>0</v>
      </c>
      <c r="Q81" s="29">
        <f t="shared" si="36"/>
        <v>0</v>
      </c>
      <c r="R81" s="29">
        <f t="shared" si="36"/>
        <v>0</v>
      </c>
      <c r="S81" s="29">
        <f t="shared" si="36"/>
        <v>0</v>
      </c>
      <c r="T81" s="29">
        <f t="shared" si="36"/>
        <v>0</v>
      </c>
      <c r="U81" s="29">
        <f t="shared" si="36"/>
        <v>0</v>
      </c>
      <c r="V81" s="29">
        <f t="shared" si="36"/>
        <v>0</v>
      </c>
      <c r="W81" s="29">
        <f t="shared" si="36"/>
        <v>0</v>
      </c>
    </row>
    <row r="83" spans="2:23" x14ac:dyDescent="0.2">
      <c r="B83" s="51"/>
      <c r="C83" s="86">
        <v>2021</v>
      </c>
      <c r="D83" s="86">
        <v>2022</v>
      </c>
      <c r="E83" s="86">
        <v>2023</v>
      </c>
      <c r="F83" s="86">
        <v>2024</v>
      </c>
      <c r="G83" s="86">
        <v>2025</v>
      </c>
      <c r="H83" s="86">
        <v>2026</v>
      </c>
      <c r="I83" s="86">
        <v>2027</v>
      </c>
      <c r="J83" s="86">
        <v>2028</v>
      </c>
      <c r="K83" s="86">
        <v>2029</v>
      </c>
      <c r="L83" s="86">
        <v>2030</v>
      </c>
      <c r="M83" s="86">
        <v>2031</v>
      </c>
      <c r="N83" s="86">
        <v>2032</v>
      </c>
      <c r="O83" s="86">
        <v>2033</v>
      </c>
      <c r="P83" s="86">
        <v>2034</v>
      </c>
      <c r="Q83" s="86">
        <v>2035</v>
      </c>
      <c r="R83" s="86">
        <v>2036</v>
      </c>
      <c r="S83" s="86">
        <v>2037</v>
      </c>
      <c r="T83" s="86">
        <v>2038</v>
      </c>
      <c r="U83" s="86">
        <v>2039</v>
      </c>
      <c r="V83" s="86">
        <v>2040</v>
      </c>
      <c r="W83" s="86">
        <v>2041</v>
      </c>
    </row>
    <row r="84" spans="2:23" x14ac:dyDescent="0.2">
      <c r="B84" s="106" t="s">
        <v>104</v>
      </c>
      <c r="C84" s="110">
        <f>C57</f>
        <v>61.088839999999998</v>
      </c>
      <c r="D84" s="110">
        <f>D57</f>
        <v>57.741851922294842</v>
      </c>
      <c r="E84" s="110">
        <f>E57</f>
        <v>56.044964616339108</v>
      </c>
      <c r="F84" s="110">
        <f>F57</f>
        <v>58.47893038104138</v>
      </c>
      <c r="G84" s="110">
        <f>G57</f>
        <v>59.623964733451928</v>
      </c>
      <c r="H84" s="110">
        <f>G84*(1+H98/100)*H43-H60-H61+H62+H63+H64+H65+H66+H72</f>
        <v>61.136174386887234</v>
      </c>
      <c r="I84" s="110">
        <f t="shared" ref="I84:T84" si="37">H84*(1+I98/100)*I43-I60-I61+I62+I63+I64+I65+I66+I72</f>
        <v>61.633447791006731</v>
      </c>
      <c r="J84" s="110">
        <f t="shared" si="37"/>
        <v>60.963732291979113</v>
      </c>
      <c r="K84" s="110">
        <f t="shared" si="37"/>
        <v>59.921873904775531</v>
      </c>
      <c r="L84" s="110">
        <f t="shared" si="37"/>
        <v>58.821698231289908</v>
      </c>
      <c r="M84" s="110">
        <f t="shared" si="37"/>
        <v>57.681523245905865</v>
      </c>
      <c r="N84" s="110">
        <f t="shared" si="37"/>
        <v>57.21223284914128</v>
      </c>
      <c r="O84" s="110">
        <f t="shared" si="37"/>
        <v>56.987008770233359</v>
      </c>
      <c r="P84" s="110">
        <f t="shared" si="37"/>
        <v>56.932416374379038</v>
      </c>
      <c r="Q84" s="110">
        <f t="shared" si="37"/>
        <v>57.036587687604474</v>
      </c>
      <c r="R84" s="110">
        <f t="shared" si="37"/>
        <v>57.283408903771608</v>
      </c>
      <c r="S84" s="110">
        <f t="shared" si="37"/>
        <v>57.690085345576961</v>
      </c>
      <c r="T84" s="110">
        <f t="shared" si="37"/>
        <v>58.29606919450098</v>
      </c>
      <c r="U84" s="110">
        <f>T84*(1+U98/100)*U43-U60-U61+U62+U63+U64+U65+U66+U72</f>
        <v>59.080762201323253</v>
      </c>
      <c r="V84" s="110">
        <f t="shared" ref="V84:W84" si="38">U84*(1+V98/100)*V43-V60-V61+V62+V63+V64+V65+V66+V72</f>
        <v>60.099589874964892</v>
      </c>
      <c r="W84" s="110">
        <f t="shared" si="38"/>
        <v>61.321580518420475</v>
      </c>
    </row>
    <row r="85" spans="2:23" x14ac:dyDescent="0.2">
      <c r="B85" s="26" t="s">
        <v>127</v>
      </c>
      <c r="C85" s="34"/>
      <c r="D85" s="254">
        <f>'Input data'!C66*$D$84</f>
        <v>52.315862681355028</v>
      </c>
      <c r="E85" s="34">
        <f t="shared" ref="E85" si="39">IF(E84=0,0,IF(E80=1,D84*E43/((1+E23/100)*(1+E42/100))-E86-E87,IF(AND(E80=0,E81=1),(1-D90-E39*D91)*D84*E43/((1+E23/100)*(1+E42/100)),E84)))</f>
        <v>45.918787023684288</v>
      </c>
      <c r="F85" s="34">
        <f t="shared" ref="F85" si="40">IF(F84=0,0,IF(F80=1,E84*F43/((1+F23/100)*(1+F42/100))-F86-F87,IF(AND(F80=0,F81=1),(1-E90-F39*E91)*E84*F43/((1+F23/100)*(1+F42/100)),F84)))</f>
        <v>46.936801284818969</v>
      </c>
      <c r="G85" s="34">
        <f t="shared" ref="G85" si="41">IF(G84=0,0,IF(G80=1,F84*G43/((1+G23/100)*(1+G42/100))-G86-G87,IF(AND(G80=0,G81=1),(1-F90-G39*F91)*F84*G43/((1+G23/100)*(1+G42/100)),G84)))</f>
        <v>49.796493226638653</v>
      </c>
      <c r="H85" s="34">
        <f t="shared" ref="H85:W85" si="42">IF(H84=0,0,IF(H80=1,G84*H43/((1+H23/100)*(1+H42/100))-H86-H87,IF(AND(H80=0,H81=1),(1-G90-H39*G91)*G84*H43/((1+H23/100)*(1+H42/100)),H84)))</f>
        <v>51.581486909986602</v>
      </c>
      <c r="I85" s="34">
        <f t="shared" si="42"/>
        <v>53.089026673249613</v>
      </c>
      <c r="J85" s="34">
        <f t="shared" si="42"/>
        <v>53.631210153156175</v>
      </c>
      <c r="K85" s="34">
        <f t="shared" si="42"/>
        <v>52.88821464887662</v>
      </c>
      <c r="L85" s="34">
        <f t="shared" si="42"/>
        <v>52.129476807677136</v>
      </c>
      <c r="M85" s="34">
        <f t="shared" si="42"/>
        <v>51.314400998215554</v>
      </c>
      <c r="N85" s="34">
        <f t="shared" si="42"/>
        <v>50.844994435877467</v>
      </c>
      <c r="O85" s="34">
        <f t="shared" si="42"/>
        <v>50.588825053197112</v>
      </c>
      <c r="P85" s="34">
        <f t="shared" si="42"/>
        <v>50.397806479826109</v>
      </c>
      <c r="Q85" s="34">
        <f t="shared" si="42"/>
        <v>50.358243560937701</v>
      </c>
      <c r="R85" s="34">
        <f t="shared" si="42"/>
        <v>50.459574843311188</v>
      </c>
      <c r="S85" s="34">
        <f t="shared" si="42"/>
        <v>50.700011411093719</v>
      </c>
      <c r="T85" s="34">
        <f t="shared" si="42"/>
        <v>51.114761024098343</v>
      </c>
      <c r="U85" s="34">
        <f t="shared" si="42"/>
        <v>51.703831961819255</v>
      </c>
      <c r="V85" s="34">
        <f t="shared" si="42"/>
        <v>52.455482382810978</v>
      </c>
      <c r="W85" s="34">
        <f t="shared" si="42"/>
        <v>53.398189640943507</v>
      </c>
    </row>
    <row r="86" spans="2:23" x14ac:dyDescent="0.2">
      <c r="B86" s="105" t="s">
        <v>128</v>
      </c>
      <c r="C86" s="34"/>
      <c r="D86" s="254">
        <f>'Input data'!C67*$D$84</f>
        <v>1.4670897947637906</v>
      </c>
      <c r="E86" s="34">
        <f t="shared" ref="E86" si="43">IF(E84=0,0,IF(E80=1,E39*D84*D91*E43/((1+E23/100)*(1+E42/100)),IF(AND(E80=0,E81=1),(E39*D84*D91*E43/((1+E23/100)*(1+E42/100)))*(1-ABS(E84-D84*E43/((1+E23/100)*(1+E42/100)))/((E39*D84*D91*E43/((1+E23/100)*(1+E42/100)))+(D90*D84*E43/((1+E23/100)*(1+E42/100))))),0)))</f>
        <v>3.8289375982734377</v>
      </c>
      <c r="F86" s="34">
        <f t="shared" ref="F86" si="44">IF(F84=0,0,IF(F80=1,F39*E84*E91*F43/((1+F23/100)*(1+F42/100)),IF(AND(F80=0,F81=1),(F39*E84*E91*F43/((1+F23/100)*(1+F42/100)))*(1-ABS(F84-E84*F43/((1+F23/100)*(1+F42/100)))/((F39*E84*E91*F43/((1+F23/100)*(1+F42/100)))+(E90*E84*F43/((1+F23/100)*(1+F42/100))))),0)))</f>
        <v>3.641444536495253</v>
      </c>
      <c r="G86" s="34">
        <f t="shared" ref="G86" si="45">IF(G84=0,0,IF(G80=1,G39*F84*F91*G43/((1+G23/100)*(1+G42/100)),IF(AND(G80=0,G81=1),(G39*F84*F91*G43/((1+G23/100)*(1+G42/100)))*(1-ABS(G84-F84*G43/((1+G23/100)*(1+G42/100)))/((G39*F84*F91*G43/((1+G23/100)*(1+G42/100)))+(F90*F84*G43/((1+G23/100)*(1+G42/100))))),0)))</f>
        <v>3.7434019124227138</v>
      </c>
      <c r="H86" s="34">
        <f t="shared" ref="H86:W86" si="46">IF(H84=0,0,IF(H80=1,H39*G84*G91*H43/((1+H23/100)*(1+H42/100)),IF(AND(H80=0,H81=1),(H39*G84*G91*H43/((1+H23/100)*(1+H42/100)))*(1-ABS(H84-G84*H43/((1+H23/100)*(1+H42/100)))/((H39*G84*G91*H43/((1+H23/100)*(1+H42/100)))+(G90*G84*H43/((1+H23/100)*(1+H42/100))))),0)))</f>
        <v>3.7539399899390395</v>
      </c>
      <c r="I86" s="34">
        <f t="shared" si="46"/>
        <v>3.7369594334782308</v>
      </c>
      <c r="J86" s="34">
        <f t="shared" si="46"/>
        <v>3.6477036313138353</v>
      </c>
      <c r="K86" s="34">
        <f t="shared" si="46"/>
        <v>3.4720706143266598</v>
      </c>
      <c r="L86" s="34">
        <f t="shared" si="46"/>
        <v>3.2995011882585028</v>
      </c>
      <c r="M86" s="34">
        <f t="shared" si="46"/>
        <v>3.1276049231506611</v>
      </c>
      <c r="N86" s="34">
        <f t="shared" si="46"/>
        <v>2.9803131415395154</v>
      </c>
      <c r="O86" s="34">
        <f t="shared" si="46"/>
        <v>2.847732473884002</v>
      </c>
      <c r="P86" s="34">
        <f t="shared" si="46"/>
        <v>2.8369797079533532</v>
      </c>
      <c r="Q86" s="34">
        <f t="shared" si="46"/>
        <v>2.8347526428107712</v>
      </c>
      <c r="R86" s="34">
        <f t="shared" si="46"/>
        <v>2.8404567559846159</v>
      </c>
      <c r="S86" s="34">
        <f t="shared" si="46"/>
        <v>2.8539913463069557</v>
      </c>
      <c r="T86" s="34">
        <f t="shared" si="46"/>
        <v>2.8773383194821993</v>
      </c>
      <c r="U86" s="34">
        <f t="shared" si="46"/>
        <v>2.9104981415773974</v>
      </c>
      <c r="V86" s="34">
        <f t="shared" si="46"/>
        <v>2.9528098440258312</v>
      </c>
      <c r="W86" s="34">
        <f t="shared" si="46"/>
        <v>3.0058764663387065</v>
      </c>
    </row>
    <row r="87" spans="2:23" x14ac:dyDescent="0.2">
      <c r="B87" s="105" t="s">
        <v>129</v>
      </c>
      <c r="C87" s="34"/>
      <c r="D87" s="254">
        <f>'Input data'!C68*$D$84</f>
        <v>2.0088707189722044</v>
      </c>
      <c r="E87" s="34">
        <f t="shared" ref="E87" si="47">IF(E84=0,0,IF(E80=1,(1-D91)*D84*E43/((1+E23/100)*(1+E42/100)),IF(AND(E80=0,E81=1),(D90*D84*E43/((1+E23/100)*(1+E42/100)))*(1-ABS(E84-D84*E43/((1+E23/100)*(1+E42/100)))/((E39*D84*D91*E43/((1+E23/100)*(1+E42/100)))+(D90*D84*E43/((1+E23/100)*(1+E42/100))))),0)))</f>
        <v>1.8581502566395298</v>
      </c>
      <c r="F87" s="34">
        <f t="shared" ref="F87" si="48">IF(F84=0,0,IF(F80=1,(1-E91)*E84*F43/((1+F23/100)*(1+F42/100)),IF(AND(F80=0,F81=1),(E90*E84*F43/((1+F23/100)*(1+F42/100)))*(1-ABS(F84-E84*F43/((1+F23/100)*(1+F42/100)))/((F39*E84*E91*F43/((1+F23/100)*(1+F42/100)))+(E90*E84*F43/((1+F23/100)*(1+F42/100))))),0)))</f>
        <v>1.8451657155057624</v>
      </c>
      <c r="G87" s="34">
        <f t="shared" ref="G87" si="49">IF(G84=0,0,IF(G80=1,(1-F91)*F84*G43/((1+G23/100)*(1+G42/100)),IF(AND(G80=0,G81=1),(F90*F84*G43/((1+G23/100)*(1+G42/100)))*(1-ABS(G84-F84*G43/((1+G23/100)*(1+G42/100)))/((G39*F84*F91*G43/((1+G23/100)*(1+G42/100)))+(F90*F84*G43/((1+G23/100)*(1+G42/100))))),0)))</f>
        <v>1.8972380119201087</v>
      </c>
      <c r="H87" s="34">
        <f t="shared" ref="H87:W87" si="50">IF(H84=0,0,IF(H80=1,(1-G91)*G84*H43/((1+H23/100)*(1+H42/100)),IF(AND(H80=0,H81=1),(G90*G84*H43/((1+H23/100)*(1+H42/100)))*(1-ABS(H84-G84*H43/((1+H23/100)*(1+H42/100)))/((H39*G84*G91*H43/((1+H23/100)*(1+H42/100)))+(G90*G84*H43/((1+H23/100)*(1+H42/100))))),0)))</f>
        <v>1.9257539015442247</v>
      </c>
      <c r="I87" s="34">
        <f t="shared" si="50"/>
        <v>1.9474016318581655</v>
      </c>
      <c r="J87" s="34">
        <f t="shared" si="50"/>
        <v>1.9420495914242</v>
      </c>
      <c r="K87" s="34">
        <f t="shared" si="50"/>
        <v>1.8988444490232508</v>
      </c>
      <c r="L87" s="34">
        <f t="shared" si="50"/>
        <v>1.8562893811005428</v>
      </c>
      <c r="M87" s="34">
        <f t="shared" si="50"/>
        <v>1.8131918158507381</v>
      </c>
      <c r="N87" s="34">
        <f t="shared" si="50"/>
        <v>1.7835002216672793</v>
      </c>
      <c r="O87" s="34">
        <f t="shared" si="50"/>
        <v>1.7605787960178987</v>
      </c>
      <c r="P87" s="34">
        <f t="shared" si="50"/>
        <v>1.7430398209925344</v>
      </c>
      <c r="Q87" s="34">
        <f t="shared" si="50"/>
        <v>1.7301542812245165</v>
      </c>
      <c r="R87" s="34">
        <f t="shared" si="50"/>
        <v>1.7216129910248941</v>
      </c>
      <c r="S87" s="34">
        <f t="shared" si="50"/>
        <v>1.7174266979192987</v>
      </c>
      <c r="T87" s="34">
        <f t="shared" si="50"/>
        <v>1.7187421750804643</v>
      </c>
      <c r="U87" s="34">
        <f t="shared" si="50"/>
        <v>1.7255024070510161</v>
      </c>
      <c r="V87" s="34">
        <f t="shared" si="50"/>
        <v>1.7373594402878225</v>
      </c>
      <c r="W87" s="34">
        <f t="shared" si="50"/>
        <v>1.7549848561335393</v>
      </c>
    </row>
    <row r="88" spans="2:23" x14ac:dyDescent="0.2">
      <c r="B88" s="105" t="s">
        <v>130</v>
      </c>
      <c r="C88" s="34"/>
      <c r="D88" s="254">
        <f>'Input data'!C69*$D$84</f>
        <v>1.879813737026427</v>
      </c>
      <c r="E88" s="34">
        <f>IF(E84=0,0,IF(E80=1,'Input data'!$C$58*(E84-D84*E43/((1+E23/100)*(1+E42/100))),0))</f>
        <v>4.3246051694965093</v>
      </c>
      <c r="F88" s="34">
        <f>IF(F84=0,0,IF(F80=1,'Input data'!$C$58*(F84-E84*F43/((1+F23/100)*(1+F42/100))),0))</f>
        <v>5.8993464076770419</v>
      </c>
      <c r="G88" s="34">
        <f>IF(G84=0,0,IF(G80=1,'Input data'!$C$58*(G84-F84*G43/((1+G23/100)*(1+G42/100))),0))</f>
        <v>4.0788527772753822</v>
      </c>
      <c r="H88" s="34">
        <f>IF(H84=0,0,IF(H80=1,'Input data'!$C$58*(H84-G84*H43/((1+H23/100)*(1+H42/100))),0))</f>
        <v>3.7750571133500919</v>
      </c>
      <c r="I88" s="34">
        <f>IF(I84=0,0,IF(I80=1,'Input data'!$C$58*(I84-H84*I43/((1+I23/100)*(1+I42/100))),0))</f>
        <v>2.786298817662785</v>
      </c>
      <c r="J88" s="34">
        <f>IF(J84=0,0,IF(J80=1,'Input data'!$C$58*(J84-I84*J43/((1+J23/100)*(1+J42/100))),0))</f>
        <v>1.6978227314621772</v>
      </c>
      <c r="K88" s="34">
        <f>IF(K84=0,0,IF(K80=1,'Input data'!$C$58*(K84-J84*K43/((1+K23/100)*(1+K42/100))),0))</f>
        <v>1.619861853548741</v>
      </c>
      <c r="L88" s="34">
        <f>IF(L84=0,0,IF(L80=1,'Input data'!$C$58*(L84-K84*L43/((1+L23/100)*(1+L42/100))),0))</f>
        <v>1.496806148879434</v>
      </c>
      <c r="M88" s="34">
        <f>IF(M84=0,0,IF(M80=1,'Input data'!$C$58*(M84-L84*M43/((1+M23/100)*(1+M42/100))),0))</f>
        <v>1.3895404311872737</v>
      </c>
      <c r="N88" s="34">
        <f>IF(N84=0,0,IF(N80=1,'Input data'!$C$58*(N84-M84*N43/((1+N23/100)*(1+N42/100))),0))</f>
        <v>1.562072557673537</v>
      </c>
      <c r="O88" s="34">
        <f>IF(O84=0,0,IF(O80=1,'Input data'!$C$58*(O84-N84*O43/((1+O23/100)*(1+O42/100))),0))</f>
        <v>1.7437114577355102</v>
      </c>
      <c r="P88" s="34">
        <f>IF(P84=0,0,IF(P80=1,'Input data'!$C$58*(P84-O84*P43/((1+P23/100)*(1+P42/100))),0))</f>
        <v>1.9041812846189972</v>
      </c>
      <c r="Q88" s="34">
        <f>IF(Q84=0,0,IF(Q80=1,'Input data'!$C$58*(Q84-P84*Q43/((1+Q23/100)*(1+Q42/100))),0))</f>
        <v>2.0589314458319015</v>
      </c>
      <c r="R88" s="34">
        <f>IF(R84=0,0,IF(R80=1,'Input data'!$C$58*(R84-Q84*R43/((1+R23/100)*(1+R42/100))),0))</f>
        <v>2.2034331856305807</v>
      </c>
      <c r="S88" s="34">
        <f>IF(S84=0,0,IF(S80=1,'Input data'!$C$58*(S84-R84*S43/((1+S23/100)*(1+S42/100))),0))</f>
        <v>2.3562785129816688</v>
      </c>
      <c r="T88" s="34">
        <f>IF(T84=0,0,IF(T80=1,'Input data'!$C$58*(T84-S84*T43/((1+T23/100)*(1+T42/100))),0))</f>
        <v>2.5185543955572931</v>
      </c>
      <c r="U88" s="34">
        <f>IF(U84=0,0,IF(U80=1,'Input data'!$C$58*(U84-T84*U43/((1+U23/100)*(1+U42/100))),0))</f>
        <v>2.6702408400549316</v>
      </c>
      <c r="V88" s="34">
        <f>IF(V84=0,0,IF(V80=1,'Input data'!$C$58*(V84-U84*V43/((1+V23/100)*(1+V42/100))),0))</f>
        <v>2.8777558460662385</v>
      </c>
      <c r="W88" s="34">
        <f>IF(W84=0,0,IF(W80=1,'Input data'!$C$58*(W84-V84*W43/((1+W23/100)*(1+W42/100))),0))</f>
        <v>3.0809676015281968</v>
      </c>
    </row>
    <row r="89" spans="2:23" x14ac:dyDescent="0.2">
      <c r="B89" s="107" t="s">
        <v>131</v>
      </c>
      <c r="C89" s="49"/>
      <c r="D89" s="255">
        <f>'Input data'!C70*$D$84</f>
        <v>7.0213790177552735E-2</v>
      </c>
      <c r="E89" s="49">
        <f>IF(E84=0,0,IF(E80=1,'Input data'!$C$57*(E84-D84*E43/((1+E23/100)*(1+E42/100))),0))</f>
        <v>0.11448456824533597</v>
      </c>
      <c r="F89" s="49">
        <f>IF(F84=0,0,IF(F80=1,'Input data'!$C$57*(F84-E84*F43/((1+F23/100)*(1+F42/100))),0))</f>
        <v>0.15617243654435423</v>
      </c>
      <c r="G89" s="49">
        <f>IF(G84=0,0,IF(G80=1,'Input data'!$C$57*(G84-F84*G43/((1+G23/100)*(1+G42/100))),0))</f>
        <v>0.10797880519507125</v>
      </c>
      <c r="H89" s="49">
        <f>IF(H84=0,0,IF(H80=1,'Input data'!$C$57*(H84-G84*H43/((1+H23/100)*(1+H42/100))),0))</f>
        <v>9.9936472067272367E-2</v>
      </c>
      <c r="I89" s="49">
        <f>IF(I84=0,0,IF(I80=1,'Input data'!$C$57*(I84-H84*I43/((1+I23/100)*(1+I42/100))),0))</f>
        <v>7.376123475793564E-2</v>
      </c>
      <c r="J89" s="49">
        <f>IF(J84=0,0,IF(J80=1,'Input data'!$C$57*(J84-I84*J43/((1+J23/100)*(1+J42/100))),0))</f>
        <v>4.4946184622721139E-2</v>
      </c>
      <c r="K89" s="49">
        <f>IF(K84=0,0,IF(K80=1,'Input data'!$C$57*(K84-J84*K43/((1+K23/100)*(1+K42/100))),0))</f>
        <v>4.2882339000257938E-2</v>
      </c>
      <c r="L89" s="49">
        <f>IF(L84=0,0,IF(L80=1,'Input data'!$C$57*(L84-K84*L43/((1+L23/100)*(1+L42/100))),0))</f>
        <v>3.9624705374288943E-2</v>
      </c>
      <c r="M89" s="49">
        <f>IF(M84=0,0,IF(M80=1,'Input data'!$C$57*(M84-L84*M43/((1+M23/100)*(1+M42/100))),0))</f>
        <v>3.6785077501637904E-2</v>
      </c>
      <c r="N89" s="49">
        <f>IF(N84=0,0,IF(N80=1,'Input data'!$C$57*(N84-M84*N43/((1+N23/100)*(1+N42/100))),0))</f>
        <v>4.1352492383475353E-2</v>
      </c>
      <c r="O89" s="49">
        <f>IF(O84=0,0,IF(O80=1,'Input data'!$C$57*(O84-N84*O43/((1+O23/100)*(1+O42/100))),0))</f>
        <v>4.61609893988396E-2</v>
      </c>
      <c r="P89" s="49">
        <f>IF(P84=0,0,IF(P80=1,'Input data'!$C$57*(P84-O84*P43/((1+P23/100)*(1+P42/100))),0))</f>
        <v>5.0409080988042108E-2</v>
      </c>
      <c r="Q89" s="49">
        <f>IF(Q84=0,0,IF(Q80=1,'Input data'!$C$57*(Q84-P84*Q43/((1+Q23/100)*(1+Q42/100))),0))</f>
        <v>5.4505756799586337E-2</v>
      </c>
      <c r="R89" s="49">
        <f>IF(R84=0,0,IF(R80=1,'Input data'!$C$57*(R84-Q84*R43/((1+R23/100)*(1+R42/100))),0))</f>
        <v>5.8331127820330335E-2</v>
      </c>
      <c r="S89" s="49">
        <f>IF(S84=0,0,IF(S80=1,'Input data'!$C$57*(S84-R84*S43/((1+S23/100)*(1+S42/100))),0))</f>
        <v>6.2377377275316684E-2</v>
      </c>
      <c r="T89" s="49">
        <f>IF(T84=0,0,IF(T80=1,'Input data'!$C$57*(T84-S84*T43/((1+T23/100)*(1+T42/100))),0))</f>
        <v>6.6673280282680505E-2</v>
      </c>
      <c r="U89" s="49">
        <f>IF(U84=0,0,IF(U80=1,'Input data'!$C$57*(U84-T84*U43/((1+U23/100)*(1+U42/100))),0))</f>
        <v>7.0688850820650351E-2</v>
      </c>
      <c r="V89" s="49">
        <f>IF(V84=0,0,IF(V80=1,'Input data'!$C$57*(V84-U84*V43/((1+V23/100)*(1+V42/100))),0))</f>
        <v>7.6182361774021073E-2</v>
      </c>
      <c r="W89" s="49">
        <f>IF(W84=0,0,IF(W80=1,'Input data'!$C$57*(W84-V84*W43/((1+W23/100)*(1+W42/100))),0))</f>
        <v>8.1561953476527338E-2</v>
      </c>
    </row>
    <row r="90" spans="2:23" x14ac:dyDescent="0.2">
      <c r="B90" s="26" t="s">
        <v>73</v>
      </c>
      <c r="C90" s="34"/>
      <c r="D90" s="260">
        <f>'Baseline NFPC'!$D$93</f>
        <v>3.6006564388469831E-2</v>
      </c>
      <c r="E90" s="34">
        <f t="shared" ref="E90:G90" si="51">IF(E84&lt;&gt;0,(E87+E89)/(E85+E86+E87+E88+E89),0)</f>
        <v>3.5197360519160219E-2</v>
      </c>
      <c r="F90" s="34">
        <f t="shared" si="51"/>
        <v>3.4223234573711389E-2</v>
      </c>
      <c r="G90" s="34">
        <f t="shared" si="51"/>
        <v>3.3631054661988222E-2</v>
      </c>
      <c r="H90" s="34">
        <f t="shared" ref="H90:W90" si="52">IF(H84&lt;&gt;0,(H87+H89)/(H85+H86+H87+H88+H89),0)</f>
        <v>3.3134071503924133E-2</v>
      </c>
      <c r="I90" s="34">
        <f t="shared" si="52"/>
        <v>3.2793279283509752E-2</v>
      </c>
      <c r="J90" s="34">
        <f t="shared" si="52"/>
        <v>3.2593079546547818E-2</v>
      </c>
      <c r="K90" s="34">
        <f t="shared" si="52"/>
        <v>3.240430683308055E-2</v>
      </c>
      <c r="L90" s="34">
        <f t="shared" si="52"/>
        <v>3.2231542840194805E-2</v>
      </c>
      <c r="M90" s="34">
        <f t="shared" si="52"/>
        <v>3.2072261432237473E-2</v>
      </c>
      <c r="N90" s="34">
        <f t="shared" si="52"/>
        <v>3.1896198123617624E-2</v>
      </c>
      <c r="O90" s="34">
        <f t="shared" si="52"/>
        <v>3.1704415171207798E-2</v>
      </c>
      <c r="P90" s="34">
        <f t="shared" si="52"/>
        <v>3.1501366289937972E-2</v>
      </c>
      <c r="Q90" s="34">
        <f t="shared" si="52"/>
        <v>3.1289740680120588E-2</v>
      </c>
      <c r="R90" s="34">
        <f t="shared" si="52"/>
        <v>3.1072594192766881E-2</v>
      </c>
      <c r="S90" s="34">
        <f t="shared" si="52"/>
        <v>3.0851125709611574E-2</v>
      </c>
      <c r="T90" s="34">
        <f t="shared" si="52"/>
        <v>3.0626686842404834E-2</v>
      </c>
      <c r="U90" s="34">
        <f t="shared" si="52"/>
        <v>3.040230340548038E-2</v>
      </c>
      <c r="V90" s="34">
        <f t="shared" si="52"/>
        <v>3.0175610280117626E-2</v>
      </c>
      <c r="W90" s="34">
        <f t="shared" si="52"/>
        <v>2.9949436953249822E-2</v>
      </c>
    </row>
    <row r="91" spans="2:23" x14ac:dyDescent="0.2">
      <c r="B91" s="35" t="s">
        <v>74</v>
      </c>
      <c r="C91" s="49"/>
      <c r="D91" s="261">
        <f>'Baseline NFPC'!$D$94</f>
        <v>0.96399343561153017</v>
      </c>
      <c r="E91" s="49">
        <f t="shared" ref="E91:G91" si="53">IF(E84&lt;&gt;0,(E85+E86+E88)/(E85+E86+E87+E88+E89),1)</f>
        <v>0.96480263948083966</v>
      </c>
      <c r="F91" s="49">
        <f t="shared" si="53"/>
        <v>0.96577676542628865</v>
      </c>
      <c r="G91" s="49">
        <f t="shared" si="53"/>
        <v>0.96636894533801176</v>
      </c>
      <c r="H91" s="49">
        <f t="shared" ref="H91:W91" si="54">IF(H84&lt;&gt;0,(H85+H86+H88)/(H85+H86+H87+H88+H89),1)</f>
        <v>0.96686592849607589</v>
      </c>
      <c r="I91" s="49">
        <f t="shared" si="54"/>
        <v>0.96720672071649028</v>
      </c>
      <c r="J91" s="49">
        <f t="shared" si="54"/>
        <v>0.96740692045345211</v>
      </c>
      <c r="K91" s="49">
        <f t="shared" si="54"/>
        <v>0.9675956931669194</v>
      </c>
      <c r="L91" s="49">
        <f t="shared" si="54"/>
        <v>0.9677684571598052</v>
      </c>
      <c r="M91" s="49">
        <f t="shared" si="54"/>
        <v>0.96792773856776249</v>
      </c>
      <c r="N91" s="49">
        <f t="shared" si="54"/>
        <v>0.96810380187638234</v>
      </c>
      <c r="O91" s="49">
        <f t="shared" si="54"/>
        <v>0.96829558482879219</v>
      </c>
      <c r="P91" s="49">
        <f t="shared" si="54"/>
        <v>0.96849863371006206</v>
      </c>
      <c r="Q91" s="49">
        <f t="shared" si="54"/>
        <v>0.96871025931987942</v>
      </c>
      <c r="R91" s="49">
        <f t="shared" si="54"/>
        <v>0.96892740580723313</v>
      </c>
      <c r="S91" s="49">
        <f t="shared" si="54"/>
        <v>0.96914887429038832</v>
      </c>
      <c r="T91" s="49">
        <f t="shared" si="54"/>
        <v>0.96937331315759523</v>
      </c>
      <c r="U91" s="49">
        <f t="shared" si="54"/>
        <v>0.96959769659451955</v>
      </c>
      <c r="V91" s="49">
        <f t="shared" si="54"/>
        <v>0.96982438971988227</v>
      </c>
      <c r="W91" s="49">
        <f t="shared" si="54"/>
        <v>0.97005056304675008</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3" t="s">
        <v>132</v>
      </c>
      <c r="C93" s="115">
        <f>C105</f>
        <v>1.9985023736953735</v>
      </c>
      <c r="D93" s="115">
        <f>D105</f>
        <v>1.8598021268844604</v>
      </c>
      <c r="E93" s="115">
        <f t="shared" ref="E93:G93" si="55">E95+E96</f>
        <v>2.2416550000000002</v>
      </c>
      <c r="F93" s="115">
        <f t="shared" si="55"/>
        <v>2.5392969999999999</v>
      </c>
      <c r="G93" s="115">
        <f t="shared" si="55"/>
        <v>2.7068880000000002</v>
      </c>
      <c r="H93" s="115">
        <f t="shared" ref="H93:W93" si="56">H95+H96</f>
        <v>2.8542031799392462</v>
      </c>
      <c r="I93" s="115">
        <f t="shared" si="56"/>
        <v>2.9797826189053516</v>
      </c>
      <c r="J93" s="115">
        <f t="shared" si="56"/>
        <v>3.079122295745492</v>
      </c>
      <c r="K93" s="115">
        <f t="shared" si="56"/>
        <v>3.2167824724772398</v>
      </c>
      <c r="L93" s="115">
        <f t="shared" si="56"/>
        <v>3.3278092812808655</v>
      </c>
      <c r="M93" s="115">
        <f t="shared" si="56"/>
        <v>3.4289761413686071</v>
      </c>
      <c r="N93" s="115">
        <f t="shared" si="56"/>
        <v>3.5217784403035912</v>
      </c>
      <c r="O93" s="115">
        <f t="shared" si="56"/>
        <v>3.6121570010997668</v>
      </c>
      <c r="P93" s="115">
        <f t="shared" si="56"/>
        <v>3.6948649847485351</v>
      </c>
      <c r="Q93" s="115">
        <f t="shared" si="56"/>
        <v>3.7724969973112836</v>
      </c>
      <c r="R93" s="115">
        <f t="shared" si="56"/>
        <v>3.8448352455058963</v>
      </c>
      <c r="S93" s="115">
        <f t="shared" si="56"/>
        <v>3.9117048991745174</v>
      </c>
      <c r="T93" s="115">
        <f t="shared" si="56"/>
        <v>3.9732469830017556</v>
      </c>
      <c r="U93" s="115">
        <f t="shared" si="56"/>
        <v>4.0296064040538218</v>
      </c>
      <c r="V93" s="115">
        <f t="shared" si="56"/>
        <v>4.0807718960516981</v>
      </c>
      <c r="W93" s="115">
        <f t="shared" si="56"/>
        <v>4.1273287108072827</v>
      </c>
    </row>
    <row r="94" spans="2:23" x14ac:dyDescent="0.2">
      <c r="B94" s="33" t="s">
        <v>133</v>
      </c>
      <c r="C94" s="34"/>
      <c r="D94" s="34"/>
      <c r="E94" s="266">
        <f>((E36*D84)-(E38*(D87+D89)))/(D85+D86+D88)</f>
        <v>2.1972686505760568</v>
      </c>
      <c r="F94" s="266">
        <f t="shared" ref="F94:G94" si="57">((F36*E84)-(F38*(E87+E89)))/(E85+E86+E88)</f>
        <v>2.5019068017450863</v>
      </c>
      <c r="G94" s="266">
        <f t="shared" si="57"/>
        <v>2.7030082221694394</v>
      </c>
      <c r="H94" s="34">
        <f t="shared" ref="H94:W94" si="58">IF(G84&gt;0,(G94*G85+H37*(G88+G86))/(G85+G86+G88),H37)</f>
        <v>2.855912412284241</v>
      </c>
      <c r="I94" s="34">
        <f t="shared" si="58"/>
        <v>2.9861560332112149</v>
      </c>
      <c r="J94" s="34">
        <f t="shared" si="58"/>
        <v>3.0891787016818628</v>
      </c>
      <c r="K94" s="34">
        <f t="shared" si="58"/>
        <v>3.2149479868633382</v>
      </c>
      <c r="L94" s="34">
        <f t="shared" si="58"/>
        <v>3.3300819600981502</v>
      </c>
      <c r="M94" s="34">
        <f t="shared" si="58"/>
        <v>3.4349815315038974</v>
      </c>
      <c r="N94" s="34">
        <f t="shared" si="58"/>
        <v>3.5312021204824218</v>
      </c>
      <c r="O94" s="34">
        <f t="shared" si="58"/>
        <v>3.6248767833505977</v>
      </c>
      <c r="P94" s="34">
        <f t="shared" si="58"/>
        <v>3.7114025482052129</v>
      </c>
      <c r="Q94" s="34">
        <f t="shared" si="58"/>
        <v>3.7926310986841845</v>
      </c>
      <c r="R94" s="34">
        <f t="shared" si="58"/>
        <v>3.868338922927963</v>
      </c>
      <c r="S94" s="34">
        <f t="shared" si="58"/>
        <v>3.9383489319093967</v>
      </c>
      <c r="T94" s="34">
        <f t="shared" si="58"/>
        <v>4.0028098378263071</v>
      </c>
      <c r="U94" s="34">
        <f t="shared" si="58"/>
        <v>4.0618750503740104</v>
      </c>
      <c r="V94" s="34">
        <f t="shared" si="58"/>
        <v>4.1155393892143008</v>
      </c>
      <c r="W94" s="34">
        <f t="shared" si="58"/>
        <v>4.1644070850316908</v>
      </c>
    </row>
    <row r="95" spans="2:23" x14ac:dyDescent="0.2">
      <c r="B95" s="26" t="s">
        <v>134</v>
      </c>
      <c r="C95" s="34"/>
      <c r="D95" s="34"/>
      <c r="E95" s="34">
        <f t="shared" ref="E95" si="59">(E94*(D85+D86+D88)+E38*(D87+D89))/D84</f>
        <v>2.2416550000000002</v>
      </c>
      <c r="F95" s="34">
        <f t="shared" ref="F95" si="60">(F94*(E85+E86+E88)+F38*(E87+E89))/E84</f>
        <v>2.5392969999999999</v>
      </c>
      <c r="G95" s="34">
        <f t="shared" ref="G95" si="61">(G94*(F85+F86+F88)+G38*(F87+F89))/F84</f>
        <v>2.7068880000000002</v>
      </c>
      <c r="H95" s="34">
        <f t="shared" ref="H95:W95" si="62">(H94*(G85+G86+G88)+H38*(G87+G89))/G84</f>
        <v>2.8542031799392462</v>
      </c>
      <c r="I95" s="34">
        <f t="shared" si="62"/>
        <v>2.9797826189053516</v>
      </c>
      <c r="J95" s="34">
        <f t="shared" si="62"/>
        <v>3.079122295745492</v>
      </c>
      <c r="K95" s="34">
        <f t="shared" si="62"/>
        <v>3.2167824724772398</v>
      </c>
      <c r="L95" s="34">
        <f t="shared" si="62"/>
        <v>3.3278092812808655</v>
      </c>
      <c r="M95" s="34">
        <f t="shared" si="62"/>
        <v>3.4289761413686071</v>
      </c>
      <c r="N95" s="34">
        <f t="shared" si="62"/>
        <v>3.5217784403035912</v>
      </c>
      <c r="O95" s="34">
        <f t="shared" si="62"/>
        <v>3.6121570010997668</v>
      </c>
      <c r="P95" s="34">
        <f t="shared" si="62"/>
        <v>3.6948649847485351</v>
      </c>
      <c r="Q95" s="34">
        <f t="shared" si="62"/>
        <v>3.7724969973112836</v>
      </c>
      <c r="R95" s="34">
        <f t="shared" si="62"/>
        <v>3.8448352455058963</v>
      </c>
      <c r="S95" s="34">
        <f t="shared" si="62"/>
        <v>3.9117048991745174</v>
      </c>
      <c r="T95" s="34">
        <f t="shared" si="62"/>
        <v>3.9732469830017556</v>
      </c>
      <c r="U95" s="34">
        <f t="shared" si="62"/>
        <v>4.0296064040538218</v>
      </c>
      <c r="V95" s="34">
        <f t="shared" si="62"/>
        <v>4.0807718960516981</v>
      </c>
      <c r="W95" s="34">
        <f t="shared" si="62"/>
        <v>4.1273287108072827</v>
      </c>
    </row>
    <row r="96" spans="2:23" x14ac:dyDescent="0.2">
      <c r="B96" s="35" t="s">
        <v>135</v>
      </c>
      <c r="C96" s="114"/>
      <c r="D96" s="114"/>
      <c r="E96" s="49">
        <f>IF('Criteria results'!$F$5=4,E106,E111)</f>
        <v>0</v>
      </c>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3" t="s">
        <v>186</v>
      </c>
      <c r="C98" s="115">
        <f>((1+C93/100)/((1+C23/100)*(1+C42/100))-1)*100</f>
        <v>-4.915243297911875</v>
      </c>
      <c r="D98" s="115">
        <f t="shared" ref="D98:T98" si="63">((1+D93/100)/((1+D23/100)*(1+D42/100))-1)*100</f>
        <v>-6.9724666661393764</v>
      </c>
      <c r="E98" s="115">
        <f t="shared" si="63"/>
        <v>-8.6231237887700161</v>
      </c>
      <c r="F98" s="115">
        <f t="shared" si="63"/>
        <v>-4.0866596646922932</v>
      </c>
      <c r="G98" s="115">
        <f t="shared" si="63"/>
        <v>-2.6354285576598135</v>
      </c>
      <c r="H98" s="115">
        <f t="shared" si="63"/>
        <v>-1.2217125981678567</v>
      </c>
      <c r="I98" s="115">
        <f t="shared" si="63"/>
        <v>-1.0001729124486047</v>
      </c>
      <c r="J98" s="115">
        <f t="shared" si="63"/>
        <v>-0.95564754067843927</v>
      </c>
      <c r="K98" s="115">
        <f t="shared" si="63"/>
        <v>-1.3623396654492193</v>
      </c>
      <c r="L98" s="115">
        <f t="shared" si="63"/>
        <v>-1.2186903305465124</v>
      </c>
      <c r="M98" s="115">
        <f t="shared" si="63"/>
        <v>-1.0838231546414612</v>
      </c>
      <c r="N98" s="115">
        <f t="shared" si="63"/>
        <v>-0.19815087468532111</v>
      </c>
      <c r="O98" s="115">
        <f t="shared" si="63"/>
        <v>-3.7211101333889385E-2</v>
      </c>
      <c r="P98" s="115">
        <f t="shared" si="63"/>
        <v>3.8910063172692411E-2</v>
      </c>
      <c r="Q98" s="115">
        <f t="shared" si="63"/>
        <v>0.11014518171150733</v>
      </c>
      <c r="R98" s="115">
        <f t="shared" si="63"/>
        <v>0.17628769647402009</v>
      </c>
      <c r="S98" s="115">
        <f t="shared" si="63"/>
        <v>0.2619881886708475</v>
      </c>
      <c r="T98" s="115">
        <f t="shared" si="63"/>
        <v>0.40611051539569676</v>
      </c>
      <c r="U98" s="115">
        <f>((1+U93/100)/((1+U23/100)*(1+U42/100))-1)*100</f>
        <v>0.53869294990220862</v>
      </c>
      <c r="V98" s="115">
        <f t="shared" ref="V98:W98" si="64">((1+V93/100)/((1+V23/100)*(1+V42/100))-1)*100</f>
        <v>0.67174684967099552</v>
      </c>
      <c r="W98" s="115">
        <f t="shared" si="64"/>
        <v>0.7651904077111249</v>
      </c>
    </row>
    <row r="101" spans="1:54" s="25" customFormat="1" ht="12.75" outlineLevel="1" x14ac:dyDescent="0.2">
      <c r="B101" s="25" t="s">
        <v>136</v>
      </c>
      <c r="C101" s="112"/>
      <c r="D101" s="112"/>
      <c r="E101" s="112"/>
      <c r="F101" s="112"/>
      <c r="G101" s="112"/>
      <c r="H101" s="112"/>
      <c r="I101" s="112"/>
      <c r="J101" s="112"/>
      <c r="K101" s="112"/>
      <c r="L101" s="112"/>
      <c r="M101" s="112"/>
      <c r="N101" s="112"/>
      <c r="O101" s="112"/>
      <c r="P101" s="112"/>
      <c r="Q101" s="112"/>
      <c r="R101" s="112"/>
      <c r="S101" s="112"/>
      <c r="T101" s="112"/>
      <c r="U101" s="112"/>
      <c r="V101" s="112"/>
      <c r="W101" s="112"/>
    </row>
    <row r="102" spans="1:54" s="127" customFormat="1" ht="12.75" outlineLevel="1" x14ac:dyDescent="0.2">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s="127" customFormat="1" ht="12.75" outlineLevel="1" x14ac:dyDescent="0.2">
      <c r="B103" s="106" t="s">
        <v>293</v>
      </c>
      <c r="C103" s="129"/>
      <c r="D103" s="129"/>
      <c r="E103" s="129"/>
      <c r="F103" s="129"/>
      <c r="G103" s="129"/>
      <c r="H103" s="129"/>
      <c r="I103" s="129"/>
      <c r="J103" s="129"/>
      <c r="K103" s="129"/>
      <c r="L103" s="129"/>
      <c r="M103" s="129"/>
      <c r="N103" s="129"/>
      <c r="O103" s="129"/>
      <c r="P103" s="129"/>
      <c r="Q103" s="129"/>
      <c r="R103" s="129"/>
      <c r="S103" s="129"/>
      <c r="T103" s="129"/>
      <c r="U103" s="129"/>
      <c r="V103" s="129"/>
      <c r="W103" s="129"/>
    </row>
    <row r="104" spans="1:54" outlineLevel="1" x14ac:dyDescent="0.2">
      <c r="B104" s="120" t="s">
        <v>43</v>
      </c>
      <c r="C104" s="34">
        <v>61.088844299316406</v>
      </c>
      <c r="D104" s="34">
        <v>57.741855621337891</v>
      </c>
      <c r="E104" s="34">
        <v>56.044967651367188</v>
      </c>
      <c r="F104" s="34">
        <v>58.478935241699219</v>
      </c>
      <c r="G104" s="34">
        <v>59.623966217041016</v>
      </c>
      <c r="H104" s="34">
        <v>61.136177062988281</v>
      </c>
      <c r="I104" s="34">
        <v>61.633457183837891</v>
      </c>
      <c r="J104" s="34">
        <v>60.963737487792969</v>
      </c>
      <c r="K104" s="34">
        <v>59.921886444091797</v>
      </c>
      <c r="L104" s="34">
        <v>58.821723937988281</v>
      </c>
      <c r="M104" s="34">
        <v>57.681549072265625</v>
      </c>
      <c r="N104" s="34">
        <v>57.212253570556641</v>
      </c>
      <c r="O104" s="34">
        <v>56.987022399902344</v>
      </c>
      <c r="P104" s="34">
        <v>56.932430267333984</v>
      </c>
      <c r="Q104" s="34">
        <v>57.036594390869141</v>
      </c>
      <c r="R104" s="34">
        <v>57.283405303955078</v>
      </c>
      <c r="S104" s="34">
        <v>57.690086364746094</v>
      </c>
      <c r="T104" s="34">
        <v>58.296066284179688</v>
      </c>
      <c r="U104" s="34">
        <v>59.080768585205078</v>
      </c>
      <c r="V104" s="34">
        <v>60.099601745605469</v>
      </c>
      <c r="W104" s="34">
        <v>61.321601867675781</v>
      </c>
      <c r="X104" s="34"/>
      <c r="Y104" s="34"/>
      <c r="Z104" s="34"/>
    </row>
    <row r="105" spans="1:54" s="5" customFormat="1" ht="12.75" x14ac:dyDescent="0.2">
      <c r="A105" s="26"/>
      <c r="B105" s="26" t="s">
        <v>132</v>
      </c>
      <c r="C105" s="1">
        <v>1.9985023736953735</v>
      </c>
      <c r="D105" s="1">
        <v>1.8598021268844604</v>
      </c>
      <c r="E105" s="1">
        <v>2.241654634475708</v>
      </c>
      <c r="F105" s="1">
        <v>2.5392966270446777</v>
      </c>
      <c r="G105" s="1">
        <v>2.70688796043396</v>
      </c>
      <c r="H105" s="1">
        <v>2.8542029857635498</v>
      </c>
      <c r="I105" s="1">
        <v>2.9797823429107666</v>
      </c>
      <c r="J105" s="1">
        <v>3.0791223049163818</v>
      </c>
      <c r="K105" s="1">
        <v>3.2167823314666748</v>
      </c>
      <c r="L105" s="1">
        <v>3.3278093338012695</v>
      </c>
      <c r="M105" s="1">
        <v>3.4289765357971191</v>
      </c>
      <c r="N105" s="1">
        <v>3.5217785835266113</v>
      </c>
      <c r="O105" s="1">
        <v>3.6121571063995361</v>
      </c>
      <c r="P105" s="1">
        <v>3.6948647499084473</v>
      </c>
      <c r="Q105" s="1">
        <v>3.7724969387054443</v>
      </c>
      <c r="R105" s="1">
        <v>3.8448350429534912</v>
      </c>
      <c r="S105" s="1">
        <v>3.9117047786712646</v>
      </c>
      <c r="T105" s="1">
        <v>3.9732472896575928</v>
      </c>
      <c r="U105" s="1">
        <v>4.029606819152832</v>
      </c>
      <c r="V105" s="1">
        <v>4.0807719230651855</v>
      </c>
      <c r="W105" s="1">
        <v>4.1273288726806641</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t="s">
        <v>185</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2.75" x14ac:dyDescent="0.2">
      <c r="B108" s="106" t="s">
        <v>294</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20" t="s">
        <v>43</v>
      </c>
      <c r="C109" s="34">
        <v>61.088844299316406</v>
      </c>
      <c r="D109" s="34">
        <v>57.741855621337891</v>
      </c>
      <c r="E109" s="34">
        <v>56.044967651367188</v>
      </c>
      <c r="F109" s="34">
        <v>58.478935241699219</v>
      </c>
      <c r="G109" s="34">
        <v>59.777347564697266</v>
      </c>
      <c r="H109" s="34">
        <v>61.914356231689453</v>
      </c>
      <c r="I109" s="34">
        <v>63.522014617919922</v>
      </c>
      <c r="J109" s="34">
        <v>64.454345703125</v>
      </c>
      <c r="K109" s="34">
        <v>64.654975891113281</v>
      </c>
      <c r="L109" s="34">
        <v>64.127777099609375</v>
      </c>
      <c r="M109" s="34">
        <v>62.870491027832031</v>
      </c>
      <c r="N109" s="34">
        <v>61.589584350585938</v>
      </c>
      <c r="O109" s="34">
        <v>60.361042022705078</v>
      </c>
      <c r="P109" s="34">
        <v>59.104015350341797</v>
      </c>
      <c r="Q109" s="34">
        <v>58.332855224609375</v>
      </c>
      <c r="R109" s="34">
        <v>57.701522827148438</v>
      </c>
      <c r="S109" s="34">
        <v>57.227001190185547</v>
      </c>
      <c r="T109" s="34">
        <v>56.947658538818359</v>
      </c>
      <c r="U109" s="34">
        <v>56.841140747070313</v>
      </c>
      <c r="V109" s="34">
        <v>56.961009979248047</v>
      </c>
      <c r="W109" s="34">
        <v>57.275596618652344</v>
      </c>
      <c r="X109" s="34"/>
      <c r="Y109" s="34"/>
      <c r="Z109" s="34"/>
    </row>
    <row r="110" spans="1:54" x14ac:dyDescent="0.2">
      <c r="B110" s="26" t="s">
        <v>132</v>
      </c>
      <c r="C110" s="1">
        <v>1.9985023736953735</v>
      </c>
      <c r="D110" s="1">
        <v>1.8598021268844604</v>
      </c>
      <c r="E110" s="1">
        <v>2.241654634475708</v>
      </c>
      <c r="F110" s="1">
        <v>2.5392966270446777</v>
      </c>
      <c r="G110" s="1">
        <v>2.70688796043396</v>
      </c>
      <c r="H110" s="1">
        <v>2.8600950241088867</v>
      </c>
      <c r="I110" s="1">
        <v>2.9957270622253418</v>
      </c>
      <c r="J110" s="1">
        <v>3.1086156368255615</v>
      </c>
      <c r="K110" s="1">
        <v>3.2034740447998047</v>
      </c>
      <c r="L110" s="1">
        <v>3.2836165428161621</v>
      </c>
      <c r="M110" s="1">
        <v>3.3512592315673828</v>
      </c>
      <c r="N110" s="1">
        <v>3.4611759185791016</v>
      </c>
      <c r="O110" s="1">
        <v>3.5491063594818115</v>
      </c>
      <c r="P110" s="1">
        <v>3.626453161239624</v>
      </c>
      <c r="Q110" s="1">
        <v>3.6966414451599121</v>
      </c>
      <c r="R110" s="1">
        <v>3.7631707191467285</v>
      </c>
      <c r="S110" s="1">
        <v>3.8258109092712402</v>
      </c>
      <c r="T110" s="1">
        <v>3.8846333026885986</v>
      </c>
      <c r="U110" s="1">
        <v>3.9396934509277344</v>
      </c>
      <c r="V110" s="1">
        <v>3.9908270835876465</v>
      </c>
      <c r="W110" s="1">
        <v>4.0385756492614746</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185</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2"/>
      <c r="H115" s="122"/>
      <c r="I115" s="122"/>
      <c r="J115" s="122"/>
      <c r="K115" s="122"/>
      <c r="L115" s="122"/>
      <c r="M115" s="122"/>
      <c r="N115" s="122"/>
      <c r="O115" s="122"/>
      <c r="P115" s="122"/>
      <c r="Q115" s="122"/>
      <c r="R115" s="122"/>
      <c r="S115" s="122"/>
      <c r="T115" s="122"/>
      <c r="U115" s="122"/>
      <c r="V115" s="122"/>
      <c r="W115" s="122"/>
    </row>
    <row r="116" spans="2:25" x14ac:dyDescent="0.2">
      <c r="C116" s="34"/>
      <c r="D116" s="34"/>
      <c r="E116" s="34"/>
      <c r="F116" s="34"/>
      <c r="G116" s="122"/>
      <c r="H116" s="122"/>
      <c r="I116" s="122"/>
      <c r="J116" s="122"/>
      <c r="K116" s="122"/>
      <c r="L116" s="122"/>
      <c r="M116" s="122"/>
      <c r="N116" s="122"/>
      <c r="O116" s="122"/>
      <c r="P116" s="122"/>
      <c r="Q116" s="122"/>
      <c r="R116" s="122"/>
      <c r="S116" s="122"/>
      <c r="T116" s="122"/>
      <c r="U116" s="122"/>
      <c r="V116" s="122"/>
      <c r="W116" s="122"/>
    </row>
    <row r="117" spans="2:25" x14ac:dyDescent="0.2">
      <c r="C117" s="36"/>
      <c r="D117" s="123"/>
      <c r="E117" s="123"/>
      <c r="F117" s="123"/>
      <c r="G117" s="123"/>
      <c r="H117" s="123"/>
      <c r="I117" s="123"/>
      <c r="J117" s="123"/>
      <c r="K117" s="123"/>
      <c r="L117" s="123"/>
      <c r="M117" s="123"/>
      <c r="N117" s="123"/>
      <c r="O117" s="123"/>
      <c r="P117" s="123"/>
      <c r="Q117" s="123"/>
      <c r="R117" s="123"/>
      <c r="S117" s="123"/>
      <c r="T117" s="123"/>
      <c r="U117" s="123"/>
      <c r="V117" s="123"/>
      <c r="W117" s="123"/>
    </row>
    <row r="118" spans="2:25" x14ac:dyDescent="0.2">
      <c r="C118" s="36"/>
      <c r="D118" s="36"/>
      <c r="E118" s="34"/>
      <c r="F118" s="34"/>
      <c r="G118" s="122"/>
      <c r="H118" s="122"/>
      <c r="I118" s="122"/>
      <c r="J118" s="122"/>
      <c r="K118" s="122"/>
      <c r="L118" s="122"/>
      <c r="M118" s="122"/>
      <c r="N118" s="122"/>
      <c r="O118" s="122"/>
      <c r="P118" s="122"/>
      <c r="Q118" s="122"/>
      <c r="R118" s="122"/>
      <c r="S118" s="122"/>
      <c r="T118" s="122"/>
      <c r="U118" s="122"/>
      <c r="V118" s="122"/>
      <c r="W118" s="122"/>
    </row>
    <row r="119" spans="2:25" x14ac:dyDescent="0.2">
      <c r="E119" s="34"/>
      <c r="F119" s="34"/>
      <c r="G119" s="122"/>
      <c r="H119" s="122"/>
      <c r="I119" s="122"/>
      <c r="J119" s="122"/>
      <c r="K119" s="122"/>
      <c r="L119" s="122"/>
      <c r="M119" s="122"/>
      <c r="N119" s="122"/>
      <c r="O119" s="122"/>
      <c r="P119" s="122"/>
      <c r="Q119" s="122"/>
      <c r="R119" s="122"/>
      <c r="S119" s="122"/>
      <c r="T119" s="122"/>
      <c r="U119" s="122"/>
      <c r="V119" s="122"/>
      <c r="W119" s="122"/>
      <c r="X119" s="53"/>
      <c r="Y119" s="53"/>
    </row>
    <row r="120" spans="2:25" x14ac:dyDescent="0.2">
      <c r="B120" s="33"/>
      <c r="C120" s="97"/>
      <c r="D120" s="97"/>
      <c r="G120" s="123"/>
      <c r="H120" s="123"/>
      <c r="I120" s="123"/>
      <c r="J120" s="123"/>
      <c r="K120" s="123"/>
      <c r="L120" s="123"/>
      <c r="M120" s="123"/>
      <c r="N120" s="123"/>
      <c r="O120" s="123"/>
      <c r="P120" s="123"/>
      <c r="Q120" s="123"/>
      <c r="R120" s="123"/>
      <c r="S120" s="123"/>
      <c r="T120" s="123"/>
      <c r="U120" s="123"/>
      <c r="V120" s="123"/>
      <c r="W120" s="123"/>
      <c r="X120" s="53"/>
      <c r="Y120" s="53"/>
    </row>
    <row r="121" spans="2:25" x14ac:dyDescent="0.2">
      <c r="C121" s="97"/>
      <c r="D121" s="97"/>
      <c r="E121" s="34"/>
      <c r="F121" s="34"/>
      <c r="G121" s="122"/>
      <c r="H121" s="122"/>
      <c r="I121" s="122"/>
      <c r="J121" s="122"/>
      <c r="K121" s="122"/>
      <c r="L121" s="122"/>
      <c r="M121" s="122"/>
      <c r="N121" s="122"/>
      <c r="O121" s="122"/>
      <c r="P121" s="122"/>
      <c r="Q121" s="122"/>
      <c r="R121" s="122"/>
      <c r="S121" s="122"/>
      <c r="T121" s="122"/>
      <c r="U121" s="122"/>
      <c r="V121" s="122"/>
      <c r="W121" s="122"/>
      <c r="X121" s="53"/>
      <c r="Y121" s="53"/>
    </row>
    <row r="122" spans="2:25" x14ac:dyDescent="0.2">
      <c r="E122" s="34"/>
      <c r="F122" s="34"/>
      <c r="G122" s="122"/>
      <c r="H122" s="122"/>
      <c r="I122" s="122"/>
      <c r="J122" s="122"/>
      <c r="K122" s="122"/>
      <c r="L122" s="122"/>
      <c r="M122" s="122"/>
      <c r="N122" s="122"/>
      <c r="O122" s="122"/>
      <c r="P122" s="122"/>
      <c r="Q122" s="122"/>
      <c r="R122" s="122"/>
      <c r="S122" s="122"/>
      <c r="T122" s="122"/>
      <c r="U122" s="122"/>
      <c r="V122" s="122"/>
      <c r="W122" s="122"/>
      <c r="X122" s="53"/>
      <c r="Y122" s="53"/>
    </row>
    <row r="123" spans="2:25" x14ac:dyDescent="0.2">
      <c r="C123" s="97"/>
      <c r="D123" s="97"/>
      <c r="E123" s="97"/>
      <c r="F123" s="97"/>
      <c r="G123" s="123"/>
      <c r="H123" s="123"/>
      <c r="I123" s="123"/>
      <c r="J123" s="123"/>
      <c r="K123" s="123"/>
      <c r="L123" s="123"/>
      <c r="M123" s="123"/>
      <c r="N123" s="123"/>
      <c r="O123" s="123"/>
      <c r="P123" s="123"/>
      <c r="Q123" s="123"/>
      <c r="R123" s="123"/>
      <c r="S123" s="123"/>
      <c r="T123" s="123"/>
      <c r="U123" s="123"/>
      <c r="V123" s="123"/>
      <c r="W123" s="123"/>
      <c r="X123" s="53"/>
      <c r="Y123" s="53"/>
    </row>
    <row r="124" spans="2:25" x14ac:dyDescent="0.2">
      <c r="E124" s="34"/>
      <c r="F124" s="34"/>
      <c r="G124" s="122"/>
      <c r="H124" s="122"/>
      <c r="I124" s="122"/>
      <c r="J124" s="122"/>
      <c r="K124" s="122"/>
      <c r="L124" s="122"/>
      <c r="M124" s="122"/>
      <c r="N124" s="122"/>
      <c r="O124" s="122"/>
      <c r="P124" s="122"/>
      <c r="Q124" s="122"/>
      <c r="R124" s="122"/>
      <c r="S124" s="122"/>
      <c r="T124" s="122"/>
      <c r="U124" s="122"/>
      <c r="V124" s="122"/>
      <c r="W124" s="122"/>
      <c r="X124" s="53"/>
      <c r="Y124" s="53"/>
    </row>
    <row r="125" spans="2:25" x14ac:dyDescent="0.2">
      <c r="E125" s="34"/>
      <c r="F125" s="34"/>
      <c r="G125" s="122"/>
      <c r="H125" s="122"/>
      <c r="I125" s="122"/>
      <c r="J125" s="122"/>
      <c r="K125" s="122"/>
      <c r="L125" s="122"/>
      <c r="M125" s="122"/>
      <c r="N125" s="122"/>
      <c r="O125" s="122"/>
      <c r="P125" s="122"/>
      <c r="Q125" s="122"/>
      <c r="R125" s="122"/>
      <c r="S125" s="122"/>
      <c r="T125" s="122"/>
      <c r="U125" s="122"/>
      <c r="V125" s="122"/>
      <c r="W125" s="122"/>
      <c r="X125" s="122"/>
      <c r="Y125" s="53"/>
    </row>
    <row r="126" spans="2:25" x14ac:dyDescent="0.2">
      <c r="G126" s="122"/>
      <c r="H126" s="122"/>
      <c r="I126" s="122"/>
      <c r="J126" s="122"/>
      <c r="K126" s="122"/>
      <c r="L126" s="122"/>
      <c r="M126" s="122"/>
      <c r="N126" s="122"/>
      <c r="O126" s="122"/>
      <c r="P126" s="122"/>
      <c r="Q126" s="122"/>
      <c r="R126" s="122"/>
      <c r="S126" s="122"/>
      <c r="T126" s="122"/>
      <c r="U126" s="122"/>
      <c r="V126" s="122"/>
      <c r="W126" s="122"/>
      <c r="X126" s="122"/>
      <c r="Y126" s="53"/>
    </row>
    <row r="127" spans="2:25" x14ac:dyDescent="0.2">
      <c r="C127" s="97"/>
      <c r="D127" s="97"/>
      <c r="E127" s="34"/>
      <c r="F127" s="34"/>
      <c r="G127" s="122"/>
      <c r="H127" s="122"/>
      <c r="I127" s="122"/>
      <c r="J127" s="122"/>
      <c r="K127" s="122"/>
      <c r="L127" s="122"/>
      <c r="M127" s="122"/>
      <c r="N127" s="122"/>
      <c r="O127" s="122"/>
      <c r="P127" s="122"/>
      <c r="Q127" s="122"/>
      <c r="R127" s="122"/>
      <c r="S127" s="122"/>
      <c r="T127" s="122"/>
      <c r="U127" s="122"/>
      <c r="V127" s="122"/>
      <c r="W127" s="122"/>
      <c r="X127" s="122"/>
      <c r="Y127" s="53"/>
    </row>
    <row r="128" spans="2:25" x14ac:dyDescent="0.2">
      <c r="E128" s="34"/>
      <c r="F128" s="34"/>
      <c r="G128" s="122"/>
      <c r="H128" s="122"/>
      <c r="I128" s="122"/>
      <c r="J128" s="122"/>
      <c r="K128" s="122"/>
      <c r="L128" s="122"/>
      <c r="M128" s="122"/>
      <c r="N128" s="122"/>
      <c r="O128" s="122"/>
      <c r="P128" s="122"/>
      <c r="Q128" s="122"/>
      <c r="R128" s="122"/>
      <c r="S128" s="122"/>
      <c r="T128" s="122"/>
      <c r="U128" s="122"/>
      <c r="V128" s="122"/>
      <c r="W128" s="122"/>
      <c r="X128" s="122"/>
      <c r="Y128" s="53"/>
    </row>
    <row r="129" spans="6:25" x14ac:dyDescent="0.2">
      <c r="G129" s="122"/>
      <c r="H129" s="122"/>
      <c r="I129" s="122"/>
      <c r="J129" s="122"/>
      <c r="K129" s="122"/>
      <c r="L129" s="122"/>
      <c r="M129" s="122"/>
      <c r="N129" s="122"/>
      <c r="O129" s="122"/>
      <c r="P129" s="122"/>
      <c r="Q129" s="122"/>
      <c r="R129" s="122"/>
      <c r="S129" s="122"/>
      <c r="T129" s="122"/>
      <c r="U129" s="122"/>
      <c r="V129" s="122"/>
      <c r="W129" s="122"/>
      <c r="X129" s="122"/>
      <c r="Y129" s="53"/>
    </row>
    <row r="130" spans="6:25" x14ac:dyDescent="0.2">
      <c r="F130" s="34"/>
      <c r="G130" s="122"/>
      <c r="H130" s="122"/>
      <c r="I130" s="122"/>
      <c r="J130" s="122"/>
      <c r="K130" s="122"/>
      <c r="L130" s="122"/>
      <c r="M130" s="122"/>
      <c r="N130" s="122"/>
      <c r="O130" s="122"/>
      <c r="P130" s="122"/>
      <c r="Q130" s="122"/>
      <c r="R130" s="122"/>
      <c r="S130" s="122"/>
      <c r="T130" s="122"/>
      <c r="U130" s="122"/>
      <c r="V130" s="122"/>
      <c r="W130" s="122"/>
      <c r="X130" s="122"/>
      <c r="Y130" s="53"/>
    </row>
    <row r="131" spans="6:25" x14ac:dyDescent="0.2">
      <c r="G131" s="122"/>
      <c r="H131" s="122"/>
      <c r="I131" s="122"/>
      <c r="J131" s="122"/>
      <c r="K131" s="122"/>
      <c r="L131" s="122"/>
      <c r="M131" s="122"/>
      <c r="N131" s="122"/>
      <c r="O131" s="122"/>
      <c r="P131" s="122"/>
      <c r="Q131" s="122"/>
      <c r="R131" s="122"/>
      <c r="S131" s="122"/>
      <c r="T131" s="122"/>
      <c r="U131" s="122"/>
      <c r="V131" s="122"/>
      <c r="W131" s="122"/>
      <c r="X131" s="122"/>
      <c r="Y131" s="53"/>
    </row>
    <row r="132" spans="6:25" x14ac:dyDescent="0.2">
      <c r="G132" s="122"/>
      <c r="H132" s="122"/>
      <c r="I132" s="122"/>
      <c r="J132" s="122"/>
      <c r="K132" s="122"/>
      <c r="L132" s="122"/>
      <c r="M132" s="122"/>
      <c r="N132" s="122"/>
      <c r="O132" s="122"/>
      <c r="P132" s="122"/>
      <c r="Q132" s="122"/>
      <c r="R132" s="122"/>
      <c r="S132" s="122"/>
      <c r="T132" s="122"/>
      <c r="U132" s="122"/>
      <c r="V132" s="122"/>
      <c r="W132" s="122"/>
      <c r="X132" s="122"/>
    </row>
  </sheetData>
  <conditionalFormatting sqref="K22:M24 K27:M27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X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SK</v>
      </c>
    </row>
    <row r="4" spans="1:50" s="26" customFormat="1" ht="11.25" x14ac:dyDescent="0.2">
      <c r="B4" s="64" t="s">
        <v>38</v>
      </c>
      <c r="C4" s="21"/>
    </row>
    <row r="5" spans="1:50" s="26" customFormat="1" ht="11.25" x14ac:dyDescent="0.2">
      <c r="A5" s="29"/>
      <c r="B5" s="22" t="str">
        <f>'Input data'!B5</f>
        <v>Last year before the adjustment</v>
      </c>
      <c r="C5" s="23">
        <f>+'Input data'!C5</f>
        <v>2024</v>
      </c>
    </row>
    <row r="6" spans="1:50" s="26" customFormat="1" ht="11.25" x14ac:dyDescent="0.2">
      <c r="A6" s="29"/>
      <c r="B6" s="65" t="s">
        <v>149</v>
      </c>
      <c r="C6" s="23">
        <f>C5+'Criteria results'!F5+1</f>
        <v>2029</v>
      </c>
      <c r="E6" s="43"/>
      <c r="F6" s="29"/>
    </row>
    <row r="7" spans="1:50" s="26" customFormat="1" ht="11.25" x14ac:dyDescent="0.2">
      <c r="A7" s="29"/>
      <c r="B7" s="24" t="s">
        <v>150</v>
      </c>
      <c r="C7" s="66">
        <f>C6+4</f>
        <v>2033</v>
      </c>
      <c r="E7" s="43"/>
      <c r="F7" s="29"/>
    </row>
    <row r="8" spans="1:50" s="26" customFormat="1" ht="11.25" x14ac:dyDescent="0.2">
      <c r="A8" s="29"/>
      <c r="C8" s="29"/>
      <c r="E8" s="43"/>
      <c r="F8" s="29"/>
    </row>
    <row r="9" spans="1:50" s="67" customFormat="1" ht="11.25" x14ac:dyDescent="0.2">
      <c r="B9" s="90" t="s">
        <v>151</v>
      </c>
    </row>
    <row r="10" spans="1:50" s="26" customFormat="1" ht="11.25"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
      <c r="B11" s="91" t="s">
        <v>188</v>
      </c>
      <c r="C11" s="83">
        <f>'Adjust. no safeguard'!C57</f>
        <v>61.088839999999998</v>
      </c>
      <c r="D11" s="83">
        <f>'Adjust. no safeguard'!D57</f>
        <v>57.741851922294835</v>
      </c>
      <c r="E11" s="83">
        <f>'Adjust. no safeguard'!E57</f>
        <v>56.044964616339094</v>
      </c>
      <c r="F11" s="83">
        <f>'Adjust. no safeguard'!F57</f>
        <v>58.478930381041359</v>
      </c>
      <c r="G11" s="83">
        <f>'Adjust. no safeguard'!G57</f>
        <v>59.623964733451906</v>
      </c>
      <c r="H11" s="83">
        <f>'Adjust. no safeguard'!H57</f>
        <v>61.136174386887198</v>
      </c>
      <c r="I11" s="83">
        <f>'Adjust. no safeguard'!I57</f>
        <v>61.633447791006695</v>
      </c>
      <c r="J11" s="83">
        <f>'Adjust. no safeguard'!J57</f>
        <v>60.963732291979078</v>
      </c>
      <c r="K11" s="83">
        <f>'Adjust. no safeguard'!K57</f>
        <v>59.590667340237786</v>
      </c>
      <c r="L11" s="83">
        <f>'Adjust. no safeguard'!L57</f>
        <v>58.148355984923676</v>
      </c>
      <c r="M11" s="83">
        <f>'Adjust. no safeguard'!M57</f>
        <v>56.658318746410494</v>
      </c>
      <c r="N11" s="83">
        <f>'Adjust. no safeguard'!N57</f>
        <v>55.823411743043856</v>
      </c>
      <c r="O11" s="83">
        <f>'Adjust. no safeguard'!O57</f>
        <v>55.220580273948023</v>
      </c>
      <c r="P11" s="83">
        <f>'Adjust. no safeguard'!P57</f>
        <v>54.776942231545902</v>
      </c>
      <c r="Q11" s="83">
        <f>'Adjust. no safeguard'!Q57</f>
        <v>54.480076992848822</v>
      </c>
      <c r="R11" s="83">
        <f>'Adjust. no safeguard'!R57</f>
        <v>54.31336751070608</v>
      </c>
      <c r="S11" s="83">
        <f>'Adjust. no safeguard'!S57</f>
        <v>54.292704756653201</v>
      </c>
      <c r="T11" s="83">
        <f>'Adjust. no safeguard'!T57</f>
        <v>54.454121916074875</v>
      </c>
      <c r="U11" s="83">
        <f>'Adjust. no safeguard'!U57</f>
        <v>54.775534480653036</v>
      </c>
      <c r="V11" s="83">
        <f>'Adjust. no safeguard'!V57</f>
        <v>55.310442909344602</v>
      </c>
      <c r="W11" s="83">
        <f>'Adjust. no safeguard'!W57</f>
        <v>56.027460196798216</v>
      </c>
    </row>
    <row r="12" spans="1:50" s="26" customFormat="1" ht="11.25" x14ac:dyDescent="0.2">
      <c r="A12" s="29"/>
      <c r="C12" s="29"/>
      <c r="E12" s="43"/>
      <c r="F12" s="29"/>
    </row>
    <row r="13" spans="1:50" s="67" customFormat="1" ht="11.25" x14ac:dyDescent="0.2">
      <c r="B13" s="90" t="s">
        <v>152</v>
      </c>
    </row>
    <row r="14" spans="1:50" x14ac:dyDescent="0.2">
      <c r="B14" s="5" t="s">
        <v>153</v>
      </c>
      <c r="C14" s="83">
        <f>C$11</f>
        <v>61.088839999999998</v>
      </c>
      <c r="D14" s="83">
        <f t="shared" ref="D14:J18" si="0">D$11</f>
        <v>57.741851922294835</v>
      </c>
      <c r="E14" s="83">
        <f t="shared" si="0"/>
        <v>56.044964616339094</v>
      </c>
      <c r="F14" s="83">
        <f t="shared" si="0"/>
        <v>58.478930381041359</v>
      </c>
      <c r="G14" s="83">
        <f t="shared" si="0"/>
        <v>59.623964733451906</v>
      </c>
      <c r="H14" s="83">
        <f t="shared" si="0"/>
        <v>61.136174386887198</v>
      </c>
      <c r="I14" s="83">
        <f t="shared" si="0"/>
        <v>61.633447791006695</v>
      </c>
      <c r="J14" s="83">
        <f>J$11</f>
        <v>60.963732291979078</v>
      </c>
      <c r="K14" s="83">
        <f>IF('Criteria results'!$F$5=4,K$11+'Input data'!C74,K$11)</f>
        <v>53.70726737685888</v>
      </c>
      <c r="L14" s="83">
        <f>IF('Criteria results'!$F$5=4,L$11+'Input data'!D74,L$11)</f>
        <v>49.933790707824066</v>
      </c>
      <c r="M14" s="83">
        <f>IF('Criteria results'!$F$5=4,M$11+'Input data'!E74,M$11)</f>
        <v>46.745476949535494</v>
      </c>
      <c r="N14" s="83">
        <f>IF('Criteria results'!$F$5=4,N$11+'Input data'!F74,N$11+'Input data'!C74)</f>
        <v>44.485532562135653</v>
      </c>
      <c r="O14" s="83">
        <f>IF('Criteria results'!$F$5=4,O$11+'Input data'!G74,O$11+'Input data'!D74)</f>
        <v>42.961413556418727</v>
      </c>
      <c r="P14" s="83" t="str">
        <f>IF('Criteria results'!$F$5=4,"",Stochastic!P$11+'Input data'!E74)</f>
        <v/>
      </c>
      <c r="Q14" s="83" t="str">
        <f>IF('Criteria results'!$F$5=4,"",Stochastic!Q$11+'Input data'!F74)</f>
        <v/>
      </c>
      <c r="R14" s="83" t="str">
        <f>IF('Criteria results'!$F$5=4,"",Stochastic!R$11+'Input data'!G74)</f>
        <v/>
      </c>
    </row>
    <row r="15" spans="1:50" x14ac:dyDescent="0.2">
      <c r="B15" s="5" t="s">
        <v>154</v>
      </c>
      <c r="C15" s="83">
        <f t="shared" ref="C15:C18" si="1">C$11</f>
        <v>61.088839999999998</v>
      </c>
      <c r="D15" s="83">
        <f t="shared" si="0"/>
        <v>57.741851922294835</v>
      </c>
      <c r="E15" s="83">
        <f t="shared" si="0"/>
        <v>56.044964616339094</v>
      </c>
      <c r="F15" s="83">
        <f t="shared" si="0"/>
        <v>58.478930381041359</v>
      </c>
      <c r="G15" s="83">
        <f t="shared" si="0"/>
        <v>59.623964733451906</v>
      </c>
      <c r="H15" s="83">
        <f t="shared" si="0"/>
        <v>61.136174386887198</v>
      </c>
      <c r="I15" s="83">
        <f t="shared" si="0"/>
        <v>61.633447791006695</v>
      </c>
      <c r="J15" s="83">
        <f t="shared" si="0"/>
        <v>60.963732291979078</v>
      </c>
      <c r="K15" s="83">
        <f>IF('Criteria results'!$F$5=4,K$11+'Input data'!C75,K$11)</f>
        <v>57.096603009183099</v>
      </c>
      <c r="L15" s="83">
        <f>IF('Criteria results'!$F$5=4,L$11+'Input data'!D75,L$11)</f>
        <v>54.703764462706879</v>
      </c>
      <c r="M15" s="83">
        <f>IF('Criteria results'!$F$5=4,M$11+'Input data'!E75,M$11)</f>
        <v>52.583756673656588</v>
      </c>
      <c r="N15" s="83">
        <f>IF('Criteria results'!$F$5=4,N$11+'Input data'!F75,N$11+'Input data'!C75)</f>
        <v>51.107915679811434</v>
      </c>
      <c r="O15" s="83">
        <f>IF('Criteria results'!$F$5=4,O$11+'Input data'!G75,O$11+'Input data'!D75)</f>
        <v>50.044020825705836</v>
      </c>
      <c r="P15" s="83" t="str">
        <f>IF('Criteria results'!$F$5=4,"",Stochastic!P$11+'Input data'!E75)</f>
        <v/>
      </c>
      <c r="Q15" s="83" t="str">
        <f>IF('Criteria results'!$F$5=4,"",Stochastic!Q$11+'Input data'!F75)</f>
        <v/>
      </c>
      <c r="R15" s="83" t="str">
        <f>IF('Criteria results'!$F$5=4,"",Stochastic!R$11+'Input data'!G75)</f>
        <v/>
      </c>
    </row>
    <row r="16" spans="1:50" x14ac:dyDescent="0.2">
      <c r="B16" s="5" t="s">
        <v>189</v>
      </c>
      <c r="C16" s="83">
        <f t="shared" si="1"/>
        <v>61.088839999999998</v>
      </c>
      <c r="D16" s="83">
        <f t="shared" si="0"/>
        <v>57.741851922294835</v>
      </c>
      <c r="E16" s="83">
        <f t="shared" si="0"/>
        <v>56.044964616339094</v>
      </c>
      <c r="F16" s="83">
        <f t="shared" si="0"/>
        <v>58.478930381041359</v>
      </c>
      <c r="G16" s="83">
        <f t="shared" si="0"/>
        <v>59.623964733451906</v>
      </c>
      <c r="H16" s="83">
        <f t="shared" si="0"/>
        <v>61.136174386887198</v>
      </c>
      <c r="I16" s="83">
        <f t="shared" si="0"/>
        <v>61.633447791006695</v>
      </c>
      <c r="J16" s="83">
        <f t="shared" si="0"/>
        <v>60.963732291979078</v>
      </c>
      <c r="K16" s="83">
        <f>K11</f>
        <v>59.590667340237786</v>
      </c>
      <c r="L16" s="83">
        <f t="shared" ref="L16:O16" si="2">L11</f>
        <v>58.148355984923676</v>
      </c>
      <c r="M16" s="83">
        <f t="shared" si="2"/>
        <v>56.658318746410494</v>
      </c>
      <c r="N16" s="83">
        <f t="shared" si="2"/>
        <v>55.823411743043856</v>
      </c>
      <c r="O16" s="83">
        <f t="shared" si="2"/>
        <v>55.220580273948023</v>
      </c>
      <c r="P16" s="83" t="str">
        <f>IF('Criteria results'!$F$5=4,"",Stochastic!P$11)</f>
        <v/>
      </c>
      <c r="Q16" s="83" t="str">
        <f>IF('Criteria results'!$F$5=4,"",Stochastic!Q$11)</f>
        <v/>
      </c>
      <c r="R16" s="83" t="str">
        <f>IF('Criteria results'!$F$5=4,"",Stochastic!R$11)</f>
        <v/>
      </c>
    </row>
    <row r="17" spans="2:18" x14ac:dyDescent="0.2">
      <c r="B17" s="5" t="s">
        <v>155</v>
      </c>
      <c r="C17" s="83">
        <f t="shared" si="1"/>
        <v>61.088839999999998</v>
      </c>
      <c r="D17" s="83">
        <f t="shared" si="0"/>
        <v>57.741851922294835</v>
      </c>
      <c r="E17" s="83">
        <f t="shared" si="0"/>
        <v>56.044964616339094</v>
      </c>
      <c r="F17" s="83">
        <f t="shared" si="0"/>
        <v>58.478930381041359</v>
      </c>
      <c r="G17" s="83">
        <f t="shared" si="0"/>
        <v>59.623964733451906</v>
      </c>
      <c r="H17" s="83">
        <f t="shared" si="0"/>
        <v>61.136174386887198</v>
      </c>
      <c r="I17" s="83">
        <f t="shared" si="0"/>
        <v>61.633447791006695</v>
      </c>
      <c r="J17" s="83">
        <f t="shared" si="0"/>
        <v>60.963732291979078</v>
      </c>
      <c r="K17" s="83">
        <f>IF('Criteria results'!$F$5=4,K$11+'Input data'!C76,K$11)</f>
        <v>62.077945324856927</v>
      </c>
      <c r="L17" s="83">
        <f>IF('Criteria results'!$F$5=4,L$11+'Input data'!D76,L$11)</f>
        <v>61.59708263897641</v>
      </c>
      <c r="M17" s="83">
        <f>IF('Criteria results'!$F$5=4,M$11+'Input data'!E76,M$11)</f>
        <v>60.890603292308931</v>
      </c>
      <c r="N17" s="83">
        <f>IF('Criteria results'!$F$5=4,N$11+'Input data'!F76,N$11+'Input data'!C76)</f>
        <v>60.861631194948153</v>
      </c>
      <c r="O17" s="83">
        <f>IF('Criteria results'!$F$5=4,O$11+'Input data'!G76,O$11+'Input data'!D76)</f>
        <v>60.887236768088648</v>
      </c>
      <c r="P17" s="83" t="str">
        <f>IF('Criteria results'!$F$5=4,"",Stochastic!P$11+'Input data'!E76)</f>
        <v/>
      </c>
      <c r="Q17" s="83" t="str">
        <f>IF('Criteria results'!$F$5=4,"",Stochastic!Q$11+'Input data'!F76)</f>
        <v/>
      </c>
      <c r="R17" s="83" t="str">
        <f>IF('Criteria results'!$F$5=4,"",Stochastic!R$11+'Input data'!G76)</f>
        <v/>
      </c>
    </row>
    <row r="18" spans="2:18" x14ac:dyDescent="0.2">
      <c r="B18" s="5" t="s">
        <v>156</v>
      </c>
      <c r="C18" s="83">
        <f t="shared" si="1"/>
        <v>61.088839999999998</v>
      </c>
      <c r="D18" s="83">
        <f t="shared" si="0"/>
        <v>57.741851922294835</v>
      </c>
      <c r="E18" s="83">
        <f t="shared" si="0"/>
        <v>56.044964616339094</v>
      </c>
      <c r="F18" s="83">
        <f t="shared" si="0"/>
        <v>58.478930381041359</v>
      </c>
      <c r="G18" s="83">
        <f t="shared" si="0"/>
        <v>59.623964733451906</v>
      </c>
      <c r="H18" s="83">
        <f t="shared" si="0"/>
        <v>61.136174386887198</v>
      </c>
      <c r="I18" s="83">
        <f t="shared" si="0"/>
        <v>61.633447791006695</v>
      </c>
      <c r="J18" s="83">
        <f t="shared" si="0"/>
        <v>60.963732291979078</v>
      </c>
      <c r="K18" s="83">
        <f>IF('Criteria results'!$F$5=4,K$11+'Input data'!C77,K$11)</f>
        <v>65.854041668851067</v>
      </c>
      <c r="L18" s="83">
        <f>IF('Criteria results'!$F$5=4,L$11+'Input data'!D77,L$11)</f>
        <v>66.817083859679542</v>
      </c>
      <c r="M18" s="83">
        <f>IF('Criteria results'!$F$5=4,M$11+'Input data'!E77,M$11)</f>
        <v>67.195954549633143</v>
      </c>
      <c r="N18" s="83">
        <f>IF('Criteria results'!$F$5=4,N$11+'Input data'!F77,N$11+'Input data'!C77)</f>
        <v>68.271398345827066</v>
      </c>
      <c r="O18" s="83">
        <f>IF('Criteria results'!$F$5=4,O$11+'Input data'!G77,O$11+'Input data'!D77)</f>
        <v>69.382277661643343</v>
      </c>
      <c r="P18" s="83" t="str">
        <f>IF('Criteria results'!$F$5=4,"",Stochastic!P$11+'Input data'!E77)</f>
        <v/>
      </c>
      <c r="Q18" s="83" t="str">
        <f>IF('Criteria results'!$F$5=4,"",Stochastic!Q$11+'Input data'!F77)</f>
        <v/>
      </c>
      <c r="R18" s="83" t="str">
        <f>IF('Criteria results'!$F$5=4,"",Stochastic!R$11+'Input data'!G77)</f>
        <v/>
      </c>
    </row>
    <row r="20" spans="2:18" s="67" customFormat="1" ht="11.25" x14ac:dyDescent="0.2">
      <c r="B20" s="90" t="s">
        <v>157</v>
      </c>
    </row>
    <row r="21" spans="2:18" s="26" customFormat="1" x14ac:dyDescent="0.2">
      <c r="B21" s="81" t="str">
        <f>"Stochastic debt projections "&amp;E21&amp;"-"&amp;I21</f>
        <v>Stochastic debt projections 2029-2033</v>
      </c>
      <c r="C21" s="82">
        <f>IF('Criteria results'!$F$5=4,I10,L10)</f>
        <v>2027</v>
      </c>
      <c r="D21" s="82">
        <f>IF('Criteria results'!$F$5=4,J10,M10)</f>
        <v>2028</v>
      </c>
      <c r="E21" s="82">
        <f>IF('Criteria results'!$F$5=4,K10,N10)</f>
        <v>2029</v>
      </c>
      <c r="F21" s="82">
        <f>IF('Criteria results'!$F$5=4,L10,O10)</f>
        <v>2030</v>
      </c>
      <c r="G21" s="82">
        <f>IF('Criteria results'!$F$5=4,M10,P10)</f>
        <v>2031</v>
      </c>
      <c r="H21" s="82">
        <f>IF('Criteria results'!$F$5=4,N10,Q10)</f>
        <v>2032</v>
      </c>
      <c r="I21" s="82">
        <f>IF('Criteria results'!$F$5=4,O10,R10)</f>
        <v>2033</v>
      </c>
    </row>
    <row r="22" spans="2:18" x14ac:dyDescent="0.2">
      <c r="B22" s="5" t="s">
        <v>153</v>
      </c>
      <c r="C22" s="83">
        <f>IF('Criteria results'!$F$5=4,I$11,L$11)</f>
        <v>61.633447791006695</v>
      </c>
      <c r="D22" s="83">
        <f>IF('Criteria results'!$F$5=4,J$11,M$11)</f>
        <v>60.963732291979078</v>
      </c>
      <c r="E22" s="83">
        <f>IF('Criteria results'!$F$5=4,K$11+'Input data'!C74,N$11+'Input data'!C74)</f>
        <v>53.70726737685888</v>
      </c>
      <c r="F22" s="83">
        <f>IF('Criteria results'!$F$5=4,L$11+'Input data'!D74,O$11+'Input data'!D74)</f>
        <v>49.933790707824066</v>
      </c>
      <c r="G22" s="83">
        <f>IF('Criteria results'!$F$5=4,M$11+'Input data'!E74,P$11+'Input data'!E74)</f>
        <v>46.745476949535494</v>
      </c>
      <c r="H22" s="83">
        <f>IF('Criteria results'!$F$5=4,N$11+'Input data'!F74,Q$11+'Input data'!F74)</f>
        <v>44.485532562135653</v>
      </c>
      <c r="I22" s="83">
        <f>IF('Criteria results'!$F$5=4,O$11+'Input data'!G74,R$11+'Input data'!G74)</f>
        <v>42.961413556418727</v>
      </c>
      <c r="P22" s="83"/>
      <c r="Q22" s="83"/>
      <c r="R22" s="83"/>
    </row>
    <row r="23" spans="2:18" x14ac:dyDescent="0.2">
      <c r="B23" s="5" t="s">
        <v>158</v>
      </c>
      <c r="C23" s="83">
        <v>0</v>
      </c>
      <c r="D23" s="83">
        <v>0</v>
      </c>
      <c r="E23" s="83">
        <f>'Input data'!C75-'Input data'!C74</f>
        <v>3.3893356323242188</v>
      </c>
      <c r="F23" s="83">
        <f>'Input data'!D75-'Input data'!D74</f>
        <v>4.7699737548828125</v>
      </c>
      <c r="G23" s="83">
        <f>'Input data'!E75-'Input data'!E74</f>
        <v>5.8382797241210938</v>
      </c>
      <c r="H23" s="83">
        <f>'Input data'!F75-'Input data'!F74</f>
        <v>6.6223831176757813</v>
      </c>
      <c r="I23" s="83">
        <f>'Input data'!G75-'Input data'!G74</f>
        <v>7.0826072692871094</v>
      </c>
      <c r="P23" s="83"/>
      <c r="Q23" s="83"/>
      <c r="R23" s="83"/>
    </row>
    <row r="24" spans="2:18" x14ac:dyDescent="0.2">
      <c r="B24" s="5" t="s">
        <v>159</v>
      </c>
      <c r="C24" s="83">
        <v>0</v>
      </c>
      <c r="D24" s="83">
        <v>0</v>
      </c>
      <c r="E24" s="83">
        <f>-'Input data'!C75</f>
        <v>2.4940643310546875</v>
      </c>
      <c r="F24" s="83">
        <f>-'Input data'!D75</f>
        <v>3.4445915222167969</v>
      </c>
      <c r="G24" s="83">
        <f>-'Input data'!E75</f>
        <v>4.0745620727539063</v>
      </c>
      <c r="H24" s="83">
        <f>-'Input data'!F75</f>
        <v>4.7154960632324219</v>
      </c>
      <c r="I24" s="83">
        <f>-'Input data'!G75</f>
        <v>5.1765594482421875</v>
      </c>
      <c r="P24" s="83"/>
      <c r="Q24" s="83"/>
      <c r="R24" s="83"/>
    </row>
    <row r="25" spans="2:18" x14ac:dyDescent="0.2">
      <c r="B25" s="5" t="s">
        <v>160</v>
      </c>
      <c r="C25" s="83">
        <v>0</v>
      </c>
      <c r="D25" s="83">
        <v>0</v>
      </c>
      <c r="E25" s="83">
        <f>'Input data'!C76</f>
        <v>2.4872779846191406</v>
      </c>
      <c r="F25" s="83">
        <f>'Input data'!D76</f>
        <v>3.4487266540527344</v>
      </c>
      <c r="G25" s="83">
        <f>'Input data'!E76</f>
        <v>4.2322845458984375</v>
      </c>
      <c r="H25" s="83">
        <f>'Input data'!F76</f>
        <v>5.0382194519042969</v>
      </c>
      <c r="I25" s="83">
        <f>'Input data'!G76</f>
        <v>5.666656494140625</v>
      </c>
      <c r="P25" s="83"/>
      <c r="Q25" s="83"/>
      <c r="R25" s="83"/>
    </row>
    <row r="26" spans="2:18" x14ac:dyDescent="0.2">
      <c r="B26" s="5" t="s">
        <v>161</v>
      </c>
      <c r="C26" s="83">
        <v>0</v>
      </c>
      <c r="D26" s="83">
        <v>0</v>
      </c>
      <c r="E26" s="83">
        <f>'Input data'!C77-'Input data'!C76</f>
        <v>3.7760963439941406</v>
      </c>
      <c r="F26" s="83">
        <f>'Input data'!D77-'Input data'!D76</f>
        <v>5.220001220703125</v>
      </c>
      <c r="G26" s="83">
        <f>'Input data'!E77-'Input data'!E76</f>
        <v>6.3053512573242188</v>
      </c>
      <c r="H26" s="83">
        <f>'Input data'!F77-'Input data'!F76</f>
        <v>7.4097671508789063</v>
      </c>
      <c r="I26" s="83">
        <f>'Input data'!G77-'Input data'!G76</f>
        <v>8.4950408935546875</v>
      </c>
      <c r="P26" s="83"/>
      <c r="Q26" s="83"/>
      <c r="R26" s="83"/>
    </row>
    <row r="27" spans="2:18" x14ac:dyDescent="0.2">
      <c r="B27" s="5" t="s">
        <v>153</v>
      </c>
      <c r="C27" s="83">
        <f>IF('Criteria results'!$F$5=4,I$11,L$11)</f>
        <v>61.633447791006695</v>
      </c>
      <c r="D27" s="83">
        <f>IF('Criteria results'!$F$5=4,J$11,M$11)</f>
        <v>60.963732291979078</v>
      </c>
      <c r="E27" s="83">
        <f>IF('Criteria results'!$F$5=4,K$11+'Input data'!C74,N$11+'Input data'!C74)</f>
        <v>53.70726737685888</v>
      </c>
      <c r="F27" s="83">
        <f>IF('Criteria results'!$F$5=4,L$11+'Input data'!D74,O$11+'Input data'!D74)</f>
        <v>49.933790707824066</v>
      </c>
      <c r="G27" s="83">
        <f>IF('Criteria results'!$F$5=4,M$11+'Input data'!E74,P$11+'Input data'!E74)</f>
        <v>46.745476949535494</v>
      </c>
      <c r="H27" s="83">
        <f>IF('Criteria results'!$F$5=4,N$11+'Input data'!F74,Q$11+'Input data'!F74)</f>
        <v>44.485532562135653</v>
      </c>
      <c r="I27" s="83">
        <f>IF('Criteria results'!$F$5=4,O$11+'Input data'!G74,R$11+'Input data'!G74)</f>
        <v>42.961413556418727</v>
      </c>
    </row>
    <row r="28" spans="2:18" x14ac:dyDescent="0.2">
      <c r="B28" s="5" t="s">
        <v>154</v>
      </c>
      <c r="C28" s="83">
        <f>IF('Criteria results'!$F$5=4,I$11,L$11)</f>
        <v>61.633447791006695</v>
      </c>
      <c r="D28" s="83">
        <f>IF('Criteria results'!$F$5=4,J$11,M$11)</f>
        <v>60.963732291979078</v>
      </c>
      <c r="E28" s="83">
        <f>IF('Criteria results'!$F$5=4,K$11+'Input data'!C75,N$11+'Input data'!C75)</f>
        <v>57.096603009183099</v>
      </c>
      <c r="F28" s="83">
        <f>IF('Criteria results'!$F$5=4,L$11+'Input data'!D75,O$11+'Input data'!D75)</f>
        <v>54.703764462706879</v>
      </c>
      <c r="G28" s="83">
        <f>IF('Criteria results'!$F$5=4,M$11+'Input data'!E75,P$11+'Input data'!E75)</f>
        <v>52.583756673656588</v>
      </c>
      <c r="H28" s="83">
        <f>IF('Criteria results'!$F$5=4,N$11+'Input data'!F75,Q$11+'Input data'!F75)</f>
        <v>51.107915679811434</v>
      </c>
      <c r="I28" s="83">
        <f>IF('Criteria results'!$F$5=4,O$11+'Input data'!G75,R$11+'Input data'!G75)</f>
        <v>50.044020825705836</v>
      </c>
      <c r="P28" s="83"/>
      <c r="Q28" s="83"/>
      <c r="R28" s="83"/>
    </row>
    <row r="29" spans="2:18" x14ac:dyDescent="0.2">
      <c r="B29" s="5" t="s">
        <v>162</v>
      </c>
      <c r="C29" s="83">
        <f>IF('Criteria results'!$F$5=4,I$11,L$11)</f>
        <v>61.633447791006695</v>
      </c>
      <c r="D29" s="83">
        <f>IF('Criteria results'!$F$5=4,J$11,M$11)</f>
        <v>60.963732291979078</v>
      </c>
      <c r="E29" s="83">
        <f>IF('Criteria results'!$F$5=4,K$11,N$11)</f>
        <v>59.590667340237786</v>
      </c>
      <c r="F29" s="83">
        <f>IF('Criteria results'!$F$5=4,L$11,O$11)</f>
        <v>58.148355984923676</v>
      </c>
      <c r="G29" s="83">
        <f>IF('Criteria results'!$F$5=4,M$11,P$11)</f>
        <v>56.658318746410494</v>
      </c>
      <c r="H29" s="83">
        <f>IF('Criteria results'!$F$5=4,N$11,Q$11)</f>
        <v>55.823411743043856</v>
      </c>
      <c r="I29" s="83">
        <f>IF('Criteria results'!$F$5=4,O$11,R$11)</f>
        <v>55.220580273948023</v>
      </c>
      <c r="P29" s="83"/>
      <c r="Q29" s="83"/>
      <c r="R29" s="83"/>
    </row>
    <row r="30" spans="2:18" x14ac:dyDescent="0.2">
      <c r="B30" s="5" t="s">
        <v>155</v>
      </c>
      <c r="C30" s="83">
        <f>IF('Criteria results'!$F$5=4,I$11,L$11)</f>
        <v>61.633447791006695</v>
      </c>
      <c r="D30" s="83">
        <f>IF('Criteria results'!$F$5=4,J$11,M$11)</f>
        <v>60.963732291979078</v>
      </c>
      <c r="E30" s="83">
        <f>IF('Criteria results'!$F$5=4,K$11+'Input data'!C76,N$11+'Input data'!C76)</f>
        <v>62.077945324856927</v>
      </c>
      <c r="F30" s="83">
        <f>IF('Criteria results'!$F$5=4,L$11+'Input data'!D76,O$11+'Input data'!D76)</f>
        <v>61.59708263897641</v>
      </c>
      <c r="G30" s="83">
        <f>IF('Criteria results'!$F$5=4,M$11+'Input data'!E76,P$11+'Input data'!E76)</f>
        <v>60.890603292308931</v>
      </c>
      <c r="H30" s="83">
        <f>IF('Criteria results'!$F$5=4,N$11+'Input data'!F76,Q$11+'Input data'!F76)</f>
        <v>60.861631194948153</v>
      </c>
      <c r="I30" s="83">
        <f>IF('Criteria results'!$F$5=4,O$11+'Input data'!G76,R$11+'Input data'!G76)</f>
        <v>60.887236768088648</v>
      </c>
      <c r="J30" s="83"/>
      <c r="K30" s="83"/>
      <c r="L30" s="83"/>
      <c r="M30" s="83"/>
      <c r="N30" s="83"/>
      <c r="O30" s="83"/>
    </row>
    <row r="31" spans="2:18" x14ac:dyDescent="0.2">
      <c r="B31" s="5" t="s">
        <v>156</v>
      </c>
      <c r="C31" s="83">
        <f>IF('Criteria results'!$F$5=4,I$11,L$11)</f>
        <v>61.633447791006695</v>
      </c>
      <c r="D31" s="83">
        <f>IF('Criteria results'!$F$5=4,J$11,M$11)</f>
        <v>60.963732291979078</v>
      </c>
      <c r="E31" s="83">
        <f>IF('Criteria results'!$F$5=4,K$11+'Input data'!C77,N$11+'Input data'!C77)</f>
        <v>65.854041668851067</v>
      </c>
      <c r="F31" s="83">
        <f>IF('Criteria results'!$F$5=4,L$11+'Input data'!D77,O$11+'Input data'!D77)</f>
        <v>66.817083859679542</v>
      </c>
      <c r="G31" s="83">
        <f>IF('Criteria results'!$F$5=4,M$11+'Input data'!E77,P$11+'Input data'!E77)</f>
        <v>67.195954549633143</v>
      </c>
      <c r="H31" s="83">
        <f>IF('Criteria results'!$F$5=4,N$11+'Input data'!F77,Q$11+'Input data'!F77)</f>
        <v>68.271398345827066</v>
      </c>
      <c r="I31" s="83">
        <f>IF('Criteria results'!$F$5=4,O$11+'Input data'!G77,R$11+'Input data'!G77)</f>
        <v>69.382277661643343</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331"/>
    <col min="2" max="2" width="4.5703125" style="331" customWidth="1"/>
    <col min="3" max="3" width="67" style="331" customWidth="1"/>
    <col min="4" max="4" width="16.5703125" style="331" customWidth="1"/>
    <col min="5" max="5" width="13.7109375" style="331" customWidth="1"/>
    <col min="6" max="24" width="10.7109375" style="331" customWidth="1"/>
    <col min="25" max="16384" width="9.140625" style="331"/>
  </cols>
  <sheetData>
    <row r="1" spans="1:25" x14ac:dyDescent="0.2">
      <c r="A1" s="271"/>
      <c r="B1" s="271"/>
      <c r="C1" s="271"/>
      <c r="D1" s="271"/>
      <c r="E1" s="271"/>
      <c r="F1" s="271"/>
      <c r="G1" s="271"/>
      <c r="H1" s="271"/>
      <c r="I1" s="271"/>
      <c r="J1" s="271"/>
      <c r="K1" s="271"/>
      <c r="L1" s="271"/>
      <c r="M1" s="271"/>
      <c r="N1" s="271"/>
      <c r="O1" s="271"/>
      <c r="P1" s="271"/>
      <c r="Q1" s="271"/>
      <c r="R1" s="271"/>
      <c r="S1" s="271"/>
      <c r="T1" s="271"/>
      <c r="U1" s="271"/>
      <c r="V1" s="271"/>
      <c r="W1" s="271"/>
      <c r="X1" s="271"/>
      <c r="Y1" s="271"/>
    </row>
    <row r="2" spans="1:25" x14ac:dyDescent="0.2">
      <c r="A2" s="271"/>
      <c r="B2" s="336"/>
      <c r="C2" s="337" t="s">
        <v>219</v>
      </c>
      <c r="D2" s="338"/>
      <c r="E2" s="338"/>
      <c r="F2" s="338"/>
      <c r="G2" s="354"/>
      <c r="H2" s="354"/>
      <c r="I2" s="354"/>
      <c r="J2" s="354"/>
      <c r="K2" s="271"/>
      <c r="L2" s="271"/>
      <c r="M2" s="271"/>
      <c r="N2" s="271"/>
      <c r="O2" s="271"/>
      <c r="P2" s="271"/>
      <c r="Q2" s="271"/>
      <c r="R2" s="271"/>
      <c r="S2" s="271"/>
      <c r="T2" s="271"/>
      <c r="U2" s="271"/>
      <c r="V2" s="271"/>
      <c r="W2" s="271"/>
      <c r="X2" s="271"/>
      <c r="Y2" s="271"/>
    </row>
    <row r="3" spans="1:25" x14ac:dyDescent="0.2">
      <c r="A3" s="271"/>
      <c r="B3" s="333"/>
      <c r="C3" s="354"/>
      <c r="D3" s="354"/>
      <c r="E3" s="354"/>
      <c r="F3" s="354"/>
      <c r="G3" s="354"/>
      <c r="H3" s="354"/>
      <c r="I3" s="354"/>
      <c r="J3" s="354"/>
      <c r="K3" s="271"/>
      <c r="L3" s="271"/>
      <c r="M3" s="271"/>
      <c r="N3" s="271"/>
      <c r="O3" s="271"/>
      <c r="P3" s="271"/>
      <c r="Q3" s="271"/>
      <c r="R3" s="271"/>
      <c r="S3" s="271"/>
      <c r="T3" s="271"/>
      <c r="U3" s="271"/>
      <c r="V3" s="271"/>
      <c r="W3" s="271"/>
      <c r="X3" s="271"/>
      <c r="Y3" s="271"/>
    </row>
    <row r="4" spans="1:25" x14ac:dyDescent="0.2">
      <c r="A4" s="271"/>
      <c r="B4" s="339"/>
      <c r="C4" s="337"/>
      <c r="D4" s="340" t="s">
        <v>240</v>
      </c>
      <c r="E4" s="341">
        <f>F4-1</f>
        <v>2022</v>
      </c>
      <c r="F4" s="342">
        <f>'Input data'!$C$5-1</f>
        <v>2023</v>
      </c>
      <c r="G4" s="342">
        <f>F4+1</f>
        <v>2024</v>
      </c>
      <c r="H4" s="342">
        <f t="shared" ref="H4:X4" si="0">G4+1</f>
        <v>2025</v>
      </c>
      <c r="I4" s="342">
        <f t="shared" si="0"/>
        <v>2026</v>
      </c>
      <c r="J4" s="342">
        <f t="shared" si="0"/>
        <v>2027</v>
      </c>
      <c r="K4" s="342">
        <f t="shared" si="0"/>
        <v>2028</v>
      </c>
      <c r="L4" s="342">
        <f t="shared" si="0"/>
        <v>2029</v>
      </c>
      <c r="M4" s="342">
        <f t="shared" si="0"/>
        <v>2030</v>
      </c>
      <c r="N4" s="342">
        <f t="shared" si="0"/>
        <v>2031</v>
      </c>
      <c r="O4" s="342">
        <f t="shared" si="0"/>
        <v>2032</v>
      </c>
      <c r="P4" s="342">
        <f t="shared" si="0"/>
        <v>2033</v>
      </c>
      <c r="Q4" s="342">
        <f t="shared" si="0"/>
        <v>2034</v>
      </c>
      <c r="R4" s="342">
        <f t="shared" si="0"/>
        <v>2035</v>
      </c>
      <c r="S4" s="342">
        <f t="shared" si="0"/>
        <v>2036</v>
      </c>
      <c r="T4" s="342">
        <f t="shared" si="0"/>
        <v>2037</v>
      </c>
      <c r="U4" s="342">
        <f t="shared" si="0"/>
        <v>2038</v>
      </c>
      <c r="V4" s="342">
        <f t="shared" si="0"/>
        <v>2039</v>
      </c>
      <c r="W4" s="342">
        <f t="shared" si="0"/>
        <v>2040</v>
      </c>
      <c r="X4" s="342">
        <f t="shared" si="0"/>
        <v>2041</v>
      </c>
      <c r="Y4" s="271"/>
    </row>
    <row r="5" spans="1:25" x14ac:dyDescent="0.2">
      <c r="A5" s="271"/>
      <c r="B5" s="339">
        <v>1</v>
      </c>
      <c r="C5" s="343" t="s">
        <v>220</v>
      </c>
      <c r="D5" s="344">
        <v>57</v>
      </c>
      <c r="E5" s="345" t="s">
        <v>221</v>
      </c>
      <c r="F5" s="332">
        <f ca="1">INDEX(OFFSET('Adjustment scenario'!$D$1:$W$1,$D5-1,0),MATCH(F$4,'Adjustment scenario'!$D$10:$W$10,0))</f>
        <v>56.044964616339094</v>
      </c>
      <c r="G5" s="332">
        <f ca="1">INDEX(OFFSET('Adjustment scenario'!$D$1:$W$1,$D5-1,0),MATCH(G$4,'Adjustment scenario'!$D$10:$W$10,0))</f>
        <v>58.478930381041359</v>
      </c>
      <c r="H5" s="332">
        <f ca="1">INDEX(OFFSET('Adjustment scenario'!$D$1:$W$1,$D5-1,0),MATCH(H$4,'Adjustment scenario'!$D$10:$W$10,0))</f>
        <v>59.623964733451906</v>
      </c>
      <c r="I5" s="332">
        <f ca="1">INDEX(OFFSET('Adjustment scenario'!$D$1:$W$1,$D5-1,0),MATCH(I$4,'Adjustment scenario'!$D$10:$W$10,0))</f>
        <v>61.136174386887198</v>
      </c>
      <c r="J5" s="332">
        <f ca="1">INDEX(OFFSET('Adjustment scenario'!$D$1:$W$1,$D5-1,0),MATCH(J$4,'Adjustment scenario'!$D$10:$W$10,0))</f>
        <v>61.633447791006695</v>
      </c>
      <c r="K5" s="332">
        <f ca="1">INDEX(OFFSET('Adjustment scenario'!$D$1:$W$1,$D5-1,0),MATCH(K$4,'Adjustment scenario'!$D$10:$W$10,0))</f>
        <v>60.963732291979078</v>
      </c>
      <c r="L5" s="332">
        <f ca="1">INDEX(OFFSET('Adjustment scenario'!$D$1:$W$1,$D5-1,0),MATCH(L$4,'Adjustment scenario'!$D$10:$W$10,0))</f>
        <v>59.590667340237786</v>
      </c>
      <c r="M5" s="332">
        <f ca="1">INDEX(OFFSET('Adjustment scenario'!$D$1:$W$1,$D5-1,0),MATCH(M$4,'Adjustment scenario'!$D$10:$W$10,0))</f>
        <v>58.148355984923676</v>
      </c>
      <c r="N5" s="332">
        <f ca="1">INDEX(OFFSET('Adjustment scenario'!$D$1:$W$1,$D5-1,0),MATCH(N$4,'Adjustment scenario'!$D$10:$W$10,0))</f>
        <v>56.658318746410494</v>
      </c>
      <c r="O5" s="332">
        <f ca="1">INDEX(OFFSET('Adjustment scenario'!$D$1:$W$1,$D5-1,0),MATCH(O$4,'Adjustment scenario'!$D$10:$W$10,0))</f>
        <v>55.823411743043856</v>
      </c>
      <c r="P5" s="332">
        <f ca="1">INDEX(OFFSET('Adjustment scenario'!$D$1:$W$1,$D5-1,0),MATCH(P$4,'Adjustment scenario'!$D$10:$W$10,0))</f>
        <v>55.220580273948023</v>
      </c>
      <c r="Q5" s="332">
        <f ca="1">INDEX(OFFSET('Adjustment scenario'!$D$1:$W$1,$D5-1,0),MATCH(Q$4,'Adjustment scenario'!$D$10:$W$10,0))</f>
        <v>54.776942231545902</v>
      </c>
      <c r="R5" s="332">
        <f ca="1">INDEX(OFFSET('Adjustment scenario'!$D$1:$W$1,$D5-1,0),MATCH(R$4,'Adjustment scenario'!$D$10:$W$10,0))</f>
        <v>54.480076992848822</v>
      </c>
      <c r="S5" s="332">
        <f ca="1">INDEX(OFFSET('Adjustment scenario'!$D$1:$W$1,$D5-1,0),MATCH(S$4,'Adjustment scenario'!$D$10:$W$10,0))</f>
        <v>54.31336751070608</v>
      </c>
      <c r="T5" s="332">
        <f ca="1">INDEX(OFFSET('Adjustment scenario'!$D$1:$W$1,$D5-1,0),MATCH(T$4,'Adjustment scenario'!$D$10:$W$10,0))</f>
        <v>54.292704756653201</v>
      </c>
      <c r="U5" s="332">
        <f ca="1">INDEX(OFFSET('Adjustment scenario'!$D$1:$W$1,$D5-1,0),MATCH(U$4,'Adjustment scenario'!$D$10:$W$10,0))</f>
        <v>54.454121916074875</v>
      </c>
      <c r="V5" s="332">
        <f ca="1">INDEX(OFFSET('Adjustment scenario'!$D$1:$W$1,$D5-1,0),MATCH(V$4,'Adjustment scenario'!$D$10:$W$10,0))</f>
        <v>54.775534480653036</v>
      </c>
      <c r="W5" s="332">
        <f ca="1">INDEX(OFFSET('Adjustment scenario'!$D$1:$W$1,$D5-1,0),MATCH(W$4,'Adjustment scenario'!$D$10:$W$10,0))</f>
        <v>55.310442909344602</v>
      </c>
      <c r="X5" s="332">
        <f ca="1">INDEX(OFFSET('Adjustment scenario'!$D$1:$W$1,$D5-1,0),MATCH(X$4,'Adjustment scenario'!$D$10:$W$10,0))</f>
        <v>56.027460196798216</v>
      </c>
      <c r="Y5" s="271"/>
    </row>
    <row r="6" spans="1:25" x14ac:dyDescent="0.2">
      <c r="A6" s="271"/>
      <c r="B6" s="339">
        <v>2</v>
      </c>
      <c r="C6" s="343" t="s">
        <v>222</v>
      </c>
      <c r="D6" s="344">
        <v>77</v>
      </c>
      <c r="E6" s="345" t="s">
        <v>221</v>
      </c>
      <c r="F6" s="332">
        <f ca="1">INDEX(OFFSET('Adjustment scenario'!$D$1:$W$1,$D6-1,0),MATCH(F$4,'Adjustment scenario'!$D$10:$W$10,0))</f>
        <v>-4.8934721685540783</v>
      </c>
      <c r="G6" s="332">
        <f ca="1">INDEX(OFFSET('Adjustment scenario'!$D$1:$W$1,$D6-1,0),MATCH(G$4,'Adjustment scenario'!$D$10:$W$10,0))</f>
        <v>-5.8555183811543872</v>
      </c>
      <c r="H6" s="332">
        <f ca="1">INDEX(OFFSET('Adjustment scenario'!$D$1:$W$1,$D6-1,0),MATCH(H$4,'Adjustment scenario'!$D$10:$W$10,0))</f>
        <v>-4.7868284839810116</v>
      </c>
      <c r="I6" s="332">
        <f ca="1">INDEX(OFFSET('Adjustment scenario'!$D$1:$W$1,$D6-1,0),MATCH(I$4,'Adjustment scenario'!$D$10:$W$10,0))</f>
        <v>-3.8749935854173536</v>
      </c>
      <c r="J6" s="332">
        <f ca="1">INDEX(OFFSET('Adjustment scenario'!$D$1:$W$1,$D6-1,0),MATCH(J$4,'Adjustment scenario'!$D$10:$W$10,0))</f>
        <v>-2.8600600524207183</v>
      </c>
      <c r="K6" s="332">
        <f ca="1">INDEX(OFFSET('Adjustment scenario'!$D$1:$W$1,$D6-1,0),MATCH(K$4,'Adjustment scenario'!$D$10:$W$10,0))</f>
        <v>-1.7427689160848943</v>
      </c>
      <c r="L6" s="332">
        <f ca="1">INDEX(OFFSET('Adjustment scenario'!$D$1:$W$1,$D6-1,0),MATCH(L$4,'Adjustment scenario'!$D$10:$W$10,0))</f>
        <v>-1.6186451246755837</v>
      </c>
      <c r="M6" s="332">
        <f ca="1">INDEX(OFFSET('Adjustment scenario'!$D$1:$W$1,$D6-1,0),MATCH(M$4,'Adjustment scenario'!$D$10:$W$10,0))</f>
        <v>-1.4603489752469956</v>
      </c>
      <c r="N6" s="332">
        <f ca="1">INDEX(OFFSET('Adjustment scenario'!$D$1:$W$1,$D6-1,0),MATCH(N$4,'Adjustment scenario'!$D$10:$W$10,0))</f>
        <v>-1.3209085445619031</v>
      </c>
      <c r="O6" s="332">
        <f ca="1">INDEX(OFFSET('Adjustment scenario'!$D$1:$W$1,$D6-1,0),MATCH(O$4,'Adjustment scenario'!$D$10:$W$10,0))</f>
        <v>-1.4699268772688474</v>
      </c>
      <c r="P6" s="332">
        <f ca="1">INDEX(OFFSET('Adjustment scenario'!$D$1:$W$1,$D6-1,0),MATCH(P$4,'Adjustment scenario'!$D$10:$W$10,0))</f>
        <v>-1.6284637500318808</v>
      </c>
      <c r="Q6" s="332">
        <f ca="1">INDEX(OFFSET('Adjustment scenario'!$D$1:$W$1,$D6-1,0),MATCH(Q$4,'Adjustment scenario'!$D$10:$W$10,0))</f>
        <v>-1.7654288216004639</v>
      </c>
      <c r="R6" s="332">
        <f ca="1">INDEX(OFFSET('Adjustment scenario'!$D$1:$W$1,$D6-1,0),MATCH(R$4,'Adjustment scenario'!$D$10:$W$10,0))</f>
        <v>-1.8962976370972895</v>
      </c>
      <c r="S6" s="332">
        <f ca="1">INDEX(OFFSET('Adjustment scenario'!$D$1:$W$1,$D6-1,0),MATCH(S$4,'Adjustment scenario'!$D$10:$W$10,0))</f>
        <v>-2.016390801013527</v>
      </c>
      <c r="T6" s="332">
        <f ca="1">INDEX(OFFSET('Adjustment scenario'!$D$1:$W$1,$D6-1,0),MATCH(T$4,'Adjustment scenario'!$D$10:$W$10,0))</f>
        <v>-2.1447196804450064</v>
      </c>
      <c r="U6" s="332">
        <f ca="1">INDEX(OFFSET('Adjustment scenario'!$D$1:$W$1,$D6-1,0),MATCH(U$4,'Adjustment scenario'!$D$10:$W$10,0))</f>
        <v>-2.282090774651016</v>
      </c>
      <c r="V6" s="332">
        <f ca="1">INDEX(OFFSET('Adjustment scenario'!$D$1:$W$1,$D6-1,0),MATCH(V$4,'Adjustment scenario'!$D$10:$W$10,0))</f>
        <v>-2.4078127247152716</v>
      </c>
      <c r="W6" s="332">
        <f ca="1">INDEX(OFFSET('Adjustment scenario'!$D$1:$W$1,$D6-1,0),MATCH(W$4,'Adjustment scenario'!$D$10:$W$10,0))</f>
        <v>-2.5899862716140554</v>
      </c>
      <c r="X6" s="332">
        <f ca="1">INDEX(OFFSET('Adjustment scenario'!$D$1:$W$1,$D6-1,0),MATCH(X$4,'Adjustment scenario'!$D$10:$W$10,0))</f>
        <v>-2.7666308322534485</v>
      </c>
      <c r="Y6" s="271"/>
    </row>
    <row r="7" spans="1:25" x14ac:dyDescent="0.2">
      <c r="A7" s="271"/>
      <c r="B7" s="339">
        <v>3</v>
      </c>
      <c r="C7" s="343" t="s">
        <v>40</v>
      </c>
      <c r="D7" s="344">
        <v>12</v>
      </c>
      <c r="E7" s="345" t="s">
        <v>223</v>
      </c>
      <c r="F7" s="332">
        <f ca="1">INDEX(OFFSET('Adjustment scenario'!$D$1:$W$1,$D7-1,0),MATCH(F$4,'Adjustment scenario'!$D$10:$W$10,0))</f>
        <v>-3.5136029999999998</v>
      </c>
      <c r="G7" s="332">
        <f ca="1">INDEX(OFFSET('Adjustment scenario'!$D$1:$W$1,$D7-1,0),MATCH(G$4,'Adjustment scenario'!$D$10:$W$10,0))</f>
        <v>-4.2628820000000003</v>
      </c>
      <c r="H7" s="332">
        <f ca="1">INDEX(OFFSET('Adjustment scenario'!$D$1:$W$1,$D7-1,0),MATCH(H$4,'Adjustment scenario'!$D$10:$W$10,0))</f>
        <v>-2.9628820000000005</v>
      </c>
      <c r="I7" s="332">
        <f ca="1">INDEX(OFFSET('Adjustment scenario'!$D$1:$W$1,$D7-1,0),MATCH(I$4,'Adjustment scenario'!$D$10:$W$10,0))</f>
        <v>-1.6628820000000004</v>
      </c>
      <c r="J7" s="332">
        <f ca="1">INDEX(OFFSET('Adjustment scenario'!$D$1:$W$1,$D7-1,0),MATCH(J$4,'Adjustment scenario'!$D$10:$W$10,0))</f>
        <v>-0.36288200000000037</v>
      </c>
      <c r="K7" s="332">
        <f ca="1">INDEX(OFFSET('Adjustment scenario'!$D$1:$W$1,$D7-1,0),MATCH(K$4,'Adjustment scenario'!$D$10:$W$10,0))</f>
        <v>0.93711799999999967</v>
      </c>
      <c r="L7" s="332">
        <f ca="1">INDEX(OFFSET('Adjustment scenario'!$D$1:$W$1,$D7-1,0),MATCH(L$4,'Adjustment scenario'!$D$10:$W$10,0))</f>
        <v>0.93711799999999967</v>
      </c>
      <c r="M7" s="332">
        <f ca="1">INDEX(OFFSET('Adjustment scenario'!$D$1:$W$1,$D7-1,0),MATCH(M$4,'Adjustment scenario'!$D$10:$W$10,0))</f>
        <v>0.93711799999999967</v>
      </c>
      <c r="N7" s="332">
        <f ca="1">INDEX(OFFSET('Adjustment scenario'!$D$1:$W$1,$D7-1,0),MATCH(N$4,'Adjustment scenario'!$D$10:$W$10,0))</f>
        <v>0.93711799999999967</v>
      </c>
      <c r="O7" s="332">
        <f ca="1">INDEX(OFFSET('Adjustment scenario'!$D$1:$W$1,$D7-1,0),MATCH(O$4,'Adjustment scenario'!$D$10:$W$10,0))</f>
        <v>0.93711799999999967</v>
      </c>
      <c r="P7" s="332">
        <f ca="1">INDEX(OFFSET('Adjustment scenario'!$D$1:$W$1,$D7-1,0),MATCH(P$4,'Adjustment scenario'!$D$10:$W$10,0))</f>
        <v>0.93711799999999967</v>
      </c>
      <c r="Q7" s="332">
        <f ca="1">INDEX(OFFSET('Adjustment scenario'!$D$1:$W$1,$D7-1,0),MATCH(Q$4,'Adjustment scenario'!$D$10:$W$10,0))</f>
        <v>0.93711799999999967</v>
      </c>
      <c r="R7" s="332">
        <f ca="1">INDEX(OFFSET('Adjustment scenario'!$D$1:$W$1,$D7-1,0),MATCH(R$4,'Adjustment scenario'!$D$10:$W$10,0))</f>
        <v>0.93711799999999967</v>
      </c>
      <c r="S7" s="332">
        <f ca="1">INDEX(OFFSET('Adjustment scenario'!$D$1:$W$1,$D7-1,0),MATCH(S$4,'Adjustment scenario'!$D$10:$W$10,0))</f>
        <v>0.93711799999999967</v>
      </c>
      <c r="T7" s="332">
        <f ca="1">INDEX(OFFSET('Adjustment scenario'!$D$1:$W$1,$D7-1,0),MATCH(T$4,'Adjustment scenario'!$D$10:$W$10,0))</f>
        <v>0.93711799999999967</v>
      </c>
      <c r="U7" s="332">
        <f ca="1">INDEX(OFFSET('Adjustment scenario'!$D$1:$W$1,$D7-1,0),MATCH(U$4,'Adjustment scenario'!$D$10:$W$10,0))</f>
        <v>0.93711799999999967</v>
      </c>
      <c r="V7" s="332">
        <f ca="1">INDEX(OFFSET('Adjustment scenario'!$D$1:$W$1,$D7-1,0),MATCH(V$4,'Adjustment scenario'!$D$10:$W$10,0))</f>
        <v>0.93711799999999967</v>
      </c>
      <c r="W7" s="332">
        <f ca="1">INDEX(OFFSET('Adjustment scenario'!$D$1:$W$1,$D7-1,0),MATCH(W$4,'Adjustment scenario'!$D$10:$W$10,0))</f>
        <v>0.93711799999999967</v>
      </c>
      <c r="X7" s="332">
        <f ca="1">INDEX(OFFSET('Adjustment scenario'!$D$1:$W$1,$D7-1,0),MATCH(X$4,'Adjustment scenario'!$D$10:$W$10,0))</f>
        <v>0.93711799999999967</v>
      </c>
      <c r="Y7" s="271"/>
    </row>
    <row r="8" spans="1:25" x14ac:dyDescent="0.2">
      <c r="A8" s="271"/>
      <c r="B8" s="339">
        <v>4</v>
      </c>
      <c r="C8" s="343" t="s">
        <v>224</v>
      </c>
      <c r="D8" s="344">
        <v>62</v>
      </c>
      <c r="E8" s="345" t="s">
        <v>223</v>
      </c>
      <c r="F8" s="332">
        <f ca="1">INDEX(OFFSET('Adjustment scenario'!$D$1:$W$1,$D8-1,0),MATCH(F$4,'Adjustment scenario'!$D$10:$W$10,0))</f>
        <v>0.22304349404425938</v>
      </c>
      <c r="G8" s="332">
        <f ca="1">INDEX(OFFSET('Adjustment scenario'!$D$1:$W$1,$D8-1,0),MATCH(G$4,'Adjustment scenario'!$D$10:$W$10,0))</f>
        <v>0.26145026470226373</v>
      </c>
      <c r="H8" s="332">
        <f ca="1">INDEX(OFFSET('Adjustment scenario'!$D$1:$W$1,$D8-1,0),MATCH(H$4,'Adjustment scenario'!$D$10:$W$10,0))</f>
        <v>0.3233252291109468</v>
      </c>
      <c r="I8" s="332">
        <f ca="1">INDEX(OFFSET('Adjustment scenario'!$D$1:$W$1,$D8-1,0),MATCH(I$4,'Adjustment scenario'!$D$10:$W$10,0))</f>
        <v>0.57776114211104035</v>
      </c>
      <c r="J8" s="332">
        <f ca="1">INDEX(OFFSET('Adjustment scenario'!$D$1:$W$1,$D8-1,0),MATCH(J$4,'Adjustment scenario'!$D$10:$W$10,0))</f>
        <v>0.74585886004448376</v>
      </c>
      <c r="K8" s="332">
        <f ca="1">INDEX(OFFSET('Adjustment scenario'!$D$1:$W$1,$D8-1,0),MATCH(K$4,'Adjustment scenario'!$D$10:$W$10,0))</f>
        <v>0.85640102902246329</v>
      </c>
      <c r="L8" s="332">
        <f ca="1">INDEX(OFFSET('Adjustment scenario'!$D$1:$W$1,$D8-1,0),MATCH(L$4,'Adjustment scenario'!$D$10:$W$10,0))</f>
        <v>0.57093401934830745</v>
      </c>
      <c r="M8" s="332">
        <f ca="1">INDEX(OFFSET('Adjustment scenario'!$D$1:$W$1,$D8-1,0),MATCH(M$4,'Adjustment scenario'!$D$10:$W$10,0))</f>
        <v>0.28546700967416005</v>
      </c>
      <c r="N8" s="332">
        <f ca="1">INDEX(OFFSET('Adjustment scenario'!$D$1:$W$1,$D8-1,0),MATCH(N$4,'Adjustment scenario'!$D$10:$W$10,0))</f>
        <v>0</v>
      </c>
      <c r="O8" s="332">
        <f ca="1">INDEX(OFFSET('Adjustment scenario'!$D$1:$W$1,$D8-1,0),MATCH(O$4,'Adjustment scenario'!$D$10:$W$10,0))</f>
        <v>-7.502097211453673E-7</v>
      </c>
      <c r="P8" s="332">
        <f ca="1">INDEX(OFFSET('Adjustment scenario'!$D$1:$W$1,$D8-1,0),MATCH(P$4,'Adjustment scenario'!$D$10:$W$10,0))</f>
        <v>-3.7511134085566058E-7</v>
      </c>
      <c r="Q8" s="332">
        <f ca="1">INDEX(OFFSET('Adjustment scenario'!$D$1:$W$1,$D8-1,0),MATCH(Q$4,'Adjustment scenario'!$D$10:$W$10,0))</f>
        <v>-3.7511134085566058E-7</v>
      </c>
      <c r="R8" s="332">
        <f ca="1">INDEX(OFFSET('Adjustment scenario'!$D$1:$W$1,$D8-1,0),MATCH(R$4,'Adjustment scenario'!$D$10:$W$10,0))</f>
        <v>-2.4049802149761491E-10</v>
      </c>
      <c r="S8" s="332">
        <f ca="1">INDEX(OFFSET('Adjustment scenario'!$D$1:$W$1,$D8-1,0),MATCH(S$4,'Adjustment scenario'!$D$10:$W$10,0))</f>
        <v>1.124031066923603E-6</v>
      </c>
      <c r="T8" s="332">
        <f ca="1">INDEX(OFFSET('Adjustment scenario'!$D$1:$W$1,$D8-1,0),MATCH(T$4,'Adjustment scenario'!$D$10:$W$10,0))</f>
        <v>3.7455920128826035E-7</v>
      </c>
      <c r="U8" s="332">
        <f ca="1">INDEX(OFFSET('Adjustment scenario'!$D$1:$W$1,$D8-1,0),MATCH(U$4,'Adjustment scenario'!$D$10:$W$10,0))</f>
        <v>-7.5029302577522832E-7</v>
      </c>
      <c r="V8" s="332">
        <f ca="1">INDEX(OFFSET('Adjustment scenario'!$D$1:$W$1,$D8-1,0),MATCH(V$4,'Adjustment scenario'!$D$10:$W$10,0))</f>
        <v>-1.5005745376273083E-6</v>
      </c>
      <c r="W8" s="332">
        <f ca="1">INDEX(OFFSET('Adjustment scenario'!$D$1:$W$1,$D8-1,0),MATCH(W$4,'Adjustment scenario'!$D$10:$W$10,0))</f>
        <v>-1.8759252259581417E-6</v>
      </c>
      <c r="X8" s="332">
        <f ca="1">INDEX(OFFSET('Adjustment scenario'!$D$1:$W$1,$D8-1,0),MATCH(X$4,'Adjustment scenario'!$D$10:$W$10,0))</f>
        <v>-7.4963581002673858E-7</v>
      </c>
      <c r="Y8" s="271"/>
    </row>
    <row r="9" spans="1:25" x14ac:dyDescent="0.2">
      <c r="A9" s="271"/>
      <c r="B9" s="339">
        <v>5</v>
      </c>
      <c r="C9" s="343" t="s">
        <v>225</v>
      </c>
      <c r="D9" s="344">
        <v>14</v>
      </c>
      <c r="E9" s="345" t="s">
        <v>221</v>
      </c>
      <c r="F9" s="332">
        <f ca="1">INDEX(OFFSET('Adjustment scenario'!$D$1:$W$1,$D9-1,0),MATCH(F$4,'Adjustment scenario'!$D$10:$W$10,0))</f>
        <v>0</v>
      </c>
      <c r="G9" s="332">
        <f ca="1">INDEX(OFFSET('Adjustment scenario'!$D$1:$W$1,$D9-1,0),MATCH(G$4,'Adjustment scenario'!$D$10:$W$10,0))</f>
        <v>0</v>
      </c>
      <c r="H9" s="332">
        <f ca="1">INDEX(OFFSET('Adjustment scenario'!$D$1:$W$1,$D9-1,0),MATCH(H$4,'Adjustment scenario'!$D$10:$W$10,0))</f>
        <v>0</v>
      </c>
      <c r="I9" s="332">
        <f ca="1">INDEX(OFFSET('Adjustment scenario'!$D$1:$W$1,$D9-1,0),MATCH(I$4,'Adjustment scenario'!$D$10:$W$10,0))</f>
        <v>0</v>
      </c>
      <c r="J9" s="332">
        <f ca="1">INDEX(OFFSET('Adjustment scenario'!$D$1:$W$1,$D9-1,0),MATCH(J$4,'Adjustment scenario'!$D$10:$W$10,0))</f>
        <v>0</v>
      </c>
      <c r="K9" s="332">
        <f ca="1">INDEX(OFFSET('Adjustment scenario'!$D$1:$W$1,$D9-1,0),MATCH(K$4,'Adjustment scenario'!$D$10:$W$10,0))</f>
        <v>0</v>
      </c>
      <c r="L9" s="332">
        <f ca="1">INDEX(OFFSET('Adjustment scenario'!$D$1:$W$1,$D9-1,0),MATCH(L$4,'Adjustment scenario'!$D$10:$W$10,0))</f>
        <v>0</v>
      </c>
      <c r="M9" s="332">
        <f ca="1">INDEX(OFFSET('Adjustment scenario'!$D$1:$W$1,$D9-1,0),MATCH(M$4,'Adjustment scenario'!$D$10:$W$10,0))</f>
        <v>0</v>
      </c>
      <c r="N9" s="332">
        <f ca="1">INDEX(OFFSET('Adjustment scenario'!$D$1:$W$1,$D9-1,0),MATCH(N$4,'Adjustment scenario'!$D$10:$W$10,0))</f>
        <v>0</v>
      </c>
      <c r="O9" s="332">
        <f ca="1">INDEX(OFFSET('Adjustment scenario'!$D$1:$W$1,$D9-1,0),MATCH(O$4,'Adjustment scenario'!$D$10:$W$10,0))</f>
        <v>0</v>
      </c>
      <c r="P9" s="332">
        <f ca="1">INDEX(OFFSET('Adjustment scenario'!$D$1:$W$1,$D9-1,0),MATCH(P$4,'Adjustment scenario'!$D$10:$W$10,0))</f>
        <v>0</v>
      </c>
      <c r="Q9" s="332">
        <f ca="1">INDEX(OFFSET('Adjustment scenario'!$D$1:$W$1,$D9-1,0),MATCH(Q$4,'Adjustment scenario'!$D$10:$W$10,0))</f>
        <v>0</v>
      </c>
      <c r="R9" s="332">
        <f ca="1">INDEX(OFFSET('Adjustment scenario'!$D$1:$W$1,$D9-1,0),MATCH(R$4,'Adjustment scenario'!$D$10:$W$10,0))</f>
        <v>0</v>
      </c>
      <c r="S9" s="332">
        <f ca="1">INDEX(OFFSET('Adjustment scenario'!$D$1:$W$1,$D9-1,0),MATCH(S$4,'Adjustment scenario'!$D$10:$W$10,0))</f>
        <v>0</v>
      </c>
      <c r="T9" s="332">
        <f ca="1">INDEX(OFFSET('Adjustment scenario'!$D$1:$W$1,$D9-1,0),MATCH(T$4,'Adjustment scenario'!$D$10:$W$10,0))</f>
        <v>0</v>
      </c>
      <c r="U9" s="332">
        <f ca="1">INDEX(OFFSET('Adjustment scenario'!$D$1:$W$1,$D9-1,0),MATCH(U$4,'Adjustment scenario'!$D$10:$W$10,0))</f>
        <v>0</v>
      </c>
      <c r="V9" s="332">
        <f ca="1">INDEX(OFFSET('Adjustment scenario'!$D$1:$W$1,$D9-1,0),MATCH(V$4,'Adjustment scenario'!$D$10:$W$10,0))</f>
        <v>0</v>
      </c>
      <c r="W9" s="332">
        <f ca="1">INDEX(OFFSET('Adjustment scenario'!$D$1:$W$1,$D9-1,0),MATCH(W$4,'Adjustment scenario'!$D$10:$W$10,0))</f>
        <v>0</v>
      </c>
      <c r="X9" s="332">
        <f ca="1">INDEX(OFFSET('Adjustment scenario'!$D$1:$W$1,$D9-1,0),MATCH(X$4,'Adjustment scenario'!$D$10:$W$10,0))</f>
        <v>0</v>
      </c>
      <c r="Y9" s="271"/>
    </row>
    <row r="10" spans="1:25" x14ac:dyDescent="0.2">
      <c r="A10" s="271"/>
      <c r="B10" s="339">
        <v>6</v>
      </c>
      <c r="C10" s="343" t="s">
        <v>226</v>
      </c>
      <c r="D10" s="344">
        <v>68</v>
      </c>
      <c r="E10" s="345" t="s">
        <v>221</v>
      </c>
      <c r="F10" s="332">
        <f ca="1">INDEX(OFFSET('Adjustment scenario'!$D$1:$W$1,$D10-1,0),MATCH(F$4,'Adjustment scenario'!$D$10:$W$10,0))</f>
        <v>1.1568256745098193</v>
      </c>
      <c r="G10" s="332">
        <f ca="1">INDEX(OFFSET('Adjustment scenario'!$D$1:$W$1,$D10-1,0),MATCH(G$4,'Adjustment scenario'!$D$10:$W$10,0))</f>
        <v>1.3311861164521233</v>
      </c>
      <c r="H10" s="332">
        <f ca="1">INDEX(OFFSET('Adjustment scenario'!$D$1:$W$1,$D10-1,0),MATCH(H$4,'Adjustment scenario'!$D$10:$W$10,0))</f>
        <v>1.5006212548700644</v>
      </c>
      <c r="I10" s="332">
        <f ca="1">INDEX(OFFSET('Adjustment scenario'!$D$1:$W$1,$D10-1,0),MATCH(I$4,'Adjustment scenario'!$D$10:$W$10,0))</f>
        <v>1.6343504433063132</v>
      </c>
      <c r="J10" s="332">
        <f ca="1">INDEX(OFFSET('Adjustment scenario'!$D$1:$W$1,$D10-1,0),MATCH(J$4,'Adjustment scenario'!$D$10:$W$10,0))</f>
        <v>1.7513191923762341</v>
      </c>
      <c r="K10" s="332">
        <f ca="1">INDEX(OFFSET('Adjustment scenario'!$D$1:$W$1,$D10-1,0),MATCH(K$4,'Adjustment scenario'!$D$10:$W$10,0))</f>
        <v>1.8234858870624306</v>
      </c>
      <c r="L10" s="332">
        <f ca="1">INDEX(OFFSET('Adjustment scenario'!$D$1:$W$1,$D10-1,0),MATCH(L$4,'Adjustment scenario'!$D$10:$W$10,0))</f>
        <v>1.8299704053272736</v>
      </c>
      <c r="M10" s="332">
        <f ca="1">INDEX(OFFSET('Adjustment scenario'!$D$1:$W$1,$D10-1,0),MATCH(M$4,'Adjustment scenario'!$D$10:$W$10,0))</f>
        <v>1.8302625655728371</v>
      </c>
      <c r="N10" s="332">
        <f ca="1">INDEX(OFFSET('Adjustment scenario'!$D$1:$W$1,$D10-1,0),MATCH(N$4,'Adjustment scenario'!$D$10:$W$10,0))</f>
        <v>1.8235603445619033</v>
      </c>
      <c r="O10" s="332">
        <f ca="1">INDEX(OFFSET('Adjustment scenario'!$D$1:$W$1,$D10-1,0),MATCH(O$4,'Adjustment scenario'!$D$10:$W$10,0))</f>
        <v>1.8249208274785711</v>
      </c>
      <c r="P10" s="332">
        <f ca="1">INDEX(OFFSET('Adjustment scenario'!$D$1:$W$1,$D10-1,0),MATCH(P$4,'Adjustment scenario'!$D$10:$W$10,0))</f>
        <v>1.83239852514322</v>
      </c>
      <c r="Q10" s="332">
        <f ca="1">INDEX(OFFSET('Adjustment scenario'!$D$1:$W$1,$D10-1,0),MATCH(Q$4,'Adjustment scenario'!$D$10:$W$10,0))</f>
        <v>1.842194896711804</v>
      </c>
      <c r="R10" s="332">
        <f ca="1">INDEX(OFFSET('Adjustment scenario'!$D$1:$W$1,$D10-1,0),MATCH(R$4,'Adjustment scenario'!$D$10:$W$10,0))</f>
        <v>1.8548346373377869</v>
      </c>
      <c r="S10" s="332">
        <f ca="1">INDEX(OFFSET('Adjustment scenario'!$D$1:$W$1,$D10-1,0),MATCH(S$4,'Adjustment scenario'!$D$10:$W$10,0))</f>
        <v>1.8701180769824628</v>
      </c>
      <c r="T10" s="332">
        <f ca="1">INDEX(OFFSET('Adjustment scenario'!$D$1:$W$1,$D10-1,0),MATCH(T$4,'Adjustment scenario'!$D$10:$W$10,0))</f>
        <v>1.8881190058858039</v>
      </c>
      <c r="U10" s="332">
        <f ca="1">INDEX(OFFSET('Adjustment scenario'!$D$1:$W$1,$D10-1,0),MATCH(U$4,'Adjustment scenario'!$D$10:$W$10,0))</f>
        <v>1.9103924249440427</v>
      </c>
      <c r="V10" s="332">
        <f ca="1">INDEX(OFFSET('Adjustment scenario'!$D$1:$W$1,$D10-1,0),MATCH(V$4,'Adjustment scenario'!$D$10:$W$10,0))</f>
        <v>1.9371565252898124</v>
      </c>
      <c r="W10" s="332">
        <f ca="1">INDEX(OFFSET('Adjustment scenario'!$D$1:$W$1,$D10-1,0),MATCH(W$4,'Adjustment scenario'!$D$10:$W$10,0))</f>
        <v>1.9680317475392823</v>
      </c>
      <c r="X10" s="332">
        <f ca="1">INDEX(OFFSET('Adjustment scenario'!$D$1:$W$1,$D10-1,0),MATCH(X$4,'Adjustment scenario'!$D$10:$W$10,0))</f>
        <v>2.0045164818892625</v>
      </c>
      <c r="Y10" s="271"/>
    </row>
    <row r="11" spans="1:25" x14ac:dyDescent="0.2">
      <c r="A11" s="271"/>
      <c r="B11" s="339">
        <v>7</v>
      </c>
      <c r="C11" s="346" t="s">
        <v>94</v>
      </c>
      <c r="D11" s="344">
        <v>37</v>
      </c>
      <c r="E11" s="345" t="s">
        <v>227</v>
      </c>
      <c r="F11" s="332">
        <f ca="1">INDEX(OFFSET('Adjustment scenario'!$D$1:$W$1,$D11-1,0),MATCH(F$4,'Adjustment scenario'!$D$10:$W$10,0))</f>
        <v>3.65</v>
      </c>
      <c r="G11" s="332">
        <f ca="1">INDEX(OFFSET('Adjustment scenario'!$D$1:$W$1,$D11-1,0),MATCH(G$4,'Adjustment scenario'!$D$10:$W$10,0))</f>
        <v>3.6707719999999999</v>
      </c>
      <c r="H11" s="332">
        <f ca="1">INDEX(OFFSET('Adjustment scenario'!$D$1:$W$1,$D11-1,0),MATCH(H$4,'Adjustment scenario'!$D$10:$W$10,0))</f>
        <v>3.780141</v>
      </c>
      <c r="I11" s="332">
        <f ca="1">INDEX(OFFSET('Adjustment scenario'!$D$1:$W$1,$D11-1,0),MATCH(I$4,'Adjustment scenario'!$D$10:$W$10,0))</f>
        <v>3.8293008749999999</v>
      </c>
      <c r="J11" s="332">
        <f ca="1">INDEX(OFFSET('Adjustment scenario'!$D$1:$W$1,$D11-1,0),MATCH(J$4,'Adjustment scenario'!$D$10:$W$10,0))</f>
        <v>3.8784607499999999</v>
      </c>
      <c r="K11" s="332">
        <f ca="1">INDEX(OFFSET('Adjustment scenario'!$D$1:$W$1,$D11-1,0),MATCH(K$4,'Adjustment scenario'!$D$10:$W$10,0))</f>
        <v>3.9276206249999999</v>
      </c>
      <c r="L11" s="332">
        <f ca="1">INDEX(OFFSET('Adjustment scenario'!$D$1:$W$1,$D11-1,0),MATCH(L$4,'Adjustment scenario'!$D$10:$W$10,0))</f>
        <v>3.9767804999999998</v>
      </c>
      <c r="M11" s="332">
        <f ca="1">INDEX(OFFSET('Adjustment scenario'!$D$1:$W$1,$D11-1,0),MATCH(M$4,'Adjustment scenario'!$D$10:$W$10,0))</f>
        <v>4.0259403750000002</v>
      </c>
      <c r="N11" s="332">
        <f ca="1">INDEX(OFFSET('Adjustment scenario'!$D$1:$W$1,$D11-1,0),MATCH(N$4,'Adjustment scenario'!$D$10:$W$10,0))</f>
        <v>4.0751002500000002</v>
      </c>
      <c r="O11" s="332">
        <f ca="1">INDEX(OFFSET('Adjustment scenario'!$D$1:$W$1,$D11-1,0),MATCH(O$4,'Adjustment scenario'!$D$10:$W$10,0))</f>
        <v>4.1242601250000002</v>
      </c>
      <c r="P11" s="332">
        <f ca="1">INDEX(OFFSET('Adjustment scenario'!$D$1:$W$1,$D11-1,0),MATCH(P$4,'Adjustment scenario'!$D$10:$W$10,0))</f>
        <v>4.1734200000000001</v>
      </c>
      <c r="Q11" s="332">
        <f ca="1">INDEX(OFFSET('Adjustment scenario'!$D$1:$W$1,$D11-1,0),MATCH(Q$4,'Adjustment scenario'!$D$10:$W$10,0))</f>
        <v>4.1647490000000005</v>
      </c>
      <c r="R11" s="332">
        <f ca="1">INDEX(OFFSET('Adjustment scenario'!$D$1:$W$1,$D11-1,0),MATCH(R$4,'Adjustment scenario'!$D$10:$W$10,0))</f>
        <v>4.1560779999999999</v>
      </c>
      <c r="S11" s="332">
        <f ca="1">INDEX(OFFSET('Adjustment scenario'!$D$1:$W$1,$D11-1,0),MATCH(S$4,'Adjustment scenario'!$D$10:$W$10,0))</f>
        <v>4.1474070000000003</v>
      </c>
      <c r="T11" s="332">
        <f ca="1">INDEX(OFFSET('Adjustment scenario'!$D$1:$W$1,$D11-1,0),MATCH(T$4,'Adjustment scenario'!$D$10:$W$10,0))</f>
        <v>4.1387359999999997</v>
      </c>
      <c r="U11" s="332">
        <f ca="1">INDEX(OFFSET('Adjustment scenario'!$D$1:$W$1,$D11-1,0),MATCH(U$4,'Adjustment scenario'!$D$10:$W$10,0))</f>
        <v>4.1300650000000001</v>
      </c>
      <c r="V11" s="332">
        <f ca="1">INDEX(OFFSET('Adjustment scenario'!$D$1:$W$1,$D11-1,0),MATCH(V$4,'Adjustment scenario'!$D$10:$W$10,0))</f>
        <v>4.1213940000000004</v>
      </c>
      <c r="W11" s="332">
        <f ca="1">INDEX(OFFSET('Adjustment scenario'!$D$1:$W$1,$D11-1,0),MATCH(W$4,'Adjustment scenario'!$D$10:$W$10,0))</f>
        <v>4.1127229999999999</v>
      </c>
      <c r="X11" s="332">
        <f ca="1">INDEX(OFFSET('Adjustment scenario'!$D$1:$W$1,$D11-1,0),MATCH(X$4,'Adjustment scenario'!$D$10:$W$10,0))</f>
        <v>4.1040520000000003</v>
      </c>
      <c r="Y11" s="271"/>
    </row>
    <row r="12" spans="1:25" x14ac:dyDescent="0.2">
      <c r="A12" s="271"/>
      <c r="B12" s="339">
        <v>8</v>
      </c>
      <c r="C12" s="346" t="s">
        <v>95</v>
      </c>
      <c r="D12" s="344">
        <v>38</v>
      </c>
      <c r="E12" s="345" t="s">
        <v>227</v>
      </c>
      <c r="F12" s="332">
        <f ca="1">INDEX(OFFSET('Adjustment scenario'!$D$1:$W$1,$D12-1,0),MATCH(F$4,'Adjustment scenario'!$D$10:$W$10,0))</f>
        <v>3.43</v>
      </c>
      <c r="G12" s="332">
        <f ca="1">INDEX(OFFSET('Adjustment scenario'!$D$1:$W$1,$D12-1,0),MATCH(G$4,'Adjustment scenario'!$D$10:$W$10,0))</f>
        <v>3.5642079999999998</v>
      </c>
      <c r="H12" s="332">
        <f ca="1">INDEX(OFFSET('Adjustment scenario'!$D$1:$W$1,$D12-1,0),MATCH(H$4,'Adjustment scenario'!$D$10:$W$10,0))</f>
        <v>2.8163749999999999</v>
      </c>
      <c r="I12" s="332">
        <f ca="1">INDEX(OFFSET('Adjustment scenario'!$D$1:$W$1,$D12-1,0),MATCH(I$4,'Adjustment scenario'!$D$10:$W$10,0))</f>
        <v>2.8050893749999997</v>
      </c>
      <c r="J12" s="332">
        <f ca="1">INDEX(OFFSET('Adjustment scenario'!$D$1:$W$1,$D12-1,0),MATCH(J$4,'Adjustment scenario'!$D$10:$W$10,0))</f>
        <v>2.7938037499999995</v>
      </c>
      <c r="K12" s="332">
        <f ca="1">INDEX(OFFSET('Adjustment scenario'!$D$1:$W$1,$D12-1,0),MATCH(K$4,'Adjustment scenario'!$D$10:$W$10,0))</f>
        <v>2.7825181249999993</v>
      </c>
      <c r="L12" s="332">
        <f ca="1">INDEX(OFFSET('Adjustment scenario'!$D$1:$W$1,$D12-1,0),MATCH(L$4,'Adjustment scenario'!$D$10:$W$10,0))</f>
        <v>2.7712324999999991</v>
      </c>
      <c r="M12" s="332">
        <f ca="1">INDEX(OFFSET('Adjustment scenario'!$D$1:$W$1,$D12-1,0),MATCH(M$4,'Adjustment scenario'!$D$10:$W$10,0))</f>
        <v>2.7599468749999989</v>
      </c>
      <c r="N12" s="332">
        <f ca="1">INDEX(OFFSET('Adjustment scenario'!$D$1:$W$1,$D12-1,0),MATCH(N$4,'Adjustment scenario'!$D$10:$W$10,0))</f>
        <v>2.7486612499999987</v>
      </c>
      <c r="O12" s="332">
        <f ca="1">INDEX(OFFSET('Adjustment scenario'!$D$1:$W$1,$D12-1,0),MATCH(O$4,'Adjustment scenario'!$D$10:$W$10,0))</f>
        <v>2.7373756249999985</v>
      </c>
      <c r="P12" s="332">
        <f ca="1">INDEX(OFFSET('Adjustment scenario'!$D$1:$W$1,$D12-1,0),MATCH(P$4,'Adjustment scenario'!$D$10:$W$10,0))</f>
        <v>2.7260900000000001</v>
      </c>
      <c r="Q12" s="332">
        <f ca="1">INDEX(OFFSET('Adjustment scenario'!$D$1:$W$1,$D12-1,0),MATCH(Q$4,'Adjustment scenario'!$D$10:$W$10,0))</f>
        <v>2.6897855000000002</v>
      </c>
      <c r="R12" s="332">
        <f ca="1">INDEX(OFFSET('Adjustment scenario'!$D$1:$W$1,$D12-1,0),MATCH(R$4,'Adjustment scenario'!$D$10:$W$10,0))</f>
        <v>2.6534810000000002</v>
      </c>
      <c r="S12" s="332">
        <f ca="1">INDEX(OFFSET('Adjustment scenario'!$D$1:$W$1,$D12-1,0),MATCH(S$4,'Adjustment scenario'!$D$10:$W$10,0))</f>
        <v>2.6171765000000002</v>
      </c>
      <c r="T12" s="332">
        <f ca="1">INDEX(OFFSET('Adjustment scenario'!$D$1:$W$1,$D12-1,0),MATCH(T$4,'Adjustment scenario'!$D$10:$W$10,0))</f>
        <v>2.5808720000000003</v>
      </c>
      <c r="U12" s="332">
        <f ca="1">INDEX(OFFSET('Adjustment scenario'!$D$1:$W$1,$D12-1,0),MATCH(U$4,'Adjustment scenario'!$D$10:$W$10,0))</f>
        <v>2.5445675000000003</v>
      </c>
      <c r="V12" s="332">
        <f ca="1">INDEX(OFFSET('Adjustment scenario'!$D$1:$W$1,$D12-1,0),MATCH(V$4,'Adjustment scenario'!$D$10:$W$10,0))</f>
        <v>2.5082629999999999</v>
      </c>
      <c r="W12" s="332">
        <f ca="1">INDEX(OFFSET('Adjustment scenario'!$D$1:$W$1,$D12-1,0),MATCH(W$4,'Adjustment scenario'!$D$10:$W$10,0))</f>
        <v>2.4719584999999999</v>
      </c>
      <c r="X12" s="332">
        <f ca="1">INDEX(OFFSET('Adjustment scenario'!$D$1:$W$1,$D12-1,0),MATCH(X$4,'Adjustment scenario'!$D$10:$W$10,0))</f>
        <v>2.435654</v>
      </c>
      <c r="Y12" s="271"/>
    </row>
    <row r="13" spans="1:25" x14ac:dyDescent="0.2">
      <c r="A13" s="271"/>
      <c r="B13" s="339">
        <v>9</v>
      </c>
      <c r="C13" s="343" t="s">
        <v>228</v>
      </c>
      <c r="D13" s="344">
        <v>36</v>
      </c>
      <c r="E13" s="345" t="s">
        <v>227</v>
      </c>
      <c r="F13" s="332">
        <f ca="1">INDEX(OFFSET('Adjustment scenario'!$D$1:$W$1,$D13-1,0),MATCH(F$4,'Adjustment scenario'!$D$10:$W$10,0))</f>
        <v>2.2416550000000002</v>
      </c>
      <c r="G13" s="332">
        <f ca="1">INDEX(OFFSET('Adjustment scenario'!$D$1:$W$1,$D13-1,0),MATCH(G$4,'Adjustment scenario'!$D$10:$W$10,0))</f>
        <v>2.5392969999999999</v>
      </c>
      <c r="H13" s="332">
        <f ca="1">INDEX(OFFSET('Adjustment scenario'!$D$1:$W$1,$D13-1,0),MATCH(H$4,'Adjustment scenario'!$D$10:$W$10,0))</f>
        <v>2.7068880000000002</v>
      </c>
      <c r="I13" s="332">
        <f ca="1">INDEX(OFFSET('Adjustment scenario'!$D$1:$W$1,$D13-1,0),MATCH(I$4,'Adjustment scenario'!$D$10:$W$10,0))</f>
        <v>2.8542031799392458</v>
      </c>
      <c r="J13" s="332">
        <f ca="1">INDEX(OFFSET('Adjustment scenario'!$D$1:$W$1,$D13-1,0),MATCH(J$4,'Adjustment scenario'!$D$10:$W$10,0))</f>
        <v>2.979782618905352</v>
      </c>
      <c r="K13" s="332">
        <f ca="1">INDEX(OFFSET('Adjustment scenario'!$D$1:$W$1,$D13-1,0),MATCH(K$4,'Adjustment scenario'!$D$10:$W$10,0))</f>
        <v>3.0791222957454929</v>
      </c>
      <c r="L13" s="332">
        <f ca="1">INDEX(OFFSET('Adjustment scenario'!$D$1:$W$1,$D13-1,0),MATCH(L$4,'Adjustment scenario'!$D$10:$W$10,0))</f>
        <v>3.1566440765560015</v>
      </c>
      <c r="M13" s="332">
        <f ca="1">INDEX(OFFSET('Adjustment scenario'!$D$1:$W$1,$D13-1,0),MATCH(M$4,'Adjustment scenario'!$D$10:$W$10,0))</f>
        <v>3.2286592210948779</v>
      </c>
      <c r="N13" s="332">
        <f ca="1">INDEX(OFFSET('Adjustment scenario'!$D$1:$W$1,$D13-1,0),MATCH(N$4,'Adjustment scenario'!$D$10:$W$10,0))</f>
        <v>3.2953481883418272</v>
      </c>
      <c r="O13" s="332">
        <f ca="1">INDEX(OFFSET('Adjustment scenario'!$D$1:$W$1,$D13-1,0),MATCH(O$4,'Adjustment scenario'!$D$10:$W$10,0))</f>
        <v>3.3575047340298072</v>
      </c>
      <c r="P13" s="332">
        <f ca="1">INDEX(OFFSET('Adjustment scenario'!$D$1:$W$1,$D13-1,0),MATCH(P$4,'Adjustment scenario'!$D$10:$W$10,0))</f>
        <v>3.4191568536493411</v>
      </c>
      <c r="Q13" s="332">
        <f ca="1">INDEX(OFFSET('Adjustment scenario'!$D$1:$W$1,$D13-1,0),MATCH(Q$4,'Adjustment scenario'!$D$10:$W$10,0))</f>
        <v>3.4750845207263823</v>
      </c>
      <c r="R13" s="332">
        <f ca="1">INDEX(OFFSET('Adjustment scenario'!$D$1:$W$1,$D13-1,0),MATCH(R$4,'Adjustment scenario'!$D$10:$W$10,0))</f>
        <v>3.5273893585872655</v>
      </c>
      <c r="S13" s="332">
        <f ca="1">INDEX(OFFSET('Adjustment scenario'!$D$1:$W$1,$D13-1,0),MATCH(S$4,'Adjustment scenario'!$D$10:$W$10,0))</f>
        <v>3.5759582955698113</v>
      </c>
      <c r="T13" s="332">
        <f ca="1">INDEX(OFFSET('Adjustment scenario'!$D$1:$W$1,$D13-1,0),MATCH(T$4,'Adjustment scenario'!$D$10:$W$10,0))</f>
        <v>3.6206940749993275</v>
      </c>
      <c r="U13" s="332">
        <f ca="1">INDEX(OFFSET('Adjustment scenario'!$D$1:$W$1,$D13-1,0),MATCH(U$4,'Adjustment scenario'!$D$10:$W$10,0))</f>
        <v>3.6617175585238386</v>
      </c>
      <c r="V13" s="332">
        <f ca="1">INDEX(OFFSET('Adjustment scenario'!$D$1:$W$1,$D13-1,0),MATCH(V$4,'Adjustment scenario'!$D$10:$W$10,0))</f>
        <v>3.6991422585042391</v>
      </c>
      <c r="W13" s="332">
        <f ca="1">INDEX(OFFSET('Adjustment scenario'!$D$1:$W$1,$D13-1,0),MATCH(W$4,'Adjustment scenario'!$D$10:$W$10,0))</f>
        <v>3.7329565657267412</v>
      </c>
      <c r="X13" s="332">
        <f ca="1">INDEX(OFFSET('Adjustment scenario'!$D$1:$W$1,$D13-1,0),MATCH(X$4,'Adjustment scenario'!$D$10:$W$10,0))</f>
        <v>3.7635848067053392</v>
      </c>
      <c r="Y13" s="271"/>
    </row>
    <row r="14" spans="1:25" x14ac:dyDescent="0.2">
      <c r="A14" s="271"/>
      <c r="B14" s="339">
        <v>10</v>
      </c>
      <c r="C14" s="343" t="s">
        <v>229</v>
      </c>
      <c r="D14" s="344">
        <v>72</v>
      </c>
      <c r="E14" s="345" t="s">
        <v>221</v>
      </c>
      <c r="F14" s="332">
        <f ca="1">INDEX(OFFSET('Adjustment scenario'!$D$1:$W$1,$D14-1,0),MATCH(F$4,'Adjustment scenario'!$D$10:$W$10,0))</f>
        <v>-0.4543818</v>
      </c>
      <c r="G14" s="332">
        <f ca="1">INDEX(OFFSET('Adjustment scenario'!$D$1:$W$1,$D14-1,0),MATCH(G$4,'Adjustment scenario'!$D$10:$W$10,0))</f>
        <v>0.2000005</v>
      </c>
      <c r="H14" s="332">
        <f ca="1">INDEX(OFFSET('Adjustment scenario'!$D$1:$W$1,$D14-1,0),MATCH(H$4,'Adjustment scenario'!$D$10:$W$10,0))</f>
        <v>-0.6000027</v>
      </c>
      <c r="I14" s="332">
        <f ca="1">INDEX(OFFSET('Adjustment scenario'!$D$1:$W$1,$D14-1,0),MATCH(I$4,'Adjustment scenario'!$D$10:$W$10,0))</f>
        <v>0</v>
      </c>
      <c r="J14" s="332">
        <f ca="1">INDEX(OFFSET('Adjustment scenario'!$D$1:$W$1,$D14-1,0),MATCH(J$4,'Adjustment scenario'!$D$10:$W$10,0))</f>
        <v>0</v>
      </c>
      <c r="K14" s="332">
        <f ca="1">INDEX(OFFSET('Adjustment scenario'!$D$1:$W$1,$D14-1,0),MATCH(K$4,'Adjustment scenario'!$D$10:$W$10,0))</f>
        <v>0</v>
      </c>
      <c r="L14" s="332">
        <f ca="1">INDEX(OFFSET('Adjustment scenario'!$D$1:$W$1,$D14-1,0),MATCH(L$4,'Adjustment scenario'!$D$10:$W$10,0))</f>
        <v>0</v>
      </c>
      <c r="M14" s="332">
        <f ca="1">INDEX(OFFSET('Adjustment scenario'!$D$1:$W$1,$D14-1,0),MATCH(M$4,'Adjustment scenario'!$D$10:$W$10,0))</f>
        <v>0</v>
      </c>
      <c r="N14" s="332">
        <f ca="1">INDEX(OFFSET('Adjustment scenario'!$D$1:$W$1,$D14-1,0),MATCH(N$4,'Adjustment scenario'!$D$10:$W$10,0))</f>
        <v>0</v>
      </c>
      <c r="O14" s="332">
        <f ca="1">INDEX(OFFSET('Adjustment scenario'!$D$1:$W$1,$D14-1,0),MATCH(O$4,'Adjustment scenario'!$D$10:$W$10,0))</f>
        <v>0</v>
      </c>
      <c r="P14" s="332">
        <f ca="1">INDEX(OFFSET('Adjustment scenario'!$D$1:$W$1,$D14-1,0),MATCH(P$4,'Adjustment scenario'!$D$10:$W$10,0))</f>
        <v>0</v>
      </c>
      <c r="Q14" s="332">
        <f ca="1">INDEX(OFFSET('Adjustment scenario'!$D$1:$W$1,$D14-1,0),MATCH(Q$4,'Adjustment scenario'!$D$10:$W$10,0))</f>
        <v>0</v>
      </c>
      <c r="R14" s="332">
        <f ca="1">INDEX(OFFSET('Adjustment scenario'!$D$1:$W$1,$D14-1,0),MATCH(R$4,'Adjustment scenario'!$D$10:$W$10,0))</f>
        <v>0</v>
      </c>
      <c r="S14" s="332">
        <f ca="1">INDEX(OFFSET('Adjustment scenario'!$D$1:$W$1,$D14-1,0),MATCH(S$4,'Adjustment scenario'!$D$10:$W$10,0))</f>
        <v>0</v>
      </c>
      <c r="T14" s="332">
        <f ca="1">INDEX(OFFSET('Adjustment scenario'!$D$1:$W$1,$D14-1,0),MATCH(T$4,'Adjustment scenario'!$D$10:$W$10,0))</f>
        <v>0</v>
      </c>
      <c r="U14" s="332">
        <f ca="1">INDEX(OFFSET('Adjustment scenario'!$D$1:$W$1,$D14-1,0),MATCH(U$4,'Adjustment scenario'!$D$10:$W$10,0))</f>
        <v>0</v>
      </c>
      <c r="V14" s="332">
        <f ca="1">INDEX(OFFSET('Adjustment scenario'!$D$1:$W$1,$D14-1,0),MATCH(V$4,'Adjustment scenario'!$D$10:$W$10,0))</f>
        <v>0</v>
      </c>
      <c r="W14" s="332">
        <f ca="1">INDEX(OFFSET('Adjustment scenario'!$D$1:$W$1,$D14-1,0),MATCH(W$4,'Adjustment scenario'!$D$10:$W$10,0))</f>
        <v>0</v>
      </c>
      <c r="X14" s="332">
        <f ca="1">INDEX(OFFSET('Adjustment scenario'!$D$1:$W$1,$D14-1,0),MATCH(X$4,'Adjustment scenario'!$D$10:$W$10,0))</f>
        <v>0</v>
      </c>
      <c r="Y14" s="271"/>
    </row>
    <row r="15" spans="1:25" x14ac:dyDescent="0.2">
      <c r="A15" s="271"/>
      <c r="B15" s="339">
        <v>11</v>
      </c>
      <c r="C15" s="347" t="s">
        <v>62</v>
      </c>
      <c r="D15" s="344">
        <v>27</v>
      </c>
      <c r="E15" s="345" t="s">
        <v>230</v>
      </c>
      <c r="F15" s="332">
        <f ca="1">(INDEX(OFFSET('Adjustment scenario'!$D$1:$W$1,$D15-1,0),MATCH(F$4,'Adjustment scenario'!$D$10:$W$10,0))/INDEX(OFFSET('Adjustment scenario'!$D$1:$W$1,$D15-1,0),MATCH(E$4,'Adjustment scenario'!$D$10:$W$10,0))-1)*100</f>
        <v>2.7728530000000084</v>
      </c>
      <c r="G15" s="332">
        <f ca="1">(INDEX(OFFSET('Adjustment scenario'!$D$1:$W$1,$D15-1,0),MATCH(G$4,'Adjustment scenario'!$D$10:$W$10,0))/INDEX(OFFSET('Adjustment scenario'!$D$1:$W$1,$D15-1,0),MATCH(F$4,'Adjustment scenario'!$D$10:$W$10,0))-1)*100</f>
        <v>2.3316090000000012</v>
      </c>
      <c r="H15" s="332">
        <f ca="1">(INDEX(OFFSET('Adjustment scenario'!$D$1:$W$1,$D15-1,0),MATCH(H$4,'Adjustment scenario'!$D$10:$W$10,0))/INDEX(OFFSET('Adjustment scenario'!$D$1:$W$1,$D15-1,0),MATCH(G$4,'Adjustment scenario'!$D$10:$W$10,0))-1)*100</f>
        <v>2.4127309999999902</v>
      </c>
      <c r="I15" s="332">
        <f ca="1">(INDEX(OFFSET('Adjustment scenario'!$D$1:$W$1,$D15-1,0),MATCH(I$4,'Adjustment scenario'!$D$10:$W$10,0))/INDEX(OFFSET('Adjustment scenario'!$D$1:$W$1,$D15-1,0),MATCH(H$4,'Adjustment scenario'!$D$10:$W$10,0))-1)*100</f>
        <v>1.6873010000000077</v>
      </c>
      <c r="J15" s="332">
        <f ca="1">(INDEX(OFFSET('Adjustment scenario'!$D$1:$W$1,$D15-1,0),MATCH(J$4,'Adjustment scenario'!$D$10:$W$10,0))/INDEX(OFFSET('Adjustment scenario'!$D$1:$W$1,$D15-1,0),MATCH(I$4,'Adjustment scenario'!$D$10:$W$10,0))-1)*100</f>
        <v>1.4297980000000043</v>
      </c>
      <c r="K15" s="332">
        <f ca="1">(INDEX(OFFSET('Adjustment scenario'!$D$1:$W$1,$D15-1,0),MATCH(K$4,'Adjustment scenario'!$D$10:$W$10,0))/INDEX(OFFSET('Adjustment scenario'!$D$1:$W$1,$D15-1,0),MATCH(J$4,'Adjustment scenario'!$D$10:$W$10,0))-1)*100</f>
        <v>1.4035699999999984</v>
      </c>
      <c r="L15" s="332">
        <f ca="1">(INDEX(OFFSET('Adjustment scenario'!$D$1:$W$1,$D15-1,0),MATCH(L$4,'Adjustment scenario'!$D$10:$W$10,0))/INDEX(OFFSET('Adjustment scenario'!$D$1:$W$1,$D15-1,0),MATCH(K$4,'Adjustment scenario'!$D$10:$W$10,0))-1)*100</f>
        <v>1.4587399999999917</v>
      </c>
      <c r="M15" s="332">
        <f ca="1">(INDEX(OFFSET('Adjustment scenario'!$D$1:$W$1,$D15-1,0),MATCH(M$4,'Adjustment scenario'!$D$10:$W$10,0))/INDEX(OFFSET('Adjustment scenario'!$D$1:$W$1,$D15-1,0),MATCH(L$4,'Adjustment scenario'!$D$10:$W$10,0))-1)*100</f>
        <v>1.5023620000000015</v>
      </c>
      <c r="N15" s="332">
        <f ca="1">(INDEX(OFFSET('Adjustment scenario'!$D$1:$W$1,$D15-1,0),MATCH(N$4,'Adjustment scenario'!$D$10:$W$10,0))/INDEX(OFFSET('Adjustment scenario'!$D$1:$W$1,$D15-1,0),MATCH(M$4,'Adjustment scenario'!$D$10:$W$10,0))-1)*100</f>
        <v>1.5454080000000037</v>
      </c>
      <c r="O15" s="332">
        <f ca="1">(INDEX(OFFSET('Adjustment scenario'!$D$1:$W$1,$D15-1,0),MATCH(O$4,'Adjustment scenario'!$D$10:$W$10,0))/INDEX(OFFSET('Adjustment scenario'!$D$1:$W$1,$D15-1,0),MATCH(N$4,'Adjustment scenario'!$D$10:$W$10,0))-1)*100</f>
        <v>1.5715970000000024</v>
      </c>
      <c r="P15" s="332">
        <f ca="1">(INDEX(OFFSET('Adjustment scenario'!$D$1:$W$1,$D15-1,0),MATCH(P$4,'Adjustment scenario'!$D$10:$W$10,0))/INDEX(OFFSET('Adjustment scenario'!$D$1:$W$1,$D15-1,0),MATCH(O$4,'Adjustment scenario'!$D$10:$W$10,0))-1)*100</f>
        <v>1.5733570000000086</v>
      </c>
      <c r="Q15" s="332">
        <f ca="1">(INDEX(OFFSET('Adjustment scenario'!$D$1:$W$1,$D15-1,0),MATCH(Q$4,'Adjustment scenario'!$D$10:$W$10,0))/INDEX(OFFSET('Adjustment scenario'!$D$1:$W$1,$D15-1,0),MATCH(P$4,'Adjustment scenario'!$D$10:$W$10,0))-1)*100</f>
        <v>1.6041799999999995</v>
      </c>
      <c r="R15" s="332">
        <f ca="1">(INDEX(OFFSET('Adjustment scenario'!$D$1:$W$1,$D15-1,0),MATCH(R$4,'Adjustment scenario'!$D$10:$W$10,0))/INDEX(OFFSET('Adjustment scenario'!$D$1:$W$1,$D15-1,0),MATCH(Q$4,'Adjustment scenario'!$D$10:$W$10,0))-1)*100</f>
        <v>1.6350050000000005</v>
      </c>
      <c r="S15" s="332">
        <f ca="1">(INDEX(OFFSET('Adjustment scenario'!$D$1:$W$1,$D15-1,0),MATCH(S$4,'Adjustment scenario'!$D$10:$W$10,0))/INDEX(OFFSET('Adjustment scenario'!$D$1:$W$1,$D15-1,0),MATCH(R$4,'Adjustment scenario'!$D$10:$W$10,0))-1)*100</f>
        <v>1.6658279999999914</v>
      </c>
      <c r="T15" s="332">
        <f ca="1">(INDEX(OFFSET('Adjustment scenario'!$D$1:$W$1,$D15-1,0),MATCH(T$4,'Adjustment scenario'!$D$10:$W$10,0))/INDEX(OFFSET('Adjustment scenario'!$D$1:$W$1,$D15-1,0),MATCH(S$4,'Adjustment scenario'!$D$10:$W$10,0))-1)*100</f>
        <v>1.6715910000000056</v>
      </c>
      <c r="U15" s="332">
        <f ca="1">(INDEX(OFFSET('Adjustment scenario'!$D$1:$W$1,$D15-1,0),MATCH(U$4,'Adjustment scenario'!$D$10:$W$10,0))/INDEX(OFFSET('Adjustment scenario'!$D$1:$W$1,$D15-1,0),MATCH(T$4,'Adjustment scenario'!$D$10:$W$10,0))-1)*100</f>
        <v>1.6133460000000044</v>
      </c>
      <c r="V15" s="332">
        <f ca="1">(INDEX(OFFSET('Adjustment scenario'!$D$1:$W$1,$D15-1,0),MATCH(V$4,'Adjustment scenario'!$D$10:$W$10,0))/INDEX(OFFSET('Adjustment scenario'!$D$1:$W$1,$D15-1,0),MATCH(U$4,'Adjustment scenario'!$D$10:$W$10,0))-1)*100</f>
        <v>1.5618810000000094</v>
      </c>
      <c r="W15" s="332">
        <f ca="1">(INDEX(OFFSET('Adjustment scenario'!$D$1:$W$1,$D15-1,0),MATCH(W$4,'Adjustment scenario'!$D$10:$W$10,0))/INDEX(OFFSET('Adjustment scenario'!$D$1:$W$1,$D15-1,0),MATCH(V$4,'Adjustment scenario'!$D$10:$W$10,0))-1)*100</f>
        <v>1.5050819999999909</v>
      </c>
      <c r="X15" s="332">
        <f ca="1">(INDEX(OFFSET('Adjustment scenario'!$D$1:$W$1,$D15-1,0),MATCH(X$4,'Adjustment scenario'!$D$10:$W$10,0))/INDEX(OFFSET('Adjustment scenario'!$D$1:$W$1,$D15-1,0),MATCH(W$4,'Adjustment scenario'!$D$10:$W$10,0))-1)*100</f>
        <v>1.4836899999999931</v>
      </c>
      <c r="Y15" s="271"/>
    </row>
    <row r="16" spans="1:25" x14ac:dyDescent="0.2">
      <c r="A16" s="271"/>
      <c r="B16" s="339">
        <v>12</v>
      </c>
      <c r="C16" s="335" t="s">
        <v>231</v>
      </c>
      <c r="D16" s="344">
        <v>24</v>
      </c>
      <c r="E16" s="345" t="s">
        <v>230</v>
      </c>
      <c r="F16" s="332">
        <f ca="1">INDEX(OFFSET('Adjustment scenario'!$D$1:$W$1,$D16-1,0),MATCH(F$4,'Adjustment scenario'!$D$10:$W$10,0))</f>
        <v>1.596454</v>
      </c>
      <c r="G16" s="332">
        <f ca="1">INDEX(OFFSET('Adjustment scenario'!$D$1:$W$1,$D16-1,0),MATCH(G$4,'Adjustment scenario'!$D$10:$W$10,0))</f>
        <v>2.227846</v>
      </c>
      <c r="H16" s="332">
        <f ca="1">INDEX(OFFSET('Adjustment scenario'!$D$1:$W$1,$D16-1,0),MATCH(H$4,'Adjustment scenario'!$D$10:$W$10,0))</f>
        <v>2.2452619999999923</v>
      </c>
      <c r="I16" s="332">
        <f ca="1">INDEX(OFFSET('Adjustment scenario'!$D$1:$W$1,$D16-1,0),MATCH(I$4,'Adjustment scenario'!$D$10:$W$10,0))</f>
        <v>1.0024100870923203</v>
      </c>
      <c r="J16" s="332">
        <f ca="1">INDEX(OFFSET('Adjustment scenario'!$D$1:$W$1,$D16-1,0),MATCH(J$4,'Adjustment scenario'!$D$10:$W$10,0))</f>
        <v>0.97539767386740639</v>
      </c>
      <c r="K16" s="332">
        <f ca="1">INDEX(OFFSET('Adjustment scenario'!$D$1:$W$1,$D16-1,0),MATCH(K$4,'Adjustment scenario'!$D$10:$W$10,0))</f>
        <v>1.1034862548561231</v>
      </c>
      <c r="L16" s="332">
        <f ca="1">INDEX(OFFSET('Adjustment scenario'!$D$1:$W$1,$D16-1,0),MATCH(L$4,'Adjustment scenario'!$D$10:$W$10,0))</f>
        <v>2.2364071404843866</v>
      </c>
      <c r="M16" s="332">
        <f ca="1">INDEX(OFFSET('Adjustment scenario'!$D$1:$W$1,$D16-1,0),MATCH(M$4,'Adjustment scenario'!$D$10:$W$10,0))</f>
        <v>2.2744455836932742</v>
      </c>
      <c r="N16" s="332">
        <f ca="1">INDEX(OFFSET('Adjustment scenario'!$D$1:$W$1,$D16-1,0),MATCH(N$4,'Adjustment scenario'!$D$10:$W$10,0))</f>
        <v>2.31198798064709</v>
      </c>
      <c r="O16" s="332">
        <f ca="1">INDEX(OFFSET('Adjustment scenario'!$D$1:$W$1,$D16-1,0),MATCH(O$4,'Adjustment scenario'!$D$10:$W$10,0))</f>
        <v>1.5715989999999902</v>
      </c>
      <c r="P16" s="332">
        <f ca="1">INDEX(OFFSET('Adjustment scenario'!$D$1:$W$1,$D16-1,0),MATCH(P$4,'Adjustment scenario'!$D$10:$W$10,0))</f>
        <v>1.5733559999999924</v>
      </c>
      <c r="Q16" s="332">
        <f ca="1">INDEX(OFFSET('Adjustment scenario'!$D$1:$W$1,$D16-1,0),MATCH(Q$4,'Adjustment scenario'!$D$10:$W$10,0))</f>
        <v>1.6041799999999995</v>
      </c>
      <c r="R16" s="332">
        <f ca="1">INDEX(OFFSET('Adjustment scenario'!$D$1:$W$1,$D16-1,0),MATCH(R$4,'Adjustment scenario'!$D$10:$W$10,0))</f>
        <v>1.6350040000000066</v>
      </c>
      <c r="S16" s="332">
        <f ca="1">INDEX(OFFSET('Adjustment scenario'!$D$1:$W$1,$D16-1,0),MATCH(S$4,'Adjustment scenario'!$D$10:$W$10,0))</f>
        <v>1.6658250000000097</v>
      </c>
      <c r="T16" s="332">
        <f ca="1">INDEX(OFFSET('Adjustment scenario'!$D$1:$W$1,$D16-1,0),MATCH(T$4,'Adjustment scenario'!$D$10:$W$10,0))</f>
        <v>1.6715929999999934</v>
      </c>
      <c r="U16" s="332">
        <f ca="1">INDEX(OFFSET('Adjustment scenario'!$D$1:$W$1,$D16-1,0),MATCH(U$4,'Adjustment scenario'!$D$10:$W$10,0))</f>
        <v>1.6133490000000084</v>
      </c>
      <c r="V16" s="332">
        <f ca="1">INDEX(OFFSET('Adjustment scenario'!$D$1:$W$1,$D16-1,0),MATCH(V$4,'Adjustment scenario'!$D$10:$W$10,0))</f>
        <v>1.5618829999999972</v>
      </c>
      <c r="W16" s="332">
        <f ca="1">INDEX(OFFSET('Adjustment scenario'!$D$1:$W$1,$D16-1,0),MATCH(W$4,'Adjustment scenario'!$D$10:$W$10,0))</f>
        <v>1.5050830000000071</v>
      </c>
      <c r="X16" s="332">
        <f ca="1">INDEX(OFFSET('Adjustment scenario'!$D$1:$W$1,$D16-1,0),MATCH(X$4,'Adjustment scenario'!$D$10:$W$10,0))</f>
        <v>1.4836869999999891</v>
      </c>
      <c r="Y16" s="271"/>
    </row>
    <row r="17" spans="1:25" x14ac:dyDescent="0.2">
      <c r="A17" s="271"/>
      <c r="B17" s="339">
        <v>13</v>
      </c>
      <c r="C17" s="348" t="s">
        <v>232</v>
      </c>
      <c r="D17" s="344">
        <v>42</v>
      </c>
      <c r="E17" s="345" t="s">
        <v>230</v>
      </c>
      <c r="F17" s="332">
        <f ca="1">INDEX(OFFSET('Adjustment scenario'!$D$1:$W$1,$D17-1,0),MATCH(F$4,'Adjustment scenario'!$D$10:$W$10,0))</f>
        <v>10.131869999999999</v>
      </c>
      <c r="G17" s="332">
        <f ca="1">INDEX(OFFSET('Adjustment scenario'!$D$1:$W$1,$D17-1,0),MATCH(G$4,'Adjustment scenario'!$D$10:$W$10,0))</f>
        <v>4.5784279999999997</v>
      </c>
      <c r="H17" s="332">
        <f ca="1">INDEX(OFFSET('Adjustment scenario'!$D$1:$W$1,$D17-1,0),MATCH(H$4,'Adjustment scenario'!$D$10:$W$10,0))</f>
        <v>3.1704729999999999</v>
      </c>
      <c r="I17" s="332">
        <f ca="1">INDEX(OFFSET('Adjustment scenario'!$D$1:$W$1,$D17-1,0),MATCH(I$4,'Adjustment scenario'!$D$10:$W$10,0))</f>
        <v>3.0929138749999998</v>
      </c>
      <c r="J17" s="332">
        <f ca="1">INDEX(OFFSET('Adjustment scenario'!$D$1:$W$1,$D17-1,0),MATCH(J$4,'Adjustment scenario'!$D$10:$W$10,0))</f>
        <v>3.0153547499999998</v>
      </c>
      <c r="K17" s="332">
        <f ca="1">INDEX(OFFSET('Adjustment scenario'!$D$1:$W$1,$D17-1,0),MATCH(K$4,'Adjustment scenario'!$D$10:$W$10,0))</f>
        <v>2.9377956249999997</v>
      </c>
      <c r="L17" s="332">
        <f ca="1">INDEX(OFFSET('Adjustment scenario'!$D$1:$W$1,$D17-1,0),MATCH(L$4,'Adjustment scenario'!$D$10:$W$10,0))</f>
        <v>2.8602365000000001</v>
      </c>
      <c r="M17" s="332">
        <f ca="1">INDEX(OFFSET('Adjustment scenario'!$D$1:$W$1,$D17-1,0),MATCH(M$4,'Adjustment scenario'!$D$10:$W$10,0))</f>
        <v>2.782677375</v>
      </c>
      <c r="N17" s="332">
        <f ca="1">INDEX(OFFSET('Adjustment scenario'!$D$1:$W$1,$D17-1,0),MATCH(N$4,'Adjustment scenario'!$D$10:$W$10,0))</f>
        <v>2.7051182499999999</v>
      </c>
      <c r="O17" s="332">
        <f ca="1">INDEX(OFFSET('Adjustment scenario'!$D$1:$W$1,$D17-1,0),MATCH(O$4,'Adjustment scenario'!$D$10:$W$10,0))</f>
        <v>2.6275591249999999</v>
      </c>
      <c r="P17" s="332">
        <f ca="1">INDEX(OFFSET('Adjustment scenario'!$D$1:$W$1,$D17-1,0),MATCH(P$4,'Adjustment scenario'!$D$10:$W$10,0))</f>
        <v>2.5499999999999998</v>
      </c>
      <c r="Q17" s="332">
        <f ca="1">INDEX(OFFSET('Adjustment scenario'!$D$1:$W$1,$D17-1,0),MATCH(Q$4,'Adjustment scenario'!$D$10:$W$10,0))</f>
        <v>2.5225</v>
      </c>
      <c r="R17" s="332">
        <f ca="1">INDEX(OFFSET('Adjustment scenario'!$D$1:$W$1,$D17-1,0),MATCH(R$4,'Adjustment scenario'!$D$10:$W$10,0))</f>
        <v>2.4949999999999997</v>
      </c>
      <c r="S17" s="332">
        <f ca="1">INDEX(OFFSET('Adjustment scenario'!$D$1:$W$1,$D17-1,0),MATCH(S$4,'Adjustment scenario'!$D$10:$W$10,0))</f>
        <v>2.4674999999999998</v>
      </c>
      <c r="T17" s="332">
        <f ca="1">INDEX(OFFSET('Adjustment scenario'!$D$1:$W$1,$D17-1,0),MATCH(T$4,'Adjustment scenario'!$D$10:$W$10,0))</f>
        <v>2.44</v>
      </c>
      <c r="U17" s="332">
        <f ca="1">INDEX(OFFSET('Adjustment scenario'!$D$1:$W$1,$D17-1,0),MATCH(U$4,'Adjustment scenario'!$D$10:$W$10,0))</f>
        <v>2.4124999999999996</v>
      </c>
      <c r="V17" s="332">
        <f ca="1">INDEX(OFFSET('Adjustment scenario'!$D$1:$W$1,$D17-1,0),MATCH(V$4,'Adjustment scenario'!$D$10:$W$10,0))</f>
        <v>2.3849999999999998</v>
      </c>
      <c r="W17" s="332">
        <f ca="1">INDEX(OFFSET('Adjustment scenario'!$D$1:$W$1,$D17-1,0),MATCH(W$4,'Adjustment scenario'!$D$10:$W$10,0))</f>
        <v>2.3574999999999999</v>
      </c>
      <c r="X17" s="332">
        <f ca="1">INDEX(OFFSET('Adjustment scenario'!$D$1:$W$1,$D17-1,0),MATCH(X$4,'Adjustment scenario'!$D$10:$W$10,0))</f>
        <v>2.33</v>
      </c>
      <c r="Y17" s="271"/>
    </row>
    <row r="18" spans="1:25" x14ac:dyDescent="0.2">
      <c r="A18" s="271"/>
      <c r="B18" s="339">
        <v>14</v>
      </c>
      <c r="C18" s="335" t="s">
        <v>233</v>
      </c>
      <c r="D18" s="344">
        <v>33</v>
      </c>
      <c r="E18" s="345" t="s">
        <v>230</v>
      </c>
      <c r="F18" s="332">
        <f ca="1">INDEX(OFFSET('Adjustment scenario'!$D$1:$W$1,$D18-1,0),MATCH(F$4,'Adjustment scenario'!$D$10:$W$10,0))</f>
        <v>11.890074643889781</v>
      </c>
      <c r="G18" s="332">
        <f ca="1">INDEX(OFFSET('Adjustment scenario'!$D$1:$W$1,$D18-1,0),MATCH(G$4,'Adjustment scenario'!$D$10:$W$10,0))</f>
        <v>6.908274325060848</v>
      </c>
      <c r="H18" s="332">
        <f ca="1">INDEX(OFFSET('Adjustment scenario'!$D$1:$W$1,$D18-1,0),MATCH(H$4,'Adjustment scenario'!$D$10:$W$10,0))</f>
        <v>5.486920425489239</v>
      </c>
      <c r="I18" s="332">
        <f ca="1">INDEX(OFFSET('Adjustment scenario'!$D$1:$W$1,$D18-1,0),MATCH(I$4,'Adjustment scenario'!$D$10:$W$10,0))</f>
        <v>4.1263276427603968</v>
      </c>
      <c r="J18" s="332">
        <f ca="1">INDEX(OFFSET('Adjustment scenario'!$D$1:$W$1,$D18-1,0),MATCH(J$4,'Adjustment scenario'!$D$10:$W$10,0))</f>
        <v>4.020164123957759</v>
      </c>
      <c r="K18" s="332">
        <f ca="1">INDEX(OFFSET('Adjustment scenario'!$D$1:$W$1,$D18-1,0),MATCH(K$4,'Adjustment scenario'!$D$10:$W$10,0))</f>
        <v>4.0737000507737653</v>
      </c>
      <c r="L18" s="332">
        <f ca="1">INDEX(OFFSET('Adjustment scenario'!$D$1:$W$1,$D18-1,0),MATCH(L$4,'Adjustment scenario'!$D$10:$W$10,0))</f>
        <v>5.1606101738051358</v>
      </c>
      <c r="M18" s="332">
        <f ca="1">INDEX(OFFSET('Adjustment scenario'!$D$1:$W$1,$D18-1,0),MATCH(M$4,'Adjustment scenario'!$D$10:$W$10,0))</f>
        <v>5.1204134413573854</v>
      </c>
      <c r="N18" s="332">
        <f ca="1">INDEX(OFFSET('Adjustment scenario'!$D$1:$W$1,$D18-1,0),MATCH(N$4,'Adjustment scenario'!$D$10:$W$10,0))</f>
        <v>5.0796482394493747</v>
      </c>
      <c r="O18" s="332">
        <f ca="1">INDEX(OFFSET('Adjustment scenario'!$D$1:$W$1,$D18-1,0),MATCH(O$4,'Adjustment scenario'!$D$10:$W$10,0))</f>
        <v>4.2404528179328826</v>
      </c>
      <c r="P18" s="332">
        <f ca="1">INDEX(OFFSET('Adjustment scenario'!$D$1:$W$1,$D18-1,0),MATCH(P$4,'Adjustment scenario'!$D$10:$W$10,0))</f>
        <v>4.1634765780000027</v>
      </c>
      <c r="Q18" s="332">
        <f ca="1">INDEX(OFFSET('Adjustment scenario'!$D$1:$W$1,$D18-1,0),MATCH(Q$4,'Adjustment scenario'!$D$10:$W$10,0))</f>
        <v>4.1671454405000086</v>
      </c>
      <c r="R18" s="332">
        <f ca="1">INDEX(OFFSET('Adjustment scenario'!$D$1:$W$1,$D18-1,0),MATCH(R$4,'Adjustment scenario'!$D$10:$W$10,0))</f>
        <v>4.170797349800015</v>
      </c>
      <c r="S18" s="332">
        <f ca="1">INDEX(OFFSET('Adjustment scenario'!$D$1:$W$1,$D18-1,0),MATCH(S$4,'Adjustment scenario'!$D$10:$W$10,0))</f>
        <v>4.1744292318750098</v>
      </c>
      <c r="T18" s="332">
        <f ca="1">INDEX(OFFSET('Adjustment scenario'!$D$1:$W$1,$D18-1,0),MATCH(T$4,'Adjustment scenario'!$D$10:$W$10,0))</f>
        <v>4.1523798691999847</v>
      </c>
      <c r="U18" s="332">
        <f ca="1">INDEX(OFFSET('Adjustment scenario'!$D$1:$W$1,$D18-1,0),MATCH(U$4,'Adjustment scenario'!$D$10:$W$10,0))</f>
        <v>4.0647710446249929</v>
      </c>
      <c r="V18" s="332">
        <f ca="1">INDEX(OFFSET('Adjustment scenario'!$D$1:$W$1,$D18-1,0),MATCH(V$4,'Adjustment scenario'!$D$10:$W$10,0))</f>
        <v>3.9841339095499917</v>
      </c>
      <c r="W18" s="332">
        <f ca="1">INDEX(OFFSET('Adjustment scenario'!$D$1:$W$1,$D18-1,0),MATCH(W$4,'Adjustment scenario'!$D$10:$W$10,0))</f>
        <v>3.8980653317249869</v>
      </c>
      <c r="X18" s="332">
        <f ca="1">INDEX(OFFSET('Adjustment scenario'!$D$1:$W$1,$D18-1,0),MATCH(X$4,'Adjustment scenario'!$D$10:$W$10,0))</f>
        <v>3.8482569071000006</v>
      </c>
      <c r="Y18" s="271"/>
    </row>
    <row r="19" spans="1:25" x14ac:dyDescent="0.2">
      <c r="A19" s="271"/>
      <c r="B19" s="333"/>
      <c r="C19" s="354"/>
      <c r="D19" s="354"/>
      <c r="E19" s="354"/>
      <c r="F19" s="354"/>
      <c r="G19" s="354"/>
      <c r="H19" s="354"/>
      <c r="I19" s="354"/>
      <c r="J19" s="354"/>
      <c r="K19" s="271"/>
      <c r="L19" s="271"/>
      <c r="M19" s="271"/>
      <c r="N19" s="271"/>
      <c r="O19" s="271"/>
      <c r="P19" s="271"/>
      <c r="Q19" s="271"/>
      <c r="R19" s="271"/>
      <c r="S19" s="271"/>
      <c r="T19" s="271"/>
      <c r="U19" s="271"/>
      <c r="V19" s="271"/>
      <c r="W19" s="271"/>
      <c r="X19" s="271"/>
      <c r="Y19" s="271"/>
    </row>
    <row r="20" spans="1:25" x14ac:dyDescent="0.2">
      <c r="A20" s="271"/>
      <c r="B20" s="355"/>
      <c r="C20" s="337" t="s">
        <v>234</v>
      </c>
      <c r="D20" s="338"/>
      <c r="E20" s="338"/>
      <c r="F20" s="338"/>
      <c r="G20" s="354"/>
      <c r="H20" s="354"/>
      <c r="I20" s="354"/>
      <c r="J20" s="354"/>
      <c r="K20" s="271"/>
      <c r="L20" s="271"/>
      <c r="M20" s="271"/>
      <c r="N20" s="271"/>
      <c r="O20" s="271"/>
      <c r="P20" s="271"/>
      <c r="Q20" s="271"/>
      <c r="R20" s="271"/>
      <c r="S20" s="271"/>
      <c r="T20" s="271"/>
      <c r="U20" s="271"/>
      <c r="V20" s="271"/>
      <c r="W20" s="271"/>
      <c r="X20" s="271"/>
      <c r="Y20" s="271"/>
    </row>
    <row r="21" spans="1:25" x14ac:dyDescent="0.2">
      <c r="A21" s="271"/>
      <c r="B21" s="333"/>
      <c r="C21" s="354"/>
      <c r="D21" s="354"/>
      <c r="E21" s="354"/>
      <c r="F21" s="354"/>
      <c r="G21" s="354"/>
      <c r="H21" s="354"/>
      <c r="I21" s="354"/>
      <c r="J21" s="354"/>
      <c r="K21" s="271"/>
      <c r="L21" s="271"/>
      <c r="M21" s="271"/>
      <c r="N21" s="271"/>
      <c r="O21" s="271"/>
      <c r="P21" s="271"/>
      <c r="Q21" s="271"/>
      <c r="R21" s="271"/>
      <c r="S21" s="271"/>
      <c r="T21" s="271"/>
      <c r="U21" s="271"/>
      <c r="V21" s="271"/>
      <c r="W21" s="271"/>
      <c r="X21" s="271"/>
      <c r="Y21" s="271"/>
    </row>
    <row r="22" spans="1:25" x14ac:dyDescent="0.2">
      <c r="A22" s="271"/>
      <c r="B22" s="339"/>
      <c r="C22" s="337" t="s">
        <v>26</v>
      </c>
      <c r="D22" s="337"/>
      <c r="E22" s="341">
        <f>F22-1</f>
        <v>2022</v>
      </c>
      <c r="F22" s="342">
        <f>'Input data'!$C$5-1</f>
        <v>2023</v>
      </c>
      <c r="G22" s="342">
        <f>F22+1</f>
        <v>2024</v>
      </c>
      <c r="H22" s="342">
        <f t="shared" ref="H22:X22" si="1">G22+1</f>
        <v>2025</v>
      </c>
      <c r="I22" s="342">
        <f t="shared" si="1"/>
        <v>2026</v>
      </c>
      <c r="J22" s="342">
        <f t="shared" si="1"/>
        <v>2027</v>
      </c>
      <c r="K22" s="342">
        <f t="shared" si="1"/>
        <v>2028</v>
      </c>
      <c r="L22" s="342">
        <f t="shared" si="1"/>
        <v>2029</v>
      </c>
      <c r="M22" s="342">
        <f t="shared" si="1"/>
        <v>2030</v>
      </c>
      <c r="N22" s="342">
        <f t="shared" si="1"/>
        <v>2031</v>
      </c>
      <c r="O22" s="342">
        <f t="shared" si="1"/>
        <v>2032</v>
      </c>
      <c r="P22" s="342">
        <f t="shared" si="1"/>
        <v>2033</v>
      </c>
      <c r="Q22" s="342">
        <f t="shared" si="1"/>
        <v>2034</v>
      </c>
      <c r="R22" s="342">
        <f t="shared" si="1"/>
        <v>2035</v>
      </c>
      <c r="S22" s="342">
        <f t="shared" si="1"/>
        <v>2036</v>
      </c>
      <c r="T22" s="342">
        <f t="shared" si="1"/>
        <v>2037</v>
      </c>
      <c r="U22" s="342">
        <f t="shared" si="1"/>
        <v>2038</v>
      </c>
      <c r="V22" s="342">
        <f t="shared" si="1"/>
        <v>2039</v>
      </c>
      <c r="W22" s="342">
        <f t="shared" si="1"/>
        <v>2040</v>
      </c>
      <c r="X22" s="342">
        <f t="shared" si="1"/>
        <v>2041</v>
      </c>
      <c r="Y22" s="271"/>
    </row>
    <row r="23" spans="1:25" x14ac:dyDescent="0.2">
      <c r="A23" s="271"/>
      <c r="B23" s="339">
        <v>1</v>
      </c>
      <c r="C23" s="343" t="s">
        <v>220</v>
      </c>
      <c r="D23" s="344">
        <v>56</v>
      </c>
      <c r="E23" s="345" t="s">
        <v>221</v>
      </c>
      <c r="F23" s="332">
        <f ca="1">INDEX(OFFSET('Financial stress'!$D$1:$W$1,$D23-1,0),MATCH(F$4,'Financial stress'!$D$10:$W$10,0))</f>
        <v>56.044964616339094</v>
      </c>
      <c r="G23" s="332">
        <f ca="1">INDEX(OFFSET('Financial stress'!$D$1:$W$1,$D23-1,0),MATCH(G$4,'Financial stress'!$D$10:$W$10,0))</f>
        <v>58.478930381041359</v>
      </c>
      <c r="H23" s="332">
        <f ca="1">INDEX(OFFSET('Financial stress'!$D$1:$W$1,$D23-1,0),MATCH(H$4,'Financial stress'!$D$10:$W$10,0))</f>
        <v>59.623964733451906</v>
      </c>
      <c r="I23" s="332">
        <f ca="1">INDEX(OFFSET('Financial stress'!$D$1:$W$1,$D23-1,0),MATCH(I$4,'Financial stress'!$D$10:$W$10,0))</f>
        <v>61.136174386887198</v>
      </c>
      <c r="J23" s="332">
        <f ca="1">INDEX(OFFSET('Financial stress'!$D$1:$W$1,$D23-1,0),MATCH(J$4,'Financial stress'!$D$10:$W$10,0))</f>
        <v>61.633447791006695</v>
      </c>
      <c r="K23" s="332">
        <f ca="1">INDEX(OFFSET('Financial stress'!$D$1:$W$1,$D23-1,0),MATCH(K$4,'Financial stress'!$D$10:$W$10,0))</f>
        <v>60.963732291979078</v>
      </c>
      <c r="L23" s="332">
        <f ca="1">INDEX(OFFSET('Financial stress'!$D$1:$W$1,$D23-1,0),MATCH(L$4,'Financial stress'!$D$10:$W$10,0))</f>
        <v>59.660394228724876</v>
      </c>
      <c r="M23" s="332">
        <f ca="1">INDEX(OFFSET('Financial stress'!$D$1:$W$1,$D23-1,0),MATCH(M$4,'Financial stress'!$D$10:$W$10,0))</f>
        <v>58.262712274448468</v>
      </c>
      <c r="N23" s="332">
        <f ca="1">INDEX(OFFSET('Financial stress'!$D$1:$W$1,$D23-1,0),MATCH(N$4,'Financial stress'!$D$10:$W$10,0))</f>
        <v>56.812129036614486</v>
      </c>
      <c r="O23" s="332">
        <f ca="1">INDEX(OFFSET('Financial stress'!$D$1:$W$1,$D23-1,0),MATCH(O$4,'Financial stress'!$D$10:$W$10,0))</f>
        <v>56.013647520547671</v>
      </c>
      <c r="P23" s="332">
        <f ca="1">INDEX(OFFSET('Financial stress'!$D$1:$W$1,$D23-1,0),MATCH(P$4,'Financial stress'!$D$10:$W$10,0))</f>
        <v>55.443938568546166</v>
      </c>
      <c r="Q23" s="332">
        <f ca="1">INDEX(OFFSET('Financial stress'!$D$1:$W$1,$D23-1,0),MATCH(Q$4,'Financial stress'!$D$10:$W$10,0))</f>
        <v>55.030376219579686</v>
      </c>
      <c r="R23" s="332">
        <f ca="1">INDEX(OFFSET('Financial stress'!$D$1:$W$1,$D23-1,0),MATCH(R$4,'Financial stress'!$D$10:$W$10,0))</f>
        <v>54.760809054139543</v>
      </c>
      <c r="S23" s="332">
        <f ca="1">INDEX(OFFSET('Financial stress'!$D$1:$W$1,$D23-1,0),MATCH(S$4,'Financial stress'!$D$10:$W$10,0))</f>
        <v>54.618865026513383</v>
      </c>
      <c r="T23" s="332">
        <f ca="1">INDEX(OFFSET('Financial stress'!$D$1:$W$1,$D23-1,0),MATCH(T$4,'Financial stress'!$D$10:$W$10,0))</f>
        <v>54.62073887585607</v>
      </c>
      <c r="U23" s="332">
        <f ca="1">INDEX(OFFSET('Financial stress'!$D$1:$W$1,$D23-1,0),MATCH(U$4,'Financial stress'!$D$10:$W$10,0))</f>
        <v>54.802901337172031</v>
      </c>
      <c r="V23" s="332">
        <f ca="1">INDEX(OFFSET('Financial stress'!$D$1:$W$1,$D23-1,0),MATCH(V$4,'Financial stress'!$D$10:$W$10,0))</f>
        <v>55.143476211565236</v>
      </c>
      <c r="W23" s="332">
        <f ca="1">INDEX(OFFSET('Financial stress'!$D$1:$W$1,$D23-1,0),MATCH(W$4,'Financial stress'!$D$10:$W$10,0))</f>
        <v>55.696188924265016</v>
      </c>
      <c r="X23" s="332">
        <f ca="1">INDEX(OFFSET('Financial stress'!$D$1:$W$1,$D23-1,0),MATCH(X$4,'Financial stress'!$D$10:$W$10,0))</f>
        <v>56.429698274427388</v>
      </c>
      <c r="Y23" s="271"/>
    </row>
    <row r="24" spans="1:25" x14ac:dyDescent="0.2">
      <c r="A24" s="271"/>
      <c r="B24" s="339">
        <v>2</v>
      </c>
      <c r="C24" s="343" t="s">
        <v>94</v>
      </c>
      <c r="D24" s="344">
        <v>36</v>
      </c>
      <c r="E24" s="345" t="s">
        <v>227</v>
      </c>
      <c r="F24" s="332">
        <f ca="1">INDEX(OFFSET('Financial stress'!$D$1:$W$1,$D24-1,0),MATCH(F$4,'Financial stress'!$D$10:$W$10,0))</f>
        <v>3.65</v>
      </c>
      <c r="G24" s="332">
        <f ca="1">INDEX(OFFSET('Financial stress'!$D$1:$W$1,$D24-1,0),MATCH(G$4,'Financial stress'!$D$10:$W$10,0))</f>
        <v>3.6707719999999999</v>
      </c>
      <c r="H24" s="332">
        <f ca="1">INDEX(OFFSET('Financial stress'!$D$1:$W$1,$D24-1,0),MATCH(H$4,'Financial stress'!$D$10:$W$10,0))</f>
        <v>3.780141</v>
      </c>
      <c r="I24" s="332">
        <f ca="1">INDEX(OFFSET('Financial stress'!$D$1:$W$1,$D24-1,0),MATCH(I$4,'Financial stress'!$D$10:$W$10,0))</f>
        <v>3.8293008749999999</v>
      </c>
      <c r="J24" s="332">
        <f ca="1">INDEX(OFFSET('Financial stress'!$D$1:$W$1,$D24-1,0),MATCH(J$4,'Financial stress'!$D$10:$W$10,0))</f>
        <v>3.8784607499999999</v>
      </c>
      <c r="K24" s="332">
        <f ca="1">INDEX(OFFSET('Financial stress'!$D$1:$W$1,$D24-1,0),MATCH(K$4,'Financial stress'!$D$10:$W$10,0))</f>
        <v>3.9276206249999999</v>
      </c>
      <c r="L24" s="332">
        <f ca="1">INDEX(OFFSET('Financial stress'!$D$1:$W$1,$D24-1,0),MATCH(L$4,'Financial stress'!$D$10:$W$10,0))</f>
        <v>4.9767805000000003</v>
      </c>
      <c r="M24" s="332">
        <f ca="1">INDEX(OFFSET('Financial stress'!$D$1:$W$1,$D24-1,0),MATCH(M$4,'Financial stress'!$D$10:$W$10,0))</f>
        <v>4.0259403750000002</v>
      </c>
      <c r="N24" s="332">
        <f ca="1">INDEX(OFFSET('Financial stress'!$D$1:$W$1,$D24-1,0),MATCH(N$4,'Financial stress'!$D$10:$W$10,0))</f>
        <v>4.0751002500000002</v>
      </c>
      <c r="O24" s="332">
        <f ca="1">INDEX(OFFSET('Financial stress'!$D$1:$W$1,$D24-1,0),MATCH(O$4,'Financial stress'!$D$10:$W$10,0))</f>
        <v>4.1242601250000002</v>
      </c>
      <c r="P24" s="332">
        <f ca="1">INDEX(OFFSET('Financial stress'!$D$1:$W$1,$D24-1,0),MATCH(P$4,'Financial stress'!$D$10:$W$10,0))</f>
        <v>4.1734200000000001</v>
      </c>
      <c r="Q24" s="332">
        <f ca="1">INDEX(OFFSET('Financial stress'!$D$1:$W$1,$D24-1,0),MATCH(Q$4,'Financial stress'!$D$10:$W$10,0))</f>
        <v>4.1647490000000005</v>
      </c>
      <c r="R24" s="332">
        <f ca="1">INDEX(OFFSET('Financial stress'!$D$1:$W$1,$D24-1,0),MATCH(R$4,'Financial stress'!$D$10:$W$10,0))</f>
        <v>4.1560779999999999</v>
      </c>
      <c r="S24" s="332">
        <f ca="1">INDEX(OFFSET('Financial stress'!$D$1:$W$1,$D24-1,0),MATCH(S$4,'Financial stress'!$D$10:$W$10,0))</f>
        <v>4.1474070000000003</v>
      </c>
      <c r="T24" s="332">
        <f ca="1">INDEX(OFFSET('Financial stress'!$D$1:$W$1,$D24-1,0),MATCH(T$4,'Financial stress'!$D$10:$W$10,0))</f>
        <v>4.1387359999999997</v>
      </c>
      <c r="U24" s="332">
        <f ca="1">INDEX(OFFSET('Financial stress'!$D$1:$W$1,$D24-1,0),MATCH(U$4,'Financial stress'!$D$10:$W$10,0))</f>
        <v>4.1300650000000001</v>
      </c>
      <c r="V24" s="332">
        <f ca="1">INDEX(OFFSET('Financial stress'!$D$1:$W$1,$D24-1,0),MATCH(V$4,'Financial stress'!$D$10:$W$10,0))</f>
        <v>4.1213940000000004</v>
      </c>
      <c r="W24" s="332">
        <f ca="1">INDEX(OFFSET('Financial stress'!$D$1:$W$1,$D24-1,0),MATCH(W$4,'Financial stress'!$D$10:$W$10,0))</f>
        <v>4.1127229999999999</v>
      </c>
      <c r="X24" s="332">
        <f ca="1">INDEX(OFFSET('Financial stress'!$D$1:$W$1,$D24-1,0),MATCH(X$4,'Financial stress'!$D$10:$W$10,0))</f>
        <v>4.1040520000000003</v>
      </c>
      <c r="Y24" s="271"/>
    </row>
    <row r="25" spans="1:25" x14ac:dyDescent="0.2">
      <c r="A25" s="271"/>
      <c r="B25" s="339">
        <v>3</v>
      </c>
      <c r="C25" s="343" t="s">
        <v>95</v>
      </c>
      <c r="D25" s="344">
        <v>37</v>
      </c>
      <c r="E25" s="345" t="s">
        <v>227</v>
      </c>
      <c r="F25" s="332">
        <f ca="1">INDEX(OFFSET('Financial stress'!$D$1:$W$1,$D25-1,0),MATCH(F$4,'Financial stress'!$D$10:$W$10,0))</f>
        <v>3.43</v>
      </c>
      <c r="G25" s="332">
        <f ca="1">INDEX(OFFSET('Financial stress'!$D$1:$W$1,$D25-1,0),MATCH(G$4,'Financial stress'!$D$10:$W$10,0))</f>
        <v>3.5642079999999998</v>
      </c>
      <c r="H25" s="332">
        <f ca="1">INDEX(OFFSET('Financial stress'!$D$1:$W$1,$D25-1,0),MATCH(H$4,'Financial stress'!$D$10:$W$10,0))</f>
        <v>2.8163749999999999</v>
      </c>
      <c r="I25" s="332">
        <f ca="1">INDEX(OFFSET('Financial stress'!$D$1:$W$1,$D25-1,0),MATCH(I$4,'Financial stress'!$D$10:$W$10,0))</f>
        <v>2.8050893749999997</v>
      </c>
      <c r="J25" s="332">
        <f ca="1">INDEX(OFFSET('Financial stress'!$D$1:$W$1,$D25-1,0),MATCH(J$4,'Financial stress'!$D$10:$W$10,0))</f>
        <v>2.7938037499999995</v>
      </c>
      <c r="K25" s="332">
        <f ca="1">INDEX(OFFSET('Financial stress'!$D$1:$W$1,$D25-1,0),MATCH(K$4,'Financial stress'!$D$10:$W$10,0))</f>
        <v>2.7825181249999993</v>
      </c>
      <c r="L25" s="332">
        <f ca="1">INDEX(OFFSET('Financial stress'!$D$1:$W$1,$D25-1,0),MATCH(L$4,'Financial stress'!$D$10:$W$10,0))</f>
        <v>3.7712325</v>
      </c>
      <c r="M25" s="332">
        <f ca="1">INDEX(OFFSET('Financial stress'!$D$1:$W$1,$D25-1,0),MATCH(M$4,'Financial stress'!$D$10:$W$10,0))</f>
        <v>2.7599468749999998</v>
      </c>
      <c r="N25" s="332">
        <f ca="1">INDEX(OFFSET('Financial stress'!$D$1:$W$1,$D25-1,0),MATCH(N$4,'Financial stress'!$D$10:$W$10,0))</f>
        <v>2.7486612500000001</v>
      </c>
      <c r="O25" s="332">
        <f ca="1">INDEX(OFFSET('Financial stress'!$D$1:$W$1,$D25-1,0),MATCH(O$4,'Financial stress'!$D$10:$W$10,0))</f>
        <v>2.7373756250000003</v>
      </c>
      <c r="P25" s="332">
        <f ca="1">INDEX(OFFSET('Financial stress'!$D$1:$W$1,$D25-1,0),MATCH(P$4,'Financial stress'!$D$10:$W$10,0))</f>
        <v>2.7260900000000001</v>
      </c>
      <c r="Q25" s="332">
        <f ca="1">INDEX(OFFSET('Financial stress'!$D$1:$W$1,$D25-1,0),MATCH(Q$4,'Financial stress'!$D$10:$W$10,0))</f>
        <v>2.6897855000000002</v>
      </c>
      <c r="R25" s="332">
        <f ca="1">INDEX(OFFSET('Financial stress'!$D$1:$W$1,$D25-1,0),MATCH(R$4,'Financial stress'!$D$10:$W$10,0))</f>
        <v>2.6534810000000002</v>
      </c>
      <c r="S25" s="332">
        <f ca="1">INDEX(OFFSET('Financial stress'!$D$1:$W$1,$D25-1,0),MATCH(S$4,'Financial stress'!$D$10:$W$10,0))</f>
        <v>2.6171765000000002</v>
      </c>
      <c r="T25" s="332">
        <f ca="1">INDEX(OFFSET('Financial stress'!$D$1:$W$1,$D25-1,0),MATCH(T$4,'Financial stress'!$D$10:$W$10,0))</f>
        <v>2.5808720000000003</v>
      </c>
      <c r="U25" s="332">
        <f ca="1">INDEX(OFFSET('Financial stress'!$D$1:$W$1,$D25-1,0),MATCH(U$4,'Financial stress'!$D$10:$W$10,0))</f>
        <v>2.5445675000000003</v>
      </c>
      <c r="V25" s="332">
        <f ca="1">INDEX(OFFSET('Financial stress'!$D$1:$W$1,$D25-1,0),MATCH(V$4,'Financial stress'!$D$10:$W$10,0))</f>
        <v>2.5082629999999999</v>
      </c>
      <c r="W25" s="332">
        <f ca="1">INDEX(OFFSET('Financial stress'!$D$1:$W$1,$D25-1,0),MATCH(W$4,'Financial stress'!$D$10:$W$10,0))</f>
        <v>2.4719584999999999</v>
      </c>
      <c r="X25" s="332">
        <f ca="1">INDEX(OFFSET('Financial stress'!$D$1:$W$1,$D25-1,0),MATCH(X$4,'Financial stress'!$D$10:$W$10,0))</f>
        <v>2.435654</v>
      </c>
      <c r="Y25" s="271"/>
    </row>
    <row r="26" spans="1:25" x14ac:dyDescent="0.2">
      <c r="A26" s="271"/>
      <c r="B26" s="339"/>
      <c r="C26" s="337" t="s">
        <v>27</v>
      </c>
      <c r="D26" s="337"/>
      <c r="E26" s="341">
        <f>F26-1</f>
        <v>2022</v>
      </c>
      <c r="F26" s="342">
        <f>'Input data'!$C$5-1</f>
        <v>2023</v>
      </c>
      <c r="G26" s="342">
        <f>F26+1</f>
        <v>2024</v>
      </c>
      <c r="H26" s="342">
        <f t="shared" ref="H26:X26" si="2">G26+1</f>
        <v>2025</v>
      </c>
      <c r="I26" s="342">
        <f t="shared" si="2"/>
        <v>2026</v>
      </c>
      <c r="J26" s="342">
        <f t="shared" si="2"/>
        <v>2027</v>
      </c>
      <c r="K26" s="342">
        <f t="shared" si="2"/>
        <v>2028</v>
      </c>
      <c r="L26" s="342">
        <f t="shared" si="2"/>
        <v>2029</v>
      </c>
      <c r="M26" s="342">
        <f t="shared" si="2"/>
        <v>2030</v>
      </c>
      <c r="N26" s="342">
        <f t="shared" si="2"/>
        <v>2031</v>
      </c>
      <c r="O26" s="342">
        <f t="shared" si="2"/>
        <v>2032</v>
      </c>
      <c r="P26" s="342">
        <f t="shared" si="2"/>
        <v>2033</v>
      </c>
      <c r="Q26" s="342">
        <f t="shared" si="2"/>
        <v>2034</v>
      </c>
      <c r="R26" s="342">
        <f t="shared" si="2"/>
        <v>2035</v>
      </c>
      <c r="S26" s="342">
        <f t="shared" si="2"/>
        <v>2036</v>
      </c>
      <c r="T26" s="342">
        <f t="shared" si="2"/>
        <v>2037</v>
      </c>
      <c r="U26" s="342">
        <f t="shared" si="2"/>
        <v>2038</v>
      </c>
      <c r="V26" s="342">
        <f t="shared" si="2"/>
        <v>2039</v>
      </c>
      <c r="W26" s="342">
        <f t="shared" si="2"/>
        <v>2040</v>
      </c>
      <c r="X26" s="342">
        <f t="shared" si="2"/>
        <v>2041</v>
      </c>
      <c r="Y26" s="271"/>
    </row>
    <row r="27" spans="1:25" x14ac:dyDescent="0.2">
      <c r="A27" s="271"/>
      <c r="B27" s="339">
        <v>4</v>
      </c>
      <c r="C27" s="343" t="s">
        <v>220</v>
      </c>
      <c r="D27" s="344">
        <v>56</v>
      </c>
      <c r="E27" s="345" t="s">
        <v>221</v>
      </c>
      <c r="F27" s="332">
        <f ca="1">INDEX(OFFSET('Lower SPB'!$D$1:$W$1,$D27-1,0),MATCH(F$4,'Lower SPB'!$D$10:$W$10,0))</f>
        <v>56.044964616339108</v>
      </c>
      <c r="G27" s="332">
        <f ca="1">INDEX(OFFSET('Lower SPB'!$D$1:$W$1,$D27-1,0),MATCH(G$4,'Lower SPB'!$D$10:$W$10,0))</f>
        <v>58.47893038104138</v>
      </c>
      <c r="H27" s="332">
        <f ca="1">INDEX(OFFSET('Lower SPB'!$D$1:$W$1,$D27-1,0),MATCH(H$4,'Lower SPB'!$D$10:$W$10,0))</f>
        <v>59.623964733451928</v>
      </c>
      <c r="I27" s="332">
        <f ca="1">INDEX(OFFSET('Lower SPB'!$D$1:$W$1,$D27-1,0),MATCH(I$4,'Lower SPB'!$D$10:$W$10,0))</f>
        <v>61.13617438688722</v>
      </c>
      <c r="J27" s="332">
        <f ca="1">INDEX(OFFSET('Lower SPB'!$D$1:$W$1,$D27-1,0),MATCH(J$4,'Lower SPB'!$D$10:$W$10,0))</f>
        <v>61.633447791006716</v>
      </c>
      <c r="K27" s="332">
        <f ca="1">INDEX(OFFSET('Lower SPB'!$D$1:$W$1,$D27-1,0),MATCH(K$4,'Lower SPB'!$D$10:$W$10,0))</f>
        <v>60.963732291979099</v>
      </c>
      <c r="L27" s="332">
        <f ca="1">INDEX(OFFSET('Lower SPB'!$D$1:$W$1,$D27-1,0),MATCH(L$4,'Lower SPB'!$D$10:$W$10,0))</f>
        <v>59.662364449856994</v>
      </c>
      <c r="M27" s="332">
        <f ca="1">INDEX(OFFSET('Lower SPB'!$D$1:$W$1,$D27-1,0),MATCH(M$4,'Lower SPB'!$D$10:$W$10,0))</f>
        <v>58.776038002198106</v>
      </c>
      <c r="N27" s="332">
        <f ca="1">INDEX(OFFSET('Lower SPB'!$D$1:$W$1,$D27-1,0),MATCH(N$4,'Lower SPB'!$D$10:$W$10,0))</f>
        <v>58.257254072453598</v>
      </c>
      <c r="O27" s="332">
        <f ca="1">INDEX(OFFSET('Lower SPB'!$D$1:$W$1,$D27-1,0),MATCH(O$4,'Lower SPB'!$D$10:$W$10,0))</f>
        <v>57.871853560097335</v>
      </c>
      <c r="P27" s="332">
        <f ca="1">INDEX(OFFSET('Lower SPB'!$D$1:$W$1,$D27-1,0),MATCH(P$4,'Lower SPB'!$D$10:$W$10,0))</f>
        <v>57.633340458978758</v>
      </c>
      <c r="Q27" s="332">
        <f ca="1">INDEX(OFFSET('Lower SPB'!$D$1:$W$1,$D27-1,0),MATCH(Q$4,'Lower SPB'!$D$10:$W$10,0))</f>
        <v>57.688125318495544</v>
      </c>
      <c r="R27" s="332">
        <f ca="1">INDEX(OFFSET('Lower SPB'!$D$1:$W$1,$D27-1,0),MATCH(R$4,'Lower SPB'!$D$10:$W$10,0))</f>
        <v>57.889361510284623</v>
      </c>
      <c r="S27" s="332">
        <f ca="1">INDEX(OFFSET('Lower SPB'!$D$1:$W$1,$D27-1,0),MATCH(S$4,'Lower SPB'!$D$10:$W$10,0))</f>
        <v>58.22032333370165</v>
      </c>
      <c r="T27" s="332">
        <f ca="1">INDEX(OFFSET('Lower SPB'!$D$1:$W$1,$D27-1,0),MATCH(T$4,'Lower SPB'!$D$10:$W$10,0))</f>
        <v>58.69775407527181</v>
      </c>
      <c r="U27" s="332">
        <f ca="1">INDEX(OFFSET('Lower SPB'!$D$1:$W$1,$D27-1,0),MATCH(U$4,'Lower SPB'!$D$10:$W$10,0))</f>
        <v>59.360594839432913</v>
      </c>
      <c r="V27" s="332">
        <f ca="1">INDEX(OFFSET('Lower SPB'!$D$1:$W$1,$D27-1,0),MATCH(V$4,'Lower SPB'!$D$10:$W$10,0))</f>
        <v>60.187202170144694</v>
      </c>
      <c r="W27" s="332">
        <f ca="1">INDEX(OFFSET('Lower SPB'!$D$1:$W$1,$D27-1,0),MATCH(W$4,'Lower SPB'!$D$10:$W$10,0))</f>
        <v>61.232071188227351</v>
      </c>
      <c r="X27" s="332">
        <f ca="1">INDEX(OFFSET('Lower SPB'!$D$1:$W$1,$D27-1,0),MATCH(X$4,'Lower SPB'!$D$10:$W$10,0))</f>
        <v>62.462518966773608</v>
      </c>
      <c r="Y27" s="271"/>
    </row>
    <row r="28" spans="1:25" x14ac:dyDescent="0.2">
      <c r="A28" s="271"/>
      <c r="B28" s="339">
        <v>5</v>
      </c>
      <c r="C28" s="343" t="s">
        <v>40</v>
      </c>
      <c r="D28" s="344">
        <v>12</v>
      </c>
      <c r="E28" s="345" t="s">
        <v>223</v>
      </c>
      <c r="F28" s="332">
        <f ca="1">INDEX(OFFSET('Lower SPB'!$D$1:$W$1,$D28-1,0),MATCH(F$4,'Lower SPB'!$D$10:$W$10,0))</f>
        <v>-3.5136029999999998</v>
      </c>
      <c r="G28" s="332">
        <f ca="1">INDEX(OFFSET('Lower SPB'!$D$1:$W$1,$D28-1,0),MATCH(G$4,'Lower SPB'!$D$10:$W$10,0))</f>
        <v>-4.2628820000000003</v>
      </c>
      <c r="H28" s="332">
        <f ca="1">INDEX(OFFSET('Lower SPB'!$D$1:$W$1,$D28-1,0),MATCH(H$4,'Lower SPB'!$D$10:$W$10,0))</f>
        <v>-2.9628820000000005</v>
      </c>
      <c r="I28" s="332">
        <f ca="1">INDEX(OFFSET('Lower SPB'!$D$1:$W$1,$D28-1,0),MATCH(I$4,'Lower SPB'!$D$10:$W$10,0))</f>
        <v>-1.6628820000000004</v>
      </c>
      <c r="J28" s="332">
        <f ca="1">INDEX(OFFSET('Lower SPB'!$D$1:$W$1,$D28-1,0),MATCH(J$4,'Lower SPB'!$D$10:$W$10,0))</f>
        <v>-0.36288200000000037</v>
      </c>
      <c r="K28" s="332">
        <f ca="1">INDEX(OFFSET('Lower SPB'!$D$1:$W$1,$D28-1,0),MATCH(K$4,'Lower SPB'!$D$10:$W$10,0))</f>
        <v>0.93711799999999967</v>
      </c>
      <c r="L28" s="332">
        <f ca="1">INDEX(OFFSET('Lower SPB'!$D$1:$W$1,$D28-1,0),MATCH(L$4,'Lower SPB'!$D$10:$W$10,0))</f>
        <v>0.68711799999999967</v>
      </c>
      <c r="M28" s="332">
        <f ca="1">INDEX(OFFSET('Lower SPB'!$D$1:$W$1,$D28-1,0),MATCH(M$4,'Lower SPB'!$D$10:$W$10,0))</f>
        <v>0.43711799999999967</v>
      </c>
      <c r="N28" s="332">
        <f ca="1">INDEX(OFFSET('Lower SPB'!$D$1:$W$1,$D28-1,0),MATCH(N$4,'Lower SPB'!$D$10:$W$10,0))</f>
        <v>0.43711799999999967</v>
      </c>
      <c r="O28" s="332">
        <f ca="1">INDEX(OFFSET('Lower SPB'!$D$1:$W$1,$D28-1,0),MATCH(O$4,'Lower SPB'!$D$10:$W$10,0))</f>
        <v>0.43711799999999967</v>
      </c>
      <c r="P28" s="332">
        <f ca="1">INDEX(OFFSET('Lower SPB'!$D$1:$W$1,$D28-1,0),MATCH(P$4,'Lower SPB'!$D$10:$W$10,0))</f>
        <v>0.43711799999999967</v>
      </c>
      <c r="Q28" s="332">
        <f ca="1">INDEX(OFFSET('Lower SPB'!$D$1:$W$1,$D28-1,0),MATCH(Q$4,'Lower SPB'!$D$10:$W$10,0))</f>
        <v>0.43711799999999967</v>
      </c>
      <c r="R28" s="332">
        <f ca="1">INDEX(OFFSET('Lower SPB'!$D$1:$W$1,$D28-1,0),MATCH(R$4,'Lower SPB'!$D$10:$W$10,0))</f>
        <v>0.43711799999999967</v>
      </c>
      <c r="S28" s="332">
        <f ca="1">INDEX(OFFSET('Lower SPB'!$D$1:$W$1,$D28-1,0),MATCH(S$4,'Lower SPB'!$D$10:$W$10,0))</f>
        <v>0.43711799999999967</v>
      </c>
      <c r="T28" s="332">
        <f ca="1">INDEX(OFFSET('Lower SPB'!$D$1:$W$1,$D28-1,0),MATCH(T$4,'Lower SPB'!$D$10:$W$10,0))</f>
        <v>0.43711799999999967</v>
      </c>
      <c r="U28" s="332">
        <f ca="1">INDEX(OFFSET('Lower SPB'!$D$1:$W$1,$D28-1,0),MATCH(U$4,'Lower SPB'!$D$10:$W$10,0))</f>
        <v>0.43711799999999967</v>
      </c>
      <c r="V28" s="332">
        <f ca="1">INDEX(OFFSET('Lower SPB'!$D$1:$W$1,$D28-1,0),MATCH(V$4,'Lower SPB'!$D$10:$W$10,0))</f>
        <v>0.43711799999999967</v>
      </c>
      <c r="W28" s="332">
        <f ca="1">INDEX(OFFSET('Lower SPB'!$D$1:$W$1,$D28-1,0),MATCH(W$4,'Lower SPB'!$D$10:$W$10,0))</f>
        <v>0.43711799999999967</v>
      </c>
      <c r="X28" s="332">
        <f ca="1">INDEX(OFFSET('Lower SPB'!$D$1:$W$1,$D28-1,0),MATCH(X$4,'Lower SPB'!$D$10:$W$10,0))</f>
        <v>0.43711799999999967</v>
      </c>
      <c r="Y28" s="271"/>
    </row>
    <row r="29" spans="1:25" x14ac:dyDescent="0.2">
      <c r="A29" s="271"/>
      <c r="B29" s="339"/>
      <c r="C29" s="337" t="s">
        <v>235</v>
      </c>
      <c r="D29" s="337"/>
      <c r="E29" s="341">
        <f>F29-1</f>
        <v>2022</v>
      </c>
      <c r="F29" s="342">
        <f>'Input data'!$C$5-1</f>
        <v>2023</v>
      </c>
      <c r="G29" s="342">
        <f>F29+1</f>
        <v>2024</v>
      </c>
      <c r="H29" s="342">
        <f t="shared" ref="H29:X29" si="3">G29+1</f>
        <v>2025</v>
      </c>
      <c r="I29" s="342">
        <f t="shared" si="3"/>
        <v>2026</v>
      </c>
      <c r="J29" s="342">
        <f t="shared" si="3"/>
        <v>2027</v>
      </c>
      <c r="K29" s="342">
        <f t="shared" si="3"/>
        <v>2028</v>
      </c>
      <c r="L29" s="342">
        <f t="shared" si="3"/>
        <v>2029</v>
      </c>
      <c r="M29" s="342">
        <f t="shared" si="3"/>
        <v>2030</v>
      </c>
      <c r="N29" s="342">
        <f t="shared" si="3"/>
        <v>2031</v>
      </c>
      <c r="O29" s="342">
        <f t="shared" si="3"/>
        <v>2032</v>
      </c>
      <c r="P29" s="342">
        <f t="shared" si="3"/>
        <v>2033</v>
      </c>
      <c r="Q29" s="342">
        <f t="shared" si="3"/>
        <v>2034</v>
      </c>
      <c r="R29" s="342">
        <f t="shared" si="3"/>
        <v>2035</v>
      </c>
      <c r="S29" s="342">
        <f t="shared" si="3"/>
        <v>2036</v>
      </c>
      <c r="T29" s="342">
        <f t="shared" si="3"/>
        <v>2037</v>
      </c>
      <c r="U29" s="342">
        <f t="shared" si="3"/>
        <v>2038</v>
      </c>
      <c r="V29" s="342">
        <f t="shared" si="3"/>
        <v>2039</v>
      </c>
      <c r="W29" s="342">
        <f t="shared" si="3"/>
        <v>2040</v>
      </c>
      <c r="X29" s="342">
        <f t="shared" si="3"/>
        <v>2041</v>
      </c>
      <c r="Y29" s="271"/>
    </row>
    <row r="30" spans="1:25" x14ac:dyDescent="0.2">
      <c r="A30" s="271"/>
      <c r="B30" s="339">
        <v>6</v>
      </c>
      <c r="C30" s="343" t="s">
        <v>220</v>
      </c>
      <c r="D30" s="344">
        <v>57</v>
      </c>
      <c r="E30" s="345" t="s">
        <v>221</v>
      </c>
      <c r="F30" s="332">
        <f ca="1">INDEX(OFFSET('Adverse (r-g)'!$D$1:$W$1,$D30-1,0),MATCH(F$4,'Adverse (r-g)'!$D$10:$W$10,0))</f>
        <v>56.044964616339108</v>
      </c>
      <c r="G30" s="332">
        <f ca="1">INDEX(OFFSET('Adverse (r-g)'!$D$1:$W$1,$D30-1,0),MATCH(G$4,'Adverse (r-g)'!$D$10:$W$10,0))</f>
        <v>58.47893038104138</v>
      </c>
      <c r="H30" s="332">
        <f ca="1">INDEX(OFFSET('Adverse (r-g)'!$D$1:$W$1,$D30-1,0),MATCH(H$4,'Adverse (r-g)'!$D$10:$W$10,0))</f>
        <v>59.623964733451928</v>
      </c>
      <c r="I30" s="332">
        <f ca="1">INDEX(OFFSET('Adverse (r-g)'!$D$1:$W$1,$D30-1,0),MATCH(I$4,'Adverse (r-g)'!$D$10:$W$10,0))</f>
        <v>61.13617438688722</v>
      </c>
      <c r="J30" s="332">
        <f ca="1">INDEX(OFFSET('Adverse (r-g)'!$D$1:$W$1,$D30-1,0),MATCH(J$4,'Adverse (r-g)'!$D$10:$W$10,0))</f>
        <v>61.633447791006716</v>
      </c>
      <c r="K30" s="332">
        <f ca="1">INDEX(OFFSET('Adverse (r-g)'!$D$1:$W$1,$D30-1,0),MATCH(K$4,'Adverse (r-g)'!$D$10:$W$10,0))</f>
        <v>60.963732291979099</v>
      </c>
      <c r="L30" s="332">
        <f ca="1">INDEX(OFFSET('Adverse (r-g)'!$D$1:$W$1,$D30-1,0),MATCH(L$4,'Adverse (r-g)'!$D$10:$W$10,0))</f>
        <v>59.921873904775516</v>
      </c>
      <c r="M30" s="332">
        <f ca="1">INDEX(OFFSET('Adverse (r-g)'!$D$1:$W$1,$D30-1,0),MATCH(M$4,'Adverse (r-g)'!$D$10:$W$10,0))</f>
        <v>58.821698231289893</v>
      </c>
      <c r="N30" s="332">
        <f ca="1">INDEX(OFFSET('Adverse (r-g)'!$D$1:$W$1,$D30-1,0),MATCH(N$4,'Adverse (r-g)'!$D$10:$W$10,0))</f>
        <v>57.681523245905844</v>
      </c>
      <c r="O30" s="332">
        <f ca="1">INDEX(OFFSET('Adverse (r-g)'!$D$1:$W$1,$D30-1,0),MATCH(O$4,'Adverse (r-g)'!$D$10:$W$10,0))</f>
        <v>57.212232849141252</v>
      </c>
      <c r="P30" s="332">
        <f ca="1">INDEX(OFFSET('Adverse (r-g)'!$D$1:$W$1,$D30-1,0),MATCH(P$4,'Adverse (r-g)'!$D$10:$W$10,0))</f>
        <v>56.987008770233345</v>
      </c>
      <c r="Q30" s="332">
        <f ca="1">INDEX(OFFSET('Adverse (r-g)'!$D$1:$W$1,$D30-1,0),MATCH(Q$4,'Adverse (r-g)'!$D$10:$W$10,0))</f>
        <v>56.932416374379038</v>
      </c>
      <c r="R30" s="332">
        <f ca="1">INDEX(OFFSET('Adverse (r-g)'!$D$1:$W$1,$D30-1,0),MATCH(R$4,'Adverse (r-g)'!$D$10:$W$10,0))</f>
        <v>57.036587687604474</v>
      </c>
      <c r="S30" s="332">
        <f ca="1">INDEX(OFFSET('Adverse (r-g)'!$D$1:$W$1,$D30-1,0),MATCH(S$4,'Adverse (r-g)'!$D$10:$W$10,0))</f>
        <v>57.283408903771601</v>
      </c>
      <c r="T30" s="332">
        <f ca="1">INDEX(OFFSET('Adverse (r-g)'!$D$1:$W$1,$D30-1,0),MATCH(T$4,'Adverse (r-g)'!$D$10:$W$10,0))</f>
        <v>57.690085345576946</v>
      </c>
      <c r="U30" s="332">
        <f ca="1">INDEX(OFFSET('Adverse (r-g)'!$D$1:$W$1,$D30-1,0),MATCH(U$4,'Adverse (r-g)'!$D$10:$W$10,0))</f>
        <v>58.296069194500951</v>
      </c>
      <c r="V30" s="332">
        <f ca="1">INDEX(OFFSET('Adverse (r-g)'!$D$1:$W$1,$D30-1,0),MATCH(V$4,'Adverse (r-g)'!$D$10:$W$10,0))</f>
        <v>59.080762201323211</v>
      </c>
      <c r="W30" s="332">
        <f ca="1">INDEX(OFFSET('Adverse (r-g)'!$D$1:$W$1,$D30-1,0),MATCH(W$4,'Adverse (r-g)'!$D$10:$W$10,0))</f>
        <v>60.099589874964835</v>
      </c>
      <c r="X30" s="332">
        <f ca="1">INDEX(OFFSET('Adverse (r-g)'!$D$1:$W$1,$D30-1,0),MATCH(X$4,'Adverse (r-g)'!$D$10:$W$10,0))</f>
        <v>61.321580518420426</v>
      </c>
      <c r="Y30" s="271"/>
    </row>
    <row r="31" spans="1:25" x14ac:dyDescent="0.2">
      <c r="A31" s="271"/>
      <c r="B31" s="339">
        <v>7</v>
      </c>
      <c r="C31" s="343" t="s">
        <v>94</v>
      </c>
      <c r="D31" s="344">
        <v>37</v>
      </c>
      <c r="E31" s="345" t="s">
        <v>227</v>
      </c>
      <c r="F31" s="332">
        <f ca="1">INDEX(OFFSET('Adverse (r-g)'!$D$1:$W$1,$D31-1,0),MATCH(F$4,'Adverse (r-g)'!$D$10:$W$10,0))</f>
        <v>3.65</v>
      </c>
      <c r="G31" s="332">
        <f ca="1">INDEX(OFFSET('Adverse (r-g)'!$D$1:$W$1,$D31-1,0),MATCH(G$4,'Adverse (r-g)'!$D$10:$W$10,0))</f>
        <v>3.6707719999999999</v>
      </c>
      <c r="H31" s="332">
        <f ca="1">INDEX(OFFSET('Adverse (r-g)'!$D$1:$W$1,$D31-1,0),MATCH(H$4,'Adverse (r-g)'!$D$10:$W$10,0))</f>
        <v>3.780141</v>
      </c>
      <c r="I31" s="332">
        <f ca="1">INDEX(OFFSET('Adverse (r-g)'!$D$1:$W$1,$D31-1,0),MATCH(I$4,'Adverse (r-g)'!$D$10:$W$10,0))</f>
        <v>3.8293008749999999</v>
      </c>
      <c r="J31" s="332">
        <f ca="1">INDEX(OFFSET('Adverse (r-g)'!$D$1:$W$1,$D31-1,0),MATCH(J$4,'Adverse (r-g)'!$D$10:$W$10,0))</f>
        <v>3.8784607499999999</v>
      </c>
      <c r="K31" s="332">
        <f ca="1">INDEX(OFFSET('Adverse (r-g)'!$D$1:$W$1,$D31-1,0),MATCH(K$4,'Adverse (r-g)'!$D$10:$W$10,0))</f>
        <v>3.9276206249999999</v>
      </c>
      <c r="L31" s="332">
        <f ca="1">INDEX(OFFSET('Adverse (r-g)'!$D$1:$W$1,$D31-1,0),MATCH(L$4,'Adverse (r-g)'!$D$10:$W$10,0))</f>
        <v>4.4767805000000003</v>
      </c>
      <c r="M31" s="332">
        <f ca="1">INDEX(OFFSET('Adverse (r-g)'!$D$1:$W$1,$D31-1,0),MATCH(M$4,'Adverse (r-g)'!$D$10:$W$10,0))</f>
        <v>4.5259403750000002</v>
      </c>
      <c r="N31" s="332">
        <f ca="1">INDEX(OFFSET('Adverse (r-g)'!$D$1:$W$1,$D31-1,0),MATCH(N$4,'Adverse (r-g)'!$D$10:$W$10,0))</f>
        <v>4.5751002500000002</v>
      </c>
      <c r="O31" s="332">
        <f ca="1">INDEX(OFFSET('Adverse (r-g)'!$D$1:$W$1,$D31-1,0),MATCH(O$4,'Adverse (r-g)'!$D$10:$W$10,0))</f>
        <v>4.6242601250000002</v>
      </c>
      <c r="P31" s="332">
        <f ca="1">INDEX(OFFSET('Adverse (r-g)'!$D$1:$W$1,$D31-1,0),MATCH(P$4,'Adverse (r-g)'!$D$10:$W$10,0))</f>
        <v>4.6734200000000001</v>
      </c>
      <c r="Q31" s="332">
        <f ca="1">INDEX(OFFSET('Adverse (r-g)'!$D$1:$W$1,$D31-1,0),MATCH(Q$4,'Adverse (r-g)'!$D$10:$W$10,0))</f>
        <v>4.6647490000000005</v>
      </c>
      <c r="R31" s="332">
        <f ca="1">INDEX(OFFSET('Adverse (r-g)'!$D$1:$W$1,$D31-1,0),MATCH(R$4,'Adverse (r-g)'!$D$10:$W$10,0))</f>
        <v>4.6560779999999999</v>
      </c>
      <c r="S31" s="332">
        <f ca="1">INDEX(OFFSET('Adverse (r-g)'!$D$1:$W$1,$D31-1,0),MATCH(S$4,'Adverse (r-g)'!$D$10:$W$10,0))</f>
        <v>4.6474070000000003</v>
      </c>
      <c r="T31" s="332">
        <f ca="1">INDEX(OFFSET('Adverse (r-g)'!$D$1:$W$1,$D31-1,0),MATCH(T$4,'Adverse (r-g)'!$D$10:$W$10,0))</f>
        <v>4.6387359999999997</v>
      </c>
      <c r="U31" s="332">
        <f ca="1">INDEX(OFFSET('Adverse (r-g)'!$D$1:$W$1,$D31-1,0),MATCH(U$4,'Adverse (r-g)'!$D$10:$W$10,0))</f>
        <v>4.6300650000000001</v>
      </c>
      <c r="V31" s="332">
        <f ca="1">INDEX(OFFSET('Adverse (r-g)'!$D$1:$W$1,$D31-1,0),MATCH(V$4,'Adverse (r-g)'!$D$10:$W$10,0))</f>
        <v>4.6213940000000004</v>
      </c>
      <c r="W31" s="332">
        <f ca="1">INDEX(OFFSET('Adverse (r-g)'!$D$1:$W$1,$D31-1,0),MATCH(W$4,'Adverse (r-g)'!$D$10:$W$10,0))</f>
        <v>4.6127229999999999</v>
      </c>
      <c r="X31" s="332">
        <f ca="1">INDEX(OFFSET('Adverse (r-g)'!$D$1:$W$1,$D31-1,0),MATCH(X$4,'Adverse (r-g)'!$D$10:$W$10,0))</f>
        <v>4.6040520000000003</v>
      </c>
      <c r="Y31" s="271"/>
    </row>
    <row r="32" spans="1:25" x14ac:dyDescent="0.2">
      <c r="A32" s="271"/>
      <c r="B32" s="339">
        <v>8</v>
      </c>
      <c r="C32" s="343" t="s">
        <v>95</v>
      </c>
      <c r="D32" s="344">
        <v>38</v>
      </c>
      <c r="E32" s="345" t="s">
        <v>227</v>
      </c>
      <c r="F32" s="332">
        <f ca="1">INDEX(OFFSET('Adverse (r-g)'!$D$1:$W$1,$D32-1,0),MATCH(F$4,'Adverse (r-g)'!$D$10:$W$10,0))</f>
        <v>3.43</v>
      </c>
      <c r="G32" s="332">
        <f ca="1">INDEX(OFFSET('Adverse (r-g)'!$D$1:$W$1,$D32-1,0),MATCH(G$4,'Adverse (r-g)'!$D$10:$W$10,0))</f>
        <v>3.5642079999999998</v>
      </c>
      <c r="H32" s="332">
        <f ca="1">INDEX(OFFSET('Adverse (r-g)'!$D$1:$W$1,$D32-1,0),MATCH(H$4,'Adverse (r-g)'!$D$10:$W$10,0))</f>
        <v>2.8163749999999999</v>
      </c>
      <c r="I32" s="332">
        <f ca="1">INDEX(OFFSET('Adverse (r-g)'!$D$1:$W$1,$D32-1,0),MATCH(I$4,'Adverse (r-g)'!$D$10:$W$10,0))</f>
        <v>2.8050893749999997</v>
      </c>
      <c r="J32" s="332">
        <f ca="1">INDEX(OFFSET('Adverse (r-g)'!$D$1:$W$1,$D32-1,0),MATCH(J$4,'Adverse (r-g)'!$D$10:$W$10,0))</f>
        <v>2.7938037499999999</v>
      </c>
      <c r="K32" s="332">
        <f ca="1">INDEX(OFFSET('Adverse (r-g)'!$D$1:$W$1,$D32-1,0),MATCH(K$4,'Adverse (r-g)'!$D$10:$W$10,0))</f>
        <v>2.7825181250000002</v>
      </c>
      <c r="L32" s="332">
        <f ca="1">INDEX(OFFSET('Adverse (r-g)'!$D$1:$W$1,$D32-1,0),MATCH(L$4,'Adverse (r-g)'!$D$10:$W$10,0))</f>
        <v>3.2712325</v>
      </c>
      <c r="M32" s="332">
        <f ca="1">INDEX(OFFSET('Adverse (r-g)'!$D$1:$W$1,$D32-1,0),MATCH(M$4,'Adverse (r-g)'!$D$10:$W$10,0))</f>
        <v>3.2599468749999998</v>
      </c>
      <c r="N32" s="332">
        <f ca="1">INDEX(OFFSET('Adverse (r-g)'!$D$1:$W$1,$D32-1,0),MATCH(N$4,'Adverse (r-g)'!$D$10:$W$10,0))</f>
        <v>3.2486612500000001</v>
      </c>
      <c r="O32" s="332">
        <f ca="1">INDEX(OFFSET('Adverse (r-g)'!$D$1:$W$1,$D32-1,0),MATCH(O$4,'Adverse (r-g)'!$D$10:$W$10,0))</f>
        <v>3.2373756250000003</v>
      </c>
      <c r="P32" s="332">
        <f ca="1">INDEX(OFFSET('Adverse (r-g)'!$D$1:$W$1,$D32-1,0),MATCH(P$4,'Adverse (r-g)'!$D$10:$W$10,0))</f>
        <v>3.2260900000000001</v>
      </c>
      <c r="Q32" s="332">
        <f ca="1">INDEX(OFFSET('Adverse (r-g)'!$D$1:$W$1,$D32-1,0),MATCH(Q$4,'Adverse (r-g)'!$D$10:$W$10,0))</f>
        <v>3.1897855000000002</v>
      </c>
      <c r="R32" s="332">
        <f ca="1">INDEX(OFFSET('Adverse (r-g)'!$D$1:$W$1,$D32-1,0),MATCH(R$4,'Adverse (r-g)'!$D$10:$W$10,0))</f>
        <v>3.1534810000000002</v>
      </c>
      <c r="S32" s="332">
        <f ca="1">INDEX(OFFSET('Adverse (r-g)'!$D$1:$W$1,$D32-1,0),MATCH(S$4,'Adverse (r-g)'!$D$10:$W$10,0))</f>
        <v>3.1171765000000002</v>
      </c>
      <c r="T32" s="332">
        <f ca="1">INDEX(OFFSET('Adverse (r-g)'!$D$1:$W$1,$D32-1,0),MATCH(T$4,'Adverse (r-g)'!$D$10:$W$10,0))</f>
        <v>3.0808720000000003</v>
      </c>
      <c r="U32" s="332">
        <f ca="1">INDEX(OFFSET('Adverse (r-g)'!$D$1:$W$1,$D32-1,0),MATCH(U$4,'Adverse (r-g)'!$D$10:$W$10,0))</f>
        <v>3.0445675000000003</v>
      </c>
      <c r="V32" s="332">
        <f ca="1">INDEX(OFFSET('Adverse (r-g)'!$D$1:$W$1,$D32-1,0),MATCH(V$4,'Adverse (r-g)'!$D$10:$W$10,0))</f>
        <v>3.0082629999999999</v>
      </c>
      <c r="W32" s="332">
        <f ca="1">INDEX(OFFSET('Adverse (r-g)'!$D$1:$W$1,$D32-1,0),MATCH(W$4,'Adverse (r-g)'!$D$10:$W$10,0))</f>
        <v>2.9719584999999999</v>
      </c>
      <c r="X32" s="332">
        <f ca="1">INDEX(OFFSET('Adverse (r-g)'!$D$1:$W$1,$D32-1,0),MATCH(X$4,'Adverse (r-g)'!$D$10:$W$10,0))</f>
        <v>2.935654</v>
      </c>
      <c r="Y32" s="271"/>
    </row>
    <row r="33" spans="1:25" x14ac:dyDescent="0.2">
      <c r="A33" s="271"/>
      <c r="B33" s="339">
        <v>9</v>
      </c>
      <c r="C33" s="335" t="s">
        <v>231</v>
      </c>
      <c r="D33" s="344">
        <v>23</v>
      </c>
      <c r="E33" s="345" t="s">
        <v>230</v>
      </c>
      <c r="F33" s="332">
        <f ca="1">INDEX(OFFSET('Adverse (r-g)'!$D$1:$W$1,$D33-1,0),MATCH(F$4,'Adverse (r-g)'!$D$10:$W$10,0))</f>
        <v>1.5964539999999916</v>
      </c>
      <c r="G33" s="332">
        <f ca="1">INDEX(OFFSET('Adverse (r-g)'!$D$1:$W$1,$D33-1,0),MATCH(G$4,'Adverse (r-g)'!$D$10:$W$10,0))</f>
        <v>2.2278459999999889</v>
      </c>
      <c r="H33" s="332">
        <f ca="1">INDEX(OFFSET('Adverse (r-g)'!$D$1:$W$1,$D33-1,0),MATCH(H$4,'Adverse (r-g)'!$D$10:$W$10,0))</f>
        <v>2.2452619999999923</v>
      </c>
      <c r="I33" s="332">
        <f ca="1">INDEX(OFFSET('Adverse (r-g)'!$D$1:$W$1,$D33-1,0),MATCH(I$4,'Adverse (r-g)'!$D$10:$W$10,0))</f>
        <v>1.0024100870923203</v>
      </c>
      <c r="J33" s="332">
        <f ca="1">INDEX(OFFSET('Adverse (r-g)'!$D$1:$W$1,$D33-1,0),MATCH(J$4,'Adverse (r-g)'!$D$10:$W$10,0))</f>
        <v>0.97539767386740639</v>
      </c>
      <c r="K33" s="332">
        <f ca="1">INDEX(OFFSET('Adverse (r-g)'!$D$1:$W$1,$D33-1,0),MATCH(K$4,'Adverse (r-g)'!$D$10:$W$10,0))</f>
        <v>1.1034862548561231</v>
      </c>
      <c r="L33" s="332">
        <f ca="1">INDEX(OFFSET('Adverse (r-g)'!$D$1:$W$1,$D33-1,0),MATCH(L$4,'Adverse (r-g)'!$D$10:$W$10,0))</f>
        <v>1.7325747099787181</v>
      </c>
      <c r="M33" s="332">
        <f ca="1">INDEX(OFFSET('Adverse (r-g)'!$D$1:$W$1,$D33-1,0),MATCH(M$4,'Adverse (r-g)'!$D$10:$W$10,0))</f>
        <v>1.7706423047918252</v>
      </c>
      <c r="N33" s="332">
        <f ca="1">INDEX(OFFSET('Adverse (r-g)'!$D$1:$W$1,$D33-1,0),MATCH(N$4,'Adverse (r-g)'!$D$10:$W$10,0))</f>
        <v>1.8082134132109795</v>
      </c>
      <c r="O33" s="332">
        <f ca="1">INDEX(OFFSET('Adverse (r-g)'!$D$1:$W$1,$D33-1,0),MATCH(O$4,'Adverse (r-g)'!$D$10:$W$10,0))</f>
        <v>1.0715990000000009</v>
      </c>
      <c r="P33" s="332">
        <f ca="1">INDEX(OFFSET('Adverse (r-g)'!$D$1:$W$1,$D33-1,0),MATCH(P$4,'Adverse (r-g)'!$D$10:$W$10,0))</f>
        <v>1.0733560000000031</v>
      </c>
      <c r="Q33" s="332">
        <f ca="1">INDEX(OFFSET('Adverse (r-g)'!$D$1:$W$1,$D33-1,0),MATCH(Q$4,'Adverse (r-g)'!$D$10:$W$10,0))</f>
        <v>1.1041800000000102</v>
      </c>
      <c r="R33" s="332">
        <f ca="1">INDEX(OFFSET('Adverse (r-g)'!$D$1:$W$1,$D33-1,0),MATCH(R$4,'Adverse (r-g)'!$D$10:$W$10,0))</f>
        <v>1.135003999999995</v>
      </c>
      <c r="S33" s="332">
        <f ca="1">INDEX(OFFSET('Adverse (r-g)'!$D$1:$W$1,$D33-1,0),MATCH(S$4,'Adverse (r-g)'!$D$10:$W$10,0))</f>
        <v>1.1658249999999981</v>
      </c>
      <c r="T33" s="332">
        <f ca="1">INDEX(OFFSET('Adverse (r-g)'!$D$1:$W$1,$D33-1,0),MATCH(T$4,'Adverse (r-g)'!$D$10:$W$10,0))</f>
        <v>1.1715930000000041</v>
      </c>
      <c r="U33" s="332">
        <f ca="1">INDEX(OFFSET('Adverse (r-g)'!$D$1:$W$1,$D33-1,0),MATCH(U$4,'Adverse (r-g)'!$D$10:$W$10,0))</f>
        <v>1.1133489999999968</v>
      </c>
      <c r="V33" s="332">
        <f ca="1">INDEX(OFFSET('Adverse (r-g)'!$D$1:$W$1,$D33-1,0),MATCH(V$4,'Adverse (r-g)'!$D$10:$W$10,0))</f>
        <v>1.0618830000000079</v>
      </c>
      <c r="W33" s="332">
        <f ca="1">INDEX(OFFSET('Adverse (r-g)'!$D$1:$W$1,$D33-1,0),MATCH(W$4,'Adverse (r-g)'!$D$10:$W$10,0))</f>
        <v>1.0050829999999955</v>
      </c>
      <c r="X33" s="332">
        <f ca="1">INDEX(OFFSET('Adverse (r-g)'!$D$1:$W$1,$D33-1,0),MATCH(X$4,'Adverse (r-g)'!$D$10:$W$10,0))</f>
        <v>0.98368699999999976</v>
      </c>
      <c r="Y33" s="271"/>
    </row>
    <row r="34" spans="1:25" x14ac:dyDescent="0.2">
      <c r="A34" s="271"/>
      <c r="B34" s="339">
        <v>10</v>
      </c>
      <c r="C34" s="347" t="s">
        <v>62</v>
      </c>
      <c r="D34" s="344">
        <v>27</v>
      </c>
      <c r="E34" s="345" t="s">
        <v>230</v>
      </c>
      <c r="F34" s="332">
        <f ca="1">(INDEX(OFFSET('Adverse (r-g)'!$D$1:$W$1,$D34-1,0),MATCH(F$4,'Adverse (r-g)'!$D$10:$W$10,0))/INDEX(OFFSET('Adverse (r-g)'!$D$1:$W$1,$D34-1,0),MATCH(E$4,'Adverse (r-g)'!$D$10:$W$10,0))-1)*100</f>
        <v>2.7728530000000084</v>
      </c>
      <c r="G34" s="332">
        <f ca="1">(INDEX(OFFSET('Adverse (r-g)'!$D$1:$W$1,$D34-1,0),MATCH(G$4,'Adverse (r-g)'!$D$10:$W$10,0))/INDEX(OFFSET('Adverse (r-g)'!$D$1:$W$1,$D34-1,0),MATCH(F$4,'Adverse (r-g)'!$D$10:$W$10,0))-1)*100</f>
        <v>2.3316090000000012</v>
      </c>
      <c r="H34" s="332">
        <f ca="1">(INDEX(OFFSET('Adverse (r-g)'!$D$1:$W$1,$D34-1,0),MATCH(H$4,'Adverse (r-g)'!$D$10:$W$10,0))/INDEX(OFFSET('Adverse (r-g)'!$D$1:$W$1,$D34-1,0),MATCH(G$4,'Adverse (r-g)'!$D$10:$W$10,0))-1)*100</f>
        <v>2.4127309999999902</v>
      </c>
      <c r="I34" s="332">
        <f ca="1">(INDEX(OFFSET('Adverse (r-g)'!$D$1:$W$1,$D34-1,0),MATCH(I$4,'Adverse (r-g)'!$D$10:$W$10,0))/INDEX(OFFSET('Adverse (r-g)'!$D$1:$W$1,$D34-1,0),MATCH(H$4,'Adverse (r-g)'!$D$10:$W$10,0))-1)*100</f>
        <v>1.6873010000000077</v>
      </c>
      <c r="J34" s="332">
        <f ca="1">(INDEX(OFFSET('Adverse (r-g)'!$D$1:$W$1,$D34-1,0),MATCH(J$4,'Adverse (r-g)'!$D$10:$W$10,0))/INDEX(OFFSET('Adverse (r-g)'!$D$1:$W$1,$D34-1,0),MATCH(I$4,'Adverse (r-g)'!$D$10:$W$10,0))-1)*100</f>
        <v>1.4297980000000043</v>
      </c>
      <c r="K34" s="332">
        <f ca="1">(INDEX(OFFSET('Adverse (r-g)'!$D$1:$W$1,$D34-1,0),MATCH(K$4,'Adverse (r-g)'!$D$10:$W$10,0))/INDEX(OFFSET('Adverse (r-g)'!$D$1:$W$1,$D34-1,0),MATCH(J$4,'Adverse (r-g)'!$D$10:$W$10,0))-1)*100</f>
        <v>1.4035699999999984</v>
      </c>
      <c r="L34" s="332">
        <f ca="1">(INDEX(OFFSET('Adverse (r-g)'!$D$1:$W$1,$D34-1,0),MATCH(L$4,'Adverse (r-g)'!$D$10:$W$10,0))/INDEX(OFFSET('Adverse (r-g)'!$D$1:$W$1,$D34-1,0),MATCH(K$4,'Adverse (r-g)'!$D$10:$W$10,0))-1)*100</f>
        <v>0.95874000000000237</v>
      </c>
      <c r="M34" s="332">
        <f ca="1">(INDEX(OFFSET('Adverse (r-g)'!$D$1:$W$1,$D34-1,0),MATCH(M$4,'Adverse (r-g)'!$D$10:$W$10,0))/INDEX(OFFSET('Adverse (r-g)'!$D$1:$W$1,$D34-1,0),MATCH(L$4,'Adverse (r-g)'!$D$10:$W$10,0))-1)*100</f>
        <v>1.0023620000000122</v>
      </c>
      <c r="N34" s="332">
        <f ca="1">(INDEX(OFFSET('Adverse (r-g)'!$D$1:$W$1,$D34-1,0),MATCH(N$4,'Adverse (r-g)'!$D$10:$W$10,0))/INDEX(OFFSET('Adverse (r-g)'!$D$1:$W$1,$D34-1,0),MATCH(M$4,'Adverse (r-g)'!$D$10:$W$10,0))-1)*100</f>
        <v>1.0454080000000143</v>
      </c>
      <c r="O34" s="332">
        <f ca="1">(INDEX(OFFSET('Adverse (r-g)'!$D$1:$W$1,$D34-1,0),MATCH(O$4,'Adverse (r-g)'!$D$10:$W$10,0))/INDEX(OFFSET('Adverse (r-g)'!$D$1:$W$1,$D34-1,0),MATCH(N$4,'Adverse (r-g)'!$D$10:$W$10,0))-1)*100</f>
        <v>1.071597000000013</v>
      </c>
      <c r="P34" s="332">
        <f ca="1">(INDEX(OFFSET('Adverse (r-g)'!$D$1:$W$1,$D34-1,0),MATCH(P$4,'Adverse (r-g)'!$D$10:$W$10,0))/INDEX(OFFSET('Adverse (r-g)'!$D$1:$W$1,$D34-1,0),MATCH(O$4,'Adverse (r-g)'!$D$10:$W$10,0))-1)*100</f>
        <v>1.0733570000000192</v>
      </c>
      <c r="Q34" s="332">
        <f ca="1">(INDEX(OFFSET('Adverse (r-g)'!$D$1:$W$1,$D34-1,0),MATCH(Q$4,'Adverse (r-g)'!$D$10:$W$10,0))/INDEX(OFFSET('Adverse (r-g)'!$D$1:$W$1,$D34-1,0),MATCH(P$4,'Adverse (r-g)'!$D$10:$W$10,0))-1)*100</f>
        <v>1.1041800000000102</v>
      </c>
      <c r="R34" s="332">
        <f ca="1">(INDEX(OFFSET('Adverse (r-g)'!$D$1:$W$1,$D34-1,0),MATCH(R$4,'Adverse (r-g)'!$D$10:$W$10,0))/INDEX(OFFSET('Adverse (r-g)'!$D$1:$W$1,$D34-1,0),MATCH(Q$4,'Adverse (r-g)'!$D$10:$W$10,0))-1)*100</f>
        <v>1.1350050000000111</v>
      </c>
      <c r="S34" s="332">
        <f ca="1">(INDEX(OFFSET('Adverse (r-g)'!$D$1:$W$1,$D34-1,0),MATCH(S$4,'Adverse (r-g)'!$D$10:$W$10,0))/INDEX(OFFSET('Adverse (r-g)'!$D$1:$W$1,$D34-1,0),MATCH(R$4,'Adverse (r-g)'!$D$10:$W$10,0))-1)*100</f>
        <v>1.1658280000000021</v>
      </c>
      <c r="T34" s="332">
        <f ca="1">(INDEX(OFFSET('Adverse (r-g)'!$D$1:$W$1,$D34-1,0),MATCH(T$4,'Adverse (r-g)'!$D$10:$W$10,0))/INDEX(OFFSET('Adverse (r-g)'!$D$1:$W$1,$D34-1,0),MATCH(S$4,'Adverse (r-g)'!$D$10:$W$10,0))-1)*100</f>
        <v>1.1715910000000163</v>
      </c>
      <c r="U34" s="332">
        <f ca="1">(INDEX(OFFSET('Adverse (r-g)'!$D$1:$W$1,$D34-1,0),MATCH(U$4,'Adverse (r-g)'!$D$10:$W$10,0))/INDEX(OFFSET('Adverse (r-g)'!$D$1:$W$1,$D34-1,0),MATCH(T$4,'Adverse (r-g)'!$D$10:$W$10,0))-1)*100</f>
        <v>1.113346000000015</v>
      </c>
      <c r="V34" s="332">
        <f ca="1">(INDEX(OFFSET('Adverse (r-g)'!$D$1:$W$1,$D34-1,0),MATCH(V$4,'Adverse (r-g)'!$D$10:$W$10,0))/INDEX(OFFSET('Adverse (r-g)'!$D$1:$W$1,$D34-1,0),MATCH(U$4,'Adverse (r-g)'!$D$10:$W$10,0))-1)*100</f>
        <v>1.0618810000000201</v>
      </c>
      <c r="W34" s="332">
        <f ca="1">(INDEX(OFFSET('Adverse (r-g)'!$D$1:$W$1,$D34-1,0),MATCH(W$4,'Adverse (r-g)'!$D$10:$W$10,0))/INDEX(OFFSET('Adverse (r-g)'!$D$1:$W$1,$D34-1,0),MATCH(V$4,'Adverse (r-g)'!$D$10:$W$10,0))-1)*100</f>
        <v>1.0050820000000016</v>
      </c>
      <c r="X34" s="332">
        <f ca="1">(INDEX(OFFSET('Adverse (r-g)'!$D$1:$W$1,$D34-1,0),MATCH(X$4,'Adverse (r-g)'!$D$10:$W$10,0))/INDEX(OFFSET('Adverse (r-g)'!$D$1:$W$1,$D34-1,0),MATCH(W$4,'Adverse (r-g)'!$D$10:$W$10,0))-1)*100</f>
        <v>0.98369000000000373</v>
      </c>
      <c r="Y34" s="271"/>
    </row>
    <row r="35" spans="1:25" x14ac:dyDescent="0.2">
      <c r="A35" s="271"/>
      <c r="B35" s="339"/>
      <c r="C35" s="337" t="s">
        <v>236</v>
      </c>
      <c r="D35" s="337"/>
      <c r="E35" s="341">
        <f>F35-1</f>
        <v>2032</v>
      </c>
      <c r="F35" s="350">
        <f>'Input data'!$C$6+5</f>
        <v>2033</v>
      </c>
      <c r="G35" s="271"/>
      <c r="H35" s="271"/>
      <c r="I35" s="271"/>
      <c r="J35" s="271"/>
      <c r="K35" s="271"/>
      <c r="L35" s="271"/>
      <c r="M35" s="271"/>
      <c r="N35" s="271"/>
      <c r="O35" s="271"/>
      <c r="P35" s="271"/>
      <c r="Q35" s="271"/>
      <c r="R35" s="271"/>
      <c r="S35" s="271"/>
      <c r="T35" s="271"/>
      <c r="U35" s="271"/>
      <c r="V35" s="271"/>
      <c r="W35" s="271"/>
      <c r="X35" s="271"/>
      <c r="Y35" s="271"/>
    </row>
    <row r="36" spans="1:25" x14ac:dyDescent="0.2">
      <c r="A36" s="271"/>
      <c r="B36" s="339">
        <v>11</v>
      </c>
      <c r="C36" s="343" t="s">
        <v>237</v>
      </c>
      <c r="D36" s="356" t="s">
        <v>241</v>
      </c>
      <c r="E36" s="345" t="s">
        <v>227</v>
      </c>
      <c r="F36" s="332">
        <f ca="1">IF(ISERROR(I36),"&lt;10",IF(I36=5,"90&lt;",V36+(H36-W36)*$T$36))</f>
        <v>70.180094539505902</v>
      </c>
      <c r="G36" s="362"/>
      <c r="H36" s="352">
        <f>INDEX(Stochastic!$C$11:$W$11,MATCH('Input data'!$C$6,Stochastic!$C$10:$W$10,0))</f>
        <v>60.963732291979078</v>
      </c>
      <c r="I36" s="353">
        <f ca="1">MATCH($H$36,OFFSET(Stochastic!$F$14:$F$18,0,'Input data'!$C$6-'Input data'!$C$5+5),1)</f>
        <v>4</v>
      </c>
      <c r="J36" s="353" t="str" cm="1">
        <f t="array" aca="1" ref="J36" ca="1">MID(INDEX(Stochastic!$B$14:$B$18,$I$36),2,2)</f>
        <v>70</v>
      </c>
      <c r="K36" s="352" cm="1">
        <f t="array" aca="1" ref="K36" ca="1">INDEX(OFFSET(Stochastic!$F$14:$F$18,0,'Input data'!$C$6-'Input data'!$C$5+5),$I$36)</f>
        <v>60.887236768088648</v>
      </c>
      <c r="L36" s="353" t="str" cm="1">
        <f t="array" aca="1" ref="L36" ca="1">MID(INDEX(Stochastic!$B$14:$B$18,$I$36+1),2,2)</f>
        <v>90</v>
      </c>
      <c r="M36" s="352" cm="1">
        <f t="array" aca="1" ref="M36" ca="1">INDEX(OFFSET(Stochastic!$F$14:$F$18,0,'Input data'!$C$6-'Input data'!$C$5+5),$I$36+1)</f>
        <v>69.382277661643343</v>
      </c>
      <c r="N36" s="352"/>
      <c r="O36" s="353">
        <f ca="1">IF(ISERROR($I$36),1,4)</f>
        <v>4</v>
      </c>
      <c r="P36" s="353">
        <f ca="1">IF(ISERROR($I$36),10,70)</f>
        <v>70</v>
      </c>
      <c r="Q36" s="352" cm="1">
        <f t="array" aca="1" ref="Q36" ca="1">INDEX(OFFSET(Stochastic!$F$14:$F$18,0,'Input data'!$C$6-'Input data'!$C$5+5),$O$36)</f>
        <v>60.887236768088648</v>
      </c>
      <c r="R36" s="353">
        <f ca="1">P36+20</f>
        <v>90</v>
      </c>
      <c r="S36" s="352" cm="1">
        <f t="array" aca="1" ref="S36" ca="1">INDEX(OFFSET(Stochastic!$F$14:$F$18,0,'Input data'!$C$6-'Input data'!$C$5+5),$O$36+1)</f>
        <v>69.382277661643343</v>
      </c>
      <c r="T36" s="357">
        <f ca="1">IF($I$36=5,20/(S36-Q36),IF(ISERROR($I$36),20/(S36-Q36),20/(M36-K36)))</f>
        <v>2.3543147408712626</v>
      </c>
      <c r="U36" s="109"/>
      <c r="V36" s="363" t="str">
        <f ca="1">IFERROR($J$36,10)</f>
        <v>70</v>
      </c>
      <c r="W36" s="364">
        <f ca="1">IF($V$36=10,$Q$36,$K$36)</f>
        <v>60.887236768088648</v>
      </c>
      <c r="X36" s="363"/>
      <c r="Y36" s="109"/>
    </row>
    <row r="37" spans="1:25" x14ac:dyDescent="0.2">
      <c r="A37" s="271"/>
      <c r="B37" s="333"/>
      <c r="C37" s="354"/>
      <c r="D37" s="354"/>
      <c r="E37" s="354"/>
      <c r="F37" s="354"/>
      <c r="G37" s="354"/>
      <c r="H37" s="354"/>
      <c r="I37" s="354"/>
      <c r="J37" s="354"/>
      <c r="K37" s="271"/>
      <c r="L37" s="271"/>
      <c r="M37" s="271"/>
      <c r="N37" s="271"/>
      <c r="O37" s="271"/>
      <c r="P37" s="271"/>
      <c r="Q37" s="362"/>
      <c r="R37" s="362"/>
      <c r="S37" s="362"/>
      <c r="T37" s="362"/>
      <c r="U37" s="362"/>
      <c r="V37" s="362"/>
      <c r="W37" s="271"/>
      <c r="X37" s="271"/>
      <c r="Y37" s="271"/>
    </row>
    <row r="38" spans="1:25" x14ac:dyDescent="0.2">
      <c r="A38" s="271"/>
      <c r="B38" s="355"/>
      <c r="C38" s="337" t="s">
        <v>238</v>
      </c>
      <c r="D38" s="338"/>
      <c r="E38" s="338"/>
      <c r="F38" s="349"/>
      <c r="G38" s="271"/>
      <c r="H38" s="271"/>
      <c r="I38" s="271"/>
      <c r="J38" s="271"/>
      <c r="K38" s="271"/>
      <c r="L38" s="271"/>
      <c r="M38" s="271"/>
      <c r="N38" s="271"/>
      <c r="O38" s="271"/>
      <c r="P38" s="271"/>
      <c r="Q38" s="271"/>
      <c r="R38" s="271"/>
      <c r="S38" s="271"/>
      <c r="T38" s="271"/>
      <c r="U38" s="271"/>
      <c r="V38" s="271"/>
      <c r="W38" s="271"/>
      <c r="X38" s="271"/>
      <c r="Y38" s="271"/>
    </row>
    <row r="39" spans="1:25" x14ac:dyDescent="0.2">
      <c r="A39" s="271"/>
      <c r="B39" s="333"/>
      <c r="C39" s="354"/>
      <c r="D39" s="354"/>
      <c r="E39" s="354"/>
      <c r="F39" s="354"/>
      <c r="G39" s="354"/>
      <c r="H39" s="354"/>
      <c r="I39" s="354"/>
      <c r="J39" s="354"/>
      <c r="K39" s="271"/>
      <c r="L39" s="271"/>
      <c r="M39" s="271"/>
      <c r="N39" s="271"/>
      <c r="O39" s="271"/>
      <c r="P39" s="271"/>
      <c r="Q39" s="271"/>
      <c r="R39" s="271"/>
      <c r="S39" s="271"/>
      <c r="T39" s="271"/>
      <c r="U39" s="271"/>
      <c r="V39" s="271"/>
      <c r="W39" s="271"/>
      <c r="X39" s="271"/>
      <c r="Y39" s="271"/>
    </row>
    <row r="40" spans="1:25" x14ac:dyDescent="0.2">
      <c r="A40" s="271"/>
      <c r="B40" s="339"/>
      <c r="C40" s="337"/>
      <c r="D40" s="337"/>
      <c r="E40" s="342"/>
      <c r="F40" s="342">
        <f>'Input data'!$C$5-1</f>
        <v>2023</v>
      </c>
      <c r="G40" s="342">
        <f>F40+1</f>
        <v>2024</v>
      </c>
      <c r="H40" s="342">
        <f t="shared" ref="H40:X40" si="4">G40+1</f>
        <v>2025</v>
      </c>
      <c r="I40" s="342">
        <f t="shared" si="4"/>
        <v>2026</v>
      </c>
      <c r="J40" s="342">
        <f t="shared" si="4"/>
        <v>2027</v>
      </c>
      <c r="K40" s="342">
        <f t="shared" si="4"/>
        <v>2028</v>
      </c>
      <c r="L40" s="342">
        <f t="shared" si="4"/>
        <v>2029</v>
      </c>
      <c r="M40" s="342">
        <f t="shared" si="4"/>
        <v>2030</v>
      </c>
      <c r="N40" s="342">
        <f t="shared" si="4"/>
        <v>2031</v>
      </c>
      <c r="O40" s="342">
        <f t="shared" si="4"/>
        <v>2032</v>
      </c>
      <c r="P40" s="342">
        <f t="shared" si="4"/>
        <v>2033</v>
      </c>
      <c r="Q40" s="342">
        <f t="shared" si="4"/>
        <v>2034</v>
      </c>
      <c r="R40" s="342">
        <f t="shared" si="4"/>
        <v>2035</v>
      </c>
      <c r="S40" s="342">
        <f t="shared" si="4"/>
        <v>2036</v>
      </c>
      <c r="T40" s="342">
        <f t="shared" si="4"/>
        <v>2037</v>
      </c>
      <c r="U40" s="342">
        <f t="shared" si="4"/>
        <v>2038</v>
      </c>
      <c r="V40" s="342">
        <f t="shared" si="4"/>
        <v>2039</v>
      </c>
      <c r="W40" s="342">
        <f t="shared" si="4"/>
        <v>2040</v>
      </c>
      <c r="X40" s="342">
        <f t="shared" si="4"/>
        <v>2041</v>
      </c>
      <c r="Y40" s="271"/>
    </row>
    <row r="41" spans="1:25" x14ac:dyDescent="0.2">
      <c r="A41" s="271"/>
      <c r="B41" s="339">
        <v>1</v>
      </c>
      <c r="C41" s="343" t="s">
        <v>220</v>
      </c>
      <c r="D41" s="344">
        <v>56</v>
      </c>
      <c r="E41" s="345" t="s">
        <v>221</v>
      </c>
      <c r="F41" s="332">
        <f ca="1">INDEX(OFFSET('Baseline NFPC'!$D$1:$W$1,$D41-1,0),MATCH(F$4,'Baseline NFPC'!$D$10:$W$10,0))</f>
        <v>56.044964616339094</v>
      </c>
      <c r="G41" s="332">
        <f ca="1">INDEX(OFFSET('Baseline NFPC'!$D$1:$W$1,$D41-1,0),MATCH(G$4,'Baseline NFPC'!$D$10:$W$10,0))</f>
        <v>58.478930381041359</v>
      </c>
      <c r="H41" s="332">
        <f ca="1">INDEX(OFFSET('Baseline NFPC'!$D$1:$W$1,$D41-1,0),MATCH(H$4,'Baseline NFPC'!$D$10:$W$10,0))</f>
        <v>60.360385236635636</v>
      </c>
      <c r="I41" s="332">
        <f ca="1">INDEX(OFFSET('Baseline NFPC'!$D$1:$W$1,$D41-1,0),MATCH(I$4,'Baseline NFPC'!$D$10:$W$10,0))</f>
        <v>64.1768472297762</v>
      </c>
      <c r="J41" s="332">
        <f ca="1">INDEX(OFFSET('Baseline NFPC'!$D$1:$W$1,$D41-1,0),MATCH(J$4,'Baseline NFPC'!$D$10:$W$10,0))</f>
        <v>68.592848457517547</v>
      </c>
      <c r="K41" s="332">
        <f ca="1">INDEX(OFFSET('Baseline NFPC'!$D$1:$W$1,$D41-1,0),MATCH(K$4,'Baseline NFPC'!$D$10:$W$10,0))</f>
        <v>73.331462955674027</v>
      </c>
      <c r="L41" s="332">
        <f ca="1">INDEX(OFFSET('Baseline NFPC'!$D$1:$W$1,$D41-1,0),MATCH(L$4,'Baseline NFPC'!$D$10:$W$10,0))</f>
        <v>78.257194960217717</v>
      </c>
      <c r="M41" s="332">
        <f ca="1">INDEX(OFFSET('Baseline NFPC'!$D$1:$W$1,$D41-1,0),MATCH(M$4,'Baseline NFPC'!$D$10:$W$10,0))</f>
        <v>83.366265406447027</v>
      </c>
      <c r="N41" s="332">
        <f ca="1">INDEX(OFFSET('Baseline NFPC'!$D$1:$W$1,$D41-1,0),MATCH(N$4,'Baseline NFPC'!$D$10:$W$10,0))</f>
        <v>88.687699198199837</v>
      </c>
      <c r="O41" s="332">
        <f ca="1">INDEX(OFFSET('Baseline NFPC'!$D$1:$W$1,$D41-1,0),MATCH(O$4,'Baseline NFPC'!$D$10:$W$10,0))</f>
        <v>94.234631924839817</v>
      </c>
      <c r="P41" s="332">
        <f ca="1">INDEX(OFFSET('Baseline NFPC'!$D$1:$W$1,$D41-1,0),MATCH(P$4,'Baseline NFPC'!$D$10:$W$10,0))</f>
        <v>100.03923783631734</v>
      </c>
      <c r="Q41" s="332">
        <f ca="1">INDEX(OFFSET('Baseline NFPC'!$D$1:$W$1,$D41-1,0),MATCH(Q$4,'Baseline NFPC'!$D$10:$W$10,0))</f>
        <v>106.00186978662593</v>
      </c>
      <c r="R41" s="332">
        <f ca="1">INDEX(OFFSET('Baseline NFPC'!$D$1:$W$1,$D41-1,0),MATCH(R$4,'Baseline NFPC'!$D$10:$W$10,0))</f>
        <v>112.10842481121206</v>
      </c>
      <c r="S41" s="332">
        <f ca="1">INDEX(OFFSET('Baseline NFPC'!$D$1:$W$1,$D41-1,0),MATCH(S$4,'Baseline NFPC'!$D$10:$W$10,0))</f>
        <v>118.34061733192776</v>
      </c>
      <c r="T41" s="332">
        <f ca="1">INDEX(OFFSET('Baseline NFPC'!$D$1:$W$1,$D41-1,0),MATCH(T$4,'Baseline NFPC'!$D$10:$W$10,0))</f>
        <v>124.72844260655425</v>
      </c>
      <c r="U41" s="332">
        <f ca="1">INDEX(OFFSET('Baseline NFPC'!$D$1:$W$1,$D41-1,0),MATCH(U$4,'Baseline NFPC'!$D$10:$W$10,0))</f>
        <v>131.35377517542338</v>
      </c>
      <c r="V41" s="332">
        <f ca="1">INDEX(OFFSET('Baseline NFPC'!$D$1:$W$1,$D41-1,0),MATCH(V$4,'Baseline NFPC'!$D$10:$W$10,0))</f>
        <v>138.19910164733426</v>
      </c>
      <c r="W41" s="332">
        <f ca="1">INDEX(OFFSET('Baseline NFPC'!$D$1:$W$1,$D41-1,0),MATCH(W$4,'Baseline NFPC'!$D$10:$W$10,0))</f>
        <v>145.33130580695158</v>
      </c>
      <c r="X41" s="332">
        <f ca="1">INDEX(OFFSET('Baseline NFPC'!$D$1:$W$1,$D41-1,0),MATCH(X$4,'Baseline NFPC'!$D$10:$W$10,0))</f>
        <v>152.6974027803202</v>
      </c>
      <c r="Y41" s="271"/>
    </row>
    <row r="42" spans="1:25" x14ac:dyDescent="0.2">
      <c r="A42" s="271"/>
      <c r="B42" s="339">
        <v>2</v>
      </c>
      <c r="C42" s="343" t="s">
        <v>222</v>
      </c>
      <c r="D42" s="344">
        <v>76</v>
      </c>
      <c r="E42" s="345" t="s">
        <v>221</v>
      </c>
      <c r="F42" s="332">
        <f ca="1">INDEX(OFFSET('Baseline NFPC'!$D$1:$W$1,$D42-1,0),MATCH(F$4,'Baseline NFPC'!$D$10:$W$10,0))</f>
        <v>-4.8934721685540783</v>
      </c>
      <c r="G42" s="332">
        <f ca="1">INDEX(OFFSET('Baseline NFPC'!$D$1:$W$1,$D42-1,0),MATCH(G$4,'Baseline NFPC'!$D$10:$W$10,0))</f>
        <v>-5.8555183811543872</v>
      </c>
      <c r="H42" s="332">
        <f ca="1">INDEX(OFFSET('Baseline NFPC'!$D$1:$W$1,$D42-1,0),MATCH(H$4,'Baseline NFPC'!$D$10:$W$10,0))</f>
        <v>-6.0468982124237165</v>
      </c>
      <c r="I42" s="332">
        <f ca="1">INDEX(OFFSET('Baseline NFPC'!$D$1:$W$1,$D42-1,0),MATCH(I$4,'Baseline NFPC'!$D$10:$W$10,0))</f>
        <v>-6.5802833171057831</v>
      </c>
      <c r="J42" s="332">
        <f ca="1">INDEX(OFFSET('Baseline NFPC'!$D$1:$W$1,$D42-1,0),MATCH(J$4,'Baseline NFPC'!$D$10:$W$10,0))</f>
        <v>-7.1462612531230221</v>
      </c>
      <c r="K42" s="332">
        <f ca="1">INDEX(OFFSET('Baseline NFPC'!$D$1:$W$1,$D42-1,0),MATCH(K$4,'Baseline NFPC'!$D$10:$W$10,0))</f>
        <v>-7.6044046710377291</v>
      </c>
      <c r="L42" s="332">
        <f ca="1">INDEX(OFFSET('Baseline NFPC'!$D$1:$W$1,$D42-1,0),MATCH(L$4,'Baseline NFPC'!$D$10:$W$10,0))</f>
        <v>-7.9898781072919096</v>
      </c>
      <c r="M42" s="332">
        <f ca="1">INDEX(OFFSET('Baseline NFPC'!$D$1:$W$1,$D42-1,0),MATCH(M$4,'Baseline NFPC'!$D$10:$W$10,0))</f>
        <v>-8.3547075668675426</v>
      </c>
      <c r="N42" s="332">
        <f ca="1">INDEX(OFFSET('Baseline NFPC'!$D$1:$W$1,$D42-1,0),MATCH(N$4,'Baseline NFPC'!$D$10:$W$10,0))</f>
        <v>-8.7525182752070823</v>
      </c>
      <c r="O42" s="332">
        <f ca="1">INDEX(OFFSET('Baseline NFPC'!$D$1:$W$1,$D42-1,0),MATCH(O$4,'Baseline NFPC'!$D$10:$W$10,0))</f>
        <v>-9.1547068087216132</v>
      </c>
      <c r="P42" s="332">
        <f ca="1">INDEX(OFFSET('Baseline NFPC'!$D$1:$W$1,$D42-1,0),MATCH(P$4,'Baseline NFPC'!$D$10:$W$10,0))</f>
        <v>-9.5712206189054605</v>
      </c>
      <c r="Q42" s="332">
        <f ca="1">INDEX(OFFSET('Baseline NFPC'!$D$1:$W$1,$D42-1,0),MATCH(Q$4,'Baseline NFPC'!$D$10:$W$10,0))</f>
        <v>-9.9646428728294936</v>
      </c>
      <c r="R42" s="332">
        <f ca="1">INDEX(OFFSET('Baseline NFPC'!$D$1:$W$1,$D42-1,0),MATCH(R$4,'Baseline NFPC'!$D$10:$W$10,0))</f>
        <v>-10.350664975048691</v>
      </c>
      <c r="S42" s="332">
        <f ca="1">INDEX(OFFSET('Baseline NFPC'!$D$1:$W$1,$D42-1,0),MATCH(S$4,'Baseline NFPC'!$D$10:$W$10,0))</f>
        <v>-10.724549129934262</v>
      </c>
      <c r="T42" s="332">
        <f ca="1">INDEX(OFFSET('Baseline NFPC'!$D$1:$W$1,$D42-1,0),MATCH(T$4,'Baseline NFPC'!$D$10:$W$10,0))</f>
        <v>-11.105866261639139</v>
      </c>
      <c r="U42" s="332">
        <f ca="1">INDEX(OFFSET('Baseline NFPC'!$D$1:$W$1,$D42-1,0),MATCH(U$4,'Baseline NFPC'!$D$10:$W$10,0))</f>
        <v>-11.497226840667283</v>
      </c>
      <c r="V42" s="332">
        <f ca="1">INDEX(OFFSET('Baseline NFPC'!$D$1:$W$1,$D42-1,0),MATCH(V$4,'Baseline NFPC'!$D$10:$W$10,0))</f>
        <v>-11.878123401094577</v>
      </c>
      <c r="W42" s="332">
        <f ca="1">INDEX(OFFSET('Baseline NFPC'!$D$1:$W$1,$D42-1,0),MATCH(W$4,'Baseline NFPC'!$D$10:$W$10,0))</f>
        <v>-12.317181620814777</v>
      </c>
      <c r="X42" s="332">
        <f ca="1">INDEX(OFFSET('Baseline NFPC'!$D$1:$W$1,$D42-1,0),MATCH(X$4,'Baseline NFPC'!$D$10:$W$10,0))</f>
        <v>-12.751572069881544</v>
      </c>
      <c r="Y42" s="271"/>
    </row>
    <row r="43" spans="1:25" x14ac:dyDescent="0.2">
      <c r="A43" s="271"/>
      <c r="B43" s="339">
        <v>3</v>
      </c>
      <c r="C43" s="343" t="s">
        <v>40</v>
      </c>
      <c r="D43" s="344">
        <v>12</v>
      </c>
      <c r="E43" s="345" t="s">
        <v>223</v>
      </c>
      <c r="F43" s="332">
        <f ca="1">INDEX(OFFSET('Baseline NFPC'!$D$1:$W$1,$D43-1,0),MATCH(F$4,'Baseline NFPC'!$D$10:$W$10,0))</f>
        <v>-3.5136029999999998</v>
      </c>
      <c r="G43" s="332">
        <f ca="1">INDEX(OFFSET('Baseline NFPC'!$D$1:$W$1,$D43-1,0),MATCH(G$4,'Baseline NFPC'!$D$10:$W$10,0))</f>
        <v>-4.2628820000000003</v>
      </c>
      <c r="H43" s="332">
        <f ca="1">INDEX(OFFSET('Baseline NFPC'!$D$1:$W$1,$D43-1,0),MATCH(H$4,'Baseline NFPC'!$D$10:$W$10,0))</f>
        <v>-4.2628820000000003</v>
      </c>
      <c r="I43" s="332">
        <f ca="1">INDEX(OFFSET('Baseline NFPC'!$D$1:$W$1,$D43-1,0),MATCH(I$4,'Baseline NFPC'!$D$10:$W$10,0))</f>
        <v>-4.2628820000000003</v>
      </c>
      <c r="J43" s="332">
        <f ca="1">INDEX(OFFSET('Baseline NFPC'!$D$1:$W$1,$D43-1,0),MATCH(J$4,'Baseline NFPC'!$D$10:$W$10,0))</f>
        <v>-4.2628820000000003</v>
      </c>
      <c r="K43" s="332">
        <f ca="1">INDEX(OFFSET('Baseline NFPC'!$D$1:$W$1,$D43-1,0),MATCH(K$4,'Baseline NFPC'!$D$10:$W$10,0))</f>
        <v>-4.2628820000000003</v>
      </c>
      <c r="L43" s="332">
        <f ca="1">INDEX(OFFSET('Baseline NFPC'!$D$1:$W$1,$D43-1,0),MATCH(L$4,'Baseline NFPC'!$D$10:$W$10,0))</f>
        <v>-4.2628820000000003</v>
      </c>
      <c r="M43" s="332">
        <f ca="1">INDEX(OFFSET('Baseline NFPC'!$D$1:$W$1,$D43-1,0),MATCH(M$4,'Baseline NFPC'!$D$10:$W$10,0))</f>
        <v>-4.2628820000000003</v>
      </c>
      <c r="N43" s="332">
        <f ca="1">INDEX(OFFSET('Baseline NFPC'!$D$1:$W$1,$D43-1,0),MATCH(N$4,'Baseline NFPC'!$D$10:$W$10,0))</f>
        <v>-4.2628820000000003</v>
      </c>
      <c r="O43" s="332">
        <f ca="1">INDEX(OFFSET('Baseline NFPC'!$D$1:$W$1,$D43-1,0),MATCH(O$4,'Baseline NFPC'!$D$10:$W$10,0))</f>
        <v>-4.2628820000000003</v>
      </c>
      <c r="P43" s="332">
        <f ca="1">INDEX(OFFSET('Baseline NFPC'!$D$1:$W$1,$D43-1,0),MATCH(P$4,'Baseline NFPC'!$D$10:$W$10,0))</f>
        <v>-4.2628820000000003</v>
      </c>
      <c r="Q43" s="332">
        <f ca="1">INDEX(OFFSET('Baseline NFPC'!$D$1:$W$1,$D43-1,0),MATCH(Q$4,'Baseline NFPC'!$D$10:$W$10,0))</f>
        <v>-4.2628820000000003</v>
      </c>
      <c r="R43" s="332">
        <f ca="1">INDEX(OFFSET('Baseline NFPC'!$D$1:$W$1,$D43-1,0),MATCH(R$4,'Baseline NFPC'!$D$10:$W$10,0))</f>
        <v>-4.2628820000000003</v>
      </c>
      <c r="S43" s="332">
        <f ca="1">INDEX(OFFSET('Baseline NFPC'!$D$1:$W$1,$D43-1,0),MATCH(S$4,'Baseline NFPC'!$D$10:$W$10,0))</f>
        <v>-4.2628820000000003</v>
      </c>
      <c r="T43" s="332">
        <f ca="1">INDEX(OFFSET('Baseline NFPC'!$D$1:$W$1,$D43-1,0),MATCH(T$4,'Baseline NFPC'!$D$10:$W$10,0))</f>
        <v>-4.2628820000000003</v>
      </c>
      <c r="U43" s="332">
        <f ca="1">INDEX(OFFSET('Baseline NFPC'!$D$1:$W$1,$D43-1,0),MATCH(U$4,'Baseline NFPC'!$D$10:$W$10,0))</f>
        <v>-4.2628820000000003</v>
      </c>
      <c r="V43" s="332">
        <f ca="1">INDEX(OFFSET('Baseline NFPC'!$D$1:$W$1,$D43-1,0),MATCH(V$4,'Baseline NFPC'!$D$10:$W$10,0))</f>
        <v>-4.2628820000000003</v>
      </c>
      <c r="W43" s="332">
        <f ca="1">INDEX(OFFSET('Baseline NFPC'!$D$1:$W$1,$D43-1,0),MATCH(W$4,'Baseline NFPC'!$D$10:$W$10,0))</f>
        <v>-4.2628820000000003</v>
      </c>
      <c r="X43" s="332">
        <f ca="1">INDEX(OFFSET('Baseline NFPC'!$D$1:$W$1,$D43-1,0),MATCH(X$4,'Baseline NFPC'!$D$10:$W$10,0))</f>
        <v>-4.2628820000000003</v>
      </c>
      <c r="Y43" s="271"/>
    </row>
    <row r="44" spans="1:25" x14ac:dyDescent="0.2">
      <c r="A44" s="271"/>
      <c r="B44" s="339">
        <v>4</v>
      </c>
      <c r="C44" s="343" t="s">
        <v>224</v>
      </c>
      <c r="D44" s="344">
        <v>61</v>
      </c>
      <c r="E44" s="345" t="s">
        <v>223</v>
      </c>
      <c r="F44" s="332">
        <f ca="1">INDEX(OFFSET('Baseline NFPC'!$D$1:$W$1,$D44-1,0),MATCH(F$4,'Baseline NFPC'!$D$10:$W$10,0))</f>
        <v>0.22304349404425938</v>
      </c>
      <c r="G44" s="332">
        <f ca="1">INDEX(OFFSET('Baseline NFPC'!$D$1:$W$1,$D44-1,0),MATCH(G$4,'Baseline NFPC'!$D$10:$W$10,0))</f>
        <v>0.26145026470226373</v>
      </c>
      <c r="H44" s="332">
        <f ca="1">INDEX(OFFSET('Baseline NFPC'!$D$1:$W$1,$D44-1,0),MATCH(H$4,'Baseline NFPC'!$D$10:$W$10,0))</f>
        <v>-3.6909144405719109E-2</v>
      </c>
      <c r="I44" s="332">
        <f ca="1">INDEX(OFFSET('Baseline NFPC'!$D$1:$W$1,$D44-1,0),MATCH(I$4,'Baseline NFPC'!$D$10:$W$10,0))</f>
        <v>-2.4607798931555978E-2</v>
      </c>
      <c r="J44" s="332">
        <f ca="1">INDEX(OFFSET('Baseline NFPC'!$D$1:$W$1,$D44-1,0),MATCH(J$4,'Baseline NFPC'!$D$10:$W$10,0))</f>
        <v>-8.2032470583783372E-3</v>
      </c>
      <c r="K44" s="332">
        <f ca="1">INDEX(OFFSET('Baseline NFPC'!$D$1:$W$1,$D44-1,0),MATCH(K$4,'Baseline NFPC'!$D$10:$W$10,0))</f>
        <v>-2.7556648990012532E-6</v>
      </c>
      <c r="L44" s="332">
        <f ca="1">INDEX(OFFSET('Baseline NFPC'!$D$1:$W$1,$D44-1,0),MATCH(L$4,'Baseline NFPC'!$D$10:$W$10,0))</f>
        <v>-2.3801427623482142E-6</v>
      </c>
      <c r="M44" s="332">
        <f ca="1">INDEX(OFFSET('Baseline NFPC'!$D$1:$W$1,$D44-1,0),MATCH(M$4,'Baseline NFPC'!$D$10:$W$10,0))</f>
        <v>-3.8815857509533199E-6</v>
      </c>
      <c r="N44" s="332">
        <f ca="1">INDEX(OFFSET('Baseline NFPC'!$D$1:$W$1,$D44-1,0),MATCH(N$4,'Baseline NFPC'!$D$10:$W$10,0))</f>
        <v>-4.6319890345980498E-6</v>
      </c>
      <c r="O44" s="332">
        <f ca="1">INDEX(OFFSET('Baseline NFPC'!$D$1:$W$1,$D44-1,0),MATCH(O$4,'Baseline NFPC'!$D$10:$W$10,0))</f>
        <v>-5.3821988488023113E-6</v>
      </c>
      <c r="P44" s="332">
        <f ca="1">INDEX(OFFSET('Baseline NFPC'!$D$1:$W$1,$D44-1,0),MATCH(P$4,'Baseline NFPC'!$D$10:$W$10,0))</f>
        <v>-5.0071004262131071E-6</v>
      </c>
      <c r="Q44" s="332">
        <f ca="1">INDEX(OFFSET('Baseline NFPC'!$D$1:$W$1,$D44-1,0),MATCH(Q$4,'Baseline NFPC'!$D$10:$W$10,0))</f>
        <v>-5.0071004262131071E-6</v>
      </c>
      <c r="R44" s="332">
        <f ca="1">INDEX(OFFSET('Baseline NFPC'!$D$1:$W$1,$D44-1,0),MATCH(R$4,'Baseline NFPC'!$D$10:$W$10,0))</f>
        <v>-4.6322295326195473E-6</v>
      </c>
      <c r="S44" s="332">
        <f ca="1">INDEX(OFFSET('Baseline NFPC'!$D$1:$W$1,$D44-1,0),MATCH(S$4,'Baseline NFPC'!$D$10:$W$10,0))</f>
        <v>-3.5079578365460051E-6</v>
      </c>
      <c r="T44" s="332">
        <f ca="1">INDEX(OFFSET('Baseline NFPC'!$D$1:$W$1,$D44-1,0),MATCH(T$4,'Baseline NFPC'!$D$10:$W$10,0))</f>
        <v>-4.2574297952402421E-6</v>
      </c>
      <c r="U44" s="332">
        <f ca="1">INDEX(OFFSET('Baseline NFPC'!$D$1:$W$1,$D44-1,0),MATCH(U$4,'Baseline NFPC'!$D$10:$W$10,0))</f>
        <v>-5.3822821618920715E-6</v>
      </c>
      <c r="V44" s="332">
        <f ca="1">INDEX(OFFSET('Baseline NFPC'!$D$1:$W$1,$D44-1,0),MATCH(V$4,'Baseline NFPC'!$D$10:$W$10,0))</f>
        <v>-6.1325637583431462E-6</v>
      </c>
      <c r="W44" s="332">
        <f ca="1">INDEX(OFFSET('Baseline NFPC'!$D$1:$W$1,$D44-1,0),MATCH(W$4,'Baseline NFPC'!$D$10:$W$10,0))</f>
        <v>-6.5079144974333763E-6</v>
      </c>
      <c r="X44" s="332">
        <f ca="1">INDEX(OFFSET('Baseline NFPC'!$D$1:$W$1,$D44-1,0),MATCH(X$4,'Baseline NFPC'!$D$10:$W$10,0))</f>
        <v>-5.3816249376836822E-6</v>
      </c>
      <c r="Y44" s="271"/>
    </row>
    <row r="45" spans="1:25" x14ac:dyDescent="0.2">
      <c r="A45" s="271"/>
      <c r="B45" s="339">
        <v>5</v>
      </c>
      <c r="C45" s="343" t="s">
        <v>226</v>
      </c>
      <c r="D45" s="344">
        <v>67</v>
      </c>
      <c r="E45" s="345" t="s">
        <v>221</v>
      </c>
      <c r="F45" s="332">
        <f ca="1">INDEX(OFFSET('Baseline NFPC'!$D$1:$W$1,$D45-1,0),MATCH(F$4,'Baseline NFPC'!$D$10:$W$10,0))</f>
        <v>1.1568256745098193</v>
      </c>
      <c r="G45" s="332">
        <f ca="1">INDEX(OFFSET('Baseline NFPC'!$D$1:$W$1,$D45-1,0),MATCH(G$4,'Baseline NFPC'!$D$10:$W$10,0))</f>
        <v>1.3311861164521233</v>
      </c>
      <c r="H45" s="332">
        <f ca="1">INDEX(OFFSET('Baseline NFPC'!$D$1:$W$1,$D45-1,0),MATCH(H$4,'Baseline NFPC'!$D$10:$W$10,0))</f>
        <v>1.4864466568294359</v>
      </c>
      <c r="I45" s="332">
        <f ca="1">INDEX(OFFSET('Baseline NFPC'!$D$1:$W$1,$D45-1,0),MATCH(I$4,'Baseline NFPC'!$D$10:$W$10,0))</f>
        <v>1.6580517160373371</v>
      </c>
      <c r="J45" s="332">
        <f ca="1">INDEX(OFFSET('Baseline NFPC'!$D$1:$W$1,$D45-1,0),MATCH(J$4,'Baseline NFPC'!$D$10:$W$10,0))</f>
        <v>1.8659563001813984</v>
      </c>
      <c r="K45" s="332">
        <f ca="1">INDEX(OFFSET('Baseline NFPC'!$D$1:$W$1,$D45-1,0),MATCH(K$4,'Baseline NFPC'!$D$10:$W$10,0))</f>
        <v>2.0877705267026267</v>
      </c>
      <c r="L45" s="332">
        <f ca="1">INDEX(OFFSET('Baseline NFPC'!$D$1:$W$1,$D45-1,0),MATCH(L$4,'Baseline NFPC'!$D$10:$W$10,0))</f>
        <v>2.3183848874346684</v>
      </c>
      <c r="M45" s="332">
        <f ca="1">INDEX(OFFSET('Baseline NFPC'!$D$1:$W$1,$D45-1,0),MATCH(M$4,'Baseline NFPC'!$D$10:$W$10,0))</f>
        <v>2.5563371484532942</v>
      </c>
      <c r="N45" s="332">
        <f ca="1">INDEX(OFFSET('Baseline NFPC'!$D$1:$W$1,$D45-1,0),MATCH(N$4,'Baseline NFPC'!$D$10:$W$10,0))</f>
        <v>2.8014198071961167</v>
      </c>
      <c r="O45" s="332">
        <f ca="1">INDEX(OFFSET('Baseline NFPC'!$D$1:$W$1,$D45-1,0),MATCH(O$4,'Baseline NFPC'!$D$10:$W$10,0))</f>
        <v>3.0559504909204631</v>
      </c>
      <c r="P45" s="332">
        <f ca="1">INDEX(OFFSET('Baseline NFPC'!$D$1:$W$1,$D45-1,0),MATCH(P$4,'Baseline NFPC'!$D$10:$W$10,0))</f>
        <v>3.3214051260058826</v>
      </c>
      <c r="Q45" s="332">
        <f ca="1">INDEX(OFFSET('Baseline NFPC'!$D$1:$W$1,$D45-1,0),MATCH(Q$4,'Baseline NFPC'!$D$10:$W$10,0))</f>
        <v>3.5876586799299184</v>
      </c>
      <c r="R45" s="332">
        <f ca="1">INDEX(OFFSET('Baseline NFPC'!$D$1:$W$1,$D45-1,0),MATCH(R$4,'Baseline NFPC'!$D$10:$W$10,0))</f>
        <v>3.8554517072782217</v>
      </c>
      <c r="S45" s="332">
        <f ca="1">INDEX(OFFSET('Baseline NFPC'!$D$1:$W$1,$D45-1,0),MATCH(S$4,'Baseline NFPC'!$D$10:$W$10,0))</f>
        <v>4.1245261378920999</v>
      </c>
      <c r="T45" s="332">
        <f ca="1">INDEX(OFFSET('Baseline NFPC'!$D$1:$W$1,$D45-1,0),MATCH(T$4,'Baseline NFPC'!$D$10:$W$10,0))</f>
        <v>4.3955153190689318</v>
      </c>
      <c r="U45" s="332">
        <f ca="1">INDEX(OFFSET('Baseline NFPC'!$D$1:$W$1,$D45-1,0),MATCH(U$4,'Baseline NFPC'!$D$10:$W$10,0))</f>
        <v>4.6717782229494453</v>
      </c>
      <c r="V45" s="332">
        <f ca="1">INDEX(OFFSET('Baseline NFPC'!$D$1:$W$1,$D45-1,0),MATCH(V$4,'Baseline NFPC'!$D$10:$W$10,0))</f>
        <v>4.9537169336583373</v>
      </c>
      <c r="W45" s="332">
        <f ca="1">INDEX(OFFSET('Baseline NFPC'!$D$1:$W$1,$D45-1,0),MATCH(W$4,'Baseline NFPC'!$D$10:$W$10,0))</f>
        <v>5.2414768287292741</v>
      </c>
      <c r="X45" s="332">
        <f ca="1">INDEX(OFFSET('Baseline NFPC'!$D$1:$W$1,$D45-1,0),MATCH(X$4,'Baseline NFPC'!$D$10:$W$10,0))</f>
        <v>5.535707451506485</v>
      </c>
      <c r="Y45" s="271"/>
    </row>
    <row r="46" spans="1:25" x14ac:dyDescent="0.2">
      <c r="A46" s="271"/>
      <c r="B46" s="339">
        <v>6</v>
      </c>
      <c r="C46" s="346" t="s">
        <v>94</v>
      </c>
      <c r="D46" s="344">
        <v>36</v>
      </c>
      <c r="E46" s="345" t="s">
        <v>227</v>
      </c>
      <c r="F46" s="332">
        <f ca="1">INDEX(OFFSET('Baseline NFPC'!$D$1:$W$1,$D46-1,0),MATCH(F$4,'Baseline NFPC'!$D$10:$W$10,0))</f>
        <v>3.65</v>
      </c>
      <c r="G46" s="332">
        <f ca="1">INDEX(OFFSET('Baseline NFPC'!$D$1:$W$1,$D46-1,0),MATCH(G$4,'Baseline NFPC'!$D$10:$W$10,0))</f>
        <v>3.6707719999999999</v>
      </c>
      <c r="H46" s="332">
        <f ca="1">INDEX(OFFSET('Baseline NFPC'!$D$1:$W$1,$D46-1,0),MATCH(H$4,'Baseline NFPC'!$D$10:$W$10,0))</f>
        <v>3.780141</v>
      </c>
      <c r="I46" s="332">
        <f ca="1">INDEX(OFFSET('Baseline NFPC'!$D$1:$W$1,$D46-1,0),MATCH(I$4,'Baseline NFPC'!$D$10:$W$10,0))</f>
        <v>3.8293008749999999</v>
      </c>
      <c r="J46" s="332">
        <f ca="1">INDEX(OFFSET('Baseline NFPC'!$D$1:$W$1,$D46-1,0),MATCH(J$4,'Baseline NFPC'!$D$10:$W$10,0))</f>
        <v>3.8784607499999999</v>
      </c>
      <c r="K46" s="332">
        <f ca="1">INDEX(OFFSET('Baseline NFPC'!$D$1:$W$1,$D46-1,0),MATCH(K$4,'Baseline NFPC'!$D$10:$W$10,0))</f>
        <v>3.9276206249999999</v>
      </c>
      <c r="L46" s="332">
        <f ca="1">INDEX(OFFSET('Baseline NFPC'!$D$1:$W$1,$D46-1,0),MATCH(L$4,'Baseline NFPC'!$D$10:$W$10,0))</f>
        <v>3.9767804999999998</v>
      </c>
      <c r="M46" s="332">
        <f ca="1">INDEX(OFFSET('Baseline NFPC'!$D$1:$W$1,$D46-1,0),MATCH(M$4,'Baseline NFPC'!$D$10:$W$10,0))</f>
        <v>4.0259403750000002</v>
      </c>
      <c r="N46" s="332">
        <f ca="1">INDEX(OFFSET('Baseline NFPC'!$D$1:$W$1,$D46-1,0),MATCH(N$4,'Baseline NFPC'!$D$10:$W$10,0))</f>
        <v>4.0751002500000002</v>
      </c>
      <c r="O46" s="332">
        <f ca="1">INDEX(OFFSET('Baseline NFPC'!$D$1:$W$1,$D46-1,0),MATCH(O$4,'Baseline NFPC'!$D$10:$W$10,0))</f>
        <v>4.1242601250000002</v>
      </c>
      <c r="P46" s="332">
        <f ca="1">INDEX(OFFSET('Baseline NFPC'!$D$1:$W$1,$D46-1,0),MATCH(P$4,'Baseline NFPC'!$D$10:$W$10,0))</f>
        <v>4.1734200000000001</v>
      </c>
      <c r="Q46" s="332">
        <f ca="1">INDEX(OFFSET('Baseline NFPC'!$D$1:$W$1,$D46-1,0),MATCH(Q$4,'Baseline NFPC'!$D$10:$W$10,0))</f>
        <v>4.1647490000000005</v>
      </c>
      <c r="R46" s="332">
        <f ca="1">INDEX(OFFSET('Baseline NFPC'!$D$1:$W$1,$D46-1,0),MATCH(R$4,'Baseline NFPC'!$D$10:$W$10,0))</f>
        <v>4.1560779999999999</v>
      </c>
      <c r="S46" s="332">
        <f ca="1">INDEX(OFFSET('Baseline NFPC'!$D$1:$W$1,$D46-1,0),MATCH(S$4,'Baseline NFPC'!$D$10:$W$10,0))</f>
        <v>4.1474070000000003</v>
      </c>
      <c r="T46" s="332">
        <f ca="1">INDEX(OFFSET('Baseline NFPC'!$D$1:$W$1,$D46-1,0),MATCH(T$4,'Baseline NFPC'!$D$10:$W$10,0))</f>
        <v>4.1387359999999997</v>
      </c>
      <c r="U46" s="332">
        <f ca="1">INDEX(OFFSET('Baseline NFPC'!$D$1:$W$1,$D46-1,0),MATCH(U$4,'Baseline NFPC'!$D$10:$W$10,0))</f>
        <v>4.1300650000000001</v>
      </c>
      <c r="V46" s="332">
        <f ca="1">INDEX(OFFSET('Baseline NFPC'!$D$1:$W$1,$D46-1,0),MATCH(V$4,'Baseline NFPC'!$D$10:$W$10,0))</f>
        <v>4.1213940000000004</v>
      </c>
      <c r="W46" s="332">
        <f ca="1">INDEX(OFFSET('Baseline NFPC'!$D$1:$W$1,$D46-1,0),MATCH(W$4,'Baseline NFPC'!$D$10:$W$10,0))</f>
        <v>4.1127229999999999</v>
      </c>
      <c r="X46" s="332">
        <f ca="1">INDEX(OFFSET('Baseline NFPC'!$D$1:$W$1,$D46-1,0),MATCH(X$4,'Baseline NFPC'!$D$10:$W$10,0))</f>
        <v>4.1040520000000003</v>
      </c>
      <c r="Y46" s="271"/>
    </row>
    <row r="47" spans="1:25" x14ac:dyDescent="0.2">
      <c r="A47" s="271"/>
      <c r="B47" s="339">
        <v>7</v>
      </c>
      <c r="C47" s="346" t="s">
        <v>95</v>
      </c>
      <c r="D47" s="344">
        <v>37</v>
      </c>
      <c r="E47" s="345" t="s">
        <v>227</v>
      </c>
      <c r="F47" s="332">
        <f ca="1">INDEX(OFFSET('Baseline NFPC'!$D$1:$W$1,$D47-1,0),MATCH(F$4,'Baseline NFPC'!$D$10:$W$10,0))</f>
        <v>3.43</v>
      </c>
      <c r="G47" s="332">
        <f ca="1">INDEX(OFFSET('Baseline NFPC'!$D$1:$W$1,$D47-1,0),MATCH(G$4,'Baseline NFPC'!$D$10:$W$10,0))</f>
        <v>3.5642079999999998</v>
      </c>
      <c r="H47" s="332">
        <f ca="1">INDEX(OFFSET('Baseline NFPC'!$D$1:$W$1,$D47-1,0),MATCH(H$4,'Baseline NFPC'!$D$10:$W$10,0))</f>
        <v>2.8163749999999999</v>
      </c>
      <c r="I47" s="332">
        <f ca="1">INDEX(OFFSET('Baseline NFPC'!$D$1:$W$1,$D47-1,0),MATCH(I$4,'Baseline NFPC'!$D$10:$W$10,0))</f>
        <v>2.8050893749999997</v>
      </c>
      <c r="J47" s="332">
        <f ca="1">INDEX(OFFSET('Baseline NFPC'!$D$1:$W$1,$D47-1,0),MATCH(J$4,'Baseline NFPC'!$D$10:$W$10,0))</f>
        <v>2.7938037499999995</v>
      </c>
      <c r="K47" s="332">
        <f ca="1">INDEX(OFFSET('Baseline NFPC'!$D$1:$W$1,$D47-1,0),MATCH(K$4,'Baseline NFPC'!$D$10:$W$10,0))</f>
        <v>2.7825181249999993</v>
      </c>
      <c r="L47" s="332">
        <f ca="1">INDEX(OFFSET('Baseline NFPC'!$D$1:$W$1,$D47-1,0),MATCH(L$4,'Baseline NFPC'!$D$10:$W$10,0))</f>
        <v>2.7712324999999991</v>
      </c>
      <c r="M47" s="332">
        <f ca="1">INDEX(OFFSET('Baseline NFPC'!$D$1:$W$1,$D47-1,0),MATCH(M$4,'Baseline NFPC'!$D$10:$W$10,0))</f>
        <v>2.7599468749999989</v>
      </c>
      <c r="N47" s="332">
        <f ca="1">INDEX(OFFSET('Baseline NFPC'!$D$1:$W$1,$D47-1,0),MATCH(N$4,'Baseline NFPC'!$D$10:$W$10,0))</f>
        <v>2.7486612499999987</v>
      </c>
      <c r="O47" s="332">
        <f ca="1">INDEX(OFFSET('Baseline NFPC'!$D$1:$W$1,$D47-1,0),MATCH(O$4,'Baseline NFPC'!$D$10:$W$10,0))</f>
        <v>2.7373756249999985</v>
      </c>
      <c r="P47" s="332">
        <f ca="1">INDEX(OFFSET('Baseline NFPC'!$D$1:$W$1,$D47-1,0),MATCH(P$4,'Baseline NFPC'!$D$10:$W$10,0))</f>
        <v>2.7260900000000001</v>
      </c>
      <c r="Q47" s="332">
        <f ca="1">INDEX(OFFSET('Baseline NFPC'!$D$1:$W$1,$D47-1,0),MATCH(Q$4,'Baseline NFPC'!$D$10:$W$10,0))</f>
        <v>2.6897855000000002</v>
      </c>
      <c r="R47" s="332">
        <f ca="1">INDEX(OFFSET('Baseline NFPC'!$D$1:$W$1,$D47-1,0),MATCH(R$4,'Baseline NFPC'!$D$10:$W$10,0))</f>
        <v>2.6534810000000002</v>
      </c>
      <c r="S47" s="332">
        <f ca="1">INDEX(OFFSET('Baseline NFPC'!$D$1:$W$1,$D47-1,0),MATCH(S$4,'Baseline NFPC'!$D$10:$W$10,0))</f>
        <v>2.6171765000000002</v>
      </c>
      <c r="T47" s="332">
        <f ca="1">INDEX(OFFSET('Baseline NFPC'!$D$1:$W$1,$D47-1,0),MATCH(T$4,'Baseline NFPC'!$D$10:$W$10,0))</f>
        <v>2.5808720000000003</v>
      </c>
      <c r="U47" s="332">
        <f ca="1">INDEX(OFFSET('Baseline NFPC'!$D$1:$W$1,$D47-1,0),MATCH(U$4,'Baseline NFPC'!$D$10:$W$10,0))</f>
        <v>2.5445675000000003</v>
      </c>
      <c r="V47" s="332">
        <f ca="1">INDEX(OFFSET('Baseline NFPC'!$D$1:$W$1,$D47-1,0),MATCH(V$4,'Baseline NFPC'!$D$10:$W$10,0))</f>
        <v>2.5082629999999999</v>
      </c>
      <c r="W47" s="332">
        <f ca="1">INDEX(OFFSET('Baseline NFPC'!$D$1:$W$1,$D47-1,0),MATCH(W$4,'Baseline NFPC'!$D$10:$W$10,0))</f>
        <v>2.4719584999999999</v>
      </c>
      <c r="X47" s="332">
        <f ca="1">INDEX(OFFSET('Baseline NFPC'!$D$1:$W$1,$D47-1,0),MATCH(X$4,'Baseline NFPC'!$D$10:$W$10,0))</f>
        <v>2.435654</v>
      </c>
      <c r="Y47" s="271"/>
    </row>
    <row r="48" spans="1:25" x14ac:dyDescent="0.2">
      <c r="A48" s="271"/>
      <c r="B48" s="339">
        <v>8</v>
      </c>
      <c r="C48" s="343" t="s">
        <v>228</v>
      </c>
      <c r="D48" s="344">
        <v>35</v>
      </c>
      <c r="E48" s="345" t="s">
        <v>227</v>
      </c>
      <c r="F48" s="332">
        <f ca="1">INDEX(OFFSET('Baseline NFPC'!$D$1:$W$1,$D48-1,0),MATCH(F$4,'Baseline NFPC'!$D$10:$W$10,0))</f>
        <v>2.2416550000000002</v>
      </c>
      <c r="G48" s="332">
        <f ca="1">INDEX(OFFSET('Baseline NFPC'!$D$1:$W$1,$D48-1,0),MATCH(G$4,'Baseline NFPC'!$D$10:$W$10,0))</f>
        <v>2.5392969999999999</v>
      </c>
      <c r="H48" s="332">
        <f ca="1">INDEX(OFFSET('Baseline NFPC'!$D$1:$W$1,$D48-1,0),MATCH(H$4,'Baseline NFPC'!$D$10:$W$10,0))</f>
        <v>2.7068880000000002</v>
      </c>
      <c r="I48" s="332">
        <f ca="1">INDEX(OFFSET('Baseline NFPC'!$D$1:$W$1,$D48-1,0),MATCH(I$4,'Baseline NFPC'!$D$10:$W$10,0))</f>
        <v>2.8787337358376499</v>
      </c>
      <c r="J48" s="332">
        <f ca="1">INDEX(OFFSET('Baseline NFPC'!$D$1:$W$1,$D48-1,0),MATCH(J$4,'Baseline NFPC'!$D$10:$W$10,0))</f>
        <v>3.0367126720553643</v>
      </c>
      <c r="K48" s="332">
        <f ca="1">INDEX(OFFSET('Baseline NFPC'!$D$1:$W$1,$D48-1,0),MATCH(K$4,'Baseline NFPC'!$D$10:$W$10,0))</f>
        <v>3.1764247194228123</v>
      </c>
      <c r="L48" s="332">
        <f ca="1">INDEX(OFFSET('Baseline NFPC'!$D$1:$W$1,$D48-1,0),MATCH(L$4,'Baseline NFPC'!$D$10:$W$10,0))</f>
        <v>3.2993787030280424</v>
      </c>
      <c r="M48" s="332">
        <f ca="1">INDEX(OFFSET('Baseline NFPC'!$D$1:$W$1,$D48-1,0),MATCH(M$4,'Baseline NFPC'!$D$10:$W$10,0))</f>
        <v>3.4079243546978506</v>
      </c>
      <c r="N48" s="332">
        <f ca="1">INDEX(OFFSET('Baseline NFPC'!$D$1:$W$1,$D48-1,0),MATCH(N$4,'Baseline NFPC'!$D$10:$W$10,0))</f>
        <v>3.5046143323237393</v>
      </c>
      <c r="O48" s="332">
        <f ca="1">INDEX(OFFSET('Baseline NFPC'!$D$1:$W$1,$D48-1,0),MATCH(O$4,'Baseline NFPC'!$D$10:$W$10,0))</f>
        <v>3.5918584633797708</v>
      </c>
      <c r="P48" s="332">
        <f ca="1">INDEX(OFFSET('Baseline NFPC'!$D$1:$W$1,$D48-1,0),MATCH(P$4,'Baseline NFPC'!$D$10:$W$10,0))</f>
        <v>3.6713583741134883</v>
      </c>
      <c r="Q48" s="332">
        <f ca="1">INDEX(OFFSET('Baseline NFPC'!$D$1:$W$1,$D48-1,0),MATCH(Q$4,'Baseline NFPC'!$D$10:$W$10,0))</f>
        <v>3.7356958288166959</v>
      </c>
      <c r="R48" s="332">
        <f ca="1">INDEX(OFFSET('Baseline NFPC'!$D$1:$W$1,$D48-1,0),MATCH(R$4,'Baseline NFPC'!$D$10:$W$10,0))</f>
        <v>3.7888527749488103</v>
      </c>
      <c r="S48" s="332">
        <f ca="1">INDEX(OFFSET('Baseline NFPC'!$D$1:$W$1,$D48-1,0),MATCH(S$4,'Baseline NFPC'!$D$10:$W$10,0))</f>
        <v>3.832630393214548</v>
      </c>
      <c r="T48" s="332">
        <f ca="1">INDEX(OFFSET('Baseline NFPC'!$D$1:$W$1,$D48-1,0),MATCH(T$4,'Baseline NFPC'!$D$10:$W$10,0))</f>
        <v>3.8685228415573074</v>
      </c>
      <c r="U48" s="332">
        <f ca="1">INDEX(OFFSET('Baseline NFPC'!$D$1:$W$1,$D48-1,0),MATCH(U$4,'Baseline NFPC'!$D$10:$W$10,0))</f>
        <v>3.8978080779544011</v>
      </c>
      <c r="V48" s="332">
        <f ca="1">INDEX(OFFSET('Baseline NFPC'!$D$1:$W$1,$D48-1,0),MATCH(V$4,'Baseline NFPC'!$D$10:$W$10,0))</f>
        <v>3.9215314846612181</v>
      </c>
      <c r="W48" s="332">
        <f ca="1">INDEX(OFFSET('Baseline NFPC'!$D$1:$W$1,$D48-1,0),MATCH(W$4,'Baseline NFPC'!$D$10:$W$10,0))</f>
        <v>3.9405415483505157</v>
      </c>
      <c r="X48" s="332">
        <f ca="1">INDEX(OFFSET('Baseline NFPC'!$D$1:$W$1,$D48-1,0),MATCH(X$4,'Baseline NFPC'!$D$10:$W$10,0))</f>
        <v>3.9556072684726096</v>
      </c>
      <c r="Y48" s="271"/>
    </row>
    <row r="49" spans="1:25" x14ac:dyDescent="0.2">
      <c r="A49" s="271"/>
      <c r="B49" s="339">
        <v>9</v>
      </c>
      <c r="C49" s="347" t="s">
        <v>62</v>
      </c>
      <c r="D49" s="344">
        <v>26</v>
      </c>
      <c r="E49" s="345" t="s">
        <v>230</v>
      </c>
      <c r="F49" s="332">
        <f ca="1">(INDEX(OFFSET('Baseline NFPC'!$D$1:$W$1,$D49-1,0),MATCH(F$4,'Baseline NFPC'!$D$10:$W$10,0))/INDEX(OFFSET('Baseline NFPC'!$D$1:$W$1,$D49-1,0),MATCH(E$4,'Baseline NFPC'!$D$10:$W$10,0))-1)*100</f>
        <v>2.7728530000000084</v>
      </c>
      <c r="G49" s="332">
        <f ca="1">(INDEX(OFFSET('Baseline NFPC'!$D$1:$W$1,$D49-1,0),MATCH(G$4,'Baseline NFPC'!$D$10:$W$10,0))/INDEX(OFFSET('Baseline NFPC'!$D$1:$W$1,$D49-1,0),MATCH(F$4,'Baseline NFPC'!$D$10:$W$10,0))-1)*100</f>
        <v>2.3316090000000012</v>
      </c>
      <c r="H49" s="332">
        <f ca="1">(INDEX(OFFSET('Baseline NFPC'!$D$1:$W$1,$D49-1,0),MATCH(H$4,'Baseline NFPC'!$D$10:$W$10,0))/INDEX(OFFSET('Baseline NFPC'!$D$1:$W$1,$D49-1,0),MATCH(G$4,'Baseline NFPC'!$D$10:$W$10,0))-1)*100</f>
        <v>2.4127309999999902</v>
      </c>
      <c r="I49" s="332">
        <f ca="1">(INDEX(OFFSET('Baseline NFPC'!$D$1:$W$1,$D49-1,0),MATCH(I$4,'Baseline NFPC'!$D$10:$W$10,0))/INDEX(OFFSET('Baseline NFPC'!$D$1:$W$1,$D49-1,0),MATCH(H$4,'Baseline NFPC'!$D$10:$W$10,0))-1)*100</f>
        <v>1.6873010000000077</v>
      </c>
      <c r="J49" s="332">
        <f ca="1">(INDEX(OFFSET('Baseline NFPC'!$D$1:$W$1,$D49-1,0),MATCH(J$4,'Baseline NFPC'!$D$10:$W$10,0))/INDEX(OFFSET('Baseline NFPC'!$D$1:$W$1,$D49-1,0),MATCH(I$4,'Baseline NFPC'!$D$10:$W$10,0))-1)*100</f>
        <v>1.4297980000000043</v>
      </c>
      <c r="K49" s="332">
        <f ca="1">(INDEX(OFFSET('Baseline NFPC'!$D$1:$W$1,$D49-1,0),MATCH(K$4,'Baseline NFPC'!$D$10:$W$10,0))/INDEX(OFFSET('Baseline NFPC'!$D$1:$W$1,$D49-1,0),MATCH(J$4,'Baseline NFPC'!$D$10:$W$10,0))-1)*100</f>
        <v>1.4035699999999984</v>
      </c>
      <c r="L49" s="332">
        <f ca="1">(INDEX(OFFSET('Baseline NFPC'!$D$1:$W$1,$D49-1,0),MATCH(L$4,'Baseline NFPC'!$D$10:$W$10,0))/INDEX(OFFSET('Baseline NFPC'!$D$1:$W$1,$D49-1,0),MATCH(K$4,'Baseline NFPC'!$D$10:$W$10,0))-1)*100</f>
        <v>1.4587399999999917</v>
      </c>
      <c r="M49" s="332">
        <f ca="1">(INDEX(OFFSET('Baseline NFPC'!$D$1:$W$1,$D49-1,0),MATCH(M$4,'Baseline NFPC'!$D$10:$W$10,0))/INDEX(OFFSET('Baseline NFPC'!$D$1:$W$1,$D49-1,0),MATCH(L$4,'Baseline NFPC'!$D$10:$W$10,0))-1)*100</f>
        <v>1.5023620000000015</v>
      </c>
      <c r="N49" s="332">
        <f ca="1">(INDEX(OFFSET('Baseline NFPC'!$D$1:$W$1,$D49-1,0),MATCH(N$4,'Baseline NFPC'!$D$10:$W$10,0))/INDEX(OFFSET('Baseline NFPC'!$D$1:$W$1,$D49-1,0),MATCH(M$4,'Baseline NFPC'!$D$10:$W$10,0))-1)*100</f>
        <v>1.5454080000000037</v>
      </c>
      <c r="O49" s="332">
        <f ca="1">(INDEX(OFFSET('Baseline NFPC'!$D$1:$W$1,$D49-1,0),MATCH(O$4,'Baseline NFPC'!$D$10:$W$10,0))/INDEX(OFFSET('Baseline NFPC'!$D$1:$W$1,$D49-1,0),MATCH(N$4,'Baseline NFPC'!$D$10:$W$10,0))-1)*100</f>
        <v>1.5715970000000024</v>
      </c>
      <c r="P49" s="332">
        <f ca="1">(INDEX(OFFSET('Baseline NFPC'!$D$1:$W$1,$D49-1,0),MATCH(P$4,'Baseline NFPC'!$D$10:$W$10,0))/INDEX(OFFSET('Baseline NFPC'!$D$1:$W$1,$D49-1,0),MATCH(O$4,'Baseline NFPC'!$D$10:$W$10,0))-1)*100</f>
        <v>1.5733570000000086</v>
      </c>
      <c r="Q49" s="332">
        <f ca="1">(INDEX(OFFSET('Baseline NFPC'!$D$1:$W$1,$D49-1,0),MATCH(Q$4,'Baseline NFPC'!$D$10:$W$10,0))/INDEX(OFFSET('Baseline NFPC'!$D$1:$W$1,$D49-1,0),MATCH(P$4,'Baseline NFPC'!$D$10:$W$10,0))-1)*100</f>
        <v>1.6041799999999995</v>
      </c>
      <c r="R49" s="332">
        <f ca="1">(INDEX(OFFSET('Baseline NFPC'!$D$1:$W$1,$D49-1,0),MATCH(R$4,'Baseline NFPC'!$D$10:$W$10,0))/INDEX(OFFSET('Baseline NFPC'!$D$1:$W$1,$D49-1,0),MATCH(Q$4,'Baseline NFPC'!$D$10:$W$10,0))-1)*100</f>
        <v>1.6350050000000005</v>
      </c>
      <c r="S49" s="332">
        <f ca="1">(INDEX(OFFSET('Baseline NFPC'!$D$1:$W$1,$D49-1,0),MATCH(S$4,'Baseline NFPC'!$D$10:$W$10,0))/INDEX(OFFSET('Baseline NFPC'!$D$1:$W$1,$D49-1,0),MATCH(R$4,'Baseline NFPC'!$D$10:$W$10,0))-1)*100</f>
        <v>1.6658279999999914</v>
      </c>
      <c r="T49" s="332">
        <f ca="1">(INDEX(OFFSET('Baseline NFPC'!$D$1:$W$1,$D49-1,0),MATCH(T$4,'Baseline NFPC'!$D$10:$W$10,0))/INDEX(OFFSET('Baseline NFPC'!$D$1:$W$1,$D49-1,0),MATCH(S$4,'Baseline NFPC'!$D$10:$W$10,0))-1)*100</f>
        <v>1.6715910000000056</v>
      </c>
      <c r="U49" s="332">
        <f ca="1">(INDEX(OFFSET('Baseline NFPC'!$D$1:$W$1,$D49-1,0),MATCH(U$4,'Baseline NFPC'!$D$10:$W$10,0))/INDEX(OFFSET('Baseline NFPC'!$D$1:$W$1,$D49-1,0),MATCH(T$4,'Baseline NFPC'!$D$10:$W$10,0))-1)*100</f>
        <v>1.6133460000000044</v>
      </c>
      <c r="V49" s="332">
        <f ca="1">(INDEX(OFFSET('Baseline NFPC'!$D$1:$W$1,$D49-1,0),MATCH(V$4,'Baseline NFPC'!$D$10:$W$10,0))/INDEX(OFFSET('Baseline NFPC'!$D$1:$W$1,$D49-1,0),MATCH(U$4,'Baseline NFPC'!$D$10:$W$10,0))-1)*100</f>
        <v>1.5618810000000094</v>
      </c>
      <c r="W49" s="332">
        <f ca="1">(INDEX(OFFSET('Baseline NFPC'!$D$1:$W$1,$D49-1,0),MATCH(W$4,'Baseline NFPC'!$D$10:$W$10,0))/INDEX(OFFSET('Baseline NFPC'!$D$1:$W$1,$D49-1,0),MATCH(V$4,'Baseline NFPC'!$D$10:$W$10,0))-1)*100</f>
        <v>1.5050819999999909</v>
      </c>
      <c r="X49" s="332">
        <f ca="1">(INDEX(OFFSET('Baseline NFPC'!$D$1:$W$1,$D49-1,0),MATCH(X$4,'Baseline NFPC'!$D$10:$W$10,0))/INDEX(OFFSET('Baseline NFPC'!$D$1:$W$1,$D49-1,0),MATCH(W$4,'Baseline NFPC'!$D$10:$W$10,0))-1)*100</f>
        <v>1.4836899999999931</v>
      </c>
      <c r="Y49" s="271"/>
    </row>
    <row r="50" spans="1:25" x14ac:dyDescent="0.2">
      <c r="A50" s="271"/>
      <c r="B50" s="339">
        <v>10</v>
      </c>
      <c r="C50" s="335" t="s">
        <v>231</v>
      </c>
      <c r="D50" s="344">
        <v>23</v>
      </c>
      <c r="E50" s="345" t="s">
        <v>230</v>
      </c>
      <c r="F50" s="332">
        <f ca="1">INDEX(OFFSET('Baseline NFPC'!$D$1:$W$1,$D50-1,0),MATCH(F$4,'Baseline NFPC'!$D$10:$W$10,0))</f>
        <v>1.596454</v>
      </c>
      <c r="G50" s="332">
        <f ca="1">INDEX(OFFSET('Baseline NFPC'!$D$1:$W$1,$D50-1,0),MATCH(G$4,'Baseline NFPC'!$D$10:$W$10,0))</f>
        <v>2.227846</v>
      </c>
      <c r="H50" s="332">
        <f ca="1">INDEX(OFFSET('Baseline NFPC'!$D$1:$W$1,$D50-1,0),MATCH(H$4,'Baseline NFPC'!$D$10:$W$10,0))</f>
        <v>3.220262</v>
      </c>
      <c r="I50" s="332">
        <f ca="1">INDEX(OFFSET('Baseline NFPC'!$D$1:$W$1,$D50-1,0),MATCH(I$4,'Baseline NFPC'!$D$10:$W$10,0))</f>
        <v>1.6545009999999971</v>
      </c>
      <c r="J50" s="332">
        <f ca="1">INDEX(OFFSET('Baseline NFPC'!$D$1:$W$1,$D50-1,0),MATCH(J$4,'Baseline NFPC'!$D$10:$W$10,0))</f>
        <v>1.386153999999995</v>
      </c>
      <c r="K50" s="332">
        <f ca="1">INDEX(OFFSET('Baseline NFPC'!$D$1:$W$1,$D50-1,0),MATCH(K$4,'Baseline NFPC'!$D$10:$W$10,0))</f>
        <v>1.3817490000000099</v>
      </c>
      <c r="L50" s="332">
        <f ca="1">INDEX(OFFSET('Baseline NFPC'!$D$1:$W$1,$D50-1,0),MATCH(L$4,'Baseline NFPC'!$D$10:$W$10,0))</f>
        <v>1.4587389999999978</v>
      </c>
      <c r="M50" s="332">
        <f ca="1">INDEX(OFFSET('Baseline NFPC'!$D$1:$W$1,$D50-1,0),MATCH(M$4,'Baseline NFPC'!$D$10:$W$10,0))</f>
        <v>1.5023659999999994</v>
      </c>
      <c r="N50" s="332">
        <f ca="1">INDEX(OFFSET('Baseline NFPC'!$D$1:$W$1,$D50-1,0),MATCH(N$4,'Baseline NFPC'!$D$10:$W$10,0))</f>
        <v>1.5454099999999915</v>
      </c>
      <c r="O50" s="332">
        <f ca="1">INDEX(OFFSET('Baseline NFPC'!$D$1:$W$1,$D50-1,0),MATCH(O$4,'Baseline NFPC'!$D$10:$W$10,0))</f>
        <v>1.5715989999999902</v>
      </c>
      <c r="P50" s="332">
        <f ca="1">INDEX(OFFSET('Baseline NFPC'!$D$1:$W$1,$D50-1,0),MATCH(P$4,'Baseline NFPC'!$D$10:$W$10,0))</f>
        <v>1.5733559999999924</v>
      </c>
      <c r="Q50" s="332">
        <f ca="1">INDEX(OFFSET('Baseline NFPC'!$D$1:$W$1,$D50-1,0),MATCH(Q$4,'Baseline NFPC'!$D$10:$W$10,0))</f>
        <v>1.6041799999999995</v>
      </c>
      <c r="R50" s="332">
        <f ca="1">INDEX(OFFSET('Baseline NFPC'!$D$1:$W$1,$D50-1,0),MATCH(R$4,'Baseline NFPC'!$D$10:$W$10,0))</f>
        <v>1.6350040000000066</v>
      </c>
      <c r="S50" s="332">
        <f ca="1">INDEX(OFFSET('Baseline NFPC'!$D$1:$W$1,$D50-1,0),MATCH(S$4,'Baseline NFPC'!$D$10:$W$10,0))</f>
        <v>1.6658250000000097</v>
      </c>
      <c r="T50" s="332">
        <f ca="1">INDEX(OFFSET('Baseline NFPC'!$D$1:$W$1,$D50-1,0),MATCH(T$4,'Baseline NFPC'!$D$10:$W$10,0))</f>
        <v>1.6715929999999934</v>
      </c>
      <c r="U50" s="332">
        <f ca="1">INDEX(OFFSET('Baseline NFPC'!$D$1:$W$1,$D50-1,0),MATCH(U$4,'Baseline NFPC'!$D$10:$W$10,0))</f>
        <v>1.6133490000000084</v>
      </c>
      <c r="V50" s="332">
        <f ca="1">INDEX(OFFSET('Baseline NFPC'!$D$1:$W$1,$D50-1,0),MATCH(V$4,'Baseline NFPC'!$D$10:$W$10,0))</f>
        <v>1.5618829999999972</v>
      </c>
      <c r="W50" s="332">
        <f ca="1">INDEX(OFFSET('Baseline NFPC'!$D$1:$W$1,$D50-1,0),MATCH(W$4,'Baseline NFPC'!$D$10:$W$10,0))</f>
        <v>1.5050830000000071</v>
      </c>
      <c r="X50" s="332">
        <f ca="1">INDEX(OFFSET('Baseline NFPC'!$D$1:$W$1,$D50-1,0),MATCH(X$4,'Baseline NFPC'!$D$10:$W$10,0))</f>
        <v>1.4836869999999891</v>
      </c>
      <c r="Y50" s="271"/>
    </row>
    <row r="51" spans="1:25" x14ac:dyDescent="0.2">
      <c r="A51" s="271"/>
      <c r="B51" s="339">
        <v>11</v>
      </c>
      <c r="C51" s="348" t="s">
        <v>232</v>
      </c>
      <c r="D51" s="344">
        <v>41</v>
      </c>
      <c r="E51" s="345" t="s">
        <v>230</v>
      </c>
      <c r="F51" s="332">
        <f ca="1">INDEX(OFFSET('Baseline NFPC'!$D$1:$W$1,$D51-1,0),MATCH(F$4,'Baseline NFPC'!$D$10:$W$10,0))</f>
        <v>10.131869999999999</v>
      </c>
      <c r="G51" s="332">
        <f ca="1">INDEX(OFFSET('Baseline NFPC'!$D$1:$W$1,$D51-1,0),MATCH(G$4,'Baseline NFPC'!$D$10:$W$10,0))</f>
        <v>4.5784279999999997</v>
      </c>
      <c r="H51" s="332">
        <f ca="1">INDEX(OFFSET('Baseline NFPC'!$D$1:$W$1,$D51-1,0),MATCH(H$4,'Baseline NFPC'!$D$10:$W$10,0))</f>
        <v>3.1704729999999999</v>
      </c>
      <c r="I51" s="332">
        <f ca="1">INDEX(OFFSET('Baseline NFPC'!$D$1:$W$1,$D51-1,0),MATCH(I$4,'Baseline NFPC'!$D$10:$W$10,0))</f>
        <v>3.0929138749999998</v>
      </c>
      <c r="J51" s="332">
        <f ca="1">INDEX(OFFSET('Baseline NFPC'!$D$1:$W$1,$D51-1,0),MATCH(J$4,'Baseline NFPC'!$D$10:$W$10,0))</f>
        <v>3.0153547499999998</v>
      </c>
      <c r="K51" s="332">
        <f ca="1">INDEX(OFFSET('Baseline NFPC'!$D$1:$W$1,$D51-1,0),MATCH(K$4,'Baseline NFPC'!$D$10:$W$10,0))</f>
        <v>2.9377956249999997</v>
      </c>
      <c r="L51" s="332">
        <f ca="1">INDEX(OFFSET('Baseline NFPC'!$D$1:$W$1,$D51-1,0),MATCH(L$4,'Baseline NFPC'!$D$10:$W$10,0))</f>
        <v>2.8602365000000001</v>
      </c>
      <c r="M51" s="332">
        <f ca="1">INDEX(OFFSET('Baseline NFPC'!$D$1:$W$1,$D51-1,0),MATCH(M$4,'Baseline NFPC'!$D$10:$W$10,0))</f>
        <v>2.782677375</v>
      </c>
      <c r="N51" s="332">
        <f ca="1">INDEX(OFFSET('Baseline NFPC'!$D$1:$W$1,$D51-1,0),MATCH(N$4,'Baseline NFPC'!$D$10:$W$10,0))</f>
        <v>2.7051182499999999</v>
      </c>
      <c r="O51" s="332">
        <f ca="1">INDEX(OFFSET('Baseline NFPC'!$D$1:$W$1,$D51-1,0),MATCH(O$4,'Baseline NFPC'!$D$10:$W$10,0))</f>
        <v>2.6275591249999999</v>
      </c>
      <c r="P51" s="332">
        <f ca="1">INDEX(OFFSET('Baseline NFPC'!$D$1:$W$1,$D51-1,0),MATCH(P$4,'Baseline NFPC'!$D$10:$W$10,0))</f>
        <v>2.5499999999999998</v>
      </c>
      <c r="Q51" s="332">
        <f ca="1">INDEX(OFFSET('Baseline NFPC'!$D$1:$W$1,$D51-1,0),MATCH(Q$4,'Baseline NFPC'!$D$10:$W$10,0))</f>
        <v>2.5225</v>
      </c>
      <c r="R51" s="332">
        <f ca="1">INDEX(OFFSET('Baseline NFPC'!$D$1:$W$1,$D51-1,0),MATCH(R$4,'Baseline NFPC'!$D$10:$W$10,0))</f>
        <v>2.4949999999999997</v>
      </c>
      <c r="S51" s="332">
        <f ca="1">INDEX(OFFSET('Baseline NFPC'!$D$1:$W$1,$D51-1,0),MATCH(S$4,'Baseline NFPC'!$D$10:$W$10,0))</f>
        <v>2.4674999999999998</v>
      </c>
      <c r="T51" s="332">
        <f ca="1">INDEX(OFFSET('Baseline NFPC'!$D$1:$W$1,$D51-1,0),MATCH(T$4,'Baseline NFPC'!$D$10:$W$10,0))</f>
        <v>2.44</v>
      </c>
      <c r="U51" s="332">
        <f ca="1">INDEX(OFFSET('Baseline NFPC'!$D$1:$W$1,$D51-1,0),MATCH(U$4,'Baseline NFPC'!$D$10:$W$10,0))</f>
        <v>2.4124999999999996</v>
      </c>
      <c r="V51" s="332">
        <f ca="1">INDEX(OFFSET('Baseline NFPC'!$D$1:$W$1,$D51-1,0),MATCH(V$4,'Baseline NFPC'!$D$10:$W$10,0))</f>
        <v>2.3849999999999998</v>
      </c>
      <c r="W51" s="332">
        <f ca="1">INDEX(OFFSET('Baseline NFPC'!$D$1:$W$1,$D51-1,0),MATCH(W$4,'Baseline NFPC'!$D$10:$W$10,0))</f>
        <v>2.3574999999999999</v>
      </c>
      <c r="X51" s="332">
        <f ca="1">INDEX(OFFSET('Baseline NFPC'!$D$1:$W$1,$D51-1,0),MATCH(X$4,'Baseline NFPC'!$D$10:$W$10,0))</f>
        <v>2.33</v>
      </c>
      <c r="Y51" s="271"/>
    </row>
    <row r="52" spans="1:25" x14ac:dyDescent="0.2">
      <c r="A52" s="271"/>
      <c r="B52" s="339">
        <v>12</v>
      </c>
      <c r="C52" s="335" t="s">
        <v>233</v>
      </c>
      <c r="D52" s="344">
        <v>32</v>
      </c>
      <c r="E52" s="345" t="s">
        <v>230</v>
      </c>
      <c r="F52" s="332">
        <f ca="1">INDEX(OFFSET('Baseline NFPC'!$D$1:$W$1,$D52-1,0),MATCH(F$4,'Baseline NFPC'!$D$10:$W$10,0))</f>
        <v>11.890074643889781</v>
      </c>
      <c r="G52" s="332">
        <f ca="1">INDEX(OFFSET('Baseline NFPC'!$D$1:$W$1,$D52-1,0),MATCH(G$4,'Baseline NFPC'!$D$10:$W$10,0))</f>
        <v>6.908274325060848</v>
      </c>
      <c r="H52" s="332">
        <f ca="1">INDEX(OFFSET('Baseline NFPC'!$D$1:$W$1,$D52-1,0),MATCH(H$4,'Baseline NFPC'!$D$10:$W$10,0))</f>
        <v>6.4928325372392681</v>
      </c>
      <c r="I52" s="332">
        <f ca="1">INDEX(OFFSET('Baseline NFPC'!$D$1:$W$1,$D52-1,0),MATCH(I$4,'Baseline NFPC'!$D$10:$W$10,0))</f>
        <v>4.7985871659909973</v>
      </c>
      <c r="J52" s="332">
        <f ca="1">INDEX(OFFSET('Baseline NFPC'!$D$1:$W$1,$D52-1,0),MATCH(J$4,'Baseline NFPC'!$D$10:$W$10,0))</f>
        <v>4.4433062104813237</v>
      </c>
      <c r="K52" s="332">
        <f ca="1">INDEX(OFFSET('Baseline NFPC'!$D$1:$W$1,$D52-1,0),MATCH(K$4,'Baseline NFPC'!$D$10:$W$10,0))</f>
        <v>4.3601375866704872</v>
      </c>
      <c r="L52" s="332">
        <f ca="1">INDEX(OFFSET('Baseline NFPC'!$D$1:$W$1,$D52-1,0),MATCH(L$4,'Baseline NFPC'!$D$10:$W$10,0))</f>
        <v>4.3606988853177375</v>
      </c>
      <c r="M52" s="332">
        <f ca="1">INDEX(OFFSET('Baseline NFPC'!$D$1:$W$1,$D52-1,0),MATCH(M$4,'Baseline NFPC'!$D$10:$W$10,0))</f>
        <v>4.3268493737716796</v>
      </c>
      <c r="N52" s="332">
        <f ca="1">INDEX(OFFSET('Baseline NFPC'!$D$1:$W$1,$D52-1,0),MATCH(N$4,'Baseline NFPC'!$D$10:$W$10,0))</f>
        <v>4.2923334179473027</v>
      </c>
      <c r="O52" s="332">
        <f ca="1">INDEX(OFFSET('Baseline NFPC'!$D$1:$W$1,$D52-1,0),MATCH(O$4,'Baseline NFPC'!$D$10:$W$10,0))</f>
        <v>4.2404528179328826</v>
      </c>
      <c r="P52" s="332">
        <f ca="1">INDEX(OFFSET('Baseline NFPC'!$D$1:$W$1,$D52-1,0),MATCH(P$4,'Baseline NFPC'!$D$10:$W$10,0))</f>
        <v>4.1634765780000027</v>
      </c>
      <c r="Q52" s="332">
        <f ca="1">INDEX(OFFSET('Baseline NFPC'!$D$1:$W$1,$D52-1,0),MATCH(Q$4,'Baseline NFPC'!$D$10:$W$10,0))</f>
        <v>4.1671454405000086</v>
      </c>
      <c r="R52" s="332">
        <f ca="1">INDEX(OFFSET('Baseline NFPC'!$D$1:$W$1,$D52-1,0),MATCH(R$4,'Baseline NFPC'!$D$10:$W$10,0))</f>
        <v>4.170797349800015</v>
      </c>
      <c r="S52" s="332">
        <f ca="1">INDEX(OFFSET('Baseline NFPC'!$D$1:$W$1,$D52-1,0),MATCH(S$4,'Baseline NFPC'!$D$10:$W$10,0))</f>
        <v>4.1744292318750098</v>
      </c>
      <c r="T52" s="332">
        <f ca="1">INDEX(OFFSET('Baseline NFPC'!$D$1:$W$1,$D52-1,0),MATCH(T$4,'Baseline NFPC'!$D$10:$W$10,0))</f>
        <v>4.1523798691999847</v>
      </c>
      <c r="U52" s="332">
        <f ca="1">INDEX(OFFSET('Baseline NFPC'!$D$1:$W$1,$D52-1,0),MATCH(U$4,'Baseline NFPC'!$D$10:$W$10,0))</f>
        <v>4.0647710446249929</v>
      </c>
      <c r="V52" s="332">
        <f ca="1">INDEX(OFFSET('Baseline NFPC'!$D$1:$W$1,$D52-1,0),MATCH(V$4,'Baseline NFPC'!$D$10:$W$10,0))</f>
        <v>3.9841339095499917</v>
      </c>
      <c r="W52" s="332">
        <f ca="1">INDEX(OFFSET('Baseline NFPC'!$D$1:$W$1,$D52-1,0),MATCH(W$4,'Baseline NFPC'!$D$10:$W$10,0))</f>
        <v>3.8980653317249869</v>
      </c>
      <c r="X52" s="332">
        <f ca="1">INDEX(OFFSET('Baseline NFPC'!$D$1:$W$1,$D52-1,0),MATCH(X$4,'Baseline NFPC'!$D$10:$W$10,0))</f>
        <v>3.8482569071000006</v>
      </c>
      <c r="Y52" s="271"/>
    </row>
    <row r="53" spans="1:25" x14ac:dyDescent="0.2">
      <c r="A53" s="271"/>
      <c r="B53" s="339">
        <v>13</v>
      </c>
      <c r="C53" s="335" t="s">
        <v>68</v>
      </c>
      <c r="D53" s="334"/>
      <c r="E53" s="345" t="s">
        <v>227</v>
      </c>
      <c r="F53" s="351">
        <f>'Input data'!$C$49</f>
        <v>0.75</v>
      </c>
      <c r="G53" s="271"/>
      <c r="H53" s="271"/>
      <c r="I53" s="271"/>
      <c r="J53" s="271"/>
      <c r="K53" s="271"/>
      <c r="L53" s="271"/>
      <c r="M53" s="271"/>
      <c r="N53" s="271"/>
      <c r="O53" s="271"/>
      <c r="P53" s="271"/>
      <c r="Q53" s="271"/>
      <c r="R53" s="271"/>
      <c r="S53" s="271"/>
      <c r="T53" s="271"/>
      <c r="U53" s="271"/>
      <c r="V53" s="271"/>
      <c r="W53" s="271"/>
      <c r="X53" s="271"/>
      <c r="Y53" s="271"/>
    </row>
    <row r="54" spans="1:25" x14ac:dyDescent="0.2">
      <c r="A54" s="271"/>
      <c r="B54" s="333"/>
      <c r="C54" s="354"/>
      <c r="D54" s="354"/>
      <c r="E54" s="354"/>
      <c r="F54" s="354"/>
      <c r="G54" s="354"/>
      <c r="H54" s="354"/>
      <c r="I54" s="354"/>
      <c r="J54" s="354"/>
      <c r="K54" s="271"/>
      <c r="L54" s="271"/>
      <c r="M54" s="271"/>
      <c r="N54" s="271"/>
      <c r="O54" s="271"/>
      <c r="P54" s="271"/>
      <c r="Q54" s="271"/>
      <c r="R54" s="271"/>
      <c r="S54" s="271"/>
      <c r="T54" s="271"/>
      <c r="U54" s="271"/>
      <c r="V54" s="271"/>
      <c r="W54" s="271"/>
      <c r="X54" s="271"/>
      <c r="Y54" s="271"/>
    </row>
    <row r="55" spans="1:25" x14ac:dyDescent="0.2">
      <c r="A55" s="271"/>
      <c r="B55" s="355"/>
      <c r="C55" s="337" t="s">
        <v>239</v>
      </c>
      <c r="D55" s="338"/>
      <c r="E55" s="338"/>
      <c r="F55" s="338"/>
      <c r="G55" s="354"/>
      <c r="H55" s="354"/>
      <c r="I55" s="354"/>
      <c r="J55" s="354"/>
      <c r="K55" s="271"/>
      <c r="L55" s="271"/>
      <c r="M55" s="271"/>
      <c r="N55" s="271"/>
      <c r="O55" s="271"/>
      <c r="P55" s="271"/>
      <c r="Q55" s="271"/>
      <c r="R55" s="271"/>
      <c r="S55" s="271"/>
      <c r="T55" s="271"/>
      <c r="U55" s="271"/>
      <c r="V55" s="271"/>
      <c r="W55" s="271"/>
      <c r="X55" s="271"/>
      <c r="Y55" s="271"/>
    </row>
    <row r="56" spans="1:25" x14ac:dyDescent="0.2">
      <c r="A56" s="271"/>
      <c r="B56" s="333"/>
      <c r="C56" s="354"/>
      <c r="D56" s="354"/>
      <c r="E56" s="354"/>
      <c r="F56" s="354"/>
      <c r="G56" s="354"/>
      <c r="H56" s="354"/>
      <c r="I56" s="354"/>
      <c r="J56" s="354"/>
      <c r="K56" s="271"/>
      <c r="L56" s="271"/>
      <c r="M56" s="271"/>
      <c r="N56" s="271"/>
      <c r="O56" s="271"/>
      <c r="P56" s="271"/>
      <c r="Q56" s="271"/>
      <c r="R56" s="271"/>
      <c r="S56" s="271"/>
      <c r="T56" s="271"/>
      <c r="U56" s="271"/>
      <c r="V56" s="271"/>
      <c r="W56" s="271"/>
      <c r="X56" s="271"/>
      <c r="Y56" s="271"/>
    </row>
    <row r="57" spans="1:25" x14ac:dyDescent="0.2">
      <c r="A57" s="271"/>
      <c r="B57" s="339"/>
      <c r="C57" s="337"/>
      <c r="D57" s="337"/>
      <c r="E57" s="342"/>
      <c r="F57" s="342">
        <f>'Input data'!$C$5-1</f>
        <v>2023</v>
      </c>
      <c r="G57" s="342">
        <f>F57+1</f>
        <v>2024</v>
      </c>
      <c r="H57" s="342">
        <f t="shared" ref="H57:X57" si="5">G57+1</f>
        <v>2025</v>
      </c>
      <c r="I57" s="342">
        <f t="shared" si="5"/>
        <v>2026</v>
      </c>
      <c r="J57" s="342">
        <f t="shared" si="5"/>
        <v>2027</v>
      </c>
      <c r="K57" s="342">
        <f t="shared" si="5"/>
        <v>2028</v>
      </c>
      <c r="L57" s="342">
        <f t="shared" si="5"/>
        <v>2029</v>
      </c>
      <c r="M57" s="342">
        <f t="shared" si="5"/>
        <v>2030</v>
      </c>
      <c r="N57" s="342">
        <f t="shared" si="5"/>
        <v>2031</v>
      </c>
      <c r="O57" s="342">
        <f t="shared" si="5"/>
        <v>2032</v>
      </c>
      <c r="P57" s="342">
        <f t="shared" si="5"/>
        <v>2033</v>
      </c>
      <c r="Q57" s="342">
        <f t="shared" si="5"/>
        <v>2034</v>
      </c>
      <c r="R57" s="342">
        <f t="shared" si="5"/>
        <v>2035</v>
      </c>
      <c r="S57" s="342">
        <f t="shared" si="5"/>
        <v>2036</v>
      </c>
      <c r="T57" s="342">
        <f t="shared" si="5"/>
        <v>2037</v>
      </c>
      <c r="U57" s="342">
        <f t="shared" si="5"/>
        <v>2038</v>
      </c>
      <c r="V57" s="342">
        <f t="shared" si="5"/>
        <v>2039</v>
      </c>
      <c r="W57" s="342">
        <f t="shared" si="5"/>
        <v>2040</v>
      </c>
      <c r="X57" s="342">
        <f t="shared" si="5"/>
        <v>2041</v>
      </c>
      <c r="Y57" s="271"/>
    </row>
    <row r="58" spans="1:25" x14ac:dyDescent="0.2">
      <c r="A58" s="271"/>
      <c r="B58" s="339">
        <v>1</v>
      </c>
      <c r="C58" s="343" t="s">
        <v>220</v>
      </c>
      <c r="D58" s="344">
        <v>100</v>
      </c>
      <c r="E58" s="345" t="s">
        <v>221</v>
      </c>
      <c r="F58" s="332">
        <f ca="1">INDEX(OFFSET('Adjustment scenario'!$D$1:$W$1,$D58-1,0),MATCH(F$4,'Adjustment scenario'!$D$10:$W$10,0))</f>
        <v>56.044964616339094</v>
      </c>
      <c r="G58" s="332">
        <f ca="1">INDEX(OFFSET('Adjustment scenario'!$D$1:$W$1,$D58-1,0),MATCH(G$4,'Adjustment scenario'!$D$10:$W$10,0))</f>
        <v>58.478930381041359</v>
      </c>
      <c r="H58" s="332">
        <f ca="1">INDEX(OFFSET('Adjustment scenario'!$D$1:$W$1,$D58-1,0),MATCH(H$4,'Adjustment scenario'!$D$10:$W$10,0))</f>
        <v>59.623964733451906</v>
      </c>
      <c r="I58" s="332">
        <f ca="1">INDEX(OFFSET('Adjustment scenario'!$D$1:$W$1,$D58-1,0),MATCH(I$4,'Adjustment scenario'!$D$10:$W$10,0))</f>
        <v>61.136174386887213</v>
      </c>
      <c r="J58" s="332">
        <f ca="1">INDEX(OFFSET('Adjustment scenario'!$D$1:$W$1,$D58-1,0),MATCH(J$4,'Adjustment scenario'!$D$10:$W$10,0))</f>
        <v>61.633447791006709</v>
      </c>
      <c r="K58" s="332">
        <f ca="1">INDEX(OFFSET('Adjustment scenario'!$D$1:$W$1,$D58-1,0),MATCH(K$4,'Adjustment scenario'!$D$10:$W$10,0))</f>
        <v>60.963732291979092</v>
      </c>
      <c r="L58" s="332">
        <f ca="1">INDEX(OFFSET('Adjustment scenario'!$D$1:$W$1,$D58-1,0),MATCH(L$4,'Adjustment scenario'!$D$10:$W$10,0))</f>
        <v>59.590667340237808</v>
      </c>
      <c r="M58" s="332">
        <f ca="1">INDEX(OFFSET('Adjustment scenario'!$D$1:$W$1,$D58-1,0),MATCH(M$4,'Adjustment scenario'!$D$10:$W$10,0))</f>
        <v>58.148355984923697</v>
      </c>
      <c r="N58" s="332">
        <f ca="1">INDEX(OFFSET('Adjustment scenario'!$D$1:$W$1,$D58-1,0),MATCH(N$4,'Adjustment scenario'!$D$10:$W$10,0))</f>
        <v>56.658318746410529</v>
      </c>
      <c r="O58" s="332">
        <f ca="1">INDEX(OFFSET('Adjustment scenario'!$D$1:$W$1,$D58-1,0),MATCH(O$4,'Adjustment scenario'!$D$10:$W$10,0))</f>
        <v>55.823411743043899</v>
      </c>
      <c r="P58" s="332">
        <f ca="1">INDEX(OFFSET('Adjustment scenario'!$D$1:$W$1,$D58-1,0),MATCH(P$4,'Adjustment scenario'!$D$10:$W$10,0))</f>
        <v>55.220580273948059</v>
      </c>
      <c r="Q58" s="332">
        <f ca="1">INDEX(OFFSET('Adjustment scenario'!$D$1:$W$1,$D58-1,0),MATCH(Q$4,'Adjustment scenario'!$D$10:$W$10,0))</f>
        <v>54.776942231545938</v>
      </c>
      <c r="R58" s="332">
        <f ca="1">INDEX(OFFSET('Adjustment scenario'!$D$1:$W$1,$D58-1,0),MATCH(R$4,'Adjustment scenario'!$D$10:$W$10,0))</f>
        <v>54.480076992848865</v>
      </c>
      <c r="S58" s="332">
        <f ca="1">INDEX(OFFSET('Adjustment scenario'!$D$1:$W$1,$D58-1,0),MATCH(S$4,'Adjustment scenario'!$D$10:$W$10,0))</f>
        <v>54.313367510706122</v>
      </c>
      <c r="T58" s="332">
        <f ca="1">INDEX(OFFSET('Adjustment scenario'!$D$1:$W$1,$D58-1,0),MATCH(T$4,'Adjustment scenario'!$D$10:$W$10,0))</f>
        <v>54.292704756653251</v>
      </c>
      <c r="U58" s="332">
        <f ca="1">INDEX(OFFSET('Adjustment scenario'!$D$1:$W$1,$D58-1,0),MATCH(U$4,'Adjustment scenario'!$D$10:$W$10,0))</f>
        <v>54.454121916074946</v>
      </c>
      <c r="V58" s="332">
        <f ca="1">INDEX(OFFSET('Adjustment scenario'!$D$1:$W$1,$D58-1,0),MATCH(V$4,'Adjustment scenario'!$D$10:$W$10,0))</f>
        <v>54.775534480653107</v>
      </c>
      <c r="W58" s="332">
        <f ca="1">INDEX(OFFSET('Adjustment scenario'!$D$1:$W$1,$D58-1,0),MATCH(W$4,'Adjustment scenario'!$D$10:$W$10,0))</f>
        <v>55.31044290934468</v>
      </c>
      <c r="X58" s="332">
        <f ca="1">INDEX(OFFSET('Adjustment scenario'!$D$1:$W$1,$D58-1,0),MATCH(X$4,'Adjustment scenario'!$D$10:$W$10,0))</f>
        <v>56.027460196798287</v>
      </c>
      <c r="Y58" s="271"/>
    </row>
    <row r="59" spans="1:25" x14ac:dyDescent="0.2">
      <c r="A59" s="271"/>
      <c r="B59" s="339">
        <f>B58+1</f>
        <v>2</v>
      </c>
      <c r="C59" s="346" t="s">
        <v>128</v>
      </c>
      <c r="D59" s="344">
        <v>102</v>
      </c>
      <c r="E59" s="345" t="s">
        <v>221</v>
      </c>
      <c r="F59" s="332">
        <f ca="1">INDEX(OFFSET('Adjustment scenario'!$D$1:$W$1,$D59-1,0),MATCH(F$4,'Adjustment scenario'!$D$10:$W$10,0))</f>
        <v>3.8289375982734368</v>
      </c>
      <c r="G59" s="332">
        <f ca="1">INDEX(OFFSET('Adjustment scenario'!$D$1:$W$1,$D59-1,0),MATCH(G$4,'Adjustment scenario'!$D$10:$W$10,0))</f>
        <v>3.6414445364952521</v>
      </c>
      <c r="H59" s="332">
        <f ca="1">INDEX(OFFSET('Adjustment scenario'!$D$1:$W$1,$D59-1,0),MATCH(H$4,'Adjustment scenario'!$D$10:$W$10,0))</f>
        <v>3.7434019124227125</v>
      </c>
      <c r="I59" s="332">
        <f ca="1">INDEX(OFFSET('Adjustment scenario'!$D$1:$W$1,$D59-1,0),MATCH(I$4,'Adjustment scenario'!$D$10:$W$10,0))</f>
        <v>3.7539399899390373</v>
      </c>
      <c r="J59" s="332">
        <f ca="1">INDEX(OFFSET('Adjustment scenario'!$D$1:$W$1,$D59-1,0),MATCH(J$4,'Adjustment scenario'!$D$10:$W$10,0))</f>
        <v>3.7369594334782299</v>
      </c>
      <c r="K59" s="332">
        <f ca="1">INDEX(OFFSET('Adjustment scenario'!$D$1:$W$1,$D59-1,0),MATCH(K$4,'Adjustment scenario'!$D$10:$W$10,0))</f>
        <v>3.6477036313138331</v>
      </c>
      <c r="L59" s="332">
        <f ca="1">INDEX(OFFSET('Adjustment scenario'!$D$1:$W$1,$D59-1,0),MATCH(L$4,'Adjustment scenario'!$D$10:$W$10,0))</f>
        <v>3.4549598626342619</v>
      </c>
      <c r="M59" s="332">
        <f ca="1">INDEX(OFFSET('Adjustment scenario'!$D$1:$W$1,$D59-1,0),MATCH(M$4,'Adjustment scenario'!$D$10:$W$10,0))</f>
        <v>3.2650869007704597</v>
      </c>
      <c r="N59" s="332">
        <f ca="1">INDEX(OFFSET('Adjustment scenario'!$D$1:$W$1,$D59-1,0),MATCH(N$4,'Adjustment scenario'!$D$10:$W$10,0))</f>
        <v>3.0765454363400067</v>
      </c>
      <c r="O59" s="332">
        <f ca="1">INDEX(OFFSET('Adjustment scenario'!$D$1:$W$1,$D59-1,0),MATCH(O$4,'Adjustment scenario'!$D$10:$W$10,0))</f>
        <v>2.9129766432686632</v>
      </c>
      <c r="P59" s="332">
        <f ca="1">INDEX(OFFSET('Adjustment scenario'!$D$1:$W$1,$D59-1,0),MATCH(P$4,'Adjustment scenario'!$D$10:$W$10,0))</f>
        <v>2.7648418911356285</v>
      </c>
      <c r="Q59" s="332">
        <f ca="1">INDEX(OFFSET('Adjustment scenario'!$D$1:$W$1,$D59-1,0),MATCH(Q$4,'Adjustment scenario'!$D$10:$W$10,0))</f>
        <v>2.7353994822979959</v>
      </c>
      <c r="R59" s="332">
        <f ca="1">INDEX(OFFSET('Adjustment scenario'!$D$1:$W$1,$D59-1,0),MATCH(R$4,'Adjustment scenario'!$D$10:$W$10,0))</f>
        <v>2.7138661657745442</v>
      </c>
      <c r="S59" s="332">
        <f ca="1">INDEX(OFFSET('Adjustment scenario'!$D$1:$W$1,$D59-1,0),MATCH(S$4,'Adjustment scenario'!$D$10:$W$10,0))</f>
        <v>2.6996232201480219</v>
      </c>
      <c r="T59" s="332">
        <f ca="1">INDEX(OFFSET('Adjustment scenario'!$D$1:$W$1,$D59-1,0),MATCH(T$4,'Adjustment scenario'!$D$10:$W$10,0))</f>
        <v>2.6925059881507876</v>
      </c>
      <c r="U59" s="332">
        <f ca="1">INDEX(OFFSET('Adjustment scenario'!$D$1:$W$1,$D59-1,0),MATCH(U$4,'Adjustment scenario'!$D$10:$W$10,0))</f>
        <v>2.6943357596363899</v>
      </c>
      <c r="V59" s="332">
        <f ca="1">INDEX(OFFSET('Adjustment scenario'!$D$1:$W$1,$D59-1,0),MATCH(V$4,'Adjustment scenario'!$D$10:$W$10,0))</f>
        <v>2.7050435104396948</v>
      </c>
      <c r="W59" s="332">
        <f ca="1">INDEX(OFFSET('Adjustment scenario'!$D$1:$W$1,$D59-1,0),MATCH(W$4,'Adjustment scenario'!$D$10:$W$10,0))</f>
        <v>2.7238726433809712</v>
      </c>
      <c r="X59" s="332">
        <f ca="1">INDEX(OFFSET('Adjustment scenario'!$D$1:$W$1,$D59-1,0),MATCH(X$4,'Adjustment scenario'!$D$10:$W$10,0))</f>
        <v>2.7524179803219315</v>
      </c>
      <c r="Y59" s="271"/>
    </row>
    <row r="60" spans="1:25" x14ac:dyDescent="0.2">
      <c r="A60" s="271"/>
      <c r="B60" s="339">
        <f t="shared" ref="B60:B62" si="6">B59+1</f>
        <v>3</v>
      </c>
      <c r="C60" s="346" t="s">
        <v>129</v>
      </c>
      <c r="D60" s="344">
        <v>103</v>
      </c>
      <c r="E60" s="345" t="s">
        <v>221</v>
      </c>
      <c r="F60" s="332">
        <f ca="1">INDEX(OFFSET('Adjustment scenario'!$D$1:$W$1,$D60-1,0),MATCH(F$4,'Adjustment scenario'!$D$10:$W$10,0))</f>
        <v>1.8581502566395298</v>
      </c>
      <c r="G60" s="332">
        <f ca="1">INDEX(OFFSET('Adjustment scenario'!$D$1:$W$1,$D60-1,0),MATCH(G$4,'Adjustment scenario'!$D$10:$W$10,0))</f>
        <v>1.8451657155057619</v>
      </c>
      <c r="H60" s="332">
        <f ca="1">INDEX(OFFSET('Adjustment scenario'!$D$1:$W$1,$D60-1,0),MATCH(H$4,'Adjustment scenario'!$D$10:$W$10,0))</f>
        <v>1.8972380119201142</v>
      </c>
      <c r="I60" s="332">
        <f ca="1">INDEX(OFFSET('Adjustment scenario'!$D$1:$W$1,$D60-1,0),MATCH(I$4,'Adjustment scenario'!$D$10:$W$10,0))</f>
        <v>1.9257539015442364</v>
      </c>
      <c r="J60" s="332">
        <f ca="1">INDEX(OFFSET('Adjustment scenario'!$D$1:$W$1,$D60-1,0),MATCH(J$4,'Adjustment scenario'!$D$10:$W$10,0))</f>
        <v>1.9474016318581715</v>
      </c>
      <c r="K60" s="332">
        <f ca="1">INDEX(OFFSET('Adjustment scenario'!$D$1:$W$1,$D60-1,0),MATCH(K$4,'Adjustment scenario'!$D$10:$W$10,0))</f>
        <v>1.9420495914242122</v>
      </c>
      <c r="L60" s="332">
        <f ca="1">INDEX(OFFSET('Adjustment scenario'!$D$1:$W$1,$D60-1,0),MATCH(L$4,'Adjustment scenario'!$D$10:$W$10,0))</f>
        <v>1.8894867315460735</v>
      </c>
      <c r="M60" s="332">
        <f ca="1">INDEX(OFFSET('Adjustment scenario'!$D$1:$W$1,$D60-1,0),MATCH(M$4,'Adjustment scenario'!$D$10:$W$10,0))</f>
        <v>1.8371614874339537</v>
      </c>
      <c r="N60" s="332">
        <f ca="1">INDEX(OFFSET('Adjustment scenario'!$D$1:$W$1,$D60-1,0),MATCH(N$4,'Adjustment scenario'!$D$10:$W$10,0))</f>
        <v>1.7841932904726041</v>
      </c>
      <c r="O60" s="332">
        <f ca="1">INDEX(OFFSET('Adjustment scenario'!$D$1:$W$1,$D60-1,0),MATCH(O$4,'Adjustment scenario'!$D$10:$W$10,0))</f>
        <v>1.7442937024683565</v>
      </c>
      <c r="P60" s="332">
        <f ca="1">INDEX(OFFSET('Adjustment scenario'!$D$1:$W$1,$D60-1,0),MATCH(P$4,'Adjustment scenario'!$D$10:$W$10,0))</f>
        <v>1.7109675312068213</v>
      </c>
      <c r="Q60" s="332">
        <f ca="1">INDEX(OFFSET('Adjustment scenario'!$D$1:$W$1,$D60-1,0),MATCH(Q$4,'Adjustment scenario'!$D$10:$W$10,0))</f>
        <v>1.6828394084849048</v>
      </c>
      <c r="R60" s="332">
        <f ca="1">INDEX(OFFSET('Adjustment scenario'!$D$1:$W$1,$D60-1,0),MATCH(R$4,'Adjustment scenario'!$D$10:$W$10,0))</f>
        <v>1.6591694009340121</v>
      </c>
      <c r="S60" s="332">
        <f ca="1">INDEX(OFFSET('Adjustment scenario'!$D$1:$W$1,$D60-1,0),MATCH(S$4,'Adjustment scenario'!$D$10:$W$10,0))</f>
        <v>1.6396299161117762</v>
      </c>
      <c r="T60" s="332">
        <f ca="1">INDEX(OFFSET('Adjustment scenario'!$D$1:$W$1,$D60-1,0),MATCH(T$4,'Adjustment scenario'!$D$10:$W$10,0))</f>
        <v>1.6241902860342148</v>
      </c>
      <c r="U60" s="332">
        <f ca="1">INDEX(OFFSET('Adjustment scenario'!$D$1:$W$1,$D60-1,0),MATCH(U$4,'Adjustment scenario'!$D$10:$W$10,0))</f>
        <v>1.6139014233209166</v>
      </c>
      <c r="V60" s="332">
        <f ca="1">INDEX(OFFSET('Adjustment scenario'!$D$1:$W$1,$D60-1,0),MATCH(V$4,'Adjustment scenario'!$D$10:$W$10,0))</f>
        <v>1.6086653893403409</v>
      </c>
      <c r="W60" s="332">
        <f ca="1">INDEX(OFFSET('Adjustment scenario'!$D$1:$W$1,$D60-1,0),MATCH(W$4,'Adjustment scenario'!$D$10:$W$10,0))</f>
        <v>1.6080791446478002</v>
      </c>
      <c r="X60" s="332">
        <f ca="1">INDEX(OFFSET('Adjustment scenario'!$D$1:$W$1,$D60-1,0),MATCH(X$4,'Adjustment scenario'!$D$10:$W$10,0))</f>
        <v>1.6128100745009708</v>
      </c>
      <c r="Y60" s="271"/>
    </row>
    <row r="61" spans="1:25" x14ac:dyDescent="0.2">
      <c r="A61" s="271"/>
      <c r="B61" s="339">
        <f t="shared" si="6"/>
        <v>4</v>
      </c>
      <c r="C61" s="346" t="s">
        <v>130</v>
      </c>
      <c r="D61" s="344">
        <v>104</v>
      </c>
      <c r="E61" s="345" t="s">
        <v>221</v>
      </c>
      <c r="F61" s="332">
        <f ca="1">INDEX(OFFSET('Adjustment scenario'!$D$1:$W$1,$D61-1,0),MATCH(F$4,'Adjustment scenario'!$D$10:$W$10,0))</f>
        <v>4.3246051694965022</v>
      </c>
      <c r="G61" s="332">
        <f ca="1">INDEX(OFFSET('Adjustment scenario'!$D$1:$W$1,$D61-1,0),MATCH(G$4,'Adjustment scenario'!$D$10:$W$10,0))</f>
        <v>5.8993464076770348</v>
      </c>
      <c r="H61" s="332">
        <f ca="1">INDEX(OFFSET('Adjustment scenario'!$D$1:$W$1,$D61-1,0),MATCH(H$4,'Adjustment scenario'!$D$10:$W$10,0))</f>
        <v>4.0788527772753822</v>
      </c>
      <c r="I61" s="332">
        <f ca="1">INDEX(OFFSET('Adjustment scenario'!$D$1:$W$1,$D61-1,0),MATCH(I$4,'Adjustment scenario'!$D$10:$W$10,0))</f>
        <v>3.7750571133500919</v>
      </c>
      <c r="J61" s="332">
        <f ca="1">INDEX(OFFSET('Adjustment scenario'!$D$1:$W$1,$D61-1,0),MATCH(J$4,'Adjustment scenario'!$D$10:$W$10,0))</f>
        <v>2.786298817662785</v>
      </c>
      <c r="K61" s="332">
        <f ca="1">INDEX(OFFSET('Adjustment scenario'!$D$1:$W$1,$D61-1,0),MATCH(K$4,'Adjustment scenario'!$D$10:$W$10,0))</f>
        <v>1.6978227314621772</v>
      </c>
      <c r="L61" s="332">
        <f ca="1">INDEX(OFFSET('Adjustment scenario'!$D$1:$W$1,$D61-1,0),MATCH(L$4,'Adjustment scenario'!$D$10:$W$10,0))</f>
        <v>1.576900105045699</v>
      </c>
      <c r="M61" s="332">
        <f ca="1">INDEX(OFFSET('Adjustment scenario'!$D$1:$W$1,$D61-1,0),MATCH(M$4,'Adjustment scenario'!$D$10:$W$10,0))</f>
        <v>1.4226864291404764</v>
      </c>
      <c r="N61" s="332">
        <f ca="1">INDEX(OFFSET('Adjustment scenario'!$D$1:$W$1,$D61-1,0),MATCH(N$4,'Adjustment scenario'!$D$10:$W$10,0))</f>
        <v>1.2868421811068103</v>
      </c>
      <c r="O61" s="332">
        <f ca="1">INDEX(OFFSET('Adjustment scenario'!$D$1:$W$1,$D61-1,0),MATCH(O$4,'Adjustment scenario'!$D$10:$W$10,0))</f>
        <v>1.4320173161113956</v>
      </c>
      <c r="P61" s="332">
        <f ca="1">INDEX(OFFSET('Adjustment scenario'!$D$1:$W$1,$D61-1,0),MATCH(P$4,'Adjustment scenario'!$D$10:$W$10,0))</f>
        <v>1.5864655070721794</v>
      </c>
      <c r="Q61" s="332">
        <f ca="1">INDEX(OFFSET('Adjustment scenario'!$D$1:$W$1,$D61-1,0),MATCH(Q$4,'Adjustment scenario'!$D$10:$W$10,0))</f>
        <v>1.7198982357485146</v>
      </c>
      <c r="R61" s="332">
        <f ca="1">INDEX(OFFSET('Adjustment scenario'!$D$1:$W$1,$D61-1,0),MATCH(R$4,'Adjustment scenario'!$D$10:$W$10,0))</f>
        <v>1.847391931406795</v>
      </c>
      <c r="S61" s="332">
        <f ca="1">INDEX(OFFSET('Adjustment scenario'!$D$1:$W$1,$D61-1,0),MATCH(S$4,'Adjustment scenario'!$D$10:$W$10,0))</f>
        <v>1.9643878806163098</v>
      </c>
      <c r="T61" s="332">
        <f ca="1">INDEX(OFFSET('Adjustment scenario'!$D$1:$W$1,$D61-1,0),MATCH(T$4,'Adjustment scenario'!$D$10:$W$10,0))</f>
        <v>2.0894071454143694</v>
      </c>
      <c r="U61" s="332">
        <f ca="1">INDEX(OFFSET('Adjustment scenario'!$D$1:$W$1,$D61-1,0),MATCH(U$4,'Adjustment scenario'!$D$10:$W$10,0))</f>
        <v>2.2232354253637037</v>
      </c>
      <c r="V61" s="332">
        <f ca="1">INDEX(OFFSET('Adjustment scenario'!$D$1:$W$1,$D61-1,0),MATCH(V$4,'Adjustment scenario'!$D$10:$W$10,0))</f>
        <v>2.3457149937635915</v>
      </c>
      <c r="W61" s="332">
        <f ca="1">INDEX(OFFSET('Adjustment scenario'!$D$1:$W$1,$D61-1,0),MATCH(W$4,'Adjustment scenario'!$D$10:$W$10,0))</f>
        <v>2.5231902666704982</v>
      </c>
      <c r="X61" s="332">
        <f ca="1">INDEX(OFFSET('Adjustment scenario'!$D$1:$W$1,$D61-1,0),MATCH(X$4,'Adjustment scenario'!$D$10:$W$10,0))</f>
        <v>2.695279146426548</v>
      </c>
      <c r="Y61" s="271"/>
    </row>
    <row r="62" spans="1:25" x14ac:dyDescent="0.2">
      <c r="A62" s="271"/>
      <c r="B62" s="339">
        <f t="shared" si="6"/>
        <v>5</v>
      </c>
      <c r="C62" s="346" t="s">
        <v>131</v>
      </c>
      <c r="D62" s="344">
        <v>105</v>
      </c>
      <c r="E62" s="345" t="s">
        <v>221</v>
      </c>
      <c r="F62" s="332">
        <f ca="1">INDEX(OFFSET('Adjustment scenario'!$D$1:$W$1,$D62-1,0),MATCH(F$4,'Adjustment scenario'!$D$10:$W$10,0))</f>
        <v>0.11448456824533579</v>
      </c>
      <c r="G62" s="332">
        <f ca="1">INDEX(OFFSET('Adjustment scenario'!$D$1:$W$1,$D62-1,0),MATCH(G$4,'Adjustment scenario'!$D$10:$W$10,0))</f>
        <v>0.15617243654435403</v>
      </c>
      <c r="H62" s="332">
        <f ca="1">INDEX(OFFSET('Adjustment scenario'!$D$1:$W$1,$D62-1,0),MATCH(H$4,'Adjustment scenario'!$D$10:$W$10,0))</f>
        <v>0.10797880519507125</v>
      </c>
      <c r="I62" s="332">
        <f ca="1">INDEX(OFFSET('Adjustment scenario'!$D$1:$W$1,$D62-1,0),MATCH(I$4,'Adjustment scenario'!$D$10:$W$10,0))</f>
        <v>9.9936472067272367E-2</v>
      </c>
      <c r="J62" s="332">
        <f ca="1">INDEX(OFFSET('Adjustment scenario'!$D$1:$W$1,$D62-1,0),MATCH(J$4,'Adjustment scenario'!$D$10:$W$10,0))</f>
        <v>7.376123475793564E-2</v>
      </c>
      <c r="K62" s="332">
        <f ca="1">INDEX(OFFSET('Adjustment scenario'!$D$1:$W$1,$D62-1,0),MATCH(K$4,'Adjustment scenario'!$D$10:$W$10,0))</f>
        <v>4.4946184622721139E-2</v>
      </c>
      <c r="L62" s="332">
        <f ca="1">INDEX(OFFSET('Adjustment scenario'!$D$1:$W$1,$D62-1,0),MATCH(L$4,'Adjustment scenario'!$D$10:$W$10,0))</f>
        <v>4.1745019629896067E-2</v>
      </c>
      <c r="M62" s="332">
        <f ca="1">INDEX(OFFSET('Adjustment scenario'!$D$1:$W$1,$D62-1,0),MATCH(M$4,'Adjustment scenario'!$D$10:$W$10,0))</f>
        <v>3.7662546106517501E-2</v>
      </c>
      <c r="N62" s="332">
        <f ca="1">INDEX(OFFSET('Adjustment scenario'!$D$1:$W$1,$D62-1,0),MATCH(N$4,'Adjustment scenario'!$D$10:$W$10,0))</f>
        <v>3.4066363455106288E-2</v>
      </c>
      <c r="O62" s="332">
        <f ca="1">INDEX(OFFSET('Adjustment scenario'!$D$1:$W$1,$D62-1,0),MATCH(O$4,'Adjustment scenario'!$D$10:$W$10,0))</f>
        <v>3.7909561157451289E-2</v>
      </c>
      <c r="P62" s="332">
        <f ca="1">INDEX(OFFSET('Adjustment scenario'!$D$1:$W$1,$D62-1,0),MATCH(P$4,'Adjustment scenario'!$D$10:$W$10,0))</f>
        <v>4.1998242959697098E-2</v>
      </c>
      <c r="Q62" s="332">
        <f ca="1">INDEX(OFFSET('Adjustment scenario'!$D$1:$W$1,$D62-1,0),MATCH(Q$4,'Adjustment scenario'!$D$10:$W$10,0))</f>
        <v>4.5530585851958356E-2</v>
      </c>
      <c r="R62" s="332">
        <f ca="1">INDEX(OFFSET('Adjustment scenario'!$D$1:$W$1,$D62-1,0),MATCH(R$4,'Adjustment scenario'!$D$10:$W$10,0))</f>
        <v>4.890570569050303E-2</v>
      </c>
      <c r="S62" s="332">
        <f ca="1">INDEX(OFFSET('Adjustment scenario'!$D$1:$W$1,$D62-1,0),MATCH(S$4,'Adjustment scenario'!$D$10:$W$10,0))</f>
        <v>5.2002920397219009E-2</v>
      </c>
      <c r="T62" s="332">
        <f ca="1">INDEX(OFFSET('Adjustment scenario'!$D$1:$W$1,$D62-1,0),MATCH(T$4,'Adjustment scenario'!$D$10:$W$10,0))</f>
        <v>5.5312535030644962E-2</v>
      </c>
      <c r="U62" s="332">
        <f ca="1">INDEX(OFFSET('Adjustment scenario'!$D$1:$W$1,$D62-1,0),MATCH(U$4,'Adjustment scenario'!$D$10:$W$10,0))</f>
        <v>5.8855349287327566E-2</v>
      </c>
      <c r="V62" s="332">
        <f ca="1">INDEX(OFFSET('Adjustment scenario'!$D$1:$W$1,$D62-1,0),MATCH(V$4,'Adjustment scenario'!$D$10:$W$10,0))</f>
        <v>6.2097730951679302E-2</v>
      </c>
      <c r="W62" s="332">
        <f ca="1">INDEX(OFFSET('Adjustment scenario'!$D$1:$W$1,$D62-1,0),MATCH(W$4,'Adjustment scenario'!$D$10:$W$10,0))</f>
        <v>6.6796004943553561E-2</v>
      </c>
      <c r="X62" s="332">
        <f ca="1">INDEX(OFFSET('Adjustment scenario'!$D$1:$W$1,$D62-1,0),MATCH(X$4,'Adjustment scenario'!$D$10:$W$10,0))</f>
        <v>7.1351685826899644E-2</v>
      </c>
      <c r="Y62" s="271"/>
    </row>
    <row r="63" spans="1:25" x14ac:dyDescent="0.2">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sheetData>
  <conditionalFormatting sqref="V4:X63">
    <cfRule type="expression" dxfId="0"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3"/>
  <sheetViews>
    <sheetView workbookViewId="0"/>
  </sheetViews>
  <sheetFormatPr defaultRowHeight="12.75" x14ac:dyDescent="0.2"/>
  <cols>
    <col min="13" max="13" width="9.85546875" customWidth="1"/>
  </cols>
  <sheetData>
    <row r="1" spans="1:14" x14ac:dyDescent="0.2">
      <c r="A1" t="s">
        <v>206</v>
      </c>
      <c r="B1" t="s">
        <v>207</v>
      </c>
      <c r="C1" t="s">
        <v>208</v>
      </c>
      <c r="D1" t="s">
        <v>209</v>
      </c>
      <c r="E1" t="s">
        <v>210</v>
      </c>
      <c r="F1" t="s">
        <v>211</v>
      </c>
      <c r="G1" t="s">
        <v>212</v>
      </c>
      <c r="H1" t="s">
        <v>213</v>
      </c>
      <c r="I1" t="s">
        <v>214</v>
      </c>
      <c r="J1" t="s">
        <v>215</v>
      </c>
      <c r="K1" t="s">
        <v>216</v>
      </c>
      <c r="L1" t="s">
        <v>217</v>
      </c>
    </row>
    <row r="2" spans="1:14" x14ac:dyDescent="0.2">
      <c r="A2" t="str">
        <f>'Adjustment scenario'!C$3</f>
        <v>SK</v>
      </c>
      <c r="B2">
        <v>2021</v>
      </c>
      <c r="C2" s="7" cm="1">
        <f t="array" ref="C2:C22">TRANSPOSE('Adjust. no safeguard'!C12:W12)</f>
        <v>-4.222766</v>
      </c>
      <c r="D2" s="7">
        <v>1</v>
      </c>
      <c r="E2" s="7" cm="1">
        <f t="array" ref="E2:E22">TRANSPOSE('Adjust. no safeguard'!C62:W62)</f>
        <v>0</v>
      </c>
      <c r="F2" s="7" cm="1">
        <f t="array" ref="F2:F22">TRANSPOSE('Adjust. no safeguard'!C24:W24)</f>
        <v>4.7712199999999996</v>
      </c>
      <c r="G2" s="7" cm="1">
        <f t="array" ref="G2:G22">TRANSPOSE('Adjust. no safeguard'!C42:W42)</f>
        <v>2.3860749999999999</v>
      </c>
      <c r="H2" s="7" cm="1">
        <f t="array" ref="H2:H22">TRANSPOSE('Adjust. no safeguard'!C14:W14)</f>
        <v>0</v>
      </c>
      <c r="I2" s="7" cm="1">
        <f t="array" ref="I2:I22">TRANSPOSE('Adjust. no safeguard'!C15:W15)</f>
        <v>1.0478270000000001</v>
      </c>
      <c r="J2" s="7" cm="1">
        <f t="array" ref="J2:J22">TRANSPOSE('Adjust. no safeguard'!C64:W64)+TRANSPOSE('Adjust. no safeguard'!C65:W65)+TRANSPOSE('Adjust. no safeguard'!C66:W66)</f>
        <v>0</v>
      </c>
      <c r="K2" s="7" cm="1">
        <f t="array" ref="K2:K22">TRANSPOSE('Adjust. no safeguard'!C57:W57)</f>
        <v>61.088839999999998</v>
      </c>
      <c r="L2" s="7" cm="1">
        <f t="array" ref="L2:L22">TRANSPOSE('Adjust. no safeguard'!C36:W36)</f>
        <v>1.998502</v>
      </c>
      <c r="M2" s="7"/>
      <c r="N2" s="7"/>
    </row>
    <row r="3" spans="1:14" x14ac:dyDescent="0.2">
      <c r="A3" t="str">
        <f>'Adjustment scenario'!C$3</f>
        <v>SK</v>
      </c>
      <c r="B3">
        <v>2022</v>
      </c>
      <c r="C3" s="7">
        <v>-0.85058520000000004</v>
      </c>
      <c r="D3" s="7">
        <v>1</v>
      </c>
      <c r="E3" s="7">
        <v>-0.21553887770515978</v>
      </c>
      <c r="F3" s="7">
        <v>1.8700369999999999</v>
      </c>
      <c r="G3" s="7">
        <v>7.4842570000000004</v>
      </c>
      <c r="H3" s="7">
        <v>0</v>
      </c>
      <c r="I3" s="7">
        <v>0.27736460000000002</v>
      </c>
      <c r="J3" s="7">
        <v>0</v>
      </c>
      <c r="K3" s="7">
        <v>57.741851922294835</v>
      </c>
      <c r="L3" s="7">
        <v>1.859802</v>
      </c>
      <c r="M3" s="7"/>
      <c r="N3" s="7"/>
    </row>
    <row r="4" spans="1:14" x14ac:dyDescent="0.2">
      <c r="A4" t="str">
        <f>'Adjustment scenario'!C$3</f>
        <v>SK</v>
      </c>
      <c r="B4">
        <v>2023</v>
      </c>
      <c r="C4" s="7">
        <v>-3.5136029999999998</v>
      </c>
      <c r="D4" s="7">
        <v>1</v>
      </c>
      <c r="E4" s="7">
        <v>0.22304349404425938</v>
      </c>
      <c r="F4" s="7">
        <v>1.596454</v>
      </c>
      <c r="G4" s="7">
        <v>10.131869999999999</v>
      </c>
      <c r="H4" s="7">
        <v>0</v>
      </c>
      <c r="I4" s="7">
        <v>-0.45438450000000002</v>
      </c>
      <c r="J4" s="7">
        <v>0</v>
      </c>
      <c r="K4" s="7">
        <v>56.044964616339094</v>
      </c>
      <c r="L4" s="7">
        <v>2.2416550000000002</v>
      </c>
      <c r="M4" s="7"/>
      <c r="N4" s="7"/>
    </row>
    <row r="5" spans="1:14" x14ac:dyDescent="0.2">
      <c r="A5" t="str">
        <f>'Adjustment scenario'!C$3</f>
        <v>SK</v>
      </c>
      <c r="B5">
        <v>2024</v>
      </c>
      <c r="C5" s="7">
        <v>-4.2628820000000003</v>
      </c>
      <c r="D5" s="7">
        <v>1</v>
      </c>
      <c r="E5" s="7">
        <v>0.26145026470226373</v>
      </c>
      <c r="F5" s="7">
        <v>2.227846</v>
      </c>
      <c r="G5" s="7">
        <v>4.5784279999999997</v>
      </c>
      <c r="H5" s="7">
        <v>0</v>
      </c>
      <c r="I5" s="7">
        <v>0.2</v>
      </c>
      <c r="J5" s="7">
        <v>0</v>
      </c>
      <c r="K5" s="7">
        <v>58.478930381041359</v>
      </c>
      <c r="L5" s="7">
        <v>2.5392969999999999</v>
      </c>
      <c r="M5" s="7"/>
      <c r="N5" s="7"/>
    </row>
    <row r="6" spans="1:14" x14ac:dyDescent="0.2">
      <c r="A6" t="str">
        <f>'Adjustment scenario'!C$3</f>
        <v>SK</v>
      </c>
      <c r="B6">
        <v>2025</v>
      </c>
      <c r="C6" s="7">
        <v>-2.9628820000000005</v>
      </c>
      <c r="D6" s="7">
        <v>1</v>
      </c>
      <c r="E6" s="7">
        <v>0.3233252291109468</v>
      </c>
      <c r="F6" s="7">
        <v>2.2452619999999923</v>
      </c>
      <c r="G6" s="7">
        <v>3.1704729999999999</v>
      </c>
      <c r="H6" s="7">
        <v>0</v>
      </c>
      <c r="I6" s="7">
        <v>-0.6</v>
      </c>
      <c r="J6" s="7">
        <v>0</v>
      </c>
      <c r="K6" s="7">
        <v>59.623964733451906</v>
      </c>
      <c r="L6" s="7">
        <v>2.7068880000000002</v>
      </c>
      <c r="M6" s="7"/>
      <c r="N6" s="7"/>
    </row>
    <row r="7" spans="1:14" x14ac:dyDescent="0.2">
      <c r="A7" t="str">
        <f>'Adjustment scenario'!C$3</f>
        <v>SK</v>
      </c>
      <c r="B7">
        <v>2026</v>
      </c>
      <c r="C7" s="7">
        <v>-1.6628820000000004</v>
      </c>
      <c r="D7" s="7">
        <v>1</v>
      </c>
      <c r="E7" s="7">
        <v>0.57776114211104035</v>
      </c>
      <c r="F7" s="7">
        <v>1.0024100870923203</v>
      </c>
      <c r="G7" s="7">
        <v>3.0929138749999998</v>
      </c>
      <c r="H7" s="7">
        <v>0</v>
      </c>
      <c r="I7" s="7">
        <v>0</v>
      </c>
      <c r="J7" s="7">
        <v>0</v>
      </c>
      <c r="K7" s="7">
        <v>61.136174386887198</v>
      </c>
      <c r="L7" s="7">
        <v>2.8542031799392458</v>
      </c>
      <c r="M7" s="7"/>
      <c r="N7" s="7"/>
    </row>
    <row r="8" spans="1:14" x14ac:dyDescent="0.2">
      <c r="A8" t="str">
        <f>'Adjustment scenario'!C$3</f>
        <v>SK</v>
      </c>
      <c r="B8">
        <v>2027</v>
      </c>
      <c r="C8" s="7">
        <v>-0.36288200000000037</v>
      </c>
      <c r="D8" s="7">
        <v>1</v>
      </c>
      <c r="E8" s="7">
        <v>0.74585886004448376</v>
      </c>
      <c r="F8" s="7">
        <v>0.97539767386740639</v>
      </c>
      <c r="G8" s="7">
        <v>3.0153547499999998</v>
      </c>
      <c r="H8" s="7">
        <v>0</v>
      </c>
      <c r="I8" s="7">
        <v>0</v>
      </c>
      <c r="J8" s="7">
        <v>0</v>
      </c>
      <c r="K8" s="7">
        <v>61.633447791006695</v>
      </c>
      <c r="L8" s="7">
        <v>2.979782618905352</v>
      </c>
      <c r="M8" s="7"/>
      <c r="N8" s="7"/>
    </row>
    <row r="9" spans="1:14" x14ac:dyDescent="0.2">
      <c r="A9" t="str">
        <f>'Adjustment scenario'!C$3</f>
        <v>SK</v>
      </c>
      <c r="B9">
        <v>2028</v>
      </c>
      <c r="C9" s="7">
        <v>0.93711799999999967</v>
      </c>
      <c r="D9" s="7">
        <v>1</v>
      </c>
      <c r="E9" s="7">
        <v>0.85640102902246329</v>
      </c>
      <c r="F9" s="7">
        <v>1.1034862548561231</v>
      </c>
      <c r="G9" s="7">
        <v>2.9377956249999997</v>
      </c>
      <c r="H9" s="7">
        <v>0</v>
      </c>
      <c r="I9" s="7">
        <v>0</v>
      </c>
      <c r="J9" s="7">
        <v>0</v>
      </c>
      <c r="K9" s="7">
        <v>60.963732291979078</v>
      </c>
      <c r="L9" s="7">
        <v>3.0791222957454929</v>
      </c>
      <c r="M9" s="7"/>
      <c r="N9" s="7"/>
    </row>
    <row r="10" spans="1:14" x14ac:dyDescent="0.2">
      <c r="A10" t="str">
        <f>'Adjustment scenario'!C$3</f>
        <v>SK</v>
      </c>
      <c r="B10">
        <v>2029</v>
      </c>
      <c r="C10" s="7">
        <v>0.93711799999999967</v>
      </c>
      <c r="D10" s="7">
        <v>1</v>
      </c>
      <c r="E10" s="7">
        <v>0.57093401934830745</v>
      </c>
      <c r="F10" s="7">
        <v>2.2364071404843866</v>
      </c>
      <c r="G10" s="7">
        <v>2.8602365000000001</v>
      </c>
      <c r="H10" s="7">
        <v>0</v>
      </c>
      <c r="I10" s="7">
        <v>0</v>
      </c>
      <c r="J10" s="7">
        <v>0.15485870000000235</v>
      </c>
      <c r="K10" s="7">
        <v>59.590667340237786</v>
      </c>
      <c r="L10" s="7">
        <v>3.1566440765560015</v>
      </c>
      <c r="M10" s="7"/>
      <c r="N10" s="7"/>
    </row>
    <row r="11" spans="1:14" x14ac:dyDescent="0.2">
      <c r="A11" t="str">
        <f>'Adjustment scenario'!C$3</f>
        <v>SK</v>
      </c>
      <c r="B11">
        <v>2030</v>
      </c>
      <c r="C11" s="7">
        <v>0.93711799999999967</v>
      </c>
      <c r="D11" s="7">
        <v>1</v>
      </c>
      <c r="E11" s="7">
        <v>0.28546700967416005</v>
      </c>
      <c r="F11" s="7">
        <v>2.2744455836932742</v>
      </c>
      <c r="G11" s="7">
        <v>2.782677375</v>
      </c>
      <c r="H11" s="7">
        <v>0</v>
      </c>
      <c r="I11" s="7">
        <v>0</v>
      </c>
      <c r="J11" s="7">
        <v>0.28173739999999814</v>
      </c>
      <c r="K11" s="7">
        <v>58.148355984923676</v>
      </c>
      <c r="L11" s="7">
        <v>3.2286592210948779</v>
      </c>
      <c r="M11" s="7"/>
      <c r="N11" s="7"/>
    </row>
    <row r="12" spans="1:14" x14ac:dyDescent="0.2">
      <c r="A12" t="str">
        <f>'Adjustment scenario'!C$3</f>
        <v>SK</v>
      </c>
      <c r="B12">
        <v>2031</v>
      </c>
      <c r="C12" s="7">
        <v>0.93711799999999967</v>
      </c>
      <c r="D12" s="7">
        <v>1</v>
      </c>
      <c r="E12" s="7">
        <v>0</v>
      </c>
      <c r="F12" s="7">
        <v>2.31198798064709</v>
      </c>
      <c r="G12" s="7">
        <v>2.7051182499999999</v>
      </c>
      <c r="H12" s="7">
        <v>0</v>
      </c>
      <c r="I12" s="7">
        <v>0</v>
      </c>
      <c r="J12" s="7">
        <v>0.43446619999999947</v>
      </c>
      <c r="K12" s="7">
        <v>56.658318746410494</v>
      </c>
      <c r="L12" s="7">
        <v>3.2953481883418272</v>
      </c>
      <c r="M12" s="7"/>
      <c r="N12" s="7"/>
    </row>
    <row r="13" spans="1:14" x14ac:dyDescent="0.2">
      <c r="A13" t="str">
        <f>'Adjustment scenario'!C$3</f>
        <v>SK</v>
      </c>
      <c r="B13">
        <v>2032</v>
      </c>
      <c r="C13" s="7">
        <v>0.93711799999999967</v>
      </c>
      <c r="D13" s="7">
        <v>1</v>
      </c>
      <c r="E13" s="7">
        <v>-7.502097211453673E-7</v>
      </c>
      <c r="F13" s="7">
        <v>1.5715989999999902</v>
      </c>
      <c r="G13" s="7">
        <v>2.6275591249999999</v>
      </c>
      <c r="H13" s="7">
        <v>0</v>
      </c>
      <c r="I13" s="7">
        <v>0</v>
      </c>
      <c r="J13" s="7">
        <v>0.58212479999999722</v>
      </c>
      <c r="K13" s="7">
        <v>55.823411743043856</v>
      </c>
      <c r="L13" s="7">
        <v>3.3575047340298072</v>
      </c>
      <c r="M13" s="7"/>
      <c r="N13" s="7"/>
    </row>
    <row r="14" spans="1:14" x14ac:dyDescent="0.2">
      <c r="A14" t="str">
        <f>'Adjustment scenario'!C$3</f>
        <v>SK</v>
      </c>
      <c r="B14">
        <v>2033</v>
      </c>
      <c r="C14" s="7">
        <v>0.93711799999999967</v>
      </c>
      <c r="D14" s="7">
        <v>1</v>
      </c>
      <c r="E14" s="7">
        <v>-3.7511134085566058E-7</v>
      </c>
      <c r="F14" s="7">
        <v>1.5733559999999924</v>
      </c>
      <c r="G14" s="7">
        <v>2.5499999999999998</v>
      </c>
      <c r="H14" s="7">
        <v>0</v>
      </c>
      <c r="I14" s="7">
        <v>0</v>
      </c>
      <c r="J14" s="7">
        <v>0.73318360000000138</v>
      </c>
      <c r="K14" s="7">
        <v>55.220580273948023</v>
      </c>
      <c r="L14" s="7">
        <v>3.4191568536493411</v>
      </c>
      <c r="M14" s="7"/>
      <c r="N14" s="7"/>
    </row>
    <row r="15" spans="1:14" x14ac:dyDescent="0.2">
      <c r="A15" t="str">
        <f>'Adjustment scenario'!C$3</f>
        <v>SK</v>
      </c>
      <c r="B15">
        <v>2034</v>
      </c>
      <c r="C15" s="7">
        <v>0.93711799999999967</v>
      </c>
      <c r="D15" s="7">
        <v>1</v>
      </c>
      <c r="E15" s="7">
        <v>-3.7511134085566058E-7</v>
      </c>
      <c r="F15" s="7">
        <v>1.6041799999999995</v>
      </c>
      <c r="G15" s="7">
        <v>2.5225</v>
      </c>
      <c r="H15" s="7">
        <v>0</v>
      </c>
      <c r="I15" s="7">
        <v>0</v>
      </c>
      <c r="J15" s="7">
        <v>0.8603523000000004</v>
      </c>
      <c r="K15" s="7">
        <v>54.776942231545902</v>
      </c>
      <c r="L15" s="7">
        <v>3.4750845207263823</v>
      </c>
      <c r="M15" s="7"/>
      <c r="N15" s="7"/>
    </row>
    <row r="16" spans="1:14" x14ac:dyDescent="0.2">
      <c r="A16" t="str">
        <f>'Adjustment scenario'!C$3</f>
        <v>SK</v>
      </c>
      <c r="B16">
        <v>2035</v>
      </c>
      <c r="C16" s="7">
        <v>0.93711799999999967</v>
      </c>
      <c r="D16" s="7">
        <v>1</v>
      </c>
      <c r="E16" s="7">
        <v>-2.4049802149761491E-10</v>
      </c>
      <c r="F16" s="7">
        <v>1.6350040000000066</v>
      </c>
      <c r="G16" s="7">
        <v>2.4949999999999997</v>
      </c>
      <c r="H16" s="7">
        <v>0</v>
      </c>
      <c r="I16" s="7">
        <v>0</v>
      </c>
      <c r="J16" s="7">
        <v>0.97858100000000037</v>
      </c>
      <c r="K16" s="7">
        <v>54.480076992848822</v>
      </c>
      <c r="L16" s="7">
        <v>3.5273893585872655</v>
      </c>
      <c r="M16" s="7"/>
      <c r="N16" s="7"/>
    </row>
    <row r="17" spans="1:14" x14ac:dyDescent="0.2">
      <c r="A17" t="str">
        <f>'Adjustment scenario'!C$3</f>
        <v>SK</v>
      </c>
      <c r="B17">
        <v>2036</v>
      </c>
      <c r="C17" s="7">
        <v>0.93711799999999967</v>
      </c>
      <c r="D17" s="7">
        <v>1</v>
      </c>
      <c r="E17" s="7">
        <v>1.124031066923603E-6</v>
      </c>
      <c r="F17" s="7">
        <v>1.6658250000000097</v>
      </c>
      <c r="G17" s="7">
        <v>2.4674999999999998</v>
      </c>
      <c r="H17" s="7">
        <v>0</v>
      </c>
      <c r="I17" s="7">
        <v>0</v>
      </c>
      <c r="J17" s="7">
        <v>1.0833895999999967</v>
      </c>
      <c r="K17" s="7">
        <v>54.31336751070608</v>
      </c>
      <c r="L17" s="7">
        <v>3.5759582955698113</v>
      </c>
      <c r="M17" s="7"/>
      <c r="N17" s="7"/>
    </row>
    <row r="18" spans="1:14" x14ac:dyDescent="0.2">
      <c r="A18" t="str">
        <f>'Adjustment scenario'!C$3</f>
        <v>SK</v>
      </c>
      <c r="B18">
        <v>2037</v>
      </c>
      <c r="C18" s="7">
        <v>0.93711799999999967</v>
      </c>
      <c r="D18" s="7">
        <v>1</v>
      </c>
      <c r="E18" s="7">
        <v>3.7455920128826035E-7</v>
      </c>
      <c r="F18" s="7">
        <v>1.6715929999999934</v>
      </c>
      <c r="G18" s="7">
        <v>2.44</v>
      </c>
      <c r="H18" s="7">
        <v>0</v>
      </c>
      <c r="I18" s="7">
        <v>0</v>
      </c>
      <c r="J18" s="7">
        <v>1.1937183000000009</v>
      </c>
      <c r="K18" s="7">
        <v>54.292704756653201</v>
      </c>
      <c r="L18" s="7">
        <v>3.6206940749993275</v>
      </c>
      <c r="M18" s="7"/>
      <c r="N18" s="7"/>
    </row>
    <row r="19" spans="1:14" x14ac:dyDescent="0.2">
      <c r="A19" t="str">
        <f>'Adjustment scenario'!C$3</f>
        <v>SK</v>
      </c>
      <c r="B19">
        <v>2038</v>
      </c>
      <c r="C19" s="7">
        <v>0.93711799999999967</v>
      </c>
      <c r="D19" s="7">
        <v>1</v>
      </c>
      <c r="E19" s="7">
        <v>-7.5029302577522832E-7</v>
      </c>
      <c r="F19" s="7">
        <v>1.6133490000000084</v>
      </c>
      <c r="G19" s="7">
        <v>2.4124999999999996</v>
      </c>
      <c r="H19" s="7">
        <v>0</v>
      </c>
      <c r="I19" s="7">
        <v>0</v>
      </c>
      <c r="J19" s="7">
        <v>1.3088170999999986</v>
      </c>
      <c r="K19" s="7">
        <v>54.454121916074875</v>
      </c>
      <c r="L19" s="7">
        <v>3.6617175585238386</v>
      </c>
      <c r="M19" s="7"/>
      <c r="N19" s="7"/>
    </row>
    <row r="20" spans="1:14" x14ac:dyDescent="0.2">
      <c r="A20" t="str">
        <f>'Adjustment scenario'!C$3</f>
        <v>SK</v>
      </c>
      <c r="B20">
        <v>2039</v>
      </c>
      <c r="C20" s="7">
        <v>0.93711799999999967</v>
      </c>
      <c r="D20" s="7">
        <v>1</v>
      </c>
      <c r="E20" s="7">
        <v>-1.5005745376273083E-6</v>
      </c>
      <c r="F20" s="7">
        <v>1.5618829999999972</v>
      </c>
      <c r="G20" s="7">
        <v>2.3849999999999998</v>
      </c>
      <c r="H20" s="7">
        <v>0</v>
      </c>
      <c r="I20" s="7">
        <v>0</v>
      </c>
      <c r="J20" s="7">
        <v>1.4077756999999962</v>
      </c>
      <c r="K20" s="7">
        <v>54.775534480653036</v>
      </c>
      <c r="L20" s="7">
        <v>3.6991422585042391</v>
      </c>
      <c r="M20" s="7"/>
      <c r="N20" s="7"/>
    </row>
    <row r="21" spans="1:14" x14ac:dyDescent="0.2">
      <c r="A21" t="str">
        <f>'Adjustment scenario'!C$3</f>
        <v>SK</v>
      </c>
      <c r="B21">
        <v>2040</v>
      </c>
      <c r="C21" s="7">
        <v>0.93711799999999967</v>
      </c>
      <c r="D21" s="7">
        <v>1</v>
      </c>
      <c r="E21" s="7">
        <v>-1.8759252259581417E-6</v>
      </c>
      <c r="F21" s="7">
        <v>1.5050830000000071</v>
      </c>
      <c r="G21" s="7">
        <v>2.3574999999999999</v>
      </c>
      <c r="H21" s="7">
        <v>0</v>
      </c>
      <c r="I21" s="7">
        <v>0</v>
      </c>
      <c r="J21" s="7">
        <v>1.5590743999999983</v>
      </c>
      <c r="K21" s="7">
        <v>55.310442909344602</v>
      </c>
      <c r="L21" s="7">
        <v>3.7329565657267412</v>
      </c>
      <c r="M21" s="7"/>
      <c r="N21" s="7"/>
    </row>
    <row r="22" spans="1:14" x14ac:dyDescent="0.2">
      <c r="A22" t="str">
        <f>'Adjustment scenario'!C$3</f>
        <v>SK</v>
      </c>
      <c r="B22">
        <v>2041</v>
      </c>
      <c r="C22" s="7">
        <v>0.93711799999999967</v>
      </c>
      <c r="D22" s="7">
        <v>1</v>
      </c>
      <c r="E22" s="7">
        <v>-7.4963581002673858E-7</v>
      </c>
      <c r="F22" s="7">
        <v>1.4836869999999891</v>
      </c>
      <c r="G22" s="7">
        <v>2.33</v>
      </c>
      <c r="H22" s="7">
        <v>0</v>
      </c>
      <c r="I22" s="7">
        <v>0</v>
      </c>
      <c r="J22" s="7">
        <v>1.6992330999999958</v>
      </c>
      <c r="K22" s="7">
        <v>56.027460196798216</v>
      </c>
      <c r="L22" s="7">
        <v>3.7635848067053392</v>
      </c>
      <c r="M22" s="7"/>
      <c r="N22" s="7"/>
    </row>
    <row r="23" spans="1:14" x14ac:dyDescent="0.2">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ERDEI Miklos (ECFIN)</cp:lastModifiedBy>
  <cp:revision/>
  <dcterms:created xsi:type="dcterms:W3CDTF">2013-04-12T08:50:12Z</dcterms:created>
  <dcterms:modified xsi:type="dcterms:W3CDTF">2024-06-20T11:20:55Z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