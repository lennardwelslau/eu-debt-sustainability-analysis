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ThisWorkbook" defaultThemeVersion="124226"/>
  <mc:AlternateContent xmlns:mc="http://schemas.openxmlformats.org/markup-compatibility/2006">
    <mc:Choice Requires="x15">
      <x15ac:absPath xmlns:x15ac="http://schemas.microsoft.com/office/spreadsheetml/2010/11/ac" url="U:\SUSTAINABILITY\EU Fiscal Framework - Production\Outputs\AF25 - ALL\AF25\prior guidance\"/>
    </mc:Choice>
  </mc:AlternateContent>
  <xr:revisionPtr revIDLastSave="0" documentId="13_ncr:1_{D5BBA0B6-C91A-488D-AF95-D1ECAB3C5C30}" xr6:coauthVersionLast="47" xr6:coauthVersionMax="47" xr10:uidLastSave="{00000000-0000-0000-0000-000000000000}"/>
  <bookViews>
    <workbookView xWindow="-120" yWindow="-120" windowWidth="29040" windowHeight="15720" tabRatio="788" firstSheet="1" activeTab="2" xr2:uid="{00000000-000D-0000-FFFF-FFFF00000000}"/>
  </bookViews>
  <sheets>
    <sheet name="Read me" sheetId="37" r:id="rId1"/>
    <sheet name="Criteria results" sheetId="35" r:id="rId2"/>
    <sheet name="Input data" sheetId="8" r:id="rId3"/>
    <sheet name="Baseline NFPC" sheetId="9" r:id="rId4"/>
    <sheet name="Adjustment scenario" sheetId="21" r:id="rId5"/>
    <sheet name="Adjust. no safeguard" sheetId="40" r:id="rId6"/>
    <sheet name="FASTOP reporting" sheetId="44" r:id="rId7"/>
    <sheet name="FASTOP rep. no safeguard" sheetId="49" r:id="rId8"/>
  </sheets>
  <calcPr calcId="191028" calcOnSave="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04" i="40" l="1"/>
  <c r="E104" i="40"/>
  <c r="F104" i="40"/>
  <c r="G104" i="40"/>
  <c r="H104" i="40"/>
  <c r="I104" i="40"/>
  <c r="J104" i="40"/>
  <c r="K104" i="40"/>
  <c r="L104" i="40"/>
  <c r="M104" i="40"/>
  <c r="N104" i="40"/>
  <c r="O104" i="40"/>
  <c r="P104" i="40"/>
  <c r="Q104" i="40"/>
  <c r="R104" i="40"/>
  <c r="S104" i="40"/>
  <c r="T104" i="40"/>
  <c r="U104" i="40"/>
  <c r="C7" i="40"/>
  <c r="C6" i="40"/>
  <c r="C6" i="8"/>
  <c r="C6" i="9"/>
  <c r="C91" i="40" l="1"/>
  <c r="D91" i="40" s="1"/>
  <c r="E91" i="40" s="1"/>
  <c r="F91" i="40" s="1"/>
  <c r="G91" i="40" s="1"/>
  <c r="H91" i="40" s="1"/>
  <c r="I91" i="40" s="1"/>
  <c r="J91" i="40" s="1"/>
  <c r="K91" i="40" s="1"/>
  <c r="L91" i="40" s="1"/>
  <c r="M91" i="40" s="1"/>
  <c r="N91" i="40" s="1"/>
  <c r="O91" i="40" s="1"/>
  <c r="P91" i="40" s="1"/>
  <c r="Q91" i="40" s="1"/>
  <c r="R91" i="40" s="1"/>
  <c r="S91" i="40" s="1"/>
  <c r="T91" i="40" s="1"/>
  <c r="U91" i="40" s="1"/>
  <c r="C56" i="40"/>
  <c r="D56" i="40" s="1"/>
  <c r="E56" i="40" s="1"/>
  <c r="F56" i="40" s="1"/>
  <c r="G56" i="40" s="1"/>
  <c r="H56" i="40" s="1"/>
  <c r="I56" i="40" s="1"/>
  <c r="J56" i="40" s="1"/>
  <c r="K56" i="40" s="1"/>
  <c r="L56" i="40" s="1"/>
  <c r="M56" i="40" s="1"/>
  <c r="N56" i="40" s="1"/>
  <c r="O56" i="40" s="1"/>
  <c r="P56" i="40" s="1"/>
  <c r="Q56" i="40" s="1"/>
  <c r="R56" i="40" s="1"/>
  <c r="S56" i="40" s="1"/>
  <c r="T56" i="40" s="1"/>
  <c r="U56" i="40" s="1"/>
  <c r="C10" i="40"/>
  <c r="D10" i="40" s="1"/>
  <c r="E10" i="40" s="1"/>
  <c r="F10" i="40" s="1"/>
  <c r="G10" i="40" s="1"/>
  <c r="H10" i="40" s="1"/>
  <c r="I10" i="40" s="1"/>
  <c r="J10" i="40" s="1"/>
  <c r="K10" i="40" s="1"/>
  <c r="L10" i="40" s="1"/>
  <c r="M10" i="40" s="1"/>
  <c r="N10" i="40" s="1"/>
  <c r="O10" i="40" s="1"/>
  <c r="P10" i="40" s="1"/>
  <c r="Q10" i="40" s="1"/>
  <c r="R10" i="40" s="1"/>
  <c r="S10" i="40" s="1"/>
  <c r="T10" i="40" s="1"/>
  <c r="U10" i="40" s="1"/>
  <c r="C89" i="21"/>
  <c r="D89" i="21" s="1"/>
  <c r="E89" i="21" s="1"/>
  <c r="F89" i="21" s="1"/>
  <c r="G89" i="21" s="1"/>
  <c r="H89" i="21" s="1"/>
  <c r="I89" i="21" s="1"/>
  <c r="J89" i="21" s="1"/>
  <c r="K89" i="21" s="1"/>
  <c r="L89" i="21" s="1"/>
  <c r="M89" i="21" s="1"/>
  <c r="N89" i="21" s="1"/>
  <c r="O89" i="21" s="1"/>
  <c r="P89" i="21" s="1"/>
  <c r="Q89" i="21" s="1"/>
  <c r="R89" i="21" s="1"/>
  <c r="S89" i="21" s="1"/>
  <c r="T89" i="21" s="1"/>
  <c r="U89" i="21" s="1"/>
  <c r="C56" i="21"/>
  <c r="D56" i="21" s="1"/>
  <c r="E56" i="21" s="1"/>
  <c r="F56" i="21" s="1"/>
  <c r="G56" i="21" s="1"/>
  <c r="H56" i="21" s="1"/>
  <c r="I56" i="21" s="1"/>
  <c r="J56" i="21" s="1"/>
  <c r="K56" i="21" s="1"/>
  <c r="L56" i="21" s="1"/>
  <c r="M56" i="21" s="1"/>
  <c r="N56" i="21" s="1"/>
  <c r="O56" i="21" s="1"/>
  <c r="P56" i="21" s="1"/>
  <c r="Q56" i="21" s="1"/>
  <c r="R56" i="21" s="1"/>
  <c r="S56" i="21" s="1"/>
  <c r="T56" i="21" s="1"/>
  <c r="U56" i="21" s="1"/>
  <c r="C10" i="21"/>
  <c r="D10" i="21" s="1"/>
  <c r="E10" i="21" s="1"/>
  <c r="C86" i="9"/>
  <c r="D86" i="9" s="1"/>
  <c r="E86" i="9" s="1"/>
  <c r="F86" i="9" s="1"/>
  <c r="G86" i="9" s="1"/>
  <c r="H86" i="9" s="1"/>
  <c r="I86" i="9" s="1"/>
  <c r="J86" i="9" s="1"/>
  <c r="K86" i="9" s="1"/>
  <c r="L86" i="9" s="1"/>
  <c r="M86" i="9" s="1"/>
  <c r="N86" i="9" s="1"/>
  <c r="O86" i="9" s="1"/>
  <c r="P86" i="9" s="1"/>
  <c r="Q86" i="9" s="1"/>
  <c r="R86" i="9" s="1"/>
  <c r="S86" i="9" s="1"/>
  <c r="T86" i="9" s="1"/>
  <c r="U86" i="9" s="1"/>
  <c r="C55" i="9"/>
  <c r="D55" i="9" s="1"/>
  <c r="E55" i="9" s="1"/>
  <c r="F55" i="9" s="1"/>
  <c r="G55" i="9" s="1"/>
  <c r="H55" i="9" s="1"/>
  <c r="I55" i="9" s="1"/>
  <c r="J55" i="9" s="1"/>
  <c r="K55" i="9" s="1"/>
  <c r="L55" i="9" s="1"/>
  <c r="M55" i="9" s="1"/>
  <c r="N55" i="9" s="1"/>
  <c r="O55" i="9" s="1"/>
  <c r="P55" i="9" s="1"/>
  <c r="Q55" i="9" s="1"/>
  <c r="R55" i="9" s="1"/>
  <c r="S55" i="9" s="1"/>
  <c r="T55" i="9" s="1"/>
  <c r="U55" i="9" s="1"/>
  <c r="C10" i="9"/>
  <c r="D10" i="9" s="1"/>
  <c r="E10" i="9" s="1"/>
  <c r="F10" i="9" s="1"/>
  <c r="G10" i="9" s="1"/>
  <c r="H10" i="9" s="1"/>
  <c r="I10" i="9" s="1"/>
  <c r="J10" i="9" s="1"/>
  <c r="K10" i="9" s="1"/>
  <c r="L10" i="9" s="1"/>
  <c r="M10" i="9" s="1"/>
  <c r="N10" i="9" s="1"/>
  <c r="O10" i="9" s="1"/>
  <c r="P10" i="9" s="1"/>
  <c r="Q10" i="9" s="1"/>
  <c r="R10" i="9" s="1"/>
  <c r="S10" i="9" s="1"/>
  <c r="T10" i="9" s="1"/>
  <c r="U10" i="9" s="1"/>
  <c r="G24" i="35"/>
  <c r="H24" i="35" s="1"/>
  <c r="I24" i="35" s="1"/>
  <c r="J24" i="35" s="1"/>
  <c r="K24" i="35" s="1"/>
  <c r="L24" i="35" s="1"/>
  <c r="M24" i="35" s="1"/>
  <c r="G17" i="35"/>
  <c r="H17" i="35" s="1"/>
  <c r="I17" i="35" s="1"/>
  <c r="J17" i="35" s="1"/>
  <c r="K17" i="35" s="1"/>
  <c r="L17" i="35" s="1"/>
  <c r="M17" i="35" s="1"/>
  <c r="F10" i="21" l="1"/>
  <c r="G10" i="21" l="1"/>
  <c r="B59" i="49"/>
  <c r="B60" i="49" s="1"/>
  <c r="B61" i="49" s="1"/>
  <c r="B62" i="49" s="1"/>
  <c r="F57" i="49"/>
  <c r="G57" i="49" s="1"/>
  <c r="H57" i="49" s="1"/>
  <c r="I57" i="49" s="1"/>
  <c r="J57" i="49" s="1"/>
  <c r="K57" i="49" s="1"/>
  <c r="L57" i="49" s="1"/>
  <c r="M57" i="49" s="1"/>
  <c r="N57" i="49" s="1"/>
  <c r="O57" i="49" s="1"/>
  <c r="P57" i="49" s="1"/>
  <c r="Q57" i="49" s="1"/>
  <c r="R57" i="49" s="1"/>
  <c r="S57" i="49" s="1"/>
  <c r="T57" i="49" s="1"/>
  <c r="U57" i="49" s="1"/>
  <c r="V57" i="49" s="1"/>
  <c r="W57" i="49" s="1"/>
  <c r="X57" i="49" s="1"/>
  <c r="F53" i="49"/>
  <c r="F40" i="49"/>
  <c r="G40" i="49" s="1"/>
  <c r="H40" i="49" s="1"/>
  <c r="I40" i="49" s="1"/>
  <c r="J40" i="49" s="1"/>
  <c r="K40" i="49" s="1"/>
  <c r="L40" i="49" s="1"/>
  <c r="M40" i="49" s="1"/>
  <c r="N40" i="49" s="1"/>
  <c r="O40" i="49" s="1"/>
  <c r="P40" i="49" s="1"/>
  <c r="Q40" i="49" s="1"/>
  <c r="R40" i="49" s="1"/>
  <c r="S40" i="49" s="1"/>
  <c r="T40" i="49" s="1"/>
  <c r="U40" i="49" s="1"/>
  <c r="V40" i="49" s="1"/>
  <c r="W40" i="49" s="1"/>
  <c r="X40" i="49" s="1"/>
  <c r="E29" i="49"/>
  <c r="F4" i="49"/>
  <c r="H10" i="21" l="1"/>
  <c r="F61" i="49"/>
  <c r="F62" i="49"/>
  <c r="F60" i="49"/>
  <c r="F59" i="49"/>
  <c r="F14" i="49"/>
  <c r="F45" i="49"/>
  <c r="F44" i="49"/>
  <c r="F8" i="49"/>
  <c r="F10" i="49"/>
  <c r="E26" i="49"/>
  <c r="E4" i="49"/>
  <c r="E22" i="49"/>
  <c r="G4" i="49"/>
  <c r="I10" i="21" l="1"/>
  <c r="H4" i="49"/>
  <c r="J10" i="21" l="1"/>
  <c r="I4" i="49"/>
  <c r="K10" i="21" l="1"/>
  <c r="J4" i="49"/>
  <c r="L10" i="21" l="1"/>
  <c r="M10" i="21" s="1"/>
  <c r="N10" i="21" s="1"/>
  <c r="O10" i="21" s="1"/>
  <c r="P10" i="21" s="1"/>
  <c r="Q10" i="21" s="1"/>
  <c r="R10" i="21" s="1"/>
  <c r="S10" i="21" s="1"/>
  <c r="T10" i="21" s="1"/>
  <c r="U10" i="21" s="1"/>
  <c r="K4" i="49"/>
  <c r="L4" i="49" l="1"/>
  <c r="M4" i="49" l="1"/>
  <c r="N4" i="49" l="1"/>
  <c r="O4" i="49" l="1"/>
  <c r="P4" i="49" l="1"/>
  <c r="Q4" i="49" l="1"/>
  <c r="R4" i="49" l="1"/>
  <c r="S4" i="49" l="1"/>
  <c r="T4" i="49" l="1"/>
  <c r="U4" i="49" l="1"/>
  <c r="V4" i="49" l="1"/>
  <c r="W4" i="49" l="1"/>
  <c r="X4" i="49" l="1"/>
  <c r="F53" i="44" l="1"/>
  <c r="F57" i="44"/>
  <c r="G57" i="44" s="1"/>
  <c r="H57" i="44" s="1"/>
  <c r="I57" i="44" s="1"/>
  <c r="J57" i="44" s="1"/>
  <c r="K57" i="44" s="1"/>
  <c r="L57" i="44" s="1"/>
  <c r="M57" i="44" s="1"/>
  <c r="N57" i="44" s="1"/>
  <c r="O57" i="44" s="1"/>
  <c r="P57" i="44" s="1"/>
  <c r="Q57" i="44" s="1"/>
  <c r="R57" i="44" s="1"/>
  <c r="S57" i="44" s="1"/>
  <c r="T57" i="44" s="1"/>
  <c r="U57" i="44" s="1"/>
  <c r="V57" i="44" s="1"/>
  <c r="W57" i="44" s="1"/>
  <c r="X57" i="44" s="1"/>
  <c r="F40" i="44"/>
  <c r="G40" i="44" s="1"/>
  <c r="H40" i="44" s="1"/>
  <c r="I40" i="44" s="1"/>
  <c r="J40" i="44" s="1"/>
  <c r="K40" i="44" s="1"/>
  <c r="L40" i="44" s="1"/>
  <c r="M40" i="44" s="1"/>
  <c r="N40" i="44" s="1"/>
  <c r="O40" i="44" s="1"/>
  <c r="P40" i="44" s="1"/>
  <c r="Q40" i="44" s="1"/>
  <c r="R40" i="44" s="1"/>
  <c r="S40" i="44" s="1"/>
  <c r="T40" i="44" s="1"/>
  <c r="U40" i="44" s="1"/>
  <c r="V40" i="44" s="1"/>
  <c r="W40" i="44" s="1"/>
  <c r="X40" i="44" s="1"/>
  <c r="F4" i="44"/>
  <c r="B59" i="44"/>
  <c r="B60" i="44" s="1"/>
  <c r="B61" i="44" s="1"/>
  <c r="B62" i="44" s="1"/>
  <c r="G4" i="44" l="1"/>
  <c r="H4" i="44" s="1"/>
  <c r="I4" i="44" s="1"/>
  <c r="J4" i="44" s="1"/>
  <c r="K4" i="44" s="1"/>
  <c r="L4" i="44" s="1"/>
  <c r="M4" i="44" s="1"/>
  <c r="N4" i="44" s="1"/>
  <c r="O4" i="44" s="1"/>
  <c r="P4" i="44" s="1"/>
  <c r="Q4" i="44" s="1"/>
  <c r="R4" i="44" s="1"/>
  <c r="S4" i="44" s="1"/>
  <c r="T4" i="44" s="1"/>
  <c r="U4" i="44" s="1"/>
  <c r="V4" i="44" s="1"/>
  <c r="W4" i="44" s="1"/>
  <c r="X4" i="44" s="1"/>
  <c r="F14" i="44"/>
  <c r="F10" i="44"/>
  <c r="F45" i="44"/>
  <c r="F8" i="44"/>
  <c r="F44" i="44"/>
  <c r="E4" i="44"/>
  <c r="E22" i="44"/>
  <c r="E26" i="44"/>
  <c r="E29" i="44"/>
  <c r="E35" i="49" l="1"/>
  <c r="E35" i="44" l="1"/>
  <c r="C47" i="40"/>
  <c r="B17" i="40"/>
  <c r="C5" i="40"/>
  <c r="B5" i="40"/>
  <c r="O102" i="21" l="1"/>
  <c r="S102" i="21"/>
  <c r="H102" i="21"/>
  <c r="T102" i="21"/>
  <c r="G102" i="21"/>
  <c r="I102" i="21"/>
  <c r="J102" i="21"/>
  <c r="L102" i="21"/>
  <c r="M102" i="21"/>
  <c r="N102" i="21"/>
  <c r="P102" i="21"/>
  <c r="U102" i="21"/>
  <c r="K102" i="21"/>
  <c r="Q102" i="21"/>
  <c r="R102" i="21"/>
  <c r="E102" i="21"/>
  <c r="F102" i="21"/>
  <c r="H64" i="40"/>
  <c r="D65" i="40"/>
  <c r="H65" i="40" l="1"/>
  <c r="G65" i="40"/>
  <c r="F65" i="40"/>
  <c r="E65" i="40"/>
  <c r="G64" i="40"/>
  <c r="F64" i="40"/>
  <c r="E64" i="40"/>
  <c r="D64" i="40"/>
  <c r="I11" i="35" l="1"/>
  <c r="B5" i="21" l="1"/>
  <c r="B5" i="9"/>
  <c r="G99" i="9" l="1"/>
  <c r="H99" i="9"/>
  <c r="I99" i="9"/>
  <c r="J99" i="9"/>
  <c r="K99" i="9"/>
  <c r="L99" i="9"/>
  <c r="M99" i="9"/>
  <c r="N99" i="9"/>
  <c r="O99" i="9"/>
  <c r="P99" i="9"/>
  <c r="Q99" i="9"/>
  <c r="R99" i="9"/>
  <c r="S99" i="9"/>
  <c r="T99" i="9"/>
  <c r="U99" i="9"/>
  <c r="F99" i="9"/>
  <c r="E99" i="9" l="1"/>
  <c r="B17" i="21" l="1"/>
  <c r="B16" i="9"/>
  <c r="C48" i="40" l="1"/>
  <c r="F35" i="9"/>
  <c r="O23" i="9"/>
  <c r="P23" i="9"/>
  <c r="Q23" i="9"/>
  <c r="R23" i="9"/>
  <c r="S23" i="9"/>
  <c r="T23" i="9"/>
  <c r="U23" i="9"/>
  <c r="G23" i="9"/>
  <c r="H23" i="9"/>
  <c r="I23" i="9"/>
  <c r="J23" i="9"/>
  <c r="L23" i="9"/>
  <c r="N23" i="9"/>
  <c r="K23" i="9"/>
  <c r="M23" i="9"/>
  <c r="C42" i="40"/>
  <c r="F17" i="49" s="1"/>
  <c r="O72" i="40"/>
  <c r="R14" i="49" s="1"/>
  <c r="D15" i="40"/>
  <c r="D73" i="40" s="1"/>
  <c r="N72" i="40"/>
  <c r="Q14" i="49" s="1"/>
  <c r="S15" i="40"/>
  <c r="S73" i="40" s="1"/>
  <c r="C15" i="40"/>
  <c r="M72" i="40"/>
  <c r="P14" i="49" s="1"/>
  <c r="L72" i="40"/>
  <c r="O14" i="49" s="1"/>
  <c r="K72" i="40"/>
  <c r="N14" i="49" s="1"/>
  <c r="O15" i="40"/>
  <c r="O73" i="40" s="1"/>
  <c r="D14" i="40"/>
  <c r="G9" i="49" s="1"/>
  <c r="M15" i="40"/>
  <c r="M73" i="40" s="1"/>
  <c r="L15" i="40"/>
  <c r="L73" i="40" s="1"/>
  <c r="G19" i="40"/>
  <c r="D36" i="40"/>
  <c r="G13" i="49" s="1"/>
  <c r="S72" i="40"/>
  <c r="V14" i="49" s="1"/>
  <c r="C36" i="40"/>
  <c r="F13" i="49" s="1"/>
  <c r="R15" i="40"/>
  <c r="R73" i="40" s="1"/>
  <c r="E37" i="40"/>
  <c r="H11" i="49" s="1"/>
  <c r="Q15" i="40"/>
  <c r="Q73" i="40" s="1"/>
  <c r="D37" i="40"/>
  <c r="G11" i="49" s="1"/>
  <c r="P15" i="40"/>
  <c r="P73" i="40" s="1"/>
  <c r="E14" i="40"/>
  <c r="H9" i="49" s="1"/>
  <c r="C37" i="40"/>
  <c r="F11" i="49" s="1"/>
  <c r="J72" i="40"/>
  <c r="M14" i="49" s="1"/>
  <c r="H19" i="40"/>
  <c r="K15" i="40"/>
  <c r="K73" i="40" s="1"/>
  <c r="J15" i="40"/>
  <c r="J73" i="40" s="1"/>
  <c r="T72" i="40"/>
  <c r="W14" i="49" s="1"/>
  <c r="E19" i="40"/>
  <c r="H15" i="40"/>
  <c r="H73" i="40" s="1"/>
  <c r="D19" i="40"/>
  <c r="I72" i="40"/>
  <c r="L14" i="49" s="1"/>
  <c r="N15" i="40"/>
  <c r="N73" i="40" s="1"/>
  <c r="C14" i="40"/>
  <c r="F9" i="49" s="1"/>
  <c r="H72" i="40"/>
  <c r="K14" i="49" s="1"/>
  <c r="G72" i="40"/>
  <c r="J14" i="49" s="1"/>
  <c r="F72" i="40"/>
  <c r="I14" i="49" s="1"/>
  <c r="U72" i="40"/>
  <c r="X14" i="49" s="1"/>
  <c r="I15" i="40"/>
  <c r="I73" i="40" s="1"/>
  <c r="D42" i="40"/>
  <c r="G17" i="49" s="1"/>
  <c r="C19" i="40"/>
  <c r="P72" i="40"/>
  <c r="S14" i="49" s="1"/>
  <c r="U15" i="40"/>
  <c r="U73" i="40" s="1"/>
  <c r="G15" i="40"/>
  <c r="G73" i="40" s="1"/>
  <c r="R72" i="40"/>
  <c r="U14" i="49" s="1"/>
  <c r="Q72" i="40"/>
  <c r="T14" i="49" s="1"/>
  <c r="F15" i="40"/>
  <c r="F73" i="40" s="1"/>
  <c r="C3" i="40"/>
  <c r="F98" i="9" l="1"/>
  <c r="W50" i="49"/>
  <c r="W50" i="44"/>
  <c r="V50" i="49"/>
  <c r="V50" i="44"/>
  <c r="I48" i="49"/>
  <c r="I48" i="44"/>
  <c r="U50" i="49"/>
  <c r="U50" i="44"/>
  <c r="T50" i="49"/>
  <c r="T50" i="44"/>
  <c r="S50" i="49"/>
  <c r="S50" i="44"/>
  <c r="P50" i="44"/>
  <c r="P50" i="49"/>
  <c r="R50" i="49"/>
  <c r="R50" i="44"/>
  <c r="N50" i="44"/>
  <c r="N50" i="49"/>
  <c r="Q50" i="44"/>
  <c r="Q50" i="49"/>
  <c r="O50" i="44"/>
  <c r="O50" i="49"/>
  <c r="M50" i="44"/>
  <c r="M50" i="49"/>
  <c r="L50" i="49"/>
  <c r="L50" i="44"/>
  <c r="K50" i="49"/>
  <c r="K50" i="44"/>
  <c r="J50" i="49"/>
  <c r="J50" i="44"/>
  <c r="X50" i="49"/>
  <c r="X50" i="44"/>
  <c r="F19" i="40"/>
  <c r="F15" i="49"/>
  <c r="F49" i="49"/>
  <c r="F49" i="44"/>
  <c r="F15" i="44"/>
  <c r="C56" i="9"/>
  <c r="C57" i="21"/>
  <c r="F5" i="44" s="1"/>
  <c r="C57" i="40"/>
  <c r="C22" i="9"/>
  <c r="C27" i="21"/>
  <c r="C27" i="40"/>
  <c r="C26" i="9"/>
  <c r="N13" i="9"/>
  <c r="N14" i="40"/>
  <c r="Q9" i="49" s="1"/>
  <c r="N14" i="21"/>
  <c r="Q9" i="44" s="1"/>
  <c r="U13" i="9"/>
  <c r="U14" i="40"/>
  <c r="X9" i="49" s="1"/>
  <c r="U14" i="21"/>
  <c r="X9" i="44" s="1"/>
  <c r="R13" i="9"/>
  <c r="R14" i="40"/>
  <c r="U9" i="49" s="1"/>
  <c r="R14" i="21"/>
  <c r="U9" i="44" s="1"/>
  <c r="F13" i="9"/>
  <c r="F62" i="9" s="1"/>
  <c r="F14" i="40"/>
  <c r="I9" i="49" s="1"/>
  <c r="F14" i="21"/>
  <c r="I9" i="44" s="1"/>
  <c r="H13" i="9"/>
  <c r="H14" i="21"/>
  <c r="K9" i="44" s="1"/>
  <c r="H14" i="40"/>
  <c r="K9" i="49" s="1"/>
  <c r="I13" i="9"/>
  <c r="I14" i="40"/>
  <c r="L9" i="49" s="1"/>
  <c r="I14" i="21"/>
  <c r="L9" i="44" s="1"/>
  <c r="O13" i="9"/>
  <c r="O14" i="21"/>
  <c r="R9" i="44" s="1"/>
  <c r="O14" i="40"/>
  <c r="R9" i="49" s="1"/>
  <c r="T13" i="9"/>
  <c r="T14" i="21"/>
  <c r="W9" i="44" s="1"/>
  <c r="T14" i="40"/>
  <c r="W9" i="49" s="1"/>
  <c r="P13" i="9"/>
  <c r="P14" i="21"/>
  <c r="S9" i="44" s="1"/>
  <c r="P14" i="40"/>
  <c r="S9" i="49" s="1"/>
  <c r="M13" i="9"/>
  <c r="M14" i="40"/>
  <c r="P9" i="49" s="1"/>
  <c r="M14" i="21"/>
  <c r="P9" i="44" s="1"/>
  <c r="J13" i="9"/>
  <c r="J14" i="40"/>
  <c r="M9" i="49" s="1"/>
  <c r="J14" i="21"/>
  <c r="M9" i="44" s="1"/>
  <c r="S13" i="9"/>
  <c r="S14" i="40"/>
  <c r="V9" i="49" s="1"/>
  <c r="S14" i="21"/>
  <c r="V9" i="44" s="1"/>
  <c r="G13" i="9"/>
  <c r="G14" i="21"/>
  <c r="J9" i="44" s="1"/>
  <c r="G14" i="40"/>
  <c r="J9" i="49" s="1"/>
  <c r="K13" i="9"/>
  <c r="K14" i="21"/>
  <c r="N9" i="44" s="1"/>
  <c r="K14" i="40"/>
  <c r="N9" i="49" s="1"/>
  <c r="Q13" i="9"/>
  <c r="Q14" i="40"/>
  <c r="T9" i="49" s="1"/>
  <c r="Q14" i="21"/>
  <c r="T9" i="44" s="1"/>
  <c r="L13" i="9"/>
  <c r="L14" i="40"/>
  <c r="O9" i="49" s="1"/>
  <c r="L14" i="21"/>
  <c r="O9" i="44" s="1"/>
  <c r="F23" i="9"/>
  <c r="D63" i="40"/>
  <c r="E63" i="40"/>
  <c r="N37" i="9"/>
  <c r="F38" i="40"/>
  <c r="I12" i="49" s="1"/>
  <c r="F37" i="40"/>
  <c r="I11" i="49" s="1"/>
  <c r="F41" i="9"/>
  <c r="F42" i="21"/>
  <c r="I17" i="44" s="1"/>
  <c r="F42" i="40"/>
  <c r="I17" i="49" s="1"/>
  <c r="F37" i="9"/>
  <c r="F38" i="21"/>
  <c r="I12" i="44" s="1"/>
  <c r="F36" i="9"/>
  <c r="F37" i="21"/>
  <c r="I11" i="44" s="1"/>
  <c r="N41" i="9"/>
  <c r="N36" i="9"/>
  <c r="D79" i="40"/>
  <c r="C79" i="40"/>
  <c r="T15" i="40"/>
  <c r="T73" i="40" s="1"/>
  <c r="T74" i="40" s="1"/>
  <c r="C12" i="40"/>
  <c r="F7" i="49" s="1"/>
  <c r="J74" i="40"/>
  <c r="D79" i="21"/>
  <c r="D78" i="9"/>
  <c r="C79" i="21"/>
  <c r="C78" i="9"/>
  <c r="U74" i="40"/>
  <c r="I19" i="40"/>
  <c r="I65" i="40"/>
  <c r="J19" i="40"/>
  <c r="J65" i="40"/>
  <c r="K19" i="40"/>
  <c r="K65" i="40"/>
  <c r="P74" i="40"/>
  <c r="S74" i="40"/>
  <c r="F74" i="40"/>
  <c r="G74" i="40"/>
  <c r="Q74" i="40"/>
  <c r="N19" i="40"/>
  <c r="N65" i="40"/>
  <c r="E14" i="9"/>
  <c r="E15" i="40"/>
  <c r="E73" i="40" s="1"/>
  <c r="E36" i="40"/>
  <c r="H13" i="49" s="1"/>
  <c r="K74" i="40"/>
  <c r="D12" i="21"/>
  <c r="D12" i="40"/>
  <c r="P19" i="40"/>
  <c r="P65" i="40"/>
  <c r="U19" i="40"/>
  <c r="U65" i="40"/>
  <c r="D71" i="9"/>
  <c r="D72" i="40"/>
  <c r="G14" i="49" s="1"/>
  <c r="I74" i="40"/>
  <c r="Q19" i="40"/>
  <c r="Q65" i="40"/>
  <c r="E23" i="9"/>
  <c r="L19" i="40"/>
  <c r="L65" i="40"/>
  <c r="S19" i="40"/>
  <c r="S65" i="40"/>
  <c r="N74" i="40"/>
  <c r="T19" i="40"/>
  <c r="T65" i="40"/>
  <c r="C37" i="9"/>
  <c r="C38" i="40"/>
  <c r="F12" i="49" s="1"/>
  <c r="D37" i="9"/>
  <c r="D38" i="40"/>
  <c r="G12" i="49" s="1"/>
  <c r="O19" i="40"/>
  <c r="O65" i="40"/>
  <c r="E71" i="9"/>
  <c r="E72" i="40"/>
  <c r="E37" i="9"/>
  <c r="E38" i="40"/>
  <c r="H12" i="49" s="1"/>
  <c r="O74" i="40"/>
  <c r="H74" i="40"/>
  <c r="R19" i="40"/>
  <c r="R65" i="40"/>
  <c r="E42" i="40"/>
  <c r="M19" i="40"/>
  <c r="M65" i="40"/>
  <c r="R74" i="40"/>
  <c r="M74" i="40"/>
  <c r="L74" i="40"/>
  <c r="C58" i="8"/>
  <c r="T14" i="9"/>
  <c r="T15" i="21"/>
  <c r="J14" i="9"/>
  <c r="J15" i="21"/>
  <c r="U14" i="9"/>
  <c r="U15" i="21"/>
  <c r="K14" i="9"/>
  <c r="K15" i="21"/>
  <c r="L14" i="9"/>
  <c r="L15" i="21"/>
  <c r="O14" i="9"/>
  <c r="O15" i="21"/>
  <c r="R14" i="9"/>
  <c r="R15" i="21"/>
  <c r="I14" i="9"/>
  <c r="I15" i="21"/>
  <c r="H14" i="9"/>
  <c r="H15" i="21"/>
  <c r="Q14" i="9"/>
  <c r="Q15" i="21"/>
  <c r="S14" i="9"/>
  <c r="S15" i="21"/>
  <c r="P14" i="9"/>
  <c r="P15" i="21"/>
  <c r="F14" i="9"/>
  <c r="F72" i="9" s="1"/>
  <c r="F15" i="21"/>
  <c r="N14" i="9"/>
  <c r="N15" i="21"/>
  <c r="G14" i="9"/>
  <c r="G15" i="21"/>
  <c r="M14" i="9"/>
  <c r="M15" i="21"/>
  <c r="D37" i="21"/>
  <c r="G11" i="44" s="1"/>
  <c r="D36" i="9"/>
  <c r="E38" i="21"/>
  <c r="H12" i="44" s="1"/>
  <c r="C37" i="21"/>
  <c r="F11" i="44" s="1"/>
  <c r="C36" i="9"/>
  <c r="C38" i="21"/>
  <c r="F12" i="44" s="1"/>
  <c r="D38" i="21"/>
  <c r="G12" i="44" s="1"/>
  <c r="E36" i="9"/>
  <c r="E37" i="21"/>
  <c r="H11" i="44" s="1"/>
  <c r="E35" i="9"/>
  <c r="E42" i="21"/>
  <c r="H17" i="44" s="1"/>
  <c r="E41" i="9"/>
  <c r="E15" i="21"/>
  <c r="E14" i="21"/>
  <c r="H9" i="44" s="1"/>
  <c r="E13" i="9"/>
  <c r="E36" i="21"/>
  <c r="C5" i="9"/>
  <c r="G7" i="49" l="1"/>
  <c r="E12" i="40"/>
  <c r="F12" i="40" s="1"/>
  <c r="G12" i="40" s="1"/>
  <c r="H12" i="40" s="1"/>
  <c r="I12" i="40" s="1"/>
  <c r="J12" i="40" s="1"/>
  <c r="K12" i="40" s="1"/>
  <c r="F64" i="9"/>
  <c r="H17" i="49"/>
  <c r="H14" i="49"/>
  <c r="G7" i="44"/>
  <c r="I47" i="44"/>
  <c r="I47" i="49"/>
  <c r="F41" i="49"/>
  <c r="F41" i="44"/>
  <c r="I51" i="49"/>
  <c r="I51" i="44"/>
  <c r="H48" i="49"/>
  <c r="H48" i="44"/>
  <c r="H47" i="44"/>
  <c r="H47" i="49"/>
  <c r="H50" i="49"/>
  <c r="H50" i="44"/>
  <c r="F46" i="49"/>
  <c r="F46" i="44"/>
  <c r="I50" i="49"/>
  <c r="I50" i="44"/>
  <c r="G46" i="49"/>
  <c r="G46" i="44"/>
  <c r="H13" i="44"/>
  <c r="Q46" i="49"/>
  <c r="Q46" i="44"/>
  <c r="H46" i="44"/>
  <c r="H46" i="49"/>
  <c r="Q51" i="49"/>
  <c r="Q51" i="44"/>
  <c r="F47" i="44"/>
  <c r="F47" i="49"/>
  <c r="F5" i="49"/>
  <c r="G47" i="44"/>
  <c r="G47" i="49"/>
  <c r="H51" i="49"/>
  <c r="H51" i="44"/>
  <c r="I46" i="44"/>
  <c r="I46" i="49"/>
  <c r="Q47" i="49"/>
  <c r="Q47" i="44"/>
  <c r="J63" i="40"/>
  <c r="T63" i="40"/>
  <c r="I63" i="40"/>
  <c r="G63" i="40"/>
  <c r="H63" i="40"/>
  <c r="L63" i="40"/>
  <c r="U63" i="40"/>
  <c r="Q63" i="40"/>
  <c r="M63" i="40"/>
  <c r="O63" i="40"/>
  <c r="S63" i="40"/>
  <c r="F63" i="40"/>
  <c r="P63" i="40"/>
  <c r="N63" i="40"/>
  <c r="K63" i="40"/>
  <c r="R63" i="40"/>
  <c r="O41" i="9"/>
  <c r="U41" i="9"/>
  <c r="T41" i="9"/>
  <c r="S41" i="9"/>
  <c r="R41" i="9"/>
  <c r="Q41" i="9"/>
  <c r="P41" i="9"/>
  <c r="F32" i="9"/>
  <c r="D27" i="40"/>
  <c r="G15" i="49" s="1"/>
  <c r="G37" i="9"/>
  <c r="U36" i="9"/>
  <c r="T36" i="9"/>
  <c r="S36" i="9"/>
  <c r="R36" i="9"/>
  <c r="Q36" i="9"/>
  <c r="P36" i="9"/>
  <c r="U37" i="9"/>
  <c r="T37" i="9"/>
  <c r="S37" i="9"/>
  <c r="R37" i="9"/>
  <c r="Q37" i="9"/>
  <c r="P37" i="9"/>
  <c r="N42" i="40"/>
  <c r="Q17" i="49" s="1"/>
  <c r="H41" i="9"/>
  <c r="N42" i="21"/>
  <c r="Q17" i="44" s="1"/>
  <c r="M41" i="9"/>
  <c r="J41" i="9"/>
  <c r="K41" i="9"/>
  <c r="I41" i="9"/>
  <c r="L41" i="9"/>
  <c r="D74" i="40"/>
  <c r="G41" i="9"/>
  <c r="D60" i="40"/>
  <c r="D52" i="40"/>
  <c r="E74" i="40"/>
  <c r="E98" i="9"/>
  <c r="D63" i="9"/>
  <c r="D64" i="9"/>
  <c r="O37" i="9"/>
  <c r="O36" i="9"/>
  <c r="E32" i="9"/>
  <c r="C23" i="9"/>
  <c r="D23" i="9"/>
  <c r="C3" i="9"/>
  <c r="O51" i="49" l="1"/>
  <c r="O51" i="44"/>
  <c r="X47" i="44"/>
  <c r="X47" i="49"/>
  <c r="T51" i="49"/>
  <c r="T51" i="44"/>
  <c r="V51" i="49"/>
  <c r="V51" i="44"/>
  <c r="R46" i="49"/>
  <c r="R46" i="44"/>
  <c r="T46" i="49"/>
  <c r="T46" i="44"/>
  <c r="W51" i="44"/>
  <c r="W51" i="49"/>
  <c r="S46" i="49"/>
  <c r="S46" i="44"/>
  <c r="M51" i="44"/>
  <c r="M51" i="49"/>
  <c r="R47" i="49"/>
  <c r="R47" i="44"/>
  <c r="P51" i="49"/>
  <c r="P51" i="44"/>
  <c r="U46" i="49"/>
  <c r="U46" i="44"/>
  <c r="X51" i="49"/>
  <c r="X51" i="44"/>
  <c r="U51" i="49"/>
  <c r="U51" i="44"/>
  <c r="H52" i="44"/>
  <c r="H52" i="49"/>
  <c r="N51" i="44"/>
  <c r="N51" i="49"/>
  <c r="V46" i="49"/>
  <c r="V46" i="44"/>
  <c r="R51" i="49"/>
  <c r="R51" i="44"/>
  <c r="K51" i="44"/>
  <c r="K51" i="49"/>
  <c r="W46" i="49"/>
  <c r="W46" i="44"/>
  <c r="L51" i="44"/>
  <c r="L51" i="49"/>
  <c r="S51" i="49"/>
  <c r="S51" i="44"/>
  <c r="X46" i="44"/>
  <c r="X46" i="49"/>
  <c r="H37" i="9"/>
  <c r="I37" i="9" s="1"/>
  <c r="J47" i="49"/>
  <c r="J47" i="44"/>
  <c r="W47" i="44"/>
  <c r="W47" i="49"/>
  <c r="S47" i="49"/>
  <c r="S47" i="44"/>
  <c r="G50" i="49"/>
  <c r="G50" i="44"/>
  <c r="T47" i="49"/>
  <c r="T47" i="44"/>
  <c r="F50" i="49"/>
  <c r="F50" i="44"/>
  <c r="U47" i="44"/>
  <c r="U47" i="49"/>
  <c r="J51" i="44"/>
  <c r="J51" i="49"/>
  <c r="V47" i="44"/>
  <c r="V47" i="49"/>
  <c r="I52" i="44"/>
  <c r="I52" i="49"/>
  <c r="G38" i="9"/>
  <c r="O42" i="40"/>
  <c r="R17" i="49" s="1"/>
  <c r="G38" i="21"/>
  <c r="J12" i="44" s="1"/>
  <c r="G38" i="40"/>
  <c r="J12" i="49" s="1"/>
  <c r="E27" i="40"/>
  <c r="H15" i="49" s="1"/>
  <c r="D50" i="40"/>
  <c r="E51" i="40" s="1"/>
  <c r="D51" i="40"/>
  <c r="M42" i="21"/>
  <c r="M42" i="40"/>
  <c r="P17" i="49" s="1"/>
  <c r="N38" i="9"/>
  <c r="N39" i="40" s="1"/>
  <c r="E43" i="40"/>
  <c r="C43" i="40"/>
  <c r="D43" i="40"/>
  <c r="N37" i="40"/>
  <c r="Q11" i="49" s="1"/>
  <c r="N38" i="40"/>
  <c r="Q12" i="49" s="1"/>
  <c r="O38" i="40"/>
  <c r="R12" i="49" s="1"/>
  <c r="G42" i="40"/>
  <c r="D24" i="40"/>
  <c r="G16" i="49" s="1"/>
  <c r="K42" i="40"/>
  <c r="N17" i="49" s="1"/>
  <c r="J42" i="40"/>
  <c r="M17" i="49" s="1"/>
  <c r="I42" i="40"/>
  <c r="L17" i="49" s="1"/>
  <c r="C24" i="40"/>
  <c r="F16" i="49" s="1"/>
  <c r="H42" i="40"/>
  <c r="K17" i="49" s="1"/>
  <c r="L42" i="40"/>
  <c r="O17" i="49" s="1"/>
  <c r="O37" i="21"/>
  <c r="R11" i="44" s="1"/>
  <c r="O37" i="40"/>
  <c r="R11" i="49" s="1"/>
  <c r="E96" i="9"/>
  <c r="T38" i="9"/>
  <c r="T39" i="40" s="1"/>
  <c r="U38" i="9"/>
  <c r="U39" i="40" s="1"/>
  <c r="S38" i="9"/>
  <c r="N37" i="21"/>
  <c r="Q11" i="44" s="1"/>
  <c r="L42" i="21"/>
  <c r="O17" i="44" s="1"/>
  <c r="C24" i="21"/>
  <c r="F16" i="44" s="1"/>
  <c r="D24" i="21"/>
  <c r="J17" i="49" l="1"/>
  <c r="H38" i="21"/>
  <c r="K12" i="44" s="1"/>
  <c r="K47" i="49"/>
  <c r="K47" i="44"/>
  <c r="C77" i="21"/>
  <c r="F6" i="44" s="1"/>
  <c r="C77" i="40"/>
  <c r="F6" i="49" s="1"/>
  <c r="F42" i="44"/>
  <c r="F42" i="49"/>
  <c r="L47" i="49"/>
  <c r="L47" i="44"/>
  <c r="C78" i="21"/>
  <c r="C78" i="40"/>
  <c r="G16" i="44"/>
  <c r="P17" i="44"/>
  <c r="H38" i="40"/>
  <c r="K12" i="49" s="1"/>
  <c r="M38" i="9"/>
  <c r="L38" i="9"/>
  <c r="J38" i="9"/>
  <c r="J39" i="40" s="1"/>
  <c r="F38" i="9"/>
  <c r="F39" i="40" s="1"/>
  <c r="K38" i="9"/>
  <c r="K39" i="40" s="1"/>
  <c r="I38" i="9"/>
  <c r="I39" i="40" s="1"/>
  <c r="H38" i="9"/>
  <c r="C33" i="40"/>
  <c r="F18" i="49" s="1"/>
  <c r="D33" i="40"/>
  <c r="G18" i="49" s="1"/>
  <c r="I38" i="40"/>
  <c r="L12" i="49" s="1"/>
  <c r="F27" i="40"/>
  <c r="I15" i="49" s="1"/>
  <c r="J37" i="9"/>
  <c r="I38" i="21"/>
  <c r="L12" i="44" s="1"/>
  <c r="U42" i="40"/>
  <c r="X17" i="49" s="1"/>
  <c r="Q42" i="40"/>
  <c r="T17" i="49" s="1"/>
  <c r="P42" i="40"/>
  <c r="S17" i="49" s="1"/>
  <c r="S42" i="40"/>
  <c r="V17" i="49" s="1"/>
  <c r="R42" i="40"/>
  <c r="U17" i="49" s="1"/>
  <c r="T42" i="40"/>
  <c r="W17" i="49" s="1"/>
  <c r="G39" i="40"/>
  <c r="E39" i="40"/>
  <c r="E101" i="40"/>
  <c r="E101" i="9"/>
  <c r="F43" i="21"/>
  <c r="F43" i="40"/>
  <c r="C39" i="40"/>
  <c r="S39" i="21"/>
  <c r="S39" i="40"/>
  <c r="S43" i="21"/>
  <c r="S43" i="40"/>
  <c r="G43" i="21"/>
  <c r="G43" i="40"/>
  <c r="P43" i="21"/>
  <c r="P43" i="40"/>
  <c r="O43" i="21"/>
  <c r="O43" i="40"/>
  <c r="T43" i="21"/>
  <c r="T43" i="40"/>
  <c r="I43" i="21"/>
  <c r="I43" i="40"/>
  <c r="Q43" i="21"/>
  <c r="Q43" i="40"/>
  <c r="J43" i="21"/>
  <c r="J43" i="40"/>
  <c r="H43" i="21"/>
  <c r="H43" i="40"/>
  <c r="K43" i="21"/>
  <c r="K43" i="40"/>
  <c r="L43" i="21"/>
  <c r="L43" i="40"/>
  <c r="R43" i="21"/>
  <c r="R43" i="40"/>
  <c r="U43" i="21"/>
  <c r="U43" i="40"/>
  <c r="M43" i="21"/>
  <c r="M43" i="40"/>
  <c r="N43" i="21"/>
  <c r="N43" i="40"/>
  <c r="D39" i="40"/>
  <c r="D43" i="21"/>
  <c r="E43" i="21"/>
  <c r="C43" i="21"/>
  <c r="M47" i="49" l="1"/>
  <c r="M47" i="44"/>
  <c r="L39" i="40"/>
  <c r="M39" i="40"/>
  <c r="J38" i="40"/>
  <c r="M12" i="49" s="1"/>
  <c r="G27" i="40"/>
  <c r="J15" i="49" s="1"/>
  <c r="K37" i="9"/>
  <c r="J38" i="21"/>
  <c r="M12" i="44" s="1"/>
  <c r="H39" i="21"/>
  <c r="H39" i="40"/>
  <c r="N47" i="49" l="1"/>
  <c r="N47" i="44"/>
  <c r="K38" i="40"/>
  <c r="N12" i="49" s="1"/>
  <c r="H27" i="40"/>
  <c r="K15" i="49" s="1"/>
  <c r="L37" i="9"/>
  <c r="K38" i="21"/>
  <c r="N12" i="44" s="1"/>
  <c r="Q38" i="9"/>
  <c r="Q39" i="40" s="1"/>
  <c r="O38" i="9"/>
  <c r="O39" i="40" s="1"/>
  <c r="P38" i="9"/>
  <c r="P39" i="40" s="1"/>
  <c r="R38" i="9"/>
  <c r="C36" i="21"/>
  <c r="F13" i="44" s="1"/>
  <c r="D36" i="21"/>
  <c r="G13" i="44" s="1"/>
  <c r="C12" i="21"/>
  <c r="F7" i="44" s="1"/>
  <c r="C12" i="9"/>
  <c r="D12" i="9"/>
  <c r="F43" i="49" l="1"/>
  <c r="F43" i="44"/>
  <c r="G43" i="49"/>
  <c r="G43" i="44"/>
  <c r="O47" i="49"/>
  <c r="O47" i="44"/>
  <c r="L38" i="40"/>
  <c r="I27" i="40"/>
  <c r="L15" i="49" s="1"/>
  <c r="M37" i="9"/>
  <c r="L38" i="21"/>
  <c r="O12" i="44" s="1"/>
  <c r="D49" i="9"/>
  <c r="R39" i="21"/>
  <c r="R39" i="40"/>
  <c r="E12" i="9"/>
  <c r="O12" i="49" l="1"/>
  <c r="P47" i="49"/>
  <c r="P47" i="44"/>
  <c r="H43" i="49"/>
  <c r="H43" i="44"/>
  <c r="M38" i="40"/>
  <c r="P12" i="49" s="1"/>
  <c r="J27" i="40"/>
  <c r="M15" i="49" s="1"/>
  <c r="M38" i="21"/>
  <c r="P12" i="44" s="1"/>
  <c r="E78" i="9"/>
  <c r="E49" i="9"/>
  <c r="F12" i="9"/>
  <c r="I43" i="49" l="1"/>
  <c r="I43" i="44"/>
  <c r="K27" i="40"/>
  <c r="N15" i="49" s="1"/>
  <c r="P38" i="40"/>
  <c r="S12" i="49" s="1"/>
  <c r="R38" i="40"/>
  <c r="U12" i="49" s="1"/>
  <c r="Q38" i="40"/>
  <c r="T12" i="49" s="1"/>
  <c r="S38" i="40"/>
  <c r="V12" i="49" s="1"/>
  <c r="U38" i="40"/>
  <c r="X12" i="49" s="1"/>
  <c r="T38" i="40"/>
  <c r="W12" i="49" s="1"/>
  <c r="F78" i="9"/>
  <c r="F49" i="9"/>
  <c r="F59" i="9"/>
  <c r="G12" i="9"/>
  <c r="C47" i="21"/>
  <c r="C46" i="9"/>
  <c r="J43" i="49" l="1"/>
  <c r="J43" i="44"/>
  <c r="L27" i="40"/>
  <c r="O15" i="49" s="1"/>
  <c r="G78" i="9"/>
  <c r="G49" i="9"/>
  <c r="H12" i="9"/>
  <c r="D51" i="9"/>
  <c r="E51" i="9"/>
  <c r="F51" i="9"/>
  <c r="B18" i="9"/>
  <c r="K43" i="49" l="1"/>
  <c r="K43" i="44"/>
  <c r="M27" i="40"/>
  <c r="P15" i="49" s="1"/>
  <c r="H49" i="9"/>
  <c r="H78" i="9"/>
  <c r="M27" i="35"/>
  <c r="I12" i="9"/>
  <c r="L43" i="49" l="1"/>
  <c r="L43" i="44"/>
  <c r="N27" i="40"/>
  <c r="Q15" i="49" s="1"/>
  <c r="I78" i="9"/>
  <c r="I49" i="9"/>
  <c r="J12" i="9"/>
  <c r="C5" i="21"/>
  <c r="C7" i="21" l="1"/>
  <c r="C6" i="21"/>
  <c r="M43" i="49"/>
  <c r="M43" i="44"/>
  <c r="O27" i="40"/>
  <c r="R15" i="49" s="1"/>
  <c r="J78" i="9"/>
  <c r="J49" i="9"/>
  <c r="K12" i="9"/>
  <c r="D65" i="21"/>
  <c r="N43" i="49" l="1"/>
  <c r="N43" i="44"/>
  <c r="P27" i="40"/>
  <c r="S15" i="49" s="1"/>
  <c r="D51" i="21"/>
  <c r="K49" i="9"/>
  <c r="K78" i="9"/>
  <c r="L12" i="9"/>
  <c r="G64" i="21"/>
  <c r="E64" i="21"/>
  <c r="F64" i="21"/>
  <c r="H64" i="21"/>
  <c r="D64" i="21"/>
  <c r="O43" i="49" l="1"/>
  <c r="O43" i="44"/>
  <c r="Q27" i="40"/>
  <c r="T15" i="49" s="1"/>
  <c r="D50" i="21"/>
  <c r="E51" i="21" s="1"/>
  <c r="L49" i="9"/>
  <c r="L78" i="9"/>
  <c r="M12" i="9"/>
  <c r="C48" i="21"/>
  <c r="C47" i="9"/>
  <c r="C35" i="9"/>
  <c r="D35" i="9"/>
  <c r="D96" i="9" s="1"/>
  <c r="C3" i="21"/>
  <c r="F48" i="44" l="1"/>
  <c r="F48" i="49"/>
  <c r="G48" i="49"/>
  <c r="G48" i="44"/>
  <c r="P43" i="49"/>
  <c r="P43" i="44"/>
  <c r="C96" i="9"/>
  <c r="R27" i="40"/>
  <c r="U15" i="49" s="1"/>
  <c r="M49" i="9"/>
  <c r="M78" i="9"/>
  <c r="N12" i="9"/>
  <c r="E59" i="9"/>
  <c r="M51" i="9"/>
  <c r="H59" i="9"/>
  <c r="G59" i="9"/>
  <c r="J51" i="9"/>
  <c r="J59" i="9"/>
  <c r="L59" i="9"/>
  <c r="D59" i="9"/>
  <c r="K59" i="9"/>
  <c r="H51" i="9"/>
  <c r="I51" i="9"/>
  <c r="K51" i="9"/>
  <c r="M59" i="9"/>
  <c r="I59" i="9"/>
  <c r="G51" i="9"/>
  <c r="L51" i="9"/>
  <c r="Q43" i="44" l="1"/>
  <c r="Q43" i="49"/>
  <c r="S27" i="40"/>
  <c r="V15" i="49" s="1"/>
  <c r="N49" i="9"/>
  <c r="N78" i="9"/>
  <c r="N51" i="9"/>
  <c r="N59" i="9"/>
  <c r="O12" i="9"/>
  <c r="D27" i="21"/>
  <c r="G15" i="44" s="1"/>
  <c r="C101" i="40"/>
  <c r="C106" i="40" s="1"/>
  <c r="C23" i="40"/>
  <c r="C30" i="40" s="1"/>
  <c r="K39" i="21"/>
  <c r="D52" i="21"/>
  <c r="D50" i="9"/>
  <c r="E50" i="9"/>
  <c r="D60" i="21"/>
  <c r="R43" i="44" l="1"/>
  <c r="R43" i="49"/>
  <c r="T27" i="40"/>
  <c r="W15" i="49" s="1"/>
  <c r="O49" i="9"/>
  <c r="O78" i="9"/>
  <c r="D26" i="9"/>
  <c r="P12" i="9"/>
  <c r="O51" i="9"/>
  <c r="O59" i="9"/>
  <c r="E27" i="21"/>
  <c r="H15" i="44" s="1"/>
  <c r="D101" i="40"/>
  <c r="D106" i="40" s="1"/>
  <c r="D22" i="9"/>
  <c r="D23" i="40" s="1"/>
  <c r="C23" i="21"/>
  <c r="F39" i="21"/>
  <c r="T39" i="21"/>
  <c r="Q39" i="21"/>
  <c r="J39" i="21"/>
  <c r="U39" i="21"/>
  <c r="C39" i="21"/>
  <c r="P39" i="21"/>
  <c r="O39" i="21"/>
  <c r="N39" i="21"/>
  <c r="L39" i="21"/>
  <c r="E39" i="21"/>
  <c r="D39" i="21"/>
  <c r="I39" i="21"/>
  <c r="G39" i="21"/>
  <c r="M39" i="21"/>
  <c r="F65" i="21"/>
  <c r="G65" i="21"/>
  <c r="E65" i="21"/>
  <c r="H65" i="21"/>
  <c r="C29" i="9"/>
  <c r="F50" i="9"/>
  <c r="S43" i="44" l="1"/>
  <c r="S43" i="49"/>
  <c r="G49" i="49"/>
  <c r="G49" i="44"/>
  <c r="U27" i="40"/>
  <c r="X15" i="49" s="1"/>
  <c r="P49" i="9"/>
  <c r="P78" i="9"/>
  <c r="Q12" i="9"/>
  <c r="P59" i="9"/>
  <c r="P51" i="9"/>
  <c r="E26" i="9"/>
  <c r="F27" i="21"/>
  <c r="I15" i="44" s="1"/>
  <c r="D30" i="40"/>
  <c r="D62" i="40" s="1"/>
  <c r="G8" i="49" s="1"/>
  <c r="E22" i="9"/>
  <c r="F22" i="9" s="1"/>
  <c r="D23" i="21"/>
  <c r="G50" i="9"/>
  <c r="D29" i="9"/>
  <c r="D61" i="9" s="1"/>
  <c r="C30" i="21"/>
  <c r="H49" i="49" l="1"/>
  <c r="H49" i="44"/>
  <c r="T43" i="44"/>
  <c r="T43" i="49"/>
  <c r="G44" i="49"/>
  <c r="G44" i="44"/>
  <c r="F26" i="9"/>
  <c r="G22" i="9"/>
  <c r="H22" i="9" s="1"/>
  <c r="I22" i="9" s="1"/>
  <c r="J22" i="9" s="1"/>
  <c r="K22" i="9" s="1"/>
  <c r="L22" i="9" s="1"/>
  <c r="M22" i="9" s="1"/>
  <c r="N22" i="9" s="1"/>
  <c r="O22" i="9" s="1"/>
  <c r="P22" i="9" s="1"/>
  <c r="Q22" i="9" s="1"/>
  <c r="R22" i="9" s="1"/>
  <c r="S22" i="9" s="1"/>
  <c r="T22" i="9" s="1"/>
  <c r="U22" i="9" s="1"/>
  <c r="Q49" i="9"/>
  <c r="Q78" i="9"/>
  <c r="R12" i="9"/>
  <c r="Q59" i="9"/>
  <c r="Q51" i="9"/>
  <c r="G27" i="21"/>
  <c r="J15" i="44" s="1"/>
  <c r="D59" i="40"/>
  <c r="E29" i="9"/>
  <c r="H50" i="9"/>
  <c r="D30" i="21"/>
  <c r="D62" i="21" s="1"/>
  <c r="G8" i="44" s="1"/>
  <c r="I49" i="49" l="1"/>
  <c r="I49" i="44"/>
  <c r="U43" i="44"/>
  <c r="U43" i="49"/>
  <c r="F29" i="9"/>
  <c r="R49" i="9"/>
  <c r="E61" i="9"/>
  <c r="R78" i="9"/>
  <c r="S12" i="9"/>
  <c r="R51" i="9"/>
  <c r="R59" i="9"/>
  <c r="G26" i="9"/>
  <c r="H27" i="21"/>
  <c r="K15" i="44" s="1"/>
  <c r="I50" i="9"/>
  <c r="V43" i="49" l="1"/>
  <c r="V43" i="44"/>
  <c r="H44" i="49"/>
  <c r="H44" i="44"/>
  <c r="J49" i="49"/>
  <c r="J49" i="44"/>
  <c r="S49" i="9"/>
  <c r="S78" i="9"/>
  <c r="T12" i="9"/>
  <c r="S59" i="9"/>
  <c r="S51" i="9"/>
  <c r="H26" i="9"/>
  <c r="I27" i="21"/>
  <c r="L15" i="44" s="1"/>
  <c r="J50" i="9"/>
  <c r="K49" i="49" l="1"/>
  <c r="K49" i="44"/>
  <c r="W43" i="49"/>
  <c r="W43" i="44"/>
  <c r="T49" i="9"/>
  <c r="T78" i="9"/>
  <c r="I26" i="9"/>
  <c r="T51" i="9"/>
  <c r="U12" i="9"/>
  <c r="T59" i="9"/>
  <c r="J27" i="21"/>
  <c r="M15" i="44" s="1"/>
  <c r="K50" i="9"/>
  <c r="L49" i="49" l="1"/>
  <c r="L49" i="44"/>
  <c r="X43" i="49"/>
  <c r="X43" i="44"/>
  <c r="U49" i="9"/>
  <c r="U78" i="9"/>
  <c r="U51" i="9"/>
  <c r="U59" i="9"/>
  <c r="J26" i="9"/>
  <c r="K27" i="21"/>
  <c r="N15" i="44" s="1"/>
  <c r="L50" i="9"/>
  <c r="M49" i="44" l="1"/>
  <c r="M49" i="49"/>
  <c r="K26" i="9"/>
  <c r="L27" i="21"/>
  <c r="O15" i="44" s="1"/>
  <c r="M50" i="9"/>
  <c r="N49" i="49" l="1"/>
  <c r="N49" i="44"/>
  <c r="L26" i="9"/>
  <c r="M27" i="21"/>
  <c r="P15" i="44" s="1"/>
  <c r="N50" i="9"/>
  <c r="O49" i="49" l="1"/>
  <c r="O49" i="44"/>
  <c r="M26" i="9"/>
  <c r="N27" i="21"/>
  <c r="Q15" i="44" s="1"/>
  <c r="O50" i="9"/>
  <c r="P49" i="44" l="1"/>
  <c r="P49" i="49"/>
  <c r="N26" i="9"/>
  <c r="O27" i="21"/>
  <c r="R15" i="44" s="1"/>
  <c r="P50" i="9"/>
  <c r="Q49" i="44" l="1"/>
  <c r="Q49" i="49"/>
  <c r="O26" i="9"/>
  <c r="P27" i="21"/>
  <c r="S15" i="44" s="1"/>
  <c r="Q50" i="9"/>
  <c r="R49" i="44" l="1"/>
  <c r="R49" i="49"/>
  <c r="P26" i="9"/>
  <c r="Q27" i="21"/>
  <c r="T15" i="44" s="1"/>
  <c r="R50" i="9"/>
  <c r="S49" i="44" l="1"/>
  <c r="S49" i="49"/>
  <c r="Q26" i="9"/>
  <c r="R27" i="21"/>
  <c r="U15" i="44" s="1"/>
  <c r="S50" i="9"/>
  <c r="T49" i="44" l="1"/>
  <c r="T49" i="49"/>
  <c r="R26" i="9"/>
  <c r="S27" i="21"/>
  <c r="V15" i="44" s="1"/>
  <c r="T50" i="9"/>
  <c r="U49" i="49" l="1"/>
  <c r="U49" i="44"/>
  <c r="S26" i="9"/>
  <c r="T27" i="21"/>
  <c r="W15" i="44" s="1"/>
  <c r="U50" i="9"/>
  <c r="V49" i="49" l="1"/>
  <c r="V49" i="44"/>
  <c r="T26" i="9"/>
  <c r="U27" i="21"/>
  <c r="X15" i="44" s="1"/>
  <c r="W49" i="49" l="1"/>
  <c r="W49" i="44"/>
  <c r="U26" i="9"/>
  <c r="X49" i="49" l="1"/>
  <c r="X49" i="44"/>
  <c r="K72" i="21"/>
  <c r="N14" i="44" s="1"/>
  <c r="K71" i="9"/>
  <c r="P71" i="9"/>
  <c r="P72" i="21"/>
  <c r="S14" i="44" s="1"/>
  <c r="O72" i="21"/>
  <c r="R14" i="44" s="1"/>
  <c r="O71" i="9"/>
  <c r="H72" i="21"/>
  <c r="K14" i="44" s="1"/>
  <c r="H71" i="9"/>
  <c r="Q72" i="21"/>
  <c r="T14" i="44" s="1"/>
  <c r="Q71" i="9"/>
  <c r="N71" i="9"/>
  <c r="N72" i="21"/>
  <c r="Q14" i="44" s="1"/>
  <c r="E72" i="21"/>
  <c r="H14" i="44" s="1"/>
  <c r="I71" i="9"/>
  <c r="I72" i="21"/>
  <c r="L14" i="44" s="1"/>
  <c r="F71" i="9"/>
  <c r="F72" i="21"/>
  <c r="I14" i="44" s="1"/>
  <c r="S71" i="9"/>
  <c r="S72" i="21"/>
  <c r="V14" i="44" s="1"/>
  <c r="T71" i="9"/>
  <c r="T72" i="21"/>
  <c r="W14" i="44" s="1"/>
  <c r="G71" i="9"/>
  <c r="G72" i="21"/>
  <c r="J14" i="44" s="1"/>
  <c r="R72" i="21"/>
  <c r="U14" i="44" s="1"/>
  <c r="R71" i="9"/>
  <c r="L71" i="9"/>
  <c r="L72" i="21"/>
  <c r="O14" i="44" s="1"/>
  <c r="U72" i="21"/>
  <c r="X14" i="44" s="1"/>
  <c r="U71" i="9"/>
  <c r="M72" i="21"/>
  <c r="P14" i="44" s="1"/>
  <c r="M71" i="9"/>
  <c r="J72" i="21"/>
  <c r="M14" i="44" s="1"/>
  <c r="J71" i="9"/>
  <c r="O73" i="21" l="1"/>
  <c r="O74" i="21" s="1"/>
  <c r="O72" i="9"/>
  <c r="O73" i="9" s="1"/>
  <c r="J73" i="21"/>
  <c r="J74" i="21" s="1"/>
  <c r="J72" i="9"/>
  <c r="J73" i="9" s="1"/>
  <c r="G63" i="21"/>
  <c r="G62" i="9"/>
  <c r="I73" i="21"/>
  <c r="I74" i="21" s="1"/>
  <c r="I72" i="9"/>
  <c r="I73" i="9" s="1"/>
  <c r="E72" i="9"/>
  <c r="E73" i="9" s="1"/>
  <c r="E73" i="21"/>
  <c r="E74" i="21" s="1"/>
  <c r="M72" i="9"/>
  <c r="M73" i="9" s="1"/>
  <c r="M73" i="21"/>
  <c r="M74" i="21" s="1"/>
  <c r="O63" i="21"/>
  <c r="O62" i="9"/>
  <c r="I63" i="21"/>
  <c r="I62" i="9"/>
  <c r="U63" i="21"/>
  <c r="U62" i="9"/>
  <c r="L62" i="9"/>
  <c r="L63" i="21"/>
  <c r="H72" i="9"/>
  <c r="H73" i="9" s="1"/>
  <c r="H73" i="21"/>
  <c r="H74" i="21" s="1"/>
  <c r="U73" i="21"/>
  <c r="U74" i="21" s="1"/>
  <c r="U72" i="9"/>
  <c r="U73" i="9" s="1"/>
  <c r="N72" i="9"/>
  <c r="N73" i="9" s="1"/>
  <c r="N73" i="21"/>
  <c r="N74" i="21" s="1"/>
  <c r="K72" i="9"/>
  <c r="K73" i="9" s="1"/>
  <c r="K73" i="21"/>
  <c r="K74" i="21" s="1"/>
  <c r="S62" i="9"/>
  <c r="S63" i="21"/>
  <c r="M63" i="21"/>
  <c r="M62" i="9"/>
  <c r="J62" i="9"/>
  <c r="J63" i="21"/>
  <c r="L72" i="9"/>
  <c r="L73" i="9" s="1"/>
  <c r="L73" i="21"/>
  <c r="L74" i="21" s="1"/>
  <c r="Q72" i="9"/>
  <c r="Q73" i="9" s="1"/>
  <c r="Q73" i="21"/>
  <c r="Q74" i="21" s="1"/>
  <c r="T73" i="21"/>
  <c r="T74" i="21" s="1"/>
  <c r="T72" i="9"/>
  <c r="T73" i="9" s="1"/>
  <c r="Q63" i="21"/>
  <c r="Q62" i="9"/>
  <c r="K63" i="21"/>
  <c r="K62" i="9"/>
  <c r="R72" i="9"/>
  <c r="R73" i="9" s="1"/>
  <c r="R73" i="21"/>
  <c r="R74" i="21" s="1"/>
  <c r="P63" i="21"/>
  <c r="P62" i="9"/>
  <c r="H62" i="9"/>
  <c r="H63" i="21"/>
  <c r="F63" i="21"/>
  <c r="E62" i="9"/>
  <c r="E63" i="21"/>
  <c r="S72" i="9"/>
  <c r="S73" i="9" s="1"/>
  <c r="S73" i="21"/>
  <c r="S74" i="21" s="1"/>
  <c r="R63" i="21"/>
  <c r="R62" i="9"/>
  <c r="T62" i="9"/>
  <c r="T63" i="21"/>
  <c r="F73" i="9"/>
  <c r="F73" i="21"/>
  <c r="F74" i="21" s="1"/>
  <c r="P72" i="9"/>
  <c r="P73" i="9" s="1"/>
  <c r="P73" i="21"/>
  <c r="P74" i="21" s="1"/>
  <c r="G73" i="21"/>
  <c r="G74" i="21" s="1"/>
  <c r="G72" i="9"/>
  <c r="G73" i="9" s="1"/>
  <c r="N62" i="9"/>
  <c r="N63" i="21"/>
  <c r="D72" i="21" l="1"/>
  <c r="G14" i="44" s="1"/>
  <c r="U20" i="8" l="1"/>
  <c r="S20" i="8"/>
  <c r="H20" i="8"/>
  <c r="R20" i="8"/>
  <c r="Q20" i="8"/>
  <c r="O20" i="8"/>
  <c r="H18" i="9"/>
  <c r="H64" i="9"/>
  <c r="H19" i="21"/>
  <c r="L20" i="8"/>
  <c r="K20" i="8"/>
  <c r="C20" i="8"/>
  <c r="C18" i="40" s="1"/>
  <c r="J18" i="9"/>
  <c r="J64" i="9"/>
  <c r="J19" i="21"/>
  <c r="J65" i="21"/>
  <c r="O65" i="21"/>
  <c r="O18" i="9"/>
  <c r="O19" i="21"/>
  <c r="O64" i="9"/>
  <c r="T20" i="8"/>
  <c r="I20" i="8"/>
  <c r="S18" i="9"/>
  <c r="S19" i="21"/>
  <c r="S64" i="9"/>
  <c r="S65" i="21"/>
  <c r="E20" i="8"/>
  <c r="E18" i="40" s="1"/>
  <c r="P20" i="8"/>
  <c r="F18" i="9"/>
  <c r="F19" i="21"/>
  <c r="P65" i="21"/>
  <c r="P64" i="9"/>
  <c r="P18" i="9"/>
  <c r="P19" i="21"/>
  <c r="E19" i="21"/>
  <c r="E64" i="9"/>
  <c r="E18" i="9"/>
  <c r="J20" i="8"/>
  <c r="N64" i="9"/>
  <c r="N19" i="21"/>
  <c r="N65" i="21"/>
  <c r="N18" i="9"/>
  <c r="Q18" i="9"/>
  <c r="Q19" i="21"/>
  <c r="Q64" i="9"/>
  <c r="Q65" i="21"/>
  <c r="I19" i="21"/>
  <c r="I65" i="21"/>
  <c r="I18" i="9"/>
  <c r="I64" i="9"/>
  <c r="F20" i="8"/>
  <c r="F18" i="40" s="1"/>
  <c r="G20" i="8"/>
  <c r="G18" i="40" s="1"/>
  <c r="G18" i="9"/>
  <c r="G64" i="9"/>
  <c r="G19" i="21"/>
  <c r="K18" i="9"/>
  <c r="K64" i="9"/>
  <c r="K65" i="21"/>
  <c r="K19" i="21"/>
  <c r="L64" i="9"/>
  <c r="L65" i="21"/>
  <c r="L18" i="9"/>
  <c r="L19" i="21"/>
  <c r="D41" i="9"/>
  <c r="D42" i="21"/>
  <c r="G17" i="44" s="1"/>
  <c r="D14" i="21"/>
  <c r="G9" i="44" s="1"/>
  <c r="D13" i="9"/>
  <c r="D62" i="9" s="1"/>
  <c r="D58" i="9" s="1"/>
  <c r="U64" i="9"/>
  <c r="U19" i="21"/>
  <c r="U65" i="21"/>
  <c r="U18" i="9"/>
  <c r="C15" i="21"/>
  <c r="C14" i="9"/>
  <c r="D15" i="21"/>
  <c r="D73" i="21" s="1"/>
  <c r="D74" i="21" s="1"/>
  <c r="D14" i="9"/>
  <c r="D72" i="9" s="1"/>
  <c r="D73" i="9" s="1"/>
  <c r="N20" i="8"/>
  <c r="D20" i="8"/>
  <c r="D18" i="40" s="1"/>
  <c r="D18" i="9"/>
  <c r="D19" i="21"/>
  <c r="C14" i="21"/>
  <c r="F9" i="44" s="1"/>
  <c r="C13" i="9"/>
  <c r="R19" i="21"/>
  <c r="R65" i="21"/>
  <c r="R18" i="9"/>
  <c r="R64" i="9"/>
  <c r="C19" i="21"/>
  <c r="C18" i="9"/>
  <c r="M65" i="21"/>
  <c r="M19" i="21"/>
  <c r="M18" i="9"/>
  <c r="M64" i="9"/>
  <c r="C41" i="9"/>
  <c r="C42" i="21"/>
  <c r="F17" i="44" s="1"/>
  <c r="M20" i="8"/>
  <c r="T65" i="21"/>
  <c r="T64" i="9"/>
  <c r="T19" i="21"/>
  <c r="T18" i="9"/>
  <c r="F51" i="49" l="1"/>
  <c r="F51" i="44"/>
  <c r="G51" i="49"/>
  <c r="G51" i="44"/>
  <c r="D101" i="9"/>
  <c r="C101" i="9"/>
  <c r="D33" i="21"/>
  <c r="G18" i="44" s="1"/>
  <c r="D63" i="21"/>
  <c r="J18" i="40"/>
  <c r="J64" i="40"/>
  <c r="I18" i="40"/>
  <c r="I64" i="40"/>
  <c r="K18" i="40"/>
  <c r="K64" i="40"/>
  <c r="L18" i="40"/>
  <c r="L64" i="40"/>
  <c r="P18" i="40"/>
  <c r="P64" i="40"/>
  <c r="T18" i="40"/>
  <c r="T64" i="40"/>
  <c r="Q18" i="40"/>
  <c r="Q64" i="40"/>
  <c r="R18" i="40"/>
  <c r="R64" i="40"/>
  <c r="H18" i="21"/>
  <c r="H18" i="40"/>
  <c r="S18" i="40"/>
  <c r="S64" i="40"/>
  <c r="N18" i="40"/>
  <c r="N64" i="40"/>
  <c r="M18" i="40"/>
  <c r="M64" i="40"/>
  <c r="O18" i="40"/>
  <c r="O64" i="40"/>
  <c r="U18" i="40"/>
  <c r="U64" i="40"/>
  <c r="F63" i="9"/>
  <c r="I64" i="21"/>
  <c r="K64" i="21"/>
  <c r="L64" i="21"/>
  <c r="P64" i="21"/>
  <c r="J64" i="21"/>
  <c r="T64" i="21"/>
  <c r="Q18" i="21"/>
  <c r="Q64" i="21"/>
  <c r="R64" i="21"/>
  <c r="S64" i="21"/>
  <c r="N64" i="21"/>
  <c r="M64" i="21"/>
  <c r="O64" i="21"/>
  <c r="U64" i="21"/>
  <c r="S17" i="9"/>
  <c r="E63" i="9"/>
  <c r="E58" i="9" s="1"/>
  <c r="U17" i="9"/>
  <c r="R17" i="9"/>
  <c r="Q63" i="9"/>
  <c r="R18" i="21"/>
  <c r="Q17" i="9"/>
  <c r="H17" i="9"/>
  <c r="S18" i="21"/>
  <c r="U18" i="21"/>
  <c r="U63" i="9"/>
  <c r="R63" i="9"/>
  <c r="C32" i="9"/>
  <c r="M63" i="9"/>
  <c r="D17" i="9"/>
  <c r="D18" i="21"/>
  <c r="J18" i="21"/>
  <c r="J17" i="9"/>
  <c r="J63" i="9"/>
  <c r="T42" i="21"/>
  <c r="W17" i="44" s="1"/>
  <c r="P42" i="21"/>
  <c r="S17" i="44" s="1"/>
  <c r="U42" i="21"/>
  <c r="T18" i="21"/>
  <c r="T17" i="9"/>
  <c r="T63" i="9"/>
  <c r="D32" i="9"/>
  <c r="Q42" i="21"/>
  <c r="T17" i="44" s="1"/>
  <c r="N18" i="21"/>
  <c r="N63" i="9"/>
  <c r="N17" i="9"/>
  <c r="G18" i="21"/>
  <c r="G17" i="9"/>
  <c r="G63" i="9"/>
  <c r="S42" i="21"/>
  <c r="V17" i="44" s="1"/>
  <c r="K17" i="9"/>
  <c r="K63" i="9"/>
  <c r="K18" i="21"/>
  <c r="H63" i="9"/>
  <c r="P18" i="21"/>
  <c r="P17" i="9"/>
  <c r="P63" i="9"/>
  <c r="O42" i="21"/>
  <c r="L63" i="9"/>
  <c r="L17" i="9"/>
  <c r="L18" i="21"/>
  <c r="S63" i="9"/>
  <c r="O63" i="9"/>
  <c r="O17" i="9"/>
  <c r="O18" i="21"/>
  <c r="M17" i="9"/>
  <c r="M18" i="21"/>
  <c r="C33" i="21"/>
  <c r="F18" i="44" s="1"/>
  <c r="F17" i="9"/>
  <c r="F18" i="21"/>
  <c r="E17" i="9"/>
  <c r="E18" i="21"/>
  <c r="I63" i="9"/>
  <c r="I17" i="9"/>
  <c r="I18" i="21"/>
  <c r="C18" i="21"/>
  <c r="C17" i="9"/>
  <c r="R42" i="21"/>
  <c r="U17" i="44" s="1"/>
  <c r="R17" i="44" l="1"/>
  <c r="F52" i="49"/>
  <c r="F52" i="44"/>
  <c r="G52" i="44"/>
  <c r="G52" i="49"/>
  <c r="X17" i="44"/>
  <c r="J42" i="21"/>
  <c r="M17" i="44" s="1"/>
  <c r="O38" i="21"/>
  <c r="R12" i="44" s="1"/>
  <c r="I42" i="21"/>
  <c r="L17" i="44" s="1"/>
  <c r="H42" i="21"/>
  <c r="U38" i="21"/>
  <c r="X12" i="44" s="1"/>
  <c r="T38" i="21"/>
  <c r="W12" i="44" s="1"/>
  <c r="S38" i="21"/>
  <c r="V12" i="44" s="1"/>
  <c r="K42" i="21"/>
  <c r="N17" i="44" s="1"/>
  <c r="R38" i="21"/>
  <c r="U12" i="44" s="1"/>
  <c r="P38" i="21"/>
  <c r="S12" i="44" s="1"/>
  <c r="G42" i="21"/>
  <c r="J17" i="44" s="1"/>
  <c r="Q38" i="21"/>
  <c r="T12" i="44" s="1"/>
  <c r="N38" i="21"/>
  <c r="Q12" i="44" s="1"/>
  <c r="K17" i="44" l="1"/>
  <c r="C87" i="9" l="1"/>
  <c r="D67" i="9"/>
  <c r="D68" i="9"/>
  <c r="D69" i="9"/>
  <c r="D68" i="40"/>
  <c r="D69" i="40"/>
  <c r="D70" i="40"/>
  <c r="C92" i="40"/>
  <c r="F58" i="49" s="1"/>
  <c r="D68" i="21"/>
  <c r="D69" i="21"/>
  <c r="D70" i="21"/>
  <c r="C90" i="21"/>
  <c r="F58" i="44" s="1"/>
  <c r="G45" i="49" l="1"/>
  <c r="G45" i="44"/>
  <c r="G10" i="49"/>
  <c r="G10" i="44"/>
  <c r="F59" i="44"/>
  <c r="F62" i="44"/>
  <c r="F61" i="44"/>
  <c r="F60" i="44"/>
  <c r="D76" i="9" l="1"/>
  <c r="D77" i="9"/>
  <c r="D71" i="40"/>
  <c r="D71" i="21"/>
  <c r="D66" i="9"/>
  <c r="D57" i="9" s="1"/>
  <c r="D56" i="9" s="1"/>
  <c r="D99" i="21"/>
  <c r="D67" i="40" l="1"/>
  <c r="D58" i="40" s="1"/>
  <c r="D57" i="40" s="1"/>
  <c r="G5" i="49" s="1"/>
  <c r="D78" i="40"/>
  <c r="D77" i="40"/>
  <c r="G6" i="49" s="1"/>
  <c r="D67" i="21"/>
  <c r="D78" i="21"/>
  <c r="E12" i="21" s="1"/>
  <c r="G41" i="44"/>
  <c r="G41" i="49"/>
  <c r="G42" i="44"/>
  <c r="G42" i="49"/>
  <c r="E67" i="9"/>
  <c r="E69" i="9"/>
  <c r="E68" i="9"/>
  <c r="D87" i="9"/>
  <c r="D104" i="21"/>
  <c r="E87" i="9" l="1"/>
  <c r="D90" i="9"/>
  <c r="D88" i="9"/>
  <c r="D92" i="9"/>
  <c r="D91" i="9"/>
  <c r="D89" i="9"/>
  <c r="D92" i="40"/>
  <c r="G58" i="49" s="1"/>
  <c r="E70" i="40"/>
  <c r="H45" i="44"/>
  <c r="H45" i="49"/>
  <c r="E71" i="40"/>
  <c r="D95" i="40" l="1"/>
  <c r="D93" i="40"/>
  <c r="D96" i="40"/>
  <c r="G61" i="49" s="1"/>
  <c r="D97" i="40"/>
  <c r="G62" i="49" s="1"/>
  <c r="D94" i="40"/>
  <c r="G59" i="49" s="1"/>
  <c r="D87" i="40"/>
  <c r="D88" i="40" s="1"/>
  <c r="E76" i="9"/>
  <c r="E77" i="9"/>
  <c r="E71" i="21"/>
  <c r="G60" i="49"/>
  <c r="E66" i="9"/>
  <c r="E57" i="9" s="1"/>
  <c r="E56" i="9" s="1"/>
  <c r="H41" i="44" l="1"/>
  <c r="H41" i="49"/>
  <c r="H42" i="44"/>
  <c r="H42" i="49"/>
  <c r="D99" i="40"/>
  <c r="F69" i="9"/>
  <c r="E102" i="40" l="1"/>
  <c r="D98" i="40"/>
  <c r="E97" i="9"/>
  <c r="E99" i="21"/>
  <c r="E103" i="40" l="1"/>
  <c r="D94" i="9"/>
  <c r="D93" i="9"/>
  <c r="E83" i="9"/>
  <c r="E91" i="9" s="1"/>
  <c r="E92" i="9" l="1"/>
  <c r="E84" i="9"/>
  <c r="E90" i="9" s="1"/>
  <c r="C99" i="21"/>
  <c r="C104" i="21" s="1"/>
  <c r="E89" i="9" l="1"/>
  <c r="E88" i="9" l="1"/>
  <c r="F97" i="9" s="1"/>
  <c r="D59" i="21"/>
  <c r="D77" i="21" l="1"/>
  <c r="E93" i="9"/>
  <c r="E94" i="9"/>
  <c r="D58" i="21"/>
  <c r="D57" i="21" s="1"/>
  <c r="G5" i="44" s="1"/>
  <c r="G6" i="44" l="1"/>
  <c r="D90" i="21"/>
  <c r="E70" i="21"/>
  <c r="G58" i="44" l="1"/>
  <c r="D92" i="21"/>
  <c r="D93" i="21"/>
  <c r="D94" i="21"/>
  <c r="D91" i="21"/>
  <c r="D95" i="21"/>
  <c r="D85" i="21"/>
  <c r="D86" i="21" s="1"/>
  <c r="G59" i="44" l="1"/>
  <c r="G60" i="44"/>
  <c r="G62" i="44"/>
  <c r="G61" i="44"/>
  <c r="E100" i="21" l="1"/>
  <c r="E101" i="21" s="1"/>
  <c r="D97" i="21"/>
  <c r="D96" i="21"/>
  <c r="G36" i="9" l="1"/>
  <c r="J46" i="44" l="1"/>
  <c r="J46" i="49"/>
  <c r="F96" i="9"/>
  <c r="G37" i="40"/>
  <c r="J11" i="49" s="1"/>
  <c r="H36" i="9"/>
  <c r="G37" i="21"/>
  <c r="J11" i="44" s="1"/>
  <c r="K46" i="44" l="1"/>
  <c r="K46" i="49"/>
  <c r="H37" i="40"/>
  <c r="I36" i="9"/>
  <c r="H37" i="21"/>
  <c r="K11" i="44" s="1"/>
  <c r="K11" i="49" l="1"/>
  <c r="L46" i="44"/>
  <c r="L46" i="49"/>
  <c r="I37" i="40"/>
  <c r="J36" i="9"/>
  <c r="I37" i="21"/>
  <c r="L11" i="44" s="1"/>
  <c r="M46" i="49" l="1"/>
  <c r="M46" i="44"/>
  <c r="L11" i="49"/>
  <c r="J37" i="40"/>
  <c r="K36" i="9"/>
  <c r="J37" i="21"/>
  <c r="M11" i="44" s="1"/>
  <c r="M11" i="49" l="1"/>
  <c r="N46" i="49"/>
  <c r="N46" i="44"/>
  <c r="K37" i="40"/>
  <c r="L36" i="9"/>
  <c r="K37" i="21"/>
  <c r="N11" i="44" s="1"/>
  <c r="N11" i="49" l="1"/>
  <c r="O46" i="49"/>
  <c r="O46" i="44"/>
  <c r="L37" i="40"/>
  <c r="M36" i="9"/>
  <c r="L37" i="21"/>
  <c r="O11" i="44" s="1"/>
  <c r="P46" i="49" l="1"/>
  <c r="P46" i="44"/>
  <c r="O11" i="49"/>
  <c r="M37" i="40"/>
  <c r="P11" i="49" s="1"/>
  <c r="M37" i="21"/>
  <c r="P11" i="44" s="1"/>
  <c r="Q37" i="40" l="1"/>
  <c r="T11" i="49" s="1"/>
  <c r="Q37" i="21"/>
  <c r="T11" i="44" s="1"/>
  <c r="P37" i="21"/>
  <c r="S11" i="44" s="1"/>
  <c r="P37" i="40"/>
  <c r="S11" i="49" s="1"/>
  <c r="T37" i="21"/>
  <c r="W11" i="44" s="1"/>
  <c r="T37" i="40"/>
  <c r="W11" i="49" s="1"/>
  <c r="S37" i="40"/>
  <c r="V11" i="49" s="1"/>
  <c r="S37" i="21"/>
  <c r="V11" i="44" s="1"/>
  <c r="U37" i="40"/>
  <c r="X11" i="49" s="1"/>
  <c r="U37" i="21"/>
  <c r="X11" i="44" s="1"/>
  <c r="R37" i="21"/>
  <c r="U11" i="44" s="1"/>
  <c r="R37" i="40"/>
  <c r="U11" i="49" s="1"/>
  <c r="R29" i="9" l="1"/>
  <c r="R61" i="9" s="1"/>
  <c r="U29" i="9"/>
  <c r="U61" i="9" s="1"/>
  <c r="S32" i="9"/>
  <c r="R32" i="9"/>
  <c r="L32" i="9"/>
  <c r="I29" i="9"/>
  <c r="J29" i="9"/>
  <c r="H29" i="9"/>
  <c r="N32" i="9"/>
  <c r="S29" i="9"/>
  <c r="S61" i="9" s="1"/>
  <c r="G29" i="9"/>
  <c r="Q29" i="9"/>
  <c r="Q61" i="9" s="1"/>
  <c r="O29" i="9"/>
  <c r="O61" i="9" s="1"/>
  <c r="M29" i="9"/>
  <c r="M61" i="9" s="1"/>
  <c r="K32" i="9"/>
  <c r="Q32" i="9"/>
  <c r="P32" i="9"/>
  <c r="T29" i="9"/>
  <c r="T61" i="9" s="1"/>
  <c r="P29" i="9"/>
  <c r="P61" i="9" s="1"/>
  <c r="N29" i="9"/>
  <c r="N61" i="9" s="1"/>
  <c r="L29" i="9"/>
  <c r="L61" i="9" s="1"/>
  <c r="K29" i="9"/>
  <c r="K61" i="9" s="1"/>
  <c r="G32" i="9"/>
  <c r="I32" i="9"/>
  <c r="F101" i="9"/>
  <c r="O32" i="9"/>
  <c r="O52" i="49" l="1"/>
  <c r="O52" i="44"/>
  <c r="T52" i="49"/>
  <c r="T52" i="44"/>
  <c r="R44" i="44"/>
  <c r="R44" i="49"/>
  <c r="V44" i="49"/>
  <c r="V44" i="44"/>
  <c r="U52" i="49"/>
  <c r="U52" i="44"/>
  <c r="T44" i="49"/>
  <c r="T44" i="44"/>
  <c r="L52" i="49"/>
  <c r="L52" i="44"/>
  <c r="V52" i="49"/>
  <c r="V52" i="44"/>
  <c r="N52" i="49"/>
  <c r="N52" i="44"/>
  <c r="R52" i="49"/>
  <c r="R52" i="44"/>
  <c r="J52" i="44"/>
  <c r="J52" i="49"/>
  <c r="N44" i="44"/>
  <c r="N44" i="49"/>
  <c r="Q44" i="44"/>
  <c r="Q44" i="49"/>
  <c r="X44" i="49"/>
  <c r="X44" i="44"/>
  <c r="P44" i="44"/>
  <c r="P44" i="49"/>
  <c r="Q52" i="49"/>
  <c r="Q52" i="44"/>
  <c r="O44" i="44"/>
  <c r="O44" i="49"/>
  <c r="S44" i="49"/>
  <c r="S44" i="44"/>
  <c r="W44" i="49"/>
  <c r="W44" i="44"/>
  <c r="S52" i="49"/>
  <c r="S52" i="44"/>
  <c r="U44" i="49"/>
  <c r="U44" i="44"/>
  <c r="L58" i="9"/>
  <c r="K58" i="9"/>
  <c r="S58" i="9"/>
  <c r="H61" i="9"/>
  <c r="J61" i="9"/>
  <c r="I61" i="9"/>
  <c r="G61" i="9"/>
  <c r="F61" i="9"/>
  <c r="T32" i="9"/>
  <c r="M32" i="9"/>
  <c r="U32" i="9"/>
  <c r="M58" i="9"/>
  <c r="P58" i="9"/>
  <c r="Q58" i="9"/>
  <c r="N58" i="9"/>
  <c r="T58" i="9"/>
  <c r="U58" i="9"/>
  <c r="H32" i="9"/>
  <c r="R58" i="9"/>
  <c r="O58" i="9"/>
  <c r="J32" i="9"/>
  <c r="K52" i="44" l="1"/>
  <c r="K52" i="49"/>
  <c r="K44" i="49"/>
  <c r="K44" i="44"/>
  <c r="L44" i="49"/>
  <c r="L44" i="44"/>
  <c r="M44" i="49"/>
  <c r="M44" i="44"/>
  <c r="X52" i="44"/>
  <c r="X52" i="49"/>
  <c r="P52" i="49"/>
  <c r="P52" i="44"/>
  <c r="W52" i="44"/>
  <c r="W52" i="49"/>
  <c r="I44" i="49"/>
  <c r="I44" i="44"/>
  <c r="M52" i="49"/>
  <c r="M52" i="44"/>
  <c r="J44" i="49"/>
  <c r="J44" i="44"/>
  <c r="F58" i="9"/>
  <c r="H58" i="9"/>
  <c r="I58" i="9"/>
  <c r="J58" i="9"/>
  <c r="G58" i="9"/>
  <c r="F87" i="9"/>
  <c r="F67" i="9"/>
  <c r="F68" i="9"/>
  <c r="I45" i="49" l="1"/>
  <c r="I45" i="44"/>
  <c r="F83" i="9"/>
  <c r="F92" i="9" s="1"/>
  <c r="F71" i="40" l="1"/>
  <c r="F71" i="21"/>
  <c r="F77" i="9"/>
  <c r="F66" i="9"/>
  <c r="F57" i="9" s="1"/>
  <c r="F56" i="9" s="1"/>
  <c r="F76" i="9"/>
  <c r="F91" i="9"/>
  <c r="F84" i="9"/>
  <c r="F89" i="9" s="1"/>
  <c r="I42" i="49" l="1"/>
  <c r="I42" i="44"/>
  <c r="G69" i="9"/>
  <c r="I41" i="44"/>
  <c r="I41" i="49"/>
  <c r="G68" i="9"/>
  <c r="F90" i="9"/>
  <c r="F88" i="9" s="1"/>
  <c r="G97" i="9" l="1"/>
  <c r="G98" i="9" s="1"/>
  <c r="G96" i="9" s="1"/>
  <c r="F94" i="9"/>
  <c r="F93" i="9"/>
  <c r="G35" i="9" l="1"/>
  <c r="G101" i="9"/>
  <c r="G87" i="9" s="1"/>
  <c r="J48" i="49" l="1"/>
  <c r="J48" i="44"/>
  <c r="G83" i="9"/>
  <c r="G84" i="9" s="1"/>
  <c r="G67" i="9"/>
  <c r="J45" i="49" l="1"/>
  <c r="J45" i="44"/>
  <c r="G77" i="9"/>
  <c r="G76" i="9"/>
  <c r="G91" i="9"/>
  <c r="G89" i="9"/>
  <c r="G92" i="9"/>
  <c r="G90" i="9"/>
  <c r="G66" i="9"/>
  <c r="G57" i="9" s="1"/>
  <c r="G56" i="9" s="1"/>
  <c r="J42" i="49" l="1"/>
  <c r="J42" i="44"/>
  <c r="J41" i="44"/>
  <c r="J41" i="49"/>
  <c r="G88" i="9"/>
  <c r="G94" i="9" s="1"/>
  <c r="H69" i="9"/>
  <c r="H68" i="9"/>
  <c r="H97" i="9" l="1"/>
  <c r="H98" i="9" s="1"/>
  <c r="H96" i="9" s="1"/>
  <c r="H101" i="9" s="1"/>
  <c r="H87" i="9" s="1"/>
  <c r="G93" i="9"/>
  <c r="H35" i="9" l="1"/>
  <c r="H83" i="9"/>
  <c r="H84" i="9" s="1"/>
  <c r="H67" i="9" l="1"/>
  <c r="H77" i="9" s="1"/>
  <c r="K48" i="49"/>
  <c r="K48" i="44"/>
  <c r="H92" i="9"/>
  <c r="H90" i="9"/>
  <c r="H89" i="9"/>
  <c r="H91" i="9"/>
  <c r="H66" i="9"/>
  <c r="H57" i="9" s="1"/>
  <c r="H56" i="9" s="1"/>
  <c r="H76" i="9" l="1"/>
  <c r="K42" i="49" s="1"/>
  <c r="K41" i="44"/>
  <c r="K41" i="49"/>
  <c r="K45" i="44"/>
  <c r="K45" i="49"/>
  <c r="H88" i="9"/>
  <c r="I97" i="9" s="1"/>
  <c r="I98" i="9" s="1"/>
  <c r="I96" i="9" s="1"/>
  <c r="I35" i="9" s="1"/>
  <c r="I69" i="9"/>
  <c r="I68" i="9"/>
  <c r="K42" i="44" l="1"/>
  <c r="L48" i="49"/>
  <c r="L48" i="44"/>
  <c r="H94" i="9"/>
  <c r="H93" i="9"/>
  <c r="I67" i="9"/>
  <c r="I101" i="9"/>
  <c r="I87" i="9" s="1"/>
  <c r="L45" i="44" l="1"/>
  <c r="L45" i="49"/>
  <c r="I77" i="9"/>
  <c r="I76" i="9"/>
  <c r="I66" i="9"/>
  <c r="I57" i="9" s="1"/>
  <c r="I56" i="9" s="1"/>
  <c r="I83" i="9"/>
  <c r="L42" i="49" l="1"/>
  <c r="L42" i="44"/>
  <c r="L41" i="49"/>
  <c r="L41" i="44"/>
  <c r="J69" i="9"/>
  <c r="J68" i="9"/>
  <c r="I92" i="9"/>
  <c r="I84" i="9"/>
  <c r="I89" i="9" s="1"/>
  <c r="I91" i="9"/>
  <c r="I90" i="9" l="1"/>
  <c r="I88" i="9" s="1"/>
  <c r="J97" i="9" s="1"/>
  <c r="J98" i="9" s="1"/>
  <c r="J96" i="9" s="1"/>
  <c r="I94" i="9" l="1"/>
  <c r="I93" i="9"/>
  <c r="J35" i="9"/>
  <c r="J101" i="9"/>
  <c r="J87" i="9" s="1"/>
  <c r="M48" i="49" l="1"/>
  <c r="M48" i="44"/>
  <c r="J83" i="9"/>
  <c r="J92" i="9" s="1"/>
  <c r="J67" i="9"/>
  <c r="M45" i="44" l="1"/>
  <c r="M45" i="49"/>
  <c r="J77" i="9"/>
  <c r="J76" i="9"/>
  <c r="J91" i="9"/>
  <c r="J66" i="9"/>
  <c r="J57" i="9" s="1"/>
  <c r="J56" i="9" s="1"/>
  <c r="J84" i="9"/>
  <c r="J90" i="9" s="1"/>
  <c r="M41" i="49" l="1"/>
  <c r="M41" i="44"/>
  <c r="M42" i="49"/>
  <c r="M42" i="44"/>
  <c r="J89" i="9"/>
  <c r="J88" i="9" s="1"/>
  <c r="J93" i="9" s="1"/>
  <c r="K68" i="9"/>
  <c r="K69" i="9"/>
  <c r="K97" i="9" l="1"/>
  <c r="K98" i="9" s="1"/>
  <c r="K96" i="9" s="1"/>
  <c r="K101" i="9" s="1"/>
  <c r="K87" i="9" s="1"/>
  <c r="J94" i="9"/>
  <c r="K35" i="9" l="1"/>
  <c r="K83" i="9"/>
  <c r="N48" i="49" l="1"/>
  <c r="N48" i="44"/>
  <c r="K67" i="9"/>
  <c r="K84" i="9"/>
  <c r="K90" i="9" s="1"/>
  <c r="K92" i="9"/>
  <c r="K91" i="9"/>
  <c r="N45" i="44" l="1"/>
  <c r="N45" i="49"/>
  <c r="K66" i="9"/>
  <c r="K57" i="9" s="1"/>
  <c r="K56" i="9" s="1"/>
  <c r="L69" i="9" s="1"/>
  <c r="K77" i="9"/>
  <c r="K76" i="9"/>
  <c r="K89" i="9"/>
  <c r="K88" i="9" s="1"/>
  <c r="L68" i="9" l="1"/>
  <c r="N42" i="49"/>
  <c r="N42" i="44"/>
  <c r="N41" i="49"/>
  <c r="N41" i="44"/>
  <c r="K94" i="9"/>
  <c r="K93" i="9"/>
  <c r="L97" i="9"/>
  <c r="L98" i="9" s="1"/>
  <c r="L96" i="9" s="1"/>
  <c r="L101" i="9" s="1"/>
  <c r="L87" i="9" s="1"/>
  <c r="L35" i="9" l="1"/>
  <c r="L83" i="9"/>
  <c r="L91" i="9" s="1"/>
  <c r="O48" i="49" l="1"/>
  <c r="O48" i="44"/>
  <c r="L67" i="9"/>
  <c r="L92" i="9"/>
  <c r="L84" i="9"/>
  <c r="L89" i="9" s="1"/>
  <c r="O45" i="44" l="1"/>
  <c r="O45" i="49"/>
  <c r="L77" i="9"/>
  <c r="L76" i="9"/>
  <c r="L66" i="9"/>
  <c r="L57" i="9" s="1"/>
  <c r="L56" i="9" s="1"/>
  <c r="L90" i="9"/>
  <c r="L88" i="9" s="1"/>
  <c r="O41" i="49" l="1"/>
  <c r="O41" i="44"/>
  <c r="O42" i="49"/>
  <c r="O42" i="44"/>
  <c r="M69" i="9"/>
  <c r="M68" i="9"/>
  <c r="L93" i="9"/>
  <c r="M97" i="9"/>
  <c r="M98" i="9" s="1"/>
  <c r="M96" i="9" s="1"/>
  <c r="L94" i="9"/>
  <c r="M101" i="9" l="1"/>
  <c r="M87" i="9" s="1"/>
  <c r="M35" i="9"/>
  <c r="P48" i="49" l="1"/>
  <c r="P48" i="44"/>
  <c r="M67" i="9"/>
  <c r="M83" i="9"/>
  <c r="P45" i="49" l="1"/>
  <c r="P45" i="44"/>
  <c r="M77" i="9"/>
  <c r="M76" i="9"/>
  <c r="M84" i="9"/>
  <c r="M89" i="9" s="1"/>
  <c r="M91" i="9"/>
  <c r="M92" i="9"/>
  <c r="M66" i="9"/>
  <c r="M57" i="9" s="1"/>
  <c r="M56" i="9" s="1"/>
  <c r="P42" i="49" l="1"/>
  <c r="P42" i="44"/>
  <c r="P41" i="49"/>
  <c r="P41" i="44"/>
  <c r="M90" i="9"/>
  <c r="M88" i="9" s="1"/>
  <c r="N69" i="9"/>
  <c r="N68" i="9"/>
  <c r="M93" i="9" l="1"/>
  <c r="M94" i="9"/>
  <c r="N97" i="9"/>
  <c r="N98" i="9" s="1"/>
  <c r="N96" i="9" s="1"/>
  <c r="N35" i="9" l="1"/>
  <c r="N101" i="9"/>
  <c r="N87" i="9" s="1"/>
  <c r="Q48" i="49" l="1"/>
  <c r="Q48" i="44"/>
  <c r="N83" i="9"/>
  <c r="N67" i="9"/>
  <c r="Q45" i="49" l="1"/>
  <c r="Q45" i="44"/>
  <c r="N77" i="9"/>
  <c r="N76" i="9"/>
  <c r="N66" i="9"/>
  <c r="N57" i="9" s="1"/>
  <c r="N56" i="9" s="1"/>
  <c r="N84" i="9"/>
  <c r="N89" i="9" s="1"/>
  <c r="N91" i="9"/>
  <c r="N92" i="9"/>
  <c r="Q42" i="44" l="1"/>
  <c r="Q42" i="49"/>
  <c r="Q41" i="49"/>
  <c r="Q41" i="44"/>
  <c r="N90" i="9"/>
  <c r="N88" i="9" s="1"/>
  <c r="O68" i="9"/>
  <c r="O69" i="9"/>
  <c r="O97" i="9" l="1"/>
  <c r="O98" i="9" s="1"/>
  <c r="O96" i="9" s="1"/>
  <c r="O101" i="9" s="1"/>
  <c r="O87" i="9" s="1"/>
  <c r="N94" i="9"/>
  <c r="N93" i="9"/>
  <c r="O35" i="9" l="1"/>
  <c r="O83" i="9"/>
  <c r="R48" i="44" l="1"/>
  <c r="R48" i="49"/>
  <c r="O67" i="9"/>
  <c r="O92" i="9"/>
  <c r="O91" i="9"/>
  <c r="O84" i="9"/>
  <c r="O90" i="9" s="1"/>
  <c r="R45" i="49" l="1"/>
  <c r="R45" i="44"/>
  <c r="O66" i="9"/>
  <c r="O57" i="9" s="1"/>
  <c r="O56" i="9" s="1"/>
  <c r="O77" i="9"/>
  <c r="O76" i="9"/>
  <c r="O89" i="9"/>
  <c r="O88" i="9" s="1"/>
  <c r="P97" i="9" s="1"/>
  <c r="P98" i="9" s="1"/>
  <c r="P96" i="9" s="1"/>
  <c r="P68" i="9" l="1"/>
  <c r="P69" i="9"/>
  <c r="R42" i="49"/>
  <c r="R42" i="44"/>
  <c r="R41" i="49"/>
  <c r="R41" i="44"/>
  <c r="O94" i="9"/>
  <c r="O93" i="9"/>
  <c r="P35" i="9"/>
  <c r="P101" i="9"/>
  <c r="P87" i="9" s="1"/>
  <c r="S48" i="44" l="1"/>
  <c r="S48" i="49"/>
  <c r="P67" i="9"/>
  <c r="P83" i="9"/>
  <c r="P91" i="9" s="1"/>
  <c r="S45" i="49" l="1"/>
  <c r="S45" i="44"/>
  <c r="P77" i="9"/>
  <c r="P76" i="9"/>
  <c r="P66" i="9"/>
  <c r="P57" i="9" s="1"/>
  <c r="P56" i="9" s="1"/>
  <c r="P84" i="9"/>
  <c r="P89" i="9" s="1"/>
  <c r="P92" i="9"/>
  <c r="S42" i="49" l="1"/>
  <c r="S42" i="44"/>
  <c r="S41" i="49"/>
  <c r="S41" i="44"/>
  <c r="P90" i="9"/>
  <c r="P88" i="9" s="1"/>
  <c r="Q68" i="9"/>
  <c r="Q69" i="9"/>
  <c r="P93" i="9" l="1"/>
  <c r="Q97" i="9"/>
  <c r="Q98" i="9" s="1"/>
  <c r="Q96" i="9" s="1"/>
  <c r="Q35" i="9" s="1"/>
  <c r="P94" i="9"/>
  <c r="T48" i="44" l="1"/>
  <c r="T48" i="49"/>
  <c r="Q101" i="9"/>
  <c r="Q87" i="9" s="1"/>
  <c r="Q67" i="9"/>
  <c r="T45" i="49" l="1"/>
  <c r="T45" i="44"/>
  <c r="Q77" i="9"/>
  <c r="Q76" i="9"/>
  <c r="Q83" i="9"/>
  <c r="Q92" i="9" s="1"/>
  <c r="Q66" i="9"/>
  <c r="Q57" i="9" s="1"/>
  <c r="Q56" i="9" s="1"/>
  <c r="T42" i="44" l="1"/>
  <c r="T42" i="49"/>
  <c r="T41" i="49"/>
  <c r="T41" i="44"/>
  <c r="Q91" i="9"/>
  <c r="Q84" i="9"/>
  <c r="Q89" i="9" s="1"/>
  <c r="R68" i="9"/>
  <c r="R69" i="9"/>
  <c r="Q90" i="9" l="1"/>
  <c r="Q88" i="9" s="1"/>
  <c r="Q93" i="9" l="1"/>
  <c r="Q94" i="9"/>
  <c r="R97" i="9"/>
  <c r="R98" i="9" s="1"/>
  <c r="R96" i="9" s="1"/>
  <c r="R35" i="9" s="1"/>
  <c r="R67" i="9" l="1"/>
  <c r="R76" i="9" s="1"/>
  <c r="U48" i="44"/>
  <c r="U48" i="49"/>
  <c r="R101" i="9"/>
  <c r="R87" i="9" s="1"/>
  <c r="R66" i="9" l="1"/>
  <c r="R57" i="9" s="1"/>
  <c r="R56" i="9" s="1"/>
  <c r="U41" i="49" s="1"/>
  <c r="R77" i="9"/>
  <c r="U42" i="44"/>
  <c r="U42" i="49"/>
  <c r="U41" i="44"/>
  <c r="U45" i="49"/>
  <c r="U45" i="44"/>
  <c r="R83" i="9"/>
  <c r="R92" i="9" s="1"/>
  <c r="S69" i="9"/>
  <c r="S68" i="9"/>
  <c r="R91" i="9" l="1"/>
  <c r="R84" i="9"/>
  <c r="R89" i="9" s="1"/>
  <c r="R90" i="9" l="1"/>
  <c r="R88" i="9" s="1"/>
  <c r="R93" i="9" l="1"/>
  <c r="R94" i="9"/>
  <c r="S97" i="9"/>
  <c r="S98" i="9" s="1"/>
  <c r="S96" i="9" s="1"/>
  <c r="S101" i="9" l="1"/>
  <c r="S87" i="9" s="1"/>
  <c r="S35" i="9"/>
  <c r="S67" i="9" l="1"/>
  <c r="V48" i="44"/>
  <c r="V48" i="49"/>
  <c r="S83" i="9"/>
  <c r="S92" i="9" s="1"/>
  <c r="S91" i="9" l="1"/>
  <c r="S84" i="9"/>
  <c r="S90" i="9" s="1"/>
  <c r="S76" i="9"/>
  <c r="S77" i="9"/>
  <c r="S66" i="9"/>
  <c r="S57" i="9" s="1"/>
  <c r="S56" i="9" s="1"/>
  <c r="V45" i="49"/>
  <c r="V45" i="44"/>
  <c r="S89" i="9" l="1"/>
  <c r="S88" i="9" s="1"/>
  <c r="V41" i="49"/>
  <c r="T69" i="9"/>
  <c r="V41" i="44"/>
  <c r="T68" i="9"/>
  <c r="V42" i="44"/>
  <c r="V42" i="49"/>
  <c r="S94" i="9"/>
  <c r="T97" i="9"/>
  <c r="T98" i="9" s="1"/>
  <c r="T96" i="9" s="1"/>
  <c r="S93" i="9"/>
  <c r="T35" i="9" l="1"/>
  <c r="T101" i="9"/>
  <c r="T87" i="9" s="1"/>
  <c r="T83" i="9" l="1"/>
  <c r="T67" i="9"/>
  <c r="W48" i="49"/>
  <c r="W48" i="44"/>
  <c r="T77" i="9" l="1"/>
  <c r="W45" i="44"/>
  <c r="T76" i="9"/>
  <c r="T66" i="9"/>
  <c r="T57" i="9" s="1"/>
  <c r="T56" i="9" s="1"/>
  <c r="W45" i="49"/>
  <c r="T84" i="9"/>
  <c r="T90" i="9" s="1"/>
  <c r="T92" i="9"/>
  <c r="T91" i="9"/>
  <c r="T89" i="9" l="1"/>
  <c r="T88" i="9" s="1"/>
  <c r="U97" i="9" s="1"/>
  <c r="U98" i="9" s="1"/>
  <c r="U96" i="9" s="1"/>
  <c r="U69" i="9"/>
  <c r="U68" i="9"/>
  <c r="W41" i="44"/>
  <c r="W41" i="49"/>
  <c r="W42" i="44"/>
  <c r="W42" i="49"/>
  <c r="T93" i="9" l="1"/>
  <c r="T94" i="9"/>
  <c r="U101" i="9"/>
  <c r="U87" i="9" s="1"/>
  <c r="U35" i="9"/>
  <c r="X48" i="44" l="1"/>
  <c r="U67" i="9"/>
  <c r="X48" i="49"/>
  <c r="U83" i="9"/>
  <c r="U92" i="9" l="1"/>
  <c r="U91" i="9"/>
  <c r="U84" i="9"/>
  <c r="U89" i="9" s="1"/>
  <c r="U66" i="9"/>
  <c r="U57" i="9" s="1"/>
  <c r="U56" i="9" s="1"/>
  <c r="X45" i="44"/>
  <c r="U76" i="9"/>
  <c r="U77" i="9"/>
  <c r="X45" i="49"/>
  <c r="U90" i="9" l="1"/>
  <c r="X42" i="44"/>
  <c r="X42" i="49"/>
  <c r="X41" i="44"/>
  <c r="X41" i="49"/>
  <c r="U88" i="9" l="1"/>
  <c r="U94" i="9" s="1"/>
  <c r="U93" i="9" l="1"/>
  <c r="E60" i="21" l="1"/>
  <c r="E50" i="21" l="1"/>
  <c r="H7" i="44"/>
  <c r="E52" i="21"/>
  <c r="E79" i="21"/>
  <c r="E13" i="21"/>
  <c r="G18" i="35"/>
  <c r="E23" i="21" l="1"/>
  <c r="H7" i="49"/>
  <c r="E52" i="40"/>
  <c r="E13" i="40"/>
  <c r="G25" i="35"/>
  <c r="E79" i="40"/>
  <c r="E50" i="40"/>
  <c r="E60" i="40"/>
  <c r="E23" i="40" l="1"/>
  <c r="E30" i="21"/>
  <c r="E24" i="21"/>
  <c r="I7" i="49"/>
  <c r="F52" i="40"/>
  <c r="F60" i="40"/>
  <c r="H25" i="35"/>
  <c r="F79" i="40"/>
  <c r="F13" i="40"/>
  <c r="F50" i="40"/>
  <c r="E30" i="40" l="1"/>
  <c r="E24" i="40"/>
  <c r="E33" i="21"/>
  <c r="E69" i="21" s="1"/>
  <c r="H16" i="44"/>
  <c r="E104" i="21"/>
  <c r="J7" i="49"/>
  <c r="G50" i="40"/>
  <c r="G52" i="40"/>
  <c r="G79" i="40"/>
  <c r="G13" i="40"/>
  <c r="I25" i="35"/>
  <c r="G60" i="40"/>
  <c r="E62" i="21"/>
  <c r="F51" i="21"/>
  <c r="E90" i="21" l="1"/>
  <c r="H58" i="44" s="1"/>
  <c r="E68" i="21"/>
  <c r="H18" i="44"/>
  <c r="J25" i="35"/>
  <c r="H50" i="40"/>
  <c r="K7" i="49"/>
  <c r="H13" i="40"/>
  <c r="H52" i="40"/>
  <c r="J27" i="35"/>
  <c r="H79" i="40"/>
  <c r="H60" i="40"/>
  <c r="E33" i="40"/>
  <c r="H16" i="49"/>
  <c r="E106" i="40"/>
  <c r="H8" i="44"/>
  <c r="E59" i="21"/>
  <c r="E62" i="40"/>
  <c r="F51" i="40"/>
  <c r="F23" i="40" s="1"/>
  <c r="E85" i="21" l="1"/>
  <c r="E86" i="21" s="1"/>
  <c r="E77" i="21"/>
  <c r="H8" i="49"/>
  <c r="E59" i="40"/>
  <c r="H18" i="49"/>
  <c r="E68" i="40"/>
  <c r="E92" i="40"/>
  <c r="L7" i="49"/>
  <c r="I79" i="40"/>
  <c r="I52" i="40"/>
  <c r="I13" i="40"/>
  <c r="K25" i="35"/>
  <c r="I60" i="40"/>
  <c r="I50" i="40"/>
  <c r="H10" i="44"/>
  <c r="E67" i="21"/>
  <c r="E58" i="21" s="1"/>
  <c r="E57" i="21" s="1"/>
  <c r="E78" i="21"/>
  <c r="F12" i="21" s="1"/>
  <c r="E69" i="40"/>
  <c r="F30" i="40"/>
  <c r="F24" i="40"/>
  <c r="H58" i="49" l="1"/>
  <c r="E94" i="21"/>
  <c r="H61" i="44" s="1"/>
  <c r="E93" i="21"/>
  <c r="H60" i="44" s="1"/>
  <c r="E95" i="21"/>
  <c r="H62" i="44" s="1"/>
  <c r="E92" i="21"/>
  <c r="H59" i="44" s="1"/>
  <c r="H5" i="44"/>
  <c r="F70" i="21"/>
  <c r="E87" i="40"/>
  <c r="E88" i="40" s="1"/>
  <c r="H10" i="49"/>
  <c r="E67" i="40"/>
  <c r="E58" i="40" s="1"/>
  <c r="E57" i="40" s="1"/>
  <c r="E78" i="40"/>
  <c r="G26" i="35" s="1"/>
  <c r="E77" i="40"/>
  <c r="H6" i="49" s="1"/>
  <c r="I16" i="49"/>
  <c r="F33" i="40"/>
  <c r="I18" i="49" s="1"/>
  <c r="M7" i="49"/>
  <c r="J13" i="40"/>
  <c r="L25" i="35"/>
  <c r="J79" i="40"/>
  <c r="J52" i="40"/>
  <c r="J50" i="40"/>
  <c r="J60" i="40"/>
  <c r="G19" i="35"/>
  <c r="F62" i="40"/>
  <c r="G51" i="40"/>
  <c r="G23" i="40" s="1"/>
  <c r="H6" i="44"/>
  <c r="E91" i="21" l="1"/>
  <c r="E97" i="21"/>
  <c r="E96" i="21"/>
  <c r="F100" i="21"/>
  <c r="F101" i="21" s="1"/>
  <c r="F99" i="21" s="1"/>
  <c r="H5" i="49"/>
  <c r="F70" i="40"/>
  <c r="F69" i="40"/>
  <c r="I7" i="44"/>
  <c r="H18" i="35"/>
  <c r="F52" i="21"/>
  <c r="F60" i="21"/>
  <c r="F50" i="21"/>
  <c r="F79" i="21"/>
  <c r="F13" i="21"/>
  <c r="E97" i="40"/>
  <c r="H62" i="49" s="1"/>
  <c r="G30" i="40"/>
  <c r="G24" i="40"/>
  <c r="I8" i="49"/>
  <c r="F59" i="40"/>
  <c r="E95" i="40"/>
  <c r="H60" i="49" s="1"/>
  <c r="E94" i="40"/>
  <c r="H59" i="49" s="1"/>
  <c r="N7" i="49"/>
  <c r="M25" i="35"/>
  <c r="K13" i="40"/>
  <c r="K79" i="40"/>
  <c r="K52" i="40"/>
  <c r="K50" i="40"/>
  <c r="K60" i="40"/>
  <c r="L12" i="40"/>
  <c r="E96" i="40"/>
  <c r="H61" i="49" s="1"/>
  <c r="F36" i="21" l="1"/>
  <c r="J16" i="49"/>
  <c r="G33" i="40"/>
  <c r="J18" i="49" s="1"/>
  <c r="F23" i="21"/>
  <c r="O7" i="49"/>
  <c r="L79" i="40"/>
  <c r="L52" i="40"/>
  <c r="L13" i="40"/>
  <c r="L50" i="40"/>
  <c r="L60" i="40"/>
  <c r="M12" i="40"/>
  <c r="E93" i="40"/>
  <c r="E98" i="40" s="1"/>
  <c r="G62" i="40"/>
  <c r="H51" i="40"/>
  <c r="H23" i="40" s="1"/>
  <c r="I13" i="44" l="1"/>
  <c r="J8" i="49"/>
  <c r="G59" i="40"/>
  <c r="F30" i="21"/>
  <c r="F24" i="21"/>
  <c r="P7" i="49"/>
  <c r="M13" i="40"/>
  <c r="M52" i="40"/>
  <c r="M79" i="40"/>
  <c r="M50" i="40"/>
  <c r="M60" i="40"/>
  <c r="N12" i="40"/>
  <c r="H24" i="40"/>
  <c r="H30" i="40"/>
  <c r="E99" i="40"/>
  <c r="F102" i="40"/>
  <c r="F62" i="21" l="1"/>
  <c r="G51" i="21"/>
  <c r="F103" i="40"/>
  <c r="I16" i="44"/>
  <c r="F33" i="21"/>
  <c r="F69" i="21" s="1"/>
  <c r="F104" i="21"/>
  <c r="K16" i="49"/>
  <c r="H33" i="40"/>
  <c r="K18" i="49" s="1"/>
  <c r="N13" i="40"/>
  <c r="N79" i="40"/>
  <c r="N52" i="40"/>
  <c r="Q7" i="49"/>
  <c r="N50" i="40"/>
  <c r="N60" i="40"/>
  <c r="O12" i="40"/>
  <c r="N51" i="40"/>
  <c r="H62" i="40"/>
  <c r="I51" i="40"/>
  <c r="I23" i="40" s="1"/>
  <c r="I18" i="44" l="1"/>
  <c r="F68" i="21"/>
  <c r="O51" i="40"/>
  <c r="F101" i="40"/>
  <c r="K8" i="49"/>
  <c r="H59" i="40"/>
  <c r="I8" i="44"/>
  <c r="F59" i="21"/>
  <c r="R7" i="49"/>
  <c r="O52" i="40"/>
  <c r="O13" i="40"/>
  <c r="O79" i="40"/>
  <c r="O60" i="40"/>
  <c r="O50" i="40"/>
  <c r="P12" i="40"/>
  <c r="I30" i="40"/>
  <c r="I24" i="40"/>
  <c r="F90" i="21"/>
  <c r="I62" i="40" l="1"/>
  <c r="J51" i="40"/>
  <c r="J23" i="40" s="1"/>
  <c r="P51" i="40"/>
  <c r="F106" i="40"/>
  <c r="F92" i="40" s="1"/>
  <c r="F36" i="40"/>
  <c r="I10" i="44"/>
  <c r="F67" i="21"/>
  <c r="F58" i="21" s="1"/>
  <c r="F57" i="21" s="1"/>
  <c r="F78" i="21"/>
  <c r="G12" i="21" s="1"/>
  <c r="L16" i="49"/>
  <c r="I33" i="40"/>
  <c r="L18" i="49" s="1"/>
  <c r="S7" i="49"/>
  <c r="P52" i="40"/>
  <c r="P79" i="40"/>
  <c r="P13" i="40"/>
  <c r="P50" i="40"/>
  <c r="P60" i="40"/>
  <c r="Q12" i="40"/>
  <c r="I58" i="44"/>
  <c r="F85" i="21"/>
  <c r="F86" i="21" s="1"/>
  <c r="F77" i="21"/>
  <c r="I58" i="49" l="1"/>
  <c r="F92" i="21"/>
  <c r="I59" i="44" s="1"/>
  <c r="F93" i="21"/>
  <c r="I60" i="44" s="1"/>
  <c r="I6" i="44"/>
  <c r="I5" i="44"/>
  <c r="G70" i="21"/>
  <c r="H19" i="35"/>
  <c r="T7" i="49"/>
  <c r="Q52" i="40"/>
  <c r="Q79" i="40"/>
  <c r="Q13" i="40"/>
  <c r="Q50" i="40"/>
  <c r="Q60" i="40"/>
  <c r="R12" i="40"/>
  <c r="I13" i="49"/>
  <c r="F68" i="40"/>
  <c r="Q51" i="40"/>
  <c r="F87" i="40"/>
  <c r="F88" i="40" s="1"/>
  <c r="J30" i="40"/>
  <c r="J24" i="40"/>
  <c r="F94" i="21"/>
  <c r="I61" i="44" s="1"/>
  <c r="L8" i="49"/>
  <c r="I59" i="40"/>
  <c r="F95" i="21"/>
  <c r="I62" i="44" s="1"/>
  <c r="F96" i="40" l="1"/>
  <c r="I61" i="49" s="1"/>
  <c r="F94" i="40"/>
  <c r="I59" i="49" s="1"/>
  <c r="F95" i="40"/>
  <c r="I60" i="49" s="1"/>
  <c r="F97" i="40"/>
  <c r="I62" i="49" s="1"/>
  <c r="F91" i="21"/>
  <c r="F96" i="21" s="1"/>
  <c r="M16" i="49"/>
  <c r="J33" i="40"/>
  <c r="M18" i="49" s="1"/>
  <c r="J62" i="40"/>
  <c r="K51" i="40"/>
  <c r="K23" i="40" s="1"/>
  <c r="I10" i="49"/>
  <c r="F67" i="40"/>
  <c r="F58" i="40" s="1"/>
  <c r="F57" i="40" s="1"/>
  <c r="F78" i="40"/>
  <c r="H26" i="35" s="1"/>
  <c r="F77" i="40"/>
  <c r="I6" i="49" s="1"/>
  <c r="R51" i="40"/>
  <c r="U7" i="49"/>
  <c r="R13" i="40"/>
  <c r="R79" i="40"/>
  <c r="R52" i="40"/>
  <c r="R50" i="40"/>
  <c r="R60" i="40"/>
  <c r="S12" i="40"/>
  <c r="F93" i="40" l="1"/>
  <c r="F97" i="21"/>
  <c r="G100" i="21"/>
  <c r="G101" i="21" s="1"/>
  <c r="G99" i="21" s="1"/>
  <c r="M8" i="49"/>
  <c r="J59" i="40"/>
  <c r="S52" i="40"/>
  <c r="S13" i="40"/>
  <c r="S79" i="40"/>
  <c r="V7" i="49"/>
  <c r="S50" i="40"/>
  <c r="T12" i="40"/>
  <c r="S60" i="40"/>
  <c r="S51" i="40"/>
  <c r="G69" i="40"/>
  <c r="G70" i="40"/>
  <c r="I5" i="49"/>
  <c r="G36" i="21"/>
  <c r="K30" i="40"/>
  <c r="K24" i="40"/>
  <c r="G102" i="40" l="1"/>
  <c r="F99" i="40"/>
  <c r="F98" i="40"/>
  <c r="W7" i="49"/>
  <c r="T79" i="40"/>
  <c r="T52" i="40"/>
  <c r="T13" i="40"/>
  <c r="T50" i="40"/>
  <c r="U12" i="40"/>
  <c r="T60" i="40"/>
  <c r="N16" i="49"/>
  <c r="K33" i="40"/>
  <c r="N18" i="49" s="1"/>
  <c r="T51" i="40"/>
  <c r="K62" i="40"/>
  <c r="L51" i="40"/>
  <c r="L23" i="40" s="1"/>
  <c r="M51" i="40"/>
  <c r="J13" i="44"/>
  <c r="I18" i="35" l="1"/>
  <c r="G79" i="21"/>
  <c r="G50" i="21"/>
  <c r="G52" i="21"/>
  <c r="J7" i="44"/>
  <c r="G13" i="21"/>
  <c r="G60" i="21"/>
  <c r="G103" i="40"/>
  <c r="U51" i="40"/>
  <c r="X7" i="49"/>
  <c r="U79" i="40"/>
  <c r="U52" i="40"/>
  <c r="U13" i="40"/>
  <c r="U50" i="40"/>
  <c r="U60" i="40"/>
  <c r="L30" i="40"/>
  <c r="L62" i="40" s="1"/>
  <c r="L24" i="40"/>
  <c r="N8" i="49"/>
  <c r="K59" i="40"/>
  <c r="M23" i="40"/>
  <c r="N23" i="40" s="1"/>
  <c r="G23" i="21" l="1"/>
  <c r="G30" i="21" s="1"/>
  <c r="G101" i="40"/>
  <c r="O23" i="40"/>
  <c r="N30" i="40"/>
  <c r="N62" i="40" s="1"/>
  <c r="O16" i="49"/>
  <c r="L33" i="40"/>
  <c r="O18" i="49" s="1"/>
  <c r="O8" i="49"/>
  <c r="L59" i="40"/>
  <c r="M24" i="40"/>
  <c r="M30" i="40"/>
  <c r="M62" i="40" s="1"/>
  <c r="N24" i="40"/>
  <c r="G24" i="21" l="1"/>
  <c r="J16" i="44"/>
  <c r="G104" i="21"/>
  <c r="G33" i="21"/>
  <c r="H51" i="21"/>
  <c r="G62" i="21"/>
  <c r="G106" i="40"/>
  <c r="G92" i="40" s="1"/>
  <c r="G36" i="40"/>
  <c r="Q8" i="49"/>
  <c r="N59" i="40"/>
  <c r="O30" i="40"/>
  <c r="O62" i="40" s="1"/>
  <c r="O24" i="40"/>
  <c r="P23" i="40"/>
  <c r="P8" i="49"/>
  <c r="M59" i="40"/>
  <c r="N33" i="40"/>
  <c r="Q18" i="49" s="1"/>
  <c r="Q16" i="49"/>
  <c r="P16" i="49"/>
  <c r="M33" i="40"/>
  <c r="P18" i="49" s="1"/>
  <c r="J58" i="49" l="1"/>
  <c r="J8" i="44"/>
  <c r="G59" i="21"/>
  <c r="G90" i="21"/>
  <c r="G69" i="21"/>
  <c r="J18" i="44"/>
  <c r="G68" i="21"/>
  <c r="J13" i="49"/>
  <c r="G68" i="40"/>
  <c r="G87" i="40"/>
  <c r="P30" i="40"/>
  <c r="P62" i="40" s="1"/>
  <c r="P24" i="40"/>
  <c r="Q23" i="40"/>
  <c r="O33" i="40"/>
  <c r="R18" i="49" s="1"/>
  <c r="R16" i="49"/>
  <c r="R8" i="49"/>
  <c r="O59" i="40"/>
  <c r="G78" i="21" l="1"/>
  <c r="H12" i="21" s="1"/>
  <c r="G67" i="21"/>
  <c r="G58" i="21" s="1"/>
  <c r="G57" i="21" s="1"/>
  <c r="J10" i="44"/>
  <c r="G85" i="21"/>
  <c r="G95" i="21" s="1"/>
  <c r="J62" i="44" s="1"/>
  <c r="J58" i="44"/>
  <c r="G77" i="21"/>
  <c r="G88" i="40"/>
  <c r="G95" i="40" s="1"/>
  <c r="J60" i="49" s="1"/>
  <c r="G96" i="40"/>
  <c r="J61" i="49" s="1"/>
  <c r="G97" i="40"/>
  <c r="J62" i="49" s="1"/>
  <c r="G78" i="40"/>
  <c r="I26" i="35" s="1"/>
  <c r="J10" i="49"/>
  <c r="G67" i="40"/>
  <c r="G58" i="40" s="1"/>
  <c r="G57" i="40" s="1"/>
  <c r="G77" i="40"/>
  <c r="J6" i="49" s="1"/>
  <c r="Q30" i="40"/>
  <c r="Q62" i="40" s="1"/>
  <c r="Q24" i="40"/>
  <c r="R23" i="40"/>
  <c r="S16" i="49"/>
  <c r="P33" i="40"/>
  <c r="S18" i="49" s="1"/>
  <c r="S8" i="49"/>
  <c r="P59" i="40"/>
  <c r="G94" i="21" l="1"/>
  <c r="J61" i="44" s="1"/>
  <c r="J6" i="44"/>
  <c r="G86" i="21"/>
  <c r="J5" i="44"/>
  <c r="H70" i="21"/>
  <c r="I19" i="35"/>
  <c r="G94" i="40"/>
  <c r="H70" i="40"/>
  <c r="J5" i="49"/>
  <c r="H69" i="40"/>
  <c r="R30" i="40"/>
  <c r="R62" i="40" s="1"/>
  <c r="R24" i="40"/>
  <c r="S23" i="40"/>
  <c r="T16" i="49"/>
  <c r="Q33" i="40"/>
  <c r="T18" i="49" s="1"/>
  <c r="Q59" i="40"/>
  <c r="T8" i="49"/>
  <c r="G93" i="40" l="1"/>
  <c r="J59" i="49"/>
  <c r="G93" i="21"/>
  <c r="J60" i="44" s="1"/>
  <c r="G92" i="21"/>
  <c r="J59" i="44" s="1"/>
  <c r="G98" i="40"/>
  <c r="H102" i="40"/>
  <c r="G99" i="40"/>
  <c r="U8" i="49"/>
  <c r="R59" i="40"/>
  <c r="S24" i="40"/>
  <c r="T23" i="40"/>
  <c r="S30" i="40"/>
  <c r="S62" i="40" s="1"/>
  <c r="R33" i="40"/>
  <c r="U18" i="49" s="1"/>
  <c r="U16" i="49"/>
  <c r="G91" i="21" l="1"/>
  <c r="G96" i="21" s="1"/>
  <c r="H103" i="40"/>
  <c r="G97" i="21"/>
  <c r="H100" i="21"/>
  <c r="H101" i="21" s="1"/>
  <c r="H99" i="21" s="1"/>
  <c r="H36" i="21" s="1"/>
  <c r="H101" i="40"/>
  <c r="V8" i="49"/>
  <c r="S59" i="40"/>
  <c r="T24" i="40"/>
  <c r="T30" i="40"/>
  <c r="T62" i="40" s="1"/>
  <c r="U23" i="40"/>
  <c r="S33" i="40"/>
  <c r="V18" i="49" s="1"/>
  <c r="V16" i="49"/>
  <c r="K13" i="44" l="1"/>
  <c r="H36" i="40"/>
  <c r="H106" i="40"/>
  <c r="H92" i="40" s="1"/>
  <c r="U30" i="40"/>
  <c r="U62" i="40" s="1"/>
  <c r="U24" i="40"/>
  <c r="W8" i="49"/>
  <c r="T59" i="40"/>
  <c r="W16" i="49"/>
  <c r="T33" i="40"/>
  <c r="W18" i="49" s="1"/>
  <c r="K58" i="49" l="1"/>
  <c r="K7" i="44"/>
  <c r="H13" i="21"/>
  <c r="H52" i="21"/>
  <c r="J18" i="35"/>
  <c r="H50" i="21"/>
  <c r="H23" i="21" s="1"/>
  <c r="J20" i="35"/>
  <c r="H79" i="21"/>
  <c r="H60" i="21"/>
  <c r="H87" i="40"/>
  <c r="H88" i="40" s="1"/>
  <c r="H95" i="40" s="1"/>
  <c r="K60" i="49" s="1"/>
  <c r="H68" i="40"/>
  <c r="K13" i="49"/>
  <c r="X16" i="49"/>
  <c r="U33" i="40"/>
  <c r="X18" i="49" s="1"/>
  <c r="X8" i="49"/>
  <c r="U59" i="40"/>
  <c r="H24" i="21" l="1"/>
  <c r="H30" i="21"/>
  <c r="H62" i="21" s="1"/>
  <c r="H59" i="21" s="1"/>
  <c r="H94" i="40"/>
  <c r="H97" i="40"/>
  <c r="K62" i="49" s="1"/>
  <c r="H96" i="40"/>
  <c r="K61" i="49" s="1"/>
  <c r="H67" i="40"/>
  <c r="H58" i="40" s="1"/>
  <c r="H57" i="40" s="1"/>
  <c r="H78" i="40"/>
  <c r="J26" i="35" s="1"/>
  <c r="K10" i="49"/>
  <c r="H77" i="40"/>
  <c r="K6" i="49" s="1"/>
  <c r="H93" i="40" l="1"/>
  <c r="I102" i="40" s="1"/>
  <c r="I103" i="40" s="1"/>
  <c r="K59" i="49"/>
  <c r="H104" i="21"/>
  <c r="H90" i="21" s="1"/>
  <c r="H85" i="21" s="1"/>
  <c r="H86" i="21" s="1"/>
  <c r="K16" i="44"/>
  <c r="H33" i="21"/>
  <c r="K8" i="44"/>
  <c r="I51" i="21"/>
  <c r="K5" i="49"/>
  <c r="I69" i="40"/>
  <c r="I70" i="40"/>
  <c r="H99" i="40" l="1"/>
  <c r="H98" i="40"/>
  <c r="H93" i="21"/>
  <c r="K60" i="44" s="1"/>
  <c r="H95" i="21"/>
  <c r="K62" i="44" s="1"/>
  <c r="H94" i="21"/>
  <c r="K61" i="44" s="1"/>
  <c r="H92" i="21"/>
  <c r="K59" i="44" s="1"/>
  <c r="K58" i="44"/>
  <c r="H69" i="21"/>
  <c r="K18" i="44"/>
  <c r="H68" i="21"/>
  <c r="I101" i="40"/>
  <c r="H91" i="21"/>
  <c r="H96" i="21" s="1"/>
  <c r="H67" i="21" l="1"/>
  <c r="H58" i="21" s="1"/>
  <c r="H57" i="21" s="1"/>
  <c r="H77" i="21"/>
  <c r="K10" i="44"/>
  <c r="H78" i="21"/>
  <c r="I12" i="21" s="1"/>
  <c r="H97" i="21"/>
  <c r="I100" i="21"/>
  <c r="I101" i="21" s="1"/>
  <c r="I99" i="21" s="1"/>
  <c r="I36" i="21" s="1"/>
  <c r="I106" i="40"/>
  <c r="I92" i="40" s="1"/>
  <c r="I36" i="40"/>
  <c r="L58" i="49" l="1"/>
  <c r="J19" i="35"/>
  <c r="I70" i="21"/>
  <c r="K5" i="44"/>
  <c r="K6" i="44"/>
  <c r="I68" i="40"/>
  <c r="L13" i="49"/>
  <c r="I87" i="40"/>
  <c r="L13" i="44"/>
  <c r="I13" i="21"/>
  <c r="I88" i="40" l="1"/>
  <c r="I95" i="40" s="1"/>
  <c r="L60" i="49" s="1"/>
  <c r="I96" i="40"/>
  <c r="L61" i="49" s="1"/>
  <c r="I97" i="40"/>
  <c r="L62" i="49" s="1"/>
  <c r="I67" i="40"/>
  <c r="I58" i="40" s="1"/>
  <c r="I57" i="40" s="1"/>
  <c r="I77" i="40"/>
  <c r="L6" i="49" s="1"/>
  <c r="L10" i="49"/>
  <c r="I78" i="40"/>
  <c r="K26" i="35" s="1"/>
  <c r="I79" i="21"/>
  <c r="I50" i="21"/>
  <c r="L7" i="44"/>
  <c r="I52" i="21"/>
  <c r="I60" i="21"/>
  <c r="K18" i="35"/>
  <c r="I94" i="40" l="1"/>
  <c r="J70" i="40"/>
  <c r="J69" i="40"/>
  <c r="L5" i="49"/>
  <c r="I83" i="40"/>
  <c r="I23" i="21"/>
  <c r="I93" i="40" l="1"/>
  <c r="J102" i="40" s="1"/>
  <c r="L59" i="49"/>
  <c r="I98" i="40"/>
  <c r="I99" i="40"/>
  <c r="J103" i="40"/>
  <c r="I30" i="21"/>
  <c r="I24" i="21"/>
  <c r="J101" i="40" l="1"/>
  <c r="L16" i="44"/>
  <c r="I33" i="21"/>
  <c r="I69" i="21" s="1"/>
  <c r="I104" i="21"/>
  <c r="I62" i="21"/>
  <c r="J51" i="21"/>
  <c r="J36" i="40" l="1"/>
  <c r="J106" i="40"/>
  <c r="J92" i="40" s="1"/>
  <c r="I90" i="21"/>
  <c r="L58" i="44" s="1"/>
  <c r="L18" i="44"/>
  <c r="I68" i="21"/>
  <c r="L8" i="44"/>
  <c r="I59" i="21"/>
  <c r="M58" i="49" l="1"/>
  <c r="I85" i="21"/>
  <c r="I86" i="21" s="1"/>
  <c r="I93" i="21" s="1"/>
  <c r="J87" i="40"/>
  <c r="M13" i="49"/>
  <c r="J68" i="40"/>
  <c r="I67" i="21"/>
  <c r="I58" i="21" s="1"/>
  <c r="I57" i="21" s="1"/>
  <c r="L10" i="44"/>
  <c r="I78" i="21"/>
  <c r="J12" i="21" s="1"/>
  <c r="I77" i="21"/>
  <c r="I94" i="21" l="1"/>
  <c r="L61" i="44" s="1"/>
  <c r="I92" i="21"/>
  <c r="L59" i="44" s="1"/>
  <c r="I95" i="21"/>
  <c r="L62" i="44" s="1"/>
  <c r="J88" i="40"/>
  <c r="J94" i="40" s="1"/>
  <c r="M59" i="49" s="1"/>
  <c r="J96" i="40"/>
  <c r="M61" i="49" s="1"/>
  <c r="J97" i="40"/>
  <c r="M62" i="49" s="1"/>
  <c r="J78" i="40"/>
  <c r="L26" i="35" s="1"/>
  <c r="M10" i="49"/>
  <c r="J77" i="40"/>
  <c r="M6" i="49" s="1"/>
  <c r="J67" i="40"/>
  <c r="J58" i="40" s="1"/>
  <c r="J57" i="40" s="1"/>
  <c r="J70" i="21"/>
  <c r="L5" i="44"/>
  <c r="L60" i="44"/>
  <c r="K19" i="35"/>
  <c r="L6" i="44"/>
  <c r="I91" i="21" l="1"/>
  <c r="I96" i="21" s="1"/>
  <c r="J95" i="40"/>
  <c r="K69" i="40"/>
  <c r="M5" i="49"/>
  <c r="K70" i="40"/>
  <c r="J83" i="40"/>
  <c r="I97" i="21" l="1"/>
  <c r="J100" i="21"/>
  <c r="J101" i="21" s="1"/>
  <c r="J99" i="21" s="1"/>
  <c r="J93" i="40"/>
  <c r="J98" i="40" s="1"/>
  <c r="M60" i="49"/>
  <c r="J99" i="40"/>
  <c r="K102" i="40"/>
  <c r="J36" i="21"/>
  <c r="K103" i="40" l="1"/>
  <c r="M13" i="44"/>
  <c r="K101" i="40" l="1"/>
  <c r="L18" i="35"/>
  <c r="J79" i="21"/>
  <c r="J52" i="21"/>
  <c r="J50" i="21"/>
  <c r="J13" i="21"/>
  <c r="M7" i="44"/>
  <c r="J60" i="21"/>
  <c r="K106" i="40" l="1"/>
  <c r="K92" i="40" s="1"/>
  <c r="K36" i="40"/>
  <c r="J23" i="21"/>
  <c r="N58" i="49" l="1"/>
  <c r="K68" i="40"/>
  <c r="N13" i="49"/>
  <c r="K87" i="40"/>
  <c r="K96" i="40" s="1"/>
  <c r="N61" i="49" s="1"/>
  <c r="J24" i="21"/>
  <c r="J30" i="21"/>
  <c r="K97" i="40" l="1"/>
  <c r="N62" i="49" s="1"/>
  <c r="K88" i="40"/>
  <c r="K95" i="40" s="1"/>
  <c r="N60" i="49" s="1"/>
  <c r="K67" i="40"/>
  <c r="K58" i="40" s="1"/>
  <c r="K57" i="40" s="1"/>
  <c r="K78" i="40"/>
  <c r="M26" i="35" s="1"/>
  <c r="N10" i="49"/>
  <c r="K77" i="40"/>
  <c r="N6" i="49" s="1"/>
  <c r="J33" i="21"/>
  <c r="J69" i="21" s="1"/>
  <c r="M16" i="44"/>
  <c r="J104" i="21"/>
  <c r="J62" i="21"/>
  <c r="K51" i="21"/>
  <c r="K94" i="40" l="1"/>
  <c r="N59" i="49" s="1"/>
  <c r="N5" i="49"/>
  <c r="L70" i="40"/>
  <c r="L69" i="40"/>
  <c r="K83" i="40"/>
  <c r="J90" i="21"/>
  <c r="M58" i="44" s="1"/>
  <c r="M18" i="44"/>
  <c r="J68" i="21"/>
  <c r="M8" i="44"/>
  <c r="J59" i="21"/>
  <c r="K93" i="40" l="1"/>
  <c r="J85" i="21"/>
  <c r="J86" i="21" s="1"/>
  <c r="J77" i="21"/>
  <c r="J67" i="21"/>
  <c r="J58" i="21" s="1"/>
  <c r="J57" i="21" s="1"/>
  <c r="M10" i="44"/>
  <c r="J78" i="21"/>
  <c r="K12" i="21" s="1"/>
  <c r="M20" i="35" s="1"/>
  <c r="K99" i="40" l="1"/>
  <c r="L102" i="40"/>
  <c r="K98" i="40"/>
  <c r="J92" i="21"/>
  <c r="M59" i="44" s="1"/>
  <c r="J93" i="21"/>
  <c r="M60" i="44" s="1"/>
  <c r="J95" i="21"/>
  <c r="M62" i="44" s="1"/>
  <c r="J94" i="21"/>
  <c r="M61" i="44" s="1"/>
  <c r="M5" i="44"/>
  <c r="K70" i="21"/>
  <c r="M6" i="44"/>
  <c r="L19" i="35"/>
  <c r="J91" i="21" l="1"/>
  <c r="J97" i="21" s="1"/>
  <c r="L103" i="40"/>
  <c r="K100" i="21" l="1"/>
  <c r="K101" i="21" s="1"/>
  <c r="K99" i="21" s="1"/>
  <c r="J96" i="21"/>
  <c r="K36" i="21"/>
  <c r="L101" i="40"/>
  <c r="N13" i="44" l="1"/>
  <c r="L36" i="40"/>
  <c r="L106" i="40"/>
  <c r="L92" i="40" s="1"/>
  <c r="K79" i="21"/>
  <c r="K52" i="21"/>
  <c r="N7" i="44"/>
  <c r="K13" i="21"/>
  <c r="K50" i="21"/>
  <c r="M18" i="35"/>
  <c r="J12" i="35" s="1"/>
  <c r="K60" i="21"/>
  <c r="L12" i="21"/>
  <c r="O58" i="49" l="1"/>
  <c r="L87" i="40"/>
  <c r="O13" i="49"/>
  <c r="L68" i="40"/>
  <c r="L50" i="21"/>
  <c r="O7" i="44"/>
  <c r="L13" i="21"/>
  <c r="L79" i="21"/>
  <c r="L52" i="21"/>
  <c r="L60" i="21"/>
  <c r="M12" i="21"/>
  <c r="K23" i="21"/>
  <c r="O10" i="49" l="1"/>
  <c r="L67" i="40"/>
  <c r="L58" i="40" s="1"/>
  <c r="L57" i="40" s="1"/>
  <c r="L77" i="40"/>
  <c r="O6" i="49" s="1"/>
  <c r="L78" i="40"/>
  <c r="L88" i="40"/>
  <c r="L95" i="40" s="1"/>
  <c r="O60" i="49" s="1"/>
  <c r="L97" i="40"/>
  <c r="O62" i="49" s="1"/>
  <c r="L96" i="40"/>
  <c r="O61" i="49" s="1"/>
  <c r="P7" i="44"/>
  <c r="M13" i="21"/>
  <c r="M50" i="21"/>
  <c r="N12" i="21"/>
  <c r="M60" i="21"/>
  <c r="M52" i="21"/>
  <c r="M79" i="21"/>
  <c r="K24" i="21"/>
  <c r="K30" i="21"/>
  <c r="M51" i="21" s="1"/>
  <c r="L94" i="40" l="1"/>
  <c r="O59" i="49" s="1"/>
  <c r="L93" i="40"/>
  <c r="L98" i="40" s="1"/>
  <c r="M69" i="40"/>
  <c r="M70" i="40"/>
  <c r="L83" i="40"/>
  <c r="O5" i="49"/>
  <c r="K62" i="21"/>
  <c r="L51" i="21"/>
  <c r="L23" i="21" s="1"/>
  <c r="Q7" i="44"/>
  <c r="N79" i="21"/>
  <c r="N50" i="21"/>
  <c r="N13" i="21"/>
  <c r="N52" i="21"/>
  <c r="N60" i="21"/>
  <c r="O12" i="21"/>
  <c r="N51" i="21"/>
  <c r="N16" i="44"/>
  <c r="K33" i="21"/>
  <c r="K69" i="21" s="1"/>
  <c r="K104" i="21"/>
  <c r="L99" i="40" l="1"/>
  <c r="M102" i="40"/>
  <c r="L24" i="21"/>
  <c r="L30" i="21"/>
  <c r="L62" i="21" s="1"/>
  <c r="M23" i="21"/>
  <c r="N23" i="21" s="1"/>
  <c r="N8" i="44"/>
  <c r="K59" i="21"/>
  <c r="O51" i="21"/>
  <c r="O79" i="21"/>
  <c r="O52" i="21"/>
  <c r="R7" i="44"/>
  <c r="O50" i="21"/>
  <c r="P12" i="21"/>
  <c r="O13" i="21"/>
  <c r="O60" i="21"/>
  <c r="K90" i="21"/>
  <c r="N18" i="44"/>
  <c r="K68" i="21"/>
  <c r="M103" i="40" l="1"/>
  <c r="O8" i="44"/>
  <c r="L59" i="21"/>
  <c r="L33" i="21"/>
  <c r="O18" i="44" s="1"/>
  <c r="O16" i="44"/>
  <c r="M30" i="21"/>
  <c r="M62" i="21" s="1"/>
  <c r="M24" i="21"/>
  <c r="S7" i="44"/>
  <c r="P79" i="21"/>
  <c r="P50" i="21"/>
  <c r="P52" i="21"/>
  <c r="P60" i="21"/>
  <c r="P13" i="21"/>
  <c r="Q12" i="21"/>
  <c r="O23" i="21"/>
  <c r="P51" i="21"/>
  <c r="K77" i="21"/>
  <c r="N24" i="21"/>
  <c r="N30" i="21"/>
  <c r="N62" i="21" s="1"/>
  <c r="N58" i="44"/>
  <c r="K85" i="21"/>
  <c r="K86" i="21" s="1"/>
  <c r="N10" i="44"/>
  <c r="K67" i="21"/>
  <c r="K58" i="21" s="1"/>
  <c r="K57" i="21" s="1"/>
  <c r="K78" i="21"/>
  <c r="M101" i="40" l="1"/>
  <c r="Q50" i="21"/>
  <c r="T7" i="44"/>
  <c r="Q52" i="21"/>
  <c r="Q13" i="21"/>
  <c r="Q79" i="21"/>
  <c r="R12" i="21"/>
  <c r="Q60" i="21"/>
  <c r="Q51" i="21"/>
  <c r="P23" i="21"/>
  <c r="M33" i="21"/>
  <c r="P18" i="44" s="1"/>
  <c r="P16" i="44"/>
  <c r="M19" i="35"/>
  <c r="K94" i="21"/>
  <c r="N61" i="44" s="1"/>
  <c r="K95" i="21"/>
  <c r="N62" i="44" s="1"/>
  <c r="N6" i="44"/>
  <c r="P8" i="44"/>
  <c r="M59" i="21"/>
  <c r="L69" i="21"/>
  <c r="L70" i="21"/>
  <c r="N5" i="44"/>
  <c r="K93" i="21"/>
  <c r="K92" i="21"/>
  <c r="N59" i="44" s="1"/>
  <c r="Q8" i="44"/>
  <c r="N59" i="21"/>
  <c r="O24" i="21"/>
  <c r="O30" i="21"/>
  <c r="O62" i="21" s="1"/>
  <c r="Q16" i="44"/>
  <c r="N33" i="21"/>
  <c r="Q18" i="44" s="1"/>
  <c r="M36" i="40" l="1"/>
  <c r="M106" i="40"/>
  <c r="M92" i="40" s="1"/>
  <c r="K91" i="21"/>
  <c r="K96" i="21" s="1"/>
  <c r="P30" i="21"/>
  <c r="P62" i="21" s="1"/>
  <c r="P24" i="21"/>
  <c r="R8" i="44"/>
  <c r="O59" i="21"/>
  <c r="U7" i="44"/>
  <c r="R13" i="21"/>
  <c r="R79" i="21"/>
  <c r="R50" i="21"/>
  <c r="R60" i="21"/>
  <c r="R52" i="21"/>
  <c r="S12" i="21"/>
  <c r="N60" i="44"/>
  <c r="R16" i="44"/>
  <c r="O33" i="21"/>
  <c r="R18" i="44" s="1"/>
  <c r="R51" i="21"/>
  <c r="Q23" i="21"/>
  <c r="P58" i="49" l="1"/>
  <c r="M87" i="40"/>
  <c r="M96" i="40" s="1"/>
  <c r="P61" i="49" s="1"/>
  <c r="P13" i="49"/>
  <c r="M68" i="40"/>
  <c r="L100" i="21"/>
  <c r="L101" i="21" s="1"/>
  <c r="L99" i="21" s="1"/>
  <c r="K97" i="21"/>
  <c r="R23" i="21"/>
  <c r="S51" i="21"/>
  <c r="Q30" i="21"/>
  <c r="Q62" i="21" s="1"/>
  <c r="Q24" i="21"/>
  <c r="S79" i="21"/>
  <c r="S50" i="21"/>
  <c r="S60" i="21"/>
  <c r="T12" i="21"/>
  <c r="V7" i="44"/>
  <c r="S13" i="21"/>
  <c r="S52" i="21"/>
  <c r="P33" i="21"/>
  <c r="S18" i="44" s="1"/>
  <c r="S16" i="44"/>
  <c r="S8" i="44"/>
  <c r="P59" i="21"/>
  <c r="L36" i="21" l="1"/>
  <c r="L68" i="21" s="1"/>
  <c r="M97" i="40"/>
  <c r="P62" i="49" s="1"/>
  <c r="M88" i="40"/>
  <c r="M95" i="40" s="1"/>
  <c r="P60" i="49" s="1"/>
  <c r="M77" i="40"/>
  <c r="P6" i="49" s="1"/>
  <c r="M78" i="40"/>
  <c r="P10" i="49"/>
  <c r="M67" i="40"/>
  <c r="M58" i="40" s="1"/>
  <c r="M57" i="40" s="1"/>
  <c r="L104" i="21"/>
  <c r="L90" i="21" s="1"/>
  <c r="O58" i="44" s="1"/>
  <c r="W7" i="44"/>
  <c r="T52" i="21"/>
  <c r="T13" i="21"/>
  <c r="T50" i="21"/>
  <c r="T79" i="21"/>
  <c r="T60" i="21"/>
  <c r="U12" i="21"/>
  <c r="S23" i="21"/>
  <c r="T51" i="21"/>
  <c r="T16" i="44"/>
  <c r="Q33" i="21"/>
  <c r="T18" i="44" s="1"/>
  <c r="T8" i="44"/>
  <c r="Q59" i="21"/>
  <c r="R30" i="21"/>
  <c r="R62" i="21" s="1"/>
  <c r="R24" i="21"/>
  <c r="O13" i="44" l="1"/>
  <c r="M94" i="40"/>
  <c r="N70" i="40"/>
  <c r="P5" i="49"/>
  <c r="N69" i="40"/>
  <c r="M83" i="40"/>
  <c r="L85" i="21"/>
  <c r="L86" i="21" s="1"/>
  <c r="S30" i="21"/>
  <c r="S62" i="21" s="1"/>
  <c r="S24" i="21"/>
  <c r="R33" i="21"/>
  <c r="U18" i="44" s="1"/>
  <c r="U16" i="44"/>
  <c r="U13" i="21"/>
  <c r="X7" i="44"/>
  <c r="U79" i="21"/>
  <c r="U50" i="21"/>
  <c r="U52" i="21"/>
  <c r="U60" i="21"/>
  <c r="L67" i="21"/>
  <c r="L58" i="21" s="1"/>
  <c r="L57" i="21" s="1"/>
  <c r="O10" i="44"/>
  <c r="L78" i="21"/>
  <c r="L77" i="21"/>
  <c r="U8" i="44"/>
  <c r="R59" i="21"/>
  <c r="U51" i="21"/>
  <c r="T23" i="21"/>
  <c r="M93" i="40" l="1"/>
  <c r="P59" i="49"/>
  <c r="N102" i="40"/>
  <c r="N103" i="40" s="1"/>
  <c r="M99" i="40"/>
  <c r="M98" i="40"/>
  <c r="L93" i="21"/>
  <c r="O60" i="44" s="1"/>
  <c r="L92" i="21"/>
  <c r="O59" i="44" s="1"/>
  <c r="L95" i="21"/>
  <c r="O62" i="44" s="1"/>
  <c r="L94" i="21"/>
  <c r="O61" i="44" s="1"/>
  <c r="U23" i="21"/>
  <c r="U30" i="21" s="1"/>
  <c r="U62" i="21" s="1"/>
  <c r="X8" i="44" s="1"/>
  <c r="M69" i="21"/>
  <c r="M70" i="21"/>
  <c r="O5" i="44"/>
  <c r="T30" i="21"/>
  <c r="T62" i="21" s="1"/>
  <c r="T24" i="21"/>
  <c r="O6" i="44"/>
  <c r="S33" i="21"/>
  <c r="V18" i="44" s="1"/>
  <c r="V16" i="44"/>
  <c r="V8" i="44"/>
  <c r="S59" i="21"/>
  <c r="N101" i="40" l="1"/>
  <c r="L91" i="21"/>
  <c r="U24" i="21"/>
  <c r="U33" i="21" s="1"/>
  <c r="X18" i="44" s="1"/>
  <c r="U59" i="21"/>
  <c r="T33" i="21"/>
  <c r="W18" i="44" s="1"/>
  <c r="W16" i="44"/>
  <c r="W8" i="44"/>
  <c r="T59" i="21"/>
  <c r="L96" i="21" l="1"/>
  <c r="M100" i="21"/>
  <c r="M101" i="21" s="1"/>
  <c r="M99" i="21" s="1"/>
  <c r="L97" i="21"/>
  <c r="X16" i="44"/>
  <c r="N106" i="40"/>
  <c r="N92" i="40" s="1"/>
  <c r="N36" i="40"/>
  <c r="Q58" i="49" l="1"/>
  <c r="N68" i="40"/>
  <c r="Q13" i="49"/>
  <c r="M36" i="21"/>
  <c r="M104" i="21"/>
  <c r="M90" i="21" s="1"/>
  <c r="N87" i="40"/>
  <c r="N88" i="40" s="1"/>
  <c r="N95" i="40" s="1"/>
  <c r="Q60" i="49" s="1"/>
  <c r="N97" i="40" l="1"/>
  <c r="Q62" i="49" s="1"/>
  <c r="N94" i="40"/>
  <c r="N96" i="40"/>
  <c r="Q61" i="49" s="1"/>
  <c r="Q10" i="49"/>
  <c r="N67" i="40"/>
  <c r="N58" i="40" s="1"/>
  <c r="N57" i="40" s="1"/>
  <c r="N78" i="40"/>
  <c r="N77" i="40"/>
  <c r="Q6" i="49" s="1"/>
  <c r="P58" i="44"/>
  <c r="M85" i="21"/>
  <c r="M68" i="21"/>
  <c r="P13" i="44"/>
  <c r="N93" i="40" l="1"/>
  <c r="N99" i="40" s="1"/>
  <c r="Q59" i="49"/>
  <c r="M78" i="21"/>
  <c r="M77" i="21"/>
  <c r="M67" i="21"/>
  <c r="M58" i="21" s="1"/>
  <c r="M57" i="21" s="1"/>
  <c r="P10" i="44"/>
  <c r="O69" i="40"/>
  <c r="N83" i="40"/>
  <c r="O70" i="40"/>
  <c r="Q5" i="49"/>
  <c r="M86" i="21"/>
  <c r="M92" i="21" s="1"/>
  <c r="P59" i="44" s="1"/>
  <c r="M95" i="21"/>
  <c r="P62" i="44" s="1"/>
  <c r="M94" i="21"/>
  <c r="P61" i="44" s="1"/>
  <c r="N98" i="40"/>
  <c r="O102" i="40" l="1"/>
  <c r="O103" i="40" s="1"/>
  <c r="M93" i="21"/>
  <c r="P60" i="44" s="1"/>
  <c r="P5" i="44"/>
  <c r="N69" i="21"/>
  <c r="N70" i="21"/>
  <c r="P6" i="44"/>
  <c r="M91" i="21" l="1"/>
  <c r="M96" i="21" s="1"/>
  <c r="O101" i="40"/>
  <c r="M97" i="21" l="1"/>
  <c r="N100" i="21"/>
  <c r="N101" i="21" s="1"/>
  <c r="N99" i="21" s="1"/>
  <c r="O106" i="40"/>
  <c r="O92" i="40" s="1"/>
  <c r="O36" i="40"/>
  <c r="R58" i="49" l="1"/>
  <c r="N36" i="21"/>
  <c r="N104" i="21"/>
  <c r="N90" i="21" s="1"/>
  <c r="N85" i="21" s="1"/>
  <c r="Q13" i="44"/>
  <c r="N68" i="21"/>
  <c r="O68" i="40"/>
  <c r="R13" i="49"/>
  <c r="O87" i="40"/>
  <c r="O96" i="40" s="1"/>
  <c r="R61" i="49" s="1"/>
  <c r="Q58" i="44" l="1"/>
  <c r="O78" i="40"/>
  <c r="O67" i="40"/>
  <c r="O58" i="40" s="1"/>
  <c r="O57" i="40" s="1"/>
  <c r="R10" i="49"/>
  <c r="O77" i="40"/>
  <c r="R6" i="49" s="1"/>
  <c r="N86" i="21"/>
  <c r="N93" i="21" s="1"/>
  <c r="N94" i="21"/>
  <c r="Q61" i="44" s="1"/>
  <c r="Q10" i="44"/>
  <c r="N67" i="21"/>
  <c r="N58" i="21" s="1"/>
  <c r="N57" i="21" s="1"/>
  <c r="N78" i="21"/>
  <c r="N77" i="21"/>
  <c r="O97" i="40"/>
  <c r="R62" i="49" s="1"/>
  <c r="O88" i="40"/>
  <c r="O95" i="40" s="1"/>
  <c r="R60" i="49" s="1"/>
  <c r="N95" i="21"/>
  <c r="Q62" i="44" s="1"/>
  <c r="O94" i="40" l="1"/>
  <c r="N92" i="21"/>
  <c r="Q59" i="44" s="1"/>
  <c r="Q6" i="44"/>
  <c r="O70" i="21"/>
  <c r="Q5" i="44"/>
  <c r="O69" i="21"/>
  <c r="Q60" i="44"/>
  <c r="P69" i="40"/>
  <c r="R5" i="49"/>
  <c r="P70" i="40"/>
  <c r="O83" i="40"/>
  <c r="O93" i="40" l="1"/>
  <c r="P102" i="40" s="1"/>
  <c r="R59" i="49"/>
  <c r="N91" i="21"/>
  <c r="N97" i="21" s="1"/>
  <c r="O99" i="40"/>
  <c r="O98" i="40"/>
  <c r="P103" i="40"/>
  <c r="O100" i="21"/>
  <c r="O101" i="21" s="1"/>
  <c r="O99" i="21" s="1"/>
  <c r="N96" i="21"/>
  <c r="O104" i="21" l="1"/>
  <c r="O90" i="21" s="1"/>
  <c r="O36" i="21"/>
  <c r="P101" i="40"/>
  <c r="P36" i="40" l="1"/>
  <c r="P106" i="40"/>
  <c r="P92" i="40" s="1"/>
  <c r="R13" i="44"/>
  <c r="O68" i="21"/>
  <c r="R58" i="44"/>
  <c r="O85" i="21"/>
  <c r="O86" i="21" s="1"/>
  <c r="S58" i="49" l="1"/>
  <c r="O93" i="21"/>
  <c r="R60" i="44" s="1"/>
  <c r="O92" i="21"/>
  <c r="R59" i="44" s="1"/>
  <c r="O95" i="21"/>
  <c r="R62" i="44" s="1"/>
  <c r="O94" i="21"/>
  <c r="R61" i="44" s="1"/>
  <c r="P87" i="40"/>
  <c r="P88" i="40" s="1"/>
  <c r="P95" i="40" s="1"/>
  <c r="S60" i="49" s="1"/>
  <c r="R10" i="44"/>
  <c r="O67" i="21"/>
  <c r="O58" i="21" s="1"/>
  <c r="O57" i="21" s="1"/>
  <c r="O78" i="21"/>
  <c r="O77" i="21"/>
  <c r="P68" i="40"/>
  <c r="S13" i="49"/>
  <c r="O91" i="21" l="1"/>
  <c r="P100" i="21" s="1"/>
  <c r="P101" i="21" s="1"/>
  <c r="P99" i="21" s="1"/>
  <c r="P96" i="40"/>
  <c r="S61" i="49" s="1"/>
  <c r="P94" i="40"/>
  <c r="P97" i="40"/>
  <c r="S62" i="49" s="1"/>
  <c r="P70" i="21"/>
  <c r="P69" i="21"/>
  <c r="R5" i="44"/>
  <c r="P77" i="40"/>
  <c r="S6" i="49" s="1"/>
  <c r="P67" i="40"/>
  <c r="P58" i="40" s="1"/>
  <c r="P57" i="40" s="1"/>
  <c r="S10" i="49"/>
  <c r="P78" i="40"/>
  <c r="R6" i="44"/>
  <c r="P93" i="40" l="1"/>
  <c r="P98" i="40" s="1"/>
  <c r="S59" i="49"/>
  <c r="O96" i="21"/>
  <c r="O97" i="21"/>
  <c r="P36" i="21"/>
  <c r="P104" i="21"/>
  <c r="P90" i="21" s="1"/>
  <c r="S5" i="49"/>
  <c r="Q69" i="40"/>
  <c r="P83" i="40"/>
  <c r="Q70" i="40"/>
  <c r="Q102" i="40" l="1"/>
  <c r="P99" i="40"/>
  <c r="Q103" i="40"/>
  <c r="P85" i="21"/>
  <c r="P86" i="21" s="1"/>
  <c r="P93" i="21" s="1"/>
  <c r="S60" i="44" s="1"/>
  <c r="S58" i="44"/>
  <c r="S13" i="44"/>
  <c r="P68" i="21"/>
  <c r="P94" i="21" l="1"/>
  <c r="S61" i="44" s="1"/>
  <c r="P92" i="21"/>
  <c r="S59" i="44" s="1"/>
  <c r="P95" i="21"/>
  <c r="S62" i="44" s="1"/>
  <c r="P78" i="21"/>
  <c r="S10" i="44"/>
  <c r="P77" i="21"/>
  <c r="P67" i="21"/>
  <c r="P58" i="21" s="1"/>
  <c r="P57" i="21" s="1"/>
  <c r="Q101" i="40"/>
  <c r="P91" i="21" l="1"/>
  <c r="Q36" i="40"/>
  <c r="Q106" i="40"/>
  <c r="Q92" i="40" s="1"/>
  <c r="S6" i="44"/>
  <c r="Q69" i="21"/>
  <c r="Q70" i="21"/>
  <c r="S5" i="44"/>
  <c r="T58" i="49" l="1"/>
  <c r="P96" i="21"/>
  <c r="P97" i="21"/>
  <c r="Q100" i="21"/>
  <c r="Q101" i="21" s="1"/>
  <c r="Q99" i="21" s="1"/>
  <c r="Q87" i="40"/>
  <c r="Q88" i="40" s="1"/>
  <c r="Q68" i="40"/>
  <c r="T13" i="49"/>
  <c r="Q36" i="21" l="1"/>
  <c r="Q104" i="21"/>
  <c r="Q90" i="21" s="1"/>
  <c r="Q94" i="40"/>
  <c r="T59" i="49" s="1"/>
  <c r="Q96" i="40"/>
  <c r="T61" i="49" s="1"/>
  <c r="Q95" i="40"/>
  <c r="T60" i="49" s="1"/>
  <c r="Q97" i="40"/>
  <c r="T62" i="49" s="1"/>
  <c r="Q67" i="40"/>
  <c r="Q58" i="40" s="1"/>
  <c r="Q57" i="40" s="1"/>
  <c r="Q78" i="40"/>
  <c r="Q77" i="40"/>
  <c r="T6" i="49" s="1"/>
  <c r="T10" i="49"/>
  <c r="Q85" i="21" l="1"/>
  <c r="Q86" i="21" s="1"/>
  <c r="T58" i="44"/>
  <c r="T13" i="44"/>
  <c r="Q68" i="21"/>
  <c r="R69" i="40"/>
  <c r="T5" i="49"/>
  <c r="Q83" i="40"/>
  <c r="R70" i="40"/>
  <c r="Q93" i="40"/>
  <c r="Q92" i="21" l="1"/>
  <c r="T59" i="44" s="1"/>
  <c r="Q67" i="21"/>
  <c r="Q58" i="21" s="1"/>
  <c r="Q57" i="21" s="1"/>
  <c r="Q77" i="21"/>
  <c r="Q78" i="21"/>
  <c r="T10" i="44"/>
  <c r="Q93" i="21"/>
  <c r="T60" i="44" s="1"/>
  <c r="Q95" i="21"/>
  <c r="T62" i="44" s="1"/>
  <c r="Q94" i="21"/>
  <c r="T61" i="44" s="1"/>
  <c r="R102" i="40"/>
  <c r="Q99" i="40"/>
  <c r="Q98" i="40"/>
  <c r="Q91" i="21" l="1"/>
  <c r="T6" i="44"/>
  <c r="T5" i="44"/>
  <c r="R69" i="21"/>
  <c r="R70" i="21"/>
  <c r="R103" i="40"/>
  <c r="R100" i="21" l="1"/>
  <c r="R101" i="21" s="1"/>
  <c r="R99" i="21" s="1"/>
  <c r="Q96" i="21"/>
  <c r="Q97" i="21"/>
  <c r="R101" i="40"/>
  <c r="R104" i="21" l="1"/>
  <c r="R90" i="21" s="1"/>
  <c r="R36" i="21"/>
  <c r="R106" i="40"/>
  <c r="R92" i="40" s="1"/>
  <c r="R36" i="40"/>
  <c r="U58" i="49" l="1"/>
  <c r="U13" i="44"/>
  <c r="R68" i="21"/>
  <c r="R85" i="21"/>
  <c r="R94" i="21" s="1"/>
  <c r="U61" i="44" s="1"/>
  <c r="U58" i="44"/>
  <c r="U13" i="49"/>
  <c r="R68" i="40"/>
  <c r="R87" i="40"/>
  <c r="R88" i="40" s="1"/>
  <c r="R97" i="40" l="1"/>
  <c r="U62" i="49" s="1"/>
  <c r="R95" i="40"/>
  <c r="U60" i="49" s="1"/>
  <c r="R67" i="21"/>
  <c r="R58" i="21" s="1"/>
  <c r="R57" i="21" s="1"/>
  <c r="R78" i="21"/>
  <c r="R77" i="21"/>
  <c r="U10" i="44"/>
  <c r="R86" i="21"/>
  <c r="R93" i="21" s="1"/>
  <c r="U60" i="44" s="1"/>
  <c r="R95" i="21"/>
  <c r="R94" i="40"/>
  <c r="R96" i="40"/>
  <c r="U61" i="49" s="1"/>
  <c r="R67" i="40"/>
  <c r="R58" i="40" s="1"/>
  <c r="R57" i="40" s="1"/>
  <c r="U10" i="49"/>
  <c r="R77" i="40"/>
  <c r="R78" i="40"/>
  <c r="R93" i="40" l="1"/>
  <c r="S102" i="40" s="1"/>
  <c r="U59" i="49"/>
  <c r="R92" i="21"/>
  <c r="U59" i="44" s="1"/>
  <c r="U62" i="44"/>
  <c r="U6" i="44"/>
  <c r="S69" i="21"/>
  <c r="U5" i="44"/>
  <c r="S70" i="21"/>
  <c r="S70" i="40"/>
  <c r="U5" i="49"/>
  <c r="R83" i="40"/>
  <c r="S69" i="40"/>
  <c r="R98" i="40"/>
  <c r="U6" i="49"/>
  <c r="R99" i="40"/>
  <c r="S103" i="40" l="1"/>
  <c r="S101" i="40" s="1"/>
  <c r="R91" i="21"/>
  <c r="R97" i="21" s="1"/>
  <c r="R96" i="21" l="1"/>
  <c r="S100" i="21"/>
  <c r="S101" i="21" s="1"/>
  <c r="S99" i="21" s="1"/>
  <c r="S104" i="21" s="1"/>
  <c r="S90" i="21" s="1"/>
  <c r="S36" i="40"/>
  <c r="S106" i="40"/>
  <c r="S92" i="40" s="1"/>
  <c r="V58" i="49" l="1"/>
  <c r="S36" i="21"/>
  <c r="S68" i="21" s="1"/>
  <c r="S85" i="21"/>
  <c r="S94" i="21" s="1"/>
  <c r="V61" i="44" s="1"/>
  <c r="V58" i="44"/>
  <c r="S87" i="40"/>
  <c r="S88" i="40" s="1"/>
  <c r="V13" i="49"/>
  <c r="S68" i="40"/>
  <c r="V13" i="44" l="1"/>
  <c r="S95" i="21"/>
  <c r="V62" i="44" s="1"/>
  <c r="S96" i="40"/>
  <c r="V61" i="49" s="1"/>
  <c r="S97" i="40"/>
  <c r="V62" i="49" s="1"/>
  <c r="S94" i="40"/>
  <c r="V59" i="49" s="1"/>
  <c r="S95" i="40"/>
  <c r="V60" i="49" s="1"/>
  <c r="S86" i="21"/>
  <c r="V10" i="44"/>
  <c r="S67" i="21"/>
  <c r="S58" i="21" s="1"/>
  <c r="S57" i="21" s="1"/>
  <c r="S78" i="21"/>
  <c r="S77" i="21"/>
  <c r="S78" i="40"/>
  <c r="S67" i="40"/>
  <c r="S58" i="40" s="1"/>
  <c r="S57" i="40" s="1"/>
  <c r="V10" i="49"/>
  <c r="S77" i="40"/>
  <c r="V6" i="49" l="1"/>
  <c r="S93" i="40"/>
  <c r="S99" i="40" s="1"/>
  <c r="S93" i="21"/>
  <c r="V60" i="44" s="1"/>
  <c r="S92" i="21"/>
  <c r="V59" i="44" s="1"/>
  <c r="V6" i="44"/>
  <c r="T70" i="21"/>
  <c r="T69" i="21"/>
  <c r="V5" i="44"/>
  <c r="V5" i="49"/>
  <c r="S83" i="40"/>
  <c r="T69" i="40"/>
  <c r="T70" i="40"/>
  <c r="T102" i="40" l="1"/>
  <c r="S98" i="40"/>
  <c r="S91" i="21"/>
  <c r="T103" i="40" l="1"/>
  <c r="S96" i="21"/>
  <c r="S97" i="21"/>
  <c r="T100" i="21"/>
  <c r="T101" i="21" s="1"/>
  <c r="T99" i="21" s="1"/>
  <c r="T101" i="40" l="1"/>
  <c r="T106" i="40" s="1"/>
  <c r="T92" i="40" s="1"/>
  <c r="T104" i="21"/>
  <c r="T90" i="21" s="1"/>
  <c r="T36" i="21"/>
  <c r="W58" i="49" l="1"/>
  <c r="T87" i="40"/>
  <c r="T88" i="40" s="1"/>
  <c r="T36" i="40"/>
  <c r="T68" i="21"/>
  <c r="W13" i="44"/>
  <c r="T85" i="21"/>
  <c r="W58" i="44"/>
  <c r="T97" i="40" l="1"/>
  <c r="W62" i="49" s="1"/>
  <c r="T95" i="40"/>
  <c r="W60" i="49" s="1"/>
  <c r="T96" i="40"/>
  <c r="W61" i="49" s="1"/>
  <c r="T94" i="40"/>
  <c r="W59" i="49" s="1"/>
  <c r="T68" i="40"/>
  <c r="W13" i="49"/>
  <c r="T86" i="21"/>
  <c r="T92" i="21" s="1"/>
  <c r="T94" i="21"/>
  <c r="W61" i="44" s="1"/>
  <c r="T95" i="21"/>
  <c r="W62" i="44" s="1"/>
  <c r="W10" i="44"/>
  <c r="T77" i="21"/>
  <c r="T78" i="21"/>
  <c r="T67" i="21"/>
  <c r="T58" i="21" s="1"/>
  <c r="T57" i="21" s="1"/>
  <c r="T93" i="40"/>
  <c r="W10" i="49" l="1"/>
  <c r="T77" i="40"/>
  <c r="T67" i="40"/>
  <c r="T58" i="40" s="1"/>
  <c r="T57" i="40" s="1"/>
  <c r="T78" i="40"/>
  <c r="T93" i="21"/>
  <c r="W60" i="44" s="1"/>
  <c r="W6" i="44"/>
  <c r="U70" i="21"/>
  <c r="U69" i="21"/>
  <c r="W5" i="44"/>
  <c r="W59" i="44"/>
  <c r="T99" i="40"/>
  <c r="U102" i="40"/>
  <c r="T98" i="40"/>
  <c r="W6" i="49" l="1"/>
  <c r="U69" i="40"/>
  <c r="T83" i="40"/>
  <c r="U70" i="40"/>
  <c r="W5" i="49"/>
  <c r="T91" i="21"/>
  <c r="T97" i="21" s="1"/>
  <c r="U103" i="40"/>
  <c r="T96" i="21" l="1"/>
  <c r="U100" i="21"/>
  <c r="U101" i="21" s="1"/>
  <c r="U99" i="21" s="1"/>
  <c r="U101" i="40"/>
  <c r="U104" i="21" l="1"/>
  <c r="U90" i="21" s="1"/>
  <c r="U85" i="21" s="1"/>
  <c r="U36" i="21"/>
  <c r="U68" i="21" s="1"/>
  <c r="X13" i="44"/>
  <c r="X58" i="44"/>
  <c r="U36" i="40"/>
  <c r="U106" i="40"/>
  <c r="U92" i="40" s="1"/>
  <c r="X58" i="49" s="1"/>
  <c r="U94" i="21" l="1"/>
  <c r="X61" i="44" s="1"/>
  <c r="U86" i="21"/>
  <c r="U92" i="21" s="1"/>
  <c r="X59" i="44" s="1"/>
  <c r="U95" i="21"/>
  <c r="X62" i="44" s="1"/>
  <c r="U78" i="21"/>
  <c r="U77" i="21"/>
  <c r="H12" i="35" s="1"/>
  <c r="U67" i="21"/>
  <c r="U58" i="21" s="1"/>
  <c r="U57" i="21" s="1"/>
  <c r="I12" i="35" s="1"/>
  <c r="X10" i="44"/>
  <c r="U87" i="40"/>
  <c r="U88" i="40" s="1"/>
  <c r="U68" i="40"/>
  <c r="X13" i="49"/>
  <c r="U93" i="21" l="1"/>
  <c r="X60" i="44" s="1"/>
  <c r="U96" i="40"/>
  <c r="X61" i="49" s="1"/>
  <c r="U94" i="40"/>
  <c r="X59" i="49" s="1"/>
  <c r="U95" i="40"/>
  <c r="X60" i="49" s="1"/>
  <c r="U97" i="40"/>
  <c r="X62" i="49" s="1"/>
  <c r="U91" i="21"/>
  <c r="U97" i="21" s="1"/>
  <c r="X5" i="44"/>
  <c r="X6" i="44"/>
  <c r="U78" i="40"/>
  <c r="U77" i="40"/>
  <c r="H13" i="35" s="1"/>
  <c r="U67" i="40"/>
  <c r="U58" i="40" s="1"/>
  <c r="U57" i="40" s="1"/>
  <c r="I13" i="35" s="1"/>
  <c r="X10" i="49"/>
  <c r="K13" i="35" l="1"/>
  <c r="K12" i="35"/>
  <c r="U93" i="40"/>
  <c r="U99" i="40" s="1"/>
  <c r="U96" i="21"/>
  <c r="X5" i="49"/>
  <c r="U83" i="40"/>
  <c r="X6" i="49"/>
  <c r="U98" i="40" l="1"/>
</calcChain>
</file>

<file path=xl/sharedStrings.xml><?xml version="1.0" encoding="utf-8"?>
<sst xmlns="http://schemas.openxmlformats.org/spreadsheetml/2006/main" count="586" uniqueCount="217">
  <si>
    <t>European Commission</t>
  </si>
  <si>
    <t>Directorate-General for Economic and Financial Affairs</t>
  </si>
  <si>
    <t>Unit C2  - Sustainability of public finances</t>
  </si>
  <si>
    <t>ECFIN-Secretariat-C2@ec.europa.eu</t>
  </si>
  <si>
    <t>FILE DESCRIPTION</t>
  </si>
  <si>
    <t>HOW TO USE THIS TOOL TO CALCULATE NEW DEBT PROJECTIONS</t>
  </si>
  <si>
    <t>The spreadsheet is composed of the following elements:</t>
  </si>
  <si>
    <t>Coloured cells indicate data sources as follows (this colour-coding holds in the other spreadsheets):</t>
  </si>
  <si>
    <r>
      <t xml:space="preserve">Cells in </t>
    </r>
    <r>
      <rPr>
        <i/>
        <sz val="11"/>
        <color rgb="FF0070C0"/>
        <rFont val="Calibri"/>
        <family val="2"/>
        <scheme val="minor"/>
      </rPr>
      <t>light orange</t>
    </r>
    <r>
      <rPr>
        <sz val="11"/>
        <color rgb="FF0070C0"/>
        <rFont val="Calibri"/>
        <family val="2"/>
        <scheme val="minor"/>
      </rPr>
      <t xml:space="preserve"> provide parameters needed to compute the decomposition of government debt according to its maturity structure (i.e. short-term and long-term debt, maturing, rolled-over and non-maturing debt). </t>
    </r>
    <r>
      <rPr>
        <b/>
        <u/>
        <sz val="11"/>
        <color rgb="FF0070C0"/>
        <rFont val="Calibri"/>
        <family val="2"/>
        <scheme val="minor"/>
      </rPr>
      <t>These are fixed shares which the user cannot change.</t>
    </r>
  </si>
  <si>
    <r>
      <t xml:space="preserve">Cells in </t>
    </r>
    <r>
      <rPr>
        <i/>
        <sz val="11"/>
        <color rgb="FF0070C0"/>
        <rFont val="Calibri"/>
        <family val="2"/>
        <scheme val="minor"/>
      </rPr>
      <t>dark orange</t>
    </r>
    <r>
      <rPr>
        <sz val="11"/>
        <color rgb="FF0070C0"/>
        <rFont val="Calibri"/>
        <family val="2"/>
        <scheme val="minor"/>
      </rPr>
      <t xml:space="preserve"> indicate financial market prices.</t>
    </r>
  </si>
  <si>
    <t>WHERE ARE THE MAIN RESULTS LOCATED?</t>
  </si>
  <si>
    <t>Country</t>
  </si>
  <si>
    <t>Financial stress scenario</t>
  </si>
  <si>
    <t>Lower SPB scenario</t>
  </si>
  <si>
    <r>
      <t xml:space="preserve">Annual adjustment </t>
    </r>
    <r>
      <rPr>
        <sz val="10"/>
        <rFont val="Arial"/>
        <family val="2"/>
      </rPr>
      <t>(change in SPB)</t>
    </r>
  </si>
  <si>
    <t>Net primary expenditure growth</t>
  </si>
  <si>
    <t>Key years</t>
  </si>
  <si>
    <t>Last year of no-fiscal-policy-change projections</t>
  </si>
  <si>
    <t>Structural primary balance</t>
  </si>
  <si>
    <t>Headline balance</t>
  </si>
  <si>
    <t>Structural balance</t>
  </si>
  <si>
    <t>Debt</t>
  </si>
  <si>
    <t>Last year of adjustment</t>
  </si>
  <si>
    <t>Key assumptions</t>
  </si>
  <si>
    <t>Fiscal assumptions (% of GDP)</t>
  </si>
  <si>
    <t/>
  </si>
  <si>
    <t>Structural primary balance ('+' means 'surplus')</t>
  </si>
  <si>
    <t>One-off and other temporary measures</t>
  </si>
  <si>
    <t>Stock-flow adjustments (without exchange rate effect)</t>
  </si>
  <si>
    <t>Stock-flow adjustment (total)</t>
  </si>
  <si>
    <t>Total ageing cost (net of taxes on pensions)</t>
  </si>
  <si>
    <t>of which: Public pensions expenditure</t>
  </si>
  <si>
    <t xml:space="preserve">            Health care expenditure</t>
  </si>
  <si>
    <t xml:space="preserve">            Long-term care expenditure</t>
  </si>
  <si>
    <t xml:space="preserve">            Education &amp; unemployment benefits expenditure</t>
  </si>
  <si>
    <t xml:space="preserve">           Taxes on pensions</t>
  </si>
  <si>
    <t>Property income</t>
  </si>
  <si>
    <t>Actual GDP</t>
  </si>
  <si>
    <t>Growth rate</t>
  </si>
  <si>
    <t>Level</t>
  </si>
  <si>
    <t>Potential GDP</t>
  </si>
  <si>
    <t>Nominal implicit interest rate on debt</t>
  </si>
  <si>
    <t>Short-term nominal interest rate</t>
  </si>
  <si>
    <t>Long-term nominal interest rate</t>
  </si>
  <si>
    <t>GDP deflator (national currency)</t>
  </si>
  <si>
    <t>Additional parameters</t>
  </si>
  <si>
    <t>Fiscal multiplier</t>
  </si>
  <si>
    <t>Mourre, G. et al. (2019), "The Semi-Elasticities Underlying the Cyclically-Adjusted Budget Balance: An Update and Further Analysis", European Economy, Discussion Paper, No. 098.</t>
  </si>
  <si>
    <t>Bloomberg data, country-specific forward market rates.</t>
  </si>
  <si>
    <t>Share of short-term debt in total government debt</t>
  </si>
  <si>
    <t>Share of long-term debt in total government debt</t>
  </si>
  <si>
    <t>Bloomberg data, inflation swaps.</t>
  </si>
  <si>
    <t>Central bank inflation target</t>
  </si>
  <si>
    <t>Derived from the model and made consistent with the short-term forecast.</t>
  </si>
  <si>
    <t>Stock flow adjustments (without exchange rate effect)</t>
  </si>
  <si>
    <t>GDP growth assumptions</t>
  </si>
  <si>
    <t>Actual GDP (real)</t>
  </si>
  <si>
    <t xml:space="preserve">Potential GDP (real) </t>
  </si>
  <si>
    <t>Output gap</t>
  </si>
  <si>
    <t>Actual GDP (nominal, national currency)</t>
  </si>
  <si>
    <t>Interest rate</t>
  </si>
  <si>
    <t>Long-term interest rate</t>
  </si>
  <si>
    <t>Short-term interest rate</t>
  </si>
  <si>
    <t>Share of long-term debt that matures every year</t>
  </si>
  <si>
    <t>Inflation and exchange rate</t>
  </si>
  <si>
    <t>Exchange rate composite change (weighted by share of debt in each currency)</t>
  </si>
  <si>
    <t>Intermediate calculations (growth rate equation)</t>
  </si>
  <si>
    <t>Auxiliary variable to control the closure of the output gap</t>
  </si>
  <si>
    <t>OG intermediate auxiliary value</t>
  </si>
  <si>
    <t>GDP intermediate growth rate - only feedback effect and no closure of the OG</t>
  </si>
  <si>
    <t>Debt projections</t>
  </si>
  <si>
    <t xml:space="preserve">Gross debt </t>
  </si>
  <si>
    <t>Change in debt (-1+2+3)</t>
  </si>
  <si>
    <t>(1) Primary balance (1.1 + 1.2 - 1.3 -1.4 -1.5 - 1.6 -1.7)</t>
  </si>
  <si>
    <t>(1.1) Structural primary balance (before ageing cost)</t>
  </si>
  <si>
    <t>(1.2) Cumulated budgetary effort (in terms of primary balance)</t>
  </si>
  <si>
    <t>(1.3) Cyclical component</t>
  </si>
  <si>
    <t>(1.4) One-off and other temporary measures</t>
  </si>
  <si>
    <t>(1.5) Cost of ageing</t>
  </si>
  <si>
    <t>(1.6) Property incomes</t>
  </si>
  <si>
    <t>(1.7) Revenues</t>
  </si>
  <si>
    <t>(2) Snowball effect (2.1 + 2.2 + 2.3)</t>
  </si>
  <si>
    <t>(2.1) Interest expenditure</t>
  </si>
  <si>
    <t>(2.2) Growth effect</t>
  </si>
  <si>
    <t>(2.3) Inflation effect</t>
  </si>
  <si>
    <t>(2.4) Exchange rate effect linked to the interest rate</t>
  </si>
  <si>
    <t>(3 ) Stock flow adjustments (3.1 + 3.2)</t>
  </si>
  <si>
    <t>(3.1) Base</t>
  </si>
  <si>
    <t>(3.2) Adjustment due to the exchange rate effect linked to debt value</t>
  </si>
  <si>
    <t>Other budgetary variables</t>
  </si>
  <si>
    <t>Net expenditure growth</t>
  </si>
  <si>
    <t>Debt decomposition and IIR</t>
  </si>
  <si>
    <t>Auxiliary variable identifying whether debt is increasing</t>
  </si>
  <si>
    <t>Auxiliary variable identifying whether some debt is rolled over even though debt is decreasing</t>
  </si>
  <si>
    <r>
      <rPr>
        <i/>
        <sz val="8"/>
        <color theme="1"/>
        <rFont val="Arial"/>
        <family val="2"/>
      </rPr>
      <t>Of which</t>
    </r>
    <r>
      <rPr>
        <sz val="8"/>
        <color theme="1"/>
        <rFont val="Arial"/>
        <family val="2"/>
      </rPr>
      <t xml:space="preserve"> Outstanding debt</t>
    </r>
  </si>
  <si>
    <t>Rolled over long-term debt</t>
  </si>
  <si>
    <t>Rolled over short-term debt</t>
  </si>
  <si>
    <t>New long-term debt</t>
  </si>
  <si>
    <t>New short-term debt</t>
  </si>
  <si>
    <t>IIR</t>
  </si>
  <si>
    <t>Long-term implicit interest rate</t>
  </si>
  <si>
    <r>
      <t>Nominal implicit interest rate on debt (</t>
    </r>
    <r>
      <rPr>
        <b/>
        <sz val="8"/>
        <color theme="1"/>
        <rFont val="Arial"/>
        <family val="2"/>
      </rPr>
      <t>Excel approximation</t>
    </r>
    <r>
      <rPr>
        <sz val="8"/>
        <color theme="1"/>
        <rFont val="Arial"/>
        <family val="2"/>
      </rPr>
      <t>)</t>
    </r>
  </si>
  <si>
    <t>Diff. STATA</t>
  </si>
  <si>
    <t>Per memo - STATA results</t>
  </si>
  <si>
    <t>CY</t>
  </si>
  <si>
    <t>EL</t>
  </si>
  <si>
    <t>IE</t>
  </si>
  <si>
    <t>PT</t>
  </si>
  <si>
    <t>Interest rates</t>
  </si>
  <si>
    <t>GDP deflator (National currency)</t>
  </si>
  <si>
    <t>Average net primary expenditure growth</t>
  </si>
  <si>
    <t>NL</t>
  </si>
  <si>
    <r>
      <rPr>
        <i/>
        <sz val="11"/>
        <color rgb="FF0070C0"/>
        <rFont val="Calibri"/>
        <family val="2"/>
        <scheme val="minor"/>
      </rPr>
      <t>Dark grey</t>
    </r>
    <r>
      <rPr>
        <sz val="11"/>
        <color rgb="FF0070C0"/>
        <rFont val="Calibri"/>
        <family val="2"/>
        <scheme val="minor"/>
      </rPr>
      <t xml:space="preserve"> indicates the period in which the SPB, net of changes in cost of ageing, remains constant at its value of end of adjustment.</t>
    </r>
  </si>
  <si>
    <t>Table 1 - Adjustment input data</t>
  </si>
  <si>
    <r>
      <t xml:space="preserve">Cells in </t>
    </r>
    <r>
      <rPr>
        <i/>
        <sz val="11"/>
        <color rgb="FF0070C0"/>
        <rFont val="Calibri"/>
        <family val="2"/>
        <scheme val="minor"/>
      </rPr>
      <t>light grey</t>
    </r>
    <r>
      <rPr>
        <sz val="11"/>
        <color rgb="FF0070C0"/>
        <rFont val="Calibri"/>
        <family val="2"/>
        <scheme val="minor"/>
      </rPr>
      <t xml:space="preserve"> indicate Commission forecast (available in the AMECO database)</t>
    </r>
  </si>
  <si>
    <t>Last year before the adjustment</t>
  </si>
  <si>
    <t>SPB at the end of the adjustment</t>
  </si>
  <si>
    <t>Deficit below 
3% of GDP</t>
  </si>
  <si>
    <t>DSA-based criteria</t>
  </si>
  <si>
    <t>Table 2 - DSA-based criteria and deficit resilience safeguard</t>
  </si>
  <si>
    <r>
      <rPr>
        <i/>
        <sz val="11"/>
        <color rgb="FF0070C0"/>
        <rFont val="Calibri"/>
        <family val="2"/>
        <scheme val="minor"/>
      </rPr>
      <t>Light grey</t>
    </r>
    <r>
      <rPr>
        <sz val="11"/>
        <color rgb="FF0070C0"/>
        <rFont val="Calibri"/>
        <family val="2"/>
        <scheme val="minor"/>
      </rPr>
      <t xml:space="preserve"> indicates the pre-plan period, corresponding to the EC forecast</t>
    </r>
  </si>
  <si>
    <t>Without extension</t>
  </si>
  <si>
    <t>With extension</t>
  </si>
  <si>
    <t>Annual adjustment (with safeguard)</t>
  </si>
  <si>
    <t>Annual adjustment (without safeguard)</t>
  </si>
  <si>
    <t>Table 5 - Technical information*</t>
  </si>
  <si>
    <t>Table 4 - Main fiscal variables without automatic deficit resilience safeguard</t>
  </si>
  <si>
    <t>Sources</t>
  </si>
  <si>
    <t>Eurostat, average shares over the 3 last available years.</t>
  </si>
  <si>
    <t>ECB, country-specific historical average shares over the 6 last available years. For post-programme countries (CY, El , IE and PT), the redemption profile of official loans has been taken into account for the computation of the share of long-term debt that matures every year. For these countries, changing this parameter would not affect debt projections.</t>
  </si>
  <si>
    <t>IIR difference STATA - Excel</t>
  </si>
  <si>
    <t>(i - g)</t>
  </si>
  <si>
    <r>
      <t xml:space="preserve">The sheet "Input data" in light blue presents the </t>
    </r>
    <r>
      <rPr>
        <b/>
        <sz val="11"/>
        <color rgb="FF0070C0"/>
        <rFont val="Calibri"/>
        <family val="2"/>
        <scheme val="minor"/>
      </rPr>
      <t>input data</t>
    </r>
    <r>
      <rPr>
        <sz val="11"/>
        <color rgb="FF0070C0"/>
        <rFont val="Calibri"/>
        <family val="2"/>
        <scheme val="minor"/>
      </rPr>
      <t>, including fiscal and GDP growth assumptions as well as additional fiscal parameters. Unless stated otherwise below,</t>
    </r>
    <r>
      <rPr>
        <b/>
        <u/>
        <sz val="11"/>
        <color rgb="FF0070C0"/>
        <rFont val="Calibri"/>
        <family val="2"/>
        <scheme val="minor"/>
      </rPr>
      <t xml:space="preserve"> the user can change all values in this tab.</t>
    </r>
  </si>
  <si>
    <r>
      <rPr>
        <i/>
        <sz val="11"/>
        <color rgb="FF0070C0"/>
        <rFont val="Calibri"/>
        <family val="2"/>
        <scheme val="minor"/>
      </rPr>
      <t>Mild grey</t>
    </r>
    <r>
      <rPr>
        <sz val="11"/>
        <color rgb="FF0070C0"/>
        <rFont val="Calibri"/>
        <family val="2"/>
        <scheme val="minor"/>
      </rPr>
      <t xml:space="preserve"> indicates the period during which the SPB adjusts according to the path set in sheet "</t>
    </r>
    <r>
      <rPr>
        <b/>
        <sz val="11"/>
        <color rgb="FF0070C0"/>
        <rFont val="Calibri"/>
        <family val="2"/>
        <scheme val="minor"/>
      </rPr>
      <t>Criteria results</t>
    </r>
    <r>
      <rPr>
        <sz val="11"/>
        <color rgb="FF0070C0"/>
        <rFont val="Calibri"/>
        <family val="2"/>
        <scheme val="minor"/>
      </rPr>
      <t>"</t>
    </r>
  </si>
  <si>
    <t xml:space="preserve">The sheet in orange presents the scenario that automatically corrects the yearly adjustment path to account for the deficit resillience safeguard. </t>
  </si>
  <si>
    <t>Annual change in SPB</t>
  </si>
  <si>
    <t>Table 3 - Main fiscal variables with automatic deficit resilience safeguard *</t>
  </si>
  <si>
    <t>* The structural balance is flagged in red if it is below -1.5% of GDP.</t>
  </si>
  <si>
    <t>The sheet in green presents the adjustment scenarios without the deficit resilience safeguard. This scenario is computed automatically based on the yearly adjustment path set in "Criteria results" (see above).</t>
  </si>
  <si>
    <t>Within the orange sheet and each green sheet, the background of the SPB line has three colours. Each colour corresponds to a specific period of the projections:</t>
  </si>
  <si>
    <t>Deficit resilience 
safeguard</t>
  </si>
  <si>
    <t>Debt decreasing? (For criterion 1)</t>
  </si>
  <si>
    <t>Table 7a: Debt and headline balance projections and key underlying assumptions (under the planned fiscal path)</t>
  </si>
  <si>
    <t>Gross debt</t>
  </si>
  <si>
    <t>(% GDP)</t>
  </si>
  <si>
    <t>General government balance</t>
  </si>
  <si>
    <t>(% pot. GDP)</t>
  </si>
  <si>
    <t>Cyclical component</t>
  </si>
  <si>
    <t>One-off measures</t>
  </si>
  <si>
    <t>Interest expenditure</t>
  </si>
  <si>
    <t>(%)</t>
  </si>
  <si>
    <t>Implicit average interest rate</t>
  </si>
  <si>
    <t>Stock-flow adjustment</t>
  </si>
  <si>
    <t>(growth rate)</t>
  </si>
  <si>
    <t>Real GDP</t>
  </si>
  <si>
    <t>GDP deflator</t>
  </si>
  <si>
    <t>Nominal GDP</t>
  </si>
  <si>
    <t>Table 7b: Debt projections and key stressed variables, deterministic scenarios and stochastic simulations</t>
  </si>
  <si>
    <t>Adverse 'r-g' scenario</t>
  </si>
  <si>
    <t>Stochastic simulations</t>
  </si>
  <si>
    <t>Probability of debt being below its value in T+4/7</t>
  </si>
  <si>
    <t>Table 7c: Debt and headline balance projections and underlying assumptions (under 'no-fiscal-policy-change' baseline)</t>
  </si>
  <si>
    <t>Table 7d: Debt projections and additional assumptions (under the planned fiscal path)</t>
  </si>
  <si>
    <t>line</t>
  </si>
  <si>
    <t>approximation</t>
  </si>
  <si>
    <r>
      <t>This file contains a simplified version of the EC model used to calculate the general governement debt ratio dynamics for EU countries under different scenarios. A detailed description of the EC's general govern</t>
    </r>
    <r>
      <rPr>
        <strike/>
        <sz val="11"/>
        <color rgb="FF0070C0"/>
        <rFont val="Calibri"/>
        <family val="2"/>
        <scheme val="minor"/>
      </rPr>
      <t>e</t>
    </r>
    <r>
      <rPr>
        <sz val="11"/>
        <color rgb="FF0070C0"/>
        <rFont val="Calibri"/>
        <family val="2"/>
        <scheme val="minor"/>
      </rPr>
      <t>ment debt projections can be found</t>
    </r>
    <r>
      <rPr>
        <b/>
        <sz val="11"/>
        <color rgb="FF0070C0"/>
        <rFont val="Calibri"/>
        <family val="2"/>
        <scheme val="minor"/>
      </rPr>
      <t xml:space="preserve"> in the "</t>
    </r>
    <r>
      <rPr>
        <b/>
        <u/>
        <sz val="11"/>
        <color rgb="FF0070C0"/>
        <rFont val="Calibri"/>
        <family val="2"/>
        <scheme val="minor"/>
      </rPr>
      <t>Debt Sustainability Monitor 2023" (DSM, March 2024)</t>
    </r>
    <r>
      <rPr>
        <b/>
        <sz val="11"/>
        <color rgb="FF0070C0"/>
        <rFont val="Calibri"/>
        <family val="2"/>
        <scheme val="minor"/>
      </rPr>
      <t xml:space="preserve">. </t>
    </r>
  </si>
  <si>
    <r>
      <t xml:space="preserve">Cells in </t>
    </r>
    <r>
      <rPr>
        <i/>
        <sz val="11"/>
        <color rgb="FF0070C0"/>
        <rFont val="Calibri"/>
        <family val="2"/>
        <scheme val="minor"/>
      </rPr>
      <t>light blue</t>
    </r>
    <r>
      <rPr>
        <sz val="11"/>
        <color rgb="FF0070C0"/>
        <rFont val="Calibri"/>
        <family val="2"/>
        <scheme val="minor"/>
      </rPr>
      <t xml:space="preserve"> indicate values from the Ageing Report 2024</t>
    </r>
  </si>
  <si>
    <t>Non coloured parameters in cells C50:C70 were calibrated based on different data sources. Data sources are given in corresponding cells of column E.</t>
  </si>
  <si>
    <t>Long-term nominal interest rate (T+10 convergence value)</t>
  </si>
  <si>
    <t>Short-term nominal interest rate (T+10 convergence value)</t>
  </si>
  <si>
    <t>Long-term nominal interest rate (T+30 convergence value)</t>
  </si>
  <si>
    <t>Short-term nominal interest rate (T+30 convergence value)</t>
  </si>
  <si>
    <t>Share of long-term debt that matures every year (T+10 convergence value)</t>
  </si>
  <si>
    <t>GDP deflator (national currency) (T+10 convergence value)</t>
  </si>
  <si>
    <t>GDP deflator (national currency) (T+30 convergence value)</t>
  </si>
  <si>
    <t>1.</t>
  </si>
  <si>
    <t>2.</t>
  </si>
  <si>
    <t>Budget balance semi-elasticity</t>
  </si>
  <si>
    <r>
      <t>The grey sheet "</t>
    </r>
    <r>
      <rPr>
        <b/>
        <sz val="11"/>
        <color rgb="FF0070C0"/>
        <rFont val="Calibri"/>
        <family val="2"/>
        <scheme val="minor"/>
      </rPr>
      <t>Criteria results</t>
    </r>
    <r>
      <rPr>
        <sz val="11"/>
        <color rgb="FF0070C0"/>
        <rFont val="Calibri"/>
        <family val="2"/>
        <scheme val="minor"/>
      </rPr>
      <t>" contains three types of cells identified by different colours:</t>
    </r>
  </si>
  <si>
    <t>Cost of ageing and selected public revenue (based on the Commission-Council 2024 Ageing Report ("AR 2024"))</t>
  </si>
  <si>
    <t>Number of years of adjustment</t>
  </si>
  <si>
    <r>
      <t xml:space="preserve">Cells with a </t>
    </r>
    <r>
      <rPr>
        <i/>
        <sz val="11"/>
        <color rgb="FF0070C0"/>
        <rFont val="Calibri"/>
        <family val="2"/>
        <scheme val="minor"/>
      </rPr>
      <t>yellow background and a red frame</t>
    </r>
    <r>
      <rPr>
        <sz val="11"/>
        <color rgb="FF0070C0"/>
        <rFont val="Calibri"/>
        <family val="2"/>
        <scheme val="minor"/>
      </rPr>
      <t xml:space="preserve"> can be modified to see the impact of a different duration or pace of adjustment.</t>
    </r>
  </si>
  <si>
    <r>
      <t xml:space="preserve">Cells with a </t>
    </r>
    <r>
      <rPr>
        <i/>
        <sz val="11"/>
        <color rgb="FF0070C0"/>
        <rFont val="Calibri"/>
        <family val="2"/>
        <scheme val="minor"/>
      </rPr>
      <t>pale blue background</t>
    </r>
    <r>
      <rPr>
        <sz val="11"/>
        <color rgb="FF0070C0"/>
        <rFont val="Calibri"/>
        <family val="2"/>
        <scheme val="minor"/>
      </rPr>
      <t xml:space="preserve"> correspond to the Commission's prior guidance provided to the Member State. Those are hard numbers that do not depend on the adjustment chosen in the file.</t>
    </r>
  </si>
  <si>
    <t>Subject to an excessive deficit procedure (EDP) (0-no/1-yes)</t>
  </si>
  <si>
    <r>
      <t>This tool can be used to calculate debt projections under different macroeconomic and structural primary balance adjustment assumptions. Debt projections for each scenario will update automatically with changes in the macroeconomic assumptions or the adjustment parameters. The fulfilment of DSA-based criteria, the safeguards and the benchmark will be automatically calculated in the sheet "</t>
    </r>
    <r>
      <rPr>
        <b/>
        <sz val="11"/>
        <color rgb="FF0070C0"/>
        <rFont val="Calibri"/>
        <family val="2"/>
        <scheme val="minor"/>
      </rPr>
      <t>Criteria results</t>
    </r>
    <r>
      <rPr>
        <sz val="11"/>
        <color rgb="FF0070C0"/>
        <rFont val="Calibri"/>
        <family val="2"/>
        <scheme val="minor"/>
      </rPr>
      <t>".
Formulas are fully visible. To assess the impact of alternative fiscal paths or to check the robustness of underlying macroeconomic assumptions, the user can modify the content of key cells in the sheets "</t>
    </r>
    <r>
      <rPr>
        <b/>
        <sz val="11"/>
        <color rgb="FF0070C0"/>
        <rFont val="Calibri"/>
        <family val="2"/>
        <scheme val="minor"/>
      </rPr>
      <t>Criteria results</t>
    </r>
    <r>
      <rPr>
        <sz val="11"/>
        <color rgb="FF0070C0"/>
        <rFont val="Calibri"/>
        <family val="2"/>
        <scheme val="minor"/>
      </rPr>
      <t>" and "</t>
    </r>
    <r>
      <rPr>
        <b/>
        <sz val="11"/>
        <color rgb="FF0070C0"/>
        <rFont val="Calibri"/>
        <family val="2"/>
        <scheme val="minor"/>
      </rPr>
      <t>Input data</t>
    </r>
    <r>
      <rPr>
        <sz val="11"/>
        <color rgb="FF0070C0"/>
        <rFont val="Calibri"/>
        <family val="2"/>
        <scheme val="minor"/>
      </rPr>
      <t>" (see below).
Note that, for a proper functioning of the file, you should make sure that Excel is in "Automatic" computation mode, i.e. in the File menu, Option tab, click on "Formulas", "Calculation Options" and "Automatic".</t>
    </r>
  </si>
  <si>
    <r>
      <t xml:space="preserve">Cells with a </t>
    </r>
    <r>
      <rPr>
        <i/>
        <sz val="11"/>
        <color rgb="FF0070C0"/>
        <rFont val="Calibri"/>
        <family val="2"/>
        <scheme val="minor"/>
      </rPr>
      <t xml:space="preserve">white or pale red (in case the deficit resilience safeguard is binding) background </t>
    </r>
    <r>
      <rPr>
        <sz val="11"/>
        <color rgb="FF0070C0"/>
        <rFont val="Calibri"/>
        <family val="2"/>
        <scheme val="minor"/>
      </rPr>
      <t>provide results obtained with the adjustment chosen in the yellow cells. To replicate the Commission's calculations, the underlying formulas should not be modified.</t>
    </r>
  </si>
  <si>
    <r>
      <t>The fullfilment of the criteria is checked in the sheet "</t>
    </r>
    <r>
      <rPr>
        <b/>
        <sz val="11"/>
        <color rgb="FF0070C0"/>
        <rFont val="Calibri"/>
        <family val="2"/>
        <scheme val="minor"/>
      </rPr>
      <t>Criteria results</t>
    </r>
    <r>
      <rPr>
        <sz val="11"/>
        <color rgb="FF0070C0"/>
        <rFont val="Calibri"/>
        <family val="2"/>
        <scheme val="minor"/>
      </rPr>
      <t xml:space="preserve">".
Debt projections can be found in line 57 of each scenario. </t>
    </r>
  </si>
  <si>
    <t>The 'FASTOP reporting' sheet in violet provides help for preparing reporting tables. It readily provides all the tables foreseen by the guidance notice on the "Information Requirements for the Medium-Term Fiscal-Structural Plans" once the parameters are set in the rest of this file.
This sheet is meant to be an assistance. The need for a thorough scrutiny of the figures before submitting such tables remains.</t>
  </si>
  <si>
    <t>* Under a plan without (with) extension, an adjustment of 0.40 pp. (0.25 pp.) of GDP in SPB terms is applied if the structural deficit in the previous year exceeds 1.5% of GDP.</t>
  </si>
  <si>
    <t>* The technical information provides the structural primary balance necessary to ensure that the deficit remains below 3% of GDP and debt remains below 60% of GDP over the medium term in the absence of additional fiscal measures beyond the adjustment period.  In line with the deficit resilience safeguard, and when necessary, an adjustment of 0.4 pp of GDP (0.25 pp. in case of extension) in structural primary terms is applied until the structural balance is at least equal to -1.5% of GDP. Note that the SPB at the end of the adjustment period may be lower than the SPB at the beginning of the plan, indicating that the Member State does not need to adjust.</t>
  </si>
  <si>
    <t>Table 2 "DSA-based criteria and deficit resilience safeguard" reports whether the chosen adjustment fulfils the DSA-based criteria (cells H12:I13) and whether the deficit resillience safeguard is binding.</t>
  </si>
  <si>
    <r>
      <t xml:space="preserve">Table 3 "Main fiscal variables with automatic deficit resilience safeguard" reports the annual adjustment over the adjustment period, in terms of change in SPB (line 18), level of the structural balance (line 19) and SPB level at the end of the adjustment (line 20). This table reports the results for the scenario that </t>
    </r>
    <r>
      <rPr>
        <i/>
        <sz val="11"/>
        <color rgb="FF0070C0"/>
        <rFont val="Calibri"/>
        <family val="2"/>
        <scheme val="minor"/>
      </rPr>
      <t>automatically applies the deficit resillience safeguard</t>
    </r>
    <r>
      <rPr>
        <sz val="11"/>
        <color rgb="FF0070C0"/>
        <rFont val="Calibri"/>
        <family val="2"/>
        <scheme val="minor"/>
      </rPr>
      <t>. For this reason, the SB is highlighted in red if it is lower than -1.5% of GDP.</t>
    </r>
  </si>
  <si>
    <r>
      <t xml:space="preserve">Table 4 "Main fiscal variables without automatic deficit resilience safeguard" reports the annual adjustment over the adjustment period, in terms of change in SPB (line 25), level of the structural balance (line 26) and SPB level at the end of the adjustment (line 27). This table reports the results for the scenario </t>
    </r>
    <r>
      <rPr>
        <i/>
        <sz val="11"/>
        <color rgb="FF0070C0"/>
        <rFont val="Calibri"/>
        <family val="2"/>
        <scheme val="minor"/>
      </rPr>
      <t>without the deficit resillience safeguard</t>
    </r>
    <r>
      <rPr>
        <sz val="11"/>
        <color rgb="FF0070C0"/>
        <rFont val="Calibri"/>
        <family val="2"/>
        <scheme val="minor"/>
      </rPr>
      <t>.</t>
    </r>
  </si>
  <si>
    <t>Table 5 "Technical information" reports the SPB level at the end of the adjustment period that fulfils the DSA-based criteria and takes into account the deficit resilience safeguard, both without and with extension.</t>
  </si>
  <si>
    <r>
      <t>"</t>
    </r>
    <r>
      <rPr>
        <b/>
        <sz val="11"/>
        <color rgb="FF0070C0"/>
        <rFont val="Calibri"/>
        <family val="2"/>
        <scheme val="minor"/>
      </rPr>
      <t>Criteria results</t>
    </r>
    <r>
      <rPr>
        <sz val="11"/>
        <color rgb="FF0070C0"/>
        <rFont val="Calibri"/>
        <family val="2"/>
        <scheme val="minor"/>
      </rPr>
      <t xml:space="preserve">" contains five tables.
Table 1 "Adjustment input data": the user can set the duration of the plan in cell F5 (4 years without extension or 7 years with extension), the yearly adjustment pace under the scenario that does not take into account the deficit resilience safeguard (F7) and for the scenario that automatically applies that safeguard (F6). Note that the country cell (F4) cannot be changed. 
</t>
    </r>
  </si>
  <si>
    <t>The adjustement in F7 needs to be selected first so that the message on line 13 signals that the two DSA-based criteria are fulfilled. As a second step, the adjustment in F6 can be selected (and cannot be lower than in F7) so that line 12 reports compliance with the requirements.</t>
  </si>
  <si>
    <t>Adjustment scenario with automatic deficit resilience safeguard *
(sheet "Adjustment scenario")</t>
  </si>
  <si>
    <t>Adjustment scenario without deficit resilience safeguard
(sheet "Adjust. no safeguard")</t>
  </si>
  <si>
    <t>The sheet in blue provides, as a reference, the baseline no-fiscal-policy-change scenario. The background colour coding is the same as in the sheet "Input data".</t>
  </si>
  <si>
    <t>Level (EUR bn)</t>
  </si>
  <si>
    <t>Share of outstanding debt in total debt in 2024</t>
  </si>
  <si>
    <t>Share of rolled-over long-term debt in 2024</t>
  </si>
  <si>
    <t>Share of rolled-over short-term debt in 2024</t>
  </si>
  <si>
    <t>Share of new long-term debt in 2024</t>
  </si>
  <si>
    <t>Share of new short-term debt in 2024</t>
  </si>
  <si>
    <t>Share of primary expenditure in GDP in 2025</t>
  </si>
  <si>
    <t>AF25</t>
  </si>
  <si>
    <t>Key fiscal variables (based on the Commission 2025 autumn forecast ("AF 2025"))</t>
  </si>
  <si>
    <t>Interest rates (AF 2025, %)</t>
  </si>
  <si>
    <t>Inflation (AF 2025, %)</t>
  </si>
  <si>
    <t>Net primary expenditure growth (AF 2025, %)</t>
  </si>
  <si>
    <t>Real GDP growth assumptions (based on AF 2025 T+10 projections and AR 2024 projections)</t>
  </si>
  <si>
    <t xml:space="preserve">The next spreadsheets present the no-fiscal-policy-change baseline and the adjustment scenario, with and without the impact of the deficit resilience safeguard. Each deterministic projection provides a single path for debt until 2039 or 2042 under certain assumptions for budgetary, macroeconomic and financial variables. 
</t>
  </si>
  <si>
    <t>DSM 2024</t>
  </si>
  <si>
    <r>
      <t xml:space="preserve">Data reported in this file are based on the </t>
    </r>
    <r>
      <rPr>
        <i/>
        <sz val="11"/>
        <color rgb="FF0070C0"/>
        <rFont val="Calibri"/>
        <family val="2"/>
        <scheme val="minor"/>
      </rPr>
      <t>European Commission (EC) 2025 autumn forecast</t>
    </r>
    <r>
      <rPr>
        <sz val="11"/>
        <color rgb="FF0070C0"/>
        <rFont val="Calibri"/>
        <family val="2"/>
        <scheme val="minor"/>
      </rPr>
      <t xml:space="preserve"> </t>
    </r>
    <r>
      <rPr>
        <i/>
        <sz val="11"/>
        <color rgb="FF0070C0"/>
        <rFont val="Calibri"/>
        <family val="2"/>
        <scheme val="minor"/>
      </rPr>
      <t>(AF 2025)</t>
    </r>
    <r>
      <rPr>
        <sz val="11"/>
        <color rgb="FF0070C0"/>
        <rFont val="Calibri"/>
        <family val="2"/>
        <scheme val="minor"/>
      </rPr>
      <t xml:space="preserve"> and macroeconomic and budgetary projections from the joint </t>
    </r>
    <r>
      <rPr>
        <i/>
        <sz val="11"/>
        <color rgb="FF0070C0"/>
        <rFont val="Calibri"/>
        <family val="2"/>
        <scheme val="minor"/>
      </rPr>
      <t>EC-EPC Ageing Report 2024 (AR 2024)</t>
    </r>
    <r>
      <rPr>
        <sz val="11"/>
        <color rgb="FF0070C0"/>
        <rFont val="Calibri"/>
        <family val="2"/>
        <scheme val="minor"/>
      </rPr>
      <t xml:space="preserve">. </t>
    </r>
    <r>
      <rPr>
        <b/>
        <sz val="11"/>
        <color rgb="FF0070C0"/>
        <rFont val="Calibri"/>
        <family val="2"/>
        <scheme val="minor"/>
      </rPr>
      <t xml:space="preserve">
</t>
    </r>
  </si>
  <si>
    <t>No extension (annual adjustment of 0.16)</t>
  </si>
  <si>
    <t>Extension (annual adjustment of 0.08)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</si>
</sst>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0.0000"/>
    <numFmt numFmtId="165" formatCode="0.0"/>
    <numFmt numFmtId="166" formatCode="0.000"/>
    <numFmt numFmtId="167" formatCode="0.00000"/>
    <numFmt numFmtId="168" formatCode="0.000000"/>
    <numFmt numFmtId="169" formatCode="0.0000000"/>
    <numFmt numFmtId="170" formatCode="0.00000000"/>
  </numFmts>
  <fonts count="44" x14ac:knownFonts="1">
    <font>
      <sz val="10"/>
      <color theme="1"/>
      <name val="Arial"/>
      <family val="2"/>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8"/>
      <color theme="1"/>
      <name val="Arial"/>
      <family val="2"/>
    </font>
    <font>
      <i/>
      <sz val="8"/>
      <color theme="1"/>
      <name val="Arial"/>
      <family val="2"/>
    </font>
    <font>
      <b/>
      <sz val="8"/>
      <color theme="1"/>
      <name val="Arial"/>
      <family val="2"/>
    </font>
    <font>
      <b/>
      <sz val="8"/>
      <name val="Arial"/>
      <family val="2"/>
    </font>
    <font>
      <i/>
      <sz val="8"/>
      <name val="Arial"/>
      <family val="2"/>
    </font>
    <font>
      <b/>
      <i/>
      <sz val="8"/>
      <name val="Arial"/>
      <family val="2"/>
    </font>
    <font>
      <sz val="8"/>
      <name val="Arial"/>
      <family val="2"/>
    </font>
    <font>
      <b/>
      <sz val="8"/>
      <color rgb="FF002060"/>
      <name val="Arial"/>
      <family val="2"/>
    </font>
    <font>
      <b/>
      <sz val="10"/>
      <color theme="1"/>
      <name val="Arial"/>
      <family val="2"/>
    </font>
    <font>
      <u/>
      <sz val="11"/>
      <color theme="10"/>
      <name val="Calibri"/>
      <family val="2"/>
      <scheme val="minor"/>
    </font>
    <font>
      <b/>
      <sz val="10"/>
      <color theme="0"/>
      <name val="Arial"/>
      <family val="2"/>
    </font>
    <font>
      <b/>
      <sz val="8"/>
      <color rgb="FF0070C0"/>
      <name val="Arial"/>
      <family val="2"/>
    </font>
    <font>
      <sz val="8"/>
      <color theme="0"/>
      <name val="Arial"/>
      <family val="2"/>
    </font>
    <font>
      <sz val="10"/>
      <color theme="0"/>
      <name val="Arial"/>
      <family val="2"/>
    </font>
    <font>
      <i/>
      <sz val="10"/>
      <color theme="1"/>
      <name val="Arial"/>
      <family val="2"/>
    </font>
    <font>
      <sz val="8"/>
      <color rgb="FF002060"/>
      <name val="Arial"/>
      <family val="2"/>
    </font>
    <font>
      <b/>
      <i/>
      <sz val="10"/>
      <color theme="0"/>
      <name val="Arial"/>
      <family val="2"/>
    </font>
    <font>
      <b/>
      <sz val="11"/>
      <color theme="0"/>
      <name val="Calibri"/>
      <family val="2"/>
      <scheme val="minor"/>
    </font>
    <font>
      <sz val="11"/>
      <color rgb="FF0070C0"/>
      <name val="Calibri"/>
      <family val="2"/>
      <scheme val="minor"/>
    </font>
    <font>
      <b/>
      <sz val="11"/>
      <color rgb="FF0070C0"/>
      <name val="Calibri"/>
      <family val="2"/>
      <scheme val="minor"/>
    </font>
    <font>
      <u/>
      <sz val="11"/>
      <color rgb="FF0070C0"/>
      <name val="Calibri"/>
      <family val="2"/>
      <scheme val="minor"/>
    </font>
    <font>
      <i/>
      <sz val="11"/>
      <color rgb="FF0070C0"/>
      <name val="Calibri"/>
      <family val="2"/>
      <scheme val="minor"/>
    </font>
    <font>
      <strike/>
      <sz val="11"/>
      <color rgb="FF0070C0"/>
      <name val="Calibri"/>
      <family val="2"/>
      <scheme val="minor"/>
    </font>
    <font>
      <b/>
      <u/>
      <sz val="11"/>
      <color rgb="FF0070C0"/>
      <name val="Calibri"/>
      <family val="2"/>
      <scheme val="minor"/>
    </font>
    <font>
      <sz val="8"/>
      <color rgb="FF0070C0"/>
      <name val="Arial"/>
      <family val="2"/>
    </font>
    <font>
      <sz val="11"/>
      <color rgb="FF000000"/>
      <name val="Calibri"/>
      <family val="2"/>
    </font>
    <font>
      <b/>
      <sz val="10"/>
      <color rgb="FFFF0000"/>
      <name val="Arial"/>
      <family val="2"/>
    </font>
    <font>
      <sz val="10"/>
      <name val="Arial"/>
      <family val="2"/>
    </font>
    <font>
      <b/>
      <sz val="10"/>
      <name val="Arial"/>
      <family val="2"/>
    </font>
    <font>
      <i/>
      <sz val="8"/>
      <color theme="0" tint="-0.34998626667073579"/>
      <name val="Arial"/>
      <family val="2"/>
    </font>
    <font>
      <i/>
      <sz val="8"/>
      <color theme="0" tint="-0.499984740745262"/>
      <name val="Arial"/>
      <family val="2"/>
    </font>
    <font>
      <b/>
      <sz val="10"/>
      <color rgb="FFFFFFFF"/>
      <name val="Arial"/>
      <family val="2"/>
    </font>
    <font>
      <b/>
      <sz val="10"/>
      <color theme="4" tint="-0.249977111117893"/>
      <name val="Arial"/>
      <family val="2"/>
    </font>
    <font>
      <sz val="11"/>
      <name val="Calibri"/>
      <family val="2"/>
    </font>
    <font>
      <b/>
      <sz val="12"/>
      <color theme="1"/>
      <name val="Arial"/>
      <family val="2"/>
    </font>
    <font>
      <b/>
      <sz val="12"/>
      <color rgb="FFFF0000"/>
      <name val="Arial"/>
      <family val="2"/>
    </font>
  </fonts>
  <fills count="23">
    <fill>
      <patternFill patternType="none"/>
    </fill>
    <fill>
      <patternFill patternType="gray125"/>
    </fill>
    <fill>
      <patternFill patternType="solid">
        <fgColor theme="0"/>
        <bgColor indexed="64"/>
      </patternFill>
    </fill>
    <fill>
      <patternFill patternType="solid">
        <fgColor theme="0" tint="-4.9989318521683403E-2"/>
        <bgColor indexed="64"/>
      </patternFill>
    </fill>
    <fill>
      <patternFill patternType="solid">
        <fgColor theme="0" tint="-0.34998626667073579"/>
        <bgColor indexed="64"/>
      </patternFill>
    </fill>
    <fill>
      <patternFill patternType="solid">
        <fgColor theme="4" tint="0.79998168889431442"/>
        <bgColor indexed="64"/>
      </patternFill>
    </fill>
    <fill>
      <patternFill patternType="solid">
        <fgColor theme="9" tint="0.39997558519241921"/>
        <bgColor indexed="64"/>
      </patternFill>
    </fill>
    <fill>
      <patternFill patternType="solid">
        <fgColor theme="0" tint="-0.249977111117893"/>
        <bgColor indexed="64"/>
      </patternFill>
    </fill>
    <fill>
      <patternFill patternType="solid">
        <fgColor rgb="FF92D050"/>
        <bgColor indexed="64"/>
      </patternFill>
    </fill>
    <fill>
      <patternFill patternType="solid">
        <fgColor rgb="FF92CDDC"/>
        <bgColor indexed="64"/>
      </patternFill>
    </fill>
    <fill>
      <patternFill patternType="solid">
        <fgColor rgb="FF0070C0"/>
        <bgColor indexed="64"/>
      </patternFill>
    </fill>
    <fill>
      <patternFill patternType="solid">
        <fgColor theme="9" tint="0.79998168889431442"/>
        <bgColor indexed="64"/>
      </patternFill>
    </fill>
    <fill>
      <patternFill patternType="solid">
        <fgColor rgb="FFFFFF00"/>
        <bgColor indexed="64"/>
      </patternFill>
    </fill>
    <fill>
      <patternFill patternType="solid">
        <fgColor theme="0" tint="-0.14999847407452621"/>
        <bgColor indexed="64"/>
      </patternFill>
    </fill>
    <fill>
      <patternFill patternType="solid">
        <fgColor theme="0" tint="-0.499984740745262"/>
        <bgColor indexed="64"/>
      </patternFill>
    </fill>
    <fill>
      <patternFill patternType="solid">
        <fgColor theme="0"/>
        <bgColor rgb="FF000000"/>
      </patternFill>
    </fill>
    <fill>
      <patternFill patternType="solid">
        <fgColor theme="9"/>
        <bgColor indexed="64"/>
      </patternFill>
    </fill>
    <fill>
      <patternFill patternType="solid">
        <fgColor theme="4" tint="-0.249977111117893"/>
        <bgColor indexed="64"/>
      </patternFill>
    </fill>
    <fill>
      <patternFill patternType="solid">
        <fgColor theme="3" tint="0.79998168889431442"/>
        <bgColor indexed="64"/>
      </patternFill>
    </fill>
    <fill>
      <patternFill patternType="solid">
        <fgColor rgb="FF7030A0"/>
        <bgColor indexed="64"/>
      </patternFill>
    </fill>
    <fill>
      <patternFill patternType="solid">
        <fgColor theme="5" tint="0.79998168889431442"/>
        <bgColor indexed="64"/>
      </patternFill>
    </fill>
    <fill>
      <patternFill patternType="solid">
        <fgColor theme="5" tint="0.59999389629810485"/>
        <bgColor indexed="64"/>
      </patternFill>
    </fill>
    <fill>
      <patternFill patternType="solid">
        <fgColor rgb="FFFFFFFF"/>
        <bgColor indexed="64"/>
      </patternFill>
    </fill>
  </fills>
  <borders count="2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top/>
      <bottom style="thin">
        <color indexed="64"/>
      </bottom>
      <diagonal/>
    </border>
    <border>
      <left/>
      <right style="thin">
        <color indexed="64"/>
      </right>
      <top/>
      <bottom style="thin">
        <color indexed="64"/>
      </bottom>
      <diagonal/>
    </border>
    <border>
      <left/>
      <right style="thin">
        <color indexed="64"/>
      </right>
      <top/>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ck">
        <color rgb="FFFF0000"/>
      </left>
      <right style="thick">
        <color rgb="FFFF0000"/>
      </right>
      <top style="thick">
        <color rgb="FFFF0000"/>
      </top>
      <bottom/>
      <diagonal/>
    </border>
    <border>
      <left style="thick">
        <color rgb="FFFF0000"/>
      </left>
      <right style="thick">
        <color rgb="FFFF0000"/>
      </right>
      <top/>
      <bottom style="thick">
        <color rgb="FFFF0000"/>
      </bottom>
      <diagonal/>
    </border>
    <border>
      <left/>
      <right style="thick">
        <color rgb="FFFF0000"/>
      </right>
      <top/>
      <bottom style="thin">
        <color indexed="64"/>
      </bottom>
      <diagonal/>
    </border>
    <border>
      <left/>
      <right style="thick">
        <color rgb="FFFF0000"/>
      </right>
      <top/>
      <bottom/>
      <diagonal/>
    </border>
    <border>
      <left style="thick">
        <color rgb="FFFF0000"/>
      </left>
      <right style="thick">
        <color rgb="FFFF0000"/>
      </right>
      <top style="thick">
        <color rgb="FFFF0000"/>
      </top>
      <bottom style="thick">
        <color rgb="FFFF0000"/>
      </bottom>
      <diagonal/>
    </border>
    <border>
      <left style="thick">
        <color rgb="FFFF0000"/>
      </left>
      <right/>
      <top/>
      <bottom/>
      <diagonal/>
    </border>
  </borders>
  <cellStyleXfs count="14">
    <xf numFmtId="0" fontId="0" fillId="0" borderId="0"/>
    <xf numFmtId="0" fontId="7" fillId="0" borderId="0"/>
    <xf numFmtId="0" fontId="7" fillId="0" borderId="0"/>
    <xf numFmtId="0" fontId="6" fillId="0" borderId="0"/>
    <xf numFmtId="0" fontId="17" fillId="0" borderId="0" applyNumberFormat="0" applyFill="0" applyBorder="0" applyAlignment="0" applyProtection="0"/>
    <xf numFmtId="0" fontId="5" fillId="0" borderId="0"/>
    <xf numFmtId="0" fontId="4" fillId="0" borderId="0"/>
    <xf numFmtId="0" fontId="3" fillId="0" borderId="0"/>
    <xf numFmtId="0" fontId="3" fillId="0" borderId="0"/>
    <xf numFmtId="0" fontId="3" fillId="0" borderId="0"/>
    <xf numFmtId="0" fontId="3" fillId="0" borderId="0"/>
    <xf numFmtId="0" fontId="3" fillId="0" borderId="0"/>
    <xf numFmtId="0" fontId="2" fillId="0" borderId="0"/>
    <xf numFmtId="0" fontId="41" fillId="0" borderId="0"/>
  </cellStyleXfs>
  <cellXfs count="381">
    <xf numFmtId="0" fontId="0" fillId="0" borderId="0" xfId="0"/>
    <xf numFmtId="165" fontId="14" fillId="2" borderId="0" xfId="0" applyNumberFormat="1" applyFont="1" applyFill="1" applyAlignment="1">
      <alignment horizontal="center"/>
    </xf>
    <xf numFmtId="165" fontId="14" fillId="3" borderId="0" xfId="0" applyNumberFormat="1" applyFont="1" applyFill="1" applyAlignment="1">
      <alignment horizontal="center"/>
    </xf>
    <xf numFmtId="165" fontId="14" fillId="4" borderId="0" xfId="0" applyNumberFormat="1" applyFont="1" applyFill="1" applyAlignment="1">
      <alignment horizontal="center"/>
    </xf>
    <xf numFmtId="0" fontId="0" fillId="2" borderId="0" xfId="0" applyFill="1"/>
    <xf numFmtId="0" fontId="16" fillId="2" borderId="0" xfId="0" applyFont="1" applyFill="1"/>
    <xf numFmtId="0" fontId="0" fillId="2" borderId="0" xfId="0" applyFill="1" applyAlignment="1">
      <alignment horizontal="right" vertical="center"/>
    </xf>
    <xf numFmtId="0" fontId="16" fillId="2" borderId="3" xfId="0" applyFont="1" applyFill="1" applyBorder="1"/>
    <xf numFmtId="0" fontId="10" fillId="2" borderId="2" xfId="0" applyFont="1" applyFill="1" applyBorder="1" applyAlignment="1">
      <alignment horizontal="center" vertical="center"/>
    </xf>
    <xf numFmtId="0" fontId="10" fillId="2" borderId="4" xfId="0" applyFont="1" applyFill="1" applyBorder="1" applyAlignment="1">
      <alignment horizontal="center" vertical="center"/>
    </xf>
    <xf numFmtId="0" fontId="8" fillId="2" borderId="8" xfId="0" applyFont="1" applyFill="1" applyBorder="1" applyAlignment="1">
      <alignment horizontal="center"/>
    </xf>
    <xf numFmtId="0" fontId="8" fillId="2" borderId="5" xfId="0" applyFont="1" applyFill="1" applyBorder="1" applyAlignment="1">
      <alignment horizontal="center" vertical="center" wrapText="1"/>
    </xf>
    <xf numFmtId="0" fontId="8" fillId="2" borderId="8" xfId="0" applyFont="1" applyFill="1" applyBorder="1" applyAlignment="1" applyProtection="1">
      <alignment horizontal="center"/>
      <protection locked="0"/>
    </xf>
    <xf numFmtId="0" fontId="8" fillId="2" borderId="9" xfId="0" applyFont="1" applyFill="1" applyBorder="1" applyAlignment="1">
      <alignment horizontal="center"/>
    </xf>
    <xf numFmtId="0" fontId="18" fillId="10" borderId="0" xfId="0" applyFont="1" applyFill="1"/>
    <xf numFmtId="0" fontId="8" fillId="2" borderId="0" xfId="0" applyFont="1" applyFill="1"/>
    <xf numFmtId="0" fontId="15" fillId="2" borderId="0" xfId="0" applyFont="1" applyFill="1" applyAlignment="1">
      <alignment horizontal="left" vertical="center"/>
    </xf>
    <xf numFmtId="0" fontId="10" fillId="2" borderId="0" xfId="0" applyFont="1" applyFill="1"/>
    <xf numFmtId="0" fontId="8" fillId="2" borderId="0" xfId="0" applyFont="1" applyFill="1" applyAlignment="1">
      <alignment horizontal="center"/>
    </xf>
    <xf numFmtId="0" fontId="9" fillId="2" borderId="0" xfId="0" applyFont="1" applyFill="1"/>
    <xf numFmtId="0" fontId="10" fillId="2" borderId="0" xfId="0" applyFont="1" applyFill="1" applyAlignment="1">
      <alignment horizontal="center"/>
    </xf>
    <xf numFmtId="0" fontId="8" fillId="2" borderId="0" xfId="0" applyFont="1" applyFill="1" applyAlignment="1">
      <alignment horizontal="left" indent="1"/>
    </xf>
    <xf numFmtId="0" fontId="8" fillId="2" borderId="0" xfId="0" applyFont="1" applyFill="1" applyAlignment="1">
      <alignment horizontal="left"/>
    </xf>
    <xf numFmtId="165" fontId="8" fillId="2" borderId="0" xfId="0" applyNumberFormat="1" applyFont="1" applyFill="1" applyAlignment="1">
      <alignment horizontal="center"/>
    </xf>
    <xf numFmtId="0" fontId="8" fillId="2" borderId="6" xfId="0" applyFont="1" applyFill="1" applyBorder="1"/>
    <xf numFmtId="2" fontId="8" fillId="2" borderId="0" xfId="0" applyNumberFormat="1" applyFont="1" applyFill="1" applyAlignment="1">
      <alignment horizontal="center"/>
    </xf>
    <xf numFmtId="165" fontId="14" fillId="2" borderId="6" xfId="0" applyNumberFormat="1" applyFont="1" applyFill="1" applyBorder="1" applyAlignment="1">
      <alignment horizontal="center"/>
    </xf>
    <xf numFmtId="165" fontId="8" fillId="2" borderId="0" xfId="0" applyNumberFormat="1" applyFont="1" applyFill="1"/>
    <xf numFmtId="0" fontId="19" fillId="2" borderId="0" xfId="0" applyFont="1" applyFill="1" applyAlignment="1">
      <alignment horizontal="left" vertical="center"/>
    </xf>
    <xf numFmtId="0" fontId="0" fillId="2" borderId="4" xfId="0" applyFill="1" applyBorder="1" applyAlignment="1">
      <alignment horizontal="center"/>
    </xf>
    <xf numFmtId="0" fontId="8" fillId="2" borderId="0" xfId="0" applyFont="1" applyFill="1" applyAlignment="1">
      <alignment horizontal="right"/>
    </xf>
    <xf numFmtId="164" fontId="8" fillId="2" borderId="0" xfId="0" applyNumberFormat="1" applyFont="1" applyFill="1" applyAlignment="1">
      <alignment horizontal="right"/>
    </xf>
    <xf numFmtId="165" fontId="15" fillId="2" borderId="0" xfId="0" applyNumberFormat="1" applyFont="1" applyFill="1" applyAlignment="1">
      <alignment horizontal="center"/>
    </xf>
    <xf numFmtId="165" fontId="12" fillId="2" borderId="6" xfId="0" applyNumberFormat="1" applyFont="1" applyFill="1" applyBorder="1" applyAlignment="1">
      <alignment horizontal="center"/>
    </xf>
    <xf numFmtId="165" fontId="11" fillId="2" borderId="3" xfId="0" applyNumberFormat="1" applyFont="1" applyFill="1" applyBorder="1" applyAlignment="1">
      <alignment horizontal="center"/>
    </xf>
    <xf numFmtId="165" fontId="8" fillId="2" borderId="6" xfId="0" applyNumberFormat="1" applyFont="1" applyFill="1" applyBorder="1" applyAlignment="1">
      <alignment horizontal="center"/>
    </xf>
    <xf numFmtId="165" fontId="13" fillId="2" borderId="3" xfId="0" applyNumberFormat="1" applyFont="1" applyFill="1" applyBorder="1" applyAlignment="1">
      <alignment horizontal="center"/>
    </xf>
    <xf numFmtId="0" fontId="8" fillId="2" borderId="11" xfId="0" applyFont="1" applyFill="1" applyBorder="1"/>
    <xf numFmtId="165" fontId="8" fillId="2" borderId="11" xfId="0" applyNumberFormat="1" applyFont="1" applyFill="1" applyBorder="1" applyAlignment="1">
      <alignment horizontal="center"/>
    </xf>
    <xf numFmtId="2" fontId="8" fillId="2" borderId="0" xfId="0" applyNumberFormat="1" applyFont="1" applyFill="1"/>
    <xf numFmtId="0" fontId="10" fillId="2" borderId="2" xfId="0" applyFont="1" applyFill="1" applyBorder="1"/>
    <xf numFmtId="2" fontId="8" fillId="2" borderId="4" xfId="0" applyNumberFormat="1" applyFont="1" applyFill="1" applyBorder="1" applyAlignment="1" applyProtection="1">
      <alignment horizontal="center"/>
      <protection locked="0"/>
    </xf>
    <xf numFmtId="0" fontId="10" fillId="2" borderId="9" xfId="0" applyFont="1" applyFill="1" applyBorder="1"/>
    <xf numFmtId="2" fontId="8" fillId="2" borderId="7" xfId="0" applyNumberFormat="1" applyFont="1" applyFill="1" applyBorder="1" applyAlignment="1" applyProtection="1">
      <alignment horizontal="center"/>
      <protection locked="0"/>
    </xf>
    <xf numFmtId="2" fontId="8" fillId="2" borderId="0" xfId="0" applyNumberFormat="1" applyFont="1" applyFill="1" applyAlignment="1" applyProtection="1">
      <alignment horizontal="center"/>
      <protection locked="0"/>
    </xf>
    <xf numFmtId="165" fontId="14" fillId="2" borderId="0" xfId="0" applyNumberFormat="1" applyFont="1" applyFill="1" applyAlignment="1" applyProtection="1">
      <alignment horizontal="center"/>
      <protection locked="0"/>
    </xf>
    <xf numFmtId="0" fontId="8" fillId="2" borderId="0" xfId="0" applyFont="1" applyFill="1" applyProtection="1">
      <protection locked="0"/>
    </xf>
    <xf numFmtId="164" fontId="8" fillId="2" borderId="0" xfId="0" applyNumberFormat="1" applyFont="1" applyFill="1"/>
    <xf numFmtId="0" fontId="14" fillId="2" borderId="0" xfId="0" applyFont="1" applyFill="1"/>
    <xf numFmtId="2" fontId="14" fillId="2" borderId="0" xfId="0" applyNumberFormat="1" applyFont="1" applyFill="1" applyAlignment="1" applyProtection="1">
      <alignment horizontal="center"/>
      <protection locked="0"/>
    </xf>
    <xf numFmtId="0" fontId="9" fillId="2" borderId="5" xfId="0" applyFont="1" applyFill="1" applyBorder="1" applyAlignment="1">
      <alignment horizontal="center"/>
    </xf>
    <xf numFmtId="0" fontId="8" fillId="2" borderId="5" xfId="0" applyFont="1" applyFill="1" applyBorder="1" applyAlignment="1">
      <alignment horizontal="center"/>
    </xf>
    <xf numFmtId="0" fontId="8" fillId="2" borderId="7" xfId="0" applyFont="1" applyFill="1" applyBorder="1" applyAlignment="1">
      <alignment horizontal="center"/>
    </xf>
    <xf numFmtId="0" fontId="20" fillId="10" borderId="0" xfId="0" applyFont="1" applyFill="1"/>
    <xf numFmtId="0" fontId="20" fillId="10" borderId="0" xfId="0" applyFont="1" applyFill="1" applyAlignment="1">
      <alignment horizontal="center"/>
    </xf>
    <xf numFmtId="0" fontId="20" fillId="10" borderId="0" xfId="0" applyFont="1" applyFill="1" applyAlignment="1">
      <alignment horizontal="right"/>
    </xf>
    <xf numFmtId="0" fontId="21" fillId="10" borderId="0" xfId="0" applyFont="1" applyFill="1" applyAlignment="1">
      <alignment vertical="center"/>
    </xf>
    <xf numFmtId="0" fontId="18" fillId="10" borderId="0" xfId="0" applyFont="1" applyFill="1" applyAlignment="1">
      <alignment horizontal="left" vertical="center"/>
    </xf>
    <xf numFmtId="0" fontId="21" fillId="10" borderId="0" xfId="0" applyFont="1" applyFill="1" applyAlignment="1">
      <alignment horizontal="center" vertical="center"/>
    </xf>
    <xf numFmtId="0" fontId="21" fillId="10" borderId="0" xfId="0" applyFont="1" applyFill="1" applyAlignment="1">
      <alignment horizontal="right" vertical="center"/>
    </xf>
    <xf numFmtId="0" fontId="18" fillId="10" borderId="0" xfId="0" applyFont="1" applyFill="1" applyAlignment="1">
      <alignment vertical="center"/>
    </xf>
    <xf numFmtId="0" fontId="8" fillId="2" borderId="3" xfId="0" applyFont="1" applyFill="1" applyBorder="1"/>
    <xf numFmtId="165" fontId="8" fillId="2" borderId="3" xfId="0" applyNumberFormat="1" applyFont="1" applyFill="1" applyBorder="1" applyAlignment="1">
      <alignment horizontal="center"/>
    </xf>
    <xf numFmtId="0" fontId="14" fillId="2" borderId="0" xfId="0" applyFont="1" applyFill="1" applyAlignment="1">
      <alignment horizontal="left" indent="1"/>
    </xf>
    <xf numFmtId="0" fontId="11" fillId="2" borderId="3" xfId="0" applyFont="1" applyFill="1" applyBorder="1"/>
    <xf numFmtId="0" fontId="11" fillId="2" borderId="11" xfId="0" applyFont="1" applyFill="1" applyBorder="1"/>
    <xf numFmtId="0" fontId="11" fillId="2" borderId="11" xfId="0" applyFont="1" applyFill="1" applyBorder="1" applyAlignment="1">
      <alignment horizontal="center"/>
    </xf>
    <xf numFmtId="0" fontId="15" fillId="2" borderId="3" xfId="0" applyFont="1" applyFill="1" applyBorder="1"/>
    <xf numFmtId="0" fontId="12" fillId="2" borderId="0" xfId="0" applyFont="1" applyFill="1" applyAlignment="1">
      <alignment horizontal="left" indent="1"/>
    </xf>
    <xf numFmtId="0" fontId="14" fillId="2" borderId="6" xfId="0" applyFont="1" applyFill="1" applyBorder="1" applyAlignment="1">
      <alignment horizontal="left" indent="1"/>
    </xf>
    <xf numFmtId="0" fontId="15" fillId="2" borderId="0" xfId="0" applyFont="1" applyFill="1"/>
    <xf numFmtId="0" fontId="21" fillId="10" borderId="0" xfId="0" applyFont="1" applyFill="1"/>
    <xf numFmtId="0" fontId="18" fillId="10" borderId="0" xfId="0" applyFont="1" applyFill="1" applyAlignment="1">
      <alignment horizontal="left"/>
    </xf>
    <xf numFmtId="0" fontId="21" fillId="10" borderId="0" xfId="0" applyFont="1" applyFill="1" applyAlignment="1">
      <alignment horizontal="center"/>
    </xf>
    <xf numFmtId="0" fontId="21" fillId="10" borderId="0" xfId="0" applyFont="1" applyFill="1" applyAlignment="1">
      <alignment horizontal="right"/>
    </xf>
    <xf numFmtId="164" fontId="8" fillId="2" borderId="0" xfId="0" applyNumberFormat="1" applyFont="1" applyFill="1" applyAlignment="1">
      <alignment horizontal="center"/>
    </xf>
    <xf numFmtId="166" fontId="14" fillId="2" borderId="0" xfId="0" applyNumberFormat="1" applyFont="1" applyFill="1" applyAlignment="1">
      <alignment horizontal="center"/>
    </xf>
    <xf numFmtId="165" fontId="8" fillId="3" borderId="0" xfId="0" applyNumberFormat="1" applyFont="1" applyFill="1" applyAlignment="1">
      <alignment horizontal="center"/>
    </xf>
    <xf numFmtId="165" fontId="14" fillId="5" borderId="0" xfId="0" applyNumberFormat="1" applyFont="1" applyFill="1" applyAlignment="1">
      <alignment horizontal="center"/>
    </xf>
    <xf numFmtId="0" fontId="18" fillId="2" borderId="0" xfId="0" applyFont="1" applyFill="1"/>
    <xf numFmtId="167" fontId="14" fillId="2" borderId="0" xfId="0" applyNumberFormat="1" applyFont="1" applyFill="1" applyAlignment="1">
      <alignment horizontal="center"/>
    </xf>
    <xf numFmtId="170" fontId="14" fillId="2" borderId="0" xfId="0" applyNumberFormat="1" applyFont="1" applyFill="1" applyAlignment="1">
      <alignment horizontal="center"/>
    </xf>
    <xf numFmtId="0" fontId="8" fillId="2" borderId="0" xfId="0" applyFont="1" applyFill="1" applyAlignment="1">
      <alignment horizontal="left" indent="3"/>
    </xf>
    <xf numFmtId="0" fontId="15" fillId="2" borderId="6" xfId="0" applyFont="1" applyFill="1" applyBorder="1"/>
    <xf numFmtId="0" fontId="8" fillId="2" borderId="6" xfId="0" applyFont="1" applyFill="1" applyBorder="1" applyAlignment="1">
      <alignment horizontal="left" indent="3"/>
    </xf>
    <xf numFmtId="2" fontId="8" fillId="2" borderId="6" xfId="0" applyNumberFormat="1" applyFont="1" applyFill="1" applyBorder="1" applyAlignment="1">
      <alignment horizontal="center"/>
    </xf>
    <xf numFmtId="0" fontId="21" fillId="2" borderId="0" xfId="0" applyFont="1" applyFill="1"/>
    <xf numFmtId="165" fontId="15" fillId="2" borderId="6" xfId="0" applyNumberFormat="1" applyFont="1" applyFill="1" applyBorder="1" applyAlignment="1">
      <alignment horizontal="center"/>
    </xf>
    <xf numFmtId="165" fontId="24" fillId="10" borderId="0" xfId="0" applyNumberFormat="1" applyFont="1" applyFill="1" applyAlignment="1">
      <alignment horizontal="center"/>
    </xf>
    <xf numFmtId="0" fontId="15" fillId="2" borderId="11" xfId="0" applyFont="1" applyFill="1" applyBorder="1"/>
    <xf numFmtId="165" fontId="15" fillId="2" borderId="11" xfId="0" applyNumberFormat="1" applyFont="1" applyFill="1" applyBorder="1" applyAlignment="1">
      <alignment horizontal="center"/>
    </xf>
    <xf numFmtId="0" fontId="23" fillId="2" borderId="0" xfId="0" applyFont="1" applyFill="1"/>
    <xf numFmtId="165" fontId="23" fillId="2" borderId="0" xfId="0" applyNumberFormat="1" applyFont="1" applyFill="1" applyAlignment="1" applyProtection="1">
      <alignment horizontal="center"/>
      <protection locked="0"/>
    </xf>
    <xf numFmtId="168" fontId="8" fillId="2" borderId="0" xfId="0" applyNumberFormat="1" applyFont="1" applyFill="1"/>
    <xf numFmtId="165" fontId="14" fillId="7" borderId="0" xfId="0" applyNumberFormat="1" applyFont="1" applyFill="1" applyAlignment="1">
      <alignment horizontal="center"/>
    </xf>
    <xf numFmtId="0" fontId="14" fillId="2" borderId="0" xfId="0" applyFont="1" applyFill="1" applyAlignment="1">
      <alignment horizontal="left"/>
    </xf>
    <xf numFmtId="166" fontId="8" fillId="2" borderId="0" xfId="0" applyNumberFormat="1" applyFont="1" applyFill="1"/>
    <xf numFmtId="165" fontId="24" fillId="2" borderId="0" xfId="0" applyNumberFormat="1" applyFont="1" applyFill="1" applyAlignment="1">
      <alignment horizontal="center"/>
    </xf>
    <xf numFmtId="165" fontId="24" fillId="2" borderId="6" xfId="0" applyNumberFormat="1" applyFont="1" applyFill="1" applyBorder="1" applyAlignment="1">
      <alignment horizontal="center"/>
    </xf>
    <xf numFmtId="165" fontId="23" fillId="2" borderId="6" xfId="0" applyNumberFormat="1" applyFont="1" applyFill="1" applyBorder="1" applyAlignment="1">
      <alignment horizontal="center"/>
    </xf>
    <xf numFmtId="0" fontId="19" fillId="2" borderId="0" xfId="0" applyFont="1" applyFill="1" applyAlignment="1" applyProtection="1">
      <alignment horizontal="left" vertical="center"/>
      <protection locked="0"/>
    </xf>
    <xf numFmtId="0" fontId="15" fillId="2" borderId="0" xfId="0" applyFont="1" applyFill="1" applyAlignment="1" applyProtection="1">
      <alignment horizontal="left" vertical="center"/>
      <protection locked="0"/>
    </xf>
    <xf numFmtId="0" fontId="10" fillId="2" borderId="2" xfId="0" applyFont="1" applyFill="1" applyBorder="1" applyAlignment="1" applyProtection="1">
      <alignment horizontal="center" vertical="center"/>
      <protection locked="0"/>
    </xf>
    <xf numFmtId="0" fontId="10" fillId="2" borderId="4" xfId="0" applyFont="1" applyFill="1" applyBorder="1" applyAlignment="1" applyProtection="1">
      <alignment horizontal="center" vertical="center"/>
      <protection locked="0"/>
    </xf>
    <xf numFmtId="0" fontId="9" fillId="2" borderId="5" xfId="0" applyFont="1" applyFill="1" applyBorder="1" applyAlignment="1" applyProtection="1">
      <alignment horizontal="left" vertical="center"/>
      <protection locked="0"/>
    </xf>
    <xf numFmtId="0" fontId="8" fillId="2" borderId="5" xfId="0" applyFont="1" applyFill="1" applyBorder="1" applyAlignment="1" applyProtection="1">
      <alignment horizontal="center" vertical="center" wrapText="1"/>
      <protection locked="0"/>
    </xf>
    <xf numFmtId="0" fontId="8" fillId="2" borderId="9" xfId="0" applyFont="1" applyFill="1" applyBorder="1" applyAlignment="1" applyProtection="1">
      <alignment horizontal="center"/>
      <protection locked="0"/>
    </xf>
    <xf numFmtId="0" fontId="0" fillId="2" borderId="0" xfId="0" applyFill="1" applyProtection="1">
      <protection locked="0"/>
    </xf>
    <xf numFmtId="0" fontId="0" fillId="10" borderId="0" xfId="0" applyFill="1" applyProtection="1">
      <protection locked="0"/>
    </xf>
    <xf numFmtId="0" fontId="18" fillId="10" borderId="0" xfId="0" applyFont="1" applyFill="1" applyProtection="1">
      <protection locked="0"/>
    </xf>
    <xf numFmtId="0" fontId="8" fillId="10" borderId="0" xfId="0" applyFont="1" applyFill="1" applyProtection="1">
      <protection locked="0"/>
    </xf>
    <xf numFmtId="0" fontId="10" fillId="2" borderId="0" xfId="0" applyFont="1" applyFill="1" applyAlignment="1" applyProtection="1">
      <alignment horizontal="center"/>
      <protection locked="0"/>
    </xf>
    <xf numFmtId="0" fontId="0" fillId="2" borderId="6" xfId="0" applyFill="1" applyBorder="1" applyProtection="1">
      <protection locked="0"/>
    </xf>
    <xf numFmtId="0" fontId="10" fillId="2" borderId="6" xfId="0" applyFont="1" applyFill="1" applyBorder="1" applyProtection="1">
      <protection locked="0"/>
    </xf>
    <xf numFmtId="0" fontId="8" fillId="2" borderId="6" xfId="0" applyFont="1" applyFill="1" applyBorder="1" applyAlignment="1" applyProtection="1">
      <alignment horizontal="center"/>
      <protection locked="0"/>
    </xf>
    <xf numFmtId="0" fontId="9" fillId="2" borderId="0" xfId="0" applyFont="1" applyFill="1" applyProtection="1">
      <protection locked="0"/>
    </xf>
    <xf numFmtId="0" fontId="8" fillId="2" borderId="0" xfId="0" applyFont="1" applyFill="1" applyAlignment="1" applyProtection="1">
      <alignment horizontal="center"/>
      <protection locked="0"/>
    </xf>
    <xf numFmtId="165" fontId="14" fillId="3" borderId="0" xfId="0" applyNumberFormat="1" applyFont="1" applyFill="1" applyAlignment="1" applyProtection="1">
      <alignment horizontal="center"/>
      <protection locked="0"/>
    </xf>
    <xf numFmtId="165" fontId="14" fillId="5" borderId="0" xfId="0" applyNumberFormat="1" applyFont="1" applyFill="1" applyAlignment="1" applyProtection="1">
      <alignment horizontal="center"/>
      <protection locked="0"/>
    </xf>
    <xf numFmtId="0" fontId="8" fillId="2" borderId="0" xfId="0" applyFont="1" applyFill="1" applyAlignment="1" applyProtection="1">
      <alignment horizontal="left"/>
      <protection locked="0"/>
    </xf>
    <xf numFmtId="0" fontId="8" fillId="2" borderId="0" xfId="0" applyFont="1" applyFill="1" applyAlignment="1" applyProtection="1">
      <alignment horizontal="left" indent="1"/>
      <protection locked="0"/>
    </xf>
    <xf numFmtId="0" fontId="8" fillId="2" borderId="6" xfId="0" applyFont="1" applyFill="1" applyBorder="1" applyProtection="1">
      <protection locked="0"/>
    </xf>
    <xf numFmtId="165" fontId="8" fillId="2" borderId="0" xfId="0" applyNumberFormat="1" applyFont="1" applyFill="1" applyAlignment="1" applyProtection="1">
      <alignment horizontal="center"/>
      <protection locked="0"/>
    </xf>
    <xf numFmtId="165" fontId="8" fillId="3" borderId="0" xfId="0" applyNumberFormat="1" applyFont="1" applyFill="1" applyAlignment="1" applyProtection="1">
      <alignment horizontal="center"/>
      <protection locked="0"/>
    </xf>
    <xf numFmtId="165" fontId="8" fillId="5" borderId="0" xfId="0" applyNumberFormat="1" applyFont="1" applyFill="1" applyAlignment="1" applyProtection="1">
      <alignment horizontal="center"/>
      <protection locked="0"/>
    </xf>
    <xf numFmtId="169" fontId="14" fillId="2" borderId="0" xfId="0" applyNumberFormat="1" applyFont="1" applyFill="1" applyAlignment="1" applyProtection="1">
      <alignment horizontal="center"/>
      <protection locked="0"/>
    </xf>
    <xf numFmtId="0" fontId="10" fillId="2" borderId="6" xfId="0" applyFont="1" applyFill="1" applyBorder="1" applyAlignment="1" applyProtection="1">
      <alignment horizontal="left"/>
      <protection locked="0"/>
    </xf>
    <xf numFmtId="165" fontId="14" fillId="2" borderId="6" xfId="0" applyNumberFormat="1" applyFont="1" applyFill="1" applyBorder="1" applyAlignment="1" applyProtection="1">
      <alignment horizontal="center"/>
      <protection locked="0"/>
    </xf>
    <xf numFmtId="164" fontId="14" fillId="2" borderId="6" xfId="0" applyNumberFormat="1" applyFont="1" applyFill="1" applyBorder="1" applyAlignment="1" applyProtection="1">
      <alignment horizontal="center"/>
      <protection locked="0"/>
    </xf>
    <xf numFmtId="165" fontId="14" fillId="10" borderId="0" xfId="0" applyNumberFormat="1" applyFont="1" applyFill="1" applyAlignment="1" applyProtection="1">
      <alignment horizontal="center"/>
      <protection locked="0"/>
    </xf>
    <xf numFmtId="0" fontId="18" fillId="2" borderId="0" xfId="0" applyFont="1" applyFill="1" applyProtection="1">
      <protection locked="0"/>
    </xf>
    <xf numFmtId="165" fontId="14" fillId="6" borderId="0" xfId="0" applyNumberFormat="1" applyFont="1" applyFill="1" applyAlignment="1" applyProtection="1">
      <alignment horizontal="center"/>
      <protection locked="0"/>
    </xf>
    <xf numFmtId="0" fontId="10" fillId="2" borderId="0" xfId="0" applyFont="1" applyFill="1" applyProtection="1">
      <protection locked="0"/>
    </xf>
    <xf numFmtId="165" fontId="11" fillId="2" borderId="0" xfId="0" applyNumberFormat="1" applyFont="1" applyFill="1" applyAlignment="1" applyProtection="1">
      <alignment horizontal="center"/>
      <protection locked="0"/>
    </xf>
    <xf numFmtId="0" fontId="11" fillId="2" borderId="0" xfId="0" applyFont="1" applyFill="1" applyAlignment="1" applyProtection="1">
      <alignment horizontal="center"/>
      <protection locked="0"/>
    </xf>
    <xf numFmtId="165" fontId="14" fillId="11" borderId="0" xfId="0" applyNumberFormat="1" applyFont="1" applyFill="1" applyAlignment="1">
      <alignment horizontal="center"/>
    </xf>
    <xf numFmtId="0" fontId="0" fillId="12" borderId="15" xfId="0" quotePrefix="1" applyFill="1" applyBorder="1" applyAlignment="1" applyProtection="1">
      <alignment horizontal="center" vertical="center"/>
      <protection locked="0"/>
    </xf>
    <xf numFmtId="2" fontId="0" fillId="12" borderId="16" xfId="0" applyNumberFormat="1" applyFill="1" applyBorder="1" applyAlignment="1" applyProtection="1">
      <alignment horizontal="center" vertical="center"/>
      <protection locked="0"/>
    </xf>
    <xf numFmtId="0" fontId="4" fillId="5" borderId="0" xfId="6" applyFill="1"/>
    <xf numFmtId="0" fontId="4" fillId="2" borderId="5" xfId="6" applyFill="1" applyBorder="1"/>
    <xf numFmtId="0" fontId="4" fillId="2" borderId="8" xfId="6" applyFill="1" applyBorder="1"/>
    <xf numFmtId="0" fontId="28" fillId="2" borderId="0" xfId="4" applyFont="1" applyFill="1" applyBorder="1"/>
    <xf numFmtId="0" fontId="26" fillId="7" borderId="0" xfId="6" applyFont="1" applyFill="1" applyAlignment="1">
      <alignment horizontal="justify" wrapText="1"/>
    </xf>
    <xf numFmtId="0" fontId="26" fillId="2" borderId="0" xfId="6" applyFont="1" applyFill="1" applyAlignment="1">
      <alignment vertical="center" wrapText="1"/>
    </xf>
    <xf numFmtId="168" fontId="0" fillId="2" borderId="0" xfId="0" applyNumberFormat="1" applyFill="1" applyProtection="1">
      <protection locked="0"/>
    </xf>
    <xf numFmtId="0" fontId="0" fillId="5" borderId="10" xfId="0" applyFill="1" applyBorder="1" applyAlignment="1">
      <alignment horizontal="center"/>
    </xf>
    <xf numFmtId="0" fontId="0" fillId="5" borderId="1" xfId="0" applyFill="1" applyBorder="1" applyAlignment="1">
      <alignment horizontal="center"/>
    </xf>
    <xf numFmtId="165" fontId="0" fillId="5" borderId="13" xfId="0" applyNumberFormat="1" applyFill="1" applyBorder="1" applyAlignment="1">
      <alignment horizontal="center" vertical="center"/>
    </xf>
    <xf numFmtId="0" fontId="0" fillId="5" borderId="3" xfId="0" applyFill="1" applyBorder="1"/>
    <xf numFmtId="0" fontId="0" fillId="5" borderId="4" xfId="0" applyFill="1" applyBorder="1"/>
    <xf numFmtId="0" fontId="0" fillId="5" borderId="0" xfId="0" applyFill="1"/>
    <xf numFmtId="0" fontId="22" fillId="2" borderId="5" xfId="0" applyFont="1" applyFill="1" applyBorder="1"/>
    <xf numFmtId="0" fontId="22" fillId="2" borderId="2" xfId="0" applyFont="1" applyFill="1" applyBorder="1"/>
    <xf numFmtId="0" fontId="26" fillId="2" borderId="0" xfId="6" applyFont="1" applyFill="1" applyAlignment="1">
      <alignment horizontal="justify" wrapText="1"/>
    </xf>
    <xf numFmtId="170" fontId="8" fillId="2" borderId="0" xfId="0" applyNumberFormat="1" applyFont="1" applyFill="1" applyAlignment="1">
      <alignment horizontal="center"/>
    </xf>
    <xf numFmtId="0" fontId="33" fillId="15" borderId="0" xfId="3" applyFont="1" applyFill="1" applyAlignment="1">
      <alignment horizontal="left" vertical="top"/>
    </xf>
    <xf numFmtId="0" fontId="0" fillId="2" borderId="6" xfId="0" applyFill="1" applyBorder="1" applyAlignment="1">
      <alignment horizontal="justify" vertical="top" wrapText="1"/>
    </xf>
    <xf numFmtId="0" fontId="16" fillId="2" borderId="10" xfId="0" applyFont="1" applyFill="1" applyBorder="1" applyAlignment="1">
      <alignment horizontal="center" vertical="top" wrapText="1"/>
    </xf>
    <xf numFmtId="0" fontId="16" fillId="2" borderId="11" xfId="0" applyFont="1" applyFill="1" applyBorder="1" applyAlignment="1">
      <alignment horizontal="center" vertical="top" wrapText="1"/>
    </xf>
    <xf numFmtId="2" fontId="0" fillId="2" borderId="0" xfId="0" applyNumberFormat="1" applyFill="1"/>
    <xf numFmtId="2" fontId="0" fillId="2" borderId="0" xfId="0" applyNumberFormat="1" applyFill="1" applyAlignment="1">
      <alignment horizontal="center" vertical="top" wrapText="1"/>
    </xf>
    <xf numFmtId="0" fontId="0" fillId="2" borderId="0" xfId="0" applyFill="1" applyAlignment="1">
      <alignment vertical="top" wrapText="1"/>
    </xf>
    <xf numFmtId="0" fontId="0" fillId="2" borderId="7" xfId="0" applyFill="1" applyBorder="1" applyAlignment="1">
      <alignment horizontal="justify" vertical="top" wrapText="1"/>
    </xf>
    <xf numFmtId="0" fontId="16" fillId="2" borderId="0" xfId="0" applyFont="1" applyFill="1" applyAlignment="1">
      <alignment horizontal="center" vertical="top" wrapText="1"/>
    </xf>
    <xf numFmtId="0" fontId="0" fillId="2" borderId="0" xfId="0" applyFill="1" applyAlignment="1">
      <alignment vertical="center" wrapText="1"/>
    </xf>
    <xf numFmtId="165" fontId="0" fillId="2" borderId="9" xfId="0" applyNumberFormat="1" applyFill="1" applyBorder="1" applyAlignment="1">
      <alignment horizontal="center" vertical="top" wrapText="1"/>
    </xf>
    <xf numFmtId="165" fontId="0" fillId="2" borderId="6" xfId="0" applyNumberFormat="1" applyFill="1" applyBorder="1" applyAlignment="1">
      <alignment horizontal="center" vertical="top" wrapText="1"/>
    </xf>
    <xf numFmtId="2" fontId="0" fillId="2" borderId="3" xfId="0" applyNumberFormat="1" applyFill="1" applyBorder="1" applyAlignment="1">
      <alignment horizontal="center" vertical="top" wrapText="1"/>
    </xf>
    <xf numFmtId="2" fontId="0" fillId="2" borderId="4" xfId="0" applyNumberFormat="1" applyFill="1" applyBorder="1" applyAlignment="1">
      <alignment horizontal="center" vertical="top" wrapText="1"/>
    </xf>
    <xf numFmtId="165" fontId="0" fillId="2" borderId="7" xfId="0" applyNumberFormat="1" applyFill="1" applyBorder="1" applyAlignment="1">
      <alignment horizontal="center" vertical="top" wrapText="1"/>
    </xf>
    <xf numFmtId="0" fontId="34" fillId="2" borderId="0" xfId="0" applyFont="1" applyFill="1" applyAlignment="1">
      <alignment vertical="top" wrapText="1"/>
    </xf>
    <xf numFmtId="0" fontId="16" fillId="2" borderId="12" xfId="0" applyFont="1" applyFill="1" applyBorder="1" applyAlignment="1">
      <alignment horizontal="center" vertical="top" wrapText="1"/>
    </xf>
    <xf numFmtId="0" fontId="22" fillId="2" borderId="9" xfId="0" applyFont="1" applyFill="1" applyBorder="1"/>
    <xf numFmtId="0" fontId="0" fillId="2" borderId="17" xfId="0" applyFill="1" applyBorder="1"/>
    <xf numFmtId="0" fontId="22" fillId="5" borderId="2" xfId="0" applyFont="1" applyFill="1" applyBorder="1"/>
    <xf numFmtId="165" fontId="14" fillId="6" borderId="0" xfId="0" applyNumberFormat="1" applyFont="1" applyFill="1" applyAlignment="1">
      <alignment horizontal="center"/>
    </xf>
    <xf numFmtId="168" fontId="8" fillId="2" borderId="0" xfId="0" applyNumberFormat="1" applyFont="1" applyFill="1" applyAlignment="1">
      <alignment horizontal="center"/>
    </xf>
    <xf numFmtId="165" fontId="8" fillId="11" borderId="0" xfId="0" applyNumberFormat="1" applyFont="1" applyFill="1" applyAlignment="1">
      <alignment horizontal="center"/>
    </xf>
    <xf numFmtId="165" fontId="8" fillId="11" borderId="6" xfId="0" applyNumberFormat="1" applyFont="1" applyFill="1" applyBorder="1" applyAlignment="1">
      <alignment horizontal="center"/>
    </xf>
    <xf numFmtId="165" fontId="0" fillId="2" borderId="0" xfId="0" applyNumberFormat="1" applyFill="1" applyAlignment="1">
      <alignment horizontal="center" vertical="top" wrapText="1"/>
    </xf>
    <xf numFmtId="0" fontId="8" fillId="2" borderId="11" xfId="0" applyFont="1" applyFill="1" applyBorder="1" applyAlignment="1">
      <alignment horizontal="center"/>
    </xf>
    <xf numFmtId="169" fontId="8" fillId="2" borderId="0" xfId="0" applyNumberFormat="1" applyFont="1" applyFill="1"/>
    <xf numFmtId="2" fontId="37" fillId="2" borderId="0" xfId="0" applyNumberFormat="1" applyFont="1" applyFill="1" applyAlignment="1">
      <alignment horizontal="center"/>
    </xf>
    <xf numFmtId="2" fontId="14" fillId="2" borderId="0" xfId="0" applyNumberFormat="1" applyFont="1" applyFill="1" applyAlignment="1">
      <alignment horizontal="center"/>
    </xf>
    <xf numFmtId="2" fontId="14" fillId="2" borderId="6" xfId="0" applyNumberFormat="1" applyFont="1" applyFill="1" applyBorder="1" applyAlignment="1">
      <alignment horizontal="center"/>
    </xf>
    <xf numFmtId="165" fontId="8" fillId="13" borderId="0" xfId="0" applyNumberFormat="1" applyFont="1" applyFill="1" applyAlignment="1">
      <alignment horizontal="center"/>
    </xf>
    <xf numFmtId="0" fontId="0" fillId="2" borderId="0" xfId="0" applyFont="1" applyFill="1"/>
    <xf numFmtId="0" fontId="0" fillId="2" borderId="0" xfId="0" applyFill="1" applyBorder="1"/>
    <xf numFmtId="0" fontId="0" fillId="2" borderId="0" xfId="0" applyFill="1" applyBorder="1" applyAlignment="1">
      <alignment horizontal="left" vertical="center" wrapText="1"/>
    </xf>
    <xf numFmtId="0" fontId="0" fillId="2" borderId="8" xfId="0" applyFill="1" applyBorder="1" applyAlignment="1">
      <alignment horizontal="left" vertical="center" wrapText="1"/>
    </xf>
    <xf numFmtId="165" fontId="0" fillId="2" borderId="5" xfId="0" applyNumberFormat="1" applyFill="1" applyBorder="1" applyAlignment="1">
      <alignment horizontal="center" vertical="top" wrapText="1"/>
    </xf>
    <xf numFmtId="165" fontId="0" fillId="2" borderId="0" xfId="0" applyNumberFormat="1" applyFill="1" applyBorder="1" applyAlignment="1">
      <alignment horizontal="center" vertical="top" wrapText="1"/>
    </xf>
    <xf numFmtId="165" fontId="0" fillId="2" borderId="3" xfId="0" applyNumberFormat="1" applyFill="1" applyBorder="1" applyAlignment="1">
      <alignment horizontal="center" vertical="top" wrapText="1"/>
    </xf>
    <xf numFmtId="165" fontId="0" fillId="2" borderId="8" xfId="0" applyNumberFormat="1" applyFill="1" applyBorder="1" applyAlignment="1">
      <alignment horizontal="center" vertical="top" wrapText="1"/>
    </xf>
    <xf numFmtId="0" fontId="0" fillId="2" borderId="5" xfId="0" applyFill="1" applyBorder="1" applyAlignment="1">
      <alignment horizontal="left" vertical="center"/>
    </xf>
    <xf numFmtId="0" fontId="0" fillId="2" borderId="18" xfId="0" applyFill="1" applyBorder="1"/>
    <xf numFmtId="0" fontId="0" fillId="5" borderId="14" xfId="0" quotePrefix="1" applyFill="1" applyBorder="1" applyAlignment="1">
      <alignment horizontal="center" vertical="center"/>
    </xf>
    <xf numFmtId="0" fontId="22" fillId="5" borderId="9" xfId="0" applyFont="1" applyFill="1" applyBorder="1"/>
    <xf numFmtId="165" fontId="0" fillId="5" borderId="9" xfId="0" applyNumberFormat="1" applyFill="1" applyBorder="1" applyAlignment="1">
      <alignment horizontal="center" vertical="center"/>
    </xf>
    <xf numFmtId="0" fontId="0" fillId="2" borderId="1" xfId="0" applyFill="1" applyBorder="1" applyAlignment="1">
      <alignment horizontal="center" vertical="center"/>
    </xf>
    <xf numFmtId="0" fontId="2" fillId="5" borderId="0" xfId="12" applyFill="1"/>
    <xf numFmtId="0" fontId="2" fillId="2" borderId="7" xfId="12" applyFill="1" applyBorder="1"/>
    <xf numFmtId="0" fontId="2" fillId="2" borderId="9" xfId="12" applyFill="1" applyBorder="1"/>
    <xf numFmtId="0" fontId="2" fillId="5" borderId="0" xfId="12" applyFill="1" applyAlignment="1">
      <alignment vertical="top"/>
    </xf>
    <xf numFmtId="0" fontId="2" fillId="2" borderId="8" xfId="12" applyFill="1" applyBorder="1"/>
    <xf numFmtId="0" fontId="2" fillId="2" borderId="5" xfId="12" applyFill="1" applyBorder="1"/>
    <xf numFmtId="0" fontId="26" fillId="2" borderId="0" xfId="12" applyFont="1" applyFill="1" applyAlignment="1">
      <alignment vertical="center" wrapText="1"/>
    </xf>
    <xf numFmtId="0" fontId="26" fillId="2" borderId="0" xfId="12" applyFont="1" applyFill="1" applyAlignment="1">
      <alignment horizontal="justify" wrapText="1"/>
    </xf>
    <xf numFmtId="0" fontId="26" fillId="2" borderId="0" xfId="12" applyFont="1" applyFill="1" applyAlignment="1">
      <alignment horizontal="justify" vertical="top" wrapText="1"/>
    </xf>
    <xf numFmtId="165" fontId="32" fillId="2" borderId="0" xfId="12" applyNumberFormat="1" applyFont="1" applyFill="1" applyAlignment="1">
      <alignment horizontal="center"/>
    </xf>
    <xf numFmtId="0" fontId="26" fillId="2" borderId="0" xfId="12" applyFont="1" applyFill="1" applyAlignment="1">
      <alignment horizontal="justify" vertical="justify" wrapText="1"/>
    </xf>
    <xf numFmtId="165" fontId="32" fillId="4" borderId="0" xfId="12" applyNumberFormat="1" applyFont="1" applyFill="1" applyAlignment="1">
      <alignment horizontal="center"/>
    </xf>
    <xf numFmtId="165" fontId="32" fillId="13" borderId="0" xfId="12" applyNumberFormat="1" applyFont="1" applyFill="1" applyAlignment="1">
      <alignment horizontal="center"/>
    </xf>
    <xf numFmtId="165" fontId="32" fillId="3" borderId="0" xfId="12" applyNumberFormat="1" applyFont="1" applyFill="1" applyAlignment="1">
      <alignment horizontal="center"/>
    </xf>
    <xf numFmtId="0" fontId="26" fillId="8" borderId="0" xfId="12" applyFont="1" applyFill="1"/>
    <xf numFmtId="0" fontId="26" fillId="9" borderId="0" xfId="12" applyFont="1" applyFill="1" applyAlignment="1">
      <alignment horizontal="justify" wrapText="1"/>
    </xf>
    <xf numFmtId="165" fontId="32" fillId="6" borderId="0" xfId="12" applyNumberFormat="1" applyFont="1" applyFill="1" applyAlignment="1">
      <alignment horizontal="center"/>
    </xf>
    <xf numFmtId="0" fontId="26" fillId="2" borderId="0" xfId="12" applyFont="1" applyFill="1" applyAlignment="1">
      <alignment horizontal="left" vertical="center" wrapText="1"/>
    </xf>
    <xf numFmtId="165" fontId="32" fillId="11" borderId="0" xfId="12" applyNumberFormat="1" applyFont="1" applyFill="1" applyAlignment="1">
      <alignment horizontal="center"/>
    </xf>
    <xf numFmtId="165" fontId="32" fillId="5" borderId="0" xfId="12" applyNumberFormat="1" applyFont="1" applyFill="1" applyAlignment="1">
      <alignment horizontal="center"/>
    </xf>
    <xf numFmtId="0" fontId="26" fillId="2" borderId="0" xfId="12" applyFont="1" applyFill="1" applyAlignment="1">
      <alignment horizontal="left" wrapText="1"/>
    </xf>
    <xf numFmtId="0" fontId="2" fillId="5" borderId="0" xfId="12" applyFill="1" applyAlignment="1">
      <alignment vertical="top" wrapText="1"/>
    </xf>
    <xf numFmtId="0" fontId="26" fillId="7" borderId="0" xfId="12" applyFont="1" applyFill="1" applyAlignment="1">
      <alignment horizontal="justify" wrapText="1"/>
    </xf>
    <xf numFmtId="0" fontId="25" fillId="5" borderId="0" xfId="12" applyFont="1" applyFill="1"/>
    <xf numFmtId="0" fontId="26" fillId="2" borderId="0" xfId="12" applyFont="1" applyFill="1"/>
    <xf numFmtId="0" fontId="27" fillId="2" borderId="0" xfId="12" applyFont="1" applyFill="1"/>
    <xf numFmtId="0" fontId="2" fillId="2" borderId="4" xfId="12" applyFill="1" applyBorder="1"/>
    <xf numFmtId="0" fontId="2" fillId="2" borderId="3" xfId="12" applyFill="1" applyBorder="1"/>
    <xf numFmtId="0" fontId="2" fillId="2" borderId="2" xfId="12" applyFill="1" applyBorder="1"/>
    <xf numFmtId="0" fontId="2" fillId="2" borderId="6" xfId="12" applyFill="1" applyBorder="1"/>
    <xf numFmtId="0" fontId="2" fillId="2" borderId="0" xfId="12" applyFill="1"/>
    <xf numFmtId="0" fontId="26" fillId="2" borderId="3" xfId="12" applyFont="1" applyFill="1" applyBorder="1"/>
    <xf numFmtId="0" fontId="0" fillId="2" borderId="0" xfId="0" applyFill="1" applyAlignment="1">
      <alignment horizontal="justify" vertical="top" wrapText="1"/>
    </xf>
    <xf numFmtId="165" fontId="8" fillId="3" borderId="6" xfId="0" applyNumberFormat="1" applyFont="1" applyFill="1" applyBorder="1" applyAlignment="1">
      <alignment horizontal="center"/>
    </xf>
    <xf numFmtId="0" fontId="0" fillId="2" borderId="6" xfId="0" applyFill="1" applyBorder="1" applyAlignment="1">
      <alignment horizontal="left" vertical="center" wrapText="1"/>
    </xf>
    <xf numFmtId="0" fontId="0" fillId="2" borderId="7" xfId="0" applyFill="1" applyBorder="1" applyAlignment="1">
      <alignment horizontal="left" vertical="center" wrapText="1"/>
    </xf>
    <xf numFmtId="0" fontId="16" fillId="2" borderId="0" xfId="0" applyFont="1" applyFill="1" applyAlignment="1">
      <alignment horizontal="center" vertical="center" wrapText="1"/>
    </xf>
    <xf numFmtId="1" fontId="8" fillId="2" borderId="7" xfId="0" applyNumberFormat="1" applyFont="1" applyFill="1" applyBorder="1" applyAlignment="1" applyProtection="1">
      <alignment horizontal="center"/>
      <protection locked="0"/>
    </xf>
    <xf numFmtId="2" fontId="0" fillId="12" borderId="19" xfId="0" quotePrefix="1" applyNumberFormat="1" applyFill="1" applyBorder="1" applyAlignment="1" applyProtection="1">
      <alignment horizontal="center" vertical="center"/>
      <protection locked="0"/>
    </xf>
    <xf numFmtId="0" fontId="16" fillId="2" borderId="0" xfId="0" applyFont="1" applyFill="1" applyBorder="1"/>
    <xf numFmtId="2" fontId="0" fillId="2" borderId="2" xfId="0" applyNumberFormat="1" applyFill="1" applyBorder="1" applyAlignment="1">
      <alignment horizontal="center" vertical="top" wrapText="1"/>
    </xf>
    <xf numFmtId="0" fontId="0" fillId="2" borderId="9" xfId="0" applyFill="1" applyBorder="1" applyAlignment="1">
      <alignment horizontal="left" vertical="center"/>
    </xf>
    <xf numFmtId="0" fontId="0" fillId="2" borderId="0" xfId="0" applyFill="1" applyBorder="1" applyAlignment="1">
      <alignment horizontal="left" vertical="center"/>
    </xf>
    <xf numFmtId="0" fontId="0" fillId="2" borderId="8" xfId="0" applyFill="1" applyBorder="1" applyAlignment="1">
      <alignment horizontal="left" vertical="center"/>
    </xf>
    <xf numFmtId="0" fontId="0" fillId="2" borderId="3" xfId="0" applyFill="1" applyBorder="1" applyAlignment="1">
      <alignment vertical="center"/>
    </xf>
    <xf numFmtId="2" fontId="0" fillId="2" borderId="0" xfId="0" applyNumberFormat="1" applyFill="1" applyBorder="1" applyAlignment="1">
      <alignment horizontal="center"/>
    </xf>
    <xf numFmtId="0" fontId="22" fillId="2" borderId="0" xfId="0" applyFont="1" applyFill="1" applyBorder="1" applyAlignment="1"/>
    <xf numFmtId="165" fontId="0" fillId="2" borderId="0" xfId="0" applyNumberFormat="1" applyFill="1" applyBorder="1" applyAlignment="1">
      <alignment horizontal="center"/>
    </xf>
    <xf numFmtId="0" fontId="0" fillId="2" borderId="6" xfId="0" applyFill="1" applyBorder="1" applyAlignment="1">
      <alignment horizontal="left" vertical="center"/>
    </xf>
    <xf numFmtId="2" fontId="0" fillId="2" borderId="6" xfId="0" applyNumberFormat="1" applyFill="1" applyBorder="1" applyAlignment="1">
      <alignment horizontal="center"/>
    </xf>
    <xf numFmtId="0" fontId="0" fillId="14" borderId="1" xfId="0" applyFill="1" applyBorder="1" applyAlignment="1">
      <alignment horizontal="center" vertical="center" wrapText="1"/>
    </xf>
    <xf numFmtId="0" fontId="0" fillId="2" borderId="0" xfId="0" applyFill="1" applyBorder="1" applyAlignment="1">
      <alignment vertical="center"/>
    </xf>
    <xf numFmtId="169" fontId="14" fillId="2" borderId="0" xfId="0" applyNumberFormat="1" applyFont="1" applyFill="1" applyAlignment="1" applyProtection="1">
      <alignment horizontal="left"/>
      <protection locked="0"/>
    </xf>
    <xf numFmtId="165" fontId="14" fillId="11" borderId="2" xfId="0" applyNumberFormat="1" applyFont="1" applyFill="1" applyBorder="1" applyAlignment="1" applyProtection="1">
      <alignment horizontal="center"/>
      <protection locked="0"/>
    </xf>
    <xf numFmtId="165" fontId="14" fillId="11" borderId="4" xfId="0" applyNumberFormat="1" applyFont="1" applyFill="1" applyBorder="1" applyAlignment="1" applyProtection="1">
      <alignment horizontal="center"/>
      <protection locked="0"/>
    </xf>
    <xf numFmtId="165" fontId="14" fillId="11" borderId="9" xfId="0" applyNumberFormat="1" applyFont="1" applyFill="1" applyBorder="1" applyAlignment="1" applyProtection="1">
      <alignment horizontal="center"/>
      <protection locked="0"/>
    </xf>
    <xf numFmtId="165" fontId="14" fillId="11" borderId="7" xfId="0" applyNumberFormat="1" applyFont="1" applyFill="1" applyBorder="1" applyAlignment="1" applyProtection="1">
      <alignment horizontal="center"/>
      <protection locked="0"/>
    </xf>
    <xf numFmtId="0" fontId="1" fillId="5" borderId="0" xfId="6" applyFont="1" applyFill="1" applyAlignment="1">
      <alignment vertical="top" wrapText="1"/>
    </xf>
    <xf numFmtId="0" fontId="16" fillId="2" borderId="1" xfId="0" applyFont="1" applyFill="1" applyBorder="1" applyAlignment="1">
      <alignment horizontal="center" vertical="center" wrapText="1"/>
    </xf>
    <xf numFmtId="0" fontId="16" fillId="2" borderId="5" xfId="0" applyFont="1" applyFill="1" applyBorder="1" applyAlignment="1">
      <alignment vertical="center"/>
    </xf>
    <xf numFmtId="0" fontId="16" fillId="2" borderId="5" xfId="0" applyFont="1" applyFill="1" applyBorder="1" applyAlignment="1">
      <alignment horizontal="center" vertical="center" wrapText="1"/>
    </xf>
    <xf numFmtId="0" fontId="26" fillId="2" borderId="0" xfId="6" applyFont="1" applyFill="1" applyAlignment="1">
      <alignment horizontal="justify" vertical="top" wrapText="1"/>
    </xf>
    <xf numFmtId="0" fontId="14" fillId="2" borderId="0" xfId="0" applyFont="1" applyFill="1" applyAlignment="1" applyProtection="1">
      <alignment horizontal="left"/>
      <protection locked="0"/>
    </xf>
    <xf numFmtId="0" fontId="14" fillId="2" borderId="0" xfId="0" applyFont="1" applyFill="1" applyProtection="1">
      <protection locked="0"/>
    </xf>
    <xf numFmtId="0" fontId="12" fillId="2" borderId="0" xfId="0" applyFont="1" applyFill="1" applyProtection="1">
      <protection locked="0"/>
    </xf>
    <xf numFmtId="0" fontId="26" fillId="10" borderId="0" xfId="6" applyFont="1" applyFill="1" applyAlignment="1">
      <alignment horizontal="justify" wrapText="1"/>
    </xf>
    <xf numFmtId="0" fontId="26" fillId="16" borderId="0" xfId="6" applyFont="1" applyFill="1" applyAlignment="1">
      <alignment horizontal="justify" wrapText="1"/>
    </xf>
    <xf numFmtId="0" fontId="38" fillId="2" borderId="0" xfId="0" applyFont="1" applyFill="1" applyAlignment="1">
      <alignment horizontal="left" indent="1"/>
    </xf>
    <xf numFmtId="0" fontId="0" fillId="0" borderId="0" xfId="0" applyFont="1"/>
    <xf numFmtId="165" fontId="0" fillId="2" borderId="0" xfId="0" applyNumberFormat="1" applyFont="1" applyFill="1" applyAlignment="1">
      <alignment horizontal="center" vertical="center"/>
    </xf>
    <xf numFmtId="0" fontId="0" fillId="2" borderId="0" xfId="0" applyFont="1" applyFill="1" applyAlignment="1">
      <alignment horizontal="center" vertical="top"/>
    </xf>
    <xf numFmtId="0" fontId="0" fillId="18" borderId="0" xfId="0" applyFont="1" applyFill="1" applyAlignment="1">
      <alignment horizontal="center" vertical="top"/>
    </xf>
    <xf numFmtId="0" fontId="0" fillId="18" borderId="0" xfId="0" applyFont="1" applyFill="1" applyAlignment="1">
      <alignment vertical="top"/>
    </xf>
    <xf numFmtId="0" fontId="16" fillId="0" borderId="0" xfId="0" applyFont="1" applyFill="1" applyAlignment="1">
      <alignment horizontal="left" vertical="center"/>
    </xf>
    <xf numFmtId="0" fontId="39" fillId="17" borderId="0" xfId="0" applyFont="1" applyFill="1" applyAlignment="1">
      <alignment horizontal="left" vertical="center"/>
    </xf>
    <xf numFmtId="0" fontId="0" fillId="17" borderId="0" xfId="0" applyFont="1" applyFill="1" applyAlignment="1">
      <alignment vertical="top"/>
    </xf>
    <xf numFmtId="0" fontId="18" fillId="17" borderId="0" xfId="0" applyFont="1" applyFill="1" applyAlignment="1">
      <alignment horizontal="center" vertical="top"/>
    </xf>
    <xf numFmtId="0" fontId="18" fillId="17" borderId="0" xfId="0" applyFont="1" applyFill="1" applyAlignment="1">
      <alignment horizontal="center"/>
    </xf>
    <xf numFmtId="0" fontId="40" fillId="17" borderId="0" xfId="0" applyFont="1" applyFill="1" applyAlignment="1">
      <alignment horizontal="center" vertical="center" wrapText="1"/>
    </xf>
    <xf numFmtId="0" fontId="39" fillId="17" borderId="0" xfId="0" applyFont="1" applyFill="1" applyAlignment="1">
      <alignment horizontal="center" vertical="center" wrapText="1"/>
    </xf>
    <xf numFmtId="0" fontId="35" fillId="18" borderId="0" xfId="0" applyFont="1" applyFill="1" applyAlignment="1">
      <alignment horizontal="left" vertical="top" wrapText="1"/>
    </xf>
    <xf numFmtId="0" fontId="21" fillId="18" borderId="0" xfId="0" applyFont="1" applyFill="1" applyAlignment="1">
      <alignment horizontal="center"/>
    </xf>
    <xf numFmtId="0" fontId="0" fillId="18" borderId="0" xfId="0" applyFont="1" applyFill="1" applyAlignment="1">
      <alignment horizontal="left"/>
    </xf>
    <xf numFmtId="0" fontId="35" fillId="18" borderId="0" xfId="0" applyFont="1" applyFill="1" applyAlignment="1">
      <alignment horizontal="left" vertical="top" wrapText="1" indent="1"/>
    </xf>
    <xf numFmtId="0" fontId="35" fillId="18" borderId="0" xfId="0" applyFont="1" applyFill="1" applyAlignment="1">
      <alignment vertical="top"/>
    </xf>
    <xf numFmtId="0" fontId="35" fillId="18" borderId="0" xfId="0" applyFont="1" applyFill="1" applyAlignment="1">
      <alignment horizontal="left" wrapText="1"/>
    </xf>
    <xf numFmtId="0" fontId="0" fillId="17" borderId="0" xfId="0" applyFont="1" applyFill="1"/>
    <xf numFmtId="1" fontId="39" fillId="17" borderId="0" xfId="0" applyNumberFormat="1" applyFont="1" applyFill="1" applyAlignment="1">
      <alignment horizontal="center" vertical="center" wrapText="1"/>
    </xf>
    <xf numFmtId="2" fontId="0" fillId="2" borderId="0" xfId="0" applyNumberFormat="1" applyFont="1" applyFill="1" applyAlignment="1">
      <alignment horizontal="center" vertical="center"/>
    </xf>
    <xf numFmtId="165" fontId="21" fillId="2" borderId="0" xfId="0" applyNumberFormat="1" applyFont="1" applyFill="1" applyAlignment="1">
      <alignment horizontal="center" vertical="center"/>
    </xf>
    <xf numFmtId="0" fontId="21" fillId="2" borderId="0" xfId="0" applyFont="1" applyFill="1" applyAlignment="1">
      <alignment horizontal="center" vertical="center"/>
    </xf>
    <xf numFmtId="0" fontId="0" fillId="2" borderId="0" xfId="0" applyFont="1" applyFill="1" applyAlignment="1">
      <alignment vertical="top"/>
    </xf>
    <xf numFmtId="0" fontId="16" fillId="2" borderId="0" xfId="0" applyFont="1" applyFill="1" applyAlignment="1">
      <alignment horizontal="left" vertical="center"/>
    </xf>
    <xf numFmtId="0" fontId="0" fillId="18" borderId="0" xfId="0" applyFont="1" applyFill="1" applyAlignment="1">
      <alignment horizontal="center"/>
    </xf>
    <xf numFmtId="165" fontId="21" fillId="0" borderId="0" xfId="0" applyNumberFormat="1" applyFont="1" applyAlignment="1">
      <alignment horizontal="center" vertical="center"/>
    </xf>
    <xf numFmtId="0" fontId="42" fillId="2" borderId="0" xfId="0" applyFont="1" applyFill="1" applyAlignment="1">
      <alignment vertical="center" wrapText="1"/>
    </xf>
    <xf numFmtId="165" fontId="8" fillId="2" borderId="0" xfId="0" applyNumberFormat="1" applyFont="1" applyFill="1" applyAlignment="1">
      <alignment horizontal="center" vertical="center"/>
    </xf>
    <xf numFmtId="0" fontId="26" fillId="2" borderId="0" xfId="12" applyFont="1" applyFill="1" applyAlignment="1">
      <alignment horizontal="justify" vertical="top" wrapText="1"/>
    </xf>
    <xf numFmtId="0" fontId="26" fillId="19" borderId="0" xfId="6" applyFont="1" applyFill="1" applyAlignment="1">
      <alignment horizontal="justify" wrapText="1"/>
    </xf>
    <xf numFmtId="0" fontId="43" fillId="2" borderId="0" xfId="0" applyFont="1" applyFill="1" applyAlignment="1">
      <alignment vertical="center" wrapText="1"/>
    </xf>
    <xf numFmtId="0" fontId="35" fillId="2" borderId="0" xfId="0" applyFont="1" applyFill="1"/>
    <xf numFmtId="0" fontId="21" fillId="2" borderId="0" xfId="0" applyFont="1" applyFill="1" applyAlignment="1">
      <alignment horizontal="center"/>
    </xf>
    <xf numFmtId="165" fontId="21" fillId="2" borderId="0" xfId="0" applyNumberFormat="1" applyFont="1" applyFill="1" applyAlignment="1">
      <alignment horizontal="center"/>
    </xf>
    <xf numFmtId="0" fontId="34" fillId="2" borderId="0" xfId="0" quotePrefix="1" applyFont="1" applyFill="1" applyAlignment="1">
      <alignment horizontal="center" vertical="center"/>
    </xf>
    <xf numFmtId="165" fontId="14" fillId="2" borderId="0" xfId="0" applyNumberFormat="1" applyFont="1" applyFill="1" applyAlignment="1" applyProtection="1">
      <alignment horizontal="left"/>
      <protection locked="0"/>
    </xf>
    <xf numFmtId="1" fontId="14" fillId="20" borderId="0" xfId="0" applyNumberFormat="1" applyFont="1" applyFill="1" applyAlignment="1" applyProtection="1">
      <alignment horizontal="center"/>
      <protection locked="0"/>
    </xf>
    <xf numFmtId="0" fontId="26" fillId="2" borderId="0" xfId="12" applyFont="1" applyFill="1" applyAlignment="1">
      <alignment horizontal="justify" vertical="top" wrapText="1"/>
    </xf>
    <xf numFmtId="0" fontId="4" fillId="2" borderId="5" xfId="6" applyFill="1" applyBorder="1" applyAlignment="1">
      <alignment vertical="center"/>
    </xf>
    <xf numFmtId="0" fontId="26" fillId="7" borderId="0" xfId="6" applyFont="1" applyFill="1" applyAlignment="1">
      <alignment horizontal="justify" vertical="center" wrapText="1"/>
    </xf>
    <xf numFmtId="0" fontId="26" fillId="12" borderId="19" xfId="6" applyFont="1" applyFill="1" applyBorder="1" applyAlignment="1">
      <alignment vertical="center" wrapText="1"/>
    </xf>
    <xf numFmtId="0" fontId="4" fillId="2" borderId="8" xfId="6" applyFill="1" applyBorder="1" applyAlignment="1">
      <alignment vertical="center"/>
    </xf>
    <xf numFmtId="0" fontId="26" fillId="2" borderId="13" xfId="6" applyFont="1" applyFill="1" applyBorder="1" applyAlignment="1">
      <alignment vertical="center" wrapText="1"/>
    </xf>
    <xf numFmtId="0" fontId="26" fillId="5" borderId="0" xfId="6" applyFont="1" applyFill="1" applyBorder="1" applyAlignment="1">
      <alignment vertical="center" wrapText="1"/>
    </xf>
    <xf numFmtId="0" fontId="26" fillId="2" borderId="0" xfId="6" applyFont="1" applyFill="1" applyAlignment="1">
      <alignment horizontal="justify" vertical="center" wrapText="1"/>
    </xf>
    <xf numFmtId="0" fontId="2" fillId="5" borderId="0" xfId="12" applyFill="1" applyAlignment="1">
      <alignment vertical="center"/>
    </xf>
    <xf numFmtId="0" fontId="2" fillId="5" borderId="0" xfId="12" applyFill="1" applyAlignment="1">
      <alignment vertical="center" wrapText="1"/>
    </xf>
    <xf numFmtId="2" fontId="0" fillId="2" borderId="10" xfId="0" applyNumberFormat="1" applyFill="1" applyBorder="1" applyAlignment="1">
      <alignment horizontal="center"/>
    </xf>
    <xf numFmtId="165" fontId="0" fillId="2" borderId="11" xfId="0" applyNumberFormat="1" applyFill="1" applyBorder="1" applyAlignment="1">
      <alignment horizontal="center" vertical="top" wrapText="1"/>
    </xf>
    <xf numFmtId="0" fontId="26" fillId="21" borderId="3" xfId="6" applyFont="1" applyFill="1" applyBorder="1" applyAlignment="1">
      <alignment vertical="center" wrapText="1"/>
    </xf>
    <xf numFmtId="2" fontId="14" fillId="11" borderId="0" xfId="0" applyNumberFormat="1" applyFont="1" applyFill="1" applyAlignment="1">
      <alignment horizontal="center"/>
    </xf>
    <xf numFmtId="165" fontId="14" fillId="11" borderId="3" xfId="0" applyNumberFormat="1" applyFont="1" applyFill="1" applyBorder="1" applyAlignment="1" applyProtection="1">
      <alignment horizontal="center"/>
      <protection locked="0"/>
    </xf>
    <xf numFmtId="165" fontId="14" fillId="11" borderId="6" xfId="0" applyNumberFormat="1" applyFont="1" applyFill="1" applyBorder="1" applyAlignment="1" applyProtection="1">
      <alignment horizontal="center"/>
      <protection locked="0"/>
    </xf>
    <xf numFmtId="165" fontId="8" fillId="2" borderId="0" xfId="0" applyNumberFormat="1" applyFont="1" applyFill="1" applyBorder="1" applyAlignment="1">
      <alignment horizontal="center"/>
    </xf>
    <xf numFmtId="165" fontId="0" fillId="2" borderId="12" xfId="0" applyNumberFormat="1" applyFill="1" applyBorder="1" applyAlignment="1">
      <alignment horizontal="center" vertical="top" wrapText="1"/>
    </xf>
    <xf numFmtId="2" fontId="8" fillId="6" borderId="0" xfId="0" applyNumberFormat="1" applyFont="1" applyFill="1" applyAlignment="1" applyProtection="1">
      <alignment horizontal="center"/>
      <protection locked="0"/>
    </xf>
    <xf numFmtId="165" fontId="14" fillId="22" borderId="0" xfId="0" applyNumberFormat="1" applyFont="1" applyFill="1" applyAlignment="1" applyProtection="1">
      <alignment horizontal="center"/>
      <protection locked="0"/>
    </xf>
    <xf numFmtId="0" fontId="0" fillId="22" borderId="0" xfId="0" applyFill="1" applyProtection="1">
      <protection locked="0"/>
    </xf>
    <xf numFmtId="165" fontId="8" fillId="22" borderId="0" xfId="0" applyNumberFormat="1" applyFont="1" applyFill="1" applyAlignment="1" applyProtection="1">
      <alignment horizontal="center"/>
      <protection locked="0"/>
    </xf>
    <xf numFmtId="0" fontId="8" fillId="22" borderId="0" xfId="0" applyFont="1" applyFill="1" applyProtection="1">
      <protection locked="0"/>
    </xf>
    <xf numFmtId="0" fontId="8" fillId="22" borderId="0" xfId="0" applyFont="1" applyFill="1"/>
    <xf numFmtId="167" fontId="8" fillId="22" borderId="0" xfId="0" applyNumberFormat="1" applyFont="1" applyFill="1" applyAlignment="1">
      <alignment horizontal="center"/>
    </xf>
    <xf numFmtId="2" fontId="8" fillId="22" borderId="0" xfId="0" applyNumberFormat="1" applyFont="1" applyFill="1" applyAlignment="1">
      <alignment horizontal="center"/>
    </xf>
    <xf numFmtId="165" fontId="8" fillId="22" borderId="0" xfId="0" applyNumberFormat="1" applyFont="1" applyFill="1" applyAlignment="1">
      <alignment horizontal="center"/>
    </xf>
    <xf numFmtId="2" fontId="37" fillId="22" borderId="0" xfId="0" applyNumberFormat="1" applyFont="1" applyFill="1" applyAlignment="1">
      <alignment horizontal="center"/>
    </xf>
    <xf numFmtId="2" fontId="14" fillId="22" borderId="0" xfId="0" applyNumberFormat="1" applyFont="1" applyFill="1" applyAlignment="1">
      <alignment horizontal="center"/>
    </xf>
    <xf numFmtId="168" fontId="8" fillId="22" borderId="0" xfId="0" applyNumberFormat="1" applyFont="1" applyFill="1" applyAlignment="1">
      <alignment horizontal="center"/>
    </xf>
    <xf numFmtId="2" fontId="21" fillId="2" borderId="0" xfId="0" applyNumberFormat="1" applyFont="1" applyFill="1"/>
    <xf numFmtId="0" fontId="26" fillId="2" borderId="0" xfId="12" applyFont="1" applyFill="1" applyAlignment="1">
      <alignment horizontal="justify" vertical="top" wrapText="1"/>
    </xf>
    <xf numFmtId="0" fontId="27" fillId="2" borderId="0" xfId="12" applyFont="1" applyFill="1" applyAlignment="1">
      <alignment horizontal="justify" vertical="justify" wrapText="1"/>
    </xf>
    <xf numFmtId="0" fontId="26" fillId="2" borderId="0" xfId="12" applyFont="1" applyFill="1" applyAlignment="1">
      <alignment horizontal="justify" vertical="justify" wrapText="1"/>
    </xf>
    <xf numFmtId="0" fontId="26" fillId="2" borderId="0" xfId="6" applyFont="1" applyFill="1" applyAlignment="1">
      <alignment horizontal="justify" vertical="top" wrapText="1"/>
    </xf>
    <xf numFmtId="0" fontId="26" fillId="2" borderId="20" xfId="6" applyFont="1" applyFill="1" applyBorder="1" applyAlignment="1">
      <alignment horizontal="left" vertical="center" wrapText="1"/>
    </xf>
    <xf numFmtId="0" fontId="26" fillId="2" borderId="0" xfId="6" applyFont="1" applyFill="1" applyAlignment="1">
      <alignment horizontal="left" vertical="center" wrapText="1"/>
    </xf>
    <xf numFmtId="0" fontId="26" fillId="2" borderId="0" xfId="6" applyFont="1" applyFill="1" applyBorder="1" applyAlignment="1">
      <alignment horizontal="left" vertical="center" wrapText="1"/>
    </xf>
    <xf numFmtId="0" fontId="26" fillId="2" borderId="0" xfId="6" applyFont="1" applyFill="1" applyAlignment="1">
      <alignment horizontal="justify" vertical="center" wrapText="1"/>
    </xf>
    <xf numFmtId="0" fontId="26" fillId="2" borderId="0" xfId="12" applyFont="1" applyFill="1" applyAlignment="1">
      <alignment horizontal="left" vertical="top" wrapText="1"/>
    </xf>
    <xf numFmtId="0" fontId="26" fillId="2" borderId="0" xfId="12" applyFont="1" applyFill="1" applyAlignment="1">
      <alignment horizontal="justify" vertical="center" wrapText="1"/>
    </xf>
    <xf numFmtId="0" fontId="26" fillId="2" borderId="6" xfId="12" applyFont="1" applyFill="1" applyBorder="1" applyAlignment="1">
      <alignment horizontal="justify" vertical="top" wrapText="1"/>
    </xf>
    <xf numFmtId="0" fontId="26" fillId="2" borderId="0" xfId="12" applyFont="1" applyFill="1" applyAlignment="1">
      <alignment horizontal="left" vertical="center" wrapText="1"/>
    </xf>
    <xf numFmtId="0" fontId="16" fillId="2" borderId="10" xfId="0" applyFont="1" applyFill="1" applyBorder="1" applyAlignment="1">
      <alignment horizontal="center"/>
    </xf>
    <xf numFmtId="0" fontId="16" fillId="2" borderId="11" xfId="0" applyFont="1" applyFill="1" applyBorder="1" applyAlignment="1">
      <alignment horizontal="center"/>
    </xf>
    <xf numFmtId="0" fontId="16" fillId="2" borderId="12" xfId="0" applyFont="1" applyFill="1" applyBorder="1" applyAlignment="1">
      <alignment horizontal="center"/>
    </xf>
    <xf numFmtId="0" fontId="16" fillId="2" borderId="9" xfId="0" applyFont="1" applyFill="1" applyBorder="1" applyAlignment="1">
      <alignment horizontal="center" vertical="center"/>
    </xf>
    <xf numFmtId="0" fontId="16" fillId="2" borderId="7" xfId="0" applyFont="1" applyFill="1" applyBorder="1" applyAlignment="1">
      <alignment horizontal="center" vertical="center"/>
    </xf>
    <xf numFmtId="0" fontId="16" fillId="5" borderId="10" xfId="0" applyFont="1" applyFill="1" applyBorder="1" applyAlignment="1">
      <alignment horizontal="center" vertical="center" wrapText="1"/>
    </xf>
    <xf numFmtId="0" fontId="16" fillId="5" borderId="12" xfId="0" applyFont="1" applyFill="1" applyBorder="1" applyAlignment="1">
      <alignment horizontal="center" vertical="center" wrapText="1"/>
    </xf>
    <xf numFmtId="0" fontId="35" fillId="2" borderId="3" xfId="0" applyFont="1" applyFill="1" applyBorder="1" applyAlignment="1">
      <alignment horizontal="justify" vertical="top" wrapText="1"/>
    </xf>
    <xf numFmtId="0" fontId="0" fillId="2" borderId="10" xfId="0" applyFill="1" applyBorder="1" applyAlignment="1">
      <alignment horizontal="left" vertical="center"/>
    </xf>
    <xf numFmtId="0" fontId="0" fillId="2" borderId="11" xfId="0" applyFill="1" applyBorder="1" applyAlignment="1">
      <alignment horizontal="left" vertical="center"/>
    </xf>
    <xf numFmtId="0" fontId="0" fillId="2" borderId="12" xfId="0" applyFill="1" applyBorder="1" applyAlignment="1">
      <alignment horizontal="left" vertical="center"/>
    </xf>
    <xf numFmtId="0" fontId="36" fillId="2" borderId="10" xfId="0" applyFont="1" applyFill="1" applyBorder="1" applyAlignment="1">
      <alignment horizontal="center" vertical="center" wrapText="1"/>
    </xf>
    <xf numFmtId="0" fontId="36" fillId="2" borderId="11" xfId="0" applyFont="1" applyFill="1" applyBorder="1" applyAlignment="1">
      <alignment horizontal="center" vertical="center" wrapText="1"/>
    </xf>
    <xf numFmtId="0" fontId="36" fillId="2" borderId="12" xfId="0" applyFont="1" applyFill="1" applyBorder="1" applyAlignment="1">
      <alignment horizontal="center" vertical="center" wrapText="1"/>
    </xf>
    <xf numFmtId="0" fontId="0" fillId="2" borderId="2" xfId="0" applyFill="1" applyBorder="1" applyAlignment="1">
      <alignment horizontal="left" vertical="center" wrapText="1"/>
    </xf>
    <xf numFmtId="0" fontId="0" fillId="2" borderId="3" xfId="0" applyFill="1" applyBorder="1" applyAlignment="1">
      <alignment horizontal="left" vertical="center" wrapText="1"/>
    </xf>
    <xf numFmtId="0" fontId="0" fillId="2" borderId="4" xfId="0" applyFill="1" applyBorder="1" applyAlignment="1">
      <alignment horizontal="left" vertical="center" wrapText="1"/>
    </xf>
    <xf numFmtId="0" fontId="16" fillId="2" borderId="10" xfId="0" applyFont="1" applyFill="1" applyBorder="1" applyAlignment="1">
      <alignment horizontal="center" vertical="center" wrapText="1"/>
    </xf>
    <xf numFmtId="0" fontId="16" fillId="2" borderId="11" xfId="0" applyFont="1" applyFill="1" applyBorder="1" applyAlignment="1">
      <alignment horizontal="center" vertical="center"/>
    </xf>
    <xf numFmtId="0" fontId="16" fillId="2" borderId="12" xfId="0" applyFont="1" applyFill="1" applyBorder="1" applyAlignment="1">
      <alignment horizontal="center" vertical="center"/>
    </xf>
    <xf numFmtId="0" fontId="0" fillId="2" borderId="5" xfId="0" applyFill="1" applyBorder="1" applyAlignment="1">
      <alignment horizontal="left" vertical="center"/>
    </xf>
    <xf numFmtId="0" fontId="0" fillId="2" borderId="0" xfId="0" applyFill="1" applyBorder="1" applyAlignment="1">
      <alignment horizontal="left" vertical="center"/>
    </xf>
    <xf numFmtId="0" fontId="0" fillId="2" borderId="8" xfId="0" applyFill="1" applyBorder="1" applyAlignment="1">
      <alignment horizontal="left" vertical="center"/>
    </xf>
    <xf numFmtId="0" fontId="16" fillId="2" borderId="14" xfId="0" applyFont="1" applyFill="1" applyBorder="1" applyAlignment="1">
      <alignment horizontal="center" vertical="center" wrapText="1"/>
    </xf>
    <xf numFmtId="0" fontId="16" fillId="2" borderId="13" xfId="0" applyFont="1" applyFill="1" applyBorder="1" applyAlignment="1">
      <alignment horizontal="center" vertical="center" wrapText="1"/>
    </xf>
    <xf numFmtId="0" fontId="0" fillId="2" borderId="3" xfId="0" applyFill="1" applyBorder="1" applyAlignment="1">
      <alignment horizontal="justify" vertical="top"/>
    </xf>
    <xf numFmtId="0" fontId="16" fillId="2" borderId="10" xfId="0" applyFont="1" applyFill="1" applyBorder="1" applyAlignment="1">
      <alignment horizontal="center" vertical="center"/>
    </xf>
    <xf numFmtId="0" fontId="36" fillId="2" borderId="0" xfId="0" applyFont="1" applyFill="1" applyAlignment="1">
      <alignment horizontal="center" vertical="center" wrapText="1"/>
    </xf>
    <xf numFmtId="0" fontId="43" fillId="2" borderId="5" xfId="0" applyFont="1" applyFill="1" applyBorder="1" applyAlignment="1">
      <alignment horizontal="left" vertical="center" wrapText="1" indent="1"/>
    </xf>
    <xf numFmtId="0" fontId="43" fillId="2" borderId="0" xfId="0" applyFont="1" applyFill="1" applyAlignment="1">
      <alignment horizontal="left" vertical="center" wrapText="1" indent="1"/>
    </xf>
    <xf numFmtId="0" fontId="16" fillId="2" borderId="5" xfId="0" applyFont="1" applyFill="1" applyBorder="1" applyAlignment="1">
      <alignment horizontal="center" vertical="center" wrapText="1"/>
    </xf>
    <xf numFmtId="0" fontId="16" fillId="2" borderId="0" xfId="0" applyFont="1" applyFill="1" applyBorder="1" applyAlignment="1">
      <alignment horizontal="center" vertical="center" wrapText="1"/>
    </xf>
  </cellXfs>
  <cellStyles count="14">
    <cellStyle name="Hyperlink 2" xfId="4" xr:uid="{00000000-0005-0000-0000-000000000000}"/>
    <cellStyle name="Normal" xfId="0" builtinId="0"/>
    <cellStyle name="Normal 2" xfId="3" xr:uid="{00000000-0005-0000-0000-000002000000}"/>
    <cellStyle name="Normal 2 2" xfId="5" xr:uid="{00000000-0005-0000-0000-000003000000}"/>
    <cellStyle name="Normal 2 2 2" xfId="6" xr:uid="{00000000-0005-0000-0000-000004000000}"/>
    <cellStyle name="Normal 2 2 2 2" xfId="11" xr:uid="{D0E23963-54C4-40C3-A08B-C51BBEBC5911}"/>
    <cellStyle name="Normal 2 2 2 3" xfId="12" xr:uid="{E686E16B-8FF5-42A3-854C-C9783938C00C}"/>
    <cellStyle name="Normal 2 2 3" xfId="10" xr:uid="{8E0939B2-890A-4E4A-9A67-9A990C4259EA}"/>
    <cellStyle name="Normal 2 3" xfId="9" xr:uid="{6D6AF9E9-B81E-4C25-8D2A-8C5EC56A28D7}"/>
    <cellStyle name="Normal 4 5" xfId="13" xr:uid="{961F5BD5-E2A8-4CCD-93A3-2FC6DE1553AE}"/>
    <cellStyle name="Normal 5" xfId="2" xr:uid="{00000000-0005-0000-0000-000005000000}"/>
    <cellStyle name="Normal 5 2" xfId="8" xr:uid="{BE5ABAF7-F156-47EA-94C7-F5604FBB16A1}"/>
    <cellStyle name="Normal 6" xfId="1" xr:uid="{00000000-0005-0000-0000-000006000000}"/>
    <cellStyle name="Normal 6 2" xfId="7" xr:uid="{D760FB6E-0ACD-4E7B-8A23-51253FCE930B}"/>
  </cellStyles>
  <dxfs count="22">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patternType="solid">
          <bgColor theme="0"/>
        </patternFill>
      </fill>
      <border>
        <left/>
        <right/>
        <top/>
        <bottom/>
        <vertical/>
        <horizontal/>
      </border>
    </dxf>
    <dxf>
      <font>
        <color theme="0"/>
      </font>
      <fill>
        <patternFill>
          <bgColor theme="0"/>
        </patternFill>
      </fill>
      <border>
        <left/>
        <right/>
        <top/>
        <bottom/>
      </border>
    </dxf>
    <dxf>
      <font>
        <color theme="0"/>
      </font>
      <fill>
        <patternFill patternType="solid">
          <bgColor theme="0"/>
        </patternFill>
      </fill>
      <border>
        <left/>
        <right/>
        <top/>
        <bottom/>
        <vertical/>
        <horizontal/>
      </border>
    </dxf>
    <dxf>
      <font>
        <color theme="0"/>
      </font>
      <fill>
        <patternFill patternType="solid">
          <bgColor theme="0"/>
        </patternFill>
      </fill>
      <border>
        <left/>
        <right/>
        <top/>
        <bottom/>
        <vertical/>
        <horizontal/>
      </border>
    </dxf>
    <dxf>
      <fill>
        <patternFill>
          <bgColor theme="0" tint="-0.14996795556505021"/>
        </patternFill>
      </fill>
    </dxf>
    <dxf>
      <font>
        <color theme="0"/>
      </font>
      <fill>
        <patternFill>
          <bgColor theme="0"/>
        </patternFill>
      </fill>
      <border>
        <left/>
        <right/>
        <top/>
        <bottom/>
      </border>
    </dxf>
    <dxf>
      <font>
        <color theme="0"/>
      </font>
      <fill>
        <patternFill>
          <bgColor theme="0"/>
        </patternFill>
      </fill>
      <border>
        <left/>
        <right/>
        <top/>
        <bottom/>
      </border>
    </dxf>
    <dxf>
      <fill>
        <patternFill>
          <bgColor theme="0" tint="-0.14996795556505021"/>
        </patternFill>
      </fill>
    </dxf>
    <dxf>
      <font>
        <color theme="0"/>
      </font>
      <fill>
        <patternFill>
          <bgColor theme="0"/>
        </patternFill>
      </fill>
      <border>
        <left/>
        <right/>
        <top/>
        <bottom/>
      </border>
    </dxf>
    <dxf>
      <font>
        <color theme="0"/>
      </font>
      <fill>
        <patternFill>
          <bgColor theme="0"/>
        </patternFill>
      </fill>
      <border>
        <left/>
        <right/>
        <top/>
        <bottom/>
      </border>
    </dxf>
    <dxf>
      <font>
        <color theme="0"/>
      </font>
      <fill>
        <patternFill>
          <bgColor theme="0"/>
        </patternFill>
      </fill>
      <border>
        <left/>
        <right/>
        <top/>
        <bottom/>
      </border>
    </dxf>
    <dxf>
      <border>
        <left/>
        <right/>
        <top/>
        <bottom/>
        <vertical/>
        <horizontal/>
      </border>
    </dxf>
    <dxf>
      <font>
        <strike val="0"/>
        <color theme="0"/>
      </font>
      <fill>
        <patternFill>
          <bgColor theme="0"/>
        </patternFill>
      </fill>
    </dxf>
    <dxf>
      <font>
        <color theme="5" tint="-0.499984740745262"/>
      </font>
      <fill>
        <patternFill>
          <bgColor rgb="FFFFC7CE"/>
        </patternFill>
      </fill>
    </dxf>
    <dxf>
      <border>
        <left style="thin">
          <color auto="1"/>
        </left>
        <right/>
        <top/>
        <bottom/>
        <vertical/>
        <horizontal/>
      </border>
    </dxf>
    <dxf>
      <font>
        <color rgb="FF9C0006"/>
      </font>
      <fill>
        <patternFill>
          <bgColor rgb="FFFFC7CE"/>
        </patternFill>
      </fill>
    </dxf>
    <dxf>
      <font>
        <b/>
        <i val="0"/>
        <color rgb="FF00B050"/>
      </font>
    </dxf>
    <dxf>
      <font>
        <b/>
        <i val="0"/>
        <color rgb="FF00B050"/>
      </font>
    </dxf>
  </dxfs>
  <tableStyles count="0" defaultTableStyle="TableStyleMedium2" defaultPivotStyle="PivotStyleLight16"/>
  <colors>
    <mruColors>
      <color rgb="FFFFFFCC"/>
      <color rgb="FFF8A8ED"/>
      <color rgb="FFFFC7CE"/>
      <color rgb="FFF2DCD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oneCellAnchor>
    <xdr:from>
      <xdr:col>1</xdr:col>
      <xdr:colOff>88354</xdr:colOff>
      <xdr:row>1</xdr:row>
      <xdr:rowOff>121091</xdr:rowOff>
    </xdr:from>
    <xdr:ext cx="2061795" cy="1405859"/>
    <xdr:pic>
      <xdr:nvPicPr>
        <xdr:cNvPr id="2" name="Picture 1">
          <a:extLst>
            <a:ext uri="{FF2B5EF4-FFF2-40B4-BE49-F238E27FC236}">
              <a16:creationId xmlns:a16="http://schemas.microsoft.com/office/drawing/2014/main" id="{83A349C9-0BCF-4E6E-A9EB-6BA36A335C7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07479" y="283016"/>
          <a:ext cx="2061795" cy="1405859"/>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xdr:from>
      <xdr:col>6</xdr:col>
      <xdr:colOff>94775</xdr:colOff>
      <xdr:row>4</xdr:row>
      <xdr:rowOff>47630</xdr:rowOff>
    </xdr:from>
    <xdr:to>
      <xdr:col>6</xdr:col>
      <xdr:colOff>597697</xdr:colOff>
      <xdr:row>6</xdr:row>
      <xdr:rowOff>146691</xdr:rowOff>
    </xdr:to>
    <xdr:sp macro="" textlink="">
      <xdr:nvSpPr>
        <xdr:cNvPr id="3" name="Arrow: Down 2">
          <a:extLst>
            <a:ext uri="{FF2B5EF4-FFF2-40B4-BE49-F238E27FC236}">
              <a16:creationId xmlns:a16="http://schemas.microsoft.com/office/drawing/2014/main" id="{7C5B919F-58C7-4F8B-84BA-C890F1B08B6D}"/>
            </a:ext>
          </a:extLst>
        </xdr:cNvPr>
        <xdr:cNvSpPr/>
      </xdr:nvSpPr>
      <xdr:spPr>
        <a:xfrm rot="5400000">
          <a:off x="5190174" y="691044"/>
          <a:ext cx="456249" cy="502922"/>
        </a:xfrm>
        <a:prstGeom prst="downArrow">
          <a:avLst/>
        </a:prstGeom>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vert="vert270" lIns="0" tIns="72000" bIns="252000" rtlCol="0" anchor="t"/>
        <a:lstStyle/>
        <a:p>
          <a:pPr algn="l"/>
          <a:r>
            <a:rPr lang="en-IE" sz="1300" b="1"/>
            <a:t>2</a:t>
          </a:r>
        </a:p>
      </xdr:txBody>
    </xdr:sp>
    <xdr:clientData/>
  </xdr:twoCellAnchor>
  <xdr:twoCellAnchor>
    <xdr:from>
      <xdr:col>6</xdr:col>
      <xdr:colOff>97153</xdr:colOff>
      <xdr:row>5</xdr:row>
      <xdr:rowOff>50004</xdr:rowOff>
    </xdr:from>
    <xdr:to>
      <xdr:col>6</xdr:col>
      <xdr:colOff>600075</xdr:colOff>
      <xdr:row>7</xdr:row>
      <xdr:rowOff>149066</xdr:rowOff>
    </xdr:to>
    <xdr:sp macro="" textlink="">
      <xdr:nvSpPr>
        <xdr:cNvPr id="2" name="Arrow: Down 1">
          <a:extLst>
            <a:ext uri="{FF2B5EF4-FFF2-40B4-BE49-F238E27FC236}">
              <a16:creationId xmlns:a16="http://schemas.microsoft.com/office/drawing/2014/main" id="{3D2C05E0-A88D-48E7-9ADA-73E5BB4E2E1F}"/>
            </a:ext>
          </a:extLst>
        </xdr:cNvPr>
        <xdr:cNvSpPr/>
      </xdr:nvSpPr>
      <xdr:spPr>
        <a:xfrm rot="5400000">
          <a:off x="5192552" y="872012"/>
          <a:ext cx="456249" cy="502922"/>
        </a:xfrm>
        <a:prstGeom prst="downArrow">
          <a:avLst/>
        </a:prstGeom>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vert="vert270" lIns="0" rtlCol="0" anchor="t"/>
        <a:lstStyle/>
        <a:p>
          <a:pPr algn="l"/>
          <a:r>
            <a:rPr lang="en-IE" sz="1400" b="1"/>
            <a:t>1</a:t>
          </a:r>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525" row="7">
    <wetp:webextensionref xmlns:r="http://schemas.openxmlformats.org/officeDocument/2006/relationships" r:id="rId1"/>
  </wetp:taskpane>
</wetp:taskpanes>
</file>

<file path=xl/webextensions/webextension1.xml><?xml version="1.0" encoding="utf-8"?>
<we:webextension xmlns:we="http://schemas.microsoft.com/office/webextensions/webextension/2010/11" id="{13B7DC54-38DF-4F97-8302-BDF605CAF2E1}">
  <we:reference id="dc57e6d2-28bf-4130-be1a-5961fe0ee311" version="1.0.0.0" store="https://eceuropaeu.sharepoint.com/sites/AppCatalog" storeType="SPCatalog"/>
  <we:alternateReferences/>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mailto:ECFIN-Secretariat-C2@ec.europa.eu" TargetMode="Externa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6CC6A2-7519-4767-918E-DF19313B0E34}">
  <sheetPr codeName="Sheet17">
    <tabColor theme="1"/>
  </sheetPr>
  <dimension ref="B2:V72"/>
  <sheetViews>
    <sheetView topLeftCell="A4" zoomScaleNormal="100" workbookViewId="0">
      <selection activeCell="C18" sqref="C18:K20"/>
    </sheetView>
  </sheetViews>
  <sheetFormatPr defaultColWidth="9.28515625" defaultRowHeight="15" x14ac:dyDescent="0.25"/>
  <cols>
    <col min="1" max="3" width="9.28515625" style="200"/>
    <col min="4" max="4" width="7.28515625" style="200" customWidth="1"/>
    <col min="5" max="5" width="6.140625" style="200" customWidth="1"/>
    <col min="6" max="6" width="3.140625" style="200" customWidth="1"/>
    <col min="7" max="13" width="9.28515625" style="200"/>
    <col min="14" max="14" width="18.140625" style="200" customWidth="1"/>
    <col min="15" max="16384" width="9.28515625" style="200"/>
  </cols>
  <sheetData>
    <row r="2" spans="2:12" x14ac:dyDescent="0.25">
      <c r="B2" s="228"/>
      <c r="C2" s="227"/>
      <c r="D2" s="227"/>
      <c r="E2" s="227"/>
      <c r="F2" s="227"/>
      <c r="G2" s="231"/>
      <c r="H2" s="227"/>
      <c r="I2" s="227"/>
      <c r="J2" s="227"/>
      <c r="K2" s="227"/>
      <c r="L2" s="226"/>
    </row>
    <row r="3" spans="2:12" x14ac:dyDescent="0.25">
      <c r="B3" s="205"/>
      <c r="C3" s="230"/>
      <c r="D3" s="230"/>
      <c r="E3" s="230"/>
      <c r="F3" s="230"/>
      <c r="G3" s="224"/>
      <c r="H3" s="230"/>
      <c r="I3" s="230"/>
      <c r="J3" s="230"/>
      <c r="K3" s="230"/>
      <c r="L3" s="204"/>
    </row>
    <row r="4" spans="2:12" x14ac:dyDescent="0.25">
      <c r="B4" s="205"/>
      <c r="C4" s="230"/>
      <c r="D4" s="230"/>
      <c r="E4" s="230"/>
      <c r="F4" s="230"/>
      <c r="G4" s="225" t="s">
        <v>0</v>
      </c>
      <c r="H4" s="230"/>
      <c r="I4" s="230"/>
      <c r="J4" s="230"/>
      <c r="K4" s="230"/>
      <c r="L4" s="204"/>
    </row>
    <row r="5" spans="2:12" x14ac:dyDescent="0.25">
      <c r="B5" s="205"/>
      <c r="C5" s="230"/>
      <c r="D5" s="230"/>
      <c r="E5" s="230"/>
      <c r="F5" s="230"/>
      <c r="G5" s="224"/>
      <c r="H5" s="230"/>
      <c r="I5" s="230"/>
      <c r="J5" s="230"/>
      <c r="K5" s="230"/>
      <c r="L5" s="204"/>
    </row>
    <row r="6" spans="2:12" x14ac:dyDescent="0.25">
      <c r="B6" s="205"/>
      <c r="C6" s="230"/>
      <c r="D6" s="230"/>
      <c r="E6" s="230"/>
      <c r="F6" s="230"/>
      <c r="G6" s="224" t="s">
        <v>1</v>
      </c>
      <c r="H6" s="230"/>
      <c r="I6" s="230"/>
      <c r="J6" s="230"/>
      <c r="K6" s="230"/>
      <c r="L6" s="204"/>
    </row>
    <row r="7" spans="2:12" x14ac:dyDescent="0.25">
      <c r="B7" s="205"/>
      <c r="C7" s="230"/>
      <c r="D7" s="230"/>
      <c r="E7" s="230"/>
      <c r="F7" s="230"/>
      <c r="G7" s="224" t="s">
        <v>2</v>
      </c>
      <c r="H7" s="230"/>
      <c r="I7" s="230"/>
      <c r="J7" s="230"/>
      <c r="K7" s="230"/>
      <c r="L7" s="204"/>
    </row>
    <row r="8" spans="2:12" x14ac:dyDescent="0.25">
      <c r="B8" s="205"/>
      <c r="C8" s="230"/>
      <c r="D8" s="230"/>
      <c r="E8" s="230"/>
      <c r="F8" s="230"/>
      <c r="G8" s="141" t="s">
        <v>3</v>
      </c>
      <c r="H8" s="230"/>
      <c r="I8" s="230"/>
      <c r="J8" s="230"/>
      <c r="K8" s="230"/>
      <c r="L8" s="204"/>
    </row>
    <row r="9" spans="2:12" x14ac:dyDescent="0.25">
      <c r="B9" s="205"/>
      <c r="C9" s="230"/>
      <c r="D9" s="230"/>
      <c r="E9" s="230"/>
      <c r="F9" s="230"/>
      <c r="G9" s="224"/>
      <c r="H9" s="230"/>
      <c r="I9" s="230"/>
      <c r="J9" s="230"/>
      <c r="K9" s="230"/>
      <c r="L9" s="204"/>
    </row>
    <row r="10" spans="2:12" x14ac:dyDescent="0.25">
      <c r="B10" s="205"/>
      <c r="C10" s="230"/>
      <c r="D10" s="230"/>
      <c r="E10" s="230"/>
      <c r="F10" s="230"/>
      <c r="G10" s="224"/>
      <c r="H10" s="230"/>
      <c r="I10" s="230"/>
      <c r="J10" s="230"/>
      <c r="K10" s="230"/>
      <c r="L10" s="204"/>
    </row>
    <row r="11" spans="2:12" x14ac:dyDescent="0.25">
      <c r="B11" s="202"/>
      <c r="C11" s="229"/>
      <c r="D11" s="229"/>
      <c r="E11" s="229"/>
      <c r="F11" s="229"/>
      <c r="G11" s="229"/>
      <c r="H11" s="229"/>
      <c r="I11" s="229"/>
      <c r="J11" s="229"/>
      <c r="K11" s="229"/>
      <c r="L11" s="201"/>
    </row>
    <row r="15" spans="2:12" x14ac:dyDescent="0.25">
      <c r="B15" s="228"/>
      <c r="C15" s="227"/>
      <c r="D15" s="227"/>
      <c r="E15" s="227"/>
      <c r="F15" s="227"/>
      <c r="G15" s="227"/>
      <c r="H15" s="227"/>
      <c r="I15" s="227"/>
      <c r="J15" s="227"/>
      <c r="K15" s="227"/>
      <c r="L15" s="226"/>
    </row>
    <row r="16" spans="2:12" x14ac:dyDescent="0.25">
      <c r="B16" s="205"/>
      <c r="C16" s="225" t="s">
        <v>4</v>
      </c>
      <c r="D16" s="224"/>
      <c r="E16" s="224"/>
      <c r="F16" s="224"/>
      <c r="G16" s="224"/>
      <c r="H16" s="224"/>
      <c r="I16" s="224"/>
      <c r="J16" s="224"/>
      <c r="K16" s="224"/>
      <c r="L16" s="204"/>
    </row>
    <row r="17" spans="2:14" x14ac:dyDescent="0.25">
      <c r="B17" s="205"/>
      <c r="C17" s="224"/>
      <c r="D17" s="224"/>
      <c r="E17" s="224"/>
      <c r="F17" s="224"/>
      <c r="G17" s="225"/>
      <c r="H17" s="224"/>
      <c r="I17" s="224"/>
      <c r="J17" s="224"/>
      <c r="K17" s="224"/>
      <c r="L17" s="204"/>
    </row>
    <row r="18" spans="2:14" ht="15" customHeight="1" x14ac:dyDescent="0.25">
      <c r="B18" s="205"/>
      <c r="C18" s="337" t="s">
        <v>214</v>
      </c>
      <c r="D18" s="337"/>
      <c r="E18" s="337"/>
      <c r="F18" s="337"/>
      <c r="G18" s="337"/>
      <c r="H18" s="337"/>
      <c r="I18" s="337"/>
      <c r="J18" s="337"/>
      <c r="K18" s="337"/>
      <c r="L18" s="204"/>
    </row>
    <row r="19" spans="2:14" x14ac:dyDescent="0.25">
      <c r="B19" s="205"/>
      <c r="C19" s="337"/>
      <c r="D19" s="337"/>
      <c r="E19" s="337"/>
      <c r="F19" s="337"/>
      <c r="G19" s="337"/>
      <c r="H19" s="337"/>
      <c r="I19" s="337"/>
      <c r="J19" s="337"/>
      <c r="K19" s="337"/>
      <c r="L19" s="204"/>
    </row>
    <row r="20" spans="2:14" ht="30" customHeight="1" x14ac:dyDescent="0.25">
      <c r="B20" s="205"/>
      <c r="C20" s="337"/>
      <c r="D20" s="337"/>
      <c r="E20" s="337"/>
      <c r="F20" s="337"/>
      <c r="G20" s="337"/>
      <c r="H20" s="337"/>
      <c r="I20" s="337"/>
      <c r="J20" s="337"/>
      <c r="K20" s="337"/>
      <c r="L20" s="204"/>
    </row>
    <row r="21" spans="2:14" ht="9" customHeight="1" x14ac:dyDescent="0.25">
      <c r="B21" s="205"/>
      <c r="C21" s="224"/>
      <c r="D21" s="224"/>
      <c r="E21" s="224"/>
      <c r="F21" s="224"/>
      <c r="G21" s="224"/>
      <c r="H21" s="224"/>
      <c r="I21" s="224"/>
      <c r="J21" s="224"/>
      <c r="K21" s="224"/>
      <c r="L21" s="204"/>
    </row>
    <row r="22" spans="2:14" ht="15" customHeight="1" x14ac:dyDescent="0.25">
      <c r="B22" s="205"/>
      <c r="C22" s="337" t="s">
        <v>165</v>
      </c>
      <c r="D22" s="337"/>
      <c r="E22" s="337"/>
      <c r="F22" s="337"/>
      <c r="G22" s="337"/>
      <c r="H22" s="337"/>
      <c r="I22" s="337"/>
      <c r="J22" s="337"/>
      <c r="K22" s="337"/>
      <c r="L22" s="204"/>
    </row>
    <row r="23" spans="2:14" x14ac:dyDescent="0.25">
      <c r="B23" s="205"/>
      <c r="C23" s="337"/>
      <c r="D23" s="337"/>
      <c r="E23" s="337"/>
      <c r="F23" s="337"/>
      <c r="G23" s="337"/>
      <c r="H23" s="337"/>
      <c r="I23" s="337"/>
      <c r="J23" s="337"/>
      <c r="K23" s="337"/>
      <c r="L23" s="204"/>
    </row>
    <row r="24" spans="2:14" x14ac:dyDescent="0.25">
      <c r="B24" s="205"/>
      <c r="C24" s="337"/>
      <c r="D24" s="337"/>
      <c r="E24" s="337"/>
      <c r="F24" s="337"/>
      <c r="G24" s="337"/>
      <c r="H24" s="337"/>
      <c r="I24" s="337"/>
      <c r="J24" s="337"/>
      <c r="K24" s="337"/>
      <c r="L24" s="204"/>
    </row>
    <row r="25" spans="2:14" ht="37.9" customHeight="1" x14ac:dyDescent="0.25">
      <c r="B25" s="205"/>
      <c r="C25" s="337"/>
      <c r="D25" s="337"/>
      <c r="E25" s="337"/>
      <c r="F25" s="337"/>
      <c r="G25" s="337"/>
      <c r="H25" s="337"/>
      <c r="I25" s="337"/>
      <c r="J25" s="337"/>
      <c r="K25" s="337"/>
      <c r="L25" s="204"/>
      <c r="N25" s="203"/>
    </row>
    <row r="26" spans="2:14" x14ac:dyDescent="0.25">
      <c r="B26" s="205"/>
      <c r="C26" s="207"/>
      <c r="D26" s="207"/>
      <c r="E26" s="207"/>
      <c r="F26" s="207"/>
      <c r="G26" s="207"/>
      <c r="H26" s="207"/>
      <c r="I26" s="207"/>
      <c r="J26" s="207"/>
      <c r="K26" s="207"/>
      <c r="L26" s="204"/>
    </row>
    <row r="27" spans="2:14" x14ac:dyDescent="0.25">
      <c r="B27" s="205"/>
      <c r="C27" s="338" t="s">
        <v>5</v>
      </c>
      <c r="D27" s="338"/>
      <c r="E27" s="338"/>
      <c r="F27" s="338"/>
      <c r="G27" s="338"/>
      <c r="H27" s="338"/>
      <c r="I27" s="338"/>
      <c r="J27" s="338"/>
      <c r="K27" s="338"/>
      <c r="L27" s="204"/>
    </row>
    <row r="28" spans="2:14" x14ac:dyDescent="0.25">
      <c r="B28" s="205"/>
      <c r="C28" s="210"/>
      <c r="D28" s="210"/>
      <c r="E28" s="210"/>
      <c r="F28" s="210"/>
      <c r="G28" s="210"/>
      <c r="H28" s="210"/>
      <c r="I28" s="210"/>
      <c r="J28" s="210"/>
      <c r="K28" s="210"/>
      <c r="L28" s="204"/>
    </row>
    <row r="29" spans="2:14" ht="230.1" customHeight="1" x14ac:dyDescent="0.25">
      <c r="B29" s="205"/>
      <c r="C29" s="337" t="s">
        <v>184</v>
      </c>
      <c r="D29" s="337"/>
      <c r="E29" s="337"/>
      <c r="F29" s="337"/>
      <c r="G29" s="337"/>
      <c r="H29" s="337"/>
      <c r="I29" s="337"/>
      <c r="J29" s="337"/>
      <c r="K29" s="337"/>
      <c r="L29" s="204"/>
    </row>
    <row r="30" spans="2:14" x14ac:dyDescent="0.25">
      <c r="B30" s="205"/>
      <c r="C30" s="210"/>
      <c r="D30" s="210"/>
      <c r="E30" s="210"/>
      <c r="F30" s="210"/>
      <c r="G30" s="210"/>
      <c r="H30" s="210"/>
      <c r="I30" s="210"/>
      <c r="J30" s="210"/>
      <c r="K30" s="210"/>
      <c r="L30" s="204"/>
      <c r="N30" s="223"/>
    </row>
    <row r="31" spans="2:14" x14ac:dyDescent="0.25">
      <c r="B31" s="205"/>
      <c r="C31" s="339" t="s">
        <v>6</v>
      </c>
      <c r="D31" s="339"/>
      <c r="E31" s="339"/>
      <c r="F31" s="339"/>
      <c r="G31" s="339"/>
      <c r="H31" s="339"/>
      <c r="I31" s="339"/>
      <c r="J31" s="339"/>
      <c r="K31" s="339"/>
      <c r="L31" s="204"/>
    </row>
    <row r="32" spans="2:14" x14ac:dyDescent="0.25">
      <c r="B32" s="205"/>
      <c r="C32" s="207"/>
      <c r="D32" s="220"/>
      <c r="E32" s="220"/>
      <c r="F32" s="220"/>
      <c r="G32" s="220"/>
      <c r="H32" s="220"/>
      <c r="I32" s="220"/>
      <c r="J32" s="220"/>
      <c r="K32" s="220"/>
      <c r="L32" s="204"/>
    </row>
    <row r="33" spans="2:14" ht="33" customHeight="1" thickBot="1" x14ac:dyDescent="0.3">
      <c r="B33" s="139"/>
      <c r="C33" s="142"/>
      <c r="D33" s="340" t="s">
        <v>178</v>
      </c>
      <c r="E33" s="340"/>
      <c r="F33" s="340"/>
      <c r="G33" s="340"/>
      <c r="H33" s="340"/>
      <c r="I33" s="340"/>
      <c r="J33" s="340"/>
      <c r="K33" s="340"/>
      <c r="L33" s="140"/>
      <c r="N33" s="221"/>
    </row>
    <row r="34" spans="2:14" ht="50.1" customHeight="1" thickTop="1" thickBot="1" x14ac:dyDescent="0.3">
      <c r="B34" s="307"/>
      <c r="C34" s="308"/>
      <c r="D34" s="143"/>
      <c r="E34" s="309"/>
      <c r="F34" s="341" t="s">
        <v>181</v>
      </c>
      <c r="G34" s="342"/>
      <c r="H34" s="342"/>
      <c r="I34" s="342"/>
      <c r="J34" s="342"/>
      <c r="K34" s="342"/>
      <c r="L34" s="310"/>
      <c r="N34" s="221"/>
    </row>
    <row r="35" spans="2:14" s="314" customFormat="1" ht="50.1" customHeight="1" thickTop="1" x14ac:dyDescent="0.2">
      <c r="B35" s="307"/>
      <c r="C35" s="308"/>
      <c r="D35" s="143"/>
      <c r="E35" s="311"/>
      <c r="F35" s="343" t="s">
        <v>185</v>
      </c>
      <c r="G35" s="343"/>
      <c r="H35" s="343"/>
      <c r="I35" s="343"/>
      <c r="J35" s="343"/>
      <c r="K35" s="343"/>
      <c r="L35" s="310"/>
      <c r="N35" s="315"/>
    </row>
    <row r="36" spans="2:14" s="314" customFormat="1" ht="50.1" customHeight="1" x14ac:dyDescent="0.2">
      <c r="B36" s="307"/>
      <c r="C36" s="308"/>
      <c r="D36" s="143"/>
      <c r="E36" s="318"/>
      <c r="F36" s="343"/>
      <c r="G36" s="343"/>
      <c r="H36" s="343"/>
      <c r="I36" s="343"/>
      <c r="J36" s="343"/>
      <c r="K36" s="343"/>
      <c r="L36" s="310"/>
      <c r="N36" s="315"/>
    </row>
    <row r="37" spans="2:14" ht="66" customHeight="1" x14ac:dyDescent="0.25">
      <c r="B37" s="307"/>
      <c r="C37" s="308"/>
      <c r="D37" s="143"/>
      <c r="E37" s="312"/>
      <c r="F37" s="343" t="s">
        <v>182</v>
      </c>
      <c r="G37" s="342"/>
      <c r="H37" s="342"/>
      <c r="I37" s="342"/>
      <c r="J37" s="342"/>
      <c r="K37" s="342"/>
      <c r="L37" s="310"/>
      <c r="N37" s="221"/>
    </row>
    <row r="38" spans="2:14" ht="15" customHeight="1" x14ac:dyDescent="0.25">
      <c r="B38" s="205"/>
      <c r="C38" s="222"/>
      <c r="D38" s="306"/>
      <c r="E38" s="306"/>
      <c r="F38" s="306"/>
      <c r="G38" s="306"/>
      <c r="H38" s="306"/>
      <c r="I38" s="306"/>
      <c r="J38" s="306"/>
      <c r="K38" s="306"/>
      <c r="L38" s="204"/>
      <c r="N38" s="221"/>
    </row>
    <row r="39" spans="2:14" ht="126" customHeight="1" x14ac:dyDescent="0.25">
      <c r="B39" s="205"/>
      <c r="C39" s="222"/>
      <c r="D39" s="337" t="s">
        <v>194</v>
      </c>
      <c r="E39" s="337"/>
      <c r="F39" s="337"/>
      <c r="G39" s="337"/>
      <c r="H39" s="337"/>
      <c r="I39" s="337"/>
      <c r="J39" s="337"/>
      <c r="K39" s="337"/>
      <c r="L39" s="204"/>
      <c r="N39" s="221"/>
    </row>
    <row r="40" spans="2:14" ht="85.5" customHeight="1" x14ac:dyDescent="0.25">
      <c r="B40" s="205"/>
      <c r="C40" s="222"/>
      <c r="D40" s="337" t="s">
        <v>195</v>
      </c>
      <c r="E40" s="337"/>
      <c r="F40" s="337"/>
      <c r="G40" s="337"/>
      <c r="H40" s="337"/>
      <c r="I40" s="337"/>
      <c r="J40" s="337"/>
      <c r="K40" s="337"/>
      <c r="L40" s="204"/>
      <c r="N40" s="221"/>
    </row>
    <row r="41" spans="2:14" ht="55.5" customHeight="1" x14ac:dyDescent="0.25">
      <c r="B41" s="205"/>
      <c r="C41" s="222"/>
      <c r="D41" s="337" t="s">
        <v>190</v>
      </c>
      <c r="E41" s="337"/>
      <c r="F41" s="337"/>
      <c r="G41" s="337"/>
      <c r="H41" s="337"/>
      <c r="I41" s="337"/>
      <c r="J41" s="337"/>
      <c r="K41" s="337"/>
      <c r="L41" s="204"/>
      <c r="N41" s="221"/>
    </row>
    <row r="42" spans="2:14" ht="113.25" customHeight="1" x14ac:dyDescent="0.25">
      <c r="B42" s="205"/>
      <c r="C42" s="222"/>
      <c r="D42" s="337" t="s">
        <v>191</v>
      </c>
      <c r="E42" s="337"/>
      <c r="F42" s="337"/>
      <c r="G42" s="337"/>
      <c r="H42" s="337"/>
      <c r="I42" s="337"/>
      <c r="J42" s="337"/>
      <c r="K42" s="337"/>
      <c r="L42" s="204"/>
      <c r="N42" s="221"/>
    </row>
    <row r="43" spans="2:14" ht="98.25" customHeight="1" x14ac:dyDescent="0.25">
      <c r="B43" s="205"/>
      <c r="C43" s="222"/>
      <c r="D43" s="337" t="s">
        <v>192</v>
      </c>
      <c r="E43" s="337"/>
      <c r="F43" s="337"/>
      <c r="G43" s="337"/>
      <c r="H43" s="337"/>
      <c r="I43" s="337"/>
      <c r="J43" s="337"/>
      <c r="K43" s="337"/>
      <c r="L43" s="204"/>
      <c r="N43" s="221"/>
    </row>
    <row r="44" spans="2:14" ht="71.25" customHeight="1" x14ac:dyDescent="0.25">
      <c r="B44" s="205"/>
      <c r="C44" s="222"/>
      <c r="D44" s="337" t="s">
        <v>193</v>
      </c>
      <c r="E44" s="337"/>
      <c r="F44" s="337"/>
      <c r="G44" s="337"/>
      <c r="H44" s="337"/>
      <c r="I44" s="337"/>
      <c r="J44" s="337"/>
      <c r="K44" s="337"/>
      <c r="L44" s="204"/>
      <c r="N44" s="221"/>
    </row>
    <row r="45" spans="2:14" x14ac:dyDescent="0.25">
      <c r="B45" s="205"/>
      <c r="C45" s="207"/>
      <c r="D45" s="220"/>
      <c r="E45" s="220"/>
      <c r="F45" s="220"/>
      <c r="G45" s="220"/>
      <c r="H45" s="220"/>
      <c r="I45" s="220"/>
      <c r="J45" s="220"/>
      <c r="K45" s="220"/>
      <c r="L45" s="204"/>
    </row>
    <row r="46" spans="2:14" ht="61.9" customHeight="1" x14ac:dyDescent="0.25">
      <c r="B46" s="205"/>
      <c r="C46" s="215"/>
      <c r="D46" s="337" t="s">
        <v>132</v>
      </c>
      <c r="E46" s="337"/>
      <c r="F46" s="337"/>
      <c r="G46" s="337"/>
      <c r="H46" s="337"/>
      <c r="I46" s="337"/>
      <c r="J46" s="337"/>
      <c r="K46" s="337"/>
      <c r="L46" s="204"/>
    </row>
    <row r="47" spans="2:14" ht="32.450000000000003" customHeight="1" x14ac:dyDescent="0.25">
      <c r="B47" s="205"/>
      <c r="C47" s="215"/>
      <c r="D47" s="337" t="s">
        <v>7</v>
      </c>
      <c r="E47" s="337"/>
      <c r="F47" s="337"/>
      <c r="G47" s="337"/>
      <c r="H47" s="337"/>
      <c r="I47" s="337"/>
      <c r="J47" s="337"/>
      <c r="K47" s="337"/>
      <c r="L47" s="204"/>
    </row>
    <row r="48" spans="2:14" ht="33.6" customHeight="1" x14ac:dyDescent="0.25">
      <c r="B48" s="205"/>
      <c r="C48" s="215"/>
      <c r="D48" s="217"/>
      <c r="E48" s="213"/>
      <c r="F48" s="346" t="s">
        <v>114</v>
      </c>
      <c r="G48" s="346"/>
      <c r="H48" s="346"/>
      <c r="I48" s="346"/>
      <c r="J48" s="346"/>
      <c r="K48" s="346"/>
      <c r="L48" s="204"/>
    </row>
    <row r="49" spans="2:22" ht="32.25" customHeight="1" x14ac:dyDescent="0.25">
      <c r="B49" s="205"/>
      <c r="C49" s="215"/>
      <c r="D49" s="217"/>
      <c r="E49" s="219"/>
      <c r="F49" s="346" t="s">
        <v>166</v>
      </c>
      <c r="G49" s="346"/>
      <c r="H49" s="346"/>
      <c r="I49" s="346"/>
      <c r="J49" s="346"/>
      <c r="K49" s="346"/>
      <c r="L49" s="204"/>
    </row>
    <row r="50" spans="2:22" ht="92.25" customHeight="1" x14ac:dyDescent="0.25">
      <c r="B50" s="205"/>
      <c r="C50" s="215"/>
      <c r="D50" s="217"/>
      <c r="E50" s="218"/>
      <c r="F50" s="346" t="s">
        <v>8</v>
      </c>
      <c r="G50" s="346"/>
      <c r="H50" s="346"/>
      <c r="I50" s="346"/>
      <c r="J50" s="346"/>
      <c r="K50" s="346"/>
      <c r="L50" s="204"/>
    </row>
    <row r="51" spans="2:22" ht="23.25" customHeight="1" x14ac:dyDescent="0.25">
      <c r="B51" s="205"/>
      <c r="C51" s="215"/>
      <c r="D51" s="217"/>
      <c r="E51" s="216"/>
      <c r="F51" s="346" t="s">
        <v>9</v>
      </c>
      <c r="G51" s="346"/>
      <c r="H51" s="346"/>
      <c r="I51" s="346"/>
      <c r="J51" s="346"/>
      <c r="K51" s="346"/>
      <c r="L51" s="204"/>
    </row>
    <row r="52" spans="2:22" ht="45.75" customHeight="1" x14ac:dyDescent="0.25">
      <c r="B52" s="205"/>
      <c r="C52" s="215"/>
      <c r="D52" s="337" t="s">
        <v>167</v>
      </c>
      <c r="E52" s="337"/>
      <c r="F52" s="337"/>
      <c r="G52" s="337"/>
      <c r="H52" s="337"/>
      <c r="I52" s="337"/>
      <c r="J52" s="337"/>
      <c r="K52" s="337"/>
      <c r="L52" s="204"/>
    </row>
    <row r="53" spans="2:22" x14ac:dyDescent="0.25">
      <c r="B53" s="205"/>
      <c r="C53" s="207"/>
      <c r="D53" s="207"/>
      <c r="E53" s="207"/>
      <c r="F53" s="207"/>
      <c r="G53" s="207"/>
      <c r="H53" s="207"/>
      <c r="I53" s="207"/>
      <c r="J53" s="207"/>
      <c r="K53" s="207"/>
      <c r="L53" s="204"/>
    </row>
    <row r="54" spans="2:22" s="138" customFormat="1" ht="82.5" customHeight="1" x14ac:dyDescent="0.25">
      <c r="B54" s="139"/>
      <c r="C54" s="340" t="s">
        <v>212</v>
      </c>
      <c r="D54" s="340"/>
      <c r="E54" s="340"/>
      <c r="F54" s="340"/>
      <c r="G54" s="340"/>
      <c r="H54" s="340"/>
      <c r="I54" s="340"/>
      <c r="J54" s="340"/>
      <c r="K54" s="340"/>
      <c r="L54" s="140"/>
      <c r="N54" s="200"/>
      <c r="O54" s="200"/>
      <c r="P54" s="200"/>
      <c r="Q54" s="200"/>
      <c r="R54" s="200"/>
      <c r="S54" s="200"/>
      <c r="T54" s="200"/>
      <c r="U54" s="200"/>
      <c r="V54" s="200"/>
    </row>
    <row r="55" spans="2:22" s="138" customFormat="1" x14ac:dyDescent="0.25">
      <c r="B55" s="139"/>
      <c r="C55" s="153"/>
      <c r="D55" s="261"/>
      <c r="E55" s="261"/>
      <c r="F55" s="261"/>
      <c r="G55" s="261"/>
      <c r="H55" s="261"/>
      <c r="I55" s="261"/>
      <c r="J55" s="261"/>
      <c r="K55" s="261"/>
      <c r="L55" s="140"/>
      <c r="N55" s="257"/>
    </row>
    <row r="56" spans="2:22" s="138" customFormat="1" ht="48" customHeight="1" x14ac:dyDescent="0.25">
      <c r="B56" s="139"/>
      <c r="C56" s="265"/>
      <c r="D56" s="344" t="s">
        <v>198</v>
      </c>
      <c r="E56" s="344"/>
      <c r="F56" s="344"/>
      <c r="G56" s="344"/>
      <c r="H56" s="344"/>
      <c r="I56" s="344"/>
      <c r="J56" s="344"/>
      <c r="K56" s="344"/>
      <c r="L56" s="140"/>
      <c r="N56" s="257"/>
    </row>
    <row r="57" spans="2:22" s="138" customFormat="1" x14ac:dyDescent="0.25">
      <c r="B57" s="139"/>
      <c r="C57" s="153"/>
      <c r="D57" s="313"/>
      <c r="E57" s="313"/>
      <c r="F57" s="313"/>
      <c r="G57" s="313"/>
      <c r="H57" s="313"/>
      <c r="I57" s="313"/>
      <c r="J57" s="313"/>
      <c r="K57" s="313"/>
      <c r="L57" s="140"/>
      <c r="N57" s="257"/>
    </row>
    <row r="58" spans="2:22" s="138" customFormat="1" ht="47.25" customHeight="1" x14ac:dyDescent="0.25">
      <c r="B58" s="139"/>
      <c r="C58" s="266"/>
      <c r="D58" s="344" t="s">
        <v>134</v>
      </c>
      <c r="E58" s="344"/>
      <c r="F58" s="344"/>
      <c r="G58" s="344"/>
      <c r="H58" s="344"/>
      <c r="I58" s="344"/>
      <c r="J58" s="344"/>
      <c r="K58" s="344"/>
      <c r="L58" s="140"/>
      <c r="N58" s="257"/>
    </row>
    <row r="59" spans="2:22" s="138" customFormat="1" x14ac:dyDescent="0.25">
      <c r="B59" s="139"/>
      <c r="C59" s="153"/>
      <c r="D59" s="313"/>
      <c r="E59" s="313"/>
      <c r="F59" s="313"/>
      <c r="G59" s="313"/>
      <c r="H59" s="313"/>
      <c r="I59" s="313"/>
      <c r="J59" s="313"/>
      <c r="K59" s="313"/>
      <c r="L59" s="140"/>
    </row>
    <row r="60" spans="2:22" ht="65.25" customHeight="1" x14ac:dyDescent="0.25">
      <c r="B60" s="205"/>
      <c r="C60" s="214"/>
      <c r="D60" s="346" t="s">
        <v>138</v>
      </c>
      <c r="E60" s="346"/>
      <c r="F60" s="346"/>
      <c r="G60" s="346"/>
      <c r="H60" s="346"/>
      <c r="I60" s="346"/>
      <c r="J60" s="346"/>
      <c r="K60" s="346"/>
      <c r="L60" s="204"/>
    </row>
    <row r="61" spans="2:22" s="138" customFormat="1" x14ac:dyDescent="0.25">
      <c r="B61" s="139"/>
      <c r="C61" s="153"/>
      <c r="D61" s="153"/>
      <c r="E61" s="153"/>
      <c r="F61" s="153"/>
      <c r="G61" s="153"/>
      <c r="H61" s="153"/>
      <c r="I61" s="153"/>
      <c r="J61" s="153"/>
      <c r="K61" s="153"/>
      <c r="L61" s="140"/>
    </row>
    <row r="62" spans="2:22" ht="46.15" customHeight="1" x14ac:dyDescent="0.25">
      <c r="B62" s="205"/>
      <c r="C62" s="345" t="s">
        <v>139</v>
      </c>
      <c r="D62" s="345"/>
      <c r="E62" s="345"/>
      <c r="F62" s="345"/>
      <c r="G62" s="345"/>
      <c r="H62" s="345"/>
      <c r="I62" s="345"/>
      <c r="J62" s="345"/>
      <c r="K62" s="345"/>
      <c r="L62" s="204"/>
    </row>
    <row r="63" spans="2:22" ht="46.15" customHeight="1" x14ac:dyDescent="0.25">
      <c r="B63" s="205"/>
      <c r="C63" s="207"/>
      <c r="D63" s="213"/>
      <c r="E63" s="348" t="s">
        <v>120</v>
      </c>
      <c r="F63" s="348"/>
      <c r="G63" s="348"/>
      <c r="H63" s="348"/>
      <c r="I63" s="348"/>
      <c r="J63" s="348"/>
      <c r="K63" s="348"/>
      <c r="L63" s="204"/>
    </row>
    <row r="64" spans="2:22" ht="45.6" customHeight="1" x14ac:dyDescent="0.25">
      <c r="B64" s="205"/>
      <c r="C64" s="207"/>
      <c r="D64" s="212"/>
      <c r="E64" s="348" t="s">
        <v>133</v>
      </c>
      <c r="F64" s="348"/>
      <c r="G64" s="348"/>
      <c r="H64" s="348"/>
      <c r="I64" s="348"/>
      <c r="J64" s="348"/>
      <c r="K64" s="348"/>
      <c r="L64" s="204"/>
    </row>
    <row r="65" spans="2:14" ht="45" customHeight="1" x14ac:dyDescent="0.25">
      <c r="B65" s="205"/>
      <c r="C65" s="207"/>
      <c r="D65" s="211"/>
      <c r="E65" s="348" t="s">
        <v>112</v>
      </c>
      <c r="F65" s="348"/>
      <c r="G65" s="348"/>
      <c r="H65" s="348"/>
      <c r="I65" s="348"/>
      <c r="J65" s="348"/>
      <c r="K65" s="348"/>
      <c r="L65" s="204"/>
    </row>
    <row r="66" spans="2:14" x14ac:dyDescent="0.25">
      <c r="B66" s="205"/>
      <c r="C66" s="207"/>
      <c r="D66" s="209"/>
      <c r="E66" s="209"/>
      <c r="F66" s="208"/>
      <c r="G66" s="208"/>
      <c r="H66" s="208"/>
      <c r="I66" s="208"/>
      <c r="J66" s="208"/>
      <c r="K66" s="208"/>
      <c r="L66" s="204"/>
    </row>
    <row r="67" spans="2:14" x14ac:dyDescent="0.25">
      <c r="B67" s="205"/>
      <c r="C67" s="207"/>
      <c r="D67" s="206"/>
      <c r="E67" s="206"/>
      <c r="F67" s="206"/>
      <c r="G67" s="206"/>
      <c r="H67" s="206"/>
      <c r="I67" s="206"/>
      <c r="J67" s="206"/>
      <c r="K67" s="206"/>
      <c r="L67" s="204"/>
    </row>
    <row r="68" spans="2:14" ht="17.45" customHeight="1" x14ac:dyDescent="0.25">
      <c r="B68" s="205"/>
      <c r="C68" s="338" t="s">
        <v>10</v>
      </c>
      <c r="D68" s="338"/>
      <c r="E68" s="338"/>
      <c r="F68" s="338"/>
      <c r="G68" s="338"/>
      <c r="H68" s="338"/>
      <c r="I68" s="338"/>
      <c r="J68" s="338"/>
      <c r="K68" s="338"/>
      <c r="L68" s="204"/>
    </row>
    <row r="69" spans="2:14" ht="30" customHeight="1" x14ac:dyDescent="0.25">
      <c r="B69" s="205"/>
      <c r="C69" s="337" t="s">
        <v>186</v>
      </c>
      <c r="D69" s="337"/>
      <c r="E69" s="337"/>
      <c r="F69" s="337"/>
      <c r="G69" s="337"/>
      <c r="H69" s="337"/>
      <c r="I69" s="337"/>
      <c r="J69" s="337"/>
      <c r="K69" s="337"/>
      <c r="L69" s="204"/>
      <c r="N69" s="203"/>
    </row>
    <row r="70" spans="2:14" ht="15" customHeight="1" x14ac:dyDescent="0.25">
      <c r="B70" s="205"/>
      <c r="C70" s="297"/>
      <c r="D70" s="297"/>
      <c r="E70" s="297"/>
      <c r="F70" s="297"/>
      <c r="G70" s="297"/>
      <c r="H70" s="297"/>
      <c r="I70" s="297"/>
      <c r="J70" s="297"/>
      <c r="K70" s="297"/>
      <c r="L70" s="204"/>
      <c r="N70" s="203"/>
    </row>
    <row r="71" spans="2:14" ht="105" customHeight="1" x14ac:dyDescent="0.25">
      <c r="B71" s="205"/>
      <c r="C71" s="298"/>
      <c r="D71" s="340" t="s">
        <v>187</v>
      </c>
      <c r="E71" s="340"/>
      <c r="F71" s="340"/>
      <c r="G71" s="340"/>
      <c r="H71" s="340"/>
      <c r="I71" s="340"/>
      <c r="J71" s="340"/>
      <c r="K71" s="340"/>
      <c r="L71" s="204"/>
      <c r="N71" s="203"/>
    </row>
    <row r="72" spans="2:14" x14ac:dyDescent="0.25">
      <c r="B72" s="202"/>
      <c r="C72" s="347"/>
      <c r="D72" s="347"/>
      <c r="E72" s="347"/>
      <c r="F72" s="347"/>
      <c r="G72" s="347"/>
      <c r="H72" s="347"/>
      <c r="I72" s="347"/>
      <c r="J72" s="347"/>
      <c r="K72" s="347"/>
      <c r="L72" s="201"/>
    </row>
  </sheetData>
  <mergeCells count="34">
    <mergeCell ref="D71:K71"/>
    <mergeCell ref="C68:K68"/>
    <mergeCell ref="C69:K69"/>
    <mergeCell ref="C72:K72"/>
    <mergeCell ref="D60:K60"/>
    <mergeCell ref="E63:K63"/>
    <mergeCell ref="E64:K64"/>
    <mergeCell ref="E65:K65"/>
    <mergeCell ref="D47:K47"/>
    <mergeCell ref="F48:K48"/>
    <mergeCell ref="F49:K49"/>
    <mergeCell ref="F50:K50"/>
    <mergeCell ref="F51:K51"/>
    <mergeCell ref="D52:K52"/>
    <mergeCell ref="C54:K54"/>
    <mergeCell ref="D56:K56"/>
    <mergeCell ref="D58:K58"/>
    <mergeCell ref="C62:K62"/>
    <mergeCell ref="D41:K41"/>
    <mergeCell ref="D44:K44"/>
    <mergeCell ref="D46:K46"/>
    <mergeCell ref="C18:K20"/>
    <mergeCell ref="C22:K25"/>
    <mergeCell ref="C27:K27"/>
    <mergeCell ref="C29:K29"/>
    <mergeCell ref="C31:K31"/>
    <mergeCell ref="D39:K39"/>
    <mergeCell ref="D42:K42"/>
    <mergeCell ref="D43:K43"/>
    <mergeCell ref="D33:K33"/>
    <mergeCell ref="F34:K34"/>
    <mergeCell ref="F35:K36"/>
    <mergeCell ref="F37:K37"/>
    <mergeCell ref="D40:K40"/>
  </mergeCells>
  <hyperlinks>
    <hyperlink ref="G8" r:id="rId1" xr:uid="{514B8F5D-48FA-4646-BB6A-B8A1732DB700}"/>
  </hyperlinks>
  <pageMargins left="0.7" right="0.7" top="0.75" bottom="0.75" header="0.3" footer="0.3"/>
  <pageSetup paperSize="9"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ABE0D0-D2DD-463B-BF84-FF947CA2FC7F}">
  <sheetPr codeName="Sheet14">
    <tabColor theme="0" tint="-0.14999847407452621"/>
  </sheetPr>
  <dimension ref="C2:V152"/>
  <sheetViews>
    <sheetView topLeftCell="C13" zoomScale="80" zoomScaleNormal="80" workbookViewId="0">
      <selection activeCell="J20" sqref="J20"/>
    </sheetView>
  </sheetViews>
  <sheetFormatPr defaultColWidth="8.7109375" defaultRowHeight="12.75" x14ac:dyDescent="0.2"/>
  <cols>
    <col min="1" max="3" width="8.7109375" style="4"/>
    <col min="4" max="5" width="17.7109375" style="4" customWidth="1"/>
    <col min="6" max="6" width="16.42578125" style="4" customWidth="1"/>
    <col min="7" max="7" width="20.7109375" style="4" customWidth="1"/>
    <col min="8" max="8" width="21.140625" style="4" customWidth="1"/>
    <col min="9" max="9" width="22" style="4" customWidth="1"/>
    <col min="10" max="10" width="25" style="4" customWidth="1"/>
    <col min="11" max="16" width="20.7109375" style="4" customWidth="1"/>
    <col min="17" max="17" width="8.7109375" style="4" customWidth="1"/>
    <col min="18" max="20" width="8.7109375" style="4"/>
    <col min="21" max="21" width="8.7109375" style="86"/>
    <col min="22" max="22" width="8.7109375" style="336"/>
    <col min="23" max="16384" width="8.7109375" style="4"/>
  </cols>
  <sheetData>
    <row r="2" spans="3:22" x14ac:dyDescent="0.2">
      <c r="U2" s="86">
        <v>4</v>
      </c>
      <c r="V2" s="336">
        <v>-1.5</v>
      </c>
    </row>
    <row r="3" spans="3:22" ht="12.75" customHeight="1" x14ac:dyDescent="0.2">
      <c r="D3" s="349" t="s">
        <v>113</v>
      </c>
      <c r="E3" s="350"/>
      <c r="F3" s="351"/>
      <c r="H3" s="295"/>
      <c r="I3" s="295"/>
      <c r="J3" s="295"/>
      <c r="K3" s="295"/>
      <c r="U3" s="86">
        <v>7</v>
      </c>
      <c r="V3" s="336">
        <v>-1.48</v>
      </c>
    </row>
    <row r="4" spans="3:22" ht="13.5" customHeight="1" thickBot="1" x14ac:dyDescent="0.25">
      <c r="D4" s="152" t="s">
        <v>11</v>
      </c>
      <c r="E4" s="7"/>
      <c r="F4" s="29" t="s">
        <v>111</v>
      </c>
      <c r="H4" s="295"/>
      <c r="I4" s="295"/>
      <c r="J4" s="295"/>
      <c r="K4" s="295"/>
      <c r="V4" s="336">
        <v>-1.46</v>
      </c>
    </row>
    <row r="5" spans="3:22" ht="14.25" customHeight="1" thickTop="1" thickBot="1" x14ac:dyDescent="0.25">
      <c r="D5" s="151" t="s">
        <v>180</v>
      </c>
      <c r="E5" s="187"/>
      <c r="F5" s="136">
        <v>4</v>
      </c>
      <c r="H5" s="295"/>
      <c r="I5" s="295"/>
      <c r="J5" s="295"/>
      <c r="K5" s="295"/>
      <c r="V5" s="336">
        <v>-1.44</v>
      </c>
    </row>
    <row r="6" spans="3:22" ht="14.45" customHeight="1" thickTop="1" thickBot="1" x14ac:dyDescent="0.25">
      <c r="C6" s="303" t="s">
        <v>176</v>
      </c>
      <c r="D6" s="151" t="s">
        <v>123</v>
      </c>
      <c r="E6" s="195"/>
      <c r="F6" s="238">
        <v>0</v>
      </c>
      <c r="H6" s="295"/>
      <c r="I6" s="295"/>
      <c r="J6" s="295"/>
      <c r="K6" s="295"/>
      <c r="V6" s="336">
        <v>-1.42</v>
      </c>
    </row>
    <row r="7" spans="3:22" ht="14.25" customHeight="1" thickTop="1" thickBot="1" x14ac:dyDescent="0.25">
      <c r="C7" s="303" t="s">
        <v>175</v>
      </c>
      <c r="D7" s="172" t="s">
        <v>124</v>
      </c>
      <c r="E7" s="173"/>
      <c r="F7" s="137">
        <v>0</v>
      </c>
      <c r="H7" s="295"/>
      <c r="I7" s="295"/>
      <c r="J7" s="295"/>
      <c r="K7" s="295"/>
      <c r="V7" s="336">
        <v>-1.4</v>
      </c>
    </row>
    <row r="8" spans="3:22" ht="13.5" thickTop="1" x14ac:dyDescent="0.2">
      <c r="D8" s="5"/>
      <c r="F8" s="6"/>
      <c r="V8" s="336">
        <v>-1.38</v>
      </c>
    </row>
    <row r="9" spans="3:22" ht="18" customHeight="1" x14ac:dyDescent="0.2">
      <c r="D9" s="5"/>
      <c r="F9" s="6"/>
      <c r="H9" s="375" t="s">
        <v>119</v>
      </c>
      <c r="I9" s="367"/>
      <c r="J9" s="368"/>
      <c r="K9" s="259"/>
      <c r="V9" s="336">
        <v>-1.3599999999999999</v>
      </c>
    </row>
    <row r="10" spans="3:22" ht="29.45" customHeight="1" x14ac:dyDescent="0.2">
      <c r="F10" s="187"/>
      <c r="H10" s="352" t="s">
        <v>118</v>
      </c>
      <c r="I10" s="353"/>
      <c r="J10" s="372" t="s">
        <v>140</v>
      </c>
      <c r="K10" s="260"/>
      <c r="P10" s="236"/>
      <c r="V10" s="336">
        <v>-1.3399999999999999</v>
      </c>
    </row>
    <row r="11" spans="3:22" ht="49.5" customHeight="1" x14ac:dyDescent="0.2">
      <c r="D11" s="239"/>
      <c r="E11" s="239"/>
      <c r="F11" s="239"/>
      <c r="H11" s="258" t="s">
        <v>117</v>
      </c>
      <c r="I11" s="258" t="str">
        <f>"Debt below 60% of GDP in T+"&amp;10+F5</f>
        <v>Debt below 60% of GDP in T+14</v>
      </c>
      <c r="J11" s="373"/>
      <c r="K11" s="379"/>
      <c r="L11" s="380"/>
      <c r="M11" s="380"/>
      <c r="N11" s="380"/>
      <c r="O11" s="380"/>
      <c r="P11" s="380"/>
      <c r="V11" s="336">
        <v>-1.3199999999999998</v>
      </c>
    </row>
    <row r="12" spans="3:22" ht="45" customHeight="1" x14ac:dyDescent="0.2">
      <c r="C12" s="303" t="s">
        <v>176</v>
      </c>
      <c r="D12" s="366" t="s">
        <v>196</v>
      </c>
      <c r="E12" s="367"/>
      <c r="F12" s="367"/>
      <c r="G12" s="368"/>
      <c r="H12" s="199" t="str">
        <f ca="1">IF(MIN(OFFSET('Adjustment scenario'!$D$77,0,$F$5,1,11))&gt;-3.05,"ok","Not met")</f>
        <v>Not met</v>
      </c>
      <c r="I12" s="199" t="str">
        <f ca="1">IF(OFFSET('Adjustment scenario'!$D$57,0,$F$5+10,1,1)&lt;60,"ok","Not met")</f>
        <v>ok</v>
      </c>
      <c r="J12" s="199" t="str">
        <f>IF(AND($F$5=4,COUNTIF(G18:J18,"&gt;" &amp; F6)=0),"Not binding",IF(AND($F$5=7,COUNTIF(G18:M18,"&gt;" &amp; F6)=0),"Not binding","Binding"))</f>
        <v>Not binding</v>
      </c>
      <c r="K12" s="377" t="str">
        <f ca="1">IF(OR($H$13="Not met",$I$13="Not met"),"Please adjust cell F7 so that both DSA-based criteria are met",
IF($F$6&lt;$F$7,"The adjustment in F6 cannot be lower than in F7",
IF(AND($H$12="ok",$I$12="ok",$H$13="ok",$I$13="ok",$F$6&gt;=$F$7,
OR(AND($F$5=4,$G$18&gt;=$H$18,$H$18&gt;=$I$18,$I$18&gt;=$J$18,OR($J$18&gt;=0.4,$J$19&gt;-1.55)),
AND($F$5=7,$G$18&gt;=$H$18,$H$18&gt;=$I$18,$I$18&gt;=$J$18,$J$18&gt;=$K$18,$K$18&gt;=$L$18,$L$18&gt;=$M$18,OR($M$18&gt;=0.25,$M$19&gt;-1.55)))),
"OK"&amp;CHAR(10)&amp;"The adjustment in F6 fulfills all requirements including the deficit resilience safeguard",
"NOT OK"&amp;CHAR(10)&amp;"The adjustment in F6 does not fulfill all requirements")))</f>
        <v>Please adjust cell F7 so that both DSA-based criteria are met</v>
      </c>
      <c r="L12" s="378"/>
      <c r="M12" s="378"/>
      <c r="N12" s="378"/>
      <c r="O12" s="378"/>
      <c r="P12" s="378"/>
      <c r="Q12" s="299"/>
      <c r="V12" s="336">
        <v>-1.3</v>
      </c>
    </row>
    <row r="13" spans="3:22" ht="45" customHeight="1" x14ac:dyDescent="0.2">
      <c r="C13" s="303" t="s">
        <v>175</v>
      </c>
      <c r="D13" s="366" t="s">
        <v>197</v>
      </c>
      <c r="E13" s="367"/>
      <c r="F13" s="367"/>
      <c r="G13" s="368"/>
      <c r="H13" s="199" t="str">
        <f ca="1">IF(MIN(OFFSET('Adjust. no safeguard'!$D$77,0,$F$5,1,11))&gt;-3.05,"ok","Not met")</f>
        <v>Not met</v>
      </c>
      <c r="I13" s="199" t="str">
        <f ca="1">IF(OFFSET('Adjust. no safeguard'!$D$57,0,$F$5+10,1,1)&lt;60,"ok","Not met")</f>
        <v>ok</v>
      </c>
      <c r="J13" s="250"/>
      <c r="K13" s="377" t="str">
        <f ca="1">IF(AND($H$13="ok",$I$13="ok"),
"OK"&amp;CHAR(10)&amp;"The adjustment in F7 ensures that the debt and deficit remain"&amp;CHAR(10)&amp;"below the Treaty reference values over the medium term",
"NOT OK"&amp;CHAR(10)&amp;"The adjustment in F7 does not ensure that the debt and deficit remain"&amp;CHAR(10)&amp;"below the Treaty reference values over the medium term")</f>
        <v>NOT OK
The adjustment in F7 does not ensure that the debt and deficit remain
below the Treaty reference values over the medium term</v>
      </c>
      <c r="L13" s="378"/>
      <c r="M13" s="378"/>
      <c r="N13" s="378"/>
      <c r="O13" s="378"/>
      <c r="P13" s="378"/>
      <c r="Q13" s="299"/>
      <c r="V13" s="336">
        <v>-1.28</v>
      </c>
    </row>
    <row r="14" spans="3:22" ht="34.5" customHeight="1" x14ac:dyDescent="0.2">
      <c r="D14" s="374" t="s">
        <v>188</v>
      </c>
      <c r="E14" s="374"/>
      <c r="F14" s="374"/>
      <c r="G14" s="374"/>
      <c r="H14" s="374"/>
      <c r="I14" s="374"/>
      <c r="J14" s="374"/>
      <c r="K14" s="251"/>
      <c r="L14" s="299"/>
      <c r="M14" s="299"/>
      <c r="V14" s="336">
        <v>-1.26</v>
      </c>
    </row>
    <row r="15" spans="3:22" ht="12.75" customHeight="1" x14ac:dyDescent="0.2">
      <c r="K15" s="251"/>
      <c r="L15" s="299"/>
      <c r="M15" s="299"/>
      <c r="V15" s="336">
        <v>-1.24</v>
      </c>
    </row>
    <row r="16" spans="3:22" ht="15.75" customHeight="1" x14ac:dyDescent="0.2">
      <c r="D16" s="232"/>
      <c r="E16" s="232"/>
      <c r="F16" s="232"/>
      <c r="G16" s="360" t="s">
        <v>136</v>
      </c>
      <c r="H16" s="361"/>
      <c r="I16" s="361"/>
      <c r="J16" s="362"/>
      <c r="K16" s="170"/>
      <c r="L16" s="299"/>
      <c r="M16" s="299"/>
      <c r="N16" s="170"/>
      <c r="O16" s="170"/>
      <c r="P16" s="161"/>
      <c r="V16" s="336">
        <v>-1.22</v>
      </c>
    </row>
    <row r="17" spans="4:22" ht="13.5" customHeight="1" x14ac:dyDescent="0.2">
      <c r="D17" s="232"/>
      <c r="E17" s="156"/>
      <c r="F17" s="162"/>
      <c r="G17" s="157">
        <f>'Input data'!$C$5+1</f>
        <v>2026</v>
      </c>
      <c r="H17" s="158">
        <f t="shared" ref="H17:M17" si="0">G17+1</f>
        <v>2027</v>
      </c>
      <c r="I17" s="158">
        <f t="shared" si="0"/>
        <v>2028</v>
      </c>
      <c r="J17" s="158">
        <f t="shared" si="0"/>
        <v>2029</v>
      </c>
      <c r="K17" s="158">
        <f t="shared" si="0"/>
        <v>2030</v>
      </c>
      <c r="L17" s="158">
        <f t="shared" si="0"/>
        <v>2031</v>
      </c>
      <c r="M17" s="171">
        <f t="shared" si="0"/>
        <v>2032</v>
      </c>
      <c r="N17" s="163"/>
      <c r="P17" s="163"/>
      <c r="V17" s="336">
        <v>-1.2</v>
      </c>
    </row>
    <row r="18" spans="4:22" ht="15" customHeight="1" x14ac:dyDescent="0.2">
      <c r="D18" s="363" t="s">
        <v>14</v>
      </c>
      <c r="E18" s="364"/>
      <c r="F18" s="365"/>
      <c r="G18" s="160">
        <f>'Adjustment scenario'!E12-'Adjustment scenario'!D12</f>
        <v>0</v>
      </c>
      <c r="H18" s="167">
        <f>'Adjustment scenario'!F12-'Adjustment scenario'!E12</f>
        <v>0</v>
      </c>
      <c r="I18" s="167">
        <f>'Adjustment scenario'!G12-'Adjustment scenario'!F12</f>
        <v>0</v>
      </c>
      <c r="J18" s="167">
        <f>'Adjustment scenario'!H12-'Adjustment scenario'!G12</f>
        <v>0</v>
      </c>
      <c r="K18" s="167">
        <f>'Adjustment scenario'!I12-'Adjustment scenario'!H12</f>
        <v>0</v>
      </c>
      <c r="L18" s="167">
        <f>'Adjustment scenario'!J12-'Adjustment scenario'!I12</f>
        <v>0</v>
      </c>
      <c r="M18" s="168">
        <f>'Adjustment scenario'!K12-'Adjustment scenario'!J12</f>
        <v>0</v>
      </c>
      <c r="N18" s="160"/>
      <c r="P18" s="160"/>
      <c r="V18" s="336">
        <v>-1.1800000000000002</v>
      </c>
    </row>
    <row r="19" spans="4:22" ht="15" customHeight="1" x14ac:dyDescent="0.2">
      <c r="D19" s="194" t="s">
        <v>20</v>
      </c>
      <c r="E19" s="188"/>
      <c r="F19" s="189"/>
      <c r="G19" s="190">
        <f>'Adjustment scenario'!E78</f>
        <v>-1.3057583648219497</v>
      </c>
      <c r="H19" s="191">
        <f>'Adjustment scenario'!F78</f>
        <v>-1.4003146946614518</v>
      </c>
      <c r="I19" s="191">
        <f>'Adjustment scenario'!G78</f>
        <v>-1.4672003353659955</v>
      </c>
      <c r="J19" s="191">
        <f>'Adjustment scenario'!H78</f>
        <v>-1.532878455264306</v>
      </c>
      <c r="K19" s="191">
        <f>'Adjustment scenario'!I78</f>
        <v>-1.7019929801705009</v>
      </c>
      <c r="L19" s="191">
        <f>'Adjustment scenario'!J78</f>
        <v>-2.0752786635804874</v>
      </c>
      <c r="M19" s="193">
        <f>'Adjustment scenario'!K78</f>
        <v>-2.3623047911772637</v>
      </c>
      <c r="N19" s="179"/>
      <c r="P19" s="160"/>
      <c r="V19" s="336">
        <v>-1.1600000000000001</v>
      </c>
    </row>
    <row r="20" spans="4:22" ht="15" customHeight="1" x14ac:dyDescent="0.2">
      <c r="D20" s="357" t="s">
        <v>116</v>
      </c>
      <c r="E20" s="358"/>
      <c r="F20" s="359"/>
      <c r="G20" s="316"/>
      <c r="H20" s="317"/>
      <c r="I20" s="317"/>
      <c r="J20" s="317">
        <f>IF(F5=4,'Adjustment scenario'!H12,"")</f>
        <v>-0.55773950000000005</v>
      </c>
      <c r="K20" s="317"/>
      <c r="L20" s="317"/>
      <c r="M20" s="323" t="str">
        <f>IF(F5=7,'Adjustment scenario'!K12,"")</f>
        <v/>
      </c>
      <c r="N20" s="179"/>
      <c r="P20" s="160"/>
      <c r="V20" s="336">
        <v>-1.1400000000000001</v>
      </c>
    </row>
    <row r="21" spans="4:22" ht="15" customHeight="1" x14ac:dyDescent="0.2">
      <c r="D21" s="374" t="s">
        <v>137</v>
      </c>
      <c r="E21" s="374"/>
      <c r="F21" s="374"/>
      <c r="G21" s="374"/>
      <c r="H21" s="374"/>
      <c r="I21" s="374"/>
      <c r="J21" s="374"/>
      <c r="K21" s="192"/>
      <c r="L21" s="192"/>
      <c r="M21" s="192"/>
      <c r="N21" s="179"/>
      <c r="P21" s="160"/>
      <c r="V21" s="336">
        <v>-1.1200000000000001</v>
      </c>
    </row>
    <row r="22" spans="4:22" ht="15" customHeight="1" x14ac:dyDescent="0.2">
      <c r="D22" s="242"/>
      <c r="E22" s="242"/>
      <c r="F22" s="242"/>
      <c r="G22" s="249"/>
      <c r="H22" s="166"/>
      <c r="I22" s="166"/>
      <c r="J22" s="166"/>
      <c r="K22" s="191"/>
      <c r="L22" s="191"/>
      <c r="M22" s="191"/>
      <c r="N22" s="179"/>
      <c r="P22" s="160"/>
      <c r="V22" s="336">
        <v>-1.1000000000000001</v>
      </c>
    </row>
    <row r="23" spans="4:22" ht="15" customHeight="1" x14ac:dyDescent="0.2">
      <c r="D23" s="242"/>
      <c r="E23" s="242"/>
      <c r="F23" s="243"/>
      <c r="G23" s="360" t="s">
        <v>126</v>
      </c>
      <c r="H23" s="361"/>
      <c r="I23" s="361"/>
      <c r="J23" s="362"/>
      <c r="K23" s="191"/>
      <c r="L23" s="191"/>
      <c r="M23" s="166"/>
      <c r="N23" s="179"/>
      <c r="P23" s="160"/>
      <c r="V23" s="336">
        <v>-1.08</v>
      </c>
    </row>
    <row r="24" spans="4:22" ht="15" customHeight="1" x14ac:dyDescent="0.2">
      <c r="D24" s="248"/>
      <c r="E24" s="242"/>
      <c r="F24" s="243"/>
      <c r="G24" s="157">
        <f>'Input data'!$C$5+1</f>
        <v>2026</v>
      </c>
      <c r="H24" s="158">
        <f t="shared" ref="H24:M24" si="1">G24+1</f>
        <v>2027</v>
      </c>
      <c r="I24" s="158">
        <f t="shared" si="1"/>
        <v>2028</v>
      </c>
      <c r="J24" s="158">
        <f t="shared" si="1"/>
        <v>2029</v>
      </c>
      <c r="K24" s="158">
        <f t="shared" si="1"/>
        <v>2030</v>
      </c>
      <c r="L24" s="158">
        <f t="shared" si="1"/>
        <v>2031</v>
      </c>
      <c r="M24" s="171">
        <f t="shared" si="1"/>
        <v>2032</v>
      </c>
      <c r="N24" s="179"/>
      <c r="P24" s="160"/>
      <c r="V24" s="336">
        <v>-1.06</v>
      </c>
    </row>
    <row r="25" spans="4:22" ht="15" customHeight="1" x14ac:dyDescent="0.2">
      <c r="D25" s="363" t="s">
        <v>14</v>
      </c>
      <c r="E25" s="364"/>
      <c r="F25" s="365"/>
      <c r="G25" s="240">
        <f>'Adjust. no safeguard'!E12-'Adjust. no safeguard'!D12</f>
        <v>0</v>
      </c>
      <c r="H25" s="167">
        <f>'Adjust. no safeguard'!F12-'Adjust. no safeguard'!E12</f>
        <v>0</v>
      </c>
      <c r="I25" s="167">
        <f>'Adjust. no safeguard'!G12-'Adjust. no safeguard'!F12</f>
        <v>0</v>
      </c>
      <c r="J25" s="167">
        <f>'Adjust. no safeguard'!H12-'Adjust. no safeguard'!G12</f>
        <v>0</v>
      </c>
      <c r="K25" s="167">
        <f>'Adjust. no safeguard'!I12-'Adjust. no safeguard'!H12</f>
        <v>0</v>
      </c>
      <c r="L25" s="167">
        <f>'Adjust. no safeguard'!J12-'Adjust. no safeguard'!I12</f>
        <v>0</v>
      </c>
      <c r="M25" s="168">
        <f>'Adjust. no safeguard'!K12-'Adjust. no safeguard'!J12</f>
        <v>0</v>
      </c>
      <c r="N25" s="179"/>
      <c r="P25" s="160"/>
      <c r="V25" s="336">
        <v>-1.04</v>
      </c>
    </row>
    <row r="26" spans="4:22" ht="15" customHeight="1" x14ac:dyDescent="0.2">
      <c r="D26" s="241" t="s">
        <v>20</v>
      </c>
      <c r="E26" s="234"/>
      <c r="F26" s="235"/>
      <c r="G26" s="165">
        <f>'Adjust. no safeguard'!E78</f>
        <v>-1.3057583648219497</v>
      </c>
      <c r="H26" s="166">
        <f>'Adjust. no safeguard'!F78</f>
        <v>-1.4003146946614518</v>
      </c>
      <c r="I26" s="166">
        <f>'Adjust. no safeguard'!G78</f>
        <v>-1.4672003353659955</v>
      </c>
      <c r="J26" s="166">
        <f>'Adjust. no safeguard'!H78</f>
        <v>-1.532878455264306</v>
      </c>
      <c r="K26" s="166">
        <f>'Adjust. no safeguard'!I78</f>
        <v>-1.7019929801705009</v>
      </c>
      <c r="L26" s="166">
        <f>'Adjust. no safeguard'!J78</f>
        <v>-2.0752786635804874</v>
      </c>
      <c r="M26" s="169">
        <f>'Adjust. no safeguard'!K78</f>
        <v>-2.3623047911772637</v>
      </c>
      <c r="N26" s="179"/>
      <c r="P26" s="160"/>
      <c r="V26" s="336">
        <v>-1.02</v>
      </c>
    </row>
    <row r="27" spans="4:22" ht="15" customHeight="1" x14ac:dyDescent="0.2">
      <c r="D27" s="369" t="s">
        <v>116</v>
      </c>
      <c r="E27" s="370"/>
      <c r="F27" s="371"/>
      <c r="G27" s="316"/>
      <c r="H27" s="317"/>
      <c r="I27" s="317"/>
      <c r="J27" s="317">
        <f>IF(F5=4,'Adjust. no safeguard'!H12,"")</f>
        <v>-0.55773950000000005</v>
      </c>
      <c r="K27" s="317"/>
      <c r="L27" s="317"/>
      <c r="M27" s="323" t="str">
        <f>IF(F5=7,'Adjust. no safeguard'!K12,"")</f>
        <v/>
      </c>
      <c r="N27" s="160"/>
      <c r="P27" s="164"/>
      <c r="V27" s="336">
        <v>-1</v>
      </c>
    </row>
    <row r="28" spans="4:22" x14ac:dyDescent="0.2">
      <c r="D28" s="244"/>
      <c r="E28" s="244"/>
      <c r="F28" s="244"/>
      <c r="G28" s="245"/>
      <c r="H28" s="160"/>
      <c r="Q28" s="159"/>
      <c r="V28" s="336">
        <v>-0.98</v>
      </c>
    </row>
    <row r="29" spans="4:22" x14ac:dyDescent="0.2">
      <c r="D29" s="246"/>
      <c r="E29" s="246"/>
      <c r="F29" s="246"/>
      <c r="G29" s="247"/>
      <c r="Q29" s="159"/>
      <c r="V29" s="336">
        <v>-0.96</v>
      </c>
    </row>
    <row r="30" spans="4:22" x14ac:dyDescent="0.2">
      <c r="J30" s="163"/>
      <c r="V30" s="336">
        <v>-0.94</v>
      </c>
    </row>
    <row r="31" spans="4:22" x14ac:dyDescent="0.2">
      <c r="G31" s="354" t="s">
        <v>125</v>
      </c>
      <c r="H31" s="355"/>
      <c r="J31" s="160"/>
      <c r="V31" s="336">
        <v>-0.91999999999999993</v>
      </c>
    </row>
    <row r="32" spans="4:22" x14ac:dyDescent="0.2">
      <c r="G32" s="145" t="s">
        <v>121</v>
      </c>
      <c r="H32" s="146" t="s">
        <v>122</v>
      </c>
      <c r="J32" s="160"/>
      <c r="V32" s="336">
        <v>-0.9</v>
      </c>
    </row>
    <row r="33" spans="4:22" x14ac:dyDescent="0.2">
      <c r="D33" s="174" t="s">
        <v>180</v>
      </c>
      <c r="E33" s="148"/>
      <c r="F33" s="149"/>
      <c r="G33" s="196">
        <v>4</v>
      </c>
      <c r="H33" s="196">
        <v>7</v>
      </c>
      <c r="J33" s="160"/>
      <c r="V33" s="336">
        <v>-0.88</v>
      </c>
    </row>
    <row r="34" spans="4:22" x14ac:dyDescent="0.2">
      <c r="D34" s="197" t="s">
        <v>116</v>
      </c>
      <c r="E34" s="150"/>
      <c r="F34" s="150"/>
      <c r="G34" s="198">
        <v>8.2260499999999986E-2</v>
      </c>
      <c r="H34" s="147">
        <v>2.2605000000000264E-3</v>
      </c>
      <c r="J34" s="160"/>
      <c r="V34" s="336">
        <v>-0.86</v>
      </c>
    </row>
    <row r="35" spans="4:22" ht="96" customHeight="1" x14ac:dyDescent="0.2">
      <c r="D35" s="356" t="s">
        <v>189</v>
      </c>
      <c r="E35" s="356"/>
      <c r="F35" s="356"/>
      <c r="G35" s="356"/>
      <c r="H35" s="356"/>
      <c r="J35" s="160"/>
      <c r="V35" s="336">
        <v>-0.84000000000000008</v>
      </c>
    </row>
    <row r="36" spans="4:22" ht="19.899999999999999" customHeight="1" x14ac:dyDescent="0.2">
      <c r="G36" s="376"/>
      <c r="H36" s="376"/>
      <c r="I36" s="376"/>
      <c r="J36" s="376"/>
      <c r="K36" s="376"/>
      <c r="L36" s="376"/>
      <c r="M36" s="376"/>
      <c r="N36" s="376"/>
      <c r="O36" s="376"/>
      <c r="V36" s="336">
        <v>-0.82</v>
      </c>
    </row>
    <row r="37" spans="4:22" x14ac:dyDescent="0.2">
      <c r="K37" s="159"/>
      <c r="V37" s="336">
        <v>-0.8</v>
      </c>
    </row>
    <row r="38" spans="4:22" x14ac:dyDescent="0.2">
      <c r="K38" s="159"/>
      <c r="V38" s="336">
        <v>-0.78</v>
      </c>
    </row>
    <row r="39" spans="4:22" ht="13.15" customHeight="1" x14ac:dyDescent="0.2">
      <c r="J39" s="160"/>
      <c r="V39" s="336">
        <v>-0.76</v>
      </c>
    </row>
    <row r="40" spans="4:22" x14ac:dyDescent="0.2">
      <c r="V40" s="336">
        <v>-0.74</v>
      </c>
    </row>
    <row r="41" spans="4:22" x14ac:dyDescent="0.2">
      <c r="V41" s="336">
        <v>-0.72</v>
      </c>
    </row>
    <row r="42" spans="4:22" x14ac:dyDescent="0.2">
      <c r="V42" s="336">
        <v>-0.7</v>
      </c>
    </row>
    <row r="43" spans="4:22" x14ac:dyDescent="0.2">
      <c r="V43" s="336">
        <v>-0.67999999999999994</v>
      </c>
    </row>
    <row r="44" spans="4:22" x14ac:dyDescent="0.2">
      <c r="V44" s="336">
        <v>-0.66</v>
      </c>
    </row>
    <row r="45" spans="4:22" x14ac:dyDescent="0.2">
      <c r="V45" s="336">
        <v>-0.64</v>
      </c>
    </row>
    <row r="46" spans="4:22" x14ac:dyDescent="0.2">
      <c r="V46" s="336">
        <v>-0.62</v>
      </c>
    </row>
    <row r="47" spans="4:22" x14ac:dyDescent="0.2">
      <c r="V47" s="336">
        <v>-0.6</v>
      </c>
    </row>
    <row r="48" spans="4:22" x14ac:dyDescent="0.2">
      <c r="V48" s="336">
        <v>-0.57999999999999996</v>
      </c>
    </row>
    <row r="49" spans="22:22" x14ac:dyDescent="0.2">
      <c r="V49" s="336">
        <v>-0.56000000000000005</v>
      </c>
    </row>
    <row r="50" spans="22:22" x14ac:dyDescent="0.2">
      <c r="V50" s="336">
        <v>-0.54</v>
      </c>
    </row>
    <row r="51" spans="22:22" x14ac:dyDescent="0.2">
      <c r="V51" s="336">
        <v>-0.52</v>
      </c>
    </row>
    <row r="52" spans="22:22" x14ac:dyDescent="0.2">
      <c r="V52" s="336">
        <v>-0.5</v>
      </c>
    </row>
    <row r="53" spans="22:22" x14ac:dyDescent="0.2">
      <c r="V53" s="336">
        <v>-0.48</v>
      </c>
    </row>
    <row r="54" spans="22:22" x14ac:dyDescent="0.2">
      <c r="V54" s="336">
        <v>-0.46</v>
      </c>
    </row>
    <row r="55" spans="22:22" x14ac:dyDescent="0.2">
      <c r="V55" s="336">
        <v>-0.44</v>
      </c>
    </row>
    <row r="56" spans="22:22" x14ac:dyDescent="0.2">
      <c r="V56" s="336">
        <v>-0.42</v>
      </c>
    </row>
    <row r="57" spans="22:22" x14ac:dyDescent="0.2">
      <c r="V57" s="336">
        <v>-0.4</v>
      </c>
    </row>
    <row r="58" spans="22:22" x14ac:dyDescent="0.2">
      <c r="V58" s="336">
        <v>-0.38</v>
      </c>
    </row>
    <row r="59" spans="22:22" x14ac:dyDescent="0.2">
      <c r="V59" s="336">
        <v>-0.36</v>
      </c>
    </row>
    <row r="60" spans="22:22" x14ac:dyDescent="0.2">
      <c r="V60" s="336">
        <v>-0.33999999999999997</v>
      </c>
    </row>
    <row r="61" spans="22:22" x14ac:dyDescent="0.2">
      <c r="V61" s="336">
        <v>-0.32</v>
      </c>
    </row>
    <row r="62" spans="22:22" x14ac:dyDescent="0.2">
      <c r="V62" s="336">
        <v>-0.3</v>
      </c>
    </row>
    <row r="63" spans="22:22" x14ac:dyDescent="0.2">
      <c r="V63" s="336">
        <v>-0.28000000000000003</v>
      </c>
    </row>
    <row r="64" spans="22:22" x14ac:dyDescent="0.2">
      <c r="V64" s="336">
        <v>-0.26</v>
      </c>
    </row>
    <row r="65" spans="22:22" x14ac:dyDescent="0.2">
      <c r="V65" s="336">
        <v>-0.24</v>
      </c>
    </row>
    <row r="66" spans="22:22" x14ac:dyDescent="0.2">
      <c r="V66" s="336">
        <v>-0.21999999999999997</v>
      </c>
    </row>
    <row r="67" spans="22:22" x14ac:dyDescent="0.2">
      <c r="V67" s="336">
        <v>-0.2</v>
      </c>
    </row>
    <row r="68" spans="22:22" x14ac:dyDescent="0.2">
      <c r="V68" s="336">
        <v>-0.18</v>
      </c>
    </row>
    <row r="69" spans="22:22" x14ac:dyDescent="0.2">
      <c r="V69" s="336">
        <v>-0.16</v>
      </c>
    </row>
    <row r="70" spans="22:22" x14ac:dyDescent="0.2">
      <c r="V70" s="336">
        <v>-0.14000000000000001</v>
      </c>
    </row>
    <row r="71" spans="22:22" x14ac:dyDescent="0.2">
      <c r="V71" s="336">
        <v>-0.12</v>
      </c>
    </row>
    <row r="72" spans="22:22" x14ac:dyDescent="0.2">
      <c r="V72" s="336">
        <v>-0.1</v>
      </c>
    </row>
    <row r="73" spans="22:22" x14ac:dyDescent="0.2">
      <c r="V73" s="336">
        <v>-8.0000000000000016E-2</v>
      </c>
    </row>
    <row r="74" spans="22:22" x14ac:dyDescent="0.2">
      <c r="V74" s="336">
        <v>-0.06</v>
      </c>
    </row>
    <row r="75" spans="22:22" x14ac:dyDescent="0.2">
      <c r="V75" s="336">
        <v>-3.999999999999998E-2</v>
      </c>
    </row>
    <row r="76" spans="22:22" x14ac:dyDescent="0.2">
      <c r="V76" s="336">
        <v>-2.0000000000000018E-2</v>
      </c>
    </row>
    <row r="77" spans="22:22" x14ac:dyDescent="0.2">
      <c r="V77" s="336">
        <v>0</v>
      </c>
    </row>
    <row r="78" spans="22:22" x14ac:dyDescent="0.2">
      <c r="V78" s="336">
        <v>0.02</v>
      </c>
    </row>
    <row r="79" spans="22:22" x14ac:dyDescent="0.2">
      <c r="V79" s="336">
        <v>0.04</v>
      </c>
    </row>
    <row r="80" spans="22:22" x14ac:dyDescent="0.2">
      <c r="V80" s="336">
        <v>0.06</v>
      </c>
    </row>
    <row r="81" spans="22:22" x14ac:dyDescent="0.2">
      <c r="V81" s="336">
        <v>0.08</v>
      </c>
    </row>
    <row r="82" spans="22:22" x14ac:dyDescent="0.2">
      <c r="V82" s="336">
        <v>0.1</v>
      </c>
    </row>
    <row r="83" spans="22:22" x14ac:dyDescent="0.2">
      <c r="V83" s="336">
        <v>0.12</v>
      </c>
    </row>
    <row r="84" spans="22:22" x14ac:dyDescent="0.2">
      <c r="V84" s="336">
        <v>0.14000000000000001</v>
      </c>
    </row>
    <row r="85" spans="22:22" x14ac:dyDescent="0.2">
      <c r="V85" s="336">
        <v>0.16000000000000003</v>
      </c>
    </row>
    <row r="86" spans="22:22" x14ac:dyDescent="0.2">
      <c r="V86" s="336">
        <v>0.18000000000000005</v>
      </c>
    </row>
    <row r="87" spans="22:22" x14ac:dyDescent="0.2">
      <c r="V87" s="336">
        <v>0.2</v>
      </c>
    </row>
    <row r="88" spans="22:22" x14ac:dyDescent="0.2">
      <c r="V88" s="336">
        <v>0.22</v>
      </c>
    </row>
    <row r="89" spans="22:22" x14ac:dyDescent="0.2">
      <c r="V89" s="336">
        <v>0.24</v>
      </c>
    </row>
    <row r="90" spans="22:22" x14ac:dyDescent="0.2">
      <c r="V90" s="336">
        <v>0.26</v>
      </c>
    </row>
    <row r="91" spans="22:22" x14ac:dyDescent="0.2">
      <c r="V91" s="336">
        <v>0.28000000000000003</v>
      </c>
    </row>
    <row r="92" spans="22:22" x14ac:dyDescent="0.2">
      <c r="V92" s="336">
        <v>0.3</v>
      </c>
    </row>
    <row r="93" spans="22:22" x14ac:dyDescent="0.2">
      <c r="V93" s="336">
        <v>0.31999999999999995</v>
      </c>
    </row>
    <row r="94" spans="22:22" x14ac:dyDescent="0.2">
      <c r="V94" s="336">
        <v>0.33999999999999997</v>
      </c>
    </row>
    <row r="95" spans="22:22" x14ac:dyDescent="0.2">
      <c r="V95" s="336">
        <v>0.36</v>
      </c>
    </row>
    <row r="96" spans="22:22" x14ac:dyDescent="0.2">
      <c r="V96" s="336">
        <v>0.38</v>
      </c>
    </row>
    <row r="97" spans="22:22" x14ac:dyDescent="0.2">
      <c r="V97" s="336">
        <v>0.4</v>
      </c>
    </row>
    <row r="98" spans="22:22" x14ac:dyDescent="0.2">
      <c r="V98" s="336">
        <v>0.42</v>
      </c>
    </row>
    <row r="99" spans="22:22" x14ac:dyDescent="0.2">
      <c r="V99" s="336">
        <v>0.43999999999999995</v>
      </c>
    </row>
    <row r="100" spans="22:22" x14ac:dyDescent="0.2">
      <c r="V100" s="336">
        <v>0.45999999999999996</v>
      </c>
    </row>
    <row r="101" spans="22:22" x14ac:dyDescent="0.2">
      <c r="V101" s="336">
        <v>0.48</v>
      </c>
    </row>
    <row r="102" spans="22:22" x14ac:dyDescent="0.2">
      <c r="V102" s="336">
        <v>0.5</v>
      </c>
    </row>
    <row r="103" spans="22:22" x14ac:dyDescent="0.2">
      <c r="V103" s="336">
        <v>0.52</v>
      </c>
    </row>
    <row r="104" spans="22:22" x14ac:dyDescent="0.2">
      <c r="V104" s="336">
        <v>0.54</v>
      </c>
    </row>
    <row r="105" spans="22:22" x14ac:dyDescent="0.2">
      <c r="V105" s="336">
        <v>0.56000000000000005</v>
      </c>
    </row>
    <row r="106" spans="22:22" x14ac:dyDescent="0.2">
      <c r="V106" s="336">
        <v>0.58000000000000007</v>
      </c>
    </row>
    <row r="107" spans="22:22" x14ac:dyDescent="0.2">
      <c r="V107" s="336">
        <v>0.60000000000000009</v>
      </c>
    </row>
    <row r="108" spans="22:22" x14ac:dyDescent="0.2">
      <c r="V108" s="336">
        <v>0.62000000000000011</v>
      </c>
    </row>
    <row r="109" spans="22:22" x14ac:dyDescent="0.2">
      <c r="V109" s="336">
        <v>0.6399999999999999</v>
      </c>
    </row>
    <row r="110" spans="22:22" x14ac:dyDescent="0.2">
      <c r="V110" s="336">
        <v>0.65999999999999992</v>
      </c>
    </row>
    <row r="111" spans="22:22" x14ac:dyDescent="0.2">
      <c r="V111" s="336">
        <v>0.67999999999999994</v>
      </c>
    </row>
    <row r="112" spans="22:22" x14ac:dyDescent="0.2">
      <c r="V112" s="336">
        <v>0.7</v>
      </c>
    </row>
    <row r="113" spans="22:22" x14ac:dyDescent="0.2">
      <c r="V113" s="336">
        <v>0.72</v>
      </c>
    </row>
    <row r="114" spans="22:22" x14ac:dyDescent="0.2">
      <c r="V114" s="336">
        <v>0.74</v>
      </c>
    </row>
    <row r="115" spans="22:22" x14ac:dyDescent="0.2">
      <c r="V115" s="336">
        <v>0.76</v>
      </c>
    </row>
    <row r="116" spans="22:22" x14ac:dyDescent="0.2">
      <c r="V116" s="336">
        <v>0.78</v>
      </c>
    </row>
    <row r="117" spans="22:22" x14ac:dyDescent="0.2">
      <c r="V117" s="336">
        <v>0.8</v>
      </c>
    </row>
    <row r="118" spans="22:22" x14ac:dyDescent="0.2">
      <c r="V118" s="336">
        <v>0.82000000000000006</v>
      </c>
    </row>
    <row r="119" spans="22:22" x14ac:dyDescent="0.2">
      <c r="V119" s="336">
        <v>0.84000000000000008</v>
      </c>
    </row>
    <row r="120" spans="22:22" x14ac:dyDescent="0.2">
      <c r="V120" s="336">
        <v>0.8600000000000001</v>
      </c>
    </row>
    <row r="121" spans="22:22" x14ac:dyDescent="0.2">
      <c r="V121" s="336">
        <v>0.87999999999999989</v>
      </c>
    </row>
    <row r="122" spans="22:22" x14ac:dyDescent="0.2">
      <c r="V122" s="336">
        <v>0.89999999999999991</v>
      </c>
    </row>
    <row r="123" spans="22:22" x14ac:dyDescent="0.2">
      <c r="V123" s="336">
        <v>0.91999999999999993</v>
      </c>
    </row>
    <row r="124" spans="22:22" x14ac:dyDescent="0.2">
      <c r="V124" s="336">
        <v>0.94</v>
      </c>
    </row>
    <row r="125" spans="22:22" x14ac:dyDescent="0.2">
      <c r="V125" s="336">
        <v>0.96</v>
      </c>
    </row>
    <row r="126" spans="22:22" x14ac:dyDescent="0.2">
      <c r="V126" s="336">
        <v>0.98</v>
      </c>
    </row>
    <row r="127" spans="22:22" x14ac:dyDescent="0.2">
      <c r="V127" s="336">
        <v>1</v>
      </c>
    </row>
    <row r="128" spans="22:22" x14ac:dyDescent="0.2">
      <c r="V128" s="336">
        <v>1.02</v>
      </c>
    </row>
    <row r="129" spans="22:22" x14ac:dyDescent="0.2">
      <c r="V129" s="336">
        <v>1.04</v>
      </c>
    </row>
    <row r="130" spans="22:22" x14ac:dyDescent="0.2">
      <c r="V130" s="336">
        <v>1.06</v>
      </c>
    </row>
    <row r="131" spans="22:22" x14ac:dyDescent="0.2">
      <c r="V131" s="336">
        <v>1.08</v>
      </c>
    </row>
    <row r="132" spans="22:22" x14ac:dyDescent="0.2">
      <c r="V132" s="336">
        <v>1.1000000000000001</v>
      </c>
    </row>
    <row r="133" spans="22:22" x14ac:dyDescent="0.2">
      <c r="V133" s="336">
        <v>1.1200000000000001</v>
      </c>
    </row>
    <row r="134" spans="22:22" x14ac:dyDescent="0.2">
      <c r="V134" s="336">
        <v>1.1399999999999999</v>
      </c>
    </row>
    <row r="135" spans="22:22" x14ac:dyDescent="0.2">
      <c r="V135" s="336">
        <v>1.1599999999999999</v>
      </c>
    </row>
    <row r="136" spans="22:22" x14ac:dyDescent="0.2">
      <c r="V136" s="336">
        <v>1.18</v>
      </c>
    </row>
    <row r="137" spans="22:22" x14ac:dyDescent="0.2">
      <c r="V137" s="336">
        <v>1.2</v>
      </c>
    </row>
    <row r="138" spans="22:22" x14ac:dyDescent="0.2">
      <c r="V138" s="336">
        <v>1.22</v>
      </c>
    </row>
    <row r="139" spans="22:22" x14ac:dyDescent="0.2">
      <c r="V139" s="336">
        <v>1.24</v>
      </c>
    </row>
    <row r="140" spans="22:22" x14ac:dyDescent="0.2">
      <c r="V140" s="336">
        <v>1.26</v>
      </c>
    </row>
    <row r="141" spans="22:22" x14ac:dyDescent="0.2">
      <c r="V141" s="336">
        <v>1.28</v>
      </c>
    </row>
    <row r="142" spans="22:22" x14ac:dyDescent="0.2">
      <c r="V142" s="336">
        <v>1.3</v>
      </c>
    </row>
    <row r="143" spans="22:22" x14ac:dyDescent="0.2">
      <c r="V143" s="336">
        <v>1.32</v>
      </c>
    </row>
    <row r="144" spans="22:22" x14ac:dyDescent="0.2">
      <c r="V144" s="336">
        <v>1.34</v>
      </c>
    </row>
    <row r="145" spans="22:22" x14ac:dyDescent="0.2">
      <c r="V145" s="336">
        <v>1.36</v>
      </c>
    </row>
    <row r="146" spans="22:22" x14ac:dyDescent="0.2">
      <c r="V146" s="336">
        <v>1.38</v>
      </c>
    </row>
    <row r="147" spans="22:22" x14ac:dyDescent="0.2">
      <c r="V147" s="336">
        <v>1.4</v>
      </c>
    </row>
    <row r="148" spans="22:22" x14ac:dyDescent="0.2">
      <c r="V148" s="336">
        <v>1.42</v>
      </c>
    </row>
    <row r="149" spans="22:22" x14ac:dyDescent="0.2">
      <c r="V149" s="336">
        <v>1.44</v>
      </c>
    </row>
    <row r="150" spans="22:22" x14ac:dyDescent="0.2">
      <c r="V150" s="336">
        <v>1.46</v>
      </c>
    </row>
    <row r="151" spans="22:22" x14ac:dyDescent="0.2">
      <c r="V151" s="336">
        <v>1.48</v>
      </c>
    </row>
    <row r="152" spans="22:22" x14ac:dyDescent="0.2">
      <c r="V152" s="336">
        <v>1.5</v>
      </c>
    </row>
  </sheetData>
  <mergeCells count="20">
    <mergeCell ref="G36:O36"/>
    <mergeCell ref="D14:J14"/>
    <mergeCell ref="K12:P12"/>
    <mergeCell ref="K13:P13"/>
    <mergeCell ref="K11:P11"/>
    <mergeCell ref="D3:F3"/>
    <mergeCell ref="H10:I10"/>
    <mergeCell ref="G31:H31"/>
    <mergeCell ref="D35:H35"/>
    <mergeCell ref="D20:F20"/>
    <mergeCell ref="G16:J16"/>
    <mergeCell ref="D18:F18"/>
    <mergeCell ref="D12:G12"/>
    <mergeCell ref="D13:G13"/>
    <mergeCell ref="D25:F25"/>
    <mergeCell ref="D27:F27"/>
    <mergeCell ref="G23:J23"/>
    <mergeCell ref="J10:J11"/>
    <mergeCell ref="D21:J21"/>
    <mergeCell ref="H9:J9"/>
  </mergeCells>
  <conditionalFormatting sqref="C6 C12 K12">
    <cfRule type="expression" dxfId="21" priority="1">
      <formula>AND($H$12="ok",$I$12="ok",$H$13="ok",$I$13="ok",$F$6&gt;=$F$7,OR(AND($F$5=4,$G$18&gt;=$H$18,$H$18&gt;=$I$18,$I$18&gt;=$J$18,OR($J$18&gt;=0.4,$J$19&gt;-1.55)), AND($F$5=7,$G$18&gt;=$H$18,$H$18&gt;=$I$18,$I$18&gt;=$J$18,$J$18&gt;=$K$18,$K$18&gt;=$L$18,$L$18&gt;=$M$18,OR($M$18&gt;=0.25,$M$19&gt;-1.55))))</formula>
    </cfRule>
  </conditionalFormatting>
  <conditionalFormatting sqref="C7 C13 K13">
    <cfRule type="expression" dxfId="20" priority="9">
      <formula>AND($H$13="ok",$I$13="ok")</formula>
    </cfRule>
  </conditionalFormatting>
  <conditionalFormatting sqref="G19:J19">
    <cfRule type="cellIs" dxfId="19" priority="20" operator="lessThan">
      <formula>-1.55</formula>
    </cfRule>
  </conditionalFormatting>
  <conditionalFormatting sqref="K17:K20 K23:K27">
    <cfRule type="expression" dxfId="18" priority="26">
      <formula>$F$5=4</formula>
    </cfRule>
  </conditionalFormatting>
  <conditionalFormatting sqref="K19:M19">
    <cfRule type="expression" dxfId="17" priority="19">
      <formula>AND($F$5=7,K19&lt;-1.55)</formula>
    </cfRule>
  </conditionalFormatting>
  <conditionalFormatting sqref="K17:N27">
    <cfRule type="expression" dxfId="16" priority="24">
      <formula>$F$5=4</formula>
    </cfRule>
  </conditionalFormatting>
  <conditionalFormatting sqref="L17:N27">
    <cfRule type="expression" dxfId="15" priority="25">
      <formula>$F$5=4</formula>
    </cfRule>
  </conditionalFormatting>
  <dataValidations count="2">
    <dataValidation type="list" allowBlank="1" showInputMessage="1" showErrorMessage="1" sqref="F5" xr:uid="{FF9EC846-9BB1-4470-A3A9-D4EAF7E33AA3}">
      <formula1>$U$2:$U$3</formula1>
    </dataValidation>
    <dataValidation type="list" allowBlank="1" showInputMessage="1" showErrorMessage="1" sqref="F6 F7" xr:uid="{9A35FCBF-778C-4387-B45B-FB660CC35C29}">
      <formula1>$V$2:$V$152</formula1>
    </dataValidation>
  </dataValidations>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8">
    <tabColor theme="8" tint="0.39997558519241921"/>
  </sheetPr>
  <dimension ref="A1:BB77"/>
  <sheetViews>
    <sheetView tabSelected="1" topLeftCell="A33" zoomScaleNormal="100" workbookViewId="0">
      <selection activeCell="D45" sqref="D45"/>
    </sheetView>
  </sheetViews>
  <sheetFormatPr defaultColWidth="8.85546875" defaultRowHeight="12.75" x14ac:dyDescent="0.2"/>
  <cols>
    <col min="1" max="1" width="8.7109375" style="107" customWidth="1"/>
    <col min="2" max="2" width="58.42578125" style="107" customWidth="1"/>
    <col min="3" max="6" width="8.7109375" style="107" customWidth="1"/>
    <col min="7" max="16384" width="8.85546875" style="107"/>
  </cols>
  <sheetData>
    <row r="1" spans="1:54" s="46" customFormat="1" ht="24.75" customHeight="1" x14ac:dyDescent="0.2">
      <c r="B1" s="100"/>
    </row>
    <row r="2" spans="1:54" s="46" customFormat="1" ht="11.25" customHeight="1" x14ac:dyDescent="0.2">
      <c r="B2" s="101"/>
    </row>
    <row r="3" spans="1:54" s="46" customFormat="1" ht="11.25" customHeight="1" x14ac:dyDescent="0.2">
      <c r="B3" s="102" t="s">
        <v>11</v>
      </c>
      <c r="C3" s="103" t="s">
        <v>111</v>
      </c>
    </row>
    <row r="4" spans="1:54" s="46" customFormat="1" ht="11.25" customHeight="1" x14ac:dyDescent="0.2">
      <c r="B4" s="104"/>
      <c r="C4" s="12"/>
    </row>
    <row r="5" spans="1:54" s="46" customFormat="1" ht="11.25" customHeight="1" x14ac:dyDescent="0.2">
      <c r="B5" s="105" t="s">
        <v>115</v>
      </c>
      <c r="C5" s="12">
        <v>2025</v>
      </c>
    </row>
    <row r="6" spans="1:54" x14ac:dyDescent="0.2">
      <c r="A6" s="46"/>
      <c r="B6" s="106" t="s">
        <v>22</v>
      </c>
      <c r="C6" s="237">
        <f>C5+'Criteria results'!$F$5</f>
        <v>2029</v>
      </c>
    </row>
    <row r="8" spans="1:54" s="108" customFormat="1" ht="12" customHeight="1" x14ac:dyDescent="0.2">
      <c r="B8" s="109" t="s">
        <v>23</v>
      </c>
      <c r="C8" s="110"/>
      <c r="D8" s="110"/>
      <c r="E8" s="110"/>
      <c r="F8" s="110"/>
      <c r="G8" s="110"/>
      <c r="H8" s="110"/>
      <c r="I8" s="110"/>
      <c r="J8" s="110"/>
      <c r="K8" s="110"/>
      <c r="L8" s="110"/>
      <c r="M8" s="110"/>
    </row>
    <row r="9" spans="1:54" x14ac:dyDescent="0.2">
      <c r="B9" s="46"/>
      <c r="C9" s="111">
        <v>2024</v>
      </c>
      <c r="D9" s="111">
        <v>2025</v>
      </c>
      <c r="E9" s="111">
        <v>2026</v>
      </c>
      <c r="F9" s="111">
        <v>2027</v>
      </c>
      <c r="G9" s="111">
        <v>2028</v>
      </c>
      <c r="H9" s="111">
        <v>2029</v>
      </c>
      <c r="I9" s="111">
        <v>2030</v>
      </c>
      <c r="J9" s="111">
        <v>2031</v>
      </c>
      <c r="K9" s="111">
        <v>2032</v>
      </c>
      <c r="L9" s="111">
        <v>2033</v>
      </c>
      <c r="M9" s="111">
        <v>2034</v>
      </c>
      <c r="N9" s="111">
        <v>2035</v>
      </c>
      <c r="O9" s="111">
        <v>2036</v>
      </c>
      <c r="P9" s="111">
        <v>2037</v>
      </c>
      <c r="Q9" s="111">
        <v>2038</v>
      </c>
      <c r="R9" s="111">
        <v>2039</v>
      </c>
      <c r="S9" s="111">
        <v>2040</v>
      </c>
      <c r="T9" s="111">
        <v>2041</v>
      </c>
      <c r="U9" s="111">
        <v>2042</v>
      </c>
      <c r="V9" s="111"/>
      <c r="W9" s="111"/>
      <c r="X9" s="111"/>
      <c r="Y9" s="111"/>
      <c r="Z9" s="111"/>
      <c r="AA9" s="111"/>
      <c r="AB9" s="111"/>
      <c r="AC9" s="111"/>
      <c r="AD9" s="111"/>
      <c r="AE9" s="111"/>
      <c r="AF9" s="111"/>
      <c r="AG9" s="111"/>
      <c r="AH9" s="111"/>
      <c r="AI9" s="111"/>
      <c r="AJ9" s="111"/>
      <c r="AK9" s="111"/>
      <c r="AL9" s="111"/>
      <c r="AM9" s="111"/>
      <c r="AN9" s="111"/>
      <c r="AO9" s="111"/>
      <c r="AP9" s="111"/>
      <c r="AQ9" s="111"/>
      <c r="AR9" s="111"/>
      <c r="AS9" s="111"/>
      <c r="AT9" s="111"/>
      <c r="AU9" s="111"/>
      <c r="AV9" s="111"/>
      <c r="AW9" s="111"/>
      <c r="AX9" s="111"/>
      <c r="AY9" s="111"/>
      <c r="AZ9" s="111"/>
    </row>
    <row r="10" spans="1:54" s="112" customFormat="1" x14ac:dyDescent="0.2">
      <c r="B10" s="113" t="s">
        <v>24</v>
      </c>
      <c r="C10" s="114"/>
      <c r="D10" s="114"/>
      <c r="E10" s="114"/>
      <c r="F10" s="114"/>
      <c r="G10" s="114"/>
      <c r="H10" s="114"/>
      <c r="I10" s="114"/>
      <c r="J10" s="114"/>
      <c r="K10" s="114"/>
      <c r="L10" s="114"/>
      <c r="M10" s="114"/>
    </row>
    <row r="11" spans="1:54" x14ac:dyDescent="0.2">
      <c r="B11" s="115" t="s">
        <v>207</v>
      </c>
      <c r="C11" s="116"/>
      <c r="D11" s="116"/>
      <c r="E11" s="116"/>
      <c r="F11" s="116"/>
      <c r="G11" s="116"/>
      <c r="H11" s="116"/>
      <c r="I11" s="116"/>
      <c r="J11" s="116"/>
      <c r="K11" s="116"/>
      <c r="L11" s="116"/>
      <c r="M11" s="116"/>
    </row>
    <row r="12" spans="1:54" x14ac:dyDescent="0.2">
      <c r="A12" s="46"/>
      <c r="B12" s="46" t="s">
        <v>21</v>
      </c>
      <c r="C12" s="117">
        <v>43.748150000000003</v>
      </c>
      <c r="D12" s="117">
        <v>45.157600000000002</v>
      </c>
      <c r="E12" s="45" t="s">
        <v>25</v>
      </c>
      <c r="F12" s="45" t="s">
        <v>25</v>
      </c>
      <c r="G12" s="45" t="s">
        <v>25</v>
      </c>
      <c r="H12" s="45" t="s">
        <v>25</v>
      </c>
      <c r="I12" s="45" t="s">
        <v>25</v>
      </c>
      <c r="J12" s="45" t="s">
        <v>25</v>
      </c>
      <c r="K12" s="45" t="s">
        <v>25</v>
      </c>
      <c r="L12" s="45" t="s">
        <v>25</v>
      </c>
      <c r="M12" s="45" t="s">
        <v>25</v>
      </c>
    </row>
    <row r="13" spans="1:54" x14ac:dyDescent="0.2">
      <c r="A13" s="46"/>
      <c r="B13" s="46" t="s">
        <v>26</v>
      </c>
      <c r="C13" s="117">
        <v>0.386237</v>
      </c>
      <c r="D13" s="117">
        <v>-0.55773950000000005</v>
      </c>
      <c r="E13" s="325"/>
      <c r="F13" s="325"/>
      <c r="G13" s="325"/>
      <c r="H13" s="325"/>
      <c r="I13" s="325"/>
      <c r="J13" s="325"/>
      <c r="K13" s="325"/>
      <c r="L13" s="325"/>
      <c r="M13" s="325"/>
      <c r="N13" s="325"/>
      <c r="O13" s="325"/>
      <c r="P13" s="325"/>
      <c r="Q13" s="325"/>
      <c r="R13" s="325"/>
      <c r="S13" s="325"/>
      <c r="T13" s="325"/>
      <c r="U13" s="325"/>
      <c r="V13" s="325"/>
      <c r="W13" s="325"/>
      <c r="X13" s="325"/>
      <c r="Y13" s="325"/>
      <c r="Z13" s="325"/>
      <c r="AA13" s="325"/>
      <c r="AB13" s="325"/>
      <c r="AC13" s="325"/>
      <c r="AD13" s="325"/>
      <c r="AE13" s="325"/>
      <c r="AF13" s="325"/>
      <c r="AG13" s="325"/>
      <c r="AH13" s="325"/>
      <c r="AI13" s="325"/>
      <c r="AJ13" s="325"/>
      <c r="AK13" s="325"/>
      <c r="AL13" s="325"/>
      <c r="AM13" s="325"/>
      <c r="AN13" s="325"/>
      <c r="AO13" s="325"/>
      <c r="AP13" s="325"/>
      <c r="AQ13" s="325"/>
      <c r="AR13" s="325"/>
      <c r="AS13" s="325"/>
      <c r="AT13" s="325"/>
      <c r="AU13" s="325"/>
      <c r="AV13" s="325"/>
      <c r="AW13" s="325"/>
      <c r="AX13" s="325"/>
      <c r="AY13" s="325"/>
      <c r="AZ13" s="325"/>
      <c r="BA13" s="326"/>
      <c r="BB13" s="326"/>
    </row>
    <row r="14" spans="1:54" x14ac:dyDescent="0.2">
      <c r="A14" s="46"/>
      <c r="B14" s="46" t="s">
        <v>27</v>
      </c>
      <c r="C14" s="117">
        <v>-2.6727000000000001E-2</v>
      </c>
      <c r="D14" s="117">
        <v>-2.54775E-2</v>
      </c>
      <c r="E14" s="117">
        <v>-0.69010419999999995</v>
      </c>
      <c r="F14" s="117">
        <v>0</v>
      </c>
      <c r="G14" s="117">
        <v>0</v>
      </c>
      <c r="H14" s="117">
        <v>0</v>
      </c>
      <c r="I14" s="117">
        <v>0</v>
      </c>
      <c r="J14" s="117">
        <v>0</v>
      </c>
      <c r="K14" s="117">
        <v>0</v>
      </c>
      <c r="L14" s="117">
        <v>0</v>
      </c>
      <c r="M14" s="117">
        <v>0</v>
      </c>
      <c r="N14" s="117">
        <v>0</v>
      </c>
      <c r="O14" s="117">
        <v>0</v>
      </c>
      <c r="P14" s="117">
        <v>0</v>
      </c>
      <c r="Q14" s="117">
        <v>0</v>
      </c>
      <c r="R14" s="117">
        <v>0</v>
      </c>
      <c r="S14" s="117">
        <v>0</v>
      </c>
      <c r="T14" s="117">
        <v>0</v>
      </c>
      <c r="U14" s="117">
        <v>0</v>
      </c>
      <c r="V14" s="45"/>
      <c r="W14" s="45"/>
      <c r="X14" s="45"/>
      <c r="Y14" s="45"/>
      <c r="Z14" s="45"/>
      <c r="AA14" s="45"/>
      <c r="AB14" s="45"/>
      <c r="AC14" s="45"/>
      <c r="AD14" s="45"/>
      <c r="AE14" s="45"/>
      <c r="AF14" s="45"/>
      <c r="AG14" s="45"/>
      <c r="AH14" s="45"/>
      <c r="AI14" s="45"/>
      <c r="AJ14" s="45"/>
      <c r="AK14" s="45"/>
      <c r="AL14" s="45"/>
      <c r="AM14" s="45"/>
      <c r="AN14" s="45"/>
      <c r="AO14" s="45"/>
      <c r="AP14" s="45"/>
      <c r="AQ14" s="45"/>
      <c r="AR14" s="45"/>
      <c r="AS14" s="45"/>
      <c r="AT14" s="45"/>
      <c r="AU14" s="45"/>
      <c r="AV14" s="45"/>
      <c r="AW14" s="45"/>
      <c r="AX14" s="45"/>
      <c r="AY14" s="45"/>
      <c r="AZ14" s="45"/>
    </row>
    <row r="15" spans="1:54" x14ac:dyDescent="0.2">
      <c r="A15" s="46"/>
      <c r="B15" s="46" t="s">
        <v>28</v>
      </c>
      <c r="C15" s="117">
        <v>-9.1939599999999996E-2</v>
      </c>
      <c r="D15" s="117">
        <v>1.579996</v>
      </c>
      <c r="E15" s="117">
        <v>2.014675</v>
      </c>
      <c r="F15" s="117">
        <v>0</v>
      </c>
      <c r="G15" s="117">
        <v>0</v>
      </c>
      <c r="H15" s="117">
        <v>0</v>
      </c>
      <c r="I15" s="117">
        <v>0</v>
      </c>
      <c r="J15" s="117">
        <v>0</v>
      </c>
      <c r="K15" s="117">
        <v>0</v>
      </c>
      <c r="L15" s="117">
        <v>0</v>
      </c>
      <c r="M15" s="117">
        <v>0</v>
      </c>
      <c r="N15" s="117">
        <v>0</v>
      </c>
      <c r="O15" s="117">
        <v>0</v>
      </c>
      <c r="P15" s="117">
        <v>0</v>
      </c>
      <c r="Q15" s="117">
        <v>0</v>
      </c>
      <c r="R15" s="117">
        <v>0</v>
      </c>
      <c r="S15" s="117">
        <v>0</v>
      </c>
      <c r="T15" s="117">
        <v>0</v>
      </c>
      <c r="U15" s="117">
        <v>0</v>
      </c>
      <c r="V15" s="45"/>
      <c r="W15" s="45"/>
      <c r="X15" s="45"/>
      <c r="Y15" s="45"/>
      <c r="Z15" s="45"/>
      <c r="AA15" s="45"/>
      <c r="AB15" s="45"/>
      <c r="AC15" s="45"/>
      <c r="AD15" s="45"/>
      <c r="AE15" s="45"/>
      <c r="AF15" s="45"/>
      <c r="AG15" s="45"/>
      <c r="AH15" s="45"/>
      <c r="AI15" s="45"/>
      <c r="AJ15" s="45"/>
      <c r="AK15" s="45"/>
      <c r="AL15" s="45"/>
      <c r="AM15" s="45"/>
      <c r="AN15" s="45"/>
      <c r="AO15" s="45"/>
      <c r="AP15" s="45"/>
      <c r="AQ15" s="45"/>
      <c r="AR15" s="45"/>
      <c r="AS15" s="45"/>
      <c r="AT15" s="45"/>
      <c r="AU15" s="45"/>
      <c r="AV15" s="45"/>
      <c r="AW15" s="45"/>
      <c r="AX15" s="45"/>
      <c r="AY15" s="45"/>
      <c r="AZ15" s="45"/>
    </row>
    <row r="16" spans="1:54" x14ac:dyDescent="0.2">
      <c r="A16" s="46"/>
      <c r="B16" s="46" t="s">
        <v>29</v>
      </c>
      <c r="C16" s="117">
        <v>-9.1940999999999995E-2</v>
      </c>
      <c r="D16" s="117">
        <v>1.5799970000000001</v>
      </c>
      <c r="E16" s="117">
        <v>2.0146769999999998</v>
      </c>
      <c r="F16" s="117">
        <v>-2.0499999999999999E-6</v>
      </c>
      <c r="G16" s="117">
        <v>0</v>
      </c>
      <c r="H16" s="117">
        <v>0</v>
      </c>
      <c r="I16" s="117">
        <v>0</v>
      </c>
      <c r="J16" s="117">
        <v>0</v>
      </c>
      <c r="K16" s="117">
        <v>0</v>
      </c>
      <c r="L16" s="117">
        <v>0</v>
      </c>
      <c r="M16" s="117">
        <v>0</v>
      </c>
      <c r="N16" s="117">
        <v>0</v>
      </c>
      <c r="O16" s="117">
        <v>0</v>
      </c>
      <c r="P16" s="117">
        <v>0</v>
      </c>
      <c r="Q16" s="117">
        <v>0</v>
      </c>
      <c r="R16" s="117">
        <v>0</v>
      </c>
      <c r="S16" s="117">
        <v>0</v>
      </c>
      <c r="T16" s="117">
        <v>0</v>
      </c>
      <c r="U16" s="117">
        <v>0</v>
      </c>
      <c r="V16" s="45"/>
      <c r="W16" s="45"/>
      <c r="X16" s="45"/>
      <c r="Y16" s="45"/>
      <c r="Z16" s="45"/>
      <c r="AA16" s="45"/>
      <c r="AB16" s="45"/>
      <c r="AC16" s="45"/>
      <c r="AD16" s="45"/>
      <c r="AE16" s="45"/>
      <c r="AF16" s="45"/>
      <c r="AG16" s="45"/>
      <c r="AH16" s="45"/>
      <c r="AI16" s="45"/>
      <c r="AJ16" s="45"/>
      <c r="AK16" s="45"/>
      <c r="AL16" s="45"/>
      <c r="AM16" s="45"/>
      <c r="AN16" s="45"/>
      <c r="AO16" s="45"/>
      <c r="AP16" s="45"/>
      <c r="AQ16" s="45"/>
      <c r="AR16" s="45"/>
      <c r="AS16" s="45"/>
      <c r="AT16" s="45"/>
      <c r="AU16" s="45"/>
      <c r="AV16" s="45"/>
      <c r="AW16" s="45"/>
      <c r="AX16" s="45"/>
    </row>
    <row r="17" spans="1:54" x14ac:dyDescent="0.2">
      <c r="A17" s="46"/>
      <c r="B17" s="304" t="s">
        <v>183</v>
      </c>
      <c r="C17" s="305">
        <v>0</v>
      </c>
      <c r="D17" s="305">
        <v>0</v>
      </c>
      <c r="E17" s="45"/>
      <c r="F17" s="45"/>
      <c r="G17" s="45"/>
      <c r="H17" s="45"/>
      <c r="I17" s="45"/>
      <c r="J17" s="45"/>
      <c r="K17" s="45"/>
      <c r="L17" s="45"/>
      <c r="M17" s="45"/>
      <c r="N17" s="45"/>
      <c r="O17" s="45"/>
      <c r="P17" s="45"/>
      <c r="Q17" s="45"/>
      <c r="R17" s="45"/>
      <c r="S17" s="45"/>
      <c r="T17" s="45"/>
      <c r="U17" s="45"/>
      <c r="V17" s="45"/>
      <c r="W17" s="45"/>
      <c r="X17" s="45"/>
      <c r="Y17" s="45"/>
      <c r="Z17" s="45"/>
      <c r="AA17" s="45"/>
      <c r="AB17" s="45"/>
      <c r="AC17" s="45"/>
      <c r="AD17" s="45"/>
      <c r="AE17" s="45"/>
      <c r="AF17" s="45"/>
      <c r="AG17" s="45"/>
      <c r="AH17" s="45"/>
      <c r="AI17" s="45"/>
      <c r="AJ17" s="45"/>
      <c r="AK17" s="45"/>
      <c r="AL17" s="45"/>
      <c r="AM17" s="45"/>
      <c r="AN17" s="45"/>
      <c r="AO17" s="45"/>
      <c r="AP17" s="45"/>
      <c r="AQ17" s="45"/>
      <c r="AR17" s="45"/>
      <c r="AS17" s="45"/>
      <c r="AT17" s="45"/>
      <c r="AU17" s="45"/>
      <c r="AV17" s="45"/>
      <c r="AW17" s="45"/>
      <c r="AX17" s="45"/>
      <c r="AY17" s="45"/>
      <c r="AZ17" s="45"/>
    </row>
    <row r="18" spans="1:54" x14ac:dyDescent="0.2">
      <c r="A18" s="46"/>
      <c r="B18" s="46"/>
      <c r="C18" s="45"/>
      <c r="D18" s="45"/>
      <c r="E18" s="45"/>
      <c r="F18" s="45"/>
      <c r="G18" s="45"/>
      <c r="H18" s="45"/>
      <c r="I18" s="45"/>
      <c r="J18" s="45"/>
      <c r="K18" s="45"/>
      <c r="L18" s="45"/>
      <c r="M18" s="45"/>
    </row>
    <row r="19" spans="1:54" x14ac:dyDescent="0.2">
      <c r="A19" s="46"/>
      <c r="B19" s="115" t="s">
        <v>179</v>
      </c>
      <c r="C19" s="45"/>
      <c r="D19" s="45"/>
      <c r="E19" s="45"/>
      <c r="F19" s="45"/>
      <c r="G19" s="45"/>
      <c r="H19" s="45"/>
      <c r="I19" s="45"/>
      <c r="J19" s="45"/>
      <c r="K19" s="45"/>
      <c r="L19" s="45"/>
      <c r="M19" s="45"/>
    </row>
    <row r="20" spans="1:54" x14ac:dyDescent="0.2">
      <c r="A20" s="46"/>
      <c r="B20" s="46" t="s">
        <v>30</v>
      </c>
      <c r="C20" s="118">
        <f t="shared" ref="C20:R20" si="0">(C21+C22+C23+C24-C25)</f>
        <v>18.200000000000003</v>
      </c>
      <c r="D20" s="118">
        <f t="shared" si="0"/>
        <v>18.100000000000001</v>
      </c>
      <c r="E20" s="118">
        <f t="shared" si="0"/>
        <v>18.100000000000001</v>
      </c>
      <c r="F20" s="118">
        <f t="shared" si="0"/>
        <v>18.3</v>
      </c>
      <c r="G20" s="118">
        <f t="shared" si="0"/>
        <v>18.400000000000002</v>
      </c>
      <c r="H20" s="118">
        <f t="shared" si="0"/>
        <v>18.499999999999996</v>
      </c>
      <c r="I20" s="118">
        <f t="shared" si="0"/>
        <v>18.599999999999998</v>
      </c>
      <c r="J20" s="118">
        <f t="shared" si="0"/>
        <v>18.899999999999999</v>
      </c>
      <c r="K20" s="118">
        <f t="shared" si="0"/>
        <v>19.099999999999998</v>
      </c>
      <c r="L20" s="118">
        <f t="shared" si="0"/>
        <v>19.2</v>
      </c>
      <c r="M20" s="118">
        <f t="shared" si="0"/>
        <v>19.299999999999997</v>
      </c>
      <c r="N20" s="118">
        <f t="shared" si="0"/>
        <v>19.399999999999999</v>
      </c>
      <c r="O20" s="118">
        <f t="shared" si="0"/>
        <v>19.599999999999998</v>
      </c>
      <c r="P20" s="118">
        <f t="shared" si="0"/>
        <v>19.799999999999997</v>
      </c>
      <c r="Q20" s="118">
        <f t="shared" si="0"/>
        <v>19.799999999999997</v>
      </c>
      <c r="R20" s="118">
        <f t="shared" si="0"/>
        <v>19.899999999999999</v>
      </c>
      <c r="S20" s="118">
        <f t="shared" ref="S20:U20" si="1">(S21+S22+S23+S24-S25)</f>
        <v>19.999999999999996</v>
      </c>
      <c r="T20" s="118">
        <f t="shared" si="1"/>
        <v>20.2</v>
      </c>
      <c r="U20" s="118">
        <f t="shared" si="1"/>
        <v>20.2</v>
      </c>
      <c r="V20" s="45"/>
      <c r="W20" s="45"/>
      <c r="X20" s="45"/>
      <c r="Y20" s="45"/>
      <c r="Z20" s="45"/>
      <c r="AA20" s="45"/>
      <c r="AB20" s="45"/>
      <c r="AC20" s="45"/>
      <c r="AD20" s="45"/>
      <c r="AE20" s="45"/>
      <c r="AF20" s="45"/>
      <c r="AG20" s="45"/>
      <c r="AH20" s="45"/>
      <c r="AI20" s="45"/>
      <c r="AJ20" s="45"/>
      <c r="AK20" s="45"/>
      <c r="AL20" s="45"/>
      <c r="AM20" s="45"/>
      <c r="AN20" s="45"/>
      <c r="AO20" s="45"/>
      <c r="AP20" s="45"/>
      <c r="AQ20" s="45"/>
      <c r="AR20" s="45"/>
      <c r="AS20" s="45"/>
      <c r="AT20" s="45"/>
      <c r="AU20" s="45"/>
      <c r="AV20" s="45"/>
      <c r="AW20" s="45"/>
      <c r="AX20" s="45"/>
      <c r="AY20" s="45"/>
      <c r="AZ20" s="45"/>
    </row>
    <row r="21" spans="1:54" x14ac:dyDescent="0.2">
      <c r="A21" s="46"/>
      <c r="B21" s="119" t="s">
        <v>31</v>
      </c>
      <c r="C21" s="118">
        <v>6.8000000000000007</v>
      </c>
      <c r="D21" s="118">
        <v>6.8000000000000007</v>
      </c>
      <c r="E21" s="118">
        <v>6.9</v>
      </c>
      <c r="F21" s="118">
        <v>7.0000000000000009</v>
      </c>
      <c r="G21" s="118">
        <v>7.1</v>
      </c>
      <c r="H21" s="118">
        <v>7.1999999999999993</v>
      </c>
      <c r="I21" s="118">
        <v>7.3</v>
      </c>
      <c r="J21" s="118">
        <v>7.3999999999999995</v>
      </c>
      <c r="K21" s="118">
        <v>7.5</v>
      </c>
      <c r="L21" s="118">
        <v>7.6</v>
      </c>
      <c r="M21" s="118">
        <v>7.7</v>
      </c>
      <c r="N21" s="118">
        <v>7.7</v>
      </c>
      <c r="O21" s="118">
        <v>7.8</v>
      </c>
      <c r="P21" s="118">
        <v>7.9</v>
      </c>
      <c r="Q21" s="118">
        <v>7.9</v>
      </c>
      <c r="R21" s="118">
        <v>7.9</v>
      </c>
      <c r="S21" s="118">
        <v>8</v>
      </c>
      <c r="T21" s="118">
        <v>8</v>
      </c>
      <c r="U21" s="118">
        <v>8</v>
      </c>
      <c r="V21" s="45"/>
      <c r="W21" s="45"/>
      <c r="X21" s="45"/>
      <c r="Y21" s="45"/>
      <c r="Z21" s="45"/>
      <c r="AA21" s="45"/>
      <c r="AB21" s="45"/>
      <c r="AC21" s="45"/>
      <c r="AD21" s="45"/>
      <c r="AE21" s="45"/>
      <c r="AF21" s="45"/>
      <c r="AG21" s="45"/>
      <c r="AH21" s="45"/>
      <c r="AI21" s="45"/>
      <c r="AJ21" s="45"/>
      <c r="AK21" s="45"/>
      <c r="AL21" s="45"/>
      <c r="AM21" s="45"/>
      <c r="AN21" s="45"/>
      <c r="AO21" s="45"/>
      <c r="AP21" s="45"/>
      <c r="AQ21" s="45"/>
      <c r="AR21" s="45"/>
      <c r="AS21" s="45"/>
      <c r="AT21" s="45"/>
      <c r="AU21" s="45"/>
      <c r="AV21" s="45"/>
      <c r="AW21" s="45"/>
      <c r="AX21" s="45"/>
      <c r="AY21" s="45"/>
      <c r="AZ21" s="45"/>
    </row>
    <row r="22" spans="1:54" x14ac:dyDescent="0.2">
      <c r="A22" s="46"/>
      <c r="B22" s="120" t="s">
        <v>32</v>
      </c>
      <c r="C22" s="118">
        <v>5.8000000000000007</v>
      </c>
      <c r="D22" s="118">
        <v>5.8000000000000007</v>
      </c>
      <c r="E22" s="118">
        <v>5.8000000000000007</v>
      </c>
      <c r="F22" s="118">
        <v>5.8999999999999995</v>
      </c>
      <c r="G22" s="118">
        <v>5.8999999999999995</v>
      </c>
      <c r="H22" s="118">
        <v>5.8999999999999995</v>
      </c>
      <c r="I22" s="118">
        <v>5.8999999999999995</v>
      </c>
      <c r="J22" s="118">
        <v>6</v>
      </c>
      <c r="K22" s="118">
        <v>6</v>
      </c>
      <c r="L22" s="118">
        <v>6</v>
      </c>
      <c r="M22" s="118">
        <v>6</v>
      </c>
      <c r="N22" s="118">
        <v>6.1</v>
      </c>
      <c r="O22" s="118">
        <v>6.1</v>
      </c>
      <c r="P22" s="118">
        <v>6.1</v>
      </c>
      <c r="Q22" s="118">
        <v>6.1</v>
      </c>
      <c r="R22" s="118">
        <v>6.1</v>
      </c>
      <c r="S22" s="118">
        <v>6.1</v>
      </c>
      <c r="T22" s="118">
        <v>6.2</v>
      </c>
      <c r="U22" s="118">
        <v>6.2</v>
      </c>
      <c r="V22" s="45"/>
      <c r="W22" s="45"/>
      <c r="X22" s="45"/>
      <c r="Y22" s="45"/>
      <c r="Z22" s="45"/>
      <c r="AA22" s="45"/>
      <c r="AB22" s="45"/>
      <c r="AC22" s="45"/>
      <c r="AD22" s="45"/>
      <c r="AE22" s="45"/>
      <c r="AF22" s="45"/>
      <c r="AG22" s="45"/>
      <c r="AH22" s="45"/>
      <c r="AI22" s="45"/>
      <c r="AJ22" s="45"/>
      <c r="AK22" s="45"/>
      <c r="AL22" s="45"/>
      <c r="AM22" s="45"/>
      <c r="AN22" s="45"/>
      <c r="AO22" s="45"/>
      <c r="AP22" s="45"/>
      <c r="AQ22" s="45"/>
      <c r="AR22" s="45"/>
      <c r="AS22" s="45"/>
      <c r="AT22" s="45"/>
      <c r="AU22" s="45"/>
      <c r="AV22" s="45"/>
      <c r="AW22" s="45"/>
      <c r="AX22" s="45"/>
      <c r="AY22" s="45"/>
      <c r="AZ22" s="45"/>
    </row>
    <row r="23" spans="1:54" x14ac:dyDescent="0.2">
      <c r="A23" s="46"/>
      <c r="B23" s="120" t="s">
        <v>33</v>
      </c>
      <c r="C23" s="118">
        <v>3.9</v>
      </c>
      <c r="D23" s="118">
        <v>3.9</v>
      </c>
      <c r="E23" s="118">
        <v>3.9</v>
      </c>
      <c r="F23" s="118">
        <v>4.1000000000000005</v>
      </c>
      <c r="G23" s="118">
        <v>4.1000000000000005</v>
      </c>
      <c r="H23" s="118">
        <v>4.2</v>
      </c>
      <c r="I23" s="118">
        <v>4.2</v>
      </c>
      <c r="J23" s="118">
        <v>4.3</v>
      </c>
      <c r="K23" s="118">
        <v>4.3999999999999995</v>
      </c>
      <c r="L23" s="118">
        <v>4.3999999999999995</v>
      </c>
      <c r="M23" s="118">
        <v>4.5</v>
      </c>
      <c r="N23" s="118">
        <v>4.5</v>
      </c>
      <c r="O23" s="118">
        <v>4.5999999999999996</v>
      </c>
      <c r="P23" s="118">
        <v>4.7</v>
      </c>
      <c r="Q23" s="118">
        <v>4.7</v>
      </c>
      <c r="R23" s="118">
        <v>4.8</v>
      </c>
      <c r="S23" s="118">
        <v>4.8</v>
      </c>
      <c r="T23" s="118">
        <v>4.9000000000000004</v>
      </c>
      <c r="U23" s="118">
        <v>4.9000000000000004</v>
      </c>
      <c r="V23" s="45"/>
      <c r="W23" s="45"/>
      <c r="X23" s="45"/>
      <c r="Y23" s="45"/>
      <c r="Z23" s="45"/>
      <c r="AA23" s="45"/>
      <c r="AB23" s="45"/>
      <c r="AC23" s="45"/>
      <c r="AD23" s="45"/>
      <c r="AE23" s="45"/>
      <c r="AF23" s="45"/>
      <c r="AG23" s="45"/>
      <c r="AH23" s="45"/>
      <c r="AI23" s="45"/>
      <c r="AJ23" s="45"/>
      <c r="AK23" s="45"/>
      <c r="AL23" s="45"/>
      <c r="AM23" s="45"/>
      <c r="AN23" s="45"/>
      <c r="AO23" s="45"/>
      <c r="AP23" s="45"/>
      <c r="AQ23" s="45"/>
      <c r="AR23" s="45"/>
      <c r="AS23" s="45"/>
      <c r="AT23" s="45"/>
      <c r="AU23" s="45"/>
      <c r="AV23" s="45"/>
      <c r="AW23" s="45"/>
      <c r="AX23" s="45"/>
      <c r="AY23" s="45"/>
      <c r="AZ23" s="45"/>
    </row>
    <row r="24" spans="1:54" x14ac:dyDescent="0.2">
      <c r="A24" s="46"/>
      <c r="B24" s="120" t="s">
        <v>34</v>
      </c>
      <c r="C24" s="118">
        <v>4.5999999999999996</v>
      </c>
      <c r="D24" s="118">
        <v>4.5</v>
      </c>
      <c r="E24" s="118">
        <v>4.3999999999999995</v>
      </c>
      <c r="F24" s="118">
        <v>4.3</v>
      </c>
      <c r="G24" s="118">
        <v>4.3</v>
      </c>
      <c r="H24" s="118">
        <v>4.2</v>
      </c>
      <c r="I24" s="118">
        <v>4.2</v>
      </c>
      <c r="J24" s="118">
        <v>4.2</v>
      </c>
      <c r="K24" s="118">
        <v>4.2</v>
      </c>
      <c r="L24" s="118">
        <v>4.2</v>
      </c>
      <c r="M24" s="118">
        <v>4.2</v>
      </c>
      <c r="N24" s="118">
        <v>4.2</v>
      </c>
      <c r="O24" s="118">
        <v>4.2</v>
      </c>
      <c r="P24" s="118">
        <v>4.2</v>
      </c>
      <c r="Q24" s="118">
        <v>4.2</v>
      </c>
      <c r="R24" s="118">
        <v>4.2</v>
      </c>
      <c r="S24" s="118">
        <v>4.2</v>
      </c>
      <c r="T24" s="118">
        <v>4.2</v>
      </c>
      <c r="U24" s="118">
        <v>4.2</v>
      </c>
      <c r="V24" s="45"/>
      <c r="W24" s="45"/>
      <c r="X24" s="45"/>
      <c r="Y24" s="45"/>
      <c r="Z24" s="45"/>
      <c r="AA24" s="45"/>
      <c r="AB24" s="45"/>
      <c r="AC24" s="45"/>
      <c r="AD24" s="45"/>
      <c r="AE24" s="45"/>
      <c r="AF24" s="45"/>
      <c r="AG24" s="45"/>
      <c r="AH24" s="45"/>
      <c r="AI24" s="45"/>
      <c r="AJ24" s="45"/>
      <c r="AK24" s="45"/>
      <c r="AL24" s="45"/>
      <c r="AM24" s="45"/>
      <c r="AN24" s="45"/>
      <c r="AO24" s="45"/>
      <c r="AP24" s="45"/>
      <c r="AQ24" s="45"/>
      <c r="AR24" s="45"/>
      <c r="AS24" s="45"/>
      <c r="AT24" s="45"/>
      <c r="AU24" s="45"/>
      <c r="AV24" s="45"/>
      <c r="AW24" s="45"/>
      <c r="AX24" s="45"/>
      <c r="AY24" s="45"/>
      <c r="AZ24" s="45"/>
    </row>
    <row r="25" spans="1:54" x14ac:dyDescent="0.2">
      <c r="A25" s="46"/>
      <c r="B25" s="120" t="s">
        <v>35</v>
      </c>
      <c r="C25" s="118">
        <v>2.9000000000000004</v>
      </c>
      <c r="D25" s="118">
        <v>2.9000000000000004</v>
      </c>
      <c r="E25" s="118">
        <v>2.9000000000000004</v>
      </c>
      <c r="F25" s="118">
        <v>3</v>
      </c>
      <c r="G25" s="118">
        <v>3</v>
      </c>
      <c r="H25" s="118">
        <v>3</v>
      </c>
      <c r="I25" s="118">
        <v>3</v>
      </c>
      <c r="J25" s="118">
        <v>3</v>
      </c>
      <c r="K25" s="118">
        <v>3</v>
      </c>
      <c r="L25" s="118">
        <v>3</v>
      </c>
      <c r="M25" s="118">
        <v>3.1</v>
      </c>
      <c r="N25" s="118">
        <v>3.1</v>
      </c>
      <c r="O25" s="118">
        <v>3.1</v>
      </c>
      <c r="P25" s="118">
        <v>3.1</v>
      </c>
      <c r="Q25" s="118">
        <v>3.1</v>
      </c>
      <c r="R25" s="118">
        <v>3.1</v>
      </c>
      <c r="S25" s="118">
        <v>3.1</v>
      </c>
      <c r="T25" s="118">
        <v>3.1</v>
      </c>
      <c r="U25" s="118">
        <v>3.1</v>
      </c>
      <c r="V25" s="45"/>
      <c r="W25" s="45"/>
      <c r="X25" s="45"/>
      <c r="Y25" s="45"/>
      <c r="Z25" s="45"/>
      <c r="AA25" s="45"/>
      <c r="AB25" s="45"/>
      <c r="AC25" s="45"/>
      <c r="AD25" s="45"/>
      <c r="AE25" s="45"/>
      <c r="AF25" s="45"/>
      <c r="AG25" s="45"/>
      <c r="AH25" s="45"/>
      <c r="AI25" s="45"/>
      <c r="AJ25" s="45"/>
      <c r="AK25" s="45"/>
      <c r="AL25" s="45"/>
      <c r="AM25" s="45"/>
      <c r="AN25" s="45"/>
      <c r="AO25" s="45"/>
      <c r="AP25" s="45"/>
      <c r="AQ25" s="45"/>
      <c r="AR25" s="45"/>
      <c r="AS25" s="45"/>
      <c r="AT25" s="45"/>
      <c r="AU25" s="45"/>
      <c r="AV25" s="45"/>
      <c r="AW25" s="45"/>
      <c r="AX25" s="45"/>
      <c r="AY25" s="45"/>
      <c r="AZ25" s="45"/>
    </row>
    <row r="26" spans="1:54" x14ac:dyDescent="0.2">
      <c r="A26" s="46"/>
      <c r="B26" s="119" t="s">
        <v>36</v>
      </c>
      <c r="C26" s="118">
        <v>0.62657079999999998</v>
      </c>
      <c r="D26" s="118">
        <v>0.62083049999999995</v>
      </c>
      <c r="E26" s="118">
        <v>0.61509020000000003</v>
      </c>
      <c r="F26" s="118">
        <v>0.60934980000000005</v>
      </c>
      <c r="G26" s="118">
        <v>0.60360959999999997</v>
      </c>
      <c r="H26" s="118">
        <v>0.59786930000000005</v>
      </c>
      <c r="I26" s="118">
        <v>0.59212889999999996</v>
      </c>
      <c r="J26" s="118">
        <v>0.58638860000000004</v>
      </c>
      <c r="K26" s="118">
        <v>0.58064830000000001</v>
      </c>
      <c r="L26" s="118">
        <v>0.57490799999999997</v>
      </c>
      <c r="M26" s="118">
        <v>0.56916770000000005</v>
      </c>
      <c r="N26" s="118">
        <v>0.56342729999999996</v>
      </c>
      <c r="O26" s="118">
        <v>0.55768700000000004</v>
      </c>
      <c r="P26" s="118">
        <v>0.55194679999999996</v>
      </c>
      <c r="Q26" s="118">
        <v>0.54620639999999998</v>
      </c>
      <c r="R26" s="118">
        <v>0.54046609999999995</v>
      </c>
      <c r="S26" s="118">
        <v>0.53472580000000003</v>
      </c>
      <c r="T26" s="118">
        <v>0.5289855</v>
      </c>
      <c r="U26" s="118">
        <v>0.52324519999999997</v>
      </c>
      <c r="V26" s="45"/>
      <c r="W26" s="45"/>
      <c r="X26" s="45"/>
      <c r="Y26" s="45"/>
      <c r="Z26" s="45"/>
      <c r="AA26" s="45"/>
      <c r="AB26" s="45"/>
      <c r="AC26" s="45"/>
      <c r="AD26" s="45"/>
      <c r="AE26" s="45"/>
      <c r="AF26" s="45"/>
      <c r="AG26" s="45"/>
      <c r="AH26" s="45"/>
      <c r="AI26" s="45"/>
      <c r="AJ26" s="45"/>
      <c r="AK26" s="45"/>
      <c r="AL26" s="45"/>
      <c r="AM26" s="45"/>
      <c r="AN26" s="45"/>
      <c r="AO26" s="45"/>
      <c r="AP26" s="45"/>
      <c r="AQ26" s="45"/>
      <c r="AR26" s="45"/>
      <c r="AS26" s="45"/>
      <c r="AT26" s="45"/>
      <c r="AU26" s="45"/>
      <c r="AV26" s="45"/>
      <c r="AW26" s="45"/>
      <c r="AX26" s="45"/>
      <c r="AY26" s="45"/>
      <c r="AZ26" s="45"/>
    </row>
    <row r="27" spans="1:54" x14ac:dyDescent="0.2">
      <c r="A27" s="46"/>
      <c r="B27" s="46"/>
      <c r="C27" s="46"/>
      <c r="D27" s="46"/>
      <c r="E27" s="46"/>
      <c r="F27" s="46"/>
      <c r="G27" s="46"/>
      <c r="H27" s="46"/>
      <c r="I27" s="46"/>
      <c r="J27" s="46"/>
      <c r="K27" s="46"/>
      <c r="L27" s="46"/>
      <c r="M27" s="46"/>
    </row>
    <row r="28" spans="1:54" s="112" customFormat="1" x14ac:dyDescent="0.2">
      <c r="A28" s="121"/>
      <c r="B28" s="113" t="s">
        <v>211</v>
      </c>
      <c r="C28" s="121"/>
      <c r="D28" s="121"/>
      <c r="E28" s="121"/>
      <c r="F28" s="121"/>
      <c r="G28" s="121"/>
      <c r="H28" s="121"/>
      <c r="I28" s="121"/>
      <c r="J28" s="121"/>
      <c r="K28" s="121"/>
      <c r="L28" s="121"/>
      <c r="M28" s="121"/>
    </row>
    <row r="29" spans="1:54" x14ac:dyDescent="0.2">
      <c r="A29" s="46"/>
      <c r="B29" s="115" t="s">
        <v>37</v>
      </c>
      <c r="C29" s="46"/>
      <c r="D29" s="46"/>
      <c r="E29" s="327"/>
      <c r="F29" s="327"/>
      <c r="G29" s="327"/>
      <c r="H29" s="327"/>
      <c r="I29" s="327"/>
      <c r="J29" s="327"/>
      <c r="K29" s="327"/>
      <c r="L29" s="327"/>
      <c r="M29" s="327"/>
      <c r="N29" s="327"/>
      <c r="O29" s="327"/>
      <c r="P29" s="327"/>
      <c r="Q29" s="327"/>
      <c r="R29" s="327"/>
      <c r="S29" s="327"/>
      <c r="T29" s="327"/>
      <c r="U29" s="327"/>
      <c r="V29" s="326"/>
      <c r="W29" s="326"/>
      <c r="X29" s="326"/>
      <c r="Y29" s="326"/>
      <c r="Z29" s="326"/>
      <c r="AA29" s="326"/>
      <c r="AB29" s="326"/>
      <c r="AC29" s="326"/>
      <c r="AD29" s="326"/>
      <c r="AE29" s="326"/>
      <c r="AF29" s="326"/>
      <c r="AG29" s="326"/>
      <c r="AH29" s="326"/>
      <c r="AI29" s="326"/>
      <c r="AJ29" s="326"/>
      <c r="AK29" s="326"/>
      <c r="AL29" s="326"/>
      <c r="AM29" s="326"/>
      <c r="AN29" s="326"/>
      <c r="AO29" s="326"/>
      <c r="AP29" s="326"/>
      <c r="AQ29" s="326"/>
      <c r="AR29" s="326"/>
      <c r="AS29" s="326"/>
      <c r="AT29" s="326"/>
      <c r="AU29" s="326"/>
      <c r="AV29" s="326"/>
      <c r="AW29" s="326"/>
      <c r="AX29" s="326"/>
      <c r="AY29" s="326"/>
      <c r="AZ29" s="326"/>
      <c r="BA29" s="326"/>
      <c r="BB29" s="326"/>
    </row>
    <row r="30" spans="1:54" x14ac:dyDescent="0.2">
      <c r="A30" s="46"/>
      <c r="B30" s="46" t="s">
        <v>38</v>
      </c>
      <c r="C30" s="123">
        <v>1.081005</v>
      </c>
      <c r="D30" s="123">
        <v>1.6966699999999999</v>
      </c>
      <c r="E30" s="123">
        <v>1.273747</v>
      </c>
      <c r="F30" s="123">
        <v>1.5818650000000001</v>
      </c>
      <c r="G30" s="123">
        <v>1.5213989999999999</v>
      </c>
      <c r="H30" s="123">
        <v>1.41368</v>
      </c>
      <c r="I30" s="123">
        <v>1.393831</v>
      </c>
      <c r="J30" s="123">
        <v>1.069126</v>
      </c>
      <c r="K30" s="123">
        <v>1.0343100000000001</v>
      </c>
      <c r="L30" s="123">
        <v>1.0125310000000001</v>
      </c>
      <c r="M30" s="123">
        <v>1.0265919999999999</v>
      </c>
      <c r="N30" s="123">
        <v>1.054951</v>
      </c>
      <c r="O30" s="124">
        <v>1.1332990000000001</v>
      </c>
      <c r="P30" s="124">
        <v>1.211654</v>
      </c>
      <c r="Q30" s="124">
        <v>1.290001</v>
      </c>
      <c r="R30" s="124">
        <v>1.4500010000000001</v>
      </c>
      <c r="S30" s="124">
        <v>1.609996</v>
      </c>
      <c r="T30" s="124">
        <v>1.6599950000000001</v>
      </c>
      <c r="U30" s="124">
        <v>1.7100040000000001</v>
      </c>
      <c r="V30" s="122"/>
      <c r="W30" s="122"/>
      <c r="X30" s="122"/>
      <c r="Y30" s="122"/>
      <c r="Z30" s="122"/>
      <c r="AA30" s="122"/>
      <c r="AB30" s="122"/>
      <c r="AC30" s="122"/>
      <c r="AD30" s="122"/>
      <c r="AE30" s="122"/>
      <c r="AF30" s="122"/>
      <c r="AG30" s="122"/>
      <c r="AH30" s="122"/>
      <c r="AI30" s="122"/>
      <c r="AJ30" s="122"/>
      <c r="AK30" s="122"/>
      <c r="AL30" s="122"/>
      <c r="AM30" s="122"/>
      <c r="AN30" s="122"/>
      <c r="AO30" s="122"/>
      <c r="AP30" s="122"/>
      <c r="AQ30" s="122"/>
      <c r="AR30" s="122"/>
      <c r="AS30" s="122"/>
      <c r="AT30" s="122"/>
      <c r="AU30" s="122"/>
      <c r="AV30" s="122"/>
      <c r="AW30" s="122"/>
      <c r="AX30" s="122"/>
      <c r="AY30" s="122"/>
      <c r="AZ30" s="122"/>
    </row>
    <row r="31" spans="1:54" x14ac:dyDescent="0.2">
      <c r="A31" s="46"/>
      <c r="B31" s="263" t="s">
        <v>199</v>
      </c>
      <c r="C31" s="122">
        <v>915.50049999999999</v>
      </c>
      <c r="D31" s="327"/>
      <c r="E31" s="327"/>
      <c r="F31" s="327"/>
      <c r="G31" s="327"/>
      <c r="H31" s="327"/>
      <c r="I31" s="327"/>
      <c r="J31" s="327"/>
      <c r="K31" s="327"/>
      <c r="L31" s="327"/>
      <c r="M31" s="327"/>
      <c r="N31" s="327"/>
      <c r="O31" s="327"/>
      <c r="P31" s="327"/>
      <c r="Q31" s="327"/>
      <c r="R31" s="327"/>
      <c r="S31" s="327"/>
      <c r="T31" s="327"/>
      <c r="U31" s="327"/>
      <c r="V31" s="326"/>
      <c r="W31" s="326"/>
      <c r="X31" s="326"/>
      <c r="Y31" s="326"/>
      <c r="Z31" s="326"/>
      <c r="AA31" s="326"/>
      <c r="AB31" s="326"/>
      <c r="AC31" s="326"/>
      <c r="AD31" s="326"/>
      <c r="AE31" s="326"/>
      <c r="AF31" s="326"/>
      <c r="AG31" s="326"/>
      <c r="AH31" s="326"/>
      <c r="AI31" s="326"/>
      <c r="AJ31" s="326"/>
      <c r="AK31" s="326"/>
      <c r="AL31" s="326"/>
      <c r="AM31" s="326"/>
      <c r="AN31" s="326"/>
      <c r="AO31" s="326"/>
      <c r="AP31" s="326"/>
      <c r="AQ31" s="326"/>
      <c r="AR31" s="326"/>
      <c r="AS31" s="326"/>
      <c r="AT31" s="326"/>
      <c r="AU31" s="326"/>
      <c r="AV31" s="326"/>
      <c r="AW31" s="326"/>
      <c r="AX31" s="326"/>
      <c r="AY31" s="326"/>
      <c r="AZ31" s="326"/>
      <c r="BA31" s="326"/>
      <c r="BB31" s="326"/>
    </row>
    <row r="32" spans="1:54" x14ac:dyDescent="0.2">
      <c r="A32" s="46"/>
      <c r="B32" s="115" t="s">
        <v>40</v>
      </c>
      <c r="C32" s="46"/>
      <c r="D32" s="46"/>
      <c r="E32" s="46"/>
      <c r="F32" s="46"/>
      <c r="G32" s="46"/>
      <c r="H32" s="46"/>
      <c r="I32" s="46"/>
      <c r="J32" s="46"/>
      <c r="K32" s="46"/>
      <c r="L32" s="46"/>
      <c r="M32" s="46"/>
      <c r="N32" s="46"/>
      <c r="O32" s="46"/>
      <c r="P32" s="46"/>
      <c r="Q32" s="46"/>
      <c r="R32" s="46"/>
      <c r="S32" s="46"/>
      <c r="T32" s="46"/>
      <c r="U32" s="46"/>
      <c r="V32" s="46"/>
      <c r="W32" s="46"/>
      <c r="X32" s="46"/>
      <c r="Y32" s="46"/>
      <c r="Z32" s="46"/>
      <c r="AA32" s="46"/>
      <c r="AB32" s="46"/>
      <c r="AC32" s="46"/>
      <c r="AD32" s="46"/>
      <c r="AE32" s="46"/>
      <c r="AF32" s="46"/>
      <c r="AG32" s="46"/>
      <c r="AH32" s="46"/>
      <c r="AI32" s="46"/>
      <c r="AJ32" s="46"/>
      <c r="AK32" s="46"/>
      <c r="AL32" s="46"/>
      <c r="AM32" s="46"/>
      <c r="AN32" s="46"/>
      <c r="AO32" s="46"/>
      <c r="AP32" s="46"/>
      <c r="AQ32" s="46"/>
      <c r="AR32" s="46"/>
      <c r="AS32" s="46"/>
      <c r="AT32" s="46"/>
      <c r="AU32" s="46"/>
      <c r="AV32" s="46"/>
      <c r="AW32" s="46"/>
      <c r="AX32" s="46"/>
      <c r="AY32" s="46"/>
      <c r="AZ32" s="46"/>
    </row>
    <row r="33" spans="1:54" x14ac:dyDescent="0.2">
      <c r="A33" s="46"/>
      <c r="B33" s="46" t="s">
        <v>38</v>
      </c>
      <c r="C33" s="123">
        <v>1.8242259999999999</v>
      </c>
      <c r="D33" s="123">
        <v>1.6562939999999999</v>
      </c>
      <c r="E33" s="123">
        <v>1.4262570000000001</v>
      </c>
      <c r="F33" s="123">
        <v>1.292883</v>
      </c>
      <c r="G33" s="123">
        <v>1.2437400000000001</v>
      </c>
      <c r="H33" s="123">
        <v>1.137065</v>
      </c>
      <c r="I33" s="123">
        <v>1.1180270000000001</v>
      </c>
      <c r="J33" s="123">
        <v>1.0691280000000001</v>
      </c>
      <c r="K33" s="123">
        <v>1.0343100000000001</v>
      </c>
      <c r="L33" s="123">
        <v>1.0125299999999999</v>
      </c>
      <c r="M33" s="123">
        <v>1.026594</v>
      </c>
      <c r="N33" s="123">
        <v>1.054945</v>
      </c>
      <c r="O33" s="124">
        <v>1.133297</v>
      </c>
      <c r="P33" s="124">
        <v>1.2116480000000001</v>
      </c>
      <c r="Q33" s="124">
        <v>1.29</v>
      </c>
      <c r="R33" s="124">
        <v>1.45</v>
      </c>
      <c r="S33" s="124">
        <v>1.61</v>
      </c>
      <c r="T33" s="124">
        <v>1.66</v>
      </c>
      <c r="U33" s="124">
        <v>1.71</v>
      </c>
      <c r="V33" s="122"/>
      <c r="W33" s="122"/>
      <c r="X33" s="122"/>
      <c r="Y33" s="122"/>
      <c r="Z33" s="122"/>
      <c r="AA33" s="122"/>
      <c r="AB33" s="122"/>
      <c r="AC33" s="122"/>
      <c r="AD33" s="122"/>
      <c r="AE33" s="122"/>
      <c r="AF33" s="122"/>
      <c r="AG33" s="122"/>
      <c r="AH33" s="122"/>
      <c r="AI33" s="122"/>
      <c r="AJ33" s="122"/>
      <c r="AK33" s="122"/>
      <c r="AL33" s="122"/>
      <c r="AM33" s="122"/>
      <c r="AN33" s="122"/>
      <c r="AO33" s="122"/>
      <c r="AP33" s="122"/>
      <c r="AQ33" s="122"/>
      <c r="AR33" s="122"/>
      <c r="AS33" s="122"/>
      <c r="AT33" s="122"/>
      <c r="AU33" s="122"/>
      <c r="AV33" s="122"/>
      <c r="AW33" s="122"/>
      <c r="AX33" s="122"/>
      <c r="AY33" s="122"/>
      <c r="AZ33" s="122"/>
    </row>
    <row r="34" spans="1:54" x14ac:dyDescent="0.2">
      <c r="A34" s="46"/>
      <c r="B34" s="263" t="s">
        <v>199</v>
      </c>
      <c r="C34" s="122">
        <v>924.64139999999998</v>
      </c>
      <c r="D34" s="327"/>
      <c r="E34" s="327"/>
      <c r="F34" s="327"/>
      <c r="G34" s="327"/>
      <c r="H34" s="327"/>
      <c r="I34" s="327"/>
      <c r="J34" s="327"/>
      <c r="K34" s="327"/>
      <c r="L34" s="327"/>
      <c r="M34" s="327"/>
      <c r="N34" s="327"/>
      <c r="O34" s="327"/>
      <c r="P34" s="327"/>
      <c r="Q34" s="327"/>
      <c r="R34" s="327"/>
      <c r="S34" s="327"/>
      <c r="T34" s="327"/>
      <c r="U34" s="327"/>
      <c r="V34" s="328"/>
      <c r="W34" s="328"/>
      <c r="X34" s="328"/>
      <c r="Y34" s="328"/>
      <c r="Z34" s="328"/>
      <c r="AA34" s="328"/>
      <c r="AB34" s="328"/>
      <c r="AC34" s="328"/>
      <c r="AD34" s="328"/>
      <c r="AE34" s="328"/>
      <c r="AF34" s="328"/>
      <c r="AG34" s="328"/>
      <c r="AH34" s="328"/>
      <c r="AI34" s="328"/>
      <c r="AJ34" s="328"/>
      <c r="AK34" s="328"/>
      <c r="AL34" s="328"/>
      <c r="AM34" s="328"/>
      <c r="AN34" s="328"/>
      <c r="AO34" s="328"/>
      <c r="AP34" s="328"/>
      <c r="AQ34" s="328"/>
      <c r="AR34" s="328"/>
      <c r="AS34" s="328"/>
      <c r="AT34" s="328"/>
      <c r="AU34" s="328"/>
      <c r="AV34" s="328"/>
      <c r="AW34" s="328"/>
      <c r="AX34" s="328"/>
      <c r="AY34" s="328"/>
      <c r="AZ34" s="328"/>
      <c r="BA34" s="326"/>
      <c r="BB34" s="326"/>
    </row>
    <row r="35" spans="1:54" x14ac:dyDescent="0.2">
      <c r="A35" s="46"/>
      <c r="B35" s="263"/>
      <c r="C35" s="327"/>
      <c r="D35" s="327"/>
      <c r="E35" s="327"/>
      <c r="F35" s="327"/>
      <c r="G35" s="327"/>
      <c r="H35" s="327"/>
      <c r="I35" s="327"/>
      <c r="J35" s="327"/>
      <c r="K35" s="327"/>
      <c r="L35" s="327"/>
      <c r="M35" s="327"/>
      <c r="N35" s="327"/>
      <c r="O35" s="327"/>
      <c r="P35" s="327"/>
      <c r="Q35" s="327"/>
      <c r="R35" s="327"/>
      <c r="S35" s="327"/>
      <c r="T35" s="327"/>
      <c r="U35" s="327"/>
      <c r="V35" s="328"/>
      <c r="W35" s="328"/>
      <c r="X35" s="328"/>
      <c r="Y35" s="328"/>
      <c r="Z35" s="328"/>
      <c r="AA35" s="328"/>
      <c r="AB35" s="328"/>
      <c r="AC35" s="328"/>
      <c r="AD35" s="328"/>
      <c r="AE35" s="328"/>
      <c r="AF35" s="328"/>
      <c r="AG35" s="328"/>
      <c r="AH35" s="328"/>
      <c r="AI35" s="328"/>
      <c r="AJ35" s="328"/>
      <c r="AK35" s="328"/>
      <c r="AL35" s="328"/>
      <c r="AM35" s="328"/>
      <c r="AN35" s="328"/>
      <c r="AO35" s="328"/>
      <c r="AP35" s="328"/>
      <c r="AQ35" s="328"/>
      <c r="AR35" s="328"/>
      <c r="AS35" s="328"/>
      <c r="AT35" s="328"/>
      <c r="AU35" s="328"/>
      <c r="AV35" s="328"/>
      <c r="AW35" s="328"/>
      <c r="AX35" s="328"/>
      <c r="AY35" s="328"/>
      <c r="AZ35" s="328"/>
      <c r="BA35" s="326"/>
      <c r="BB35" s="326"/>
    </row>
    <row r="36" spans="1:54" s="112" customFormat="1" x14ac:dyDescent="0.2">
      <c r="A36" s="121"/>
      <c r="B36" s="113" t="s">
        <v>208</v>
      </c>
      <c r="C36" s="121"/>
      <c r="D36" s="121"/>
      <c r="E36" s="121"/>
      <c r="F36" s="121"/>
      <c r="G36" s="121"/>
      <c r="H36" s="121"/>
      <c r="I36" s="121"/>
      <c r="J36" s="121"/>
      <c r="K36" s="121"/>
      <c r="L36" s="121"/>
      <c r="M36" s="121"/>
      <c r="N36" s="121"/>
      <c r="O36" s="121"/>
      <c r="P36" s="121"/>
      <c r="Q36" s="121"/>
      <c r="R36" s="121"/>
      <c r="S36" s="121"/>
      <c r="T36" s="121"/>
      <c r="U36" s="121"/>
      <c r="V36" s="121"/>
      <c r="W36" s="121"/>
      <c r="X36" s="121"/>
      <c r="Y36" s="121"/>
      <c r="Z36" s="121"/>
      <c r="AA36" s="121"/>
      <c r="AB36" s="121"/>
      <c r="AC36" s="121"/>
      <c r="AD36" s="121"/>
      <c r="AE36" s="121"/>
      <c r="AF36" s="121"/>
      <c r="AG36" s="121"/>
      <c r="AH36" s="121"/>
      <c r="AI36" s="121"/>
      <c r="AJ36" s="121"/>
      <c r="AK36" s="121"/>
      <c r="AL36" s="121"/>
      <c r="AM36" s="121"/>
      <c r="AN36" s="121"/>
      <c r="AO36" s="121"/>
      <c r="AP36" s="121"/>
      <c r="AQ36" s="121"/>
      <c r="AR36" s="121"/>
      <c r="AS36" s="121"/>
      <c r="AT36" s="121"/>
      <c r="AU36" s="121"/>
      <c r="AV36" s="121"/>
      <c r="AW36" s="121"/>
      <c r="AX36" s="121"/>
      <c r="AY36" s="121"/>
      <c r="AZ36" s="121"/>
    </row>
    <row r="37" spans="1:54" x14ac:dyDescent="0.2">
      <c r="A37" s="46"/>
      <c r="B37" s="46" t="s">
        <v>41</v>
      </c>
      <c r="C37" s="117">
        <v>1.6465860000000001</v>
      </c>
      <c r="D37" s="117">
        <v>1.72</v>
      </c>
      <c r="E37" s="117">
        <v>1.7322979999999999</v>
      </c>
      <c r="F37" s="117">
        <v>1.8261860000000001</v>
      </c>
      <c r="G37" s="45"/>
      <c r="H37" s="45"/>
      <c r="I37" s="45"/>
      <c r="J37" s="45"/>
      <c r="K37" s="45"/>
      <c r="L37" s="45"/>
      <c r="M37" s="45"/>
      <c r="N37" s="45"/>
      <c r="O37" s="45"/>
      <c r="P37" s="45"/>
      <c r="Q37" s="45"/>
      <c r="R37" s="45"/>
      <c r="S37" s="45"/>
      <c r="T37" s="45"/>
      <c r="U37" s="45"/>
      <c r="V37" s="45"/>
      <c r="W37" s="45"/>
      <c r="X37" s="45"/>
      <c r="Y37" s="45"/>
      <c r="Z37" s="45"/>
      <c r="AA37" s="45"/>
      <c r="AB37" s="45"/>
      <c r="AC37" s="45"/>
      <c r="AD37" s="45"/>
      <c r="AE37" s="45"/>
      <c r="AF37" s="45"/>
      <c r="AG37" s="45"/>
      <c r="AH37" s="45"/>
      <c r="AI37" s="45"/>
      <c r="AJ37" s="45"/>
      <c r="AK37" s="45"/>
      <c r="AL37" s="45"/>
      <c r="AM37" s="45"/>
      <c r="AN37" s="45"/>
      <c r="AO37" s="45"/>
      <c r="AP37" s="45"/>
      <c r="AQ37" s="45"/>
      <c r="AR37" s="45"/>
      <c r="AS37" s="45"/>
      <c r="AT37" s="45"/>
      <c r="AU37" s="45"/>
      <c r="AV37" s="45"/>
      <c r="AW37" s="45"/>
      <c r="AX37" s="45"/>
      <c r="AY37" s="45"/>
      <c r="AZ37" s="45"/>
    </row>
    <row r="38" spans="1:54" x14ac:dyDescent="0.2">
      <c r="A38" s="46"/>
      <c r="B38" s="119" t="s">
        <v>42</v>
      </c>
      <c r="C38" s="117">
        <v>3.5708329999999999</v>
      </c>
      <c r="D38" s="253">
        <v>2.1725829999999999</v>
      </c>
      <c r="E38" s="320">
        <v>1.91225</v>
      </c>
      <c r="F38" s="254">
        <v>2.024375</v>
      </c>
    </row>
    <row r="39" spans="1:54" x14ac:dyDescent="0.2">
      <c r="A39" s="46"/>
      <c r="B39" s="119" t="s">
        <v>43</v>
      </c>
      <c r="C39" s="117">
        <v>2.6204999999999998</v>
      </c>
      <c r="D39" s="255">
        <v>2.78965</v>
      </c>
      <c r="E39" s="321">
        <v>2.8949530000000001</v>
      </c>
      <c r="F39" s="256">
        <v>3.0816759999999999</v>
      </c>
    </row>
    <row r="40" spans="1:54" x14ac:dyDescent="0.2">
      <c r="A40" s="46"/>
      <c r="B40" s="120"/>
      <c r="C40" s="125"/>
      <c r="D40" s="252" t="s">
        <v>48</v>
      </c>
      <c r="E40" s="125"/>
      <c r="F40" s="125"/>
      <c r="G40" s="125"/>
      <c r="H40" s="125"/>
      <c r="I40" s="125"/>
      <c r="J40" s="125"/>
      <c r="K40" s="125"/>
      <c r="L40" s="125"/>
      <c r="M40" s="125"/>
      <c r="N40" s="125"/>
      <c r="O40" s="125"/>
      <c r="P40" s="125"/>
      <c r="Q40" s="125"/>
      <c r="R40" s="125"/>
      <c r="S40" s="125"/>
      <c r="T40" s="125"/>
      <c r="U40" s="125"/>
      <c r="V40" s="45"/>
      <c r="W40" s="45"/>
      <c r="X40" s="45"/>
      <c r="Y40" s="45"/>
      <c r="Z40" s="45"/>
      <c r="AA40" s="45"/>
      <c r="AB40" s="45"/>
      <c r="AC40" s="45"/>
      <c r="AD40" s="45"/>
      <c r="AE40" s="45"/>
      <c r="AF40" s="45"/>
      <c r="AG40" s="45"/>
      <c r="AH40" s="45"/>
      <c r="AI40" s="45"/>
      <c r="AJ40" s="45"/>
      <c r="AK40" s="45"/>
      <c r="AL40" s="45"/>
      <c r="AM40" s="45"/>
      <c r="AN40" s="45"/>
      <c r="AO40" s="45"/>
      <c r="AP40" s="45"/>
      <c r="AQ40" s="45"/>
      <c r="AR40" s="45"/>
      <c r="AS40" s="45"/>
      <c r="AT40" s="45"/>
      <c r="AU40" s="45"/>
      <c r="AV40" s="45"/>
      <c r="AW40" s="45"/>
      <c r="AX40" s="45"/>
      <c r="AY40" s="45"/>
      <c r="AZ40" s="45"/>
    </row>
    <row r="41" spans="1:54" s="112" customFormat="1" x14ac:dyDescent="0.2">
      <c r="A41" s="121"/>
      <c r="B41" s="126" t="s">
        <v>209</v>
      </c>
      <c r="C41" s="127"/>
      <c r="D41" s="127"/>
      <c r="E41" s="128"/>
      <c r="F41" s="128"/>
      <c r="G41" s="128"/>
      <c r="H41" s="128"/>
      <c r="I41" s="128"/>
      <c r="J41" s="128"/>
      <c r="K41" s="128"/>
      <c r="L41" s="128"/>
      <c r="M41" s="128"/>
      <c r="N41" s="128"/>
      <c r="O41" s="128"/>
      <c r="P41" s="128"/>
      <c r="Q41" s="128"/>
      <c r="R41" s="128"/>
      <c r="S41" s="128"/>
      <c r="T41" s="128"/>
      <c r="U41" s="128"/>
      <c r="V41" s="127"/>
      <c r="W41" s="127"/>
      <c r="X41" s="127"/>
      <c r="Y41" s="127"/>
      <c r="Z41" s="127"/>
      <c r="AA41" s="127"/>
      <c r="AB41" s="127"/>
      <c r="AC41" s="127"/>
      <c r="AD41" s="127"/>
      <c r="AE41" s="127"/>
      <c r="AF41" s="127"/>
      <c r="AG41" s="127"/>
      <c r="AH41" s="127"/>
      <c r="AI41" s="127"/>
      <c r="AJ41" s="127"/>
      <c r="AK41" s="127"/>
      <c r="AL41" s="127"/>
      <c r="AM41" s="127"/>
      <c r="AN41" s="127"/>
      <c r="AO41" s="127"/>
      <c r="AP41" s="127"/>
      <c r="AQ41" s="127"/>
      <c r="AR41" s="127"/>
      <c r="AS41" s="127"/>
      <c r="AT41" s="127"/>
      <c r="AU41" s="127"/>
      <c r="AV41" s="127"/>
      <c r="AW41" s="127"/>
      <c r="AX41" s="127"/>
      <c r="AY41" s="127"/>
      <c r="AZ41" s="127"/>
    </row>
    <row r="42" spans="1:54" x14ac:dyDescent="0.2">
      <c r="A42" s="46"/>
      <c r="B42" s="46" t="s">
        <v>44</v>
      </c>
      <c r="C42" s="117">
        <v>5.7442140000000004</v>
      </c>
      <c r="D42" s="117">
        <v>3.1543869999999998</v>
      </c>
      <c r="E42" s="117">
        <v>3.262934</v>
      </c>
      <c r="F42" s="117">
        <v>2.103313</v>
      </c>
      <c r="G42" s="45"/>
      <c r="H42" s="45"/>
      <c r="I42" s="45"/>
      <c r="J42" s="45"/>
      <c r="K42" s="45"/>
      <c r="L42" s="45"/>
      <c r="M42" s="45"/>
      <c r="N42" s="45"/>
      <c r="O42" s="45"/>
      <c r="P42" s="45"/>
      <c r="Q42" s="45"/>
      <c r="R42" s="45"/>
      <c r="S42" s="45"/>
      <c r="T42" s="45"/>
      <c r="U42" s="45"/>
      <c r="V42" s="45"/>
      <c r="W42" s="45"/>
      <c r="X42" s="45"/>
      <c r="Y42" s="45"/>
      <c r="Z42" s="45"/>
      <c r="AA42" s="45"/>
      <c r="AB42" s="45"/>
      <c r="AC42" s="45"/>
      <c r="AD42" s="45"/>
      <c r="AE42" s="45"/>
      <c r="AF42" s="45"/>
      <c r="AG42" s="45"/>
      <c r="AH42" s="45"/>
      <c r="AI42" s="45"/>
      <c r="AJ42" s="45"/>
      <c r="AK42" s="45"/>
      <c r="AL42" s="45"/>
      <c r="AM42" s="45"/>
      <c r="AN42" s="45"/>
      <c r="AO42" s="45"/>
      <c r="AP42" s="45"/>
      <c r="AQ42" s="45"/>
      <c r="AR42" s="45"/>
      <c r="AS42" s="45"/>
      <c r="AT42" s="45"/>
      <c r="AU42" s="45"/>
      <c r="AV42" s="45"/>
      <c r="AW42" s="45"/>
      <c r="AX42" s="45"/>
      <c r="AY42" s="45"/>
      <c r="AZ42" s="45"/>
    </row>
    <row r="43" spans="1:54" x14ac:dyDescent="0.2">
      <c r="A43" s="46"/>
    </row>
    <row r="44" spans="1:54" s="112" customFormat="1" x14ac:dyDescent="0.2">
      <c r="A44" s="121"/>
      <c r="B44" s="126" t="s">
        <v>210</v>
      </c>
      <c r="C44" s="127"/>
      <c r="D44" s="127"/>
      <c r="E44" s="128"/>
      <c r="F44" s="128"/>
      <c r="G44" s="128"/>
      <c r="H44" s="128"/>
      <c r="I44" s="128"/>
      <c r="J44" s="128"/>
      <c r="K44" s="128"/>
      <c r="L44" s="128"/>
      <c r="M44" s="128"/>
      <c r="N44" s="128"/>
      <c r="O44" s="128"/>
      <c r="P44" s="128"/>
      <c r="Q44" s="128"/>
      <c r="R44" s="128"/>
      <c r="S44" s="128"/>
      <c r="T44" s="128"/>
      <c r="U44" s="128"/>
      <c r="V44" s="127"/>
      <c r="W44" s="127"/>
      <c r="X44" s="127"/>
      <c r="Y44" s="127"/>
      <c r="Z44" s="127"/>
      <c r="AA44" s="127"/>
      <c r="AB44" s="127"/>
      <c r="AC44" s="127"/>
      <c r="AD44" s="127"/>
      <c r="AE44" s="127"/>
      <c r="AF44" s="127"/>
      <c r="AG44" s="127"/>
      <c r="AH44" s="127"/>
      <c r="AI44" s="127"/>
      <c r="AJ44" s="127"/>
      <c r="AK44" s="127"/>
      <c r="AL44" s="127"/>
      <c r="AM44" s="127"/>
      <c r="AN44" s="127"/>
      <c r="AO44" s="127"/>
      <c r="AP44" s="127"/>
      <c r="AQ44" s="127"/>
      <c r="AR44" s="127"/>
      <c r="AS44" s="127"/>
      <c r="AT44" s="127"/>
      <c r="AU44" s="127"/>
      <c r="AV44" s="127"/>
      <c r="AW44" s="127"/>
      <c r="AX44" s="127"/>
      <c r="AY44" s="127"/>
      <c r="AZ44" s="127"/>
    </row>
    <row r="45" spans="1:54" x14ac:dyDescent="0.2">
      <c r="A45" s="46"/>
      <c r="B45" s="46" t="s">
        <v>15</v>
      </c>
      <c r="C45" s="117">
        <v>6.2115936893699919</v>
      </c>
      <c r="D45" s="117">
        <v>7.2645884583744351</v>
      </c>
      <c r="E45" s="45"/>
      <c r="F45" s="45"/>
      <c r="G45" s="45"/>
      <c r="H45" s="45"/>
      <c r="I45" s="45"/>
      <c r="J45" s="45"/>
      <c r="K45" s="45"/>
      <c r="L45" s="45"/>
      <c r="M45" s="45"/>
      <c r="N45" s="45"/>
      <c r="O45" s="45"/>
      <c r="P45" s="45"/>
      <c r="Q45" s="45"/>
      <c r="R45" s="45"/>
      <c r="S45" s="45"/>
      <c r="T45" s="45"/>
      <c r="U45" s="45"/>
      <c r="V45" s="45"/>
      <c r="W45" s="45"/>
      <c r="X45" s="45"/>
      <c r="Y45" s="45"/>
      <c r="Z45" s="45"/>
      <c r="AA45" s="45"/>
      <c r="AB45" s="45"/>
      <c r="AC45" s="45"/>
      <c r="AD45" s="45"/>
      <c r="AE45" s="45"/>
      <c r="AF45" s="45"/>
      <c r="AG45" s="45"/>
      <c r="AH45" s="45"/>
      <c r="AI45" s="45"/>
      <c r="AJ45" s="45"/>
      <c r="AK45" s="45"/>
      <c r="AL45" s="45"/>
      <c r="AM45" s="45"/>
      <c r="AN45" s="45"/>
      <c r="AO45" s="45"/>
      <c r="AP45" s="45"/>
      <c r="AQ45" s="45"/>
      <c r="AR45" s="45"/>
      <c r="AS45" s="45"/>
      <c r="AT45" s="45"/>
      <c r="AU45" s="45"/>
      <c r="AV45" s="45"/>
      <c r="AW45" s="45"/>
      <c r="AX45" s="45"/>
      <c r="AY45" s="45"/>
      <c r="AZ45" s="45"/>
    </row>
    <row r="46" spans="1:54" x14ac:dyDescent="0.2">
      <c r="A46" s="46"/>
    </row>
    <row r="47" spans="1:54" s="108" customFormat="1" x14ac:dyDescent="0.2">
      <c r="A47" s="110"/>
      <c r="B47" s="109" t="s">
        <v>45</v>
      </c>
    </row>
    <row r="48" spans="1:54" x14ac:dyDescent="0.2">
      <c r="A48" s="46"/>
      <c r="B48" s="130"/>
      <c r="C48" s="45"/>
      <c r="D48" s="45"/>
      <c r="E48" s="264" t="s">
        <v>127</v>
      </c>
    </row>
    <row r="49" spans="1:5" x14ac:dyDescent="0.2">
      <c r="A49" s="46"/>
      <c r="B49" s="46" t="s">
        <v>46</v>
      </c>
      <c r="C49" s="49">
        <v>0.6</v>
      </c>
      <c r="D49" s="45"/>
      <c r="E49" s="46"/>
    </row>
    <row r="50" spans="1:5" x14ac:dyDescent="0.2">
      <c r="A50" s="46"/>
      <c r="B50" s="46" t="s">
        <v>177</v>
      </c>
      <c r="C50" s="49">
        <v>0.60499999999999998</v>
      </c>
      <c r="D50" s="45"/>
      <c r="E50" s="46" t="s">
        <v>47</v>
      </c>
    </row>
    <row r="51" spans="1:5" x14ac:dyDescent="0.2">
      <c r="A51" s="46"/>
      <c r="B51" s="46"/>
      <c r="C51" s="45"/>
      <c r="D51" s="45"/>
    </row>
    <row r="52" spans="1:5" x14ac:dyDescent="0.2">
      <c r="A52" s="46"/>
      <c r="B52" s="119" t="s">
        <v>168</v>
      </c>
      <c r="C52" s="131">
        <v>3.9376199999999999</v>
      </c>
      <c r="D52" s="45"/>
      <c r="E52" s="46" t="s">
        <v>48</v>
      </c>
    </row>
    <row r="53" spans="1:5" x14ac:dyDescent="0.2">
      <c r="A53" s="46"/>
      <c r="B53" s="119" t="s">
        <v>169</v>
      </c>
      <c r="C53" s="131">
        <v>3.2568299999999999</v>
      </c>
      <c r="D53" s="45"/>
      <c r="E53" s="46" t="s">
        <v>48</v>
      </c>
    </row>
    <row r="54" spans="1:5" x14ac:dyDescent="0.2">
      <c r="A54" s="46"/>
      <c r="B54" s="119" t="s">
        <v>170</v>
      </c>
      <c r="C54" s="117">
        <v>4</v>
      </c>
      <c r="D54" s="45"/>
      <c r="E54" s="46" t="s">
        <v>213</v>
      </c>
    </row>
    <row r="55" spans="1:5" x14ac:dyDescent="0.2">
      <c r="A55" s="46"/>
      <c r="B55" s="119" t="s">
        <v>171</v>
      </c>
      <c r="C55" s="117">
        <v>2</v>
      </c>
      <c r="D55" s="45"/>
      <c r="E55" s="46" t="s">
        <v>213</v>
      </c>
    </row>
    <row r="56" spans="1:5" x14ac:dyDescent="0.2">
      <c r="A56" s="46"/>
      <c r="B56" s="119"/>
      <c r="C56" s="45"/>
      <c r="D56" s="45"/>
    </row>
    <row r="57" spans="1:5" x14ac:dyDescent="0.2">
      <c r="A57" s="46"/>
      <c r="B57" s="46" t="s">
        <v>49</v>
      </c>
      <c r="C57" s="44">
        <v>9.3995999999999996E-2</v>
      </c>
      <c r="D57" s="144"/>
      <c r="E57" s="263" t="s">
        <v>128</v>
      </c>
    </row>
    <row r="58" spans="1:5" x14ac:dyDescent="0.2">
      <c r="A58" s="46"/>
      <c r="B58" s="46" t="s">
        <v>50</v>
      </c>
      <c r="C58" s="25">
        <f>1-C57</f>
        <v>0.90600400000000003</v>
      </c>
      <c r="E58" s="263" t="s">
        <v>128</v>
      </c>
    </row>
    <row r="59" spans="1:5" x14ac:dyDescent="0.2">
      <c r="A59" s="46"/>
      <c r="B59" s="46" t="s">
        <v>172</v>
      </c>
      <c r="C59" s="44">
        <v>8.8153570000000001E-2</v>
      </c>
      <c r="E59" s="263" t="s">
        <v>129</v>
      </c>
    </row>
    <row r="60" spans="1:5" x14ac:dyDescent="0.2">
      <c r="A60" s="46"/>
      <c r="B60" s="46"/>
      <c r="C60" s="122"/>
    </row>
    <row r="61" spans="1:5" x14ac:dyDescent="0.2">
      <c r="A61" s="46"/>
      <c r="B61" s="46" t="s">
        <v>173</v>
      </c>
      <c r="C61" s="324">
        <v>2.2799999999999998</v>
      </c>
      <c r="E61" s="46" t="s">
        <v>51</v>
      </c>
    </row>
    <row r="62" spans="1:5" x14ac:dyDescent="0.2">
      <c r="A62" s="46"/>
      <c r="B62" s="46" t="s">
        <v>174</v>
      </c>
      <c r="C62" s="122">
        <v>2</v>
      </c>
      <c r="E62" s="46" t="s">
        <v>52</v>
      </c>
    </row>
    <row r="63" spans="1:5" x14ac:dyDescent="0.2">
      <c r="A63" s="46"/>
      <c r="B63" s="46"/>
      <c r="C63" s="122"/>
      <c r="E63" s="46"/>
    </row>
    <row r="64" spans="1:5" x14ac:dyDescent="0.2">
      <c r="A64" s="46"/>
      <c r="B64" s="46" t="s">
        <v>205</v>
      </c>
      <c r="C64" s="117">
        <v>44.279355545697371</v>
      </c>
      <c r="E64" s="46" t="s">
        <v>206</v>
      </c>
    </row>
    <row r="65" spans="1:7" x14ac:dyDescent="0.2">
      <c r="A65" s="46"/>
      <c r="B65" s="46"/>
      <c r="C65" s="122"/>
      <c r="E65" s="46"/>
    </row>
    <row r="66" spans="1:7" x14ac:dyDescent="0.2">
      <c r="A66" s="46"/>
      <c r="B66" s="46" t="s">
        <v>200</v>
      </c>
      <c r="C66" s="319">
        <v>0.81968517525883944</v>
      </c>
      <c r="D66" s="1"/>
      <c r="E66" s="46" t="s">
        <v>53</v>
      </c>
    </row>
    <row r="67" spans="1:7" x14ac:dyDescent="0.2">
      <c r="A67" s="46"/>
      <c r="B67" s="262" t="s">
        <v>201</v>
      </c>
      <c r="C67" s="319">
        <v>7.9466103138075547E-2</v>
      </c>
      <c r="D67" s="1"/>
      <c r="E67" s="46" t="s">
        <v>53</v>
      </c>
    </row>
    <row r="68" spans="1:7" x14ac:dyDescent="0.2">
      <c r="A68" s="46"/>
      <c r="B68" s="262" t="s">
        <v>202</v>
      </c>
      <c r="C68" s="319">
        <v>8.1351782875390161E-2</v>
      </c>
      <c r="D68" s="1"/>
      <c r="E68" s="46" t="s">
        <v>53</v>
      </c>
    </row>
    <row r="69" spans="1:7" x14ac:dyDescent="0.2">
      <c r="A69" s="46"/>
      <c r="B69" s="119" t="s">
        <v>203</v>
      </c>
      <c r="C69" s="319">
        <v>1.7879194891669704E-2</v>
      </c>
      <c r="D69" s="1"/>
      <c r="E69" s="46" t="s">
        <v>53</v>
      </c>
    </row>
    <row r="70" spans="1:7" x14ac:dyDescent="0.2">
      <c r="A70" s="46"/>
      <c r="B70" s="119" t="s">
        <v>204</v>
      </c>
      <c r="C70" s="319">
        <v>1.6176409745326374E-3</v>
      </c>
      <c r="D70" s="1"/>
      <c r="E70" s="46" t="s">
        <v>53</v>
      </c>
    </row>
    <row r="71" spans="1:7" x14ac:dyDescent="0.2">
      <c r="A71" s="46"/>
      <c r="B71" s="119"/>
      <c r="C71" s="45"/>
      <c r="E71" s="46"/>
    </row>
    <row r="72" spans="1:7" s="108" customFormat="1" x14ac:dyDescent="0.2">
      <c r="B72" s="109"/>
      <c r="C72" s="129"/>
      <c r="D72" s="129"/>
    </row>
    <row r="73" spans="1:7" x14ac:dyDescent="0.2">
      <c r="B73" s="132"/>
      <c r="C73" s="133"/>
      <c r="D73" s="133"/>
      <c r="E73" s="134"/>
      <c r="F73" s="134"/>
      <c r="G73" s="134"/>
    </row>
    <row r="74" spans="1:7" x14ac:dyDescent="0.2">
      <c r="A74" s="46"/>
      <c r="B74" s="263"/>
      <c r="C74" s="23"/>
      <c r="D74" s="23"/>
      <c r="E74" s="23"/>
      <c r="F74" s="23"/>
      <c r="G74" s="23"/>
    </row>
    <row r="75" spans="1:7" x14ac:dyDescent="0.2">
      <c r="A75" s="46"/>
      <c r="B75" s="263"/>
      <c r="C75" s="23"/>
      <c r="D75" s="23"/>
      <c r="E75" s="23"/>
      <c r="F75" s="23"/>
      <c r="G75" s="23"/>
    </row>
    <row r="76" spans="1:7" x14ac:dyDescent="0.2">
      <c r="A76" s="46"/>
      <c r="B76" s="263"/>
      <c r="C76" s="23"/>
      <c r="D76" s="23"/>
      <c r="E76" s="23"/>
      <c r="F76" s="23"/>
      <c r="G76" s="23"/>
    </row>
    <row r="77" spans="1:7" x14ac:dyDescent="0.2">
      <c r="A77" s="46"/>
      <c r="B77" s="263"/>
      <c r="C77" s="23"/>
      <c r="D77" s="23"/>
      <c r="E77" s="23"/>
      <c r="F77" s="23"/>
      <c r="G77" s="23"/>
    </row>
  </sheetData>
  <phoneticPr fontId="14" type="noConversion"/>
  <pageMargins left="0.7" right="0.7" top="0.75" bottom="0.75" header="0.3" footer="0.3"/>
  <pageSetup paperSize="9" orientation="portrait" r:id="rId1"/>
  <ignoredErrors>
    <ignoredError sqref="C4 F58:W58 C18:W20 C58:D58 X58:Y58" unlockedFormula="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
    <tabColor rgb="FF0070C0"/>
  </sheetPr>
  <dimension ref="A1:AW123"/>
  <sheetViews>
    <sheetView zoomScaleNormal="100" workbookViewId="0"/>
  </sheetViews>
  <sheetFormatPr defaultColWidth="9.28515625" defaultRowHeight="11.25" outlineLevelRow="1" x14ac:dyDescent="0.2"/>
  <cols>
    <col min="1" max="1" width="9.28515625" style="15" customWidth="1"/>
    <col min="2" max="2" width="57.42578125" style="15" customWidth="1"/>
    <col min="3" max="38" width="9.28515625" style="15" customWidth="1"/>
    <col min="39" max="48" width="11.42578125" style="15" bestFit="1" customWidth="1"/>
    <col min="49" max="16384" width="9.28515625" style="15"/>
  </cols>
  <sheetData>
    <row r="1" spans="1:49" ht="24.75" customHeight="1" x14ac:dyDescent="0.2">
      <c r="B1" s="28"/>
    </row>
    <row r="2" spans="1:49" ht="11.25" customHeight="1" x14ac:dyDescent="0.2">
      <c r="B2" s="16"/>
    </row>
    <row r="3" spans="1:49" ht="11.25" customHeight="1" x14ac:dyDescent="0.2">
      <c r="B3" s="8" t="s">
        <v>11</v>
      </c>
      <c r="C3" s="9" t="str">
        <f>'Input data'!C3</f>
        <v>NL</v>
      </c>
    </row>
    <row r="4" spans="1:49" x14ac:dyDescent="0.2">
      <c r="B4" s="50" t="s">
        <v>16</v>
      </c>
      <c r="C4" s="10"/>
    </row>
    <row r="5" spans="1:49" x14ac:dyDescent="0.2">
      <c r="A5" s="18"/>
      <c r="B5" s="11" t="str">
        <f>'Input data'!B5</f>
        <v>Last year before the adjustment</v>
      </c>
      <c r="C5" s="12">
        <f>+'Input data'!C5</f>
        <v>2025</v>
      </c>
    </row>
    <row r="6" spans="1:49" x14ac:dyDescent="0.2">
      <c r="A6" s="18"/>
      <c r="B6" s="51" t="s">
        <v>22</v>
      </c>
      <c r="C6" s="12">
        <f>+C5+'Criteria results'!$F$5</f>
        <v>2029</v>
      </c>
      <c r="E6" s="30"/>
      <c r="F6" s="18"/>
    </row>
    <row r="7" spans="1:49" x14ac:dyDescent="0.2">
      <c r="A7" s="18"/>
      <c r="B7" s="13"/>
      <c r="C7" s="52"/>
      <c r="E7" s="30"/>
      <c r="F7" s="18"/>
    </row>
    <row r="8" spans="1:49" x14ac:dyDescent="0.2">
      <c r="A8" s="18"/>
      <c r="C8" s="18"/>
      <c r="E8" s="30"/>
      <c r="F8" s="18"/>
    </row>
    <row r="9" spans="1:49" s="56" customFormat="1" ht="12.75" x14ac:dyDescent="0.2">
      <c r="B9" s="14" t="s">
        <v>23</v>
      </c>
    </row>
    <row r="10" spans="1:49" x14ac:dyDescent="0.2">
      <c r="C10" s="20">
        <f>'Input data'!$C$5-1</f>
        <v>2024</v>
      </c>
      <c r="D10" s="20">
        <f>C10+1</f>
        <v>2025</v>
      </c>
      <c r="E10" s="20">
        <f t="shared" ref="E10:U10" si="0">D10+1</f>
        <v>2026</v>
      </c>
      <c r="F10" s="20">
        <f t="shared" si="0"/>
        <v>2027</v>
      </c>
      <c r="G10" s="20">
        <f t="shared" si="0"/>
        <v>2028</v>
      </c>
      <c r="H10" s="20">
        <f t="shared" si="0"/>
        <v>2029</v>
      </c>
      <c r="I10" s="20">
        <f t="shared" si="0"/>
        <v>2030</v>
      </c>
      <c r="J10" s="20">
        <f t="shared" si="0"/>
        <v>2031</v>
      </c>
      <c r="K10" s="20">
        <f t="shared" si="0"/>
        <v>2032</v>
      </c>
      <c r="L10" s="20">
        <f t="shared" si="0"/>
        <v>2033</v>
      </c>
      <c r="M10" s="20">
        <f t="shared" si="0"/>
        <v>2034</v>
      </c>
      <c r="N10" s="20">
        <f t="shared" si="0"/>
        <v>2035</v>
      </c>
      <c r="O10" s="20">
        <f t="shared" si="0"/>
        <v>2036</v>
      </c>
      <c r="P10" s="20">
        <f t="shared" si="0"/>
        <v>2037</v>
      </c>
      <c r="Q10" s="20">
        <f t="shared" si="0"/>
        <v>2038</v>
      </c>
      <c r="R10" s="20">
        <f t="shared" si="0"/>
        <v>2039</v>
      </c>
      <c r="S10" s="20">
        <f t="shared" si="0"/>
        <v>2040</v>
      </c>
      <c r="T10" s="20">
        <f t="shared" si="0"/>
        <v>2041</v>
      </c>
      <c r="U10" s="20">
        <f t="shared" si="0"/>
        <v>2042</v>
      </c>
      <c r="V10" s="18"/>
      <c r="W10" s="18"/>
      <c r="X10" s="18"/>
      <c r="Y10" s="18"/>
      <c r="Z10" s="18"/>
      <c r="AA10" s="18"/>
      <c r="AB10" s="18"/>
      <c r="AC10" s="18"/>
      <c r="AD10" s="18"/>
      <c r="AE10" s="18"/>
      <c r="AF10" s="18"/>
      <c r="AG10" s="18"/>
      <c r="AH10" s="18"/>
      <c r="AI10" s="18"/>
      <c r="AJ10" s="18"/>
      <c r="AK10" s="18"/>
      <c r="AL10" s="18"/>
      <c r="AM10" s="18"/>
      <c r="AN10" s="18"/>
      <c r="AO10" s="18"/>
      <c r="AP10" s="18"/>
      <c r="AQ10" s="18"/>
      <c r="AR10" s="18"/>
      <c r="AS10" s="18"/>
      <c r="AT10" s="18"/>
      <c r="AU10" s="18"/>
      <c r="AV10" s="18"/>
    </row>
    <row r="11" spans="1:49" x14ac:dyDescent="0.2">
      <c r="B11" s="17" t="s">
        <v>24</v>
      </c>
      <c r="C11" s="18"/>
      <c r="D11" s="18"/>
      <c r="E11" s="18"/>
      <c r="F11" s="18"/>
      <c r="G11" s="18"/>
      <c r="H11" s="18"/>
      <c r="I11" s="18"/>
      <c r="J11" s="18"/>
      <c r="K11" s="18"/>
      <c r="L11" s="18"/>
      <c r="M11" s="18"/>
      <c r="N11" s="18"/>
      <c r="O11" s="18"/>
      <c r="P11" s="18"/>
      <c r="Q11" s="18"/>
      <c r="R11" s="18"/>
      <c r="S11" s="18"/>
      <c r="T11" s="18"/>
      <c r="U11" s="18"/>
      <c r="V11" s="18"/>
      <c r="W11" s="18"/>
      <c r="X11" s="18"/>
      <c r="Y11" s="18"/>
      <c r="Z11" s="18"/>
      <c r="AA11" s="18"/>
      <c r="AB11" s="18"/>
      <c r="AC11" s="18"/>
      <c r="AD11" s="18"/>
      <c r="AE11" s="18"/>
      <c r="AF11" s="18"/>
      <c r="AG11" s="18"/>
      <c r="AH11" s="18"/>
      <c r="AI11" s="18"/>
      <c r="AJ11" s="18"/>
      <c r="AK11" s="18"/>
      <c r="AL11" s="18"/>
      <c r="AM11" s="18"/>
      <c r="AN11" s="18"/>
      <c r="AO11" s="18"/>
      <c r="AP11" s="18"/>
      <c r="AQ11" s="18"/>
      <c r="AR11" s="18"/>
      <c r="AS11" s="18"/>
      <c r="AT11" s="18"/>
      <c r="AU11" s="18"/>
      <c r="AV11" s="18"/>
    </row>
    <row r="12" spans="1:49" x14ac:dyDescent="0.2">
      <c r="B12" s="15" t="s">
        <v>26</v>
      </c>
      <c r="C12" s="2">
        <f>'Input data'!C13</f>
        <v>0.386237</v>
      </c>
      <c r="D12" s="2">
        <f>'Input data'!D13</f>
        <v>-0.55773950000000005</v>
      </c>
      <c r="E12" s="1">
        <f>D12</f>
        <v>-0.55773950000000005</v>
      </c>
      <c r="F12" s="1">
        <f t="shared" ref="F12:U12" si="1">E12</f>
        <v>-0.55773950000000005</v>
      </c>
      <c r="G12" s="1">
        <f t="shared" si="1"/>
        <v>-0.55773950000000005</v>
      </c>
      <c r="H12" s="1">
        <f t="shared" si="1"/>
        <v>-0.55773950000000005</v>
      </c>
      <c r="I12" s="1">
        <f t="shared" si="1"/>
        <v>-0.55773950000000005</v>
      </c>
      <c r="J12" s="1">
        <f t="shared" si="1"/>
        <v>-0.55773950000000005</v>
      </c>
      <c r="K12" s="1">
        <f t="shared" si="1"/>
        <v>-0.55773950000000005</v>
      </c>
      <c r="L12" s="1">
        <f t="shared" si="1"/>
        <v>-0.55773950000000005</v>
      </c>
      <c r="M12" s="1">
        <f t="shared" si="1"/>
        <v>-0.55773950000000005</v>
      </c>
      <c r="N12" s="1">
        <f t="shared" si="1"/>
        <v>-0.55773950000000005</v>
      </c>
      <c r="O12" s="1">
        <f t="shared" si="1"/>
        <v>-0.55773950000000005</v>
      </c>
      <c r="P12" s="1">
        <f t="shared" si="1"/>
        <v>-0.55773950000000005</v>
      </c>
      <c r="Q12" s="1">
        <f t="shared" si="1"/>
        <v>-0.55773950000000005</v>
      </c>
      <c r="R12" s="1">
        <f t="shared" si="1"/>
        <v>-0.55773950000000005</v>
      </c>
      <c r="S12" s="1">
        <f t="shared" si="1"/>
        <v>-0.55773950000000005</v>
      </c>
      <c r="T12" s="1">
        <f t="shared" si="1"/>
        <v>-0.55773950000000005</v>
      </c>
      <c r="U12" s="1">
        <f t="shared" si="1"/>
        <v>-0.55773950000000005</v>
      </c>
      <c r="V12" s="45"/>
      <c r="W12" s="45"/>
      <c r="X12" s="45"/>
      <c r="Y12" s="45"/>
      <c r="Z12" s="45"/>
      <c r="AA12" s="45"/>
      <c r="AB12" s="45"/>
      <c r="AC12" s="45"/>
      <c r="AD12" s="45"/>
      <c r="AE12" s="45"/>
      <c r="AF12" s="45"/>
      <c r="AG12" s="45"/>
      <c r="AH12" s="45"/>
      <c r="AI12" s="45"/>
      <c r="AJ12" s="45"/>
      <c r="AK12" s="45"/>
      <c r="AL12" s="45"/>
      <c r="AM12" s="45"/>
      <c r="AN12" s="45"/>
      <c r="AO12" s="45"/>
      <c r="AP12" s="45"/>
      <c r="AQ12" s="45"/>
      <c r="AR12" s="45"/>
      <c r="AS12" s="45"/>
      <c r="AT12" s="45"/>
      <c r="AU12" s="45"/>
      <c r="AV12" s="45"/>
      <c r="AW12" s="46"/>
    </row>
    <row r="13" spans="1:49" x14ac:dyDescent="0.2">
      <c r="B13" s="15" t="s">
        <v>27</v>
      </c>
      <c r="C13" s="2">
        <f>'Input data'!C14</f>
        <v>-2.6727000000000001E-2</v>
      </c>
      <c r="D13" s="2">
        <f>'Input data'!D14</f>
        <v>-2.54775E-2</v>
      </c>
      <c r="E13" s="2">
        <f>'Input data'!E14</f>
        <v>-0.69010419999999995</v>
      </c>
      <c r="F13" s="2">
        <f>'Input data'!F14</f>
        <v>0</v>
      </c>
      <c r="G13" s="1">
        <f>'Input data'!G14</f>
        <v>0</v>
      </c>
      <c r="H13" s="1">
        <f>'Input data'!H14</f>
        <v>0</v>
      </c>
      <c r="I13" s="1">
        <f>'Input data'!I14</f>
        <v>0</v>
      </c>
      <c r="J13" s="1">
        <f>'Input data'!J14</f>
        <v>0</v>
      </c>
      <c r="K13" s="1">
        <f>'Input data'!K14</f>
        <v>0</v>
      </c>
      <c r="L13" s="1">
        <f>'Input data'!L14</f>
        <v>0</v>
      </c>
      <c r="M13" s="1">
        <f>'Input data'!M14</f>
        <v>0</v>
      </c>
      <c r="N13" s="1">
        <f>'Input data'!N14</f>
        <v>0</v>
      </c>
      <c r="O13" s="1">
        <f>'Input data'!O14</f>
        <v>0</v>
      </c>
      <c r="P13" s="1">
        <f>'Input data'!P14</f>
        <v>0</v>
      </c>
      <c r="Q13" s="1">
        <f>'Input data'!Q14</f>
        <v>0</v>
      </c>
      <c r="R13" s="1">
        <f>'Input data'!R14</f>
        <v>0</v>
      </c>
      <c r="S13" s="1">
        <f>'Input data'!S14</f>
        <v>0</v>
      </c>
      <c r="T13" s="1">
        <f>'Input data'!T14</f>
        <v>0</v>
      </c>
      <c r="U13" s="1">
        <f>'Input data'!U14</f>
        <v>0</v>
      </c>
      <c r="V13" s="45"/>
      <c r="W13" s="45"/>
      <c r="X13" s="45"/>
      <c r="Y13" s="45"/>
      <c r="Z13" s="45"/>
      <c r="AA13" s="45"/>
      <c r="AB13" s="45"/>
      <c r="AC13" s="45"/>
      <c r="AD13" s="45"/>
      <c r="AE13" s="45"/>
      <c r="AF13" s="45"/>
      <c r="AG13" s="45"/>
      <c r="AH13" s="45"/>
      <c r="AI13" s="45"/>
      <c r="AJ13" s="45"/>
      <c r="AK13" s="45"/>
      <c r="AL13" s="45"/>
      <c r="AM13" s="45"/>
      <c r="AN13" s="45"/>
      <c r="AO13" s="45"/>
      <c r="AP13" s="45"/>
      <c r="AQ13" s="45"/>
      <c r="AR13" s="45"/>
      <c r="AS13" s="45"/>
      <c r="AT13" s="45"/>
      <c r="AU13" s="45"/>
      <c r="AV13" s="45"/>
      <c r="AW13" s="46"/>
    </row>
    <row r="14" spans="1:49" x14ac:dyDescent="0.2">
      <c r="B14" s="15" t="s">
        <v>54</v>
      </c>
      <c r="C14" s="2">
        <f>'Input data'!C15</f>
        <v>-9.1939599999999996E-2</v>
      </c>
      <c r="D14" s="2">
        <f>'Input data'!D15</f>
        <v>1.579996</v>
      </c>
      <c r="E14" s="2">
        <f>'Input data'!E15</f>
        <v>2.014675</v>
      </c>
      <c r="F14" s="2">
        <f>'Input data'!F15</f>
        <v>0</v>
      </c>
      <c r="G14" s="1">
        <f>'Input data'!G15</f>
        <v>0</v>
      </c>
      <c r="H14" s="1">
        <f>'Input data'!H15</f>
        <v>0</v>
      </c>
      <c r="I14" s="1">
        <f>'Input data'!I15</f>
        <v>0</v>
      </c>
      <c r="J14" s="1">
        <f>'Input data'!J15</f>
        <v>0</v>
      </c>
      <c r="K14" s="1">
        <f>'Input data'!K15</f>
        <v>0</v>
      </c>
      <c r="L14" s="1">
        <f>'Input data'!L15</f>
        <v>0</v>
      </c>
      <c r="M14" s="1">
        <f>'Input data'!M15</f>
        <v>0</v>
      </c>
      <c r="N14" s="1">
        <f>'Input data'!N15</f>
        <v>0</v>
      </c>
      <c r="O14" s="1">
        <f>'Input data'!O15</f>
        <v>0</v>
      </c>
      <c r="P14" s="1">
        <f>'Input data'!P15</f>
        <v>0</v>
      </c>
      <c r="Q14" s="1">
        <f>'Input data'!Q15</f>
        <v>0</v>
      </c>
      <c r="R14" s="1">
        <f>'Input data'!R15</f>
        <v>0</v>
      </c>
      <c r="S14" s="1">
        <f>'Input data'!S15</f>
        <v>0</v>
      </c>
      <c r="T14" s="1">
        <f>'Input data'!T15</f>
        <v>0</v>
      </c>
      <c r="U14" s="1">
        <f>'Input data'!U15</f>
        <v>0</v>
      </c>
      <c r="V14" s="45"/>
      <c r="W14" s="45"/>
      <c r="X14" s="45"/>
      <c r="Y14" s="45"/>
      <c r="Z14" s="45"/>
      <c r="AA14" s="45"/>
      <c r="AB14" s="45"/>
      <c r="AC14" s="45"/>
      <c r="AD14" s="45"/>
      <c r="AE14" s="45"/>
      <c r="AF14" s="45"/>
      <c r="AG14" s="45"/>
      <c r="AH14" s="45"/>
      <c r="AI14" s="45"/>
      <c r="AJ14" s="45"/>
      <c r="AK14" s="45"/>
      <c r="AL14" s="45"/>
      <c r="AM14" s="45"/>
      <c r="AN14" s="45"/>
      <c r="AO14" s="45"/>
      <c r="AP14" s="45"/>
      <c r="AQ14" s="45"/>
      <c r="AR14" s="45"/>
      <c r="AS14" s="45"/>
      <c r="AT14" s="45"/>
      <c r="AU14" s="45"/>
      <c r="AV14" s="45"/>
      <c r="AW14" s="46"/>
    </row>
    <row r="15" spans="1:49" ht="5.65" customHeight="1" x14ac:dyDescent="0.2">
      <c r="C15" s="1"/>
      <c r="D15" s="1"/>
      <c r="E15" s="1"/>
      <c r="F15" s="1"/>
      <c r="G15" s="1"/>
      <c r="H15" s="1"/>
      <c r="I15" s="1"/>
      <c r="J15" s="1"/>
      <c r="K15" s="1"/>
      <c r="L15" s="1"/>
      <c r="M15" s="1"/>
      <c r="N15" s="1"/>
      <c r="O15" s="1"/>
      <c r="P15" s="1"/>
      <c r="Q15" s="1"/>
      <c r="R15" s="1"/>
      <c r="S15" s="1"/>
      <c r="T15" s="1"/>
      <c r="U15" s="1"/>
      <c r="V15" s="1"/>
      <c r="W15" s="1"/>
      <c r="X15" s="1"/>
      <c r="Y15" s="1"/>
      <c r="Z15" s="1"/>
      <c r="AA15" s="1"/>
      <c r="AB15" s="1"/>
      <c r="AC15" s="1"/>
      <c r="AD15" s="1"/>
      <c r="AE15" s="1"/>
      <c r="AF15" s="1"/>
      <c r="AG15" s="1"/>
      <c r="AH15" s="1"/>
      <c r="AI15" s="1"/>
      <c r="AJ15" s="1"/>
      <c r="AK15" s="1"/>
      <c r="AL15" s="1"/>
      <c r="AM15" s="1"/>
      <c r="AN15" s="1"/>
      <c r="AO15" s="1"/>
      <c r="AP15" s="1"/>
      <c r="AQ15" s="1"/>
      <c r="AR15" s="1"/>
      <c r="AS15" s="1"/>
      <c r="AT15" s="1"/>
      <c r="AU15" s="1"/>
      <c r="AV15" s="1"/>
    </row>
    <row r="16" spans="1:49" ht="11.25" customHeight="1" x14ac:dyDescent="0.2">
      <c r="B16" s="19" t="str">
        <f>'Input data'!B19</f>
        <v>Cost of ageing and selected public revenue (based on the Commission-Council 2024 Ageing Report ("AR 2024"))</v>
      </c>
      <c r="C16" s="1"/>
      <c r="D16" s="1"/>
      <c r="E16" s="1"/>
      <c r="F16" s="1"/>
      <c r="G16" s="1"/>
      <c r="H16" s="1"/>
      <c r="I16" s="1"/>
      <c r="J16" s="1"/>
      <c r="K16" s="1"/>
      <c r="L16" s="1"/>
      <c r="M16" s="1"/>
      <c r="N16" s="1"/>
      <c r="O16" s="1"/>
      <c r="P16" s="1"/>
      <c r="Q16" s="1"/>
      <c r="R16" s="1"/>
      <c r="S16" s="1"/>
      <c r="T16" s="1"/>
      <c r="U16" s="1"/>
      <c r="V16" s="1"/>
      <c r="W16" s="1"/>
      <c r="X16" s="1"/>
      <c r="Y16" s="1"/>
      <c r="Z16" s="1"/>
      <c r="AA16" s="1"/>
      <c r="AB16" s="1"/>
      <c r="AC16" s="1"/>
      <c r="AD16" s="1"/>
      <c r="AE16" s="1"/>
      <c r="AF16" s="1"/>
      <c r="AG16" s="1"/>
      <c r="AH16" s="1"/>
      <c r="AI16" s="1"/>
      <c r="AJ16" s="1"/>
      <c r="AK16" s="1"/>
      <c r="AL16" s="1"/>
      <c r="AM16" s="1"/>
      <c r="AN16" s="1"/>
      <c r="AO16" s="1"/>
      <c r="AP16" s="1"/>
      <c r="AQ16" s="1"/>
      <c r="AR16" s="1"/>
      <c r="AS16" s="1"/>
      <c r="AT16" s="1"/>
      <c r="AU16" s="1"/>
      <c r="AV16" s="1"/>
    </row>
    <row r="17" spans="1:48" x14ac:dyDescent="0.2">
      <c r="A17" s="47"/>
      <c r="B17" s="15" t="s">
        <v>30</v>
      </c>
      <c r="C17" s="78">
        <f>'Input data'!C20</f>
        <v>18.200000000000003</v>
      </c>
      <c r="D17" s="78">
        <f>'Input data'!D20</f>
        <v>18.100000000000001</v>
      </c>
      <c r="E17" s="78">
        <f>'Input data'!E20</f>
        <v>18.100000000000001</v>
      </c>
      <c r="F17" s="78">
        <f>'Input data'!F20</f>
        <v>18.3</v>
      </c>
      <c r="G17" s="78">
        <f>'Input data'!G20</f>
        <v>18.400000000000002</v>
      </c>
      <c r="H17" s="78">
        <f>'Input data'!H20</f>
        <v>18.499999999999996</v>
      </c>
      <c r="I17" s="78">
        <f>'Input data'!I20</f>
        <v>18.599999999999998</v>
      </c>
      <c r="J17" s="78">
        <f>'Input data'!J20</f>
        <v>18.899999999999999</v>
      </c>
      <c r="K17" s="78">
        <f>'Input data'!K20</f>
        <v>19.099999999999998</v>
      </c>
      <c r="L17" s="78">
        <f>'Input data'!L20</f>
        <v>19.2</v>
      </c>
      <c r="M17" s="78">
        <f>'Input data'!M20</f>
        <v>19.299999999999997</v>
      </c>
      <c r="N17" s="78">
        <f>'Input data'!N20</f>
        <v>19.399999999999999</v>
      </c>
      <c r="O17" s="78">
        <f>'Input data'!O20</f>
        <v>19.599999999999998</v>
      </c>
      <c r="P17" s="78">
        <f>'Input data'!P20</f>
        <v>19.799999999999997</v>
      </c>
      <c r="Q17" s="78">
        <f>'Input data'!Q20</f>
        <v>19.799999999999997</v>
      </c>
      <c r="R17" s="78">
        <f>'Input data'!R20</f>
        <v>19.899999999999999</v>
      </c>
      <c r="S17" s="78">
        <f>'Input data'!S20</f>
        <v>19.999999999999996</v>
      </c>
      <c r="T17" s="78">
        <f>'Input data'!T20</f>
        <v>20.2</v>
      </c>
      <c r="U17" s="78">
        <f>'Input data'!U20</f>
        <v>20.2</v>
      </c>
      <c r="V17" s="1"/>
      <c r="W17" s="1"/>
      <c r="X17" s="1"/>
      <c r="Y17" s="1"/>
      <c r="Z17" s="1"/>
      <c r="AA17" s="1"/>
      <c r="AB17" s="1"/>
      <c r="AC17" s="1"/>
      <c r="AD17" s="1"/>
      <c r="AE17" s="1"/>
      <c r="AF17" s="1"/>
      <c r="AG17" s="1"/>
      <c r="AH17" s="1"/>
      <c r="AI17" s="1"/>
      <c r="AJ17" s="1"/>
      <c r="AK17" s="1"/>
      <c r="AL17" s="1"/>
      <c r="AM17" s="1"/>
      <c r="AN17" s="1"/>
      <c r="AO17" s="1"/>
      <c r="AP17" s="1"/>
      <c r="AQ17" s="1"/>
      <c r="AR17" s="1"/>
      <c r="AS17" s="1"/>
      <c r="AT17" s="1"/>
      <c r="AU17" s="1"/>
      <c r="AV17" s="1"/>
    </row>
    <row r="18" spans="1:48" x14ac:dyDescent="0.2">
      <c r="A18" s="47"/>
      <c r="B18" s="15" t="str">
        <f>'Input data'!B26</f>
        <v>Property income</v>
      </c>
      <c r="C18" s="78">
        <f>'Input data'!C26</f>
        <v>0.62657079999999998</v>
      </c>
      <c r="D18" s="78">
        <f>'Input data'!D26</f>
        <v>0.62083049999999995</v>
      </c>
      <c r="E18" s="78">
        <f>'Input data'!E26</f>
        <v>0.61509020000000003</v>
      </c>
      <c r="F18" s="78">
        <f>'Input data'!F26</f>
        <v>0.60934980000000005</v>
      </c>
      <c r="G18" s="78">
        <f>'Input data'!G26</f>
        <v>0.60360959999999997</v>
      </c>
      <c r="H18" s="78">
        <f>'Input data'!H26</f>
        <v>0.59786930000000005</v>
      </c>
      <c r="I18" s="78">
        <f>'Input data'!I26</f>
        <v>0.59212889999999996</v>
      </c>
      <c r="J18" s="78">
        <f>'Input data'!J26</f>
        <v>0.58638860000000004</v>
      </c>
      <c r="K18" s="78">
        <f>'Input data'!K26</f>
        <v>0.58064830000000001</v>
      </c>
      <c r="L18" s="78">
        <f>'Input data'!L26</f>
        <v>0.57490799999999997</v>
      </c>
      <c r="M18" s="78">
        <f>'Input data'!M26</f>
        <v>0.56916770000000005</v>
      </c>
      <c r="N18" s="78">
        <f>'Input data'!N26</f>
        <v>0.56342729999999996</v>
      </c>
      <c r="O18" s="78">
        <f>'Input data'!O26</f>
        <v>0.55768700000000004</v>
      </c>
      <c r="P18" s="78">
        <f>'Input data'!P26</f>
        <v>0.55194679999999996</v>
      </c>
      <c r="Q18" s="78">
        <f>'Input data'!Q26</f>
        <v>0.54620639999999998</v>
      </c>
      <c r="R18" s="78">
        <f>'Input data'!R26</f>
        <v>0.54046609999999995</v>
      </c>
      <c r="S18" s="78">
        <f>'Input data'!S26</f>
        <v>0.53472580000000003</v>
      </c>
      <c r="T18" s="78">
        <f>'Input data'!T26</f>
        <v>0.5289855</v>
      </c>
      <c r="U18" s="78">
        <f>'Input data'!U26</f>
        <v>0.52324519999999997</v>
      </c>
      <c r="V18" s="1"/>
      <c r="W18" s="1"/>
      <c r="X18" s="1"/>
      <c r="Y18" s="1"/>
      <c r="Z18" s="1"/>
      <c r="AA18" s="1"/>
      <c r="AB18" s="1"/>
      <c r="AC18" s="1"/>
      <c r="AD18" s="1"/>
      <c r="AE18" s="1"/>
      <c r="AF18" s="1"/>
      <c r="AG18" s="1"/>
      <c r="AH18" s="1"/>
      <c r="AI18" s="1"/>
      <c r="AJ18" s="1"/>
      <c r="AK18" s="1"/>
      <c r="AL18" s="1"/>
      <c r="AM18" s="1"/>
      <c r="AN18" s="1"/>
      <c r="AO18" s="1"/>
      <c r="AP18" s="1"/>
      <c r="AQ18" s="1"/>
      <c r="AR18" s="1"/>
      <c r="AS18" s="1"/>
      <c r="AT18" s="1"/>
      <c r="AU18" s="1"/>
      <c r="AV18" s="1"/>
    </row>
    <row r="20" spans="1:48" x14ac:dyDescent="0.2">
      <c r="B20" s="17" t="s">
        <v>55</v>
      </c>
    </row>
    <row r="21" spans="1:48" ht="10.5" customHeight="1" x14ac:dyDescent="0.2">
      <c r="B21" s="19" t="s">
        <v>56</v>
      </c>
    </row>
    <row r="22" spans="1:48" x14ac:dyDescent="0.2">
      <c r="B22" s="15" t="s">
        <v>39</v>
      </c>
      <c r="C22" s="77">
        <f>'Input data'!C31</f>
        <v>915.50049999999999</v>
      </c>
      <c r="D22" s="77">
        <f t="shared" ref="D22" si="2">C22*(D23/100+1)</f>
        <v>931.03352233334999</v>
      </c>
      <c r="E22" s="23">
        <f>D22*(E23/100+1)</f>
        <v>942.89253389306543</v>
      </c>
      <c r="F22" s="23">
        <f>E22*(F23/100+1)</f>
        <v>957.80782087433295</v>
      </c>
      <c r="G22" s="23">
        <f t="shared" ref="G22:U22" si="3">F22*(G23/100+1)</f>
        <v>972.37989948303675</v>
      </c>
      <c r="H22" s="23">
        <f t="shared" si="3"/>
        <v>986.12623964604848</v>
      </c>
      <c r="I22" s="23">
        <f t="shared" si="3"/>
        <v>999.87117287336923</v>
      </c>
      <c r="J22" s="23">
        <f t="shared" si="3"/>
        <v>1010.5610555490633</v>
      </c>
      <c r="K22" s="23">
        <f t="shared" si="3"/>
        <v>1021.0133896027129</v>
      </c>
      <c r="L22" s="23">
        <f t="shared" si="3"/>
        <v>1031.3514666865913</v>
      </c>
      <c r="M22" s="23">
        <f t="shared" si="3"/>
        <v>1041.9392383354784</v>
      </c>
      <c r="N22" s="23">
        <f t="shared" si="3"/>
        <v>1052.9311867496908</v>
      </c>
      <c r="O22" s="23">
        <f t="shared" si="3"/>
        <v>1064.8640453598134</v>
      </c>
      <c r="P22" s="23">
        <f t="shared" si="3"/>
        <v>1077.7665131599774</v>
      </c>
      <c r="Q22" s="23">
        <f t="shared" si="3"/>
        <v>1091.6697119574064</v>
      </c>
      <c r="R22" s="23">
        <f t="shared" si="3"/>
        <v>1107.4989336974859</v>
      </c>
      <c r="S22" s="23">
        <f t="shared" si="3"/>
        <v>1125.329622230058</v>
      </c>
      <c r="T22" s="23">
        <f t="shared" si="3"/>
        <v>1144.0100376925959</v>
      </c>
      <c r="U22" s="23">
        <f t="shared" si="3"/>
        <v>1163.572655097541</v>
      </c>
      <c r="V22" s="23"/>
      <c r="W22" s="23"/>
      <c r="X22" s="23"/>
      <c r="Y22" s="23"/>
      <c r="Z22" s="23"/>
      <c r="AA22" s="23"/>
      <c r="AB22" s="23"/>
      <c r="AC22" s="23"/>
      <c r="AD22" s="23"/>
      <c r="AE22" s="23"/>
      <c r="AF22" s="23"/>
      <c r="AG22" s="23"/>
      <c r="AH22" s="23"/>
      <c r="AI22" s="23"/>
      <c r="AJ22" s="23"/>
      <c r="AK22" s="23"/>
      <c r="AL22" s="23"/>
      <c r="AM22" s="23"/>
      <c r="AN22" s="23"/>
      <c r="AO22" s="23"/>
      <c r="AP22" s="23"/>
      <c r="AQ22" s="23"/>
      <c r="AR22" s="23"/>
      <c r="AS22" s="23"/>
      <c r="AT22" s="23"/>
    </row>
    <row r="23" spans="1:48" x14ac:dyDescent="0.2">
      <c r="A23" s="47"/>
      <c r="B23" s="48" t="s">
        <v>38</v>
      </c>
      <c r="C23" s="77">
        <f>+'Input data'!C30</f>
        <v>1.081005</v>
      </c>
      <c r="D23" s="77">
        <f>+'Input data'!D30</f>
        <v>1.6966699999999999</v>
      </c>
      <c r="E23" s="23">
        <f>+'Input data'!E30</f>
        <v>1.273747</v>
      </c>
      <c r="F23" s="23">
        <f>+'Input data'!F30</f>
        <v>1.5818650000000001</v>
      </c>
      <c r="G23" s="23">
        <f>+'Input data'!G30</f>
        <v>1.5213989999999999</v>
      </c>
      <c r="H23" s="23">
        <f>+'Input data'!H30</f>
        <v>1.41368</v>
      </c>
      <c r="I23" s="23">
        <f>+'Input data'!I30</f>
        <v>1.393831</v>
      </c>
      <c r="J23" s="23">
        <f>+'Input data'!J30</f>
        <v>1.069126</v>
      </c>
      <c r="K23" s="23">
        <f>+'Input data'!K30</f>
        <v>1.0343100000000001</v>
      </c>
      <c r="L23" s="23">
        <f>+'Input data'!L30</f>
        <v>1.0125310000000001</v>
      </c>
      <c r="M23" s="23">
        <f>+'Input data'!M30</f>
        <v>1.0265919999999999</v>
      </c>
      <c r="N23" s="23">
        <f>+'Input data'!N30</f>
        <v>1.054951</v>
      </c>
      <c r="O23" s="23">
        <f>+'Input data'!O30</f>
        <v>1.1332990000000001</v>
      </c>
      <c r="P23" s="23">
        <f>+'Input data'!P30</f>
        <v>1.211654</v>
      </c>
      <c r="Q23" s="23">
        <f>+'Input data'!Q30</f>
        <v>1.290001</v>
      </c>
      <c r="R23" s="23">
        <f>+'Input data'!R30</f>
        <v>1.4500010000000001</v>
      </c>
      <c r="S23" s="23">
        <f>+'Input data'!S30</f>
        <v>1.609996</v>
      </c>
      <c r="T23" s="23">
        <f>+'Input data'!T30</f>
        <v>1.6599950000000001</v>
      </c>
      <c r="U23" s="23">
        <f>+'Input data'!U30</f>
        <v>1.7100040000000001</v>
      </c>
      <c r="V23" s="1"/>
      <c r="W23" s="1"/>
      <c r="X23" s="1"/>
      <c r="Y23" s="1"/>
      <c r="Z23" s="1"/>
      <c r="AA23" s="1"/>
      <c r="AB23" s="1"/>
      <c r="AC23" s="1"/>
      <c r="AD23" s="1"/>
      <c r="AE23" s="1"/>
      <c r="AF23" s="1"/>
      <c r="AG23" s="1"/>
      <c r="AH23" s="1"/>
      <c r="AI23" s="1"/>
      <c r="AJ23" s="1"/>
      <c r="AK23" s="1"/>
      <c r="AL23" s="1"/>
      <c r="AM23" s="1"/>
      <c r="AN23" s="1"/>
      <c r="AO23" s="1"/>
      <c r="AP23" s="1"/>
      <c r="AQ23" s="1"/>
      <c r="AR23" s="1"/>
      <c r="AS23" s="1"/>
      <c r="AT23" s="1"/>
      <c r="AU23" s="1"/>
      <c r="AV23" s="1"/>
    </row>
    <row r="24" spans="1:48" ht="5.25" customHeight="1" x14ac:dyDescent="0.2">
      <c r="C24" s="23"/>
      <c r="D24" s="23"/>
      <c r="E24" s="23"/>
      <c r="F24" s="23"/>
      <c r="G24" s="23"/>
      <c r="H24" s="23"/>
      <c r="I24" s="23"/>
      <c r="J24" s="23"/>
      <c r="K24" s="23"/>
      <c r="L24" s="23"/>
      <c r="M24" s="23"/>
      <c r="N24" s="23"/>
      <c r="O24" s="23"/>
      <c r="P24" s="23"/>
      <c r="Q24" s="23"/>
      <c r="R24" s="23"/>
      <c r="S24" s="23"/>
      <c r="T24" s="23"/>
      <c r="U24" s="23"/>
      <c r="V24" s="23"/>
      <c r="W24" s="23"/>
      <c r="X24" s="23"/>
      <c r="Y24" s="23"/>
      <c r="Z24" s="23"/>
      <c r="AA24" s="23"/>
      <c r="AB24" s="23"/>
      <c r="AC24" s="23"/>
      <c r="AD24" s="23"/>
      <c r="AE24" s="23"/>
      <c r="AF24" s="23"/>
      <c r="AG24" s="23"/>
      <c r="AH24" s="23"/>
      <c r="AI24" s="23"/>
      <c r="AJ24" s="23"/>
      <c r="AK24" s="23"/>
      <c r="AL24" s="23"/>
      <c r="AM24" s="23"/>
      <c r="AN24" s="23"/>
      <c r="AO24" s="23"/>
      <c r="AP24" s="23"/>
      <c r="AQ24" s="23"/>
      <c r="AR24" s="23"/>
      <c r="AS24" s="23"/>
      <c r="AT24" s="23"/>
    </row>
    <row r="25" spans="1:48" ht="15" x14ac:dyDescent="0.2">
      <c r="A25" s="155"/>
      <c r="B25" s="19" t="s">
        <v>57</v>
      </c>
      <c r="C25" s="154"/>
      <c r="D25" s="154"/>
      <c r="F25" s="181"/>
      <c r="G25" s="181"/>
      <c r="H25" s="181"/>
      <c r="I25" s="181"/>
      <c r="J25" s="181"/>
      <c r="K25" s="181"/>
      <c r="L25" s="181"/>
      <c r="M25" s="181"/>
      <c r="N25" s="181"/>
      <c r="O25" s="181"/>
      <c r="P25" s="181"/>
      <c r="Q25" s="181"/>
      <c r="R25" s="181"/>
    </row>
    <row r="26" spans="1:48" x14ac:dyDescent="0.2">
      <c r="B26" s="15" t="s">
        <v>39</v>
      </c>
      <c r="C26" s="77">
        <f>'Input data'!C34</f>
        <v>924.64139999999998</v>
      </c>
      <c r="D26" s="77">
        <f>+C26*(1+'Input data'!D33/100)</f>
        <v>939.95618002971605</v>
      </c>
      <c r="E26" s="77">
        <f>+D26*(1+'Input data'!E33/100)</f>
        <v>953.36237084432253</v>
      </c>
      <c r="F26" s="77">
        <f>+E26*(1+'Input data'!F33/100)</f>
        <v>965.68823086536565</v>
      </c>
      <c r="G26" s="23">
        <f>+F26*(1+'Input data'!G33/100)</f>
        <v>977.69888166793055</v>
      </c>
      <c r="H26" s="23">
        <f>+G26*(1+'Input data'!H33/100)</f>
        <v>988.81595345676794</v>
      </c>
      <c r="I26" s="23">
        <f>+H26*(1+'Input data'!I33/100)</f>
        <v>999.87118279672211</v>
      </c>
      <c r="J26" s="23">
        <f>+I26*(1+'Input data'!J33/100)</f>
        <v>1010.5610855759331</v>
      </c>
      <c r="K26" s="23">
        <f>+J26*(1+'Input data'!K33/100)</f>
        <v>1021.0134199401537</v>
      </c>
      <c r="L26" s="23">
        <f>+K26*(1+'Input data'!L33/100)</f>
        <v>1031.3514871210737</v>
      </c>
      <c r="M26" s="23">
        <f>+L26*(1+'Input data'!M33/100)</f>
        <v>1041.9392796067693</v>
      </c>
      <c r="N26" s="23">
        <f>+M26*(1+'Input data'!N33/100)</f>
        <v>1052.9311659400171</v>
      </c>
      <c r="O26" s="23">
        <f>+N26*(1+'Input data'!O33/100)</f>
        <v>1064.8640032556802</v>
      </c>
      <c r="P26" s="23">
        <f>+O26*(1+'Input data'!P33/100)</f>
        <v>1077.7664066538475</v>
      </c>
      <c r="Q26" s="23">
        <f>+P26*(1+'Input data'!Q33/100)</f>
        <v>1091.669593299682</v>
      </c>
      <c r="R26" s="23">
        <f>+Q26*(1+'Input data'!R33/100)</f>
        <v>1107.4988024025274</v>
      </c>
      <c r="S26" s="23">
        <f>+R26*(1+'Input data'!S33/100)</f>
        <v>1125.3295331212082</v>
      </c>
      <c r="T26" s="23">
        <f>+S26*(1+'Input data'!T33/100)</f>
        <v>1144.0100033710203</v>
      </c>
      <c r="U26" s="23">
        <f>+T26*(1+'Input data'!U33/100)</f>
        <v>1163.5725744286647</v>
      </c>
      <c r="V26" s="23"/>
      <c r="W26" s="23"/>
      <c r="X26" s="23"/>
      <c r="Y26" s="23"/>
      <c r="Z26" s="23"/>
      <c r="AA26" s="23"/>
      <c r="AB26" s="23"/>
      <c r="AC26" s="23"/>
      <c r="AD26" s="23"/>
      <c r="AE26" s="23"/>
      <c r="AF26" s="23"/>
      <c r="AG26" s="23"/>
      <c r="AH26" s="23"/>
      <c r="AI26" s="23"/>
      <c r="AJ26" s="23"/>
      <c r="AK26" s="23"/>
      <c r="AL26" s="23"/>
      <c r="AM26" s="23"/>
      <c r="AN26" s="23"/>
      <c r="AO26" s="23"/>
      <c r="AP26" s="23"/>
      <c r="AQ26" s="23"/>
      <c r="AR26" s="23"/>
      <c r="AS26" s="23"/>
      <c r="AT26" s="23"/>
    </row>
    <row r="27" spans="1:48" ht="5.25" customHeight="1" x14ac:dyDescent="0.2">
      <c r="C27" s="23"/>
      <c r="D27" s="23"/>
      <c r="E27" s="23"/>
      <c r="F27" s="23"/>
      <c r="G27" s="23"/>
      <c r="H27" s="23"/>
      <c r="I27" s="23"/>
      <c r="J27" s="23"/>
      <c r="K27" s="23"/>
      <c r="L27" s="23"/>
      <c r="M27" s="23"/>
      <c r="N27" s="23"/>
      <c r="O27" s="23"/>
      <c r="P27" s="23"/>
      <c r="Q27" s="23"/>
      <c r="R27" s="23"/>
      <c r="S27" s="23"/>
      <c r="T27" s="23"/>
      <c r="U27" s="23"/>
      <c r="V27" s="23"/>
      <c r="W27" s="23"/>
      <c r="X27" s="23"/>
      <c r="Y27" s="23"/>
      <c r="Z27" s="23"/>
      <c r="AA27" s="23"/>
      <c r="AB27" s="23"/>
      <c r="AC27" s="23"/>
      <c r="AD27" s="23"/>
      <c r="AE27" s="23"/>
      <c r="AF27" s="23"/>
      <c r="AG27" s="23"/>
      <c r="AH27" s="23"/>
      <c r="AI27" s="23"/>
      <c r="AJ27" s="23"/>
      <c r="AK27" s="23"/>
      <c r="AL27" s="23"/>
      <c r="AM27" s="23"/>
      <c r="AN27" s="23"/>
      <c r="AO27" s="23"/>
      <c r="AP27" s="23"/>
      <c r="AQ27" s="23"/>
      <c r="AR27" s="23"/>
      <c r="AS27" s="23"/>
      <c r="AT27" s="23"/>
    </row>
    <row r="28" spans="1:48" x14ac:dyDescent="0.2">
      <c r="B28" s="19" t="s">
        <v>58</v>
      </c>
      <c r="C28" s="23"/>
      <c r="D28" s="23"/>
      <c r="E28" s="23"/>
      <c r="F28" s="23"/>
      <c r="G28" s="23"/>
      <c r="H28" s="23"/>
      <c r="I28" s="23"/>
      <c r="J28" s="23"/>
      <c r="K28" s="23"/>
      <c r="L28" s="23"/>
      <c r="M28" s="23"/>
      <c r="N28" s="23"/>
      <c r="O28" s="23"/>
      <c r="P28" s="23"/>
      <c r="Q28" s="23"/>
      <c r="R28" s="23"/>
      <c r="S28" s="23"/>
      <c r="T28" s="23"/>
      <c r="U28" s="23"/>
      <c r="V28" s="23"/>
      <c r="W28" s="23"/>
      <c r="X28" s="23"/>
      <c r="Y28" s="23"/>
      <c r="Z28" s="23"/>
      <c r="AA28" s="23"/>
      <c r="AB28" s="23"/>
      <c r="AC28" s="23"/>
      <c r="AD28" s="23"/>
      <c r="AE28" s="23"/>
      <c r="AF28" s="23"/>
      <c r="AG28" s="23"/>
      <c r="AH28" s="23"/>
      <c r="AI28" s="23"/>
      <c r="AJ28" s="23"/>
      <c r="AK28" s="23"/>
      <c r="AL28" s="23"/>
      <c r="AM28" s="23"/>
      <c r="AN28" s="23"/>
      <c r="AO28" s="23"/>
      <c r="AP28" s="23"/>
      <c r="AQ28" s="23"/>
      <c r="AR28" s="23"/>
      <c r="AS28" s="23"/>
      <c r="AT28" s="23"/>
    </row>
    <row r="29" spans="1:48" x14ac:dyDescent="0.2">
      <c r="B29" s="15" t="s">
        <v>58</v>
      </c>
      <c r="C29" s="77">
        <f t="shared" ref="C29:R29" si="4">100*(C22/C26-1)</f>
        <v>-0.98858865718104427</v>
      </c>
      <c r="D29" s="77">
        <f t="shared" si="4"/>
        <v>-0.94926315565944108</v>
      </c>
      <c r="E29" s="23">
        <f t="shared" si="4"/>
        <v>-1.09820119520605</v>
      </c>
      <c r="F29" s="23">
        <f t="shared" si="4"/>
        <v>-0.81604080273102175</v>
      </c>
      <c r="G29" s="23">
        <f t="shared" si="4"/>
        <v>-0.54403071176881701</v>
      </c>
      <c r="H29" s="23">
        <f t="shared" si="4"/>
        <v>-0.27201359376500811</v>
      </c>
      <c r="I29" s="23">
        <f t="shared" si="4"/>
        <v>-9.9246313389755869E-7</v>
      </c>
      <c r="J29" s="23">
        <f t="shared" si="4"/>
        <v>-2.9713067561942808E-6</v>
      </c>
      <c r="K29" s="23">
        <f t="shared" si="4"/>
        <v>-2.9713067561942808E-6</v>
      </c>
      <c r="L29" s="23">
        <f t="shared" si="4"/>
        <v>-1.9813305773830336E-6</v>
      </c>
      <c r="M29" s="23">
        <f t="shared" si="4"/>
        <v>-3.9610072999352042E-6</v>
      </c>
      <c r="N29" s="23">
        <f t="shared" si="4"/>
        <v>1.9763565228814173E-6</v>
      </c>
      <c r="O29" s="23">
        <f t="shared" si="4"/>
        <v>3.9539446383685117E-6</v>
      </c>
      <c r="P29" s="23">
        <f t="shared" si="4"/>
        <v>9.8821163030393677E-6</v>
      </c>
      <c r="Q29" s="23">
        <f t="shared" si="4"/>
        <v>1.0869380728806277E-5</v>
      </c>
      <c r="R29" s="23">
        <f t="shared" si="4"/>
        <v>1.185508806678115E-5</v>
      </c>
      <c r="S29" s="23">
        <f t="shared" ref="S29:U29" si="5">100*(S22/S26-1)</f>
        <v>7.9184671930576656E-6</v>
      </c>
      <c r="T29" s="23">
        <f t="shared" si="5"/>
        <v>3.0001114925681804E-6</v>
      </c>
      <c r="U29" s="23">
        <f t="shared" si="5"/>
        <v>6.9328616181252301E-6</v>
      </c>
      <c r="V29" s="23"/>
      <c r="W29" s="23"/>
      <c r="X29" s="23"/>
      <c r="Y29" s="23"/>
      <c r="Z29" s="23"/>
      <c r="AA29" s="23"/>
      <c r="AB29" s="23"/>
      <c r="AC29" s="23"/>
      <c r="AD29" s="23"/>
      <c r="AE29" s="23"/>
      <c r="AF29" s="23"/>
      <c r="AG29" s="23"/>
      <c r="AH29" s="23"/>
      <c r="AI29" s="23"/>
      <c r="AJ29" s="23"/>
      <c r="AK29" s="23"/>
      <c r="AL29" s="23"/>
      <c r="AM29" s="23"/>
      <c r="AN29" s="23"/>
      <c r="AO29" s="23"/>
      <c r="AP29" s="23"/>
      <c r="AQ29" s="23"/>
      <c r="AR29" s="23"/>
      <c r="AS29" s="23"/>
      <c r="AT29" s="23"/>
    </row>
    <row r="30" spans="1:48" ht="5.25" customHeight="1" x14ac:dyDescent="0.2">
      <c r="C30" s="23"/>
      <c r="D30" s="23"/>
      <c r="E30" s="23"/>
      <c r="F30" s="23"/>
      <c r="G30" s="23"/>
      <c r="H30" s="23"/>
      <c r="I30" s="23"/>
      <c r="J30" s="23"/>
      <c r="K30" s="23"/>
      <c r="L30" s="23"/>
      <c r="M30" s="23"/>
      <c r="N30" s="23"/>
      <c r="O30" s="23"/>
      <c r="P30" s="23"/>
      <c r="Q30" s="23"/>
      <c r="R30" s="23"/>
      <c r="S30" s="23"/>
      <c r="T30" s="23"/>
      <c r="U30" s="23"/>
      <c r="V30" s="23"/>
      <c r="W30" s="23"/>
      <c r="X30" s="23"/>
      <c r="Y30" s="23"/>
      <c r="Z30" s="23"/>
      <c r="AA30" s="23"/>
      <c r="AB30" s="23"/>
      <c r="AC30" s="23"/>
      <c r="AD30" s="23"/>
      <c r="AE30" s="23"/>
      <c r="AF30" s="23"/>
      <c r="AG30" s="23"/>
      <c r="AH30" s="23"/>
      <c r="AI30" s="23"/>
      <c r="AJ30" s="23"/>
      <c r="AK30" s="23"/>
      <c r="AL30" s="23"/>
      <c r="AM30" s="23"/>
      <c r="AN30" s="23"/>
      <c r="AO30" s="23"/>
      <c r="AP30" s="23"/>
      <c r="AQ30" s="23"/>
      <c r="AR30" s="23"/>
      <c r="AS30" s="23"/>
      <c r="AT30" s="23"/>
    </row>
    <row r="31" spans="1:48" x14ac:dyDescent="0.2">
      <c r="B31" s="19" t="s">
        <v>59</v>
      </c>
      <c r="C31" s="23"/>
      <c r="D31" s="23"/>
      <c r="E31" s="23"/>
      <c r="F31" s="23"/>
      <c r="G31" s="23"/>
      <c r="H31" s="23"/>
      <c r="I31" s="23"/>
      <c r="J31" s="23"/>
      <c r="K31" s="23"/>
      <c r="L31" s="23"/>
      <c r="M31" s="23"/>
      <c r="N31" s="23"/>
      <c r="O31" s="23"/>
      <c r="P31" s="23"/>
      <c r="Q31" s="23"/>
      <c r="R31" s="23"/>
      <c r="S31" s="23"/>
      <c r="T31" s="23"/>
      <c r="U31" s="23"/>
      <c r="V31" s="23"/>
      <c r="W31" s="23"/>
      <c r="X31" s="23"/>
      <c r="Y31" s="23"/>
      <c r="Z31" s="23"/>
      <c r="AA31" s="23"/>
      <c r="AB31" s="23"/>
      <c r="AC31" s="23"/>
      <c r="AD31" s="23"/>
      <c r="AE31" s="23"/>
      <c r="AF31" s="23"/>
      <c r="AG31" s="23"/>
      <c r="AH31" s="23"/>
      <c r="AI31" s="23"/>
      <c r="AJ31" s="23"/>
      <c r="AK31" s="23"/>
      <c r="AL31" s="23"/>
      <c r="AM31" s="23"/>
      <c r="AN31" s="23"/>
      <c r="AO31" s="23"/>
      <c r="AP31" s="23"/>
      <c r="AQ31" s="23"/>
      <c r="AR31" s="23"/>
      <c r="AS31" s="23"/>
      <c r="AT31" s="23"/>
    </row>
    <row r="32" spans="1:48" x14ac:dyDescent="0.2">
      <c r="B32" s="15" t="s">
        <v>38</v>
      </c>
      <c r="C32" s="2">
        <f t="shared" ref="C32:U32" si="6">100*((1+C23/100)*(1+C41/100)-1)</f>
        <v>6.8873142405506904</v>
      </c>
      <c r="D32" s="2">
        <f t="shared" si="6"/>
        <v>4.9045765379128969</v>
      </c>
      <c r="E32" s="1">
        <f>100*((1+E23/100)*(1+E41/100)-1)</f>
        <v>4.5782425239369706</v>
      </c>
      <c r="F32" s="1">
        <f>100*((1+F23/100)*(1+F41/100)-1)</f>
        <v>3.7184495721874322</v>
      </c>
      <c r="G32" s="1">
        <f t="shared" si="6"/>
        <v>3.6791336722302503</v>
      </c>
      <c r="H32" s="1">
        <f t="shared" si="6"/>
        <v>3.5915233124137913</v>
      </c>
      <c r="I32" s="1">
        <f t="shared" si="6"/>
        <v>3.5936417729381498</v>
      </c>
      <c r="J32" s="1">
        <f t="shared" si="6"/>
        <v>3.2842140694721911</v>
      </c>
      <c r="K32" s="1">
        <f t="shared" si="6"/>
        <v>3.2709493337588658</v>
      </c>
      <c r="L32" s="1">
        <f t="shared" si="6"/>
        <v>3.2709977041380123</v>
      </c>
      <c r="M32" s="1">
        <f t="shared" si="6"/>
        <v>3.3076856907741092</v>
      </c>
      <c r="N32" s="1">
        <f t="shared" si="6"/>
        <v>3.3590038827999935</v>
      </c>
      <c r="O32" s="1">
        <f t="shared" si="6"/>
        <v>3.424979555340002</v>
      </c>
      <c r="P32" s="1">
        <f t="shared" si="6"/>
        <v>3.4909404480800266</v>
      </c>
      <c r="Q32" s="1">
        <f t="shared" si="6"/>
        <v>3.5568712223800203</v>
      </c>
      <c r="R32" s="1">
        <f t="shared" si="6"/>
        <v>3.7062490222399935</v>
      </c>
      <c r="S32" s="1">
        <f t="shared" si="6"/>
        <v>3.8555769116000116</v>
      </c>
      <c r="T32" s="1">
        <f t="shared" si="6"/>
        <v>3.8924484902000067</v>
      </c>
      <c r="U32" s="1">
        <f t="shared" si="6"/>
        <v>3.9293162872799936</v>
      </c>
      <c r="V32" s="1"/>
      <c r="W32" s="1"/>
      <c r="X32" s="1"/>
      <c r="Y32" s="1"/>
      <c r="Z32" s="1"/>
      <c r="AA32" s="1"/>
      <c r="AB32" s="1"/>
      <c r="AC32" s="1"/>
      <c r="AD32" s="1"/>
      <c r="AE32" s="1"/>
      <c r="AF32" s="1"/>
      <c r="AG32" s="1"/>
      <c r="AH32" s="1"/>
      <c r="AI32" s="1"/>
      <c r="AJ32" s="1"/>
      <c r="AK32" s="1"/>
      <c r="AL32" s="1"/>
      <c r="AM32" s="1"/>
      <c r="AN32" s="1"/>
      <c r="AO32" s="1"/>
      <c r="AP32" s="1"/>
      <c r="AQ32" s="1"/>
      <c r="AR32" s="1"/>
      <c r="AS32" s="1"/>
      <c r="AT32" s="1"/>
      <c r="AU32" s="1"/>
      <c r="AV32" s="1"/>
    </row>
    <row r="34" spans="2:49" x14ac:dyDescent="0.2">
      <c r="B34" s="17" t="s">
        <v>60</v>
      </c>
    </row>
    <row r="35" spans="2:49" x14ac:dyDescent="0.2">
      <c r="B35" s="15" t="s">
        <v>41</v>
      </c>
      <c r="C35" s="2">
        <f>'Input data'!C37</f>
        <v>1.6465860000000001</v>
      </c>
      <c r="D35" s="2">
        <f>'Input data'!D37</f>
        <v>1.72</v>
      </c>
      <c r="E35" s="2">
        <f>'Input data'!E37</f>
        <v>1.7322979999999999</v>
      </c>
      <c r="F35" s="2">
        <f>'Input data'!F37</f>
        <v>1.8261860000000001</v>
      </c>
      <c r="G35" s="1">
        <f t="shared" ref="G35:U35" si="7">G96</f>
        <v>1.9680345885373955</v>
      </c>
      <c r="H35" s="1">
        <f t="shared" si="7"/>
        <v>2.1106557186027199</v>
      </c>
      <c r="I35" s="1">
        <f t="shared" si="7"/>
        <v>2.253782130637568</v>
      </c>
      <c r="J35" s="1">
        <f t="shared" si="7"/>
        <v>2.3971883348548015</v>
      </c>
      <c r="K35" s="1">
        <f t="shared" si="7"/>
        <v>2.5478087731950136</v>
      </c>
      <c r="L35" s="1">
        <f t="shared" si="7"/>
        <v>2.7018156390287609</v>
      </c>
      <c r="M35" s="1">
        <f t="shared" si="7"/>
        <v>2.8561372267264309</v>
      </c>
      <c r="N35" s="1">
        <f t="shared" si="7"/>
        <v>3.0100965247570057</v>
      </c>
      <c r="O35" s="1">
        <f t="shared" si="7"/>
        <v>3.1304081336594631</v>
      </c>
      <c r="P35" s="1">
        <f t="shared" si="7"/>
        <v>3.2351419841690765</v>
      </c>
      <c r="Q35" s="1">
        <f t="shared" si="7"/>
        <v>3.3256290449846797</v>
      </c>
      <c r="R35" s="1">
        <f>R96</f>
        <v>3.4018080108266293</v>
      </c>
      <c r="S35" s="1">
        <f t="shared" si="7"/>
        <v>3.4664835190126508</v>
      </c>
      <c r="T35" s="1">
        <f t="shared" si="7"/>
        <v>3.5212030331876818</v>
      </c>
      <c r="U35" s="1">
        <f t="shared" si="7"/>
        <v>3.5677364448055031</v>
      </c>
      <c r="V35" s="45"/>
      <c r="W35" s="45"/>
      <c r="X35" s="45"/>
      <c r="Y35" s="45"/>
      <c r="Z35" s="45"/>
      <c r="AA35" s="45"/>
      <c r="AB35" s="45"/>
      <c r="AC35" s="45"/>
      <c r="AD35" s="45"/>
      <c r="AE35" s="45"/>
      <c r="AF35" s="45"/>
      <c r="AG35" s="45"/>
      <c r="AH35" s="45"/>
      <c r="AI35" s="45"/>
      <c r="AJ35" s="45"/>
      <c r="AK35" s="45"/>
      <c r="AL35" s="45"/>
      <c r="AM35" s="45"/>
      <c r="AN35" s="45"/>
      <c r="AO35" s="45"/>
      <c r="AP35" s="45"/>
      <c r="AQ35" s="45"/>
      <c r="AR35" s="45"/>
      <c r="AS35" s="45"/>
      <c r="AT35" s="45"/>
      <c r="AU35" s="45"/>
      <c r="AV35" s="45"/>
      <c r="AW35" s="46"/>
    </row>
    <row r="36" spans="2:49" x14ac:dyDescent="0.2">
      <c r="B36" s="21" t="s">
        <v>61</v>
      </c>
      <c r="C36" s="2">
        <f>'Input data'!C39</f>
        <v>2.6204999999999998</v>
      </c>
      <c r="D36" s="135">
        <f>'Input data'!D39</f>
        <v>2.78965</v>
      </c>
      <c r="E36" s="135">
        <f>'Input data'!E39</f>
        <v>2.8949530000000001</v>
      </c>
      <c r="F36" s="135">
        <f>'Input data'!F39</f>
        <v>3.0816759999999999</v>
      </c>
      <c r="G36" s="1">
        <f t="shared" ref="G36:M36" si="8">F36+($N$36-$F$36)/($N$10-$F$10)</f>
        <v>3.188669</v>
      </c>
      <c r="H36" s="1">
        <f t="shared" si="8"/>
        <v>3.2956620000000001</v>
      </c>
      <c r="I36" s="1">
        <f t="shared" si="8"/>
        <v>3.4026550000000002</v>
      </c>
      <c r="J36" s="1">
        <f t="shared" si="8"/>
        <v>3.5096480000000003</v>
      </c>
      <c r="K36" s="1">
        <f t="shared" si="8"/>
        <v>3.6166410000000004</v>
      </c>
      <c r="L36" s="1">
        <f t="shared" si="8"/>
        <v>3.7236340000000006</v>
      </c>
      <c r="M36" s="1">
        <f t="shared" si="8"/>
        <v>3.8306270000000007</v>
      </c>
      <c r="N36" s="175">
        <f>'Input data'!$C$52</f>
        <v>3.9376199999999999</v>
      </c>
      <c r="O36" s="1">
        <f>$N$36+('Input data'!$C$54-'Input data'!$C$52)/20*(O$10-$N$10)</f>
        <v>3.9407389999999998</v>
      </c>
      <c r="P36" s="1">
        <f>$N$36+('Input data'!$C$54-'Input data'!$C$52)/20*(P$10-$N$10)</f>
        <v>3.9438580000000001</v>
      </c>
      <c r="Q36" s="1">
        <f>$N$36+('Input data'!$C$54-'Input data'!$C$52)/20*(Q$10-$N$10)</f>
        <v>3.946977</v>
      </c>
      <c r="R36" s="1">
        <f>$N$36+('Input data'!$C$54-'Input data'!$C$52)/20*(R$10-$N$10)</f>
        <v>3.9500959999999998</v>
      </c>
      <c r="S36" s="1">
        <f>$N$36+('Input data'!$C$54-'Input data'!$C$52)/20*(S$10-$N$10)</f>
        <v>3.9532150000000001</v>
      </c>
      <c r="T36" s="1">
        <f>$N$36+('Input data'!$C$54-'Input data'!$C$52)/20*(T$10-$N$10)</f>
        <v>3.956334</v>
      </c>
      <c r="U36" s="1">
        <f>$N$36+('Input data'!$C$54-'Input data'!$C$52)/20*(U$10-$N$10)</f>
        <v>3.9594529999999999</v>
      </c>
      <c r="V36" s="45"/>
      <c r="W36" s="45"/>
      <c r="X36" s="45"/>
      <c r="Y36" s="45"/>
      <c r="Z36" s="45"/>
      <c r="AA36" s="45"/>
      <c r="AB36" s="45"/>
      <c r="AC36" s="45"/>
      <c r="AD36" s="45"/>
      <c r="AE36" s="45"/>
      <c r="AF36" s="45"/>
      <c r="AG36" s="45"/>
      <c r="AH36" s="45"/>
      <c r="AI36" s="45"/>
      <c r="AJ36" s="45"/>
      <c r="AK36" s="45"/>
      <c r="AL36" s="45"/>
      <c r="AM36" s="45"/>
      <c r="AN36" s="45"/>
      <c r="AO36" s="45"/>
      <c r="AP36" s="45"/>
      <c r="AQ36" s="45"/>
      <c r="AR36" s="45"/>
      <c r="AS36" s="45"/>
      <c r="AT36" s="45"/>
      <c r="AU36" s="45"/>
      <c r="AV36" s="45"/>
      <c r="AW36" s="46"/>
    </row>
    <row r="37" spans="2:49" x14ac:dyDescent="0.2">
      <c r="B37" s="21" t="s">
        <v>62</v>
      </c>
      <c r="C37" s="2">
        <f>'Input data'!C$38</f>
        <v>3.5708329999999999</v>
      </c>
      <c r="D37" s="135">
        <f>'Input data'!D$38</f>
        <v>2.1725829999999999</v>
      </c>
      <c r="E37" s="135">
        <f>'Input data'!E$38</f>
        <v>1.91225</v>
      </c>
      <c r="F37" s="135">
        <f>'Input data'!F$38</f>
        <v>2.024375</v>
      </c>
      <c r="G37" s="1">
        <f t="shared" ref="G37:M37" si="9">F37+($N$37-$F$37)/($N$10-$F$10)</f>
        <v>2.1784318750000002</v>
      </c>
      <c r="H37" s="1">
        <f t="shared" si="9"/>
        <v>2.3324887500000004</v>
      </c>
      <c r="I37" s="1">
        <f t="shared" si="9"/>
        <v>2.4865456250000006</v>
      </c>
      <c r="J37" s="1">
        <f t="shared" si="9"/>
        <v>2.6406025000000009</v>
      </c>
      <c r="K37" s="1">
        <f t="shared" si="9"/>
        <v>2.7946593750000011</v>
      </c>
      <c r="L37" s="1">
        <f t="shared" si="9"/>
        <v>2.9487162500000013</v>
      </c>
      <c r="M37" s="1">
        <f t="shared" si="9"/>
        <v>3.1027731250000015</v>
      </c>
      <c r="N37" s="175">
        <f>'Input data'!$C$53</f>
        <v>3.2568299999999999</v>
      </c>
      <c r="O37" s="1">
        <f>$N$37+('Input data'!$C$55-'Input data'!$C$53)/20*(O$10-$N$10)</f>
        <v>3.1939884999999997</v>
      </c>
      <c r="P37" s="1">
        <f>$N$37+('Input data'!$C$55-'Input data'!$C$53)/20*(P$10-$N$10)</f>
        <v>3.1311469999999999</v>
      </c>
      <c r="Q37" s="1">
        <f>$N$37+('Input data'!$C$55-'Input data'!$C$53)/20*(Q$10-$N$10)</f>
        <v>3.0683055000000001</v>
      </c>
      <c r="R37" s="1">
        <f>$N$37+('Input data'!$C$55-'Input data'!$C$53)/20*(R$10-$N$10)</f>
        <v>3.0054639999999999</v>
      </c>
      <c r="S37" s="1">
        <f>$N$37+('Input data'!$C$55-'Input data'!$C$53)/20*(S$10-$N$10)</f>
        <v>2.9426224999999997</v>
      </c>
      <c r="T37" s="1">
        <f>$N$37+('Input data'!$C$55-'Input data'!$C$53)/20*(T$10-$N$10)</f>
        <v>2.8797809999999999</v>
      </c>
      <c r="U37" s="1">
        <f>$N$37+('Input data'!$C$55-'Input data'!$C$53)/20*(U$10-$N$10)</f>
        <v>2.8169395000000002</v>
      </c>
      <c r="V37" s="45"/>
      <c r="W37" s="45"/>
      <c r="X37" s="45"/>
      <c r="Y37" s="45"/>
      <c r="Z37" s="45"/>
      <c r="AA37" s="45"/>
      <c r="AB37" s="45"/>
      <c r="AC37" s="45"/>
      <c r="AD37" s="45"/>
      <c r="AE37" s="45"/>
      <c r="AF37" s="45"/>
      <c r="AG37" s="45"/>
      <c r="AH37" s="45"/>
      <c r="AI37" s="45"/>
      <c r="AJ37" s="45"/>
      <c r="AK37" s="45"/>
      <c r="AL37" s="45"/>
      <c r="AM37" s="45"/>
      <c r="AN37" s="45"/>
      <c r="AO37" s="45"/>
      <c r="AP37" s="45"/>
      <c r="AQ37" s="45"/>
      <c r="AR37" s="45"/>
      <c r="AS37" s="45"/>
      <c r="AT37" s="45"/>
      <c r="AU37" s="45"/>
      <c r="AV37" s="45"/>
      <c r="AW37" s="46"/>
    </row>
    <row r="38" spans="2:49" x14ac:dyDescent="0.2">
      <c r="B38" s="15" t="s">
        <v>63</v>
      </c>
      <c r="C38" s="1">
        <v>8.8379020000000003E-2</v>
      </c>
      <c r="D38" s="1">
        <v>5.4600460000000003E-2</v>
      </c>
      <c r="E38" s="1">
        <v>5.7955769999999997E-2</v>
      </c>
      <c r="F38" s="1">
        <f>IF(OR($C$3="EL",$C$3="CY",$C$3="IE",$C$3="PT"),VLOOKUP($C$3,$B$110:$R$114,MATCH(F$10,$B$110:$R$110,0),0),$E$38+('Input data'!$C$59-$E$38)/($N$10-$E$10)*(F10-$E$10))</f>
        <v>6.131108111111111E-2</v>
      </c>
      <c r="G38" s="1">
        <f>IF(OR($C$3="EL",$C$3="CY",$C$3="IE",$C$3="PT"),VLOOKUP($C$3,$B$110:$R$114,MATCH(G$10,$B$110:$R$110,0),0),$E$38+('Input data'!$C$59-$E$38)/($N$10-$E$10)*(G10-$E$10))</f>
        <v>6.4666392222222216E-2</v>
      </c>
      <c r="H38" s="1">
        <f>IF(OR($C$3="EL",$C$3="CY",$C$3="IE",$C$3="PT"),VLOOKUP($C$3,$B$110:$R$114,MATCH(H$10,$B$110:$R$110,0),0),$E$38+('Input data'!$C$59-$E$38)/($N$10-$E$10)*(H10-$E$10))</f>
        <v>6.8021703333333336E-2</v>
      </c>
      <c r="I38" s="1">
        <f>IF(OR($C$3="EL",$C$3="CY",$C$3="IE",$C$3="PT"),VLOOKUP($C$3,$B$110:$R$114,MATCH(I$10,$B$110:$R$110,0),0),$E$38+('Input data'!$C$59-$E$38)/($N$10-$E$10)*(I10-$E$10))</f>
        <v>7.1377014444444442E-2</v>
      </c>
      <c r="J38" s="1">
        <f>IF(OR($C$3="EL",$C$3="CY",$C$3="IE",$C$3="PT"),VLOOKUP($C$3,$B$110:$R$114,MATCH(J$10,$B$110:$R$110,0),0),$E$38+('Input data'!$C$59-$E$38)/($N$10-$E$10)*(J10-$E$10))</f>
        <v>7.4732325555555562E-2</v>
      </c>
      <c r="K38" s="1">
        <f>IF(OR($C$3="EL",$C$3="CY",$C$3="IE",$C$3="PT"),VLOOKUP($C$3,$B$110:$R$114,MATCH(K$10,$B$110:$R$110,0),0),$E$38+('Input data'!$C$59-$E$38)/($N$10-$E$10)*(K10-$E$10))</f>
        <v>7.8087636666666668E-2</v>
      </c>
      <c r="L38" s="1">
        <f>IF(OR($C$3="EL",$C$3="CY",$C$3="IE",$C$3="PT"),VLOOKUP($C$3,$B$110:$R$114,MATCH(L$10,$B$110:$R$110,0),0),$E$38+('Input data'!$C$59-$E$38)/($N$10-$E$10)*(L10-$E$10))</f>
        <v>8.1442947777777774E-2</v>
      </c>
      <c r="M38" s="1">
        <f>IF(OR($C$3="EL",$C$3="CY",$C$3="IE",$C$3="PT"),VLOOKUP($C$3,$B$110:$R$114,MATCH(M$10,$B$110:$R$110,0),0),$E$38+('Input data'!$C$59-$E$38)/($N$10-$E$10)*(M10-$E$10))</f>
        <v>8.4798258888888894E-2</v>
      </c>
      <c r="N38" s="175">
        <f>IF(OR($C$3="EL",$C$3="CY",$C$3="IE",$C$3="PT"),VLOOKUP($C$3,$B$110:$R$114,MATCH(N$10,$B$110:$R$110,0),0),'Input data'!$C$59)</f>
        <v>8.8153570000000001E-2</v>
      </c>
      <c r="O38" s="1">
        <f>IF(OR($C$3="EL",$C$3="CY",$C$3="IE",$C$3="PT"),VLOOKUP($C$3,$B$110:$R$114,MATCH(O$10,$B$110:$R$110,0),0),'Input data'!$C$59)</f>
        <v>8.8153570000000001E-2</v>
      </c>
      <c r="P38" s="1">
        <f>IF(OR($C$3="EL",$C$3="CY",$C$3="IE",$C$3="PT"),VLOOKUP($C$3,$B$110:$R$114,MATCH(P$10,$B$110:$R$110,0),0),'Input data'!$C$59)</f>
        <v>8.8153570000000001E-2</v>
      </c>
      <c r="Q38" s="1">
        <f>IF(OR($C$3="EL",$C$3="CY",$C$3="IE",$C$3="PT"),VLOOKUP($C$3,$B$110:$R$114,MATCH(Q$10,$B$110:$R$110,0),0),'Input data'!$C$59)</f>
        <v>8.8153570000000001E-2</v>
      </c>
      <c r="R38" s="1">
        <f>IF(OR($C$3="EL",$C$3="CY",$C$3="IE",$C$3="PT"),VLOOKUP($C$3,$B$110:$R$114,MATCH(R$10,$B$110:$R$110,0),0),'Input data'!$C$59)</f>
        <v>8.8153570000000001E-2</v>
      </c>
      <c r="S38" s="1">
        <f>IF(OR($C$3="EL",$C$3="CY",$C$3="IE",$C$3="PT"),VLOOKUP($C$3,$B$110:$U$114,MATCH(S$10,$B$110:$U$110,0),0),'Input data'!$C$59)</f>
        <v>8.8153570000000001E-2</v>
      </c>
      <c r="T38" s="1">
        <f>IF(OR($C$3="EL",$C$3="CY",$C$3="IE",$C$3="PT"),VLOOKUP($C$3,$B$110:$U$114,MATCH(T$10,$B$110:$U$110,0),0),'Input data'!$C$59)</f>
        <v>8.8153570000000001E-2</v>
      </c>
      <c r="U38" s="1">
        <f>IF(OR($C$3="EL",$C$3="CY",$C$3="IE",$C$3="PT"),VLOOKUP($C$3,$B$110:$U$114,MATCH(U$10,$B$110:$U$110,0),0),'Input data'!$C$59)</f>
        <v>8.8153570000000001E-2</v>
      </c>
      <c r="V38" s="45"/>
      <c r="W38" s="45"/>
      <c r="X38" s="45"/>
      <c r="Y38" s="45"/>
      <c r="Z38" s="45"/>
      <c r="AA38" s="45"/>
      <c r="AB38" s="45"/>
      <c r="AC38" s="45"/>
      <c r="AD38" s="45"/>
      <c r="AE38" s="45"/>
      <c r="AF38" s="45"/>
      <c r="AG38" s="45"/>
      <c r="AH38" s="45"/>
      <c r="AI38" s="45"/>
      <c r="AJ38" s="45"/>
      <c r="AK38" s="45"/>
      <c r="AL38" s="45"/>
      <c r="AM38" s="45"/>
      <c r="AN38" s="45"/>
      <c r="AO38" s="45"/>
      <c r="AP38" s="45"/>
      <c r="AQ38" s="45"/>
      <c r="AR38" s="45"/>
      <c r="AS38" s="45"/>
      <c r="AT38" s="45"/>
      <c r="AU38" s="45"/>
      <c r="AV38" s="45"/>
      <c r="AW38" s="46"/>
    </row>
    <row r="39" spans="2:49" x14ac:dyDescent="0.2">
      <c r="C39" s="1"/>
      <c r="D39" s="1"/>
      <c r="E39" s="1"/>
      <c r="F39" s="1"/>
      <c r="G39" s="1"/>
      <c r="H39" s="1"/>
      <c r="I39" s="1"/>
      <c r="J39" s="1"/>
      <c r="K39" s="1"/>
      <c r="L39" s="1"/>
      <c r="M39" s="1"/>
      <c r="N39" s="1"/>
      <c r="O39" s="1"/>
      <c r="P39" s="1"/>
      <c r="Q39" s="1"/>
      <c r="R39" s="1"/>
      <c r="S39" s="1"/>
      <c r="T39" s="1"/>
      <c r="U39" s="1"/>
      <c r="V39" s="45"/>
      <c r="W39" s="45"/>
      <c r="X39" s="45"/>
      <c r="Y39" s="45"/>
      <c r="Z39" s="45"/>
      <c r="AA39" s="45"/>
      <c r="AB39" s="45"/>
      <c r="AC39" s="45"/>
      <c r="AD39" s="45"/>
      <c r="AE39" s="45"/>
      <c r="AF39" s="45"/>
      <c r="AG39" s="45"/>
      <c r="AH39" s="45"/>
      <c r="AI39" s="45"/>
      <c r="AJ39" s="45"/>
      <c r="AK39" s="45"/>
      <c r="AL39" s="45"/>
      <c r="AM39" s="45"/>
      <c r="AN39" s="45"/>
      <c r="AO39" s="45"/>
      <c r="AP39" s="45"/>
      <c r="AQ39" s="45"/>
      <c r="AR39" s="45"/>
      <c r="AS39" s="45"/>
      <c r="AT39" s="45"/>
      <c r="AU39" s="45"/>
      <c r="AV39" s="45"/>
      <c r="AW39" s="46"/>
    </row>
    <row r="40" spans="2:49" x14ac:dyDescent="0.2">
      <c r="B40" s="17" t="s">
        <v>64</v>
      </c>
      <c r="C40" s="1"/>
      <c r="D40" s="1"/>
      <c r="E40" s="80"/>
      <c r="F40" s="80"/>
      <c r="G40" s="80"/>
      <c r="H40" s="80"/>
      <c r="I40" s="80"/>
      <c r="J40" s="80"/>
      <c r="K40" s="80"/>
      <c r="L40" s="1"/>
      <c r="M40" s="80"/>
      <c r="N40" s="80"/>
      <c r="O40" s="80"/>
      <c r="P40" s="1"/>
      <c r="Q40" s="1"/>
      <c r="R40" s="1"/>
      <c r="S40" s="1"/>
      <c r="T40" s="1"/>
      <c r="U40" s="1"/>
      <c r="V40" s="45"/>
      <c r="W40" s="45"/>
      <c r="X40" s="45"/>
      <c r="Y40" s="45"/>
      <c r="Z40" s="45"/>
      <c r="AA40" s="45"/>
      <c r="AB40" s="45"/>
      <c r="AC40" s="45"/>
      <c r="AD40" s="45"/>
      <c r="AE40" s="45"/>
      <c r="AF40" s="45"/>
      <c r="AG40" s="45"/>
      <c r="AH40" s="45"/>
      <c r="AI40" s="45"/>
      <c r="AJ40" s="45"/>
      <c r="AK40" s="45"/>
      <c r="AL40" s="45"/>
      <c r="AM40" s="45"/>
      <c r="AN40" s="45"/>
      <c r="AO40" s="45"/>
      <c r="AP40" s="45"/>
      <c r="AQ40" s="45"/>
      <c r="AR40" s="45"/>
      <c r="AS40" s="45"/>
      <c r="AT40" s="45"/>
      <c r="AU40" s="45"/>
      <c r="AV40" s="45"/>
      <c r="AW40" s="46"/>
    </row>
    <row r="41" spans="2:49" x14ac:dyDescent="0.2">
      <c r="B41" s="15" t="s">
        <v>44</v>
      </c>
      <c r="C41" s="2">
        <f>'Input data'!C42</f>
        <v>5.7442140000000004</v>
      </c>
      <c r="D41" s="2">
        <f>'Input data'!D42</f>
        <v>3.1543869999999998</v>
      </c>
      <c r="E41" s="2">
        <f>'Input data'!E42</f>
        <v>3.262934</v>
      </c>
      <c r="F41" s="2">
        <f>'Input data'!F42</f>
        <v>2.103313</v>
      </c>
      <c r="G41" s="1">
        <f t="shared" ref="G41:M41" si="10">$F$41+($N$41-$F$41)/($N$10-$F$10)*(G10-$F$10)</f>
        <v>2.1253988750000001</v>
      </c>
      <c r="H41" s="1">
        <f t="shared" si="10"/>
        <v>2.1474847499999998</v>
      </c>
      <c r="I41" s="1">
        <f t="shared" si="10"/>
        <v>2.169570625</v>
      </c>
      <c r="J41" s="1">
        <f t="shared" si="10"/>
        <v>2.1916564999999997</v>
      </c>
      <c r="K41" s="1">
        <f t="shared" si="10"/>
        <v>2.2137423749999998</v>
      </c>
      <c r="L41" s="1">
        <f t="shared" si="10"/>
        <v>2.23582825</v>
      </c>
      <c r="M41" s="1">
        <f t="shared" si="10"/>
        <v>2.2579141249999997</v>
      </c>
      <c r="N41" s="175">
        <f>'Input data'!$C$61</f>
        <v>2.2799999999999998</v>
      </c>
      <c r="O41" s="1">
        <f>$N$41+('Input data'!$C$62-'Input data'!$C$61)/20*(O$10-$N$10)</f>
        <v>2.266</v>
      </c>
      <c r="P41" s="1">
        <f>$N$41+('Input data'!$C$62-'Input data'!$C$61)/20*(P$10-$N$10)</f>
        <v>2.2519999999999998</v>
      </c>
      <c r="Q41" s="1">
        <f>$N$41+('Input data'!$C$62-'Input data'!$C$61)/20*(Q$10-$N$10)</f>
        <v>2.238</v>
      </c>
      <c r="R41" s="1">
        <f>$N$41+('Input data'!$C$62-'Input data'!$C$61)/20*(R$10-$N$10)</f>
        <v>2.2239999999999998</v>
      </c>
      <c r="S41" s="1">
        <f>$N$41+('Input data'!$C$62-'Input data'!$C$61)/20*(S$10-$N$10)</f>
        <v>2.21</v>
      </c>
      <c r="T41" s="1">
        <f>$N$41+('Input data'!$C$62-'Input data'!$C$61)/20*(T$10-$N$10)</f>
        <v>2.1959999999999997</v>
      </c>
      <c r="U41" s="1">
        <f>$N$41+('Input data'!$C$62-'Input data'!$C$61)/20*(U$10-$N$10)</f>
        <v>2.1819999999999999</v>
      </c>
      <c r="V41" s="45"/>
      <c r="W41" s="45"/>
      <c r="X41" s="45"/>
      <c r="Y41" s="45"/>
      <c r="Z41" s="45"/>
      <c r="AA41" s="45"/>
      <c r="AB41" s="45"/>
      <c r="AC41" s="45"/>
      <c r="AD41" s="45"/>
      <c r="AE41" s="45"/>
      <c r="AF41" s="45"/>
      <c r="AG41" s="45"/>
      <c r="AH41" s="45"/>
      <c r="AI41" s="45"/>
      <c r="AJ41" s="45"/>
      <c r="AK41" s="45"/>
      <c r="AL41" s="45"/>
      <c r="AM41" s="45"/>
      <c r="AN41" s="45"/>
      <c r="AO41" s="45"/>
      <c r="AP41" s="45"/>
      <c r="AQ41" s="45"/>
      <c r="AR41" s="45"/>
      <c r="AS41" s="45"/>
      <c r="AT41" s="45"/>
      <c r="AU41" s="45"/>
      <c r="AV41" s="45"/>
      <c r="AW41" s="46"/>
    </row>
    <row r="42" spans="2:49" x14ac:dyDescent="0.2">
      <c r="B42" s="15" t="s">
        <v>65</v>
      </c>
      <c r="C42" s="1">
        <v>0.99999990000000005</v>
      </c>
      <c r="D42" s="1">
        <v>1</v>
      </c>
      <c r="E42" s="1">
        <v>1</v>
      </c>
      <c r="F42" s="1">
        <v>0.99999990000000005</v>
      </c>
      <c r="G42" s="1">
        <v>1</v>
      </c>
      <c r="H42" s="1">
        <v>1</v>
      </c>
      <c r="I42" s="1">
        <v>1</v>
      </c>
      <c r="J42" s="1">
        <v>1</v>
      </c>
      <c r="K42" s="1">
        <v>1</v>
      </c>
      <c r="L42" s="1">
        <v>1</v>
      </c>
      <c r="M42" s="1">
        <v>1</v>
      </c>
      <c r="N42" s="1">
        <v>1</v>
      </c>
      <c r="O42" s="1">
        <v>1</v>
      </c>
      <c r="P42" s="1">
        <v>1</v>
      </c>
      <c r="Q42" s="1">
        <v>1</v>
      </c>
      <c r="R42" s="1">
        <v>1</v>
      </c>
      <c r="S42" s="1">
        <v>1</v>
      </c>
      <c r="T42" s="1">
        <v>1</v>
      </c>
      <c r="U42" s="1">
        <v>1</v>
      </c>
      <c r="V42" s="1"/>
      <c r="W42" s="49"/>
      <c r="X42" s="49"/>
      <c r="Y42" s="49"/>
      <c r="Z42" s="49"/>
      <c r="AA42" s="49"/>
      <c r="AB42" s="49"/>
      <c r="AC42" s="49"/>
      <c r="AD42" s="49"/>
      <c r="AE42" s="49"/>
      <c r="AF42" s="49"/>
      <c r="AG42" s="49"/>
      <c r="AH42" s="49"/>
      <c r="AI42" s="49"/>
      <c r="AJ42" s="49"/>
      <c r="AK42" s="49"/>
      <c r="AL42" s="49"/>
      <c r="AM42" s="49"/>
      <c r="AN42" s="49"/>
      <c r="AO42" s="49"/>
      <c r="AP42" s="49"/>
      <c r="AQ42" s="49"/>
      <c r="AR42" s="49"/>
      <c r="AS42" s="49"/>
      <c r="AT42" s="49"/>
      <c r="AU42" s="49"/>
      <c r="AV42" s="49"/>
      <c r="AW42" s="46"/>
    </row>
    <row r="44" spans="2:49" s="56" customFormat="1" ht="12.75" x14ac:dyDescent="0.2">
      <c r="B44" s="60" t="s">
        <v>66</v>
      </c>
    </row>
    <row r="45" spans="2:49" x14ac:dyDescent="0.2">
      <c r="C45" s="25"/>
    </row>
    <row r="46" spans="2:49" x14ac:dyDescent="0.2">
      <c r="B46" s="40" t="s">
        <v>46</v>
      </c>
      <c r="C46" s="41">
        <f>'Input data'!C49</f>
        <v>0.6</v>
      </c>
    </row>
    <row r="47" spans="2:49" x14ac:dyDescent="0.2">
      <c r="B47" s="42" t="s">
        <v>177</v>
      </c>
      <c r="C47" s="43">
        <f>'Input data'!C50</f>
        <v>0.60499999999999998</v>
      </c>
    </row>
    <row r="48" spans="2:49" x14ac:dyDescent="0.2">
      <c r="C48" s="44"/>
    </row>
    <row r="49" spans="2:46" outlineLevel="1" x14ac:dyDescent="0.2">
      <c r="B49" s="15" t="s">
        <v>67</v>
      </c>
      <c r="C49" s="23">
        <v>0</v>
      </c>
      <c r="D49" s="23">
        <f>IF(AND(ABS((D12-C12)-('Input data'!D13-'Input data'!C13))&gt;0.0001,ABS(D12-C12)&gt;0.0001,D$10&gt;$C$5),4,IF(C49=4,3,IF(C49=3,2,IF(C49=2,1,0))))</f>
        <v>0</v>
      </c>
      <c r="E49" s="23">
        <f t="shared" ref="E49:U49" si="11">IF(AND(ABS(E12-D12)&gt;0.0001,E$10&gt;$C$5),4,IF(D49=4,3,IF(D49=3,2,IF(D49=2,1,0))))</f>
        <v>0</v>
      </c>
      <c r="F49" s="23">
        <f t="shared" si="11"/>
        <v>0</v>
      </c>
      <c r="G49" s="23">
        <f t="shared" si="11"/>
        <v>0</v>
      </c>
      <c r="H49" s="23">
        <f t="shared" si="11"/>
        <v>0</v>
      </c>
      <c r="I49" s="23">
        <f t="shared" si="11"/>
        <v>0</v>
      </c>
      <c r="J49" s="23">
        <f t="shared" si="11"/>
        <v>0</v>
      </c>
      <c r="K49" s="23">
        <f t="shared" si="11"/>
        <v>0</v>
      </c>
      <c r="L49" s="23">
        <f t="shared" si="11"/>
        <v>0</v>
      </c>
      <c r="M49" s="23">
        <f t="shared" si="11"/>
        <v>0</v>
      </c>
      <c r="N49" s="23">
        <f t="shared" si="11"/>
        <v>0</v>
      </c>
      <c r="O49" s="23">
        <f t="shared" si="11"/>
        <v>0</v>
      </c>
      <c r="P49" s="23">
        <f t="shared" si="11"/>
        <v>0</v>
      </c>
      <c r="Q49" s="23">
        <f t="shared" si="11"/>
        <v>0</v>
      </c>
      <c r="R49" s="23">
        <f t="shared" si="11"/>
        <v>0</v>
      </c>
      <c r="S49" s="23">
        <f t="shared" si="11"/>
        <v>0</v>
      </c>
      <c r="T49" s="23">
        <f t="shared" si="11"/>
        <v>0</v>
      </c>
      <c r="U49" s="23">
        <f t="shared" si="11"/>
        <v>0</v>
      </c>
      <c r="V49" s="23"/>
      <c r="W49" s="23"/>
      <c r="X49" s="23"/>
      <c r="Y49" s="23"/>
      <c r="Z49" s="23"/>
      <c r="AA49" s="23"/>
      <c r="AB49" s="23"/>
      <c r="AC49" s="23"/>
      <c r="AD49" s="23"/>
      <c r="AE49" s="23"/>
      <c r="AF49" s="23"/>
      <c r="AG49" s="23"/>
      <c r="AH49" s="23"/>
      <c r="AI49" s="23"/>
      <c r="AJ49" s="23"/>
      <c r="AK49" s="23"/>
      <c r="AL49" s="23"/>
      <c r="AM49" s="23"/>
      <c r="AN49" s="23"/>
      <c r="AO49" s="23"/>
      <c r="AP49" s="23"/>
      <c r="AQ49" s="23"/>
      <c r="AR49" s="23"/>
      <c r="AS49" s="23"/>
      <c r="AT49" s="23"/>
    </row>
    <row r="50" spans="2:46" outlineLevel="1" x14ac:dyDescent="0.2">
      <c r="B50" s="15" t="s">
        <v>68</v>
      </c>
      <c r="C50" s="23">
        <v>0</v>
      </c>
      <c r="D50" s="23">
        <f>IF(C49=4,2/3*C29,IF(C49=3,1/3*#REF!,0))</f>
        <v>0</v>
      </c>
      <c r="E50" s="23">
        <f t="shared" ref="E50:U50" si="12">IF(D49=4,2/3*D29,IF(D49=3,1/3*C29,0))</f>
        <v>0</v>
      </c>
      <c r="F50" s="23">
        <f t="shared" si="12"/>
        <v>0</v>
      </c>
      <c r="G50" s="23">
        <f t="shared" si="12"/>
        <v>0</v>
      </c>
      <c r="H50" s="23">
        <f t="shared" si="12"/>
        <v>0</v>
      </c>
      <c r="I50" s="23">
        <f t="shared" si="12"/>
        <v>0</v>
      </c>
      <c r="J50" s="23">
        <f t="shared" si="12"/>
        <v>0</v>
      </c>
      <c r="K50" s="23">
        <f t="shared" si="12"/>
        <v>0</v>
      </c>
      <c r="L50" s="23">
        <f t="shared" si="12"/>
        <v>0</v>
      </c>
      <c r="M50" s="23">
        <f t="shared" si="12"/>
        <v>0</v>
      </c>
      <c r="N50" s="23">
        <f t="shared" si="12"/>
        <v>0</v>
      </c>
      <c r="O50" s="23">
        <f t="shared" si="12"/>
        <v>0</v>
      </c>
      <c r="P50" s="23">
        <f t="shared" si="12"/>
        <v>0</v>
      </c>
      <c r="Q50" s="23">
        <f t="shared" si="12"/>
        <v>0</v>
      </c>
      <c r="R50" s="23">
        <f t="shared" si="12"/>
        <v>0</v>
      </c>
      <c r="S50" s="23">
        <f t="shared" si="12"/>
        <v>0</v>
      </c>
      <c r="T50" s="23">
        <f t="shared" si="12"/>
        <v>0</v>
      </c>
      <c r="U50" s="23">
        <f t="shared" si="12"/>
        <v>0</v>
      </c>
      <c r="V50" s="23"/>
      <c r="W50" s="23"/>
      <c r="X50" s="23"/>
      <c r="Y50" s="23"/>
      <c r="Z50" s="23"/>
      <c r="AA50" s="23"/>
      <c r="AB50" s="23"/>
      <c r="AC50" s="23"/>
      <c r="AD50" s="23"/>
      <c r="AE50" s="23"/>
      <c r="AF50" s="23"/>
      <c r="AG50" s="23"/>
      <c r="AH50" s="23"/>
      <c r="AI50" s="23"/>
      <c r="AJ50" s="23"/>
      <c r="AK50" s="23"/>
      <c r="AL50" s="23"/>
      <c r="AM50" s="23"/>
      <c r="AN50" s="23"/>
      <c r="AO50" s="23"/>
      <c r="AP50" s="23"/>
      <c r="AQ50" s="23"/>
      <c r="AR50" s="23"/>
      <c r="AS50" s="23"/>
      <c r="AT50" s="23"/>
    </row>
    <row r="51" spans="2:46" outlineLevel="1" x14ac:dyDescent="0.2">
      <c r="B51" s="15" t="s">
        <v>69</v>
      </c>
      <c r="C51" s="23">
        <v>0</v>
      </c>
      <c r="D51" s="23">
        <f>'Input data'!D30-$C$46*((D12-C12)-('Input data'!D13-'Input data'!C13))</f>
        <v>1.6966699999999999</v>
      </c>
      <c r="E51" s="23">
        <f>'Input data'!E30-$C$46*((E12-D12)-('Input data'!E13-'Input data'!D13))</f>
        <v>1.6083907</v>
      </c>
      <c r="F51" s="23">
        <f>'Input data'!F30-$C$46*((F12-E12))</f>
        <v>1.5818650000000001</v>
      </c>
      <c r="G51" s="23">
        <f>'Input data'!G30-$C$46*((G12-F12))</f>
        <v>1.5213989999999999</v>
      </c>
      <c r="H51" s="23">
        <f>'Input data'!H30-$C$46*((H12-G12))</f>
        <v>1.41368</v>
      </c>
      <c r="I51" s="23">
        <f>'Input data'!I30-$C$46*((I12-H12))</f>
        <v>1.393831</v>
      </c>
      <c r="J51" s="23">
        <f>'Input data'!J30-$C$46*((J12-I12))</f>
        <v>1.069126</v>
      </c>
      <c r="K51" s="23">
        <f>'Input data'!K30-$C$46*((K12-J12))</f>
        <v>1.0343100000000001</v>
      </c>
      <c r="L51" s="23">
        <f>'Input data'!L30-$C$46*((L12-K12))</f>
        <v>1.0125310000000001</v>
      </c>
      <c r="M51" s="23">
        <f>'Input data'!M30-$C$46*((M12-L12))</f>
        <v>1.0265919999999999</v>
      </c>
      <c r="N51" s="23">
        <f>'Input data'!N30-$C$46*((N12-M12))</f>
        <v>1.054951</v>
      </c>
      <c r="O51" s="23">
        <f>'Input data'!O30-$C$46*((O12-N12))</f>
        <v>1.1332990000000001</v>
      </c>
      <c r="P51" s="23">
        <f>'Input data'!P30-$C$46*((P12-O12))</f>
        <v>1.211654</v>
      </c>
      <c r="Q51" s="23">
        <f>'Input data'!Q30-$C$46*((Q12-P12))</f>
        <v>1.290001</v>
      </c>
      <c r="R51" s="23">
        <f>'Input data'!R30-$C$46*((R12-Q12))</f>
        <v>1.4500010000000001</v>
      </c>
      <c r="S51" s="23">
        <f>'Input data'!S30-$C$46*((S12-R12))</f>
        <v>1.609996</v>
      </c>
      <c r="T51" s="23">
        <f>'Input data'!T30-$C$46*((T12-S12))</f>
        <v>1.6599950000000001</v>
      </c>
      <c r="U51" s="23">
        <f>'Input data'!U30-$C$46*((U12-T12))</f>
        <v>1.7100040000000001</v>
      </c>
      <c r="V51" s="23"/>
      <c r="W51" s="23"/>
      <c r="X51" s="23"/>
      <c r="Y51" s="23"/>
      <c r="Z51" s="23"/>
      <c r="AA51" s="23"/>
      <c r="AB51" s="23"/>
      <c r="AC51" s="23"/>
      <c r="AD51" s="23"/>
      <c r="AE51" s="23"/>
      <c r="AF51" s="23"/>
      <c r="AG51" s="23"/>
      <c r="AH51" s="23"/>
      <c r="AI51" s="23"/>
      <c r="AJ51" s="23"/>
      <c r="AK51" s="23"/>
      <c r="AL51" s="23"/>
      <c r="AM51" s="23"/>
      <c r="AN51" s="23"/>
      <c r="AO51" s="23"/>
      <c r="AP51" s="23"/>
      <c r="AQ51" s="23"/>
      <c r="AR51" s="23"/>
      <c r="AS51" s="23"/>
      <c r="AT51" s="23"/>
    </row>
    <row r="53" spans="2:46" s="56" customFormat="1" ht="12.75" outlineLevel="1" x14ac:dyDescent="0.2">
      <c r="B53" s="57" t="s">
        <v>70</v>
      </c>
      <c r="C53" s="59"/>
      <c r="D53" s="58"/>
    </row>
    <row r="54" spans="2:46" outlineLevel="1" x14ac:dyDescent="0.2">
      <c r="B54" s="30"/>
      <c r="C54" s="31"/>
      <c r="D54" s="18"/>
    </row>
    <row r="55" spans="2:46" outlineLevel="1" x14ac:dyDescent="0.2">
      <c r="B55" s="65"/>
      <c r="C55" s="66">
        <f>'Input data'!$C$5-1</f>
        <v>2024</v>
      </c>
      <c r="D55" s="66">
        <f>C55+1</f>
        <v>2025</v>
      </c>
      <c r="E55" s="66">
        <f t="shared" ref="E55:U55" si="13">D55+1</f>
        <v>2026</v>
      </c>
      <c r="F55" s="66">
        <f t="shared" si="13"/>
        <v>2027</v>
      </c>
      <c r="G55" s="66">
        <f t="shared" si="13"/>
        <v>2028</v>
      </c>
      <c r="H55" s="66">
        <f t="shared" si="13"/>
        <v>2029</v>
      </c>
      <c r="I55" s="66">
        <f t="shared" si="13"/>
        <v>2030</v>
      </c>
      <c r="J55" s="66">
        <f t="shared" si="13"/>
        <v>2031</v>
      </c>
      <c r="K55" s="66">
        <f t="shared" si="13"/>
        <v>2032</v>
      </c>
      <c r="L55" s="66">
        <f t="shared" si="13"/>
        <v>2033</v>
      </c>
      <c r="M55" s="66">
        <f t="shared" si="13"/>
        <v>2034</v>
      </c>
      <c r="N55" s="66">
        <f t="shared" si="13"/>
        <v>2035</v>
      </c>
      <c r="O55" s="66">
        <f t="shared" si="13"/>
        <v>2036</v>
      </c>
      <c r="P55" s="66">
        <f t="shared" si="13"/>
        <v>2037</v>
      </c>
      <c r="Q55" s="66">
        <f t="shared" si="13"/>
        <v>2038</v>
      </c>
      <c r="R55" s="66">
        <f t="shared" si="13"/>
        <v>2039</v>
      </c>
      <c r="S55" s="66">
        <f t="shared" si="13"/>
        <v>2040</v>
      </c>
      <c r="T55" s="66">
        <f t="shared" si="13"/>
        <v>2041</v>
      </c>
      <c r="U55" s="66">
        <f t="shared" si="13"/>
        <v>2042</v>
      </c>
    </row>
    <row r="56" spans="2:46" ht="10.5" customHeight="1" outlineLevel="1" x14ac:dyDescent="0.2">
      <c r="B56" s="67" t="s">
        <v>71</v>
      </c>
      <c r="C56" s="32">
        <f>+'Input data'!C12</f>
        <v>43.748150000000003</v>
      </c>
      <c r="D56" s="32">
        <f>+C56+D57</f>
        <v>45.157610209173967</v>
      </c>
      <c r="E56" s="32">
        <f>+D56+E57</f>
        <v>47.86138493227363</v>
      </c>
      <c r="F56" s="32">
        <f t="shared" ref="F56:R56" si="14">+E56+F57</f>
        <v>48.251113767925901</v>
      </c>
      <c r="G56" s="32">
        <f t="shared" si="14"/>
        <v>48.658886297589476</v>
      </c>
      <c r="H56" s="32">
        <f t="shared" si="14"/>
        <v>49.108563868732105</v>
      </c>
      <c r="I56" s="32">
        <f t="shared" si="14"/>
        <v>49.559845131784883</v>
      </c>
      <c r="J56" s="32">
        <f t="shared" si="14"/>
        <v>50.526398348778315</v>
      </c>
      <c r="K56" s="32">
        <f t="shared" si="14"/>
        <v>51.770517719886442</v>
      </c>
      <c r="L56" s="32">
        <f t="shared" si="14"/>
        <v>53.188845724367795</v>
      </c>
      <c r="M56" s="32">
        <f t="shared" si="14"/>
        <v>54.765766831287095</v>
      </c>
      <c r="N56" s="32">
        <f t="shared" si="14"/>
        <v>56.49603640089309</v>
      </c>
      <c r="O56" s="32">
        <f t="shared" si="14"/>
        <v>58.456006967164342</v>
      </c>
      <c r="P56" s="32">
        <f>+O56+P57</f>
        <v>60.638138528929375</v>
      </c>
      <c r="Q56" s="32">
        <f t="shared" si="14"/>
        <v>62.835090774679905</v>
      </c>
      <c r="R56" s="32">
        <f t="shared" si="14"/>
        <v>65.088728236222039</v>
      </c>
      <c r="S56" s="32">
        <f t="shared" ref="S56" si="15">+R56+S57</f>
        <v>67.38871368178792</v>
      </c>
      <c r="T56" s="32">
        <f t="shared" ref="T56" si="16">+S56+T57</f>
        <v>69.897492014028487</v>
      </c>
      <c r="U56" s="32">
        <f t="shared" ref="U56" si="17">+T56+U57</f>
        <v>72.409632686836588</v>
      </c>
      <c r="V56" s="27"/>
      <c r="W56" s="27"/>
      <c r="X56" s="27"/>
      <c r="Y56" s="27"/>
      <c r="Z56" s="27"/>
      <c r="AA56" s="27"/>
      <c r="AB56" s="27"/>
      <c r="AC56" s="27"/>
      <c r="AD56" s="27"/>
      <c r="AE56" s="27"/>
      <c r="AF56" s="27"/>
      <c r="AG56" s="27"/>
      <c r="AH56" s="27"/>
      <c r="AI56" s="27"/>
      <c r="AJ56" s="27"/>
      <c r="AK56" s="27"/>
      <c r="AL56" s="27"/>
      <c r="AM56" s="27"/>
      <c r="AN56" s="27"/>
      <c r="AO56" s="27"/>
      <c r="AP56" s="27"/>
      <c r="AQ56" s="27"/>
      <c r="AR56" s="27"/>
      <c r="AS56" s="27"/>
      <c r="AT56" s="27"/>
    </row>
    <row r="57" spans="2:46" outlineLevel="1" x14ac:dyDescent="0.2">
      <c r="B57" s="68" t="s">
        <v>72</v>
      </c>
      <c r="C57" s="33"/>
      <c r="D57" s="33">
        <f>-D58+D66+D71</f>
        <v>1.4094602091739621</v>
      </c>
      <c r="E57" s="33">
        <f>-E58+E66+E71</f>
        <v>2.7037747230996598</v>
      </c>
      <c r="F57" s="33">
        <f t="shared" ref="F57:R57" si="18">-F58+F66+F71</f>
        <v>0.38972883565226746</v>
      </c>
      <c r="G57" s="33">
        <f t="shared" si="18"/>
        <v>0.40777252966357191</v>
      </c>
      <c r="H57" s="33">
        <f t="shared" si="18"/>
        <v>0.44967757114263152</v>
      </c>
      <c r="I57" s="33">
        <f t="shared" si="18"/>
        <v>0.4512812630527796</v>
      </c>
      <c r="J57" s="33">
        <f t="shared" si="18"/>
        <v>0.96655321699343499</v>
      </c>
      <c r="K57" s="33">
        <f t="shared" si="18"/>
        <v>1.24411937110813</v>
      </c>
      <c r="L57" s="33">
        <f t="shared" si="18"/>
        <v>1.4183280044813518</v>
      </c>
      <c r="M57" s="33">
        <f t="shared" si="18"/>
        <v>1.5769211069192974</v>
      </c>
      <c r="N57" s="33">
        <f t="shared" si="18"/>
        <v>1.730269569605994</v>
      </c>
      <c r="O57" s="33">
        <f t="shared" si="18"/>
        <v>1.959970566271249</v>
      </c>
      <c r="P57" s="33">
        <f>-P58+P66+P71</f>
        <v>2.1821315617650301</v>
      </c>
      <c r="Q57" s="33">
        <f t="shared" si="18"/>
        <v>2.1969522457505275</v>
      </c>
      <c r="R57" s="33">
        <f t="shared" si="18"/>
        <v>2.2536374615421311</v>
      </c>
      <c r="S57" s="33">
        <f t="shared" ref="S57:U57" si="19">-S58+S66+S71</f>
        <v>2.2999854455658757</v>
      </c>
      <c r="T57" s="33">
        <f t="shared" si="19"/>
        <v>2.5087783322405639</v>
      </c>
      <c r="U57" s="33">
        <f t="shared" si="19"/>
        <v>2.5121406728080951</v>
      </c>
    </row>
    <row r="58" spans="2:46" outlineLevel="1" x14ac:dyDescent="0.2">
      <c r="B58" s="64" t="s">
        <v>73</v>
      </c>
      <c r="C58" s="34"/>
      <c r="D58" s="34">
        <f>D59+D60-D61-D62-D63-D64-D65</f>
        <v>-1.157521209173962</v>
      </c>
      <c r="E58" s="34">
        <f t="shared" ref="E58:R58" si="20">E59+E60-E61-E62-E63-E64-E65</f>
        <v>-1.91799572309966</v>
      </c>
      <c r="F58" s="34">
        <f t="shared" si="20"/>
        <v>-1.2629248856522675</v>
      </c>
      <c r="G58" s="34">
        <f t="shared" si="20"/>
        <v>-1.204098980620135</v>
      </c>
      <c r="H58" s="34">
        <f t="shared" si="20"/>
        <v>-1.1452689242278249</v>
      </c>
      <c r="I58" s="34">
        <f t="shared" si="20"/>
        <v>-1.0864417004401925</v>
      </c>
      <c r="J58" s="34">
        <f t="shared" si="20"/>
        <v>-1.3921831976405845</v>
      </c>
      <c r="K58" s="34">
        <f t="shared" si="20"/>
        <v>-1.5979234976405841</v>
      </c>
      <c r="L58" s="34">
        <f t="shared" si="20"/>
        <v>-1.7036631987049971</v>
      </c>
      <c r="M58" s="34">
        <f t="shared" si="20"/>
        <v>-1.8094046964094121</v>
      </c>
      <c r="N58" s="34">
        <f t="shared" si="20"/>
        <v>-1.9151415043043007</v>
      </c>
      <c r="O58" s="34">
        <f t="shared" si="20"/>
        <v>-2.1208806078634899</v>
      </c>
      <c r="P58" s="34">
        <f t="shared" si="20"/>
        <v>-2.3266172213196326</v>
      </c>
      <c r="Q58" s="34">
        <f t="shared" si="20"/>
        <v>-2.3323570240246547</v>
      </c>
      <c r="R58" s="34">
        <f t="shared" si="20"/>
        <v>-2.4380967276717169</v>
      </c>
      <c r="S58" s="34">
        <f t="shared" ref="S58:U58" si="21">S59+S60-S61-S62-S63-S64-S65</f>
        <v>-2.5438394093273433</v>
      </c>
      <c r="T58" s="34">
        <f t="shared" si="21"/>
        <v>-2.7495826849325447</v>
      </c>
      <c r="U58" s="34">
        <f t="shared" si="21"/>
        <v>-2.7553206056187189</v>
      </c>
    </row>
    <row r="59" spans="2:46" outlineLevel="1" x14ac:dyDescent="0.2">
      <c r="B59" s="63" t="s">
        <v>74</v>
      </c>
      <c r="C59" s="1"/>
      <c r="D59" s="1">
        <f>D12</f>
        <v>-0.55773950000000005</v>
      </c>
      <c r="E59" s="1">
        <f t="shared" ref="E59:U59" si="22">IF(E12="",D59,E12)</f>
        <v>-0.55773950000000005</v>
      </c>
      <c r="F59" s="1">
        <f t="shared" si="22"/>
        <v>-0.55773950000000005</v>
      </c>
      <c r="G59" s="1">
        <f t="shared" si="22"/>
        <v>-0.55773950000000005</v>
      </c>
      <c r="H59" s="1">
        <f t="shared" si="22"/>
        <v>-0.55773950000000005</v>
      </c>
      <c r="I59" s="1">
        <f t="shared" si="22"/>
        <v>-0.55773950000000005</v>
      </c>
      <c r="J59" s="1">
        <f t="shared" si="22"/>
        <v>-0.55773950000000005</v>
      </c>
      <c r="K59" s="1">
        <f t="shared" si="22"/>
        <v>-0.55773950000000005</v>
      </c>
      <c r="L59" s="1">
        <f t="shared" si="22"/>
        <v>-0.55773950000000005</v>
      </c>
      <c r="M59" s="1">
        <f t="shared" si="22"/>
        <v>-0.55773950000000005</v>
      </c>
      <c r="N59" s="1">
        <f t="shared" si="22"/>
        <v>-0.55773950000000005</v>
      </c>
      <c r="O59" s="1">
        <f t="shared" si="22"/>
        <v>-0.55773950000000005</v>
      </c>
      <c r="P59" s="1">
        <f t="shared" si="22"/>
        <v>-0.55773950000000005</v>
      </c>
      <c r="Q59" s="1">
        <f t="shared" si="22"/>
        <v>-0.55773950000000005</v>
      </c>
      <c r="R59" s="1">
        <f t="shared" si="22"/>
        <v>-0.55773950000000005</v>
      </c>
      <c r="S59" s="1">
        <f t="shared" si="22"/>
        <v>-0.55773950000000005</v>
      </c>
      <c r="T59" s="1">
        <f t="shared" si="22"/>
        <v>-0.55773950000000005</v>
      </c>
      <c r="U59" s="1">
        <f t="shared" si="22"/>
        <v>-0.55773950000000005</v>
      </c>
    </row>
    <row r="60" spans="2:46" outlineLevel="1" x14ac:dyDescent="0.2">
      <c r="B60" s="63" t="s">
        <v>75</v>
      </c>
      <c r="C60" s="1"/>
      <c r="D60" s="1">
        <v>0</v>
      </c>
      <c r="E60" s="1">
        <v>0</v>
      </c>
      <c r="F60" s="1">
        <v>0</v>
      </c>
      <c r="G60" s="1">
        <v>0</v>
      </c>
      <c r="H60" s="1">
        <v>0</v>
      </c>
      <c r="I60" s="1">
        <v>0</v>
      </c>
      <c r="J60" s="1">
        <v>0</v>
      </c>
      <c r="K60" s="1">
        <v>0</v>
      </c>
      <c r="L60" s="1">
        <v>0</v>
      </c>
      <c r="M60" s="1">
        <v>0</v>
      </c>
      <c r="N60" s="1">
        <v>0</v>
      </c>
      <c r="O60" s="1">
        <v>0</v>
      </c>
      <c r="P60" s="1">
        <v>0</v>
      </c>
      <c r="Q60" s="1">
        <v>0</v>
      </c>
      <c r="R60" s="1">
        <v>0</v>
      </c>
      <c r="S60" s="1">
        <v>0</v>
      </c>
      <c r="T60" s="1">
        <v>0</v>
      </c>
      <c r="U60" s="1">
        <v>0</v>
      </c>
    </row>
    <row r="61" spans="2:46" outlineLevel="1" x14ac:dyDescent="0.2">
      <c r="B61" s="63" t="s">
        <v>76</v>
      </c>
      <c r="C61" s="1"/>
      <c r="D61" s="1">
        <f t="shared" ref="D61:U61" si="23">-$C$47*D29</f>
        <v>0.57430420917396185</v>
      </c>
      <c r="E61" s="1">
        <f t="shared" si="23"/>
        <v>0.66441172309966023</v>
      </c>
      <c r="F61" s="1">
        <f t="shared" si="23"/>
        <v>0.49370468565226816</v>
      </c>
      <c r="G61" s="1">
        <f t="shared" si="23"/>
        <v>0.32913858062013429</v>
      </c>
      <c r="H61" s="1">
        <f t="shared" si="23"/>
        <v>0.16456822422782991</v>
      </c>
      <c r="I61" s="1">
        <f t="shared" si="23"/>
        <v>6.0044019600802301E-7</v>
      </c>
      <c r="J61" s="1">
        <f t="shared" si="23"/>
        <v>1.7976405874975399E-6</v>
      </c>
      <c r="K61" s="1">
        <f t="shared" si="23"/>
        <v>1.7976405874975399E-6</v>
      </c>
      <c r="L61" s="1">
        <f t="shared" si="23"/>
        <v>1.1987049993167354E-6</v>
      </c>
      <c r="M61" s="1">
        <f t="shared" si="23"/>
        <v>2.3964094164607985E-6</v>
      </c>
      <c r="N61" s="1">
        <f t="shared" si="23"/>
        <v>-1.1956956963432575E-6</v>
      </c>
      <c r="O61" s="1">
        <f t="shared" si="23"/>
        <v>-2.3921365062129496E-6</v>
      </c>
      <c r="P61" s="1">
        <f t="shared" si="23"/>
        <v>-5.9786803633388175E-6</v>
      </c>
      <c r="Q61" s="1">
        <f t="shared" si="23"/>
        <v>-6.5759753409277977E-6</v>
      </c>
      <c r="R61" s="1">
        <f t="shared" si="23"/>
        <v>-7.1723282804025956E-6</v>
      </c>
      <c r="S61" s="1">
        <f t="shared" si="23"/>
        <v>-4.7906726517998877E-6</v>
      </c>
      <c r="T61" s="1">
        <f t="shared" si="23"/>
        <v>-1.8150674530037492E-6</v>
      </c>
      <c r="U61" s="1">
        <f t="shared" si="23"/>
        <v>-4.1943812789657642E-6</v>
      </c>
    </row>
    <row r="62" spans="2:46" outlineLevel="1" x14ac:dyDescent="0.2">
      <c r="B62" s="63" t="s">
        <v>77</v>
      </c>
      <c r="C62" s="1"/>
      <c r="D62" s="1">
        <f t="shared" ref="D62:U62" si="24">-D13</f>
        <v>2.54775E-2</v>
      </c>
      <c r="E62" s="1">
        <f t="shared" si="24"/>
        <v>0.69010419999999995</v>
      </c>
      <c r="F62" s="1">
        <f t="shared" si="24"/>
        <v>0</v>
      </c>
      <c r="G62" s="1">
        <f t="shared" si="24"/>
        <v>0</v>
      </c>
      <c r="H62" s="1">
        <f t="shared" si="24"/>
        <v>0</v>
      </c>
      <c r="I62" s="1">
        <f t="shared" si="24"/>
        <v>0</v>
      </c>
      <c r="J62" s="1">
        <f t="shared" si="24"/>
        <v>0</v>
      </c>
      <c r="K62" s="1">
        <f t="shared" si="24"/>
        <v>0</v>
      </c>
      <c r="L62" s="1">
        <f t="shared" si="24"/>
        <v>0</v>
      </c>
      <c r="M62" s="1">
        <f t="shared" si="24"/>
        <v>0</v>
      </c>
      <c r="N62" s="1">
        <f t="shared" si="24"/>
        <v>0</v>
      </c>
      <c r="O62" s="1">
        <f t="shared" si="24"/>
        <v>0</v>
      </c>
      <c r="P62" s="1">
        <f t="shared" si="24"/>
        <v>0</v>
      </c>
      <c r="Q62" s="1">
        <f t="shared" si="24"/>
        <v>0</v>
      </c>
      <c r="R62" s="1">
        <f t="shared" si="24"/>
        <v>0</v>
      </c>
      <c r="S62" s="1">
        <f t="shared" si="24"/>
        <v>0</v>
      </c>
      <c r="T62" s="1">
        <f t="shared" si="24"/>
        <v>0</v>
      </c>
      <c r="U62" s="1">
        <f t="shared" si="24"/>
        <v>0</v>
      </c>
    </row>
    <row r="63" spans="2:46" outlineLevel="1" x14ac:dyDescent="0.2">
      <c r="B63" s="63" t="s">
        <v>78</v>
      </c>
      <c r="C63" s="1"/>
      <c r="D63" s="1">
        <f>IF(D$55&lt;=$C$5,0,HLOOKUP(D$55,'Input data'!$C$9:$AZ$26,12,FALSE)-HLOOKUP($C$5,'Input data'!$C$9:$AZ$26,12,FALSE))</f>
        <v>0</v>
      </c>
      <c r="E63" s="1">
        <f>IF(E$55&lt;=$C$5,0,HLOOKUP(E$55,'Input data'!$C$9:$AZ$26,12,FALSE)-HLOOKUP($C$5,'Input data'!$C$9:$AZ$26,12,FALSE))</f>
        <v>0</v>
      </c>
      <c r="F63" s="1">
        <f>IF(F$55&lt;=$C$5,0,HLOOKUP(F$55,'Input data'!$C$9:$AZ$26,12,FALSE)-HLOOKUP($C$5,'Input data'!$C$9:$AZ$26,12,FALSE))</f>
        <v>0.19999999999999929</v>
      </c>
      <c r="G63" s="1">
        <f>IF(G$55&lt;=$C$5,0,HLOOKUP(G$55,'Input data'!$C$9:$AZ$26,12,FALSE)-HLOOKUP($C$5,'Input data'!$C$9:$AZ$26,12,FALSE))</f>
        <v>0.30000000000000071</v>
      </c>
      <c r="H63" s="1">
        <f>IF(H$55&lt;=$C$5,0,HLOOKUP(H$55,'Input data'!$C$9:$AZ$26,12,FALSE)-HLOOKUP($C$5,'Input data'!$C$9:$AZ$26,12,FALSE))</f>
        <v>0.39999999999999503</v>
      </c>
      <c r="I63" s="1">
        <f>IF(I$55&lt;=$C$5,0,HLOOKUP(I$55,'Input data'!$C$9:$AZ$26,12,FALSE)-HLOOKUP($C$5,'Input data'!$C$9:$AZ$26,12,FALSE))</f>
        <v>0.49999999999999645</v>
      </c>
      <c r="J63" s="1">
        <f>IF(J$55&lt;=$C$5,0,HLOOKUP(J$55,'Input data'!$C$9:$AZ$26,12,FALSE)-HLOOKUP($C$5,'Input data'!$C$9:$AZ$26,12,FALSE))</f>
        <v>0.79999999999999716</v>
      </c>
      <c r="K63" s="1">
        <f>IF(K$55&lt;=$C$5,0,HLOOKUP(K$55,'Input data'!$C$9:$AZ$26,12,FALSE)-HLOOKUP($C$5,'Input data'!$C$9:$AZ$26,12,FALSE))</f>
        <v>0.99999999999999645</v>
      </c>
      <c r="L63" s="1">
        <f>IF(L$55&lt;=$C$5,0,HLOOKUP(L$55,'Input data'!$C$9:$AZ$26,12,FALSE)-HLOOKUP($C$5,'Input data'!$C$9:$AZ$26,12,FALSE))</f>
        <v>1.0999999999999979</v>
      </c>
      <c r="M63" s="1">
        <f>IF(M$55&lt;=$C$5,0,HLOOKUP(M$55,'Input data'!$C$9:$AZ$26,12,FALSE)-HLOOKUP($C$5,'Input data'!$C$9:$AZ$26,12,FALSE))</f>
        <v>1.1999999999999957</v>
      </c>
      <c r="N63" s="1">
        <f>IF(N$55&lt;=$C$5,0,HLOOKUP(N$55,'Input data'!$C$9:$AZ$26,12,FALSE)-HLOOKUP($C$5,'Input data'!$C$9:$AZ$26,12,FALSE))</f>
        <v>1.2999999999999972</v>
      </c>
      <c r="O63" s="1">
        <f>IF(O$55&lt;=$C$5,0,HLOOKUP(O$55,'Input data'!$C$9:$AZ$26,12,FALSE)-HLOOKUP($C$5,'Input data'!$C$9:$AZ$26,12,FALSE))</f>
        <v>1.4999999999999964</v>
      </c>
      <c r="P63" s="1">
        <f>IF(P$55&lt;=$C$5,0,HLOOKUP(P$55,'Input data'!$C$9:$AZ$26,12,FALSE)-HLOOKUP($C$5,'Input data'!$C$9:$AZ$26,12,FALSE))</f>
        <v>1.6999999999999957</v>
      </c>
      <c r="Q63" s="1">
        <f>IF(Q$55&lt;=$C$5,0,HLOOKUP(Q$55,'Input data'!$C$9:$AZ$26,12,FALSE)-HLOOKUP($C$5,'Input data'!$C$9:$AZ$26,12,FALSE))</f>
        <v>1.6999999999999957</v>
      </c>
      <c r="R63" s="1">
        <f>IF(R$55&lt;=$C$5,0,HLOOKUP(R$55,'Input data'!$C$9:$AZ$26,12,FALSE)-HLOOKUP($C$5,'Input data'!$C$9:$AZ$26,12,FALSE))</f>
        <v>1.7999999999999972</v>
      </c>
      <c r="S63" s="1">
        <f>IF(S$55&lt;=$C$5,0,HLOOKUP(S$55,'Input data'!$C$9:$AZ$26,12,FALSE)-HLOOKUP($C$5,'Input data'!$C$9:$AZ$26,12,FALSE))</f>
        <v>1.899999999999995</v>
      </c>
      <c r="T63" s="1">
        <f>IF(T$55&lt;=$C$5,0,HLOOKUP(T$55,'Input data'!$C$9:$AZ$26,12,FALSE)-HLOOKUP($C$5,'Input data'!$C$9:$AZ$26,12,FALSE))</f>
        <v>2.0999999999999979</v>
      </c>
      <c r="U63" s="1">
        <f>IF(U$55&lt;=$C$5,0,HLOOKUP(U$55,'Input data'!$C$9:$AZ$26,12,FALSE)-HLOOKUP($C$5,'Input data'!$C$9:$AZ$26,12,FALSE))</f>
        <v>2.0999999999999979</v>
      </c>
    </row>
    <row r="64" spans="2:46" outlineLevel="1" x14ac:dyDescent="0.2">
      <c r="B64" s="63" t="s">
        <v>79</v>
      </c>
      <c r="C64" s="1"/>
      <c r="D64" s="1">
        <f>IF(D$55&lt;=$C$5,0,-HLOOKUP(D$55,'Input data'!$C$9:$AZ$26,18,FALSE)+HLOOKUP($C$5,'Input data'!$C$9:$AZ$26,18,FALSE))</f>
        <v>0</v>
      </c>
      <c r="E64" s="1">
        <f>IF(E$55&lt;=$C$5,0,-HLOOKUP(E$55,'Input data'!$C$9:$AZ$26,18,FALSE)+HLOOKUP($C$5,'Input data'!$C$9:$AZ$26,18,FALSE))</f>
        <v>5.7402999999999205E-3</v>
      </c>
      <c r="F64" s="1">
        <f>IF(F$55&lt;=$C$5,0,-HLOOKUP(F$55,'Input data'!$C$9:$AZ$26,18,FALSE)+HLOOKUP($C$5,'Input data'!$C$9:$AZ$26,18,FALSE))</f>
        <v>1.1480699999999899E-2</v>
      </c>
      <c r="G64" s="1">
        <f>IF(G$55&lt;=$C$5,0,-HLOOKUP(G$55,'Input data'!$C$9:$AZ$26,18,FALSE)+HLOOKUP($C$5,'Input data'!$C$9:$AZ$26,18,FALSE))</f>
        <v>1.7220899999999983E-2</v>
      </c>
      <c r="H64" s="1">
        <f>IF(H$55&lt;=$C$5,0,-HLOOKUP(H$55,'Input data'!$C$9:$AZ$26,18,FALSE)+HLOOKUP($C$5,'Input data'!$C$9:$AZ$26,18,FALSE))</f>
        <v>2.2961199999999904E-2</v>
      </c>
      <c r="I64" s="1">
        <f>IF(I$55&lt;=$C$5,0,-HLOOKUP(I$55,'Input data'!$C$9:$AZ$26,18,FALSE)+HLOOKUP($C$5,'Input data'!$C$9:$AZ$26,18,FALSE))</f>
        <v>2.8701599999999994E-2</v>
      </c>
      <c r="J64" s="1">
        <f>IF(J$55&lt;=$C$5,0,-HLOOKUP(J$55,'Input data'!$C$9:$AZ$26,18,FALSE)+HLOOKUP($C$5,'Input data'!$C$9:$AZ$26,18,FALSE))</f>
        <v>3.4441899999999914E-2</v>
      </c>
      <c r="K64" s="1">
        <f>IF(K$55&lt;=$C$5,0,-HLOOKUP(K$55,'Input data'!$C$9:$AZ$26,18,FALSE)+HLOOKUP($C$5,'Input data'!$C$9:$AZ$26,18,FALSE))</f>
        <v>4.0182199999999946E-2</v>
      </c>
      <c r="L64" s="1">
        <f>IF(L$55&lt;=$C$5,0,-HLOOKUP(L$55,'Input data'!$C$9:$AZ$26,18,FALSE)+HLOOKUP($C$5,'Input data'!$C$9:$AZ$26,18,FALSE))</f>
        <v>4.5922499999999977E-2</v>
      </c>
      <c r="M64" s="1">
        <f>IF(M$55&lt;=$C$5,0,-HLOOKUP(M$55,'Input data'!$C$9:$AZ$26,18,FALSE)+HLOOKUP($C$5,'Input data'!$C$9:$AZ$26,18,FALSE))</f>
        <v>5.1662799999999898E-2</v>
      </c>
      <c r="N64" s="1">
        <f>IF(N$55&lt;=$C$5,0,-HLOOKUP(N$55,'Input data'!$C$9:$AZ$26,18,FALSE)+HLOOKUP($C$5,'Input data'!$C$9:$AZ$26,18,FALSE))</f>
        <v>5.7403199999999988E-2</v>
      </c>
      <c r="O64" s="1">
        <f>IF(O$55&lt;=$C$5,0,-HLOOKUP(O$55,'Input data'!$C$9:$AZ$26,18,FALSE)+HLOOKUP($C$5,'Input data'!$C$9:$AZ$26,18,FALSE))</f>
        <v>6.3143499999999908E-2</v>
      </c>
      <c r="P64" s="1">
        <f>IF(P$55&lt;=$C$5,0,-HLOOKUP(P$55,'Input data'!$C$9:$AZ$26,18,FALSE)+HLOOKUP($C$5,'Input data'!$C$9:$AZ$26,18,FALSE))</f>
        <v>6.8883699999999992E-2</v>
      </c>
      <c r="Q64" s="1">
        <f>IF(Q$55&lt;=$C$5,0,-HLOOKUP(Q$55,'Input data'!$C$9:$AZ$26,18,FALSE)+HLOOKUP($C$5,'Input data'!$C$9:$AZ$26,18,FALSE))</f>
        <v>7.4624099999999971E-2</v>
      </c>
      <c r="R64" s="1">
        <f>IF(R$55&lt;=$C$5,0,-HLOOKUP(R$55,'Input data'!$C$9:$AZ$26,18,FALSE)+HLOOKUP($C$5,'Input data'!$C$9:$AZ$26,18,FALSE))</f>
        <v>8.0364400000000002E-2</v>
      </c>
      <c r="S64" s="1">
        <f>IF(S$55&lt;=$C$5,0,-HLOOKUP(S$55,'Input data'!$C$9:$AZ$26,18,FALSE)+HLOOKUP($C$5,'Input data'!$C$9:$AZ$26,18,FALSE))</f>
        <v>8.6104699999999923E-2</v>
      </c>
      <c r="T64" s="1">
        <f>IF(T$55&lt;=$C$5,0,-HLOOKUP(T$55,'Input data'!$C$9:$AZ$26,18,FALSE)+HLOOKUP($C$5,'Input data'!$C$9:$AZ$26,18,FALSE))</f>
        <v>9.1844999999999954E-2</v>
      </c>
      <c r="U64" s="1">
        <f>IF(U$55&lt;=$C$5,0,-HLOOKUP(U$55,'Input data'!$C$9:$AZ$26,18,FALSE)+HLOOKUP($C$5,'Input data'!$C$9:$AZ$26,18,FALSE))</f>
        <v>9.7585299999999986E-2</v>
      </c>
    </row>
    <row r="65" spans="2:21" outlineLevel="1" x14ac:dyDescent="0.2">
      <c r="B65" s="63" t="s">
        <v>80</v>
      </c>
      <c r="C65" s="26"/>
      <c r="D65" s="26">
        <v>0</v>
      </c>
      <c r="E65" s="26">
        <v>0</v>
      </c>
      <c r="F65" s="26">
        <v>0</v>
      </c>
      <c r="G65" s="26">
        <v>0</v>
      </c>
      <c r="H65" s="26">
        <v>0</v>
      </c>
      <c r="I65" s="26">
        <v>0</v>
      </c>
      <c r="J65" s="26">
        <v>0</v>
      </c>
      <c r="K65" s="26">
        <v>0</v>
      </c>
      <c r="L65" s="26">
        <v>0</v>
      </c>
      <c r="M65" s="26">
        <v>0</v>
      </c>
      <c r="N65" s="26">
        <v>0</v>
      </c>
      <c r="O65" s="26">
        <v>0</v>
      </c>
      <c r="P65" s="26">
        <v>0</v>
      </c>
      <c r="Q65" s="26">
        <v>0</v>
      </c>
      <c r="R65" s="26">
        <v>0</v>
      </c>
      <c r="S65" s="26">
        <v>0</v>
      </c>
      <c r="T65" s="26">
        <v>0</v>
      </c>
      <c r="U65" s="26">
        <v>0</v>
      </c>
    </row>
    <row r="66" spans="2:21" outlineLevel="1" x14ac:dyDescent="0.2">
      <c r="B66" s="64" t="s">
        <v>81</v>
      </c>
      <c r="C66" s="34"/>
      <c r="D66" s="34">
        <f t="shared" ref="D66:R66" si="25">SUM(D67:D70)</f>
        <v>-1.328058</v>
      </c>
      <c r="E66" s="34">
        <f>SUM(E67:E70)</f>
        <v>-1.228898</v>
      </c>
      <c r="F66" s="34">
        <f t="shared" si="25"/>
        <v>-0.87319400000000003</v>
      </c>
      <c r="G66" s="34">
        <f t="shared" si="25"/>
        <v>-0.79632645095656307</v>
      </c>
      <c r="H66" s="34">
        <f t="shared" si="25"/>
        <v>-0.69559135308519338</v>
      </c>
      <c r="I66" s="34">
        <f t="shared" si="25"/>
        <v>-0.6351604373874129</v>
      </c>
      <c r="J66" s="34">
        <f t="shared" si="25"/>
        <v>-0.42562998064714952</v>
      </c>
      <c r="K66" s="34">
        <f t="shared" si="25"/>
        <v>-0.35380412653245419</v>
      </c>
      <c r="L66" s="34">
        <f t="shared" si="25"/>
        <v>-0.28533519422364528</v>
      </c>
      <c r="M66" s="34">
        <f t="shared" si="25"/>
        <v>-0.23248358949011461</v>
      </c>
      <c r="N66" s="34">
        <f t="shared" si="25"/>
        <v>-0.18487193469830676</v>
      </c>
      <c r="O66" s="34">
        <f t="shared" si="25"/>
        <v>-0.16091004159224087</v>
      </c>
      <c r="P66" s="34">
        <f t="shared" si="25"/>
        <v>-0.14448565955460224</v>
      </c>
      <c r="Q66" s="34">
        <f t="shared" si="25"/>
        <v>-0.13540477827412722</v>
      </c>
      <c r="R66" s="34">
        <f t="shared" si="25"/>
        <v>-0.18445926612958585</v>
      </c>
      <c r="S66" s="34">
        <f t="shared" ref="S66:U66" si="26">SUM(S67:S70)</f>
        <v>-0.24385396376146762</v>
      </c>
      <c r="T66" s="34">
        <f t="shared" si="26"/>
        <v>-0.24080435269198075</v>
      </c>
      <c r="U66" s="34">
        <f t="shared" si="26"/>
        <v>-0.24317993281062367</v>
      </c>
    </row>
    <row r="67" spans="2:21" outlineLevel="1" x14ac:dyDescent="0.2">
      <c r="B67" s="63" t="s">
        <v>82</v>
      </c>
      <c r="C67" s="23"/>
      <c r="D67" s="23">
        <f t="shared" ref="D67:U67" si="27">C56*D35/100*(1/(1+D32/100))</f>
        <v>0.71728822977332674</v>
      </c>
      <c r="E67" s="23">
        <f t="shared" si="27"/>
        <v>0.74801828719034313</v>
      </c>
      <c r="F67" s="23">
        <f t="shared" si="27"/>
        <v>0.8427024455576394</v>
      </c>
      <c r="G67" s="23">
        <f t="shared" si="27"/>
        <v>0.91590137250698755</v>
      </c>
      <c r="H67" s="23">
        <f t="shared" si="27"/>
        <v>0.99141467700127472</v>
      </c>
      <c r="I67" s="23">
        <f t="shared" si="27"/>
        <v>1.0684053752180684</v>
      </c>
      <c r="J67" s="23">
        <f t="shared" si="27"/>
        <v>1.1502656402769718</v>
      </c>
      <c r="K67" s="23">
        <f t="shared" si="27"/>
        <v>1.2465422446628132</v>
      </c>
      <c r="L67" s="23">
        <f t="shared" si="27"/>
        <v>1.3544402351658511</v>
      </c>
      <c r="M67" s="23">
        <f t="shared" si="27"/>
        <v>1.4705066840302141</v>
      </c>
      <c r="N67" s="23">
        <f t="shared" si="27"/>
        <v>1.5949287263007628</v>
      </c>
      <c r="O67" s="23">
        <f t="shared" si="27"/>
        <v>1.7099897203677572</v>
      </c>
      <c r="P67" s="23">
        <f t="shared" si="27"/>
        <v>1.8273433553464422</v>
      </c>
      <c r="Q67" s="23">
        <f t="shared" si="27"/>
        <v>1.9473353370493749</v>
      </c>
      <c r="R67" s="23">
        <f t="shared" si="27"/>
        <v>2.0611382358693238</v>
      </c>
      <c r="S67" s="23">
        <f t="shared" si="27"/>
        <v>2.1725266029421646</v>
      </c>
      <c r="T67" s="23">
        <f t="shared" si="27"/>
        <v>2.2839902848310576</v>
      </c>
      <c r="U67" s="23">
        <f t="shared" si="27"/>
        <v>2.3994753219546809</v>
      </c>
    </row>
    <row r="68" spans="2:21" outlineLevel="1" x14ac:dyDescent="0.2">
      <c r="B68" s="63" t="s">
        <v>83</v>
      </c>
      <c r="C68" s="23"/>
      <c r="D68" s="23">
        <f t="shared" ref="D68:U68" si="28">-C56*(D23/100)*(1/(1+D32/100))</f>
        <v>-0.70755896558692444</v>
      </c>
      <c r="E68" s="23">
        <f t="shared" si="28"/>
        <v>-0.55001278605288351</v>
      </c>
      <c r="F68" s="23">
        <f t="shared" si="28"/>
        <v>-0.72995932727664936</v>
      </c>
      <c r="G68" s="23">
        <f t="shared" si="28"/>
        <v>-0.70804214537019083</v>
      </c>
      <c r="H68" s="23">
        <f t="shared" si="28"/>
        <v>-0.6640320769656366</v>
      </c>
      <c r="I68" s="23">
        <f t="shared" si="28"/>
        <v>-0.66074555845569027</v>
      </c>
      <c r="J68" s="23">
        <f t="shared" si="28"/>
        <v>-0.51300888004748524</v>
      </c>
      <c r="K68" s="23">
        <f t="shared" si="28"/>
        <v>-0.50604704820933921</v>
      </c>
      <c r="L68" s="23">
        <f t="shared" si="28"/>
        <v>-0.50758930622139165</v>
      </c>
      <c r="M68" s="23">
        <f t="shared" si="28"/>
        <v>-0.52854967318996404</v>
      </c>
      <c r="N68" s="23">
        <f t="shared" si="28"/>
        <v>-0.55897597997311532</v>
      </c>
      <c r="O68" s="23">
        <f t="shared" si="28"/>
        <v>-0.61906612727766241</v>
      </c>
      <c r="P68" s="23">
        <f t="shared" si="28"/>
        <v>-0.68439280152571624</v>
      </c>
      <c r="Q68" s="23">
        <f t="shared" si="28"/>
        <v>-0.75536522508949966</v>
      </c>
      <c r="R68" s="23">
        <f t="shared" si="28"/>
        <v>-0.87854825834880723</v>
      </c>
      <c r="S68" s="23">
        <f t="shared" si="28"/>
        <v>-1.0090222905853394</v>
      </c>
      <c r="T68" s="23">
        <f t="shared" si="28"/>
        <v>-1.076737812938845</v>
      </c>
      <c r="U68" s="23">
        <f t="shared" si="28"/>
        <v>-1.1500603987768707</v>
      </c>
    </row>
    <row r="69" spans="2:21" outlineLevel="1" x14ac:dyDescent="0.2">
      <c r="B69" s="63" t="s">
        <v>84</v>
      </c>
      <c r="C69" s="23"/>
      <c r="D69" s="23">
        <f t="shared" ref="D69:U69" si="29">-C56*D41/100*(1/(1+D41/100))</f>
        <v>-1.337786977824317</v>
      </c>
      <c r="E69" s="23">
        <f t="shared" si="29"/>
        <v>-1.4269040787690661</v>
      </c>
      <c r="F69" s="23">
        <f t="shared" si="29"/>
        <v>-0.98593738213034521</v>
      </c>
      <c r="G69" s="23">
        <f t="shared" si="29"/>
        <v>-1.0041856780933598</v>
      </c>
      <c r="H69" s="23">
        <f t="shared" si="29"/>
        <v>-1.0229739531208315</v>
      </c>
      <c r="I69" s="23">
        <f t="shared" si="29"/>
        <v>-1.0428202541497911</v>
      </c>
      <c r="J69" s="23">
        <f t="shared" si="29"/>
        <v>-1.062886740876636</v>
      </c>
      <c r="K69" s="23">
        <f t="shared" si="29"/>
        <v>-1.0942993229859281</v>
      </c>
      <c r="L69" s="23">
        <f t="shared" si="29"/>
        <v>-1.1321861231681047</v>
      </c>
      <c r="M69" s="23">
        <f t="shared" si="29"/>
        <v>-1.1744406003303647</v>
      </c>
      <c r="N69" s="23">
        <f t="shared" si="29"/>
        <v>-1.2208246810259542</v>
      </c>
      <c r="O69" s="23">
        <f t="shared" si="29"/>
        <v>-1.2518336346823358</v>
      </c>
      <c r="P69" s="23">
        <f t="shared" si="29"/>
        <v>-1.2874362133753283</v>
      </c>
      <c r="Q69" s="23">
        <f t="shared" si="29"/>
        <v>-1.3273748902340023</v>
      </c>
      <c r="R69" s="23">
        <f t="shared" si="29"/>
        <v>-1.3670492436501025</v>
      </c>
      <c r="S69" s="23">
        <f t="shared" si="29"/>
        <v>-1.4073582761182928</v>
      </c>
      <c r="T69" s="23">
        <f t="shared" si="29"/>
        <v>-1.4480568245841934</v>
      </c>
      <c r="U69" s="23">
        <f t="shared" si="29"/>
        <v>-1.4925948559884339</v>
      </c>
    </row>
    <row r="70" spans="2:21" outlineLevel="1" x14ac:dyDescent="0.2">
      <c r="B70" s="63" t="s">
        <v>85</v>
      </c>
      <c r="C70" s="35"/>
      <c r="D70" s="35">
        <v>-2.8636208515564476E-7</v>
      </c>
      <c r="E70" s="35">
        <v>5.7763160654644707E-7</v>
      </c>
      <c r="F70" s="35">
        <v>2.638493551421206E-7</v>
      </c>
      <c r="G70" s="35">
        <v>0</v>
      </c>
      <c r="H70" s="35">
        <v>0</v>
      </c>
      <c r="I70" s="35">
        <v>0</v>
      </c>
      <c r="J70" s="35">
        <v>0</v>
      </c>
      <c r="K70" s="35">
        <v>0</v>
      </c>
      <c r="L70" s="35">
        <v>0</v>
      </c>
      <c r="M70" s="35">
        <v>0</v>
      </c>
      <c r="N70" s="35">
        <v>0</v>
      </c>
      <c r="O70" s="35">
        <v>0</v>
      </c>
      <c r="P70" s="35">
        <v>0</v>
      </c>
      <c r="Q70" s="35">
        <v>0</v>
      </c>
      <c r="R70" s="35">
        <v>0</v>
      </c>
      <c r="S70" s="35">
        <v>0</v>
      </c>
      <c r="T70" s="35">
        <v>0</v>
      </c>
      <c r="U70" s="35">
        <v>0</v>
      </c>
    </row>
    <row r="71" spans="2:21" outlineLevel="1" x14ac:dyDescent="0.2">
      <c r="B71" s="64" t="s">
        <v>86</v>
      </c>
      <c r="C71" s="36"/>
      <c r="D71" s="36">
        <f>'Input data'!D16</f>
        <v>1.5799970000000001</v>
      </c>
      <c r="E71" s="36">
        <f>'Input data'!E16</f>
        <v>2.0146769999999998</v>
      </c>
      <c r="F71" s="36">
        <f>'Input data'!F16</f>
        <v>-2.0499999999999999E-6</v>
      </c>
      <c r="G71" s="36">
        <f>'Input data'!G16</f>
        <v>0</v>
      </c>
      <c r="H71" s="36">
        <f>'Input data'!H16</f>
        <v>0</v>
      </c>
      <c r="I71" s="36">
        <f>'Input data'!I16</f>
        <v>0</v>
      </c>
      <c r="J71" s="36">
        <f>'Input data'!J16</f>
        <v>0</v>
      </c>
      <c r="K71" s="36">
        <f>'Input data'!K16</f>
        <v>0</v>
      </c>
      <c r="L71" s="36">
        <f>'Input data'!L16</f>
        <v>0</v>
      </c>
      <c r="M71" s="36">
        <f>'Input data'!M16</f>
        <v>0</v>
      </c>
      <c r="N71" s="36">
        <f>'Input data'!N16</f>
        <v>0</v>
      </c>
      <c r="O71" s="36">
        <f>'Input data'!O16</f>
        <v>0</v>
      </c>
      <c r="P71" s="36">
        <f>'Input data'!P16</f>
        <v>0</v>
      </c>
      <c r="Q71" s="36">
        <f>'Input data'!Q16</f>
        <v>0</v>
      </c>
      <c r="R71" s="36">
        <f>'Input data'!R16</f>
        <v>0</v>
      </c>
      <c r="S71" s="36">
        <f>'Input data'!S16</f>
        <v>0</v>
      </c>
      <c r="T71" s="36">
        <f>'Input data'!T16</f>
        <v>0</v>
      </c>
      <c r="U71" s="36">
        <f>'Input data'!U16</f>
        <v>0</v>
      </c>
    </row>
    <row r="72" spans="2:21" outlineLevel="1" x14ac:dyDescent="0.2">
      <c r="B72" s="63" t="s">
        <v>87</v>
      </c>
      <c r="C72" s="23"/>
      <c r="D72" s="23">
        <f t="shared" ref="D72:U72" si="30">D14</f>
        <v>1.579996</v>
      </c>
      <c r="E72" s="23">
        <f t="shared" si="30"/>
        <v>2.014675</v>
      </c>
      <c r="F72" s="23">
        <f t="shared" si="30"/>
        <v>0</v>
      </c>
      <c r="G72" s="23">
        <f t="shared" si="30"/>
        <v>0</v>
      </c>
      <c r="H72" s="23">
        <f t="shared" si="30"/>
        <v>0</v>
      </c>
      <c r="I72" s="23">
        <f t="shared" si="30"/>
        <v>0</v>
      </c>
      <c r="J72" s="23">
        <f t="shared" si="30"/>
        <v>0</v>
      </c>
      <c r="K72" s="23">
        <f t="shared" si="30"/>
        <v>0</v>
      </c>
      <c r="L72" s="23">
        <f t="shared" si="30"/>
        <v>0</v>
      </c>
      <c r="M72" s="23">
        <f t="shared" si="30"/>
        <v>0</v>
      </c>
      <c r="N72" s="23">
        <f t="shared" si="30"/>
        <v>0</v>
      </c>
      <c r="O72" s="23">
        <f t="shared" si="30"/>
        <v>0</v>
      </c>
      <c r="P72" s="23">
        <f t="shared" si="30"/>
        <v>0</v>
      </c>
      <c r="Q72" s="23">
        <f t="shared" si="30"/>
        <v>0</v>
      </c>
      <c r="R72" s="23">
        <f t="shared" si="30"/>
        <v>0</v>
      </c>
      <c r="S72" s="23">
        <f t="shared" si="30"/>
        <v>0</v>
      </c>
      <c r="T72" s="23">
        <f t="shared" si="30"/>
        <v>0</v>
      </c>
      <c r="U72" s="23">
        <f t="shared" si="30"/>
        <v>0</v>
      </c>
    </row>
    <row r="73" spans="2:21" outlineLevel="1" x14ac:dyDescent="0.2">
      <c r="B73" s="69" t="s">
        <v>88</v>
      </c>
      <c r="C73" s="35"/>
      <c r="D73" s="35">
        <f>+D71-D72</f>
        <v>1.000000000139778E-6</v>
      </c>
      <c r="E73" s="35">
        <f t="shared" ref="E73:R73" si="31">+E71-E72</f>
        <v>1.9999999998354667E-6</v>
      </c>
      <c r="F73" s="35">
        <f t="shared" si="31"/>
        <v>-2.0499999999999999E-6</v>
      </c>
      <c r="G73" s="35">
        <f t="shared" si="31"/>
        <v>0</v>
      </c>
      <c r="H73" s="35">
        <f t="shared" si="31"/>
        <v>0</v>
      </c>
      <c r="I73" s="35">
        <f t="shared" si="31"/>
        <v>0</v>
      </c>
      <c r="J73" s="35">
        <f t="shared" si="31"/>
        <v>0</v>
      </c>
      <c r="K73" s="35">
        <f t="shared" si="31"/>
        <v>0</v>
      </c>
      <c r="L73" s="35">
        <f t="shared" si="31"/>
        <v>0</v>
      </c>
      <c r="M73" s="35">
        <f t="shared" si="31"/>
        <v>0</v>
      </c>
      <c r="N73" s="35">
        <f t="shared" si="31"/>
        <v>0</v>
      </c>
      <c r="O73" s="35">
        <f t="shared" si="31"/>
        <v>0</v>
      </c>
      <c r="P73" s="35">
        <f t="shared" si="31"/>
        <v>0</v>
      </c>
      <c r="Q73" s="35">
        <f t="shared" si="31"/>
        <v>0</v>
      </c>
      <c r="R73" s="35">
        <f t="shared" si="31"/>
        <v>0</v>
      </c>
      <c r="S73" s="35">
        <f t="shared" ref="S73:U73" si="32">+S71-S72</f>
        <v>0</v>
      </c>
      <c r="T73" s="35">
        <f t="shared" si="32"/>
        <v>0</v>
      </c>
      <c r="U73" s="35">
        <f t="shared" si="32"/>
        <v>0</v>
      </c>
    </row>
    <row r="74" spans="2:21" outlineLevel="1" x14ac:dyDescent="0.2">
      <c r="B74" s="63"/>
      <c r="C74" s="23"/>
      <c r="D74" s="23"/>
      <c r="E74" s="23"/>
      <c r="F74" s="23"/>
      <c r="G74" s="23"/>
      <c r="H74" s="23"/>
      <c r="I74" s="23"/>
      <c r="J74" s="23"/>
      <c r="K74" s="23"/>
      <c r="L74" s="23"/>
      <c r="M74" s="23"/>
      <c r="N74" s="23"/>
      <c r="O74" s="23"/>
      <c r="P74" s="23"/>
      <c r="Q74" s="23"/>
      <c r="R74" s="23"/>
      <c r="S74" s="23"/>
      <c r="T74" s="23"/>
      <c r="U74" s="23"/>
    </row>
    <row r="75" spans="2:21" ht="10.5" customHeight="1" outlineLevel="1" x14ac:dyDescent="0.2">
      <c r="B75" s="70" t="s">
        <v>89</v>
      </c>
    </row>
    <row r="76" spans="2:21" x14ac:dyDescent="0.2">
      <c r="B76" s="61" t="s">
        <v>19</v>
      </c>
      <c r="C76" s="62">
        <v>-0.94488970000000005</v>
      </c>
      <c r="D76" s="62">
        <f>D58-D67-D70</f>
        <v>-1.8748091525852035</v>
      </c>
      <c r="E76" s="62">
        <f t="shared" ref="E76:U76" si="33">E58-E67-E70</f>
        <v>-2.6660145879216097</v>
      </c>
      <c r="F76" s="62">
        <f t="shared" si="33"/>
        <v>-2.105627595059262</v>
      </c>
      <c r="G76" s="62">
        <f t="shared" si="33"/>
        <v>-2.1200003531271223</v>
      </c>
      <c r="H76" s="62">
        <f t="shared" si="33"/>
        <v>-2.1366836012290995</v>
      </c>
      <c r="I76" s="62">
        <f t="shared" si="33"/>
        <v>-2.1548470756582612</v>
      </c>
      <c r="J76" s="62">
        <f t="shared" si="33"/>
        <v>-2.542448837917556</v>
      </c>
      <c r="K76" s="62">
        <f t="shared" si="33"/>
        <v>-2.844465742303397</v>
      </c>
      <c r="L76" s="62">
        <f t="shared" si="33"/>
        <v>-3.0581034338708482</v>
      </c>
      <c r="M76" s="62">
        <f t="shared" si="33"/>
        <v>-3.2799113804396263</v>
      </c>
      <c r="N76" s="62">
        <f t="shared" si="33"/>
        <v>-3.5100702306050637</v>
      </c>
      <c r="O76" s="62">
        <f t="shared" si="33"/>
        <v>-3.8308703282312471</v>
      </c>
      <c r="P76" s="62">
        <f t="shared" si="33"/>
        <v>-4.1539605766660745</v>
      </c>
      <c r="Q76" s="62">
        <f t="shared" si="33"/>
        <v>-4.2796923610740301</v>
      </c>
      <c r="R76" s="62">
        <f t="shared" si="33"/>
        <v>-4.4992349635410402</v>
      </c>
      <c r="S76" s="62">
        <f t="shared" si="33"/>
        <v>-4.7163660122695079</v>
      </c>
      <c r="T76" s="62">
        <f t="shared" si="33"/>
        <v>-5.0335729697636022</v>
      </c>
      <c r="U76" s="62">
        <f t="shared" si="33"/>
        <v>-5.1547959275733994</v>
      </c>
    </row>
    <row r="77" spans="2:21" x14ac:dyDescent="0.2">
      <c r="B77" s="15" t="s">
        <v>20</v>
      </c>
      <c r="C77" s="23">
        <v>-0.3200694</v>
      </c>
      <c r="D77" s="23">
        <f>D59-D67-D70-D63-D64-D65</f>
        <v>-1.2750274434112416</v>
      </c>
      <c r="E77" s="23">
        <f t="shared" ref="E77:U77" si="34">E59-E67-E70-E63-E64-E65</f>
        <v>-1.3114986648219498</v>
      </c>
      <c r="F77" s="23">
        <f t="shared" si="34"/>
        <v>-1.611922909406994</v>
      </c>
      <c r="G77" s="23">
        <f t="shared" si="34"/>
        <v>-1.7908617725069882</v>
      </c>
      <c r="H77" s="23">
        <f t="shared" si="34"/>
        <v>-1.9721153770012696</v>
      </c>
      <c r="I77" s="23">
        <f t="shared" si="34"/>
        <v>-2.1548464752180649</v>
      </c>
      <c r="J77" s="23">
        <f t="shared" si="34"/>
        <v>-2.542447040276969</v>
      </c>
      <c r="K77" s="23">
        <f t="shared" si="34"/>
        <v>-2.8444639446628095</v>
      </c>
      <c r="L77" s="23">
        <f t="shared" si="34"/>
        <v>-3.0581022351658489</v>
      </c>
      <c r="M77" s="23">
        <f t="shared" si="34"/>
        <v>-3.27990898403021</v>
      </c>
      <c r="N77" s="23">
        <f t="shared" si="34"/>
        <v>-3.51007142630076</v>
      </c>
      <c r="O77" s="23">
        <f t="shared" si="34"/>
        <v>-3.8308727203677533</v>
      </c>
      <c r="P77" s="23">
        <f t="shared" si="34"/>
        <v>-4.1539665553464378</v>
      </c>
      <c r="Q77" s="23">
        <f t="shared" si="34"/>
        <v>-4.2796989370493712</v>
      </c>
      <c r="R77" s="23">
        <f t="shared" si="34"/>
        <v>-4.4992421358693209</v>
      </c>
      <c r="S77" s="23">
        <f t="shared" si="34"/>
        <v>-4.7163708029421594</v>
      </c>
      <c r="T77" s="23">
        <f t="shared" si="34"/>
        <v>-5.0335747848310559</v>
      </c>
      <c r="U77" s="23">
        <f t="shared" si="34"/>
        <v>-5.1548001219546791</v>
      </c>
    </row>
    <row r="78" spans="2:21" x14ac:dyDescent="0.2">
      <c r="B78" s="24" t="s">
        <v>90</v>
      </c>
      <c r="C78" s="233">
        <f>'Input data'!C45</f>
        <v>6.2115936893699919</v>
      </c>
      <c r="D78" s="233">
        <f>'Input data'!D45</f>
        <v>7.2645884583744351</v>
      </c>
      <c r="E78" s="35">
        <f>'Input data'!E33+E41-(E$12-D$12)/'Input data'!$C$64*100</f>
        <v>4.6891910000000001</v>
      </c>
      <c r="F78" s="35">
        <f>'Input data'!F33+F41-(F$12-E$12)/'Input data'!$C$64*100</f>
        <v>3.3961959999999998</v>
      </c>
      <c r="G78" s="35">
        <f>'Input data'!G33+G41-(G$12-F$12)/'Input data'!$C$64*100</f>
        <v>3.369138875</v>
      </c>
      <c r="H78" s="35">
        <f>'Input data'!H33+H41-(H$12-G$12)/'Input data'!$C$64*100</f>
        <v>3.28454975</v>
      </c>
      <c r="I78" s="35">
        <f>'Input data'!I33+I41-(I$12-H$12)/'Input data'!$C$64*100</f>
        <v>3.2875976250000001</v>
      </c>
      <c r="J78" s="35">
        <f>'Input data'!J33+J41-(J$12-I$12)/'Input data'!$C$64*100</f>
        <v>3.2607844999999998</v>
      </c>
      <c r="K78" s="35">
        <f>'Input data'!K33+K41-(K$12-J$12)/'Input data'!$C$64*100</f>
        <v>3.2480523749999999</v>
      </c>
      <c r="L78" s="35">
        <f>'Input data'!L33+L41-(L$12-K$12)/'Input data'!$C$64*100</f>
        <v>3.2483582499999999</v>
      </c>
      <c r="M78" s="35">
        <f>'Input data'!M33+M41-(M$12-L$12)/'Input data'!$C$64*100</f>
        <v>3.2845081249999994</v>
      </c>
      <c r="N78" s="35">
        <f>'Input data'!N33+N41-(N$12-M$12)/'Input data'!$C$64*100</f>
        <v>3.3349449999999998</v>
      </c>
      <c r="O78" s="35">
        <f>'Input data'!O33+O41-(O$12-N$12)/'Input data'!$C$64*100</f>
        <v>3.3992969999999998</v>
      </c>
      <c r="P78" s="35">
        <f>'Input data'!P33+P41-(P$12-O$12)/'Input data'!$C$64*100</f>
        <v>3.4636480000000001</v>
      </c>
      <c r="Q78" s="35">
        <f>'Input data'!Q33+Q41-(Q$12-P$12)/'Input data'!$C$64*100</f>
        <v>3.528</v>
      </c>
      <c r="R78" s="35">
        <f>'Input data'!R33+R41-(R$12-Q$12)/'Input data'!$C$64*100</f>
        <v>3.6739999999999995</v>
      </c>
      <c r="S78" s="35">
        <f>'Input data'!S33+S41-(S$12-R$12)/'Input data'!$C$64*100</f>
        <v>3.8200000000000003</v>
      </c>
      <c r="T78" s="35">
        <f>'Input data'!T33+T41-(T$12-S$12)/'Input data'!$C$64*100</f>
        <v>3.8559999999999999</v>
      </c>
      <c r="U78" s="35">
        <f>'Input data'!U33+U41-(U$12-T$12)/'Input data'!$C$64*100</f>
        <v>3.8919999999999999</v>
      </c>
    </row>
    <row r="79" spans="2:21" x14ac:dyDescent="0.2">
      <c r="C79" s="23"/>
      <c r="D79" s="23"/>
      <c r="E79" s="23"/>
      <c r="F79" s="23"/>
      <c r="G79" s="23"/>
      <c r="H79" s="23"/>
      <c r="I79" s="23"/>
      <c r="J79" s="23"/>
      <c r="K79" s="23"/>
      <c r="L79" s="23"/>
      <c r="M79" s="23"/>
      <c r="N79" s="23"/>
      <c r="O79" s="23"/>
      <c r="P79" s="23"/>
      <c r="Q79" s="23"/>
      <c r="R79" s="23"/>
      <c r="S79" s="23"/>
      <c r="T79" s="23"/>
      <c r="U79" s="23"/>
    </row>
    <row r="81" spans="2:21" s="71" customFormat="1" ht="12.75" outlineLevel="1" x14ac:dyDescent="0.2">
      <c r="B81" s="72" t="s">
        <v>91</v>
      </c>
      <c r="C81" s="74"/>
      <c r="D81" s="73"/>
    </row>
    <row r="82" spans="2:21" x14ac:dyDescent="0.2">
      <c r="C82" s="23"/>
      <c r="D82" s="23"/>
      <c r="E82" s="23"/>
      <c r="F82" s="23"/>
      <c r="G82" s="23"/>
      <c r="H82" s="23"/>
      <c r="I82" s="23"/>
      <c r="J82" s="23"/>
      <c r="K82" s="23"/>
      <c r="L82" s="23"/>
      <c r="M82" s="23"/>
      <c r="N82" s="23"/>
      <c r="O82" s="23"/>
      <c r="P82" s="23"/>
      <c r="Q82" s="23"/>
      <c r="R82" s="23"/>
      <c r="S82" s="23"/>
      <c r="T82" s="23"/>
      <c r="U82" s="23"/>
    </row>
    <row r="83" spans="2:21" x14ac:dyDescent="0.2">
      <c r="B83" s="15" t="s">
        <v>92</v>
      </c>
      <c r="C83" s="18"/>
      <c r="D83" s="18"/>
      <c r="E83" s="18">
        <f t="shared" ref="E83:U83" si="35">IF((E87-D87*E42/((1+E23/100)*(1+E41/100)))&gt;0,1,0)</f>
        <v>1</v>
      </c>
      <c r="F83" s="18">
        <f t="shared" si="35"/>
        <v>1</v>
      </c>
      <c r="G83" s="18">
        <f t="shared" si="35"/>
        <v>1</v>
      </c>
      <c r="H83" s="18">
        <f t="shared" si="35"/>
        <v>1</v>
      </c>
      <c r="I83" s="18">
        <f t="shared" si="35"/>
        <v>1</v>
      </c>
      <c r="J83" s="18">
        <f t="shared" si="35"/>
        <v>1</v>
      </c>
      <c r="K83" s="18">
        <f t="shared" si="35"/>
        <v>1</v>
      </c>
      <c r="L83" s="18">
        <f t="shared" si="35"/>
        <v>1</v>
      </c>
      <c r="M83" s="18">
        <f t="shared" si="35"/>
        <v>1</v>
      </c>
      <c r="N83" s="18">
        <f t="shared" si="35"/>
        <v>1</v>
      </c>
      <c r="O83" s="18">
        <f t="shared" si="35"/>
        <v>1</v>
      </c>
      <c r="P83" s="18">
        <f t="shared" si="35"/>
        <v>1</v>
      </c>
      <c r="Q83" s="18">
        <f t="shared" si="35"/>
        <v>1</v>
      </c>
      <c r="R83" s="18">
        <f t="shared" si="35"/>
        <v>1</v>
      </c>
      <c r="S83" s="18">
        <f t="shared" si="35"/>
        <v>1</v>
      </c>
      <c r="T83" s="18">
        <f t="shared" si="35"/>
        <v>1</v>
      </c>
      <c r="U83" s="18">
        <f t="shared" si="35"/>
        <v>1</v>
      </c>
    </row>
    <row r="84" spans="2:21" x14ac:dyDescent="0.2">
      <c r="B84" s="15" t="s">
        <v>93</v>
      </c>
      <c r="C84" s="18"/>
      <c r="D84" s="18"/>
      <c r="E84" s="18">
        <f t="shared" ref="E84:U84" si="36">IF(AND(E83=0,ABS(E87-D87*E42/((1+E23/100)*(1+E41/100)))&lt;((D93*D87*E42/((1+E23/100)*(1+E41/100))+(E38*D87*D94*E42/((1+E23/100)*(1+E41/100)))))),1,0)</f>
        <v>0</v>
      </c>
      <c r="F84" s="18">
        <f t="shared" si="36"/>
        <v>0</v>
      </c>
      <c r="G84" s="18">
        <f t="shared" si="36"/>
        <v>0</v>
      </c>
      <c r="H84" s="18">
        <f t="shared" si="36"/>
        <v>0</v>
      </c>
      <c r="I84" s="18">
        <f t="shared" si="36"/>
        <v>0</v>
      </c>
      <c r="J84" s="18">
        <f t="shared" si="36"/>
        <v>0</v>
      </c>
      <c r="K84" s="18">
        <f t="shared" si="36"/>
        <v>0</v>
      </c>
      <c r="L84" s="18">
        <f t="shared" si="36"/>
        <v>0</v>
      </c>
      <c r="M84" s="18">
        <f t="shared" si="36"/>
        <v>0</v>
      </c>
      <c r="N84" s="18">
        <f t="shared" si="36"/>
        <v>0</v>
      </c>
      <c r="O84" s="18">
        <f t="shared" si="36"/>
        <v>0</v>
      </c>
      <c r="P84" s="18">
        <f t="shared" si="36"/>
        <v>0</v>
      </c>
      <c r="Q84" s="18">
        <f t="shared" si="36"/>
        <v>0</v>
      </c>
      <c r="R84" s="18">
        <f t="shared" si="36"/>
        <v>0</v>
      </c>
      <c r="S84" s="18">
        <f t="shared" si="36"/>
        <v>0</v>
      </c>
      <c r="T84" s="18">
        <f t="shared" si="36"/>
        <v>0</v>
      </c>
      <c r="U84" s="18">
        <f t="shared" si="36"/>
        <v>0</v>
      </c>
    </row>
    <row r="86" spans="2:21" x14ac:dyDescent="0.2">
      <c r="B86" s="37"/>
      <c r="C86" s="66">
        <f>'Input data'!$C$5-1</f>
        <v>2024</v>
      </c>
      <c r="D86" s="66">
        <f>C86+1</f>
        <v>2025</v>
      </c>
      <c r="E86" s="66">
        <f t="shared" ref="E86:U86" si="37">D86+1</f>
        <v>2026</v>
      </c>
      <c r="F86" s="66">
        <f t="shared" si="37"/>
        <v>2027</v>
      </c>
      <c r="G86" s="66">
        <f t="shared" si="37"/>
        <v>2028</v>
      </c>
      <c r="H86" s="66">
        <f t="shared" si="37"/>
        <v>2029</v>
      </c>
      <c r="I86" s="66">
        <f t="shared" si="37"/>
        <v>2030</v>
      </c>
      <c r="J86" s="66">
        <f t="shared" si="37"/>
        <v>2031</v>
      </c>
      <c r="K86" s="66">
        <f t="shared" si="37"/>
        <v>2032</v>
      </c>
      <c r="L86" s="66">
        <f t="shared" si="37"/>
        <v>2033</v>
      </c>
      <c r="M86" s="66">
        <f t="shared" si="37"/>
        <v>2034</v>
      </c>
      <c r="N86" s="66">
        <f t="shared" si="37"/>
        <v>2035</v>
      </c>
      <c r="O86" s="66">
        <f t="shared" si="37"/>
        <v>2036</v>
      </c>
      <c r="P86" s="66">
        <f t="shared" si="37"/>
        <v>2037</v>
      </c>
      <c r="Q86" s="66">
        <f t="shared" si="37"/>
        <v>2038</v>
      </c>
      <c r="R86" s="66">
        <f t="shared" si="37"/>
        <v>2039</v>
      </c>
      <c r="S86" s="66">
        <f t="shared" si="37"/>
        <v>2040</v>
      </c>
      <c r="T86" s="66">
        <f t="shared" si="37"/>
        <v>2041</v>
      </c>
      <c r="U86" s="66">
        <f t="shared" si="37"/>
        <v>2042</v>
      </c>
    </row>
    <row r="87" spans="2:21" x14ac:dyDescent="0.2">
      <c r="B87" s="83" t="s">
        <v>71</v>
      </c>
      <c r="C87" s="87">
        <f>C56</f>
        <v>43.748150000000003</v>
      </c>
      <c r="D87" s="87">
        <f>D56</f>
        <v>45.157610209173967</v>
      </c>
      <c r="E87" s="87">
        <f t="shared" ref="E87:U87" si="38">D87*(1+E101/100)*E42-E59-E60+E61+E62+E63+E64+E65+E72</f>
        <v>47.861382354642025</v>
      </c>
      <c r="F87" s="87">
        <f t="shared" si="38"/>
        <v>48.251108324653039</v>
      </c>
      <c r="G87" s="87">
        <f t="shared" si="38"/>
        <v>48.658880944151264</v>
      </c>
      <c r="H87" s="87">
        <f t="shared" si="38"/>
        <v>49.108558591822671</v>
      </c>
      <c r="I87" s="87">
        <f t="shared" si="38"/>
        <v>49.559839923125942</v>
      </c>
      <c r="J87" s="87">
        <f t="shared" si="38"/>
        <v>50.526393184852388</v>
      </c>
      <c r="K87" s="87">
        <f t="shared" si="38"/>
        <v>51.770512592120177</v>
      </c>
      <c r="L87" s="87">
        <f t="shared" si="38"/>
        <v>53.188840624863403</v>
      </c>
      <c r="M87" s="87">
        <f t="shared" si="38"/>
        <v>54.76576175407218</v>
      </c>
      <c r="N87" s="87">
        <f t="shared" si="38"/>
        <v>56.496031340817254</v>
      </c>
      <c r="O87" s="87">
        <f t="shared" si="38"/>
        <v>58.456001921500423</v>
      </c>
      <c r="P87" s="87">
        <f t="shared" si="38"/>
        <v>60.638133495736795</v>
      </c>
      <c r="Q87" s="87">
        <f t="shared" si="38"/>
        <v>62.835085752726407</v>
      </c>
      <c r="R87" s="87">
        <f t="shared" si="38"/>
        <v>65.088723229011023</v>
      </c>
      <c r="S87" s="87">
        <f t="shared" si="38"/>
        <v>67.388708693336326</v>
      </c>
      <c r="T87" s="87">
        <f t="shared" si="38"/>
        <v>69.897487043402435</v>
      </c>
      <c r="U87" s="87">
        <f t="shared" si="38"/>
        <v>72.409627733503811</v>
      </c>
    </row>
    <row r="88" spans="2:21" x14ac:dyDescent="0.2">
      <c r="B88" s="15" t="s">
        <v>94</v>
      </c>
      <c r="C88" s="23"/>
      <c r="D88" s="177">
        <f>'Input data'!$C$66*D$87</f>
        <v>37.015023638577119</v>
      </c>
      <c r="E88" s="23">
        <f t="shared" ref="E88:U88" si="39">IF(E87=0,0,IF(E83=1,D87*E42/((1+E23/100)*(1+E41/100))-E89-E90,IF(AND(E83=0,E84=1),(1-D93-E38*D94)*D87*E42/((1+E23/100)*(1+E41/100)),E87)))</f>
        <v>37.30308223564554</v>
      </c>
      <c r="F88" s="23">
        <f t="shared" si="39"/>
        <v>39.675616329087021</v>
      </c>
      <c r="G88" s="23">
        <f t="shared" si="39"/>
        <v>39.851933465585979</v>
      </c>
      <c r="H88" s="23">
        <f t="shared" si="39"/>
        <v>40.060276401414988</v>
      </c>
      <c r="I88" s="23">
        <f t="shared" si="39"/>
        <v>40.266680076533447</v>
      </c>
      <c r="J88" s="23">
        <f t="shared" si="39"/>
        <v>40.594381704977415</v>
      </c>
      <c r="K88" s="23">
        <f t="shared" si="39"/>
        <v>41.222405996364166</v>
      </c>
      <c r="L88" s="23">
        <f t="shared" si="39"/>
        <v>42.06368520782091</v>
      </c>
      <c r="M88" s="23">
        <f t="shared" si="39"/>
        <v>43.022686659276268</v>
      </c>
      <c r="N88" s="23">
        <f t="shared" si="39"/>
        <v>44.093508720738029</v>
      </c>
      <c r="O88" s="23">
        <f t="shared" si="39"/>
        <v>45.43709457927956</v>
      </c>
      <c r="P88" s="23">
        <f t="shared" si="39"/>
        <v>46.962483959379938</v>
      </c>
      <c r="Q88" s="23">
        <f t="shared" si="39"/>
        <v>48.663330342089395</v>
      </c>
      <c r="R88" s="23">
        <f t="shared" si="39"/>
        <v>50.33345707171943</v>
      </c>
      <c r="S88" s="23">
        <f t="shared" si="39"/>
        <v>52.043848608561895</v>
      </c>
      <c r="T88" s="23">
        <f t="shared" si="39"/>
        <v>53.844347163511657</v>
      </c>
      <c r="U88" s="23">
        <f t="shared" si="39"/>
        <v>55.809821056171756</v>
      </c>
    </row>
    <row r="89" spans="2:21" x14ac:dyDescent="0.2">
      <c r="B89" s="82" t="s">
        <v>95</v>
      </c>
      <c r="C89" s="23"/>
      <c r="D89" s="177">
        <f>'Input data'!$C$67*D$87</f>
        <v>3.5884993103512319</v>
      </c>
      <c r="E89" s="23">
        <f t="shared" ref="E89:U89" si="40">IF(E87=0,0,IF(E83=1,E38*D87*D94*E42/((1+E23/100)*(1+E41/100)),IF(AND(E83=0,E84=1),(E38*D87*D94*E42/((1+E23/100)*(1+E41/100)))*(1-ABS(E87-D87*E42/((1+E23/100)*(1+E41/100)))/((E38*D87*D94*E42/((1+E23/100)*(1+E41/100)))+(D93*D87*E42/((1+E23/100)*(1+E41/100))))),0)))</f>
        <v>2.2949334919658271</v>
      </c>
      <c r="F89" s="23">
        <f t="shared" si="40"/>
        <v>2.5914388483091453</v>
      </c>
      <c r="G89" s="23">
        <f t="shared" si="40"/>
        <v>2.7552530336446166</v>
      </c>
      <c r="H89" s="23">
        <f t="shared" si="40"/>
        <v>2.923853749142618</v>
      </c>
      <c r="I89" s="23">
        <f t="shared" si="40"/>
        <v>3.0950293608477613</v>
      </c>
      <c r="J89" s="23">
        <f t="shared" si="40"/>
        <v>3.278740447864867</v>
      </c>
      <c r="K89" s="23">
        <f t="shared" si="40"/>
        <v>3.4916119904620873</v>
      </c>
      <c r="L89" s="23">
        <f t="shared" si="40"/>
        <v>3.7295348279495393</v>
      </c>
      <c r="M89" s="23">
        <f t="shared" si="40"/>
        <v>3.9862783881941231</v>
      </c>
      <c r="N89" s="23">
        <f t="shared" si="40"/>
        <v>4.2627794326717821</v>
      </c>
      <c r="O89" s="23">
        <f t="shared" si="40"/>
        <v>4.3926717984640691</v>
      </c>
      <c r="P89" s="23">
        <f t="shared" si="40"/>
        <v>4.5401401824724763</v>
      </c>
      <c r="Q89" s="23">
        <f t="shared" si="40"/>
        <v>4.7045710292954723</v>
      </c>
      <c r="R89" s="23">
        <f t="shared" si="40"/>
        <v>4.8660320261535848</v>
      </c>
      <c r="S89" s="23">
        <f t="shared" si="40"/>
        <v>5.0313856592982038</v>
      </c>
      <c r="T89" s="23">
        <f t="shared" si="40"/>
        <v>5.2054504690915175</v>
      </c>
      <c r="U89" s="23">
        <f t="shared" si="40"/>
        <v>5.3954644173610573</v>
      </c>
    </row>
    <row r="90" spans="2:21" x14ac:dyDescent="0.2">
      <c r="B90" s="82" t="s">
        <v>96</v>
      </c>
      <c r="C90" s="23"/>
      <c r="D90" s="177">
        <f>'Input data'!$C$68*D$87</f>
        <v>3.6736521009082228</v>
      </c>
      <c r="E90" s="23">
        <f t="shared" ref="E90:U90" si="41">IF(E87=0,0,IF(E83=1,(1-D94)*D87*E42/((1+E23/100)*(1+E41/100)),IF(AND(E83=0,E84=1),(D93*D87*E42/((1+E23/100)*(1+E41/100)))*(1-ABS(E87-D87*E42/((1+E23/100)*(1+E41/100)))/((E38*D87*D94*E42/((1+E23/100)*(1+E41/100)))+(D93*D87*E42/((1+E23/100)*(1+E41/100))))),0)))</f>
        <v>3.5826776167406504</v>
      </c>
      <c r="F90" s="23">
        <f t="shared" si="41"/>
        <v>3.8784259457019461</v>
      </c>
      <c r="G90" s="23">
        <f t="shared" si="41"/>
        <v>3.9316941951176152</v>
      </c>
      <c r="H90" s="23">
        <f t="shared" si="41"/>
        <v>3.9877449491111663</v>
      </c>
      <c r="I90" s="23">
        <f t="shared" si="41"/>
        <v>4.0432835248908665</v>
      </c>
      <c r="J90" s="23">
        <f t="shared" si="41"/>
        <v>4.1108223149835919</v>
      </c>
      <c r="K90" s="23">
        <f t="shared" si="41"/>
        <v>4.2120289903903183</v>
      </c>
      <c r="L90" s="23">
        <f t="shared" si="41"/>
        <v>4.3375172893767058</v>
      </c>
      <c r="M90" s="23">
        <f t="shared" si="41"/>
        <v>4.4768854671476461</v>
      </c>
      <c r="N90" s="23">
        <f t="shared" si="41"/>
        <v>4.629673104664743</v>
      </c>
      <c r="O90" s="23">
        <f t="shared" si="41"/>
        <v>4.7953653686810425</v>
      </c>
      <c r="P90" s="23">
        <f t="shared" si="41"/>
        <v>4.9815489349465114</v>
      </c>
      <c r="Q90" s="23">
        <f t="shared" si="41"/>
        <v>5.1874921819036466</v>
      </c>
      <c r="R90" s="23">
        <f t="shared" si="41"/>
        <v>5.3899993323288289</v>
      </c>
      <c r="S90" s="23">
        <f t="shared" si="41"/>
        <v>5.5971085803370384</v>
      </c>
      <c r="T90" s="23">
        <f t="shared" si="41"/>
        <v>5.8141166101081154</v>
      </c>
      <c r="U90" s="23">
        <f t="shared" si="41"/>
        <v>6.0495465030316815</v>
      </c>
    </row>
    <row r="91" spans="2:21" x14ac:dyDescent="0.2">
      <c r="B91" s="82" t="s">
        <v>97</v>
      </c>
      <c r="C91" s="23"/>
      <c r="D91" s="177">
        <f>'Input data'!$C$69*D$87</f>
        <v>0.80738171377187484</v>
      </c>
      <c r="E91" s="23">
        <f>IF(E87=0,0,IF(E83=1,'Input data'!$C$58*(E87-D87*E42/((1+E23/100)*(1+E41/100))),0))</f>
        <v>4.240722966078784</v>
      </c>
      <c r="F91" s="23">
        <f>IF(F87=0,0,IF(F83=1,'Input data'!$C$58*(F87-E87*F42/((1+F23/100)*(1+F41/100))),0))</f>
        <v>1.9077066671175675</v>
      </c>
      <c r="G91" s="23">
        <f>IF(G87=0,0,IF(G83=1,'Input data'!$C$58*(G87-F87*G42/((1+G23/100)*(1+G41/100))),0))</f>
        <v>1.9207287063225678</v>
      </c>
      <c r="H91" s="23">
        <f>IF(H87=0,0,IF(H83=1,'Input data'!$C$58*(H87-G87*H42/((1+H23/100)*(1+H41/100))),0))</f>
        <v>1.9358437906254016</v>
      </c>
      <c r="I91" s="23">
        <f>IF(I87=0,0,IF(I83=1,'Input data'!$C$58*(I87-H87*I42/((1+I23/100)*(1+I41/100))),0))</f>
        <v>1.9522999659214468</v>
      </c>
      <c r="J91" s="23">
        <f>IF(J87=0,0,IF(J83=1,'Input data'!$C$58*(J87-I87*J42/((1+J23/100)*(1+J41/100))),0))</f>
        <v>2.3034687074208859</v>
      </c>
      <c r="K91" s="23">
        <f>IF(K87=0,0,IF(K83=1,'Input data'!$C$58*(K87-J87*K42/((1+K23/100)*(1+K41/100))),0))</f>
        <v>2.5770972249651258</v>
      </c>
      <c r="L91" s="23">
        <f>IF(L87=0,0,IF(L83=1,'Input data'!$C$58*(L87-K87*L42/((1+L23/100)*(1+L41/100))),0))</f>
        <v>2.7706538219561159</v>
      </c>
      <c r="M91" s="23">
        <f>IF(M87=0,0,IF(M83=1,'Input data'!$C$58*(M87-L87*M42/((1+M23/100)*(1+M41/100))),0))</f>
        <v>2.9716127025904124</v>
      </c>
      <c r="N91" s="23">
        <f>IF(N87=0,0,IF(N83=1,'Input data'!$C$58*(N87-M87*N42/((1+N23/100)*(1+N41/100))),0))</f>
        <v>3.1801375352452177</v>
      </c>
      <c r="O91" s="23">
        <f>IF(O87=0,0,IF(O83=1,'Input data'!$C$58*(O87-N87*O42/((1+O23/100)*(1+O41/100))),0))</f>
        <v>3.470783702099332</v>
      </c>
      <c r="P91" s="23">
        <f>IF(P87=0,0,IF(P83=1,'Input data'!$C$58*(P87-O87*P42/((1+P23/100)*(1+P41/100))),0))</f>
        <v>3.7635047553993868</v>
      </c>
      <c r="Q91" s="23">
        <f>IF(Q87=0,0,IF(Q83=1,'Input data'!$C$58*(Q87-P87*Q42/((1+Q23/100)*(1+Q41/100))),0))</f>
        <v>3.8774182514595319</v>
      </c>
      <c r="R91" s="23">
        <f>IF(R87=0,0,IF(R83=1,'Input data'!$C$58*(R87-Q87*R42/((1+R23/100)*(1+R41/100))),0))</f>
        <v>4.0763247246603154</v>
      </c>
      <c r="S91" s="23">
        <f>IF(S87=0,0,IF(S83=1,'Input data'!$C$58*(S87-R87*S42/((1+S23/100)*(1+S41/100))),0))</f>
        <v>4.27304632115949</v>
      </c>
      <c r="T91" s="23">
        <f>IF(T87=0,0,IF(T83=1,'Input data'!$C$58*(T87-S87*T42/((1+T23/100)*(1+T41/100))),0))</f>
        <v>4.5604370917173815</v>
      </c>
      <c r="U91" s="23">
        <f>IF(U87=0,0,IF(U83=1,'Input data'!$C$58*(U87-T87*U42/((1+U23/100)*(1+U41/100))),0))</f>
        <v>4.6702655749700535</v>
      </c>
    </row>
    <row r="92" spans="2:21" x14ac:dyDescent="0.2">
      <c r="B92" s="84" t="s">
        <v>98</v>
      </c>
      <c r="C92" s="35"/>
      <c r="D92" s="178">
        <f>'Input data'!$C$70*D$87</f>
        <v>7.3048800586333146E-2</v>
      </c>
      <c r="E92" s="35">
        <f>IF(E87=0,0,IF(E83=1,'Input data'!$C$57*(E87-D87*E42/((1+E23/100)*(1+E41/100))),0))</f>
        <v>0.4399660442112191</v>
      </c>
      <c r="F92" s="35">
        <f>IF(F87=0,0,IF(F83=1,'Input data'!$C$57*(F87-E87*F42/((1+F23/100)*(1+F41/100))),0))</f>
        <v>0.19792053443735663</v>
      </c>
      <c r="G92" s="35">
        <f>IF(G87=0,0,IF(G83=1,'Input data'!$C$57*(G87-F87*G42/((1+G23/100)*(1+G41/100))),0))</f>
        <v>0.19927154348048801</v>
      </c>
      <c r="H92" s="35">
        <f>IF(H87=0,0,IF(H83=1,'Input data'!$C$57*(H87-G87*H42/((1+H23/100)*(1+H41/100))),0))</f>
        <v>0.20083970152849792</v>
      </c>
      <c r="I92" s="35">
        <f>IF(I87=0,0,IF(I83=1,'Input data'!$C$57*(I87-H87*I42/((1+I23/100)*(1+I41/100))),0))</f>
        <v>0.20254699493242004</v>
      </c>
      <c r="J92" s="35">
        <f>IF(J87=0,0,IF(J83=1,'Input data'!$C$57*(J87-I87*J42/((1+J23/100)*(1+J41/100))),0))</f>
        <v>0.23898000960562379</v>
      </c>
      <c r="K92" s="35">
        <f>IF(K87=0,0,IF(K83=1,'Input data'!$C$57*(K87-J87*K42/((1+K23/100)*(1+K41/100))),0))</f>
        <v>0.26736838993847922</v>
      </c>
      <c r="L92" s="35">
        <f>IF(L87=0,0,IF(L83=1,'Input data'!$C$57*(L87-K87*L42/((1+L23/100)*(1+L41/100))),0))</f>
        <v>0.28744947776012802</v>
      </c>
      <c r="M92" s="35">
        <f>IF(M87=0,0,IF(M83=1,'Input data'!$C$57*(M87-L87*M42/((1+M23/100)*(1+M41/100))),0))</f>
        <v>0.30829853686373171</v>
      </c>
      <c r="N92" s="35">
        <f>IF(N87=0,0,IF(N83=1,'Input data'!$C$57*(N87-M87*N42/((1+N23/100)*(1+N41/100))),0))</f>
        <v>0.32993254749748285</v>
      </c>
      <c r="O92" s="35">
        <f>IF(O87=0,0,IF(O83=1,'Input data'!$C$57*(O87-N87*O42/((1+O23/100)*(1+O41/100))),0))</f>
        <v>0.36008647297642038</v>
      </c>
      <c r="P92" s="35">
        <f>IF(P87=0,0,IF(P83=1,'Input data'!$C$57*(P87-O87*P42/((1+P23/100)*(1+P41/100))),0))</f>
        <v>0.3904556635384841</v>
      </c>
      <c r="Q92" s="35">
        <f>IF(Q87=0,0,IF(Q83=1,'Input data'!$C$57*(Q87-P87*Q42/((1+Q23/100)*(1+Q41/100))),0))</f>
        <v>0.40227394797836447</v>
      </c>
      <c r="R92" s="35">
        <f>IF(R87=0,0,IF(R83=1,'Input data'!$C$57*(R87-Q87*R42/((1+R23/100)*(1+R41/100))),0))</f>
        <v>0.422910074148868</v>
      </c>
      <c r="S92" s="35">
        <f>IF(S87=0,0,IF(S83=1,'Input data'!$C$57*(S87-R87*S42/((1+S23/100)*(1+S41/100))),0))</f>
        <v>0.44331952397970364</v>
      </c>
      <c r="T92" s="35">
        <f>IF(T87=0,0,IF(T83=1,'Input data'!$C$57*(T87-S87*T42/((1+T23/100)*(1+T41/100))),0))</f>
        <v>0.473135708973765</v>
      </c>
      <c r="U92" s="35">
        <f>IF(U87=0,0,IF(U83=1,'Input data'!$C$57*(U87-T87*U42/((1+U23/100)*(1+U41/100))),0))</f>
        <v>0.4845301819692685</v>
      </c>
    </row>
    <row r="93" spans="2:21" x14ac:dyDescent="0.2">
      <c r="B93" s="15" t="s">
        <v>49</v>
      </c>
      <c r="C93" s="25"/>
      <c r="D93" s="25">
        <f t="shared" ref="D93" si="42">IF(D87&lt;&gt;0,(D90+D92)/(D88+D89+D90+D91+D92),0)</f>
        <v>8.2969432384282449E-2</v>
      </c>
      <c r="E93" s="25">
        <f>IF(E87&lt;&gt;0,(E90+E92)/(E88+E89+E90+E91+E92),0)</f>
        <v>8.4047795175345941E-2</v>
      </c>
      <c r="F93" s="25">
        <f>IF(F87&lt;&gt;0,(F90+F92)/(F88+F89+F90+F91+F92),0)</f>
        <v>8.4481924284764379E-2</v>
      </c>
      <c r="G93" s="25">
        <f t="shared" ref="G93:U93" si="43">IF(G87&lt;&gt;0,(G90+G92)/(G88+G89+G90+G91+G92),0)</f>
        <v>8.4896439425712691E-2</v>
      </c>
      <c r="H93" s="25">
        <f t="shared" si="43"/>
        <v>8.5292355767434963E-2</v>
      </c>
      <c r="I93" s="25">
        <f t="shared" si="43"/>
        <v>8.5670787605632862E-2</v>
      </c>
      <c r="J93" s="25">
        <f t="shared" si="43"/>
        <v>8.6089705803367514E-2</v>
      </c>
      <c r="K93" s="25">
        <f>IF(K87&lt;&gt;0,(K90+K92)/(K88+K89+K90+K91+K92),0)</f>
        <v>8.6524107180862481E-2</v>
      </c>
      <c r="L93" s="25">
        <f t="shared" si="43"/>
        <v>8.6953705190837893E-2</v>
      </c>
      <c r="M93" s="25">
        <f t="shared" si="43"/>
        <v>8.7375466911232533E-2</v>
      </c>
      <c r="N93" s="25">
        <f t="shared" si="43"/>
        <v>8.7786797310468956E-2</v>
      </c>
      <c r="O93" s="25">
        <f t="shared" si="43"/>
        <v>8.8193712744512223E-2</v>
      </c>
      <c r="P93" s="25">
        <f t="shared" si="43"/>
        <v>8.8591193178178512E-2</v>
      </c>
      <c r="Q93" s="25">
        <f t="shared" si="43"/>
        <v>8.8959314098484732E-2</v>
      </c>
      <c r="R93" s="25">
        <f t="shared" si="43"/>
        <v>8.930747321660161E-2</v>
      </c>
      <c r="S93" s="25">
        <f t="shared" si="43"/>
        <v>8.9635611387135022E-2</v>
      </c>
      <c r="T93" s="25">
        <f t="shared" si="43"/>
        <v>8.9949618863663122E-2</v>
      </c>
      <c r="U93" s="25">
        <f t="shared" si="43"/>
        <v>9.0237678186234391E-2</v>
      </c>
    </row>
    <row r="94" spans="2:21" x14ac:dyDescent="0.2">
      <c r="B94" s="24" t="s">
        <v>50</v>
      </c>
      <c r="C94" s="85"/>
      <c r="D94" s="85">
        <f t="shared" ref="D94" si="44">IF(D87&lt;&gt;0,(D88+D89+D91)/(D88+D89+D90+D91+D92),1)</f>
        <v>0.91703056761571755</v>
      </c>
      <c r="E94" s="85">
        <f>IF(E87&lt;&gt;0,(E88+E89+E91)/(E88+E89+E90+E91+E92),1)</f>
        <v>0.915952204824654</v>
      </c>
      <c r="F94" s="85">
        <f>IF(F87&lt;&gt;0,(F88+F89+F91)/(F88+F89+F90+F91+F92),1)</f>
        <v>0.91551807571523547</v>
      </c>
      <c r="G94" s="85">
        <f t="shared" ref="G94:U94" si="45">IF(G87&lt;&gt;0,(G88+G89+G91)/(G88+G89+G90+G91+G92),1)</f>
        <v>0.91510356057428743</v>
      </c>
      <c r="H94" s="85">
        <f t="shared" si="45"/>
        <v>0.9147076442325649</v>
      </c>
      <c r="I94" s="85">
        <f t="shared" si="45"/>
        <v>0.91432921239436715</v>
      </c>
      <c r="J94" s="85">
        <f t="shared" si="45"/>
        <v>0.91391029419663239</v>
      </c>
      <c r="K94" s="85">
        <f t="shared" si="45"/>
        <v>0.91347589281913733</v>
      </c>
      <c r="L94" s="85">
        <f t="shared" si="45"/>
        <v>0.91304629480916211</v>
      </c>
      <c r="M94" s="85">
        <f t="shared" si="45"/>
        <v>0.91262453308876745</v>
      </c>
      <c r="N94" s="85">
        <f t="shared" si="45"/>
        <v>0.9122132026895311</v>
      </c>
      <c r="O94" s="85">
        <f t="shared" si="45"/>
        <v>0.91180628725548785</v>
      </c>
      <c r="P94" s="85">
        <f t="shared" si="45"/>
        <v>0.91140880682182157</v>
      </c>
      <c r="Q94" s="85">
        <f t="shared" si="45"/>
        <v>0.91104068590151532</v>
      </c>
      <c r="R94" s="85">
        <f t="shared" si="45"/>
        <v>0.9106925267833984</v>
      </c>
      <c r="S94" s="85">
        <f t="shared" si="45"/>
        <v>0.91036438861286506</v>
      </c>
      <c r="T94" s="85">
        <f t="shared" si="45"/>
        <v>0.91005038113633685</v>
      </c>
      <c r="U94" s="85">
        <f t="shared" si="45"/>
        <v>0.90976232181376571</v>
      </c>
    </row>
    <row r="95" spans="2:21" x14ac:dyDescent="0.2">
      <c r="C95" s="176"/>
      <c r="D95" s="176"/>
      <c r="E95" s="176"/>
      <c r="F95" s="25"/>
      <c r="G95" s="25"/>
      <c r="H95" s="25"/>
      <c r="I95" s="25"/>
      <c r="J95" s="25"/>
      <c r="K95" s="25"/>
      <c r="L95" s="25"/>
      <c r="M95" s="25"/>
      <c r="N95" s="25"/>
      <c r="O95" s="25"/>
      <c r="P95" s="25"/>
      <c r="Q95" s="25"/>
      <c r="R95" s="25"/>
      <c r="S95" s="25"/>
      <c r="T95" s="25"/>
      <c r="U95" s="25"/>
    </row>
    <row r="96" spans="2:21" x14ac:dyDescent="0.2">
      <c r="B96" s="89" t="s">
        <v>99</v>
      </c>
      <c r="C96" s="90">
        <f>C35</f>
        <v>1.6465860000000001</v>
      </c>
      <c r="D96" s="90">
        <f>D35</f>
        <v>1.72</v>
      </c>
      <c r="E96" s="90">
        <f>E98+E99</f>
        <v>1.7322979999999999</v>
      </c>
      <c r="F96" s="90">
        <f>F98+F99</f>
        <v>1.8261860000000001</v>
      </c>
      <c r="G96" s="90">
        <f t="shared" ref="G96:U96" si="46">G98+G99</f>
        <v>1.9680345885373955</v>
      </c>
      <c r="H96" s="90">
        <f t="shared" si="46"/>
        <v>2.1106557186027199</v>
      </c>
      <c r="I96" s="90">
        <f t="shared" si="46"/>
        <v>2.253782130637568</v>
      </c>
      <c r="J96" s="90">
        <f t="shared" si="46"/>
        <v>2.3971883348548015</v>
      </c>
      <c r="K96" s="90">
        <f t="shared" si="46"/>
        <v>2.5478087731950136</v>
      </c>
      <c r="L96" s="90">
        <f t="shared" si="46"/>
        <v>2.7018156390287609</v>
      </c>
      <c r="M96" s="90">
        <f t="shared" si="46"/>
        <v>2.8561372267264309</v>
      </c>
      <c r="N96" s="90">
        <f t="shared" si="46"/>
        <v>3.0100965247570057</v>
      </c>
      <c r="O96" s="90">
        <f t="shared" si="46"/>
        <v>3.1304081336594631</v>
      </c>
      <c r="P96" s="90">
        <f t="shared" si="46"/>
        <v>3.2351419841690765</v>
      </c>
      <c r="Q96" s="90">
        <f t="shared" si="46"/>
        <v>3.3256290449846797</v>
      </c>
      <c r="R96" s="90">
        <f t="shared" si="46"/>
        <v>3.4018080108266293</v>
      </c>
      <c r="S96" s="90">
        <f t="shared" si="46"/>
        <v>3.4664835190126508</v>
      </c>
      <c r="T96" s="90">
        <f t="shared" si="46"/>
        <v>3.5212030331876818</v>
      </c>
      <c r="U96" s="90">
        <f t="shared" si="46"/>
        <v>3.5677364448055031</v>
      </c>
    </row>
    <row r="97" spans="2:23" x14ac:dyDescent="0.2">
      <c r="B97" s="22" t="s">
        <v>100</v>
      </c>
      <c r="C97" s="23"/>
      <c r="D97" s="23"/>
      <c r="E97" s="185">
        <f>((E35*D87)-(E37*(D90+D92)))/(D88+D89+D91)</f>
        <v>1.7160168228649137</v>
      </c>
      <c r="F97" s="185">
        <f>((F35*E87)-(F37*(E90+E92)))/(E88+E89+E91)</f>
        <v>1.8080001728462836</v>
      </c>
      <c r="G97" s="23">
        <f t="shared" ref="G97:U97" si="47">IF(F87&gt;0,(F97*F88+G36*(F91+F89))/(F88+F89+F91),G36)</f>
        <v>1.9486196058121588</v>
      </c>
      <c r="H97" s="23">
        <f t="shared" si="47"/>
        <v>2.090075715066483</v>
      </c>
      <c r="I97" s="23">
        <f t="shared" si="47"/>
        <v>2.2320779862631235</v>
      </c>
      <c r="J97" s="23">
        <f t="shared" si="47"/>
        <v>2.374380922645202</v>
      </c>
      <c r="K97" s="23">
        <f t="shared" si="47"/>
        <v>2.5245556204274804</v>
      </c>
      <c r="L97" s="23">
        <f t="shared" si="47"/>
        <v>2.6784293021865628</v>
      </c>
      <c r="M97" s="23">
        <f t="shared" si="47"/>
        <v>2.8326489268342114</v>
      </c>
      <c r="N97" s="23">
        <f t="shared" si="47"/>
        <v>2.9864740471439801</v>
      </c>
      <c r="O97" s="23">
        <f t="shared" si="47"/>
        <v>3.1242894799100922</v>
      </c>
      <c r="P97" s="23">
        <f t="shared" si="47"/>
        <v>3.245200813427958</v>
      </c>
      <c r="Q97" s="23">
        <f t="shared" si="47"/>
        <v>3.3506415308334017</v>
      </c>
      <c r="R97" s="23">
        <f t="shared" si="47"/>
        <v>3.440509346448418</v>
      </c>
      <c r="S97" s="23">
        <f t="shared" si="47"/>
        <v>3.5178561860201856</v>
      </c>
      <c r="T97" s="23">
        <f t="shared" si="47"/>
        <v>3.5843582453435108</v>
      </c>
      <c r="U97" s="23">
        <f t="shared" si="47"/>
        <v>3.6419454121650148</v>
      </c>
    </row>
    <row r="98" spans="2:23" x14ac:dyDescent="0.2">
      <c r="B98" s="15" t="s">
        <v>101</v>
      </c>
      <c r="C98" s="23"/>
      <c r="D98" s="23"/>
      <c r="E98" s="185">
        <f>E35</f>
        <v>1.7322979999999999</v>
      </c>
      <c r="F98" s="185">
        <f>F35</f>
        <v>1.8261860000000001</v>
      </c>
      <c r="G98" s="23">
        <f t="shared" ref="G98:U98" si="48">(G97*(F88+F89+F91)+G37*(F90+F92))/F87</f>
        <v>1.9680345885373955</v>
      </c>
      <c r="H98" s="23">
        <f t="shared" si="48"/>
        <v>2.1106557186027199</v>
      </c>
      <c r="I98" s="23">
        <f t="shared" si="48"/>
        <v>2.253782130637568</v>
      </c>
      <c r="J98" s="23">
        <f t="shared" si="48"/>
        <v>2.3971883348548015</v>
      </c>
      <c r="K98" s="23">
        <f t="shared" si="48"/>
        <v>2.5478087731950136</v>
      </c>
      <c r="L98" s="23">
        <f t="shared" si="48"/>
        <v>2.7018156390287609</v>
      </c>
      <c r="M98" s="23">
        <f t="shared" si="48"/>
        <v>2.8561372267264309</v>
      </c>
      <c r="N98" s="23">
        <f t="shared" si="48"/>
        <v>3.0100965247570057</v>
      </c>
      <c r="O98" s="23">
        <f t="shared" si="48"/>
        <v>3.1304081336594631</v>
      </c>
      <c r="P98" s="23">
        <f t="shared" si="48"/>
        <v>3.2351419841690765</v>
      </c>
      <c r="Q98" s="23">
        <f t="shared" si="48"/>
        <v>3.3256290449846797</v>
      </c>
      <c r="R98" s="23">
        <f t="shared" si="48"/>
        <v>3.4018080108266293</v>
      </c>
      <c r="S98" s="23">
        <f t="shared" si="48"/>
        <v>3.4664835190126508</v>
      </c>
      <c r="T98" s="23">
        <f t="shared" si="48"/>
        <v>3.5212030331876818</v>
      </c>
      <c r="U98" s="23">
        <f t="shared" si="48"/>
        <v>3.5677364448055031</v>
      </c>
    </row>
    <row r="99" spans="2:23" x14ac:dyDescent="0.2">
      <c r="B99" s="24" t="s">
        <v>102</v>
      </c>
      <c r="C99" s="35"/>
      <c r="D99" s="35"/>
      <c r="E99" s="35">
        <f t="shared" ref="E99" si="49">E108</f>
        <v>0</v>
      </c>
      <c r="F99" s="35">
        <f>F108</f>
        <v>0</v>
      </c>
      <c r="G99" s="35">
        <f t="shared" ref="G99:U99" si="50">G108</f>
        <v>0</v>
      </c>
      <c r="H99" s="35">
        <f t="shared" si="50"/>
        <v>0</v>
      </c>
      <c r="I99" s="35">
        <f t="shared" si="50"/>
        <v>0</v>
      </c>
      <c r="J99" s="35">
        <f t="shared" si="50"/>
        <v>0</v>
      </c>
      <c r="K99" s="35">
        <f t="shared" si="50"/>
        <v>0</v>
      </c>
      <c r="L99" s="35">
        <f t="shared" si="50"/>
        <v>0</v>
      </c>
      <c r="M99" s="35">
        <f t="shared" si="50"/>
        <v>0</v>
      </c>
      <c r="N99" s="35">
        <f t="shared" si="50"/>
        <v>0</v>
      </c>
      <c r="O99" s="35">
        <f t="shared" si="50"/>
        <v>0</v>
      </c>
      <c r="P99" s="35">
        <f t="shared" si="50"/>
        <v>0</v>
      </c>
      <c r="Q99" s="35">
        <f t="shared" si="50"/>
        <v>0</v>
      </c>
      <c r="R99" s="35">
        <f t="shared" si="50"/>
        <v>0</v>
      </c>
      <c r="S99" s="35">
        <f t="shared" si="50"/>
        <v>0</v>
      </c>
      <c r="T99" s="35">
        <f t="shared" si="50"/>
        <v>0</v>
      </c>
      <c r="U99" s="35">
        <f t="shared" si="50"/>
        <v>0</v>
      </c>
    </row>
    <row r="100" spans="2:23" x14ac:dyDescent="0.2">
      <c r="E100" s="75"/>
      <c r="F100" s="75"/>
      <c r="G100" s="75"/>
      <c r="H100" s="75"/>
      <c r="I100" s="75"/>
      <c r="J100" s="75"/>
      <c r="K100" s="75"/>
      <c r="L100" s="75"/>
      <c r="M100" s="75"/>
      <c r="N100" s="75"/>
      <c r="O100" s="75"/>
      <c r="P100" s="75"/>
      <c r="Q100" s="75"/>
      <c r="R100" s="75"/>
      <c r="S100" s="75"/>
      <c r="T100" s="75"/>
      <c r="U100" s="75"/>
    </row>
    <row r="101" spans="2:23" x14ac:dyDescent="0.2">
      <c r="B101" s="89" t="s">
        <v>131</v>
      </c>
      <c r="C101" s="90">
        <f t="shared" ref="C101:U101" si="51">((1+C96/100)/((1+C23/100)*(1+C41/100))-1)*100</f>
        <v>-4.9030404382286115</v>
      </c>
      <c r="D101" s="90">
        <f t="shared" si="51"/>
        <v>-3.0356888545867822</v>
      </c>
      <c r="E101" s="90">
        <f t="shared" si="51"/>
        <v>-2.7213543230902415</v>
      </c>
      <c r="F101" s="90">
        <f t="shared" si="51"/>
        <v>-1.8244233113708819</v>
      </c>
      <c r="G101" s="90">
        <f t="shared" si="51"/>
        <v>-1.6503794187770593</v>
      </c>
      <c r="H101" s="90">
        <f t="shared" si="51"/>
        <v>-1.4295258400101374</v>
      </c>
      <c r="I101" s="90">
        <f t="shared" si="51"/>
        <v>-1.2933801914574716</v>
      </c>
      <c r="J101" s="90">
        <f t="shared" si="51"/>
        <v>-0.85882023948088415</v>
      </c>
      <c r="K101" s="90">
        <f t="shared" si="51"/>
        <v>-0.70023618958586775</v>
      </c>
      <c r="L101" s="90">
        <f t="shared" si="51"/>
        <v>-0.55115383579416033</v>
      </c>
      <c r="M101" s="90">
        <f t="shared" si="51"/>
        <v>-0.43709087182464135</v>
      </c>
      <c r="N101" s="90">
        <f t="shared" si="51"/>
        <v>-0.33756842165256762</v>
      </c>
      <c r="O101" s="90">
        <f t="shared" si="51"/>
        <v>-0.28481651429568267</v>
      </c>
      <c r="P101" s="90">
        <f t="shared" si="51"/>
        <v>-0.24716990956255014</v>
      </c>
      <c r="Q101" s="90">
        <f t="shared" si="51"/>
        <v>-0.22329969481095224</v>
      </c>
      <c r="R101" s="90">
        <f t="shared" si="51"/>
        <v>-0.29356091294756581</v>
      </c>
      <c r="S101" s="90">
        <f t="shared" si="51"/>
        <v>-0.3746485303514846</v>
      </c>
      <c r="T101" s="90">
        <f t="shared" si="51"/>
        <v>-0.35733632463897935</v>
      </c>
      <c r="U101" s="90">
        <f t="shared" si="51"/>
        <v>-0.34790938244509961</v>
      </c>
    </row>
    <row r="102" spans="2:23" x14ac:dyDescent="0.2">
      <c r="D102" s="23"/>
      <c r="E102" s="23"/>
      <c r="F102" s="23"/>
      <c r="G102" s="23"/>
      <c r="H102" s="23"/>
      <c r="I102" s="23"/>
      <c r="J102" s="23"/>
      <c r="K102" s="23"/>
      <c r="L102" s="23"/>
      <c r="M102" s="23"/>
      <c r="N102" s="23"/>
      <c r="O102" s="23"/>
      <c r="P102" s="23"/>
      <c r="Q102" s="23"/>
      <c r="R102" s="23"/>
      <c r="S102" s="23"/>
      <c r="T102" s="23"/>
      <c r="U102" s="23"/>
    </row>
    <row r="104" spans="2:23" s="71" customFormat="1" ht="12.75" x14ac:dyDescent="0.2">
      <c r="B104" s="14" t="s">
        <v>103</v>
      </c>
    </row>
    <row r="105" spans="2:23" s="86" customFormat="1" ht="12.75" x14ac:dyDescent="0.2">
      <c r="C105" s="80"/>
      <c r="D105" s="80"/>
      <c r="E105" s="80"/>
      <c r="F105" s="80"/>
      <c r="G105" s="80"/>
      <c r="H105" s="80"/>
      <c r="I105" s="80"/>
      <c r="J105" s="80"/>
      <c r="K105" s="80"/>
      <c r="L105" s="80"/>
      <c r="M105" s="80"/>
      <c r="N105" s="80"/>
      <c r="O105" s="80"/>
      <c r="P105" s="80"/>
      <c r="Q105" s="80"/>
      <c r="R105" s="80"/>
      <c r="S105" s="80"/>
      <c r="T105" s="80"/>
      <c r="U105" s="80"/>
    </row>
    <row r="106" spans="2:23" x14ac:dyDescent="0.2">
      <c r="B106" s="95" t="s">
        <v>21</v>
      </c>
      <c r="C106" s="23">
        <v>43.748150000000003</v>
      </c>
      <c r="D106" s="23">
        <v>45.157600000000002</v>
      </c>
      <c r="E106" s="23">
        <v>47.861370000000001</v>
      </c>
      <c r="F106" s="23">
        <v>48.251100000000001</v>
      </c>
      <c r="G106" s="23">
        <v>48.658900000000003</v>
      </c>
      <c r="H106" s="23">
        <v>49.108620000000002</v>
      </c>
      <c r="I106" s="23">
        <v>49.559980000000003</v>
      </c>
      <c r="J106" s="23">
        <v>50.526620000000001</v>
      </c>
      <c r="K106" s="23">
        <v>51.77084</v>
      </c>
      <c r="L106" s="23">
        <v>53.189279999999997</v>
      </c>
      <c r="M106" s="23">
        <v>54.766330000000004</v>
      </c>
      <c r="N106" s="23">
        <v>56.496729999999999</v>
      </c>
      <c r="O106" s="23">
        <v>58.456800000000001</v>
      </c>
      <c r="P106" s="23">
        <v>60.638979999999997</v>
      </c>
      <c r="Q106" s="23">
        <v>62.835949999999997</v>
      </c>
      <c r="R106" s="23">
        <v>65.089569999999995</v>
      </c>
      <c r="S106" s="23">
        <v>67.389499999999998</v>
      </c>
      <c r="T106" s="23">
        <v>69.898200000000003</v>
      </c>
      <c r="U106" s="23">
        <v>72.410240000000002</v>
      </c>
    </row>
    <row r="107" spans="2:23" x14ac:dyDescent="0.2">
      <c r="B107" s="15" t="s">
        <v>99</v>
      </c>
      <c r="C107" s="23">
        <v>1.6465860000000001</v>
      </c>
      <c r="D107" s="23">
        <v>1.72</v>
      </c>
      <c r="E107" s="23">
        <v>1.7322979999999999</v>
      </c>
      <c r="F107" s="23">
        <v>1.8261860000000001</v>
      </c>
      <c r="G107" s="23">
        <v>1.9680949999999999</v>
      </c>
      <c r="H107" s="23">
        <v>2.1107670000000001</v>
      </c>
      <c r="I107" s="23">
        <v>2.2539370000000001</v>
      </c>
      <c r="J107" s="23">
        <v>2.3973789999999999</v>
      </c>
      <c r="K107" s="23">
        <v>2.5480269999999998</v>
      </c>
      <c r="L107" s="23">
        <v>2.702054</v>
      </c>
      <c r="M107" s="23">
        <v>2.8563890000000001</v>
      </c>
      <c r="N107" s="23">
        <v>3.0103569999999999</v>
      </c>
      <c r="O107" s="23">
        <v>3.1305740000000002</v>
      </c>
      <c r="P107" s="23">
        <v>3.2352270000000001</v>
      </c>
      <c r="Q107" s="23">
        <v>3.3256459999999999</v>
      </c>
      <c r="R107" s="23">
        <v>3.4017680000000001</v>
      </c>
      <c r="S107" s="23">
        <v>3.4663970000000002</v>
      </c>
      <c r="T107" s="23">
        <v>3.5210780000000002</v>
      </c>
      <c r="U107" s="23">
        <v>3.5675810000000001</v>
      </c>
    </row>
    <row r="108" spans="2:23" x14ac:dyDescent="0.2">
      <c r="B108" s="15" t="s">
        <v>130</v>
      </c>
      <c r="C108" s="23">
        <v>0</v>
      </c>
      <c r="D108" s="23">
        <v>0</v>
      </c>
      <c r="E108" s="23">
        <v>0</v>
      </c>
      <c r="F108" s="23">
        <v>0</v>
      </c>
      <c r="G108" s="23">
        <v>0</v>
      </c>
      <c r="H108" s="23">
        <v>0</v>
      </c>
      <c r="I108" s="23">
        <v>0</v>
      </c>
      <c r="J108" s="23">
        <v>0</v>
      </c>
      <c r="K108" s="23">
        <v>0</v>
      </c>
      <c r="L108" s="23">
        <v>0</v>
      </c>
      <c r="M108" s="23">
        <v>0</v>
      </c>
      <c r="N108" s="23">
        <v>0</v>
      </c>
      <c r="O108" s="23">
        <v>0</v>
      </c>
      <c r="P108" s="23">
        <v>0</v>
      </c>
      <c r="Q108" s="23">
        <v>0</v>
      </c>
      <c r="R108" s="23">
        <v>0</v>
      </c>
      <c r="S108" s="23">
        <v>0</v>
      </c>
      <c r="T108" s="23">
        <v>0</v>
      </c>
      <c r="U108" s="23">
        <v>0</v>
      </c>
    </row>
    <row r="109" spans="2:23" x14ac:dyDescent="0.2">
      <c r="C109" s="93"/>
      <c r="D109" s="93"/>
      <c r="E109" s="93"/>
      <c r="F109" s="93"/>
      <c r="G109" s="93"/>
      <c r="H109" s="93"/>
      <c r="I109" s="93"/>
      <c r="J109" s="93"/>
      <c r="K109" s="93"/>
      <c r="L109" s="93"/>
      <c r="M109" s="93"/>
      <c r="N109" s="93"/>
      <c r="O109" s="93"/>
      <c r="P109" s="93"/>
      <c r="Q109" s="93"/>
      <c r="R109" s="93"/>
      <c r="S109" s="93"/>
      <c r="T109" s="93"/>
      <c r="U109" s="93"/>
    </row>
    <row r="110" spans="2:23" x14ac:dyDescent="0.2">
      <c r="B110" s="15" t="s">
        <v>63</v>
      </c>
      <c r="C110" s="20">
        <v>2024</v>
      </c>
      <c r="D110" s="20">
        <v>2025</v>
      </c>
      <c r="E110" s="20">
        <v>2026</v>
      </c>
      <c r="F110" s="20">
        <v>2027</v>
      </c>
      <c r="G110" s="20">
        <v>2028</v>
      </c>
      <c r="H110" s="20">
        <v>2029</v>
      </c>
      <c r="I110" s="20">
        <v>2030</v>
      </c>
      <c r="J110" s="20">
        <v>2031</v>
      </c>
      <c r="K110" s="20">
        <v>2032</v>
      </c>
      <c r="L110" s="20">
        <v>2033</v>
      </c>
      <c r="M110" s="20">
        <v>2034</v>
      </c>
      <c r="N110" s="20">
        <v>2035</v>
      </c>
      <c r="O110" s="20">
        <v>2036</v>
      </c>
      <c r="P110" s="20">
        <v>2037</v>
      </c>
      <c r="Q110" s="20">
        <v>2038</v>
      </c>
      <c r="R110" s="20">
        <v>2039</v>
      </c>
      <c r="S110" s="20">
        <v>2040</v>
      </c>
      <c r="T110" s="20">
        <v>2041</v>
      </c>
      <c r="U110" s="20">
        <v>2042</v>
      </c>
    </row>
    <row r="111" spans="2:23" x14ac:dyDescent="0.2">
      <c r="B111" s="15" t="s">
        <v>104</v>
      </c>
      <c r="C111" s="23">
        <v>8.4879309999999999E-2</v>
      </c>
      <c r="D111" s="23">
        <v>7.69344E-2</v>
      </c>
      <c r="E111" s="23">
        <v>0.13354815</v>
      </c>
      <c r="F111" s="23">
        <v>0.13562493</v>
      </c>
      <c r="G111" s="23">
        <v>0.14684963000000001</v>
      </c>
      <c r="H111" s="23">
        <v>0.14741721999999999</v>
      </c>
      <c r="I111" s="23">
        <v>0.13492288</v>
      </c>
      <c r="J111" s="23">
        <v>0.14362448999999999</v>
      </c>
      <c r="K111" s="23">
        <v>7.4675580000000005E-2</v>
      </c>
      <c r="L111" s="23">
        <v>7.3100750000000006E-2</v>
      </c>
      <c r="M111" s="23">
        <v>7.1152400000000005E-2</v>
      </c>
      <c r="N111" s="23">
        <v>6.9066169999999996E-2</v>
      </c>
      <c r="O111" s="23">
        <v>6.8608950000000002E-2</v>
      </c>
      <c r="P111" s="23">
        <v>7.1412450000000002E-2</v>
      </c>
      <c r="Q111" s="23">
        <v>6.7248089999999996E-2</v>
      </c>
      <c r="R111" s="23">
        <v>6.7041719999999999E-2</v>
      </c>
      <c r="S111" s="23">
        <v>6.7138139999999999E-2</v>
      </c>
      <c r="T111" s="23">
        <v>6.6941669999999995E-2</v>
      </c>
      <c r="U111" s="23">
        <v>6.6691180000000003E-2</v>
      </c>
      <c r="V111" s="27"/>
    </row>
    <row r="112" spans="2:23" x14ac:dyDescent="0.2">
      <c r="B112" s="15" t="s">
        <v>105</v>
      </c>
      <c r="C112" s="23">
        <v>3.5521990000000003E-2</v>
      </c>
      <c r="D112" s="23">
        <v>2.405701E-2</v>
      </c>
      <c r="E112" s="23">
        <v>2.5093839999999999E-2</v>
      </c>
      <c r="F112" s="23">
        <v>2.6041829999999998E-2</v>
      </c>
      <c r="G112" s="23">
        <v>3.5615059999999997E-2</v>
      </c>
      <c r="H112" s="23">
        <v>3.7419330000000001E-2</v>
      </c>
      <c r="I112" s="23">
        <v>4.3950679999999999E-2</v>
      </c>
      <c r="J112" s="23">
        <v>5.4862580000000001E-2</v>
      </c>
      <c r="K112" s="23">
        <v>5.7689450000000003E-2</v>
      </c>
      <c r="L112" s="23">
        <v>8.5535420000000001E-2</v>
      </c>
      <c r="M112" s="23">
        <v>7.3442869999999993E-2</v>
      </c>
      <c r="N112" s="23">
        <v>8.832139E-2</v>
      </c>
      <c r="O112" s="23">
        <v>8.64061E-2</v>
      </c>
      <c r="P112" s="23">
        <v>0.10192440999999999</v>
      </c>
      <c r="Q112" s="23">
        <v>0.11969403000000001</v>
      </c>
      <c r="R112" s="23">
        <v>0.10295368000000001</v>
      </c>
      <c r="S112" s="23">
        <v>0.11310902</v>
      </c>
      <c r="T112" s="23">
        <v>0.11780789999999999</v>
      </c>
      <c r="U112" s="23">
        <v>0.12795295000000001</v>
      </c>
      <c r="V112" s="23"/>
      <c r="W112" s="75"/>
    </row>
    <row r="113" spans="2:24" x14ac:dyDescent="0.2">
      <c r="B113" s="15" t="s">
        <v>106</v>
      </c>
      <c r="C113" s="23">
        <v>5.4205339999999998E-2</v>
      </c>
      <c r="D113" s="23">
        <v>7.8871170000000004E-2</v>
      </c>
      <c r="E113" s="23">
        <v>7.7599689999999999E-2</v>
      </c>
      <c r="F113" s="23">
        <v>7.6035950000000005E-2</v>
      </c>
      <c r="G113" s="23">
        <v>7.4660630000000006E-2</v>
      </c>
      <c r="H113" s="23">
        <v>7.3258039999999996E-2</v>
      </c>
      <c r="I113" s="23">
        <v>7.1753730000000002E-2</v>
      </c>
      <c r="J113" s="23">
        <v>7.0468320000000001E-2</v>
      </c>
      <c r="K113" s="23">
        <v>6.9040329999999997E-2</v>
      </c>
      <c r="L113" s="23">
        <v>6.7624340000000005E-2</v>
      </c>
      <c r="M113" s="23">
        <v>6.5956260000000003E-2</v>
      </c>
      <c r="N113" s="23">
        <v>6.4537520000000001E-2</v>
      </c>
      <c r="O113" s="23">
        <v>6.4584059999999999E-2</v>
      </c>
      <c r="P113" s="23">
        <v>6.4579460000000005E-2</v>
      </c>
      <c r="Q113" s="23">
        <v>6.4574179999999995E-2</v>
      </c>
      <c r="R113" s="23">
        <v>6.4567689999999997E-2</v>
      </c>
      <c r="S113" s="23">
        <v>6.4561400000000005E-2</v>
      </c>
      <c r="T113" s="23">
        <v>6.455814E-2</v>
      </c>
      <c r="U113" s="23">
        <v>6.4550109999999994E-2</v>
      </c>
      <c r="V113" s="27"/>
    </row>
    <row r="114" spans="2:24" x14ac:dyDescent="0.2">
      <c r="B114" s="15" t="s">
        <v>107</v>
      </c>
      <c r="C114" s="23">
        <v>4.9137100000000003E-2</v>
      </c>
      <c r="D114" s="23">
        <v>6.5771179999999999E-2</v>
      </c>
      <c r="E114" s="23">
        <v>7.8196979999999999E-2</v>
      </c>
      <c r="F114" s="23">
        <v>7.7336379999999996E-2</v>
      </c>
      <c r="G114" s="23">
        <v>7.4914179999999997E-2</v>
      </c>
      <c r="H114" s="23">
        <v>7.1344260000000007E-2</v>
      </c>
      <c r="I114" s="23">
        <v>6.2981389999999998E-2</v>
      </c>
      <c r="J114" s="23">
        <v>9.9098900000000004E-2</v>
      </c>
      <c r="K114" s="23">
        <v>7.8211219999999998E-2</v>
      </c>
      <c r="L114" s="23">
        <v>7.902062E-2</v>
      </c>
      <c r="M114" s="23">
        <v>6.4786910000000003E-2</v>
      </c>
      <c r="N114" s="23">
        <v>8.3202670000000006E-2</v>
      </c>
      <c r="O114" s="23">
        <v>8.5690310000000006E-2</v>
      </c>
      <c r="P114" s="23">
        <v>6.3351229999999994E-2</v>
      </c>
      <c r="Q114" s="23">
        <v>7.4888010000000005E-2</v>
      </c>
      <c r="R114" s="23">
        <v>6.062613E-2</v>
      </c>
      <c r="S114" s="23">
        <v>6.3745969999999999E-2</v>
      </c>
      <c r="T114" s="23">
        <v>6.058587E-2</v>
      </c>
      <c r="U114" s="23">
        <v>6.4431959999999996E-2</v>
      </c>
      <c r="V114" s="27"/>
    </row>
    <row r="115" spans="2:24" x14ac:dyDescent="0.2">
      <c r="C115" s="27"/>
      <c r="D115" s="27"/>
      <c r="E115" s="23"/>
      <c r="F115" s="23"/>
      <c r="G115" s="27"/>
      <c r="H115" s="93"/>
      <c r="I115" s="93"/>
      <c r="J115" s="93"/>
      <c r="K115" s="93"/>
      <c r="L115" s="93"/>
      <c r="M115" s="93"/>
      <c r="N115" s="93"/>
      <c r="O115" s="93"/>
      <c r="P115" s="93"/>
      <c r="Q115" s="93"/>
      <c r="R115" s="93"/>
      <c r="S115" s="93"/>
      <c r="T115" s="93"/>
      <c r="U115" s="93"/>
      <c r="V115" s="93"/>
      <c r="W115" s="93"/>
      <c r="X115" s="27"/>
    </row>
    <row r="116" spans="2:24" x14ac:dyDescent="0.2">
      <c r="E116" s="23"/>
      <c r="F116" s="23"/>
      <c r="G116" s="96"/>
      <c r="H116" s="96"/>
      <c r="I116" s="96"/>
      <c r="J116" s="96"/>
      <c r="K116" s="96"/>
      <c r="L116" s="96"/>
      <c r="M116" s="96"/>
      <c r="N116" s="96"/>
      <c r="O116" s="96"/>
      <c r="P116" s="96"/>
      <c r="Q116" s="96"/>
      <c r="R116" s="96"/>
      <c r="S116" s="96"/>
      <c r="T116" s="96"/>
      <c r="U116" s="96"/>
      <c r="V116" s="96"/>
      <c r="W116" s="96"/>
    </row>
    <row r="117" spans="2:24" x14ac:dyDescent="0.2">
      <c r="D117" s="181"/>
      <c r="E117" s="181"/>
      <c r="F117" s="181"/>
      <c r="G117" s="181"/>
    </row>
    <row r="118" spans="2:24" x14ac:dyDescent="0.2">
      <c r="D118" s="181"/>
      <c r="E118" s="181"/>
      <c r="F118" s="181"/>
      <c r="G118" s="181"/>
      <c r="H118" s="181"/>
      <c r="I118" s="181"/>
      <c r="J118" s="181"/>
      <c r="K118" s="181"/>
      <c r="L118" s="181"/>
      <c r="M118" s="181"/>
      <c r="N118" s="181"/>
      <c r="O118" s="181"/>
      <c r="P118" s="181"/>
      <c r="Q118" s="181"/>
      <c r="R118" s="181"/>
      <c r="S118" s="181"/>
      <c r="T118" s="181"/>
      <c r="U118" s="96"/>
      <c r="V118" s="96"/>
      <c r="W118" s="96"/>
    </row>
    <row r="119" spans="2:24" x14ac:dyDescent="0.2">
      <c r="E119" s="23"/>
      <c r="F119" s="23"/>
      <c r="G119" s="96"/>
      <c r="H119" s="96"/>
      <c r="I119" s="96"/>
      <c r="J119" s="96"/>
      <c r="K119" s="96"/>
      <c r="L119" s="96"/>
      <c r="M119" s="96"/>
      <c r="N119" s="96"/>
      <c r="O119" s="96"/>
      <c r="P119" s="96"/>
      <c r="Q119" s="96"/>
      <c r="R119" s="96"/>
      <c r="S119" s="96"/>
      <c r="T119" s="96"/>
      <c r="U119" s="96"/>
      <c r="V119" s="96"/>
      <c r="W119" s="96"/>
      <c r="X119" s="96"/>
    </row>
    <row r="120" spans="2:24" x14ac:dyDescent="0.2">
      <c r="G120" s="96"/>
      <c r="H120" s="96"/>
      <c r="I120" s="96"/>
      <c r="J120" s="96"/>
      <c r="K120" s="96"/>
      <c r="L120" s="96"/>
      <c r="M120" s="96"/>
      <c r="N120" s="96"/>
      <c r="O120" s="96"/>
      <c r="P120" s="96"/>
      <c r="Q120" s="96"/>
      <c r="R120" s="96"/>
      <c r="S120" s="96"/>
      <c r="T120" s="96"/>
      <c r="U120" s="96"/>
      <c r="V120" s="96"/>
      <c r="W120" s="96"/>
      <c r="X120" s="96"/>
    </row>
    <row r="121" spans="2:24" x14ac:dyDescent="0.2">
      <c r="E121" s="23"/>
      <c r="F121" s="75"/>
      <c r="G121" s="75"/>
      <c r="H121" s="75"/>
      <c r="I121" s="75"/>
      <c r="J121" s="75"/>
      <c r="K121" s="75"/>
      <c r="L121" s="75"/>
      <c r="M121" s="75"/>
      <c r="N121" s="75"/>
      <c r="O121" s="75"/>
      <c r="P121" s="75"/>
      <c r="Q121" s="75"/>
      <c r="R121" s="75"/>
      <c r="S121" s="75"/>
      <c r="T121" s="75"/>
      <c r="U121" s="75"/>
      <c r="V121" s="75"/>
      <c r="W121" s="75"/>
      <c r="X121" s="96"/>
    </row>
    <row r="122" spans="2:24" x14ac:dyDescent="0.2">
      <c r="E122" s="23"/>
      <c r="F122" s="23"/>
      <c r="G122" s="96"/>
      <c r="H122" s="96"/>
      <c r="I122" s="96"/>
      <c r="J122" s="96"/>
      <c r="K122" s="96"/>
      <c r="L122" s="96"/>
      <c r="M122" s="96"/>
      <c r="N122" s="96"/>
      <c r="O122" s="96"/>
      <c r="P122" s="96"/>
      <c r="Q122" s="96"/>
      <c r="R122" s="96"/>
      <c r="S122" s="96"/>
      <c r="T122" s="96"/>
      <c r="U122" s="96"/>
      <c r="V122" s="96"/>
      <c r="W122" s="96"/>
      <c r="X122" s="96"/>
    </row>
    <row r="123" spans="2:24" x14ac:dyDescent="0.2">
      <c r="G123" s="96"/>
      <c r="H123" s="96"/>
      <c r="I123" s="96"/>
      <c r="J123" s="96"/>
      <c r="K123" s="96"/>
      <c r="L123" s="96"/>
      <c r="M123" s="96"/>
      <c r="N123" s="96"/>
      <c r="O123" s="96"/>
      <c r="P123" s="96"/>
      <c r="Q123" s="96"/>
      <c r="R123" s="96"/>
      <c r="S123" s="96"/>
      <c r="T123" s="96"/>
      <c r="U123" s="96"/>
      <c r="V123" s="96"/>
      <c r="W123" s="96"/>
      <c r="X123" s="96"/>
    </row>
  </sheetData>
  <conditionalFormatting sqref="S10:U43 S49:U52 S82:U103 S105:U114">
    <cfRule type="expression" dxfId="14" priority="1">
      <formula>S$10&gt;($C$6+10)</formula>
    </cfRule>
  </conditionalFormatting>
  <conditionalFormatting sqref="S54:U80">
    <cfRule type="expression" dxfId="13" priority="126">
      <formula>S$10&gt;($C$6+10)</formula>
    </cfRule>
  </conditionalFormatting>
  <conditionalFormatting sqref="U45:W48 U115:W130">
    <cfRule type="expression" dxfId="12" priority="127">
      <formula>S$10&gt;($C$6+10)</formula>
    </cfRule>
  </conditionalFormatting>
  <pageMargins left="0.7" right="0.7" top="0.75" bottom="0.75" header="0.3" footer="0.3"/>
  <pageSetup paperSize="9" orientation="portrait" r:id="rId1"/>
  <ignoredErrors>
    <ignoredError sqref="C5 C46:C47" unlockedFormula="1"/>
    <ignoredError sqref="T35:U35 T56:U57 T66:U69 T97:U98 S84:S85 T83:U85 T100:U100 S88:S94 T88:U96" evalError="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4">
    <tabColor rgb="FFFFC000"/>
  </sheetPr>
  <dimension ref="A1:AW126"/>
  <sheetViews>
    <sheetView zoomScaleNormal="100" workbookViewId="0"/>
  </sheetViews>
  <sheetFormatPr defaultColWidth="9.28515625" defaultRowHeight="11.25" outlineLevelRow="1" x14ac:dyDescent="0.2"/>
  <cols>
    <col min="1" max="1" width="9.28515625" style="15" customWidth="1"/>
    <col min="2" max="2" width="57.42578125" style="15" customWidth="1"/>
    <col min="3" max="38" width="9.28515625" style="15" customWidth="1"/>
    <col min="39" max="48" width="11.42578125" style="15" bestFit="1" customWidth="1"/>
    <col min="49" max="16384" width="9.28515625" style="15"/>
  </cols>
  <sheetData>
    <row r="1" spans="1:49" ht="24.75" customHeight="1" x14ac:dyDescent="0.2">
      <c r="B1" s="28"/>
    </row>
    <row r="2" spans="1:49" ht="11.25" customHeight="1" x14ac:dyDescent="0.2">
      <c r="B2" s="16"/>
    </row>
    <row r="3" spans="1:49" ht="11.25" customHeight="1" x14ac:dyDescent="0.2">
      <c r="B3" s="8" t="s">
        <v>11</v>
      </c>
      <c r="C3" s="9" t="str">
        <f>'Input data'!C3</f>
        <v>NL</v>
      </c>
    </row>
    <row r="4" spans="1:49" x14ac:dyDescent="0.2">
      <c r="B4" s="50" t="s">
        <v>16</v>
      </c>
      <c r="C4" s="10"/>
    </row>
    <row r="5" spans="1:49" x14ac:dyDescent="0.2">
      <c r="A5" s="18"/>
      <c r="B5" s="11" t="str">
        <f>'Input data'!B5</f>
        <v>Last year before the adjustment</v>
      </c>
      <c r="C5" s="12">
        <f>+'Input data'!C5</f>
        <v>2025</v>
      </c>
      <c r="J5" s="39"/>
      <c r="M5" s="27"/>
    </row>
    <row r="6" spans="1:49" x14ac:dyDescent="0.2">
      <c r="A6" s="18"/>
      <c r="B6" s="51" t="s">
        <v>22</v>
      </c>
      <c r="C6" s="12">
        <f>+C5+'Criteria results'!$F$5</f>
        <v>2029</v>
      </c>
      <c r="E6" s="30"/>
      <c r="F6" s="18"/>
    </row>
    <row r="7" spans="1:49" x14ac:dyDescent="0.2">
      <c r="A7" s="18"/>
      <c r="B7" s="13" t="s">
        <v>17</v>
      </c>
      <c r="C7" s="52">
        <f>C5+'Criteria results'!$F$5+10</f>
        <v>2039</v>
      </c>
      <c r="E7" s="30"/>
      <c r="F7" s="18"/>
      <c r="G7" s="39"/>
      <c r="H7" s="39"/>
      <c r="I7" s="39"/>
      <c r="J7" s="39"/>
      <c r="K7" s="39"/>
      <c r="L7" s="39"/>
      <c r="M7" s="39"/>
    </row>
    <row r="8" spans="1:49" x14ac:dyDescent="0.2">
      <c r="A8" s="18"/>
      <c r="C8" s="18"/>
      <c r="E8" s="333"/>
      <c r="F8" s="333"/>
      <c r="G8" s="333"/>
      <c r="H8" s="333"/>
      <c r="I8" s="333"/>
      <c r="J8" s="333"/>
      <c r="K8" s="333"/>
      <c r="N8" s="18"/>
      <c r="O8" s="18"/>
      <c r="P8" s="18"/>
      <c r="Q8" s="18"/>
      <c r="R8" s="18"/>
      <c r="S8" s="18"/>
      <c r="T8" s="18"/>
      <c r="U8" s="18"/>
      <c r="V8" s="18"/>
      <c r="W8" s="18"/>
    </row>
    <row r="9" spans="1:49" s="53" customFormat="1" ht="12.75" x14ac:dyDescent="0.2">
      <c r="B9" s="14" t="s">
        <v>23</v>
      </c>
    </row>
    <row r="10" spans="1:49" x14ac:dyDescent="0.2">
      <c r="C10" s="20">
        <f>'Input data'!$C$5-1</f>
        <v>2024</v>
      </c>
      <c r="D10" s="20">
        <f>C10+1</f>
        <v>2025</v>
      </c>
      <c r="E10" s="20">
        <f t="shared" ref="E10:U10" si="0">D10+1</f>
        <v>2026</v>
      </c>
      <c r="F10" s="20">
        <f t="shared" si="0"/>
        <v>2027</v>
      </c>
      <c r="G10" s="20">
        <f t="shared" si="0"/>
        <v>2028</v>
      </c>
      <c r="H10" s="20">
        <f t="shared" si="0"/>
        <v>2029</v>
      </c>
      <c r="I10" s="20">
        <f t="shared" si="0"/>
        <v>2030</v>
      </c>
      <c r="J10" s="20">
        <f t="shared" si="0"/>
        <v>2031</v>
      </c>
      <c r="K10" s="20">
        <f t="shared" si="0"/>
        <v>2032</v>
      </c>
      <c r="L10" s="20">
        <f t="shared" si="0"/>
        <v>2033</v>
      </c>
      <c r="M10" s="20">
        <f t="shared" si="0"/>
        <v>2034</v>
      </c>
      <c r="N10" s="20">
        <f t="shared" si="0"/>
        <v>2035</v>
      </c>
      <c r="O10" s="20">
        <f t="shared" si="0"/>
        <v>2036</v>
      </c>
      <c r="P10" s="20">
        <f t="shared" si="0"/>
        <v>2037</v>
      </c>
      <c r="Q10" s="20">
        <f t="shared" si="0"/>
        <v>2038</v>
      </c>
      <c r="R10" s="20">
        <f t="shared" si="0"/>
        <v>2039</v>
      </c>
      <c r="S10" s="20">
        <f t="shared" si="0"/>
        <v>2040</v>
      </c>
      <c r="T10" s="20">
        <f t="shared" si="0"/>
        <v>2041</v>
      </c>
      <c r="U10" s="20">
        <f t="shared" si="0"/>
        <v>2042</v>
      </c>
      <c r="V10" s="18"/>
      <c r="W10" s="18"/>
      <c r="X10" s="18"/>
      <c r="Y10" s="18"/>
      <c r="Z10" s="18"/>
      <c r="AA10" s="18"/>
      <c r="AB10" s="18"/>
      <c r="AC10" s="18"/>
      <c r="AD10" s="18"/>
      <c r="AE10" s="18"/>
      <c r="AF10" s="18"/>
      <c r="AG10" s="18"/>
      <c r="AH10" s="18"/>
      <c r="AI10" s="18"/>
      <c r="AJ10" s="18"/>
      <c r="AK10" s="18"/>
      <c r="AL10" s="18"/>
      <c r="AM10" s="18"/>
      <c r="AN10" s="18"/>
      <c r="AO10" s="18"/>
      <c r="AP10" s="18"/>
      <c r="AQ10" s="18"/>
      <c r="AR10" s="18"/>
      <c r="AS10" s="18"/>
      <c r="AT10" s="18"/>
      <c r="AU10" s="18"/>
      <c r="AV10" s="18"/>
    </row>
    <row r="11" spans="1:49" x14ac:dyDescent="0.2">
      <c r="B11" s="17" t="s">
        <v>24</v>
      </c>
      <c r="C11" s="18"/>
      <c r="D11" s="182"/>
      <c r="E11" s="334"/>
      <c r="F11" s="334"/>
      <c r="G11" s="334"/>
      <c r="H11" s="334"/>
      <c r="I11" s="334"/>
      <c r="J11" s="334"/>
      <c r="K11" s="334"/>
      <c r="L11" s="182"/>
      <c r="M11" s="182"/>
      <c r="N11" s="182"/>
      <c r="O11" s="182"/>
      <c r="P11" s="182"/>
      <c r="Q11" s="182"/>
      <c r="R11" s="182"/>
      <c r="S11" s="182"/>
      <c r="T11" s="182"/>
      <c r="U11" s="182"/>
      <c r="V11" s="18"/>
      <c r="W11" s="18"/>
      <c r="X11" s="18"/>
      <c r="Y11" s="18"/>
      <c r="Z11" s="18"/>
      <c r="AA11" s="18"/>
      <c r="AB11" s="18"/>
      <c r="AC11" s="18"/>
      <c r="AD11" s="18"/>
      <c r="AE11" s="18"/>
      <c r="AF11" s="18"/>
      <c r="AG11" s="18"/>
      <c r="AH11" s="18"/>
      <c r="AI11" s="18"/>
      <c r="AJ11" s="18"/>
      <c r="AK11" s="18"/>
      <c r="AL11" s="18"/>
      <c r="AM11" s="18"/>
      <c r="AN11" s="18"/>
      <c r="AO11" s="18"/>
      <c r="AP11" s="18"/>
      <c r="AQ11" s="18"/>
      <c r="AR11" s="18"/>
      <c r="AS11" s="18"/>
      <c r="AT11" s="18"/>
      <c r="AU11" s="18"/>
      <c r="AV11" s="18"/>
    </row>
    <row r="12" spans="1:49" x14ac:dyDescent="0.2">
      <c r="B12" s="15" t="s">
        <v>26</v>
      </c>
      <c r="C12" s="2">
        <f>'Input data'!C13</f>
        <v>0.386237</v>
      </c>
      <c r="D12" s="2">
        <f>'Input data'!D13</f>
        <v>-0.55773950000000005</v>
      </c>
      <c r="E12" s="3">
        <f>IF(E10&lt;=$C$6,
IF(AND(D78&lt;=-1.55,'Criteria results'!$F$5=4,'Criteria results'!$F$6&lt;0.4),D12+0.4,
IF(AND(D78&lt;=-1.55,'Criteria results'!$F$5=7,'Criteria results'!$F$6&lt;0.25),D12+0.25,
D12+'Criteria results'!$F$6)),D12)</f>
        <v>-0.55773950000000005</v>
      </c>
      <c r="F12" s="3">
        <f>IF(F10&lt;=$C$6,
IF(AND(E78&lt;=-1.55,'Criteria results'!$F$5=4,'Criteria results'!$F$6&lt;0.4),E12+0.4,
IF(AND(E78&lt;=-1.55,'Criteria results'!$F$5=7,'Criteria results'!$F$6&lt;0.25),E12+0.25,
E12+'Criteria results'!$F$6)),E12)</f>
        <v>-0.55773950000000005</v>
      </c>
      <c r="G12" s="3">
        <f>IF(G10&lt;=$C$6,
IF(AND(F78&lt;=-1.55,'Criteria results'!$F$5=4,'Criteria results'!$F$6&lt;0.4),F12+0.4,
IF(AND(F78&lt;=-1.55,'Criteria results'!$F$5=7,'Criteria results'!$F$6&lt;0.25),F12+0.25,
F12+'Criteria results'!$F$6)),F12)</f>
        <v>-0.55773950000000005</v>
      </c>
      <c r="H12" s="3">
        <f>IF(H10&lt;=$C$6,
IF(AND(G78&lt;=-1.55,'Criteria results'!$F$5=4,'Criteria results'!$F$6&lt;0.4),G12+0.4,
IF(AND(G78&lt;=-1.55,'Criteria results'!$F$5=7,'Criteria results'!$F$6&lt;0.25),G12+0.25,
G12+'Criteria results'!$F$6)),G12)</f>
        <v>-0.55773950000000005</v>
      </c>
      <c r="I12" s="94">
        <f>IF(I10&lt;=$C$6,
IF(AND(H78&lt;=-1.55,'Criteria results'!$F$5=4,'Criteria results'!$F$6&lt;0.4),H12+0.4,
IF(AND(H78&lt;=-1.55,'Criteria results'!$F$5=7,'Criteria results'!$F$6&lt;0.25),H12+0.25,
H12+'Criteria results'!$F$6)),H12)</f>
        <v>-0.55773950000000005</v>
      </c>
      <c r="J12" s="94">
        <f>IF(J10&lt;=$C$6,
IF(AND(I78&lt;=-1.55,'Criteria results'!$F$5=4,'Criteria results'!$F$6&lt;0.4),I12+0.4,
IF(AND(I78&lt;=-1.55,'Criteria results'!$F$5=7,'Criteria results'!$F$6&lt;0.25),I12+0.25,
I12+'Criteria results'!$F$6)),I12)</f>
        <v>-0.55773950000000005</v>
      </c>
      <c r="K12" s="94">
        <f>IF(K10&lt;=$C$6,
IF(AND(J78&lt;=-1.55,'Criteria results'!$F$5=4,'Criteria results'!$F$6&lt;0.4),J12+0.4,
IF(AND(J78&lt;=-1.55,'Criteria results'!$F$5=7,'Criteria results'!$F$6&lt;0.25),J12+0.25,
J12+'Criteria results'!$F$6)),J12)</f>
        <v>-0.55773950000000005</v>
      </c>
      <c r="L12" s="94">
        <f>K12</f>
        <v>-0.55773950000000005</v>
      </c>
      <c r="M12" s="94">
        <f t="shared" ref="M12:U12" si="1">L12</f>
        <v>-0.55773950000000005</v>
      </c>
      <c r="N12" s="94">
        <f t="shared" si="1"/>
        <v>-0.55773950000000005</v>
      </c>
      <c r="O12" s="94">
        <f t="shared" si="1"/>
        <v>-0.55773950000000005</v>
      </c>
      <c r="P12" s="94">
        <f t="shared" si="1"/>
        <v>-0.55773950000000005</v>
      </c>
      <c r="Q12" s="94">
        <f t="shared" si="1"/>
        <v>-0.55773950000000005</v>
      </c>
      <c r="R12" s="94">
        <f t="shared" si="1"/>
        <v>-0.55773950000000005</v>
      </c>
      <c r="S12" s="94">
        <f t="shared" si="1"/>
        <v>-0.55773950000000005</v>
      </c>
      <c r="T12" s="94">
        <f t="shared" si="1"/>
        <v>-0.55773950000000005</v>
      </c>
      <c r="U12" s="94">
        <f t="shared" si="1"/>
        <v>-0.55773950000000005</v>
      </c>
      <c r="V12" s="45"/>
      <c r="W12" s="45"/>
      <c r="X12" s="45"/>
      <c r="Y12" s="45"/>
      <c r="Z12" s="45"/>
      <c r="AA12" s="45"/>
      <c r="AB12" s="45"/>
      <c r="AC12" s="45"/>
      <c r="AD12" s="45"/>
      <c r="AE12" s="45"/>
      <c r="AF12" s="45"/>
      <c r="AG12" s="45"/>
      <c r="AH12" s="45"/>
      <c r="AI12" s="45"/>
      <c r="AJ12" s="45"/>
      <c r="AK12" s="45"/>
      <c r="AL12" s="45"/>
      <c r="AM12" s="45"/>
      <c r="AN12" s="45"/>
      <c r="AO12" s="45"/>
      <c r="AP12" s="45"/>
      <c r="AQ12" s="45"/>
      <c r="AR12" s="45"/>
      <c r="AS12" s="45"/>
      <c r="AT12" s="45"/>
      <c r="AU12" s="45"/>
      <c r="AV12" s="45"/>
      <c r="AW12" s="46"/>
    </row>
    <row r="13" spans="1:49" x14ac:dyDescent="0.2">
      <c r="B13" s="267" t="s">
        <v>135</v>
      </c>
      <c r="C13" s="18"/>
      <c r="D13" s="182"/>
      <c r="E13" s="182">
        <f>E12-D12</f>
        <v>0</v>
      </c>
      <c r="F13" s="182">
        <f t="shared" ref="F13:U13" si="2">F12-E12</f>
        <v>0</v>
      </c>
      <c r="G13" s="182">
        <f t="shared" si="2"/>
        <v>0</v>
      </c>
      <c r="H13" s="182">
        <f t="shared" si="2"/>
        <v>0</v>
      </c>
      <c r="I13" s="182">
        <f>I12-H12</f>
        <v>0</v>
      </c>
      <c r="J13" s="182">
        <f t="shared" si="2"/>
        <v>0</v>
      </c>
      <c r="K13" s="182">
        <f t="shared" si="2"/>
        <v>0</v>
      </c>
      <c r="L13" s="182">
        <f t="shared" si="2"/>
        <v>0</v>
      </c>
      <c r="M13" s="182">
        <f t="shared" si="2"/>
        <v>0</v>
      </c>
      <c r="N13" s="182">
        <f t="shared" si="2"/>
        <v>0</v>
      </c>
      <c r="O13" s="182">
        <f t="shared" si="2"/>
        <v>0</v>
      </c>
      <c r="P13" s="182">
        <f t="shared" si="2"/>
        <v>0</v>
      </c>
      <c r="Q13" s="182">
        <f t="shared" si="2"/>
        <v>0</v>
      </c>
      <c r="R13" s="182">
        <f t="shared" si="2"/>
        <v>0</v>
      </c>
      <c r="S13" s="182">
        <f t="shared" si="2"/>
        <v>0</v>
      </c>
      <c r="T13" s="182">
        <f t="shared" si="2"/>
        <v>0</v>
      </c>
      <c r="U13" s="182">
        <f t="shared" si="2"/>
        <v>0</v>
      </c>
      <c r="V13" s="18"/>
      <c r="W13" s="18"/>
      <c r="X13" s="18"/>
      <c r="Y13" s="18"/>
      <c r="Z13" s="18"/>
      <c r="AA13" s="18"/>
      <c r="AB13" s="18"/>
      <c r="AC13" s="18"/>
      <c r="AD13" s="18"/>
      <c r="AE13" s="18"/>
      <c r="AF13" s="18"/>
      <c r="AG13" s="18"/>
      <c r="AH13" s="18"/>
      <c r="AI13" s="18"/>
      <c r="AJ13" s="18"/>
      <c r="AK13" s="18"/>
      <c r="AL13" s="18"/>
      <c r="AM13" s="18"/>
      <c r="AN13" s="18"/>
      <c r="AO13" s="18"/>
      <c r="AP13" s="18"/>
      <c r="AQ13" s="18"/>
      <c r="AR13" s="18"/>
      <c r="AS13" s="18"/>
      <c r="AT13" s="18"/>
      <c r="AU13" s="18"/>
      <c r="AV13" s="18"/>
    </row>
    <row r="14" spans="1:49" x14ac:dyDescent="0.2">
      <c r="B14" s="15" t="s">
        <v>27</v>
      </c>
      <c r="C14" s="2">
        <f>'Input data'!C14</f>
        <v>-2.6727000000000001E-2</v>
      </c>
      <c r="D14" s="2">
        <f>'Input data'!D14</f>
        <v>-2.54775E-2</v>
      </c>
      <c r="E14" s="2">
        <f>'Input data'!E14</f>
        <v>-0.69010419999999995</v>
      </c>
      <c r="F14" s="2">
        <f>'Input data'!F14</f>
        <v>0</v>
      </c>
      <c r="G14" s="2">
        <f>'Input data'!G14</f>
        <v>0</v>
      </c>
      <c r="H14" s="2">
        <f>'Input data'!H14</f>
        <v>0</v>
      </c>
      <c r="I14" s="2">
        <f>'Input data'!I14</f>
        <v>0</v>
      </c>
      <c r="J14" s="2">
        <f>'Input data'!J14</f>
        <v>0</v>
      </c>
      <c r="K14" s="2">
        <f>'Input data'!K14</f>
        <v>0</v>
      </c>
      <c r="L14" s="2">
        <f>'Input data'!L14</f>
        <v>0</v>
      </c>
      <c r="M14" s="2">
        <f>'Input data'!M14</f>
        <v>0</v>
      </c>
      <c r="N14" s="2">
        <f>'Input data'!N14</f>
        <v>0</v>
      </c>
      <c r="O14" s="2">
        <f>'Input data'!O14</f>
        <v>0</v>
      </c>
      <c r="P14" s="2">
        <f>'Input data'!P14</f>
        <v>0</v>
      </c>
      <c r="Q14" s="2">
        <f>'Input data'!Q14</f>
        <v>0</v>
      </c>
      <c r="R14" s="2">
        <f>'Input data'!R14</f>
        <v>0</v>
      </c>
      <c r="S14" s="2">
        <f>'Input data'!S14</f>
        <v>0</v>
      </c>
      <c r="T14" s="2">
        <f>'Input data'!T14</f>
        <v>0</v>
      </c>
      <c r="U14" s="2">
        <f>'Input data'!U14</f>
        <v>0</v>
      </c>
      <c r="V14" s="45"/>
      <c r="W14" s="45"/>
      <c r="X14" s="45"/>
      <c r="Y14" s="45"/>
      <c r="Z14" s="45"/>
      <c r="AA14" s="45"/>
      <c r="AB14" s="45"/>
      <c r="AC14" s="45"/>
      <c r="AD14" s="45"/>
      <c r="AE14" s="45"/>
      <c r="AF14" s="45"/>
      <c r="AG14" s="45"/>
      <c r="AH14" s="45"/>
      <c r="AI14" s="45"/>
      <c r="AJ14" s="45"/>
      <c r="AK14" s="45"/>
      <c r="AL14" s="45"/>
      <c r="AM14" s="45"/>
      <c r="AN14" s="45"/>
      <c r="AO14" s="45"/>
      <c r="AP14" s="45"/>
      <c r="AQ14" s="45"/>
      <c r="AR14" s="45"/>
      <c r="AS14" s="45"/>
      <c r="AT14" s="45"/>
      <c r="AU14" s="45"/>
      <c r="AV14" s="45"/>
      <c r="AW14" s="46"/>
    </row>
    <row r="15" spans="1:49" x14ac:dyDescent="0.2">
      <c r="B15" s="15" t="s">
        <v>54</v>
      </c>
      <c r="C15" s="2">
        <f>'Input data'!C15</f>
        <v>-9.1939599999999996E-2</v>
      </c>
      <c r="D15" s="2">
        <f>'Input data'!D15</f>
        <v>1.579996</v>
      </c>
      <c r="E15" s="2">
        <f>'Input data'!E15</f>
        <v>2.014675</v>
      </c>
      <c r="F15" s="2">
        <f>'Input data'!F15</f>
        <v>0</v>
      </c>
      <c r="G15" s="2">
        <f>'Input data'!G15</f>
        <v>0</v>
      </c>
      <c r="H15" s="2">
        <f>'Input data'!H15</f>
        <v>0</v>
      </c>
      <c r="I15" s="2">
        <f>'Input data'!I15</f>
        <v>0</v>
      </c>
      <c r="J15" s="2">
        <f>'Input data'!J15</f>
        <v>0</v>
      </c>
      <c r="K15" s="2">
        <f>'Input data'!K15</f>
        <v>0</v>
      </c>
      <c r="L15" s="2">
        <f>'Input data'!L15</f>
        <v>0</v>
      </c>
      <c r="M15" s="2">
        <f>'Input data'!M15</f>
        <v>0</v>
      </c>
      <c r="N15" s="2">
        <f>'Input data'!N15</f>
        <v>0</v>
      </c>
      <c r="O15" s="2">
        <f>'Input data'!O15</f>
        <v>0</v>
      </c>
      <c r="P15" s="2">
        <f>'Input data'!P15</f>
        <v>0</v>
      </c>
      <c r="Q15" s="2">
        <f>'Input data'!Q15</f>
        <v>0</v>
      </c>
      <c r="R15" s="2">
        <f>'Input data'!R15</f>
        <v>0</v>
      </c>
      <c r="S15" s="2">
        <f>'Input data'!S15</f>
        <v>0</v>
      </c>
      <c r="T15" s="2">
        <f>'Input data'!T15</f>
        <v>0</v>
      </c>
      <c r="U15" s="2">
        <f>'Input data'!U15</f>
        <v>0</v>
      </c>
      <c r="V15" s="45"/>
      <c r="W15" s="45"/>
      <c r="X15" s="45"/>
      <c r="Y15" s="45"/>
      <c r="Z15" s="45"/>
      <c r="AA15" s="45"/>
      <c r="AB15" s="45"/>
      <c r="AC15" s="45"/>
      <c r="AD15" s="45"/>
      <c r="AE15" s="45"/>
      <c r="AF15" s="45"/>
      <c r="AG15" s="45"/>
      <c r="AH15" s="45"/>
      <c r="AI15" s="45"/>
      <c r="AJ15" s="45"/>
      <c r="AK15" s="45"/>
      <c r="AL15" s="45"/>
      <c r="AM15" s="45"/>
      <c r="AN15" s="45"/>
      <c r="AO15" s="45"/>
      <c r="AP15" s="45"/>
      <c r="AQ15" s="45"/>
      <c r="AR15" s="45"/>
      <c r="AS15" s="45"/>
      <c r="AT15" s="45"/>
      <c r="AU15" s="45"/>
      <c r="AV15" s="45"/>
      <c r="AW15" s="46"/>
    </row>
    <row r="16" spans="1:49" ht="5.65" customHeight="1" x14ac:dyDescent="0.2">
      <c r="C16" s="1"/>
      <c r="D16" s="1"/>
      <c r="E16" s="1"/>
      <c r="F16" s="1"/>
      <c r="G16" s="1"/>
      <c r="H16" s="1"/>
      <c r="I16" s="1"/>
      <c r="J16" s="1"/>
      <c r="K16" s="1"/>
      <c r="L16" s="1"/>
      <c r="M16" s="1"/>
      <c r="N16" s="1"/>
      <c r="O16" s="1"/>
      <c r="P16" s="1"/>
      <c r="Q16" s="1"/>
      <c r="R16" s="1"/>
      <c r="S16" s="1"/>
      <c r="T16" s="1"/>
      <c r="U16" s="1"/>
      <c r="V16" s="1"/>
      <c r="W16" s="1"/>
      <c r="X16" s="1"/>
      <c r="Y16" s="1"/>
      <c r="Z16" s="1"/>
      <c r="AA16" s="1"/>
      <c r="AB16" s="1"/>
      <c r="AC16" s="1"/>
      <c r="AD16" s="1"/>
      <c r="AE16" s="1"/>
      <c r="AF16" s="1"/>
      <c r="AG16" s="1"/>
      <c r="AH16" s="1"/>
      <c r="AI16" s="1"/>
      <c r="AJ16" s="1"/>
      <c r="AK16" s="1"/>
      <c r="AL16" s="1"/>
      <c r="AM16" s="1"/>
      <c r="AN16" s="1"/>
      <c r="AO16" s="1"/>
      <c r="AP16" s="1"/>
      <c r="AQ16" s="1"/>
      <c r="AR16" s="1"/>
      <c r="AS16" s="1"/>
      <c r="AT16" s="1"/>
      <c r="AU16" s="1"/>
      <c r="AV16" s="1"/>
    </row>
    <row r="17" spans="1:48" ht="11.25" customHeight="1" x14ac:dyDescent="0.2">
      <c r="B17" s="19" t="str">
        <f>'Input data'!B19</f>
        <v>Cost of ageing and selected public revenue (based on the Commission-Council 2024 Ageing Report ("AR 2024"))</v>
      </c>
      <c r="C17" s="1"/>
      <c r="D17" s="1"/>
      <c r="E17" s="1"/>
      <c r="F17" s="1"/>
      <c r="G17" s="1"/>
      <c r="H17" s="1"/>
      <c r="I17" s="1"/>
      <c r="J17" s="1"/>
      <c r="K17" s="1"/>
      <c r="L17" s="1"/>
      <c r="M17" s="1"/>
      <c r="N17" s="1"/>
      <c r="O17" s="1"/>
      <c r="P17" s="1"/>
      <c r="Q17" s="1"/>
      <c r="R17" s="1"/>
      <c r="S17" s="1"/>
      <c r="T17" s="1"/>
      <c r="U17" s="1"/>
      <c r="V17" s="1"/>
      <c r="W17" s="1"/>
      <c r="X17" s="1"/>
      <c r="Y17" s="1"/>
      <c r="Z17" s="1"/>
      <c r="AA17" s="1"/>
      <c r="AB17" s="1"/>
      <c r="AC17" s="1"/>
      <c r="AD17" s="1"/>
      <c r="AE17" s="1"/>
      <c r="AF17" s="1"/>
      <c r="AG17" s="1"/>
      <c r="AH17" s="1"/>
      <c r="AI17" s="1"/>
      <c r="AJ17" s="1"/>
      <c r="AK17" s="1"/>
      <c r="AL17" s="1"/>
      <c r="AM17" s="1"/>
      <c r="AN17" s="1"/>
      <c r="AO17" s="1"/>
      <c r="AP17" s="1"/>
      <c r="AQ17" s="1"/>
      <c r="AR17" s="1"/>
      <c r="AS17" s="1"/>
      <c r="AT17" s="1"/>
      <c r="AU17" s="1"/>
      <c r="AV17" s="1"/>
    </row>
    <row r="18" spans="1:48" x14ac:dyDescent="0.2">
      <c r="A18" s="47"/>
      <c r="B18" s="15" t="s">
        <v>30</v>
      </c>
      <c r="C18" s="78">
        <f>'Input data'!C20</f>
        <v>18.200000000000003</v>
      </c>
      <c r="D18" s="78">
        <f>'Input data'!D20</f>
        <v>18.100000000000001</v>
      </c>
      <c r="E18" s="78">
        <f>'Input data'!E20</f>
        <v>18.100000000000001</v>
      </c>
      <c r="F18" s="78">
        <f>'Input data'!F20</f>
        <v>18.3</v>
      </c>
      <c r="G18" s="78">
        <f>'Input data'!G20</f>
        <v>18.400000000000002</v>
      </c>
      <c r="H18" s="78">
        <f>'Input data'!H20</f>
        <v>18.499999999999996</v>
      </c>
      <c r="I18" s="78">
        <f>'Input data'!I20</f>
        <v>18.599999999999998</v>
      </c>
      <c r="J18" s="78">
        <f>'Input data'!J20</f>
        <v>18.899999999999999</v>
      </c>
      <c r="K18" s="78">
        <f>'Input data'!K20</f>
        <v>19.099999999999998</v>
      </c>
      <c r="L18" s="78">
        <f>'Input data'!L20</f>
        <v>19.2</v>
      </c>
      <c r="M18" s="78">
        <f>'Input data'!M20</f>
        <v>19.299999999999997</v>
      </c>
      <c r="N18" s="78">
        <f>'Input data'!N20</f>
        <v>19.399999999999999</v>
      </c>
      <c r="O18" s="78">
        <f>'Input data'!O20</f>
        <v>19.599999999999998</v>
      </c>
      <c r="P18" s="78">
        <f>'Input data'!P20</f>
        <v>19.799999999999997</v>
      </c>
      <c r="Q18" s="78">
        <f>'Input data'!Q20</f>
        <v>19.799999999999997</v>
      </c>
      <c r="R18" s="78">
        <f>'Input data'!R20</f>
        <v>19.899999999999999</v>
      </c>
      <c r="S18" s="78">
        <f>'Input data'!S20</f>
        <v>19.999999999999996</v>
      </c>
      <c r="T18" s="78">
        <f>'Input data'!T20</f>
        <v>20.2</v>
      </c>
      <c r="U18" s="78">
        <f>'Input data'!U20</f>
        <v>20.2</v>
      </c>
      <c r="V18" s="1"/>
      <c r="W18" s="1"/>
      <c r="X18" s="1"/>
      <c r="Y18" s="1"/>
      <c r="Z18" s="1"/>
      <c r="AA18" s="1"/>
      <c r="AB18" s="1"/>
      <c r="AC18" s="1"/>
      <c r="AD18" s="1"/>
      <c r="AE18" s="1"/>
      <c r="AF18" s="1"/>
      <c r="AG18" s="1"/>
      <c r="AH18" s="1"/>
      <c r="AI18" s="1"/>
      <c r="AJ18" s="1"/>
      <c r="AK18" s="1"/>
      <c r="AL18" s="1"/>
      <c r="AM18" s="1"/>
      <c r="AN18" s="1"/>
      <c r="AO18" s="1"/>
      <c r="AP18" s="1"/>
      <c r="AQ18" s="1"/>
      <c r="AR18" s="1"/>
      <c r="AS18" s="1"/>
      <c r="AT18" s="1"/>
      <c r="AU18" s="1"/>
      <c r="AV18" s="1"/>
    </row>
    <row r="19" spans="1:48" x14ac:dyDescent="0.2">
      <c r="A19" s="47"/>
      <c r="B19" s="15" t="s">
        <v>36</v>
      </c>
      <c r="C19" s="78">
        <f>'Input data'!C26</f>
        <v>0.62657079999999998</v>
      </c>
      <c r="D19" s="78">
        <f>'Input data'!D26</f>
        <v>0.62083049999999995</v>
      </c>
      <c r="E19" s="78">
        <f>'Input data'!E26</f>
        <v>0.61509020000000003</v>
      </c>
      <c r="F19" s="78">
        <f>'Input data'!F26</f>
        <v>0.60934980000000005</v>
      </c>
      <c r="G19" s="78">
        <f>'Input data'!G26</f>
        <v>0.60360959999999997</v>
      </c>
      <c r="H19" s="78">
        <f>'Input data'!H26</f>
        <v>0.59786930000000005</v>
      </c>
      <c r="I19" s="78">
        <f>'Input data'!I26</f>
        <v>0.59212889999999996</v>
      </c>
      <c r="J19" s="78">
        <f>'Input data'!J26</f>
        <v>0.58638860000000004</v>
      </c>
      <c r="K19" s="78">
        <f>'Input data'!K26</f>
        <v>0.58064830000000001</v>
      </c>
      <c r="L19" s="78">
        <f>'Input data'!L26</f>
        <v>0.57490799999999997</v>
      </c>
      <c r="M19" s="78">
        <f>'Input data'!M26</f>
        <v>0.56916770000000005</v>
      </c>
      <c r="N19" s="78">
        <f>'Input data'!N26</f>
        <v>0.56342729999999996</v>
      </c>
      <c r="O19" s="78">
        <f>'Input data'!O26</f>
        <v>0.55768700000000004</v>
      </c>
      <c r="P19" s="78">
        <f>'Input data'!P26</f>
        <v>0.55194679999999996</v>
      </c>
      <c r="Q19" s="78">
        <f>'Input data'!Q26</f>
        <v>0.54620639999999998</v>
      </c>
      <c r="R19" s="78">
        <f>'Input data'!R26</f>
        <v>0.54046609999999995</v>
      </c>
      <c r="S19" s="78">
        <f>'Input data'!S26</f>
        <v>0.53472580000000003</v>
      </c>
      <c r="T19" s="78">
        <f>'Input data'!T26</f>
        <v>0.5289855</v>
      </c>
      <c r="U19" s="78">
        <f>'Input data'!U26</f>
        <v>0.52324519999999997</v>
      </c>
      <c r="V19" s="1"/>
      <c r="W19" s="1"/>
      <c r="X19" s="1"/>
      <c r="Y19" s="1"/>
      <c r="Z19" s="1"/>
      <c r="AA19" s="1"/>
      <c r="AB19" s="1"/>
      <c r="AC19" s="1"/>
      <c r="AD19" s="1"/>
      <c r="AE19" s="1"/>
      <c r="AF19" s="1"/>
      <c r="AG19" s="1"/>
      <c r="AH19" s="1"/>
      <c r="AI19" s="1"/>
      <c r="AJ19" s="1"/>
      <c r="AK19" s="1"/>
      <c r="AL19" s="1"/>
      <c r="AM19" s="1"/>
      <c r="AN19" s="1"/>
      <c r="AO19" s="1"/>
      <c r="AP19" s="1"/>
      <c r="AQ19" s="1"/>
      <c r="AR19" s="1"/>
      <c r="AS19" s="1"/>
      <c r="AT19" s="1"/>
      <c r="AU19" s="1"/>
      <c r="AV19" s="1"/>
    </row>
    <row r="21" spans="1:48" x14ac:dyDescent="0.2">
      <c r="B21" s="17" t="s">
        <v>55</v>
      </c>
    </row>
    <row r="22" spans="1:48" ht="10.5" customHeight="1" x14ac:dyDescent="0.2">
      <c r="B22" s="19" t="s">
        <v>56</v>
      </c>
    </row>
    <row r="23" spans="1:48" x14ac:dyDescent="0.2">
      <c r="B23" s="15" t="s">
        <v>39</v>
      </c>
      <c r="C23" s="77">
        <f>'Baseline NFPC'!C22</f>
        <v>915.50049999999999</v>
      </c>
      <c r="D23" s="77">
        <f>'Baseline NFPC'!D22</f>
        <v>931.03352233334999</v>
      </c>
      <c r="E23" s="23">
        <f>IF(AND(E50&gt;1,D50&gt;1),
E27*(1+('Baseline NFPC'!E$29+E51)/100)-D23*$C$47*(E12-D12)/100,
IF(E50=1,E27,D23*(1+E52/100)))</f>
        <v>942.89253389306543</v>
      </c>
      <c r="F23" s="23">
        <f>IF(AND(F50&gt;1,E50&gt;1),
F27*(1+('Baseline NFPC'!F$29+F51)/100)-E23*$C$47*(F12-E12)/100,
IF(F50=1,F27,E23*(1+F52/100)))</f>
        <v>957.80782087433295</v>
      </c>
      <c r="G23" s="23">
        <f t="shared" ref="G23:U23" si="3">IF(AND(G50&gt;1,F50&gt;1),
G27*(1+G51/100)-F23*$C$47*(G12-F12)/100,
IF(G50=1,G27,F23*(1+G52/100)))</f>
        <v>972.37989948303675</v>
      </c>
      <c r="H23" s="23">
        <f t="shared" si="3"/>
        <v>986.12623964604848</v>
      </c>
      <c r="I23" s="23">
        <f t="shared" si="3"/>
        <v>999.87117287336923</v>
      </c>
      <c r="J23" s="23">
        <f t="shared" si="3"/>
        <v>1010.5610555490633</v>
      </c>
      <c r="K23" s="23">
        <f t="shared" si="3"/>
        <v>1021.0133896027129</v>
      </c>
      <c r="L23" s="23">
        <f t="shared" si="3"/>
        <v>1031.3514666865913</v>
      </c>
      <c r="M23" s="23">
        <f t="shared" si="3"/>
        <v>1041.9392383354784</v>
      </c>
      <c r="N23" s="23">
        <f t="shared" si="3"/>
        <v>1052.9311867496908</v>
      </c>
      <c r="O23" s="23">
        <f t="shared" si="3"/>
        <v>1064.8640453598134</v>
      </c>
      <c r="P23" s="23">
        <f t="shared" si="3"/>
        <v>1077.7665131599774</v>
      </c>
      <c r="Q23" s="23">
        <f t="shared" si="3"/>
        <v>1091.6697119574064</v>
      </c>
      <c r="R23" s="23">
        <f t="shared" si="3"/>
        <v>1107.4989336974859</v>
      </c>
      <c r="S23" s="23">
        <f t="shared" si="3"/>
        <v>1125.329622230058</v>
      </c>
      <c r="T23" s="23">
        <f t="shared" si="3"/>
        <v>1144.0100376925959</v>
      </c>
      <c r="U23" s="23">
        <f t="shared" si="3"/>
        <v>1163.572655097541</v>
      </c>
      <c r="V23" s="23"/>
      <c r="W23" s="23"/>
      <c r="X23" s="23"/>
      <c r="Y23" s="23"/>
      <c r="Z23" s="23"/>
      <c r="AA23" s="23"/>
      <c r="AB23" s="23"/>
      <c r="AC23" s="23"/>
      <c r="AD23" s="23"/>
      <c r="AE23" s="23"/>
      <c r="AF23" s="23"/>
      <c r="AG23" s="23"/>
      <c r="AH23" s="23"/>
      <c r="AI23" s="23"/>
      <c r="AJ23" s="23"/>
      <c r="AK23" s="23"/>
      <c r="AL23" s="23"/>
      <c r="AM23" s="23"/>
      <c r="AN23" s="23"/>
      <c r="AO23" s="23"/>
      <c r="AP23" s="23"/>
      <c r="AQ23" s="23"/>
      <c r="AR23" s="23"/>
      <c r="AS23" s="23"/>
      <c r="AT23" s="23"/>
    </row>
    <row r="24" spans="1:48" x14ac:dyDescent="0.2">
      <c r="A24" s="47"/>
      <c r="B24" s="48" t="s">
        <v>38</v>
      </c>
      <c r="C24" s="77">
        <f>'Baseline NFPC'!C23</f>
        <v>1.081005</v>
      </c>
      <c r="D24" s="77">
        <f>'Baseline NFPC'!D23</f>
        <v>1.6966699999999999</v>
      </c>
      <c r="E24" s="23">
        <f t="shared" ref="E24:Q24" si="4">100*(E23/D23-1)</f>
        <v>1.2737470000000028</v>
      </c>
      <c r="F24" s="23">
        <f t="shared" si="4"/>
        <v>1.5818649999999934</v>
      </c>
      <c r="G24" s="23">
        <f t="shared" si="4"/>
        <v>1.52139899999999</v>
      </c>
      <c r="H24" s="23">
        <f t="shared" si="4"/>
        <v>1.4136799999999949</v>
      </c>
      <c r="I24" s="23">
        <f t="shared" si="4"/>
        <v>1.3938309999999898</v>
      </c>
      <c r="J24" s="23">
        <f t="shared" si="4"/>
        <v>1.069125999999998</v>
      </c>
      <c r="K24" s="23">
        <f t="shared" si="4"/>
        <v>1.0343100000000049</v>
      </c>
      <c r="L24" s="23">
        <f t="shared" si="4"/>
        <v>1.0125310000000054</v>
      </c>
      <c r="M24" s="23">
        <f t="shared" si="4"/>
        <v>1.0265919999999928</v>
      </c>
      <c r="N24" s="23">
        <f t="shared" si="4"/>
        <v>1.0549509999999929</v>
      </c>
      <c r="O24" s="23">
        <f t="shared" si="4"/>
        <v>1.1332990000000098</v>
      </c>
      <c r="P24" s="23">
        <f t="shared" si="4"/>
        <v>1.2116540000000064</v>
      </c>
      <c r="Q24" s="23">
        <f t="shared" si="4"/>
        <v>1.2900010000000073</v>
      </c>
      <c r="R24" s="23">
        <f>100*(R23/Q23-1)</f>
        <v>1.4500009999999897</v>
      </c>
      <c r="S24" s="23">
        <f t="shared" ref="S24" si="5">100*(S23/R23-1)</f>
        <v>1.6099960000000024</v>
      </c>
      <c r="T24" s="23">
        <f t="shared" ref="T24" si="6">100*(T23/S23-1)</f>
        <v>1.659995000000003</v>
      </c>
      <c r="U24" s="23">
        <f t="shared" ref="U24" si="7">100*(U23/T23-1)</f>
        <v>1.7100040000000094</v>
      </c>
      <c r="V24" s="1"/>
      <c r="W24" s="1"/>
      <c r="X24" s="1"/>
      <c r="Y24" s="1"/>
      <c r="Z24" s="1"/>
      <c r="AA24" s="1"/>
      <c r="AB24" s="1"/>
      <c r="AC24" s="1"/>
      <c r="AD24" s="1"/>
      <c r="AE24" s="1"/>
      <c r="AF24" s="1"/>
      <c r="AG24" s="1"/>
      <c r="AH24" s="1"/>
      <c r="AI24" s="1"/>
      <c r="AJ24" s="1"/>
      <c r="AK24" s="1"/>
      <c r="AL24" s="1"/>
      <c r="AM24" s="1"/>
      <c r="AN24" s="1"/>
      <c r="AO24" s="1"/>
      <c r="AP24" s="1"/>
      <c r="AQ24" s="1"/>
      <c r="AR24" s="1"/>
      <c r="AS24" s="1"/>
      <c r="AT24" s="1"/>
      <c r="AU24" s="1"/>
      <c r="AV24" s="1"/>
    </row>
    <row r="25" spans="1:48" ht="5.25" customHeight="1" x14ac:dyDescent="0.2">
      <c r="C25" s="23"/>
      <c r="D25" s="23"/>
      <c r="E25" s="23"/>
      <c r="F25" s="23"/>
      <c r="G25" s="23"/>
      <c r="H25" s="23"/>
      <c r="I25" s="23"/>
      <c r="J25" s="23"/>
      <c r="K25" s="23"/>
      <c r="L25" s="23"/>
      <c r="M25" s="23"/>
      <c r="N25" s="23"/>
      <c r="O25" s="23"/>
      <c r="P25" s="23"/>
      <c r="Q25" s="23"/>
      <c r="R25" s="23"/>
      <c r="S25" s="23"/>
      <c r="T25" s="23"/>
      <c r="U25" s="23"/>
      <c r="V25" s="23"/>
      <c r="W25" s="23"/>
      <c r="X25" s="23"/>
      <c r="Y25" s="23"/>
      <c r="Z25" s="23"/>
      <c r="AA25" s="23"/>
      <c r="AB25" s="23"/>
      <c r="AC25" s="23"/>
      <c r="AD25" s="23"/>
      <c r="AE25" s="23"/>
      <c r="AF25" s="23"/>
      <c r="AG25" s="23"/>
      <c r="AH25" s="23"/>
      <c r="AI25" s="23"/>
      <c r="AJ25" s="23"/>
      <c r="AK25" s="23"/>
      <c r="AL25" s="23"/>
      <c r="AM25" s="23"/>
      <c r="AN25" s="23"/>
      <c r="AO25" s="23"/>
      <c r="AP25" s="23"/>
      <c r="AQ25" s="23"/>
      <c r="AR25" s="23"/>
      <c r="AS25" s="23"/>
      <c r="AT25" s="23"/>
    </row>
    <row r="26" spans="1:48" ht="15" x14ac:dyDescent="0.2">
      <c r="A26" s="155"/>
      <c r="B26" s="19" t="s">
        <v>57</v>
      </c>
      <c r="C26" s="154"/>
      <c r="D26" s="154"/>
    </row>
    <row r="27" spans="1:48" x14ac:dyDescent="0.2">
      <c r="B27" s="15" t="s">
        <v>39</v>
      </c>
      <c r="C27" s="77">
        <f>'Input data'!C34</f>
        <v>924.64139999999998</v>
      </c>
      <c r="D27" s="77">
        <f>+C27*(1+'Input data'!D33/100)</f>
        <v>939.95618002971605</v>
      </c>
      <c r="E27" s="23">
        <f>+D27*(1+'Input data'!E33/100)</f>
        <v>953.36237084432253</v>
      </c>
      <c r="F27" s="23">
        <f>+E27*(1+'Input data'!F33/100)</f>
        <v>965.68823086536565</v>
      </c>
      <c r="G27" s="23">
        <f>+F27*(1+'Input data'!G33/100)</f>
        <v>977.69888166793055</v>
      </c>
      <c r="H27" s="23">
        <f>+G27*(1+'Input data'!H33/100)</f>
        <v>988.81595345676794</v>
      </c>
      <c r="I27" s="23">
        <f>+H27*(1+'Input data'!I33/100)</f>
        <v>999.87118279672211</v>
      </c>
      <c r="J27" s="23">
        <f>+I27*(1+'Input data'!J33/100)</f>
        <v>1010.5610855759331</v>
      </c>
      <c r="K27" s="23">
        <f>+J27*(1+'Input data'!K33/100)</f>
        <v>1021.0134199401537</v>
      </c>
      <c r="L27" s="23">
        <f>+K27*(1+'Input data'!L33/100)</f>
        <v>1031.3514871210737</v>
      </c>
      <c r="M27" s="23">
        <f>+L27*(1+'Input data'!M33/100)</f>
        <v>1041.9392796067693</v>
      </c>
      <c r="N27" s="23">
        <f>+M27*(1+'Input data'!N33/100)</f>
        <v>1052.9311659400171</v>
      </c>
      <c r="O27" s="23">
        <f>+N27*(1+'Input data'!O33/100)</f>
        <v>1064.8640032556802</v>
      </c>
      <c r="P27" s="23">
        <f>+O27*(1+'Input data'!P33/100)</f>
        <v>1077.7664066538475</v>
      </c>
      <c r="Q27" s="23">
        <f>+P27*(1+'Input data'!Q33/100)</f>
        <v>1091.669593299682</v>
      </c>
      <c r="R27" s="23">
        <f>+Q27*(1+'Input data'!R33/100)</f>
        <v>1107.4988024025274</v>
      </c>
      <c r="S27" s="23">
        <f>+R27*(1+'Input data'!S33/100)</f>
        <v>1125.3295331212082</v>
      </c>
      <c r="T27" s="23">
        <f>+S27*(1+'Input data'!T33/100)</f>
        <v>1144.0100033710203</v>
      </c>
      <c r="U27" s="23">
        <f>+T27*(1+'Input data'!U33/100)</f>
        <v>1163.5725744286647</v>
      </c>
      <c r="V27" s="23"/>
      <c r="W27" s="23"/>
      <c r="X27" s="23"/>
      <c r="Y27" s="23"/>
      <c r="Z27" s="23"/>
      <c r="AA27" s="23"/>
      <c r="AB27" s="23"/>
      <c r="AC27" s="23"/>
      <c r="AD27" s="23"/>
      <c r="AE27" s="23"/>
      <c r="AF27" s="23"/>
      <c r="AG27" s="23"/>
      <c r="AH27" s="23"/>
      <c r="AI27" s="23"/>
      <c r="AJ27" s="23"/>
      <c r="AK27" s="23"/>
      <c r="AL27" s="23"/>
      <c r="AM27" s="23"/>
      <c r="AN27" s="23"/>
      <c r="AO27" s="23"/>
      <c r="AP27" s="23"/>
      <c r="AQ27" s="23"/>
      <c r="AR27" s="23"/>
      <c r="AS27" s="23"/>
      <c r="AT27" s="23"/>
    </row>
    <row r="28" spans="1:48" ht="5.25" customHeight="1" x14ac:dyDescent="0.2">
      <c r="C28" s="23"/>
      <c r="D28" s="23"/>
      <c r="E28" s="23"/>
      <c r="F28" s="23"/>
      <c r="G28" s="23"/>
      <c r="H28" s="23"/>
      <c r="I28" s="23"/>
      <c r="J28" s="23"/>
      <c r="K28" s="23"/>
      <c r="L28" s="23"/>
      <c r="M28" s="23"/>
      <c r="N28" s="23"/>
      <c r="O28" s="23"/>
      <c r="P28" s="23"/>
      <c r="Q28" s="23"/>
      <c r="R28" s="23"/>
      <c r="S28" s="23"/>
      <c r="T28" s="23"/>
      <c r="U28" s="23"/>
      <c r="V28" s="23"/>
      <c r="W28" s="23"/>
      <c r="X28" s="23"/>
      <c r="Y28" s="23"/>
      <c r="Z28" s="23"/>
      <c r="AA28" s="23"/>
      <c r="AB28" s="23"/>
      <c r="AC28" s="23"/>
      <c r="AD28" s="23"/>
      <c r="AE28" s="23"/>
      <c r="AF28" s="23"/>
      <c r="AG28" s="23"/>
      <c r="AH28" s="23"/>
      <c r="AI28" s="23"/>
      <c r="AJ28" s="23"/>
      <c r="AK28" s="23"/>
      <c r="AL28" s="23"/>
      <c r="AM28" s="23"/>
      <c r="AN28" s="23"/>
      <c r="AO28" s="23"/>
      <c r="AP28" s="23"/>
      <c r="AQ28" s="23"/>
      <c r="AR28" s="23"/>
      <c r="AS28" s="23"/>
      <c r="AT28" s="23"/>
    </row>
    <row r="29" spans="1:48" x14ac:dyDescent="0.2">
      <c r="B29" s="19" t="s">
        <v>58</v>
      </c>
      <c r="C29" s="23"/>
      <c r="D29" s="23"/>
      <c r="E29" s="23"/>
      <c r="F29" s="23"/>
      <c r="G29" s="23"/>
      <c r="H29" s="23"/>
      <c r="I29" s="23"/>
      <c r="J29" s="23"/>
      <c r="K29" s="23"/>
      <c r="L29" s="23"/>
      <c r="M29" s="23"/>
      <c r="N29" s="23"/>
      <c r="O29" s="23"/>
      <c r="P29" s="23"/>
      <c r="Q29" s="23"/>
      <c r="R29" s="23"/>
      <c r="S29" s="23"/>
      <c r="T29" s="23"/>
      <c r="U29" s="23"/>
      <c r="V29" s="23"/>
      <c r="W29" s="23"/>
      <c r="X29" s="23"/>
      <c r="Y29" s="23"/>
      <c r="Z29" s="23"/>
      <c r="AA29" s="23"/>
      <c r="AB29" s="23"/>
      <c r="AC29" s="23"/>
      <c r="AD29" s="23"/>
      <c r="AE29" s="23"/>
      <c r="AF29" s="23"/>
      <c r="AG29" s="23"/>
      <c r="AH29" s="23"/>
      <c r="AI29" s="23"/>
      <c r="AJ29" s="23"/>
      <c r="AK29" s="23"/>
      <c r="AL29" s="23"/>
      <c r="AM29" s="23"/>
      <c r="AN29" s="23"/>
      <c r="AO29" s="23"/>
      <c r="AP29" s="23"/>
      <c r="AQ29" s="23"/>
      <c r="AR29" s="23"/>
      <c r="AS29" s="23"/>
      <c r="AT29" s="23"/>
    </row>
    <row r="30" spans="1:48" x14ac:dyDescent="0.2">
      <c r="B30" s="15" t="s">
        <v>58</v>
      </c>
      <c r="C30" s="77">
        <f t="shared" ref="C30:R30" si="8">100*(C23/C27-1)</f>
        <v>-0.98858865718104427</v>
      </c>
      <c r="D30" s="77">
        <f t="shared" si="8"/>
        <v>-0.94926315565944108</v>
      </c>
      <c r="E30" s="23">
        <f t="shared" si="8"/>
        <v>-1.09820119520605</v>
      </c>
      <c r="F30" s="23">
        <f t="shared" si="8"/>
        <v>-0.81604080273102175</v>
      </c>
      <c r="G30" s="23">
        <f t="shared" si="8"/>
        <v>-0.54403071176881701</v>
      </c>
      <c r="H30" s="23">
        <f t="shared" si="8"/>
        <v>-0.27201359376500811</v>
      </c>
      <c r="I30" s="23">
        <f t="shared" si="8"/>
        <v>-9.9246313389755869E-7</v>
      </c>
      <c r="J30" s="23">
        <f t="shared" si="8"/>
        <v>-2.9713067561942808E-6</v>
      </c>
      <c r="K30" s="23">
        <f>100*(K23/K27-1)</f>
        <v>-2.9713067561942808E-6</v>
      </c>
      <c r="L30" s="23">
        <f t="shared" si="8"/>
        <v>-1.9813305773830336E-6</v>
      </c>
      <c r="M30" s="23">
        <f t="shared" si="8"/>
        <v>-3.9610072999352042E-6</v>
      </c>
      <c r="N30" s="23">
        <f t="shared" si="8"/>
        <v>1.9763565228814173E-6</v>
      </c>
      <c r="O30" s="23">
        <f t="shared" si="8"/>
        <v>3.9539446383685117E-6</v>
      </c>
      <c r="P30" s="23">
        <f t="shared" si="8"/>
        <v>9.8821163030393677E-6</v>
      </c>
      <c r="Q30" s="23">
        <f t="shared" si="8"/>
        <v>1.0869380728806277E-5</v>
      </c>
      <c r="R30" s="23">
        <f t="shared" si="8"/>
        <v>1.185508806678115E-5</v>
      </c>
      <c r="S30" s="23">
        <f t="shared" ref="S30:U30" si="9">100*(S23/S27-1)</f>
        <v>7.9184671930576656E-6</v>
      </c>
      <c r="T30" s="23">
        <f t="shared" si="9"/>
        <v>3.0001114925681804E-6</v>
      </c>
      <c r="U30" s="23">
        <f t="shared" si="9"/>
        <v>6.9328616181252301E-6</v>
      </c>
      <c r="V30" s="23"/>
      <c r="W30" s="23"/>
      <c r="X30" s="23"/>
      <c r="Y30" s="23"/>
      <c r="Z30" s="23"/>
      <c r="AA30" s="23"/>
      <c r="AB30" s="23"/>
      <c r="AC30" s="23"/>
      <c r="AD30" s="23"/>
      <c r="AE30" s="23"/>
      <c r="AF30" s="23"/>
      <c r="AG30" s="23"/>
      <c r="AH30" s="23"/>
      <c r="AI30" s="23"/>
      <c r="AJ30" s="23"/>
      <c r="AK30" s="23"/>
      <c r="AL30" s="23"/>
      <c r="AM30" s="23"/>
      <c r="AN30" s="23"/>
      <c r="AO30" s="23"/>
      <c r="AP30" s="23"/>
      <c r="AQ30" s="23"/>
      <c r="AR30" s="23"/>
      <c r="AS30" s="23"/>
      <c r="AT30" s="23"/>
    </row>
    <row r="31" spans="1:48" ht="4.9000000000000004" customHeight="1" x14ac:dyDescent="0.2">
      <c r="C31" s="23"/>
      <c r="D31" s="23"/>
      <c r="E31" s="23"/>
      <c r="F31" s="23"/>
      <c r="G31" s="23"/>
      <c r="H31" s="23"/>
      <c r="I31" s="23"/>
      <c r="J31" s="23"/>
      <c r="K31" s="23"/>
      <c r="L31" s="23"/>
      <c r="M31" s="23"/>
      <c r="N31" s="23"/>
      <c r="O31" s="23"/>
      <c r="P31" s="23"/>
      <c r="Q31" s="23"/>
      <c r="R31" s="23"/>
      <c r="S31" s="23"/>
      <c r="T31" s="23"/>
      <c r="U31" s="23"/>
      <c r="V31" s="23"/>
      <c r="W31" s="23"/>
      <c r="X31" s="23"/>
      <c r="Y31" s="23"/>
      <c r="Z31" s="23"/>
      <c r="AA31" s="23"/>
      <c r="AB31" s="23"/>
      <c r="AC31" s="23"/>
      <c r="AD31" s="23"/>
      <c r="AE31" s="23"/>
      <c r="AF31" s="23"/>
      <c r="AG31" s="23"/>
      <c r="AH31" s="23"/>
      <c r="AI31" s="23"/>
      <c r="AJ31" s="23"/>
      <c r="AK31" s="23"/>
      <c r="AL31" s="23"/>
      <c r="AM31" s="23"/>
      <c r="AN31" s="23"/>
      <c r="AO31" s="23"/>
      <c r="AP31" s="23"/>
      <c r="AQ31" s="23"/>
      <c r="AR31" s="23"/>
      <c r="AS31" s="23"/>
      <c r="AT31" s="23"/>
    </row>
    <row r="32" spans="1:48" x14ac:dyDescent="0.2">
      <c r="B32" s="19" t="s">
        <v>59</v>
      </c>
      <c r="C32" s="23"/>
      <c r="D32" s="23"/>
      <c r="E32" s="23"/>
      <c r="F32" s="23"/>
      <c r="G32" s="23"/>
      <c r="H32" s="23"/>
      <c r="I32" s="23"/>
      <c r="J32" s="23"/>
      <c r="K32" s="23"/>
      <c r="L32" s="23"/>
      <c r="M32" s="23"/>
      <c r="N32" s="23"/>
      <c r="O32" s="23"/>
      <c r="P32" s="23"/>
      <c r="Q32" s="23"/>
      <c r="R32" s="23"/>
      <c r="S32" s="23"/>
      <c r="T32" s="23"/>
      <c r="U32" s="23"/>
      <c r="V32" s="23"/>
      <c r="W32" s="23"/>
      <c r="X32" s="23"/>
      <c r="Y32" s="23"/>
      <c r="Z32" s="23"/>
      <c r="AA32" s="23"/>
      <c r="AB32" s="23"/>
      <c r="AC32" s="23"/>
      <c r="AD32" s="23"/>
      <c r="AE32" s="23"/>
      <c r="AF32" s="23"/>
      <c r="AG32" s="23"/>
      <c r="AH32" s="23"/>
      <c r="AI32" s="23"/>
      <c r="AJ32" s="23"/>
      <c r="AK32" s="23"/>
      <c r="AL32" s="23"/>
      <c r="AM32" s="23"/>
      <c r="AN32" s="23"/>
      <c r="AO32" s="23"/>
      <c r="AP32" s="23"/>
      <c r="AQ32" s="23"/>
      <c r="AR32" s="23"/>
      <c r="AS32" s="23"/>
      <c r="AT32" s="23"/>
    </row>
    <row r="33" spans="2:49" x14ac:dyDescent="0.2">
      <c r="B33" s="15" t="s">
        <v>38</v>
      </c>
      <c r="C33" s="2">
        <f t="shared" ref="C33:U33" si="10">100*((1+C24/100)*(1+C42/100)-1)</f>
        <v>6.8873142405506904</v>
      </c>
      <c r="D33" s="2">
        <f>100*((1+D24/100)*(1+D42/100)-1)</f>
        <v>4.9045765379128969</v>
      </c>
      <c r="E33" s="1">
        <f>100*((1+E24/100)*(1+E42/100)-1)</f>
        <v>4.5782425239369706</v>
      </c>
      <c r="F33" s="1">
        <f t="shared" si="10"/>
        <v>3.7184495721874322</v>
      </c>
      <c r="G33" s="1">
        <f t="shared" si="10"/>
        <v>3.6791336722302503</v>
      </c>
      <c r="H33" s="1">
        <f t="shared" si="10"/>
        <v>3.5915233124137913</v>
      </c>
      <c r="I33" s="1">
        <f t="shared" si="10"/>
        <v>3.5936417729381498</v>
      </c>
      <c r="J33" s="1">
        <f t="shared" si="10"/>
        <v>3.2842140694721911</v>
      </c>
      <c r="K33" s="1">
        <f t="shared" si="10"/>
        <v>3.2709493337588658</v>
      </c>
      <c r="L33" s="1">
        <f t="shared" si="10"/>
        <v>3.2709977041380123</v>
      </c>
      <c r="M33" s="1">
        <f t="shared" si="10"/>
        <v>3.3076856907741092</v>
      </c>
      <c r="N33" s="1">
        <f t="shared" si="10"/>
        <v>3.3590038827999935</v>
      </c>
      <c r="O33" s="1">
        <f t="shared" si="10"/>
        <v>3.424979555340002</v>
      </c>
      <c r="P33" s="1">
        <f t="shared" si="10"/>
        <v>3.4909404480800266</v>
      </c>
      <c r="Q33" s="1">
        <f t="shared" si="10"/>
        <v>3.5568712223800203</v>
      </c>
      <c r="R33" s="1">
        <f t="shared" si="10"/>
        <v>3.7062490222399935</v>
      </c>
      <c r="S33" s="1">
        <f>100*((1+S24/100)*(1+S42/100)-1)</f>
        <v>3.8555769116000116</v>
      </c>
      <c r="T33" s="1">
        <f t="shared" si="10"/>
        <v>3.8924484902000067</v>
      </c>
      <c r="U33" s="1">
        <f t="shared" si="10"/>
        <v>3.9293162872799936</v>
      </c>
      <c r="V33" s="1"/>
      <c r="W33" s="1"/>
      <c r="X33" s="1"/>
      <c r="Y33" s="1"/>
      <c r="Z33" s="1"/>
      <c r="AA33" s="1"/>
      <c r="AB33" s="1"/>
      <c r="AC33" s="1"/>
      <c r="AD33" s="1"/>
      <c r="AE33" s="1"/>
      <c r="AF33" s="1"/>
      <c r="AG33" s="1"/>
      <c r="AH33" s="1"/>
      <c r="AI33" s="1"/>
      <c r="AJ33" s="1"/>
      <c r="AK33" s="1"/>
      <c r="AL33" s="1"/>
      <c r="AM33" s="1"/>
      <c r="AN33" s="1"/>
      <c r="AO33" s="1"/>
      <c r="AP33" s="1"/>
      <c r="AQ33" s="1"/>
      <c r="AR33" s="1"/>
      <c r="AS33" s="1"/>
      <c r="AT33" s="1"/>
      <c r="AU33" s="1"/>
      <c r="AV33" s="1"/>
    </row>
    <row r="35" spans="2:49" x14ac:dyDescent="0.2">
      <c r="B35" s="17" t="s">
        <v>108</v>
      </c>
    </row>
    <row r="36" spans="2:49" x14ac:dyDescent="0.2">
      <c r="B36" s="15" t="s">
        <v>41</v>
      </c>
      <c r="C36" s="77">
        <f>'Input data'!C37</f>
        <v>1.6465860000000001</v>
      </c>
      <c r="D36" s="77">
        <f>'Input data'!D37</f>
        <v>1.72</v>
      </c>
      <c r="E36" s="77">
        <f>'Input data'!E37</f>
        <v>1.7322979999999999</v>
      </c>
      <c r="F36" s="23">
        <f t="shared" ref="F36:U36" si="11">F99</f>
        <v>1.8261286864640409</v>
      </c>
      <c r="G36" s="23">
        <f t="shared" si="11"/>
        <v>1.9630296945412431</v>
      </c>
      <c r="H36" s="23">
        <f t="shared" si="11"/>
        <v>2.0990021112154578</v>
      </c>
      <c r="I36" s="23">
        <f t="shared" si="11"/>
        <v>2.2341189502873262</v>
      </c>
      <c r="J36" s="23">
        <f t="shared" si="11"/>
        <v>2.3707682654718401</v>
      </c>
      <c r="K36" s="23">
        <f t="shared" si="11"/>
        <v>2.5163135145761926</v>
      </c>
      <c r="L36" s="23">
        <f t="shared" si="11"/>
        <v>2.6668445435221684</v>
      </c>
      <c r="M36" s="23">
        <f t="shared" si="11"/>
        <v>2.8190428021329632</v>
      </c>
      <c r="N36" s="23">
        <f t="shared" si="11"/>
        <v>2.9720714048098702</v>
      </c>
      <c r="O36" s="23">
        <f t="shared" si="11"/>
        <v>3.0930602897416488</v>
      </c>
      <c r="P36" s="23">
        <f t="shared" si="11"/>
        <v>3.1995877564739863</v>
      </c>
      <c r="Q36" s="23">
        <f t="shared" si="11"/>
        <v>3.2926033809413693</v>
      </c>
      <c r="R36" s="23">
        <f t="shared" si="11"/>
        <v>3.371509463463886</v>
      </c>
      <c r="S36" s="23">
        <f t="shared" si="11"/>
        <v>3.4390552413114404</v>
      </c>
      <c r="T36" s="23">
        <f t="shared" si="11"/>
        <v>3.4966457409306697</v>
      </c>
      <c r="U36" s="23">
        <f t="shared" si="11"/>
        <v>3.546025878668484</v>
      </c>
    </row>
    <row r="37" spans="2:49" x14ac:dyDescent="0.2">
      <c r="B37" s="21" t="s">
        <v>61</v>
      </c>
      <c r="C37" s="2">
        <f>'Input data'!C$39</f>
        <v>2.6204999999999998</v>
      </c>
      <c r="D37" s="135">
        <f>'Input data'!D$39</f>
        <v>2.78965</v>
      </c>
      <c r="E37" s="135">
        <f>'Input data'!E$39</f>
        <v>2.8949530000000001</v>
      </c>
      <c r="F37" s="135">
        <f>'Input data'!F$39</f>
        <v>3.0816759999999999</v>
      </c>
      <c r="G37" s="1">
        <f>'Baseline NFPC'!G36</f>
        <v>3.188669</v>
      </c>
      <c r="H37" s="1">
        <f>'Baseline NFPC'!H36</f>
        <v>3.2956620000000001</v>
      </c>
      <c r="I37" s="1">
        <f>'Baseline NFPC'!I36</f>
        <v>3.4026550000000002</v>
      </c>
      <c r="J37" s="1">
        <f>'Baseline NFPC'!J36</f>
        <v>3.5096480000000003</v>
      </c>
      <c r="K37" s="1">
        <f>'Baseline NFPC'!K36</f>
        <v>3.6166410000000004</v>
      </c>
      <c r="L37" s="1">
        <f>'Baseline NFPC'!L36</f>
        <v>3.7236340000000006</v>
      </c>
      <c r="M37" s="1">
        <f>'Baseline NFPC'!M36</f>
        <v>3.8306270000000007</v>
      </c>
      <c r="N37" s="175">
        <f>'Baseline NFPC'!N36</f>
        <v>3.9376199999999999</v>
      </c>
      <c r="O37" s="1">
        <f>'Baseline NFPC'!O36</f>
        <v>3.9407389999999998</v>
      </c>
      <c r="P37" s="1">
        <f>'Baseline NFPC'!P36</f>
        <v>3.9438580000000001</v>
      </c>
      <c r="Q37" s="1">
        <f>'Baseline NFPC'!Q36</f>
        <v>3.946977</v>
      </c>
      <c r="R37" s="1">
        <f>'Baseline NFPC'!R36</f>
        <v>3.9500959999999998</v>
      </c>
      <c r="S37" s="1">
        <f>'Baseline NFPC'!S36</f>
        <v>3.9532150000000001</v>
      </c>
      <c r="T37" s="1">
        <f>'Baseline NFPC'!T36</f>
        <v>3.956334</v>
      </c>
      <c r="U37" s="1">
        <f>'Baseline NFPC'!U36</f>
        <v>3.9594529999999999</v>
      </c>
      <c r="V37" s="45"/>
      <c r="W37" s="45"/>
      <c r="X37" s="45"/>
      <c r="Y37" s="45"/>
      <c r="Z37" s="45"/>
      <c r="AA37" s="45"/>
      <c r="AB37" s="45"/>
      <c r="AC37" s="45"/>
      <c r="AD37" s="45"/>
      <c r="AE37" s="45"/>
      <c r="AF37" s="45"/>
      <c r="AG37" s="45"/>
      <c r="AH37" s="45"/>
      <c r="AI37" s="45"/>
      <c r="AJ37" s="45"/>
      <c r="AK37" s="45"/>
      <c r="AL37" s="45"/>
      <c r="AM37" s="45"/>
      <c r="AN37" s="45"/>
      <c r="AO37" s="45"/>
      <c r="AP37" s="45"/>
      <c r="AQ37" s="45"/>
      <c r="AR37" s="45"/>
      <c r="AS37" s="45"/>
      <c r="AT37" s="45"/>
      <c r="AU37" s="45"/>
      <c r="AV37" s="45"/>
      <c r="AW37" s="46"/>
    </row>
    <row r="38" spans="2:49" x14ac:dyDescent="0.2">
      <c r="B38" s="21" t="s">
        <v>62</v>
      </c>
      <c r="C38" s="2">
        <f>'Input data'!C$38</f>
        <v>3.5708329999999999</v>
      </c>
      <c r="D38" s="135">
        <f>'Input data'!D$38</f>
        <v>2.1725829999999999</v>
      </c>
      <c r="E38" s="135">
        <f>'Input data'!E$38</f>
        <v>1.91225</v>
      </c>
      <c r="F38" s="135">
        <f>'Input data'!F$38</f>
        <v>2.024375</v>
      </c>
      <c r="G38" s="1">
        <f>'Baseline NFPC'!G37</f>
        <v>2.1784318750000002</v>
      </c>
      <c r="H38" s="1">
        <f>'Baseline NFPC'!H37</f>
        <v>2.3324887500000004</v>
      </c>
      <c r="I38" s="1">
        <f>'Baseline NFPC'!I37</f>
        <v>2.4865456250000006</v>
      </c>
      <c r="J38" s="1">
        <f>'Baseline NFPC'!J37</f>
        <v>2.6406025000000009</v>
      </c>
      <c r="K38" s="1">
        <f>'Baseline NFPC'!K37</f>
        <v>2.7946593750000011</v>
      </c>
      <c r="L38" s="1">
        <f>'Baseline NFPC'!L37</f>
        <v>2.9487162500000013</v>
      </c>
      <c r="M38" s="1">
        <f>'Baseline NFPC'!M37</f>
        <v>3.1027731250000015</v>
      </c>
      <c r="N38" s="175">
        <f>'Baseline NFPC'!N37</f>
        <v>3.2568299999999999</v>
      </c>
      <c r="O38" s="1">
        <f>'Baseline NFPC'!O37</f>
        <v>3.1939884999999997</v>
      </c>
      <c r="P38" s="1">
        <f>'Baseline NFPC'!P37</f>
        <v>3.1311469999999999</v>
      </c>
      <c r="Q38" s="1">
        <f>'Baseline NFPC'!Q37</f>
        <v>3.0683055000000001</v>
      </c>
      <c r="R38" s="1">
        <f>'Baseline NFPC'!R37</f>
        <v>3.0054639999999999</v>
      </c>
      <c r="S38" s="1">
        <f>'Baseline NFPC'!S37</f>
        <v>2.9426224999999997</v>
      </c>
      <c r="T38" s="1">
        <f>'Baseline NFPC'!T37</f>
        <v>2.8797809999999999</v>
      </c>
      <c r="U38" s="1">
        <f>'Baseline NFPC'!U37</f>
        <v>2.8169395000000002</v>
      </c>
      <c r="V38" s="45"/>
      <c r="W38" s="45"/>
      <c r="X38" s="45"/>
      <c r="Y38" s="45"/>
      <c r="Z38" s="45"/>
      <c r="AA38" s="45"/>
      <c r="AB38" s="45"/>
      <c r="AC38" s="45"/>
      <c r="AD38" s="45"/>
      <c r="AE38" s="45"/>
      <c r="AF38" s="45"/>
      <c r="AG38" s="45"/>
      <c r="AH38" s="45"/>
      <c r="AI38" s="45"/>
      <c r="AJ38" s="45"/>
      <c r="AK38" s="45"/>
      <c r="AL38" s="45"/>
      <c r="AM38" s="45"/>
      <c r="AN38" s="45"/>
      <c r="AO38" s="45"/>
      <c r="AP38" s="45"/>
      <c r="AQ38" s="45"/>
      <c r="AR38" s="45"/>
      <c r="AS38" s="45"/>
      <c r="AT38" s="45"/>
      <c r="AU38" s="45"/>
      <c r="AV38" s="45"/>
      <c r="AW38" s="46"/>
    </row>
    <row r="39" spans="2:49" s="4" customFormat="1" ht="12.75" x14ac:dyDescent="0.2">
      <c r="B39" s="15" t="s">
        <v>63</v>
      </c>
      <c r="C39" s="23">
        <f>'Baseline NFPC'!C38</f>
        <v>8.8379020000000003E-2</v>
      </c>
      <c r="D39" s="23">
        <f>'Baseline NFPC'!D38</f>
        <v>5.4600460000000003E-2</v>
      </c>
      <c r="E39" s="23">
        <f>'Baseline NFPC'!E38</f>
        <v>5.7955769999999997E-2</v>
      </c>
      <c r="F39" s="23">
        <f>'Baseline NFPC'!F38</f>
        <v>6.131108111111111E-2</v>
      </c>
      <c r="G39" s="23">
        <f>'Baseline NFPC'!G38</f>
        <v>6.4666392222222216E-2</v>
      </c>
      <c r="H39" s="23">
        <f>'Baseline NFPC'!H38</f>
        <v>6.8021703333333336E-2</v>
      </c>
      <c r="I39" s="23">
        <f>'Baseline NFPC'!I38</f>
        <v>7.1377014444444442E-2</v>
      </c>
      <c r="J39" s="23">
        <f>'Baseline NFPC'!J38</f>
        <v>7.4732325555555562E-2</v>
      </c>
      <c r="K39" s="23">
        <f>'Baseline NFPC'!K38</f>
        <v>7.8087636666666668E-2</v>
      </c>
      <c r="L39" s="23">
        <f>'Baseline NFPC'!L38</f>
        <v>8.1442947777777774E-2</v>
      </c>
      <c r="M39" s="23">
        <f>'Baseline NFPC'!M38</f>
        <v>8.4798258888888894E-2</v>
      </c>
      <c r="N39" s="23">
        <f>'Baseline NFPC'!N38</f>
        <v>8.8153570000000001E-2</v>
      </c>
      <c r="O39" s="23">
        <f>'Baseline NFPC'!O38</f>
        <v>8.8153570000000001E-2</v>
      </c>
      <c r="P39" s="23">
        <f>'Baseline NFPC'!P38</f>
        <v>8.8153570000000001E-2</v>
      </c>
      <c r="Q39" s="23">
        <f>'Baseline NFPC'!Q38</f>
        <v>8.8153570000000001E-2</v>
      </c>
      <c r="R39" s="23">
        <f>'Baseline NFPC'!R38</f>
        <v>8.8153570000000001E-2</v>
      </c>
      <c r="S39" s="23">
        <f>'Baseline NFPC'!S38</f>
        <v>8.8153570000000001E-2</v>
      </c>
      <c r="T39" s="23">
        <f>'Baseline NFPC'!T38</f>
        <v>8.8153570000000001E-2</v>
      </c>
      <c r="U39" s="23">
        <f>'Baseline NFPC'!U38</f>
        <v>8.8153570000000001E-2</v>
      </c>
    </row>
    <row r="40" spans="2:49" x14ac:dyDescent="0.2">
      <c r="C40" s="81"/>
      <c r="D40" s="81"/>
      <c r="E40" s="81"/>
      <c r="F40" s="81"/>
      <c r="G40" s="81"/>
      <c r="H40" s="81"/>
      <c r="I40" s="81"/>
      <c r="J40" s="81"/>
      <c r="K40" s="81"/>
      <c r="L40" s="81"/>
      <c r="M40" s="1"/>
      <c r="N40" s="1"/>
      <c r="O40" s="1"/>
      <c r="P40" s="1"/>
      <c r="Q40" s="1"/>
      <c r="R40" s="1"/>
      <c r="S40" s="1"/>
      <c r="T40" s="1"/>
      <c r="U40" s="1"/>
      <c r="V40" s="45"/>
      <c r="W40" s="45"/>
      <c r="X40" s="45"/>
      <c r="Y40" s="45"/>
      <c r="Z40" s="45"/>
      <c r="AA40" s="45"/>
      <c r="AB40" s="45"/>
      <c r="AC40" s="45"/>
      <c r="AD40" s="45"/>
      <c r="AE40" s="45"/>
      <c r="AF40" s="45"/>
      <c r="AG40" s="45"/>
      <c r="AH40" s="45"/>
      <c r="AI40" s="45"/>
      <c r="AJ40" s="45"/>
      <c r="AK40" s="45"/>
      <c r="AL40" s="45"/>
      <c r="AM40" s="45"/>
      <c r="AN40" s="45"/>
      <c r="AO40" s="45"/>
      <c r="AP40" s="45"/>
      <c r="AQ40" s="45"/>
      <c r="AR40" s="45"/>
      <c r="AS40" s="45"/>
      <c r="AT40" s="45"/>
      <c r="AU40" s="45"/>
      <c r="AV40" s="45"/>
      <c r="AW40" s="46"/>
    </row>
    <row r="41" spans="2:49" x14ac:dyDescent="0.2">
      <c r="B41" s="17" t="s">
        <v>64</v>
      </c>
      <c r="C41" s="1"/>
      <c r="D41" s="1"/>
      <c r="E41" s="1"/>
      <c r="F41" s="1"/>
      <c r="G41" s="1"/>
      <c r="H41" s="1"/>
      <c r="I41" s="1"/>
      <c r="J41" s="1"/>
      <c r="K41" s="1"/>
      <c r="L41" s="1"/>
      <c r="M41" s="1"/>
      <c r="N41" s="1"/>
      <c r="O41" s="1"/>
      <c r="P41" s="1"/>
      <c r="Q41" s="1"/>
      <c r="R41" s="1"/>
      <c r="S41" s="1"/>
      <c r="T41" s="1"/>
      <c r="U41" s="1"/>
      <c r="V41" s="45"/>
      <c r="W41" s="45"/>
      <c r="X41" s="45"/>
      <c r="Y41" s="45"/>
      <c r="Z41" s="45"/>
      <c r="AA41" s="45"/>
      <c r="AB41" s="45"/>
      <c r="AC41" s="45"/>
      <c r="AD41" s="45"/>
      <c r="AE41" s="45"/>
      <c r="AF41" s="45"/>
      <c r="AG41" s="45"/>
      <c r="AH41" s="45"/>
      <c r="AI41" s="45"/>
      <c r="AJ41" s="45"/>
      <c r="AK41" s="45"/>
      <c r="AL41" s="45"/>
      <c r="AM41" s="45"/>
      <c r="AN41" s="45"/>
      <c r="AO41" s="45"/>
      <c r="AP41" s="45"/>
      <c r="AQ41" s="45"/>
      <c r="AR41" s="45"/>
      <c r="AS41" s="45"/>
      <c r="AT41" s="45"/>
      <c r="AU41" s="45"/>
      <c r="AV41" s="45"/>
      <c r="AW41" s="46"/>
    </row>
    <row r="42" spans="2:49" x14ac:dyDescent="0.2">
      <c r="B42" s="15" t="s">
        <v>109</v>
      </c>
      <c r="C42" s="2">
        <f>'Input data'!C42</f>
        <v>5.7442140000000004</v>
      </c>
      <c r="D42" s="2">
        <f>'Input data'!D42</f>
        <v>3.1543869999999998</v>
      </c>
      <c r="E42" s="2">
        <f>'Input data'!E42</f>
        <v>3.262934</v>
      </c>
      <c r="F42" s="2">
        <f>'Input data'!F42</f>
        <v>2.103313</v>
      </c>
      <c r="G42" s="1">
        <f>'Baseline NFPC'!G41</f>
        <v>2.1253988750000001</v>
      </c>
      <c r="H42" s="1">
        <f>'Baseline NFPC'!H41</f>
        <v>2.1474847499999998</v>
      </c>
      <c r="I42" s="1">
        <f>'Baseline NFPC'!I41</f>
        <v>2.169570625</v>
      </c>
      <c r="J42" s="1">
        <f>'Baseline NFPC'!J41</f>
        <v>2.1916564999999997</v>
      </c>
      <c r="K42" s="1">
        <f>'Baseline NFPC'!K41</f>
        <v>2.2137423749999998</v>
      </c>
      <c r="L42" s="1">
        <f>'Baseline NFPC'!L41</f>
        <v>2.23582825</v>
      </c>
      <c r="M42" s="1">
        <f>'Baseline NFPC'!M41</f>
        <v>2.2579141249999997</v>
      </c>
      <c r="N42" s="175">
        <f>'Baseline NFPC'!N41</f>
        <v>2.2799999999999998</v>
      </c>
      <c r="O42" s="1">
        <f>'Baseline NFPC'!O41</f>
        <v>2.266</v>
      </c>
      <c r="P42" s="1">
        <f>'Baseline NFPC'!P41</f>
        <v>2.2519999999999998</v>
      </c>
      <c r="Q42" s="1">
        <f>'Baseline NFPC'!Q41</f>
        <v>2.238</v>
      </c>
      <c r="R42" s="1">
        <f>'Baseline NFPC'!R41</f>
        <v>2.2239999999999998</v>
      </c>
      <c r="S42" s="1">
        <f>'Baseline NFPC'!S41</f>
        <v>2.21</v>
      </c>
      <c r="T42" s="1">
        <f>'Baseline NFPC'!T41</f>
        <v>2.1959999999999997</v>
      </c>
      <c r="U42" s="1">
        <f>'Baseline NFPC'!U41</f>
        <v>2.1819999999999999</v>
      </c>
      <c r="V42" s="45"/>
      <c r="W42" s="45"/>
      <c r="X42" s="45"/>
      <c r="Y42" s="45"/>
      <c r="Z42" s="45"/>
      <c r="AA42" s="45"/>
      <c r="AB42" s="45"/>
      <c r="AC42" s="45"/>
      <c r="AD42" s="45"/>
      <c r="AE42" s="45"/>
      <c r="AF42" s="45"/>
      <c r="AG42" s="45"/>
      <c r="AH42" s="45"/>
      <c r="AI42" s="45"/>
      <c r="AJ42" s="45"/>
      <c r="AK42" s="45"/>
      <c r="AL42" s="45"/>
      <c r="AM42" s="45"/>
      <c r="AN42" s="45"/>
      <c r="AO42" s="45"/>
      <c r="AP42" s="45"/>
      <c r="AQ42" s="45"/>
      <c r="AR42" s="45"/>
      <c r="AS42" s="45"/>
      <c r="AT42" s="45"/>
      <c r="AU42" s="45"/>
      <c r="AV42" s="45"/>
      <c r="AW42" s="46"/>
    </row>
    <row r="43" spans="2:49" x14ac:dyDescent="0.2">
      <c r="B43" s="15" t="s">
        <v>65</v>
      </c>
      <c r="C43" s="1">
        <f>'Baseline NFPC'!C42</f>
        <v>0.99999990000000005</v>
      </c>
      <c r="D43" s="1">
        <f>'Baseline NFPC'!D42</f>
        <v>1</v>
      </c>
      <c r="E43" s="1">
        <f>'Baseline NFPC'!E42</f>
        <v>1</v>
      </c>
      <c r="F43" s="1">
        <f>'Baseline NFPC'!F42</f>
        <v>0.99999990000000005</v>
      </c>
      <c r="G43" s="1">
        <f>'Baseline NFPC'!G42</f>
        <v>1</v>
      </c>
      <c r="H43" s="1">
        <f>'Baseline NFPC'!H42</f>
        <v>1</v>
      </c>
      <c r="I43" s="1">
        <f>'Baseline NFPC'!I42</f>
        <v>1</v>
      </c>
      <c r="J43" s="1">
        <f>'Baseline NFPC'!J42</f>
        <v>1</v>
      </c>
      <c r="K43" s="1">
        <f>'Baseline NFPC'!K42</f>
        <v>1</v>
      </c>
      <c r="L43" s="1">
        <f>'Baseline NFPC'!L42</f>
        <v>1</v>
      </c>
      <c r="M43" s="1">
        <f>'Baseline NFPC'!M42</f>
        <v>1</v>
      </c>
      <c r="N43" s="1">
        <f>'Baseline NFPC'!N42</f>
        <v>1</v>
      </c>
      <c r="O43" s="1">
        <f>'Baseline NFPC'!O42</f>
        <v>1</v>
      </c>
      <c r="P43" s="1">
        <f>'Baseline NFPC'!P42</f>
        <v>1</v>
      </c>
      <c r="Q43" s="1">
        <f>'Baseline NFPC'!Q42</f>
        <v>1</v>
      </c>
      <c r="R43" s="1">
        <f>'Baseline NFPC'!R42</f>
        <v>1</v>
      </c>
      <c r="S43" s="1">
        <f>'Baseline NFPC'!S42</f>
        <v>1</v>
      </c>
      <c r="T43" s="1">
        <f>'Baseline NFPC'!T42</f>
        <v>1</v>
      </c>
      <c r="U43" s="1">
        <f>'Baseline NFPC'!U42</f>
        <v>1</v>
      </c>
      <c r="V43" s="49"/>
      <c r="W43" s="49"/>
      <c r="X43" s="49"/>
      <c r="Y43" s="49"/>
      <c r="Z43" s="49"/>
      <c r="AA43" s="49"/>
      <c r="AB43" s="49"/>
      <c r="AC43" s="49"/>
      <c r="AD43" s="49"/>
      <c r="AE43" s="49"/>
      <c r="AF43" s="49"/>
      <c r="AG43" s="49"/>
      <c r="AH43" s="49"/>
      <c r="AI43" s="49"/>
      <c r="AJ43" s="49"/>
      <c r="AK43" s="49"/>
      <c r="AL43" s="49"/>
      <c r="AM43" s="49"/>
      <c r="AN43" s="49"/>
      <c r="AO43" s="49"/>
      <c r="AP43" s="49"/>
      <c r="AQ43" s="49"/>
      <c r="AR43" s="49"/>
      <c r="AS43" s="49"/>
      <c r="AT43" s="49"/>
      <c r="AU43" s="49"/>
      <c r="AV43" s="49"/>
      <c r="AW43" s="46"/>
    </row>
    <row r="44" spans="2:49" x14ac:dyDescent="0.2">
      <c r="C44" s="1"/>
      <c r="D44" s="1"/>
      <c r="E44" s="1"/>
      <c r="F44" s="1"/>
      <c r="G44" s="1"/>
      <c r="H44" s="1"/>
      <c r="I44" s="1"/>
      <c r="J44" s="1"/>
      <c r="K44" s="1"/>
      <c r="L44" s="1"/>
      <c r="M44" s="1"/>
      <c r="N44" s="1"/>
      <c r="O44" s="1"/>
      <c r="P44" s="1"/>
      <c r="Q44" s="1"/>
      <c r="R44" s="1"/>
      <c r="S44" s="1"/>
      <c r="T44" s="1"/>
      <c r="U44" s="1"/>
    </row>
    <row r="45" spans="2:49" s="53" customFormat="1" ht="12.75" x14ac:dyDescent="0.2">
      <c r="B45" s="60" t="s">
        <v>66</v>
      </c>
    </row>
    <row r="46" spans="2:49" x14ac:dyDescent="0.2">
      <c r="C46" s="25"/>
    </row>
    <row r="47" spans="2:49" x14ac:dyDescent="0.2">
      <c r="B47" s="40" t="s">
        <v>46</v>
      </c>
      <c r="C47" s="41">
        <f>'Input data'!C49</f>
        <v>0.6</v>
      </c>
    </row>
    <row r="48" spans="2:49" x14ac:dyDescent="0.2">
      <c r="B48" s="42" t="s">
        <v>177</v>
      </c>
      <c r="C48" s="43">
        <f>'Input data'!C50</f>
        <v>0.60499999999999998</v>
      </c>
    </row>
    <row r="49" spans="2:46" x14ac:dyDescent="0.2">
      <c r="C49" s="44"/>
    </row>
    <row r="50" spans="2:46" outlineLevel="1" x14ac:dyDescent="0.2">
      <c r="B50" s="15" t="s">
        <v>67</v>
      </c>
      <c r="C50" s="23">
        <v>0</v>
      </c>
      <c r="D50" s="23">
        <f>IF(AND(ABS((D12-C12)-('Input data'!D13-'Input data'!C13))&gt;0.0001,ABS(D12-C12)&gt;0.0001,D$10&gt;$C$5),4,IF(C50=4,3,IF(C50=3,2,IF(C50=2,1,0))))</f>
        <v>0</v>
      </c>
      <c r="E50" s="23">
        <f>IF(AND(ABS((E12-D12)-('Baseline NFPC'!E12-'Baseline NFPC'!D12))&gt;0.0001,ABS(E12-D12)&gt;0.0001,E$10&gt;$C$5),4,IF(D50=4,3,IF(D50=3,2,IF(D50=2,1,0))))</f>
        <v>0</v>
      </c>
      <c r="F50" s="23">
        <f>IF(AND(ABS((F12-E12)-('Baseline NFPC'!F12-'Baseline NFPC'!E12))&gt;0.0001,ABS(F12-E12)&gt;0.0001,F$10&gt;$C$5),4,IF(E50=4,3,IF(E50=3,2,IF(E50=2,1,0))))</f>
        <v>0</v>
      </c>
      <c r="G50" s="23">
        <f>IF(AND(ABS((G12-F12)-('Baseline NFPC'!G12-'Baseline NFPC'!F12))&gt;0.0001,ABS(G12-F12)&gt;0.0001,G$10&gt;$C$5),4,IF(F50=4,3,IF(F50=3,2,IF(F50=2,1,0))))</f>
        <v>0</v>
      </c>
      <c r="H50" s="23">
        <f>IF(AND(ABS((H12-G12)-('Baseline NFPC'!H12-'Baseline NFPC'!G12))&gt;0.0001,ABS(H12-G12)&gt;0.0001,H$10&gt;$C$5),4,IF(G50=4,3,IF(G50=3,2,IF(G50=2,1,0))))</f>
        <v>0</v>
      </c>
      <c r="I50" s="23">
        <f>IF(AND(ABS((I12-H12)-('Baseline NFPC'!I12-'Baseline NFPC'!H12))&gt;0.0001,ABS(I12-H12)&gt;0.0001,I$10&gt;$C$5),4,IF(H50=4,3,IF(H50=3,2,IF(H50=2,1,0))))</f>
        <v>0</v>
      </c>
      <c r="J50" s="23">
        <f>IF(AND(ABS((J12-I12)-('Baseline NFPC'!J12-'Baseline NFPC'!I12))&gt;0.0001,ABS(J12-I12)&gt;0.0001,J$10&gt;$C$5),4,IF(I50=4,3,IF(I50=3,2,IF(I50=2,1,0))))</f>
        <v>0</v>
      </c>
      <c r="K50" s="23">
        <f>IF(AND(ABS((K12-J12)-('Baseline NFPC'!K12-'Baseline NFPC'!J12))&gt;0.0001,ABS(K12-J12)&gt;0.0001,K$10&gt;$C$5),4,IF(J50=4,3,IF(J50=3,2,IF(J50=2,1,0))))</f>
        <v>0</v>
      </c>
      <c r="L50" s="23">
        <f>IF(AND(ABS((L12-K12)-('Baseline NFPC'!L12-'Baseline NFPC'!K12))&gt;0.0001,ABS(L12-K12)&gt;0.0001,L$10&gt;$C$5),4,IF(K50=4,3,IF(K50=3,2,IF(K50=2,1,0))))</f>
        <v>0</v>
      </c>
      <c r="M50" s="23">
        <f>IF(AND(ABS((M12-L12)-('Baseline NFPC'!M12-'Baseline NFPC'!L12))&gt;0.0001,ABS(M12-L12)&gt;0.0001,M$10&gt;$C$5),4,IF(L50=4,3,IF(L50=3,2,IF(L50=2,1,0))))</f>
        <v>0</v>
      </c>
      <c r="N50" s="23">
        <f>IF(AND(ABS((N12-M12)-('Baseline NFPC'!N12-'Baseline NFPC'!M12))&gt;0.0001,ABS(N12-M12)&gt;0.0001,N$10&gt;$C$5),4,IF(M50=4,3,IF(M50=3,2,IF(M50=2,1,0))))</f>
        <v>0</v>
      </c>
      <c r="O50" s="23">
        <f>IF(AND(ABS((O12-N12)-('Baseline NFPC'!O12-'Baseline NFPC'!N12))&gt;0.0001,ABS(O12-N12)&gt;0.0001,O$10&gt;$C$5),4,IF(N50=4,3,IF(N50=3,2,IF(N50=2,1,0))))</f>
        <v>0</v>
      </c>
      <c r="P50" s="23">
        <f>IF(AND(ABS((P12-O12)-('Baseline NFPC'!P12-'Baseline NFPC'!O12))&gt;0.0001,ABS(P12-O12)&gt;0.0001,P$10&gt;$C$5),4,IF(O50=4,3,IF(O50=3,2,IF(O50=2,1,0))))</f>
        <v>0</v>
      </c>
      <c r="Q50" s="23">
        <f>IF(AND(ABS((Q12-P12)-('Baseline NFPC'!Q12-'Baseline NFPC'!P12))&gt;0.0001,ABS(Q12-P12)&gt;0.0001,Q$10&gt;$C$5),4,IF(P50=4,3,IF(P50=3,2,IF(P50=2,1,0))))</f>
        <v>0</v>
      </c>
      <c r="R50" s="23">
        <f>IF(AND(ABS((R12-Q12)-('Baseline NFPC'!R12-'Baseline NFPC'!Q12))&gt;0.0001,ABS(R12-Q12)&gt;0.0001,R$10&gt;$C$5),4,IF(Q50=4,3,IF(Q50=3,2,IF(Q50=2,1,0))))</f>
        <v>0</v>
      </c>
      <c r="S50" s="23">
        <f>IF(AND(ABS((S12-R12)-('Baseline NFPC'!S12-'Baseline NFPC'!R12))&gt;0.0001,ABS(S12-R12)&gt;0.0001,S$10&gt;$C$5),4,IF(R50=4,3,IF(R50=3,2,IF(R50=2,1,0))))</f>
        <v>0</v>
      </c>
      <c r="T50" s="23">
        <f>IF(AND(ABS((T12-S12)-('Baseline NFPC'!T12-'Baseline NFPC'!S12))&gt;0.0001,ABS(T12-S12)&gt;0.0001,T$10&gt;$C$5),4,IF(S50=4,3,IF(S50=3,2,IF(S50=2,1,0))))</f>
        <v>0</v>
      </c>
      <c r="U50" s="23">
        <f>IF(AND(ABS((U12-T12)-('Baseline NFPC'!U12-'Baseline NFPC'!T12))&gt;0.0001,ABS(U12-T12)&gt;0.0001,U$10&gt;$C$5),4,IF(T50=4,3,IF(T50=3,2,IF(T50=2,1,0))))</f>
        <v>0</v>
      </c>
      <c r="V50" s="23"/>
      <c r="W50" s="23"/>
      <c r="X50" s="23"/>
      <c r="Y50" s="23"/>
      <c r="Z50" s="23"/>
      <c r="AA50" s="23"/>
      <c r="AB50" s="23"/>
      <c r="AC50" s="23"/>
      <c r="AD50" s="23"/>
      <c r="AE50" s="23"/>
      <c r="AF50" s="23"/>
      <c r="AG50" s="23"/>
      <c r="AH50" s="23"/>
      <c r="AI50" s="23"/>
      <c r="AJ50" s="23"/>
      <c r="AK50" s="23"/>
      <c r="AL50" s="23"/>
      <c r="AM50" s="23"/>
      <c r="AN50" s="23"/>
      <c r="AO50" s="23"/>
      <c r="AP50" s="23"/>
      <c r="AQ50" s="23"/>
      <c r="AR50" s="23"/>
      <c r="AS50" s="23"/>
      <c r="AT50" s="23"/>
    </row>
    <row r="51" spans="2:46" outlineLevel="1" x14ac:dyDescent="0.2">
      <c r="B51" s="15" t="s">
        <v>68</v>
      </c>
      <c r="C51" s="23">
        <v>0</v>
      </c>
      <c r="D51" s="23">
        <f>IF(C50=4,2/3*(C30-'Baseline NFPC'!C29),IF(C50=3,1/3*(#REF!-'Baseline NFPC'!#REF!),0))</f>
        <v>0</v>
      </c>
      <c r="E51" s="23">
        <f>IF(D50=4,2/3*(D30-'Baseline NFPC'!D29),IF(D50=3,1/3*(C30-'Baseline NFPC'!C29),0))</f>
        <v>0</v>
      </c>
      <c r="F51" s="23">
        <f>IF(E50=4,2/3*(E30-'Baseline NFPC'!E29),IF(E50=3,1/3*(D30-'Baseline NFPC'!D29),0))</f>
        <v>0</v>
      </c>
      <c r="G51" s="23">
        <f t="shared" ref="G51:U51" si="12">IF(F50=4,2/3*F30,IF(F50=3,1/3*E30,0))</f>
        <v>0</v>
      </c>
      <c r="H51" s="23">
        <f t="shared" si="12"/>
        <v>0</v>
      </c>
      <c r="I51" s="23">
        <f t="shared" si="12"/>
        <v>0</v>
      </c>
      <c r="J51" s="23">
        <f t="shared" si="12"/>
        <v>0</v>
      </c>
      <c r="K51" s="23">
        <f t="shared" si="12"/>
        <v>0</v>
      </c>
      <c r="L51" s="23">
        <f t="shared" si="12"/>
        <v>0</v>
      </c>
      <c r="M51" s="23">
        <f t="shared" si="12"/>
        <v>0</v>
      </c>
      <c r="N51" s="23">
        <f t="shared" si="12"/>
        <v>0</v>
      </c>
      <c r="O51" s="23">
        <f t="shared" si="12"/>
        <v>0</v>
      </c>
      <c r="P51" s="23">
        <f t="shared" si="12"/>
        <v>0</v>
      </c>
      <c r="Q51" s="23">
        <f t="shared" si="12"/>
        <v>0</v>
      </c>
      <c r="R51" s="23">
        <f t="shared" si="12"/>
        <v>0</v>
      </c>
      <c r="S51" s="23">
        <f t="shared" si="12"/>
        <v>0</v>
      </c>
      <c r="T51" s="23">
        <f t="shared" si="12"/>
        <v>0</v>
      </c>
      <c r="U51" s="23">
        <f t="shared" si="12"/>
        <v>0</v>
      </c>
      <c r="V51" s="23"/>
      <c r="W51" s="23"/>
      <c r="X51" s="23"/>
      <c r="Y51" s="23"/>
      <c r="Z51" s="23"/>
      <c r="AA51" s="23"/>
      <c r="AB51" s="23"/>
      <c r="AC51" s="23"/>
      <c r="AD51" s="23"/>
      <c r="AE51" s="23"/>
      <c r="AF51" s="23"/>
      <c r="AG51" s="23"/>
      <c r="AH51" s="23"/>
      <c r="AI51" s="23"/>
      <c r="AJ51" s="23"/>
      <c r="AK51" s="23"/>
      <c r="AL51" s="23"/>
      <c r="AM51" s="23"/>
      <c r="AN51" s="23"/>
      <c r="AO51" s="23"/>
      <c r="AP51" s="23"/>
      <c r="AQ51" s="23"/>
      <c r="AR51" s="23"/>
      <c r="AS51" s="23"/>
      <c r="AT51" s="23"/>
    </row>
    <row r="52" spans="2:46" outlineLevel="1" x14ac:dyDescent="0.2">
      <c r="B52" s="15" t="s">
        <v>69</v>
      </c>
      <c r="C52" s="23">
        <v>0</v>
      </c>
      <c r="D52" s="23">
        <f>'Input data'!D30-$C$47*((D12-C12)-('Input data'!D13-'Input data'!C13))</f>
        <v>1.6966699999999999</v>
      </c>
      <c r="E52" s="23">
        <f>'Input data'!E30-$C$47*(E12-D12)</f>
        <v>1.273747</v>
      </c>
      <c r="F52" s="23">
        <f>'Input data'!F30-$C$47*(F12-E12)</f>
        <v>1.5818650000000001</v>
      </c>
      <c r="G52" s="23">
        <f>'Input data'!G30-$C$47*(G12-F12)</f>
        <v>1.5213989999999999</v>
      </c>
      <c r="H52" s="23">
        <f>'Input data'!H30-$C$47*(H12-G12)</f>
        <v>1.41368</v>
      </c>
      <c r="I52" s="23">
        <f>'Input data'!I30-$C$47*(I12-H12)</f>
        <v>1.393831</v>
      </c>
      <c r="J52" s="23">
        <f>'Input data'!J30-$C$47*(J12-I12)</f>
        <v>1.069126</v>
      </c>
      <c r="K52" s="23">
        <f>'Input data'!K30-$C$47*(K12-J12)</f>
        <v>1.0343100000000001</v>
      </c>
      <c r="L52" s="23">
        <f>'Input data'!L30-$C$47*(L12-K12)</f>
        <v>1.0125310000000001</v>
      </c>
      <c r="M52" s="23">
        <f>'Input data'!M30-$C$47*(M12-L12)</f>
        <v>1.0265919999999999</v>
      </c>
      <c r="N52" s="23">
        <f>'Input data'!N30-$C$47*(N12-M12)</f>
        <v>1.054951</v>
      </c>
      <c r="O52" s="23">
        <f>'Input data'!O30-$C$47*(O12-N12)</f>
        <v>1.1332990000000001</v>
      </c>
      <c r="P52" s="23">
        <f>'Input data'!P30-$C$47*(P12-O12)</f>
        <v>1.211654</v>
      </c>
      <c r="Q52" s="23">
        <f>'Input data'!Q30-$C$47*(Q12-P12)</f>
        <v>1.290001</v>
      </c>
      <c r="R52" s="23">
        <f>'Input data'!R30-$C$47*(R12-Q12)</f>
        <v>1.4500010000000001</v>
      </c>
      <c r="S52" s="23">
        <f>'Input data'!S30-$C$47*(S12-R12)</f>
        <v>1.609996</v>
      </c>
      <c r="T52" s="23">
        <f>'Input data'!T30-$C$47*(T12-S12)</f>
        <v>1.6599950000000001</v>
      </c>
      <c r="U52" s="23">
        <f>'Input data'!U30-$C$47*(U12-T12)</f>
        <v>1.7100040000000001</v>
      </c>
      <c r="V52" s="23"/>
      <c r="W52" s="23"/>
      <c r="X52" s="23"/>
      <c r="Y52" s="23"/>
      <c r="Z52" s="23"/>
      <c r="AA52" s="23"/>
      <c r="AB52" s="23"/>
      <c r="AC52" s="23"/>
      <c r="AD52" s="23"/>
      <c r="AE52" s="23"/>
      <c r="AF52" s="23"/>
      <c r="AG52" s="23"/>
      <c r="AH52" s="23"/>
      <c r="AI52" s="23"/>
      <c r="AJ52" s="23"/>
      <c r="AK52" s="23"/>
      <c r="AL52" s="23"/>
      <c r="AM52" s="23"/>
      <c r="AN52" s="23"/>
      <c r="AO52" s="23"/>
      <c r="AP52" s="23"/>
      <c r="AQ52" s="23"/>
      <c r="AR52" s="23"/>
      <c r="AS52" s="23"/>
      <c r="AT52" s="23"/>
    </row>
    <row r="54" spans="2:46" s="53" customFormat="1" ht="12.75" outlineLevel="1" x14ac:dyDescent="0.2">
      <c r="B54" s="57" t="s">
        <v>70</v>
      </c>
      <c r="C54" s="55"/>
      <c r="D54" s="54"/>
    </row>
    <row r="55" spans="2:46" outlineLevel="1" x14ac:dyDescent="0.2">
      <c r="B55" s="30"/>
      <c r="C55" s="31"/>
      <c r="D55" s="18"/>
    </row>
    <row r="56" spans="2:46" outlineLevel="1" x14ac:dyDescent="0.2">
      <c r="B56" s="65"/>
      <c r="C56" s="66">
        <f>'Input data'!$C$5-1</f>
        <v>2024</v>
      </c>
      <c r="D56" s="66">
        <f>C56+1</f>
        <v>2025</v>
      </c>
      <c r="E56" s="66">
        <f t="shared" ref="E56:U56" si="13">D56+1</f>
        <v>2026</v>
      </c>
      <c r="F56" s="66">
        <f t="shared" si="13"/>
        <v>2027</v>
      </c>
      <c r="G56" s="66">
        <f t="shared" si="13"/>
        <v>2028</v>
      </c>
      <c r="H56" s="66">
        <f t="shared" si="13"/>
        <v>2029</v>
      </c>
      <c r="I56" s="66">
        <f t="shared" si="13"/>
        <v>2030</v>
      </c>
      <c r="J56" s="66">
        <f t="shared" si="13"/>
        <v>2031</v>
      </c>
      <c r="K56" s="66">
        <f t="shared" si="13"/>
        <v>2032</v>
      </c>
      <c r="L56" s="66">
        <f t="shared" si="13"/>
        <v>2033</v>
      </c>
      <c r="M56" s="66">
        <f t="shared" si="13"/>
        <v>2034</v>
      </c>
      <c r="N56" s="66">
        <f t="shared" si="13"/>
        <v>2035</v>
      </c>
      <c r="O56" s="66">
        <f t="shared" si="13"/>
        <v>2036</v>
      </c>
      <c r="P56" s="66">
        <f t="shared" si="13"/>
        <v>2037</v>
      </c>
      <c r="Q56" s="66">
        <f t="shared" si="13"/>
        <v>2038</v>
      </c>
      <c r="R56" s="66">
        <f t="shared" si="13"/>
        <v>2039</v>
      </c>
      <c r="S56" s="66">
        <f t="shared" si="13"/>
        <v>2040</v>
      </c>
      <c r="T56" s="66">
        <f t="shared" si="13"/>
        <v>2041</v>
      </c>
      <c r="U56" s="66">
        <f t="shared" si="13"/>
        <v>2042</v>
      </c>
    </row>
    <row r="57" spans="2:46" ht="10.5" customHeight="1" outlineLevel="1" x14ac:dyDescent="0.2">
      <c r="B57" s="67" t="s">
        <v>71</v>
      </c>
      <c r="C57" s="32">
        <f>+'Input data'!C12</f>
        <v>43.748150000000003</v>
      </c>
      <c r="D57" s="32">
        <f>+C57+D58</f>
        <v>45.157610209173967</v>
      </c>
      <c r="E57" s="32">
        <f>+D57+E58</f>
        <v>47.855644632273624</v>
      </c>
      <c r="F57" s="32">
        <f t="shared" ref="F57:Q57" si="14">+E57+F58</f>
        <v>48.03397105085827</v>
      </c>
      <c r="G57" s="32">
        <f t="shared" si="14"/>
        <v>48.125787619437091</v>
      </c>
      <c r="H57" s="32">
        <f t="shared" si="14"/>
        <v>48.154710826770085</v>
      </c>
      <c r="I57" s="32">
        <f t="shared" si="14"/>
        <v>48.186227557361946</v>
      </c>
      <c r="J57" s="32">
        <f t="shared" si="14"/>
        <v>48.729290458286442</v>
      </c>
      <c r="K57" s="32">
        <f t="shared" si="14"/>
        <v>49.548171319081376</v>
      </c>
      <c r="L57" s="32">
        <f t="shared" si="14"/>
        <v>50.539007963808501</v>
      </c>
      <c r="M57" s="32">
        <f t="shared" si="14"/>
        <v>51.686403158289899</v>
      </c>
      <c r="N57" s="32">
        <f t="shared" si="14"/>
        <v>52.985091388356423</v>
      </c>
      <c r="O57" s="32">
        <f t="shared" si="14"/>
        <v>54.512967034094977</v>
      </c>
      <c r="P57" s="32">
        <f t="shared" si="14"/>
        <v>56.263155518990189</v>
      </c>
      <c r="Q57" s="32">
        <f t="shared" si="14"/>
        <v>58.028972819581085</v>
      </c>
      <c r="R57" s="32">
        <f>+Q57+R58</f>
        <v>59.856804371446188</v>
      </c>
      <c r="S57" s="32">
        <f>+R57+S58</f>
        <v>61.737621749412</v>
      </c>
      <c r="T57" s="32">
        <f t="shared" ref="T57" si="15">+S57+T58</f>
        <v>63.829039225036091</v>
      </c>
      <c r="U57" s="32">
        <f t="shared" ref="U57" si="16">+T57+U58</f>
        <v>65.925997692788357</v>
      </c>
      <c r="V57" s="27"/>
      <c r="W57" s="27"/>
      <c r="X57" s="27"/>
      <c r="Y57" s="27"/>
      <c r="Z57" s="27"/>
      <c r="AA57" s="27"/>
      <c r="AB57" s="27"/>
      <c r="AC57" s="27"/>
      <c r="AD57" s="27"/>
      <c r="AE57" s="27"/>
      <c r="AF57" s="27"/>
      <c r="AG57" s="27"/>
      <c r="AH57" s="27"/>
      <c r="AI57" s="27"/>
      <c r="AJ57" s="27"/>
      <c r="AK57" s="27"/>
      <c r="AL57" s="27"/>
      <c r="AM57" s="27"/>
      <c r="AN57" s="27"/>
      <c r="AO57" s="27"/>
      <c r="AP57" s="27"/>
      <c r="AQ57" s="27"/>
      <c r="AR57" s="27"/>
      <c r="AS57" s="27"/>
      <c r="AT57" s="27"/>
    </row>
    <row r="58" spans="2:46" outlineLevel="1" x14ac:dyDescent="0.2">
      <c r="B58" s="68" t="s">
        <v>72</v>
      </c>
      <c r="C58" s="33"/>
      <c r="D58" s="33">
        <f>-D59+D67+D72</f>
        <v>1.4094602091739621</v>
      </c>
      <c r="E58" s="33">
        <f>-E59+E67+E72</f>
        <v>2.6980344230996591</v>
      </c>
      <c r="F58" s="33">
        <f t="shared" ref="F58:Q58" si="17">-F59+F67+F72</f>
        <v>0.17832641858464668</v>
      </c>
      <c r="G58" s="33">
        <f t="shared" si="17"/>
        <v>9.1816568578823698E-2</v>
      </c>
      <c r="H58" s="33">
        <f t="shared" si="17"/>
        <v>2.8923207332992917E-2</v>
      </c>
      <c r="I58" s="33">
        <f t="shared" si="17"/>
        <v>3.1516730591863107E-2</v>
      </c>
      <c r="J58" s="33">
        <f t="shared" si="17"/>
        <v>0.54306290092449316</v>
      </c>
      <c r="K58" s="33">
        <f t="shared" si="17"/>
        <v>0.81888086079493583</v>
      </c>
      <c r="L58" s="33">
        <f t="shared" si="17"/>
        <v>0.99083664472712651</v>
      </c>
      <c r="M58" s="33">
        <f t="shared" si="17"/>
        <v>1.1473951944813945</v>
      </c>
      <c r="N58" s="33">
        <f t="shared" si="17"/>
        <v>1.2986882300665268</v>
      </c>
      <c r="O58" s="33">
        <f t="shared" si="17"/>
        <v>1.5278756457385523</v>
      </c>
      <c r="P58" s="33">
        <f t="shared" si="17"/>
        <v>1.7501884848952116</v>
      </c>
      <c r="Q58" s="33">
        <f t="shared" si="17"/>
        <v>1.7658173005908946</v>
      </c>
      <c r="R58" s="33">
        <f>-R59+R67+R72</f>
        <v>1.8278315518651003</v>
      </c>
      <c r="S58" s="33">
        <f t="shared" ref="S58:U58" si="18">-S59+S67+S72</f>
        <v>1.8808173779658137</v>
      </c>
      <c r="T58" s="33">
        <f t="shared" si="18"/>
        <v>2.091417475624092</v>
      </c>
      <c r="U58" s="33">
        <f t="shared" si="18"/>
        <v>2.0969584677522692</v>
      </c>
    </row>
    <row r="59" spans="2:46" outlineLevel="1" x14ac:dyDescent="0.2">
      <c r="B59" s="64" t="s">
        <v>73</v>
      </c>
      <c r="C59" s="34"/>
      <c r="D59" s="34">
        <f t="shared" ref="D59:P59" si="19">D60+D61-D62-D63-D64-D65-D66</f>
        <v>-1.157521209173962</v>
      </c>
      <c r="E59" s="34">
        <f t="shared" si="19"/>
        <v>-1.9122554230996602</v>
      </c>
      <c r="F59" s="34">
        <f t="shared" si="19"/>
        <v>-1.0514441856522683</v>
      </c>
      <c r="G59" s="34">
        <f t="shared" si="19"/>
        <v>-0.8868780806201344</v>
      </c>
      <c r="H59" s="34">
        <f t="shared" si="19"/>
        <v>-0.72230772422782996</v>
      </c>
      <c r="I59" s="34">
        <f t="shared" si="19"/>
        <v>-0.66348050044019757</v>
      </c>
      <c r="J59" s="34">
        <f t="shared" si="19"/>
        <v>-0.96922199764058969</v>
      </c>
      <c r="K59" s="34">
        <f t="shared" si="19"/>
        <v>-1.1749622976405889</v>
      </c>
      <c r="L59" s="34">
        <f t="shared" si="19"/>
        <v>-1.2807019987050023</v>
      </c>
      <c r="M59" s="34">
        <f t="shared" si="19"/>
        <v>-1.3864434964094172</v>
      </c>
      <c r="N59" s="34">
        <f t="shared" si="19"/>
        <v>-1.4921803043043058</v>
      </c>
      <c r="O59" s="34">
        <f t="shared" si="19"/>
        <v>-1.6979194078634952</v>
      </c>
      <c r="P59" s="34">
        <f t="shared" si="19"/>
        <v>-1.9036560213196374</v>
      </c>
      <c r="Q59" s="34">
        <f>Q60+Q61-Q62-Q63-Q64-Q65-Q66</f>
        <v>-1.90939582402466</v>
      </c>
      <c r="R59" s="34">
        <f>R60+R61-R62-R63-R64-R65-R66</f>
        <v>-2.0151355276717218</v>
      </c>
      <c r="S59" s="34">
        <f>S60+S61-S62-S63-S64-S65-S66</f>
        <v>-2.1208782093273486</v>
      </c>
      <c r="T59" s="34">
        <f t="shared" ref="T59:U59" si="20">T60+T61-T62-T63-T64-T65-T66</f>
        <v>-2.3266214849325499</v>
      </c>
      <c r="U59" s="34">
        <f t="shared" si="20"/>
        <v>-2.3323594056187238</v>
      </c>
    </row>
    <row r="60" spans="2:46" outlineLevel="1" x14ac:dyDescent="0.2">
      <c r="B60" s="63" t="s">
        <v>74</v>
      </c>
      <c r="C60" s="1"/>
      <c r="D60" s="1">
        <f>D12</f>
        <v>-0.55773950000000005</v>
      </c>
      <c r="E60" s="1">
        <f t="shared" ref="E60:U60" si="21">IF(E12="",D60,E12)</f>
        <v>-0.55773950000000005</v>
      </c>
      <c r="F60" s="1">
        <f t="shared" si="21"/>
        <v>-0.55773950000000005</v>
      </c>
      <c r="G60" s="1">
        <f t="shared" si="21"/>
        <v>-0.55773950000000005</v>
      </c>
      <c r="H60" s="1">
        <f t="shared" si="21"/>
        <v>-0.55773950000000005</v>
      </c>
      <c r="I60" s="1">
        <f t="shared" si="21"/>
        <v>-0.55773950000000005</v>
      </c>
      <c r="J60" s="1">
        <f t="shared" si="21"/>
        <v>-0.55773950000000005</v>
      </c>
      <c r="K60" s="76">
        <f t="shared" si="21"/>
        <v>-0.55773950000000005</v>
      </c>
      <c r="L60" s="1">
        <f t="shared" si="21"/>
        <v>-0.55773950000000005</v>
      </c>
      <c r="M60" s="1">
        <f t="shared" si="21"/>
        <v>-0.55773950000000005</v>
      </c>
      <c r="N60" s="1">
        <f t="shared" si="21"/>
        <v>-0.55773950000000005</v>
      </c>
      <c r="O60" s="1">
        <f t="shared" si="21"/>
        <v>-0.55773950000000005</v>
      </c>
      <c r="P60" s="1">
        <f t="shared" si="21"/>
        <v>-0.55773950000000005</v>
      </c>
      <c r="Q60" s="1">
        <f t="shared" si="21"/>
        <v>-0.55773950000000005</v>
      </c>
      <c r="R60" s="1">
        <f t="shared" si="21"/>
        <v>-0.55773950000000005</v>
      </c>
      <c r="S60" s="1">
        <f t="shared" si="21"/>
        <v>-0.55773950000000005</v>
      </c>
      <c r="T60" s="1">
        <f t="shared" si="21"/>
        <v>-0.55773950000000005</v>
      </c>
      <c r="U60" s="1">
        <f t="shared" si="21"/>
        <v>-0.55773950000000005</v>
      </c>
    </row>
    <row r="61" spans="2:46" outlineLevel="1" x14ac:dyDescent="0.2">
      <c r="B61" s="63" t="s">
        <v>75</v>
      </c>
      <c r="C61" s="1"/>
      <c r="D61" s="1">
        <v>0</v>
      </c>
      <c r="E61" s="1">
        <v>0</v>
      </c>
      <c r="F61" s="1">
        <v>0</v>
      </c>
      <c r="G61" s="1">
        <v>0</v>
      </c>
      <c r="H61" s="1">
        <v>0</v>
      </c>
      <c r="I61" s="1">
        <v>0</v>
      </c>
      <c r="J61" s="1">
        <v>0</v>
      </c>
      <c r="K61" s="1">
        <v>0</v>
      </c>
      <c r="L61" s="1">
        <v>0</v>
      </c>
      <c r="M61" s="1">
        <v>0</v>
      </c>
      <c r="N61" s="1">
        <v>0</v>
      </c>
      <c r="O61" s="1">
        <v>0</v>
      </c>
      <c r="P61" s="1">
        <v>0</v>
      </c>
      <c r="Q61" s="1">
        <v>0</v>
      </c>
      <c r="R61" s="1">
        <v>0</v>
      </c>
      <c r="S61" s="1">
        <v>0</v>
      </c>
      <c r="T61" s="1">
        <v>0</v>
      </c>
      <c r="U61" s="1">
        <v>0</v>
      </c>
    </row>
    <row r="62" spans="2:46" outlineLevel="1" x14ac:dyDescent="0.2">
      <c r="B62" s="63" t="s">
        <v>76</v>
      </c>
      <c r="C62" s="1"/>
      <c r="D62" s="1">
        <f t="shared" ref="D62:U62" si="22">-$C$48*D30</f>
        <v>0.57430420917396185</v>
      </c>
      <c r="E62" s="1">
        <f t="shared" si="22"/>
        <v>0.66441172309966023</v>
      </c>
      <c r="F62" s="1">
        <f t="shared" si="22"/>
        <v>0.49370468565226816</v>
      </c>
      <c r="G62" s="1">
        <f t="shared" si="22"/>
        <v>0.32913858062013429</v>
      </c>
      <c r="H62" s="1">
        <f t="shared" si="22"/>
        <v>0.16456822422782991</v>
      </c>
      <c r="I62" s="1">
        <f t="shared" si="22"/>
        <v>6.0044019600802301E-7</v>
      </c>
      <c r="J62" s="1">
        <f t="shared" si="22"/>
        <v>1.7976405874975399E-6</v>
      </c>
      <c r="K62" s="1">
        <f t="shared" si="22"/>
        <v>1.7976405874975399E-6</v>
      </c>
      <c r="L62" s="1">
        <f t="shared" si="22"/>
        <v>1.1987049993167354E-6</v>
      </c>
      <c r="M62" s="1">
        <f t="shared" si="22"/>
        <v>2.3964094164607985E-6</v>
      </c>
      <c r="N62" s="1">
        <f t="shared" si="22"/>
        <v>-1.1956956963432575E-6</v>
      </c>
      <c r="O62" s="1">
        <f t="shared" si="22"/>
        <v>-2.3921365062129496E-6</v>
      </c>
      <c r="P62" s="1">
        <f t="shared" si="22"/>
        <v>-5.9786803633388175E-6</v>
      </c>
      <c r="Q62" s="1">
        <f t="shared" si="22"/>
        <v>-6.5759753409277977E-6</v>
      </c>
      <c r="R62" s="1">
        <f t="shared" si="22"/>
        <v>-7.1723282804025956E-6</v>
      </c>
      <c r="S62" s="1">
        <f t="shared" si="22"/>
        <v>-4.7906726517998877E-6</v>
      </c>
      <c r="T62" s="1">
        <f t="shared" si="22"/>
        <v>-1.8150674530037492E-6</v>
      </c>
      <c r="U62" s="1">
        <f t="shared" si="22"/>
        <v>-4.1943812789657642E-6</v>
      </c>
    </row>
    <row r="63" spans="2:46" outlineLevel="1" x14ac:dyDescent="0.2">
      <c r="B63" s="63" t="s">
        <v>77</v>
      </c>
      <c r="C63" s="1"/>
      <c r="D63" s="1">
        <f t="shared" ref="D63:U63" si="23">-D14</f>
        <v>2.54775E-2</v>
      </c>
      <c r="E63" s="1">
        <f t="shared" si="23"/>
        <v>0.69010419999999995</v>
      </c>
      <c r="F63" s="1">
        <f t="shared" si="23"/>
        <v>0</v>
      </c>
      <c r="G63" s="1">
        <f t="shared" si="23"/>
        <v>0</v>
      </c>
      <c r="H63" s="1">
        <f t="shared" si="23"/>
        <v>0</v>
      </c>
      <c r="I63" s="1">
        <f t="shared" si="23"/>
        <v>0</v>
      </c>
      <c r="J63" s="1">
        <f t="shared" si="23"/>
        <v>0</v>
      </c>
      <c r="K63" s="1">
        <f t="shared" si="23"/>
        <v>0</v>
      </c>
      <c r="L63" s="1">
        <f t="shared" si="23"/>
        <v>0</v>
      </c>
      <c r="M63" s="1">
        <f t="shared" si="23"/>
        <v>0</v>
      </c>
      <c r="N63" s="1">
        <f t="shared" si="23"/>
        <v>0</v>
      </c>
      <c r="O63" s="1">
        <f t="shared" si="23"/>
        <v>0</v>
      </c>
      <c r="P63" s="1">
        <f t="shared" si="23"/>
        <v>0</v>
      </c>
      <c r="Q63" s="1">
        <f t="shared" si="23"/>
        <v>0</v>
      </c>
      <c r="R63" s="1">
        <f t="shared" si="23"/>
        <v>0</v>
      </c>
      <c r="S63" s="1">
        <f t="shared" si="23"/>
        <v>0</v>
      </c>
      <c r="T63" s="1">
        <f t="shared" si="23"/>
        <v>0</v>
      </c>
      <c r="U63" s="1">
        <f t="shared" si="23"/>
        <v>0</v>
      </c>
    </row>
    <row r="64" spans="2:46" outlineLevel="1" x14ac:dyDescent="0.2">
      <c r="B64" s="63" t="s">
        <v>78</v>
      </c>
      <c r="C64" s="1"/>
      <c r="D64" s="1">
        <f>IF(D$56&lt;=$C$6,0,HLOOKUP(D$56,'Input data'!$C$9:$AZ$26,12,FALSE)-HLOOKUP($C$6,'Input data'!$C$9:$AZ$26,12,FALSE))</f>
        <v>0</v>
      </c>
      <c r="E64" s="1">
        <f>IF(E$56&lt;=$C$6,0,HLOOKUP(E$56,'Input data'!$C$9:$AZ$26,12,FALSE)-HLOOKUP($C$6,'Input data'!$C$9:$AZ$26,12,FALSE))</f>
        <v>0</v>
      </c>
      <c r="F64" s="1">
        <f>IF(F$56&lt;=$C$6,0,HLOOKUP(F$56,'Input data'!$C$9:$AZ$26,12,FALSE)-HLOOKUP($C$6,'Input data'!$C$9:$AZ$26,12,FALSE))</f>
        <v>0</v>
      </c>
      <c r="G64" s="1">
        <f>IF(G$56&lt;=$C$6,0,HLOOKUP(G$56,'Input data'!$C$9:$AZ$26,12,FALSE)-HLOOKUP($C$6,'Input data'!$C$9:$AZ$26,12,FALSE))</f>
        <v>0</v>
      </c>
      <c r="H64" s="1">
        <f>IF(H$56&lt;=$C$6,0,HLOOKUP(H$56,'Input data'!$C$9:$AZ$26,12,FALSE)-HLOOKUP($C$6,'Input data'!$C$9:$AZ$26,12,FALSE))</f>
        <v>0</v>
      </c>
      <c r="I64" s="1">
        <f>IF(I$56&lt;=$C$6,0,HLOOKUP(I$56,'Input data'!$C$9:$AZ$26,12,FALSE)-HLOOKUP($C$6,'Input data'!$C$9:$AZ$26,12,FALSE))</f>
        <v>0.10000000000000142</v>
      </c>
      <c r="J64" s="1">
        <f>IF(J$56&lt;=$C$6,0,HLOOKUP(J$56,'Input data'!$C$9:$AZ$26,12,FALSE)-HLOOKUP($C$6,'Input data'!$C$9:$AZ$26,12,FALSE))</f>
        <v>0.40000000000000213</v>
      </c>
      <c r="K64" s="1">
        <f>IF(K$56&lt;=$C$6,0,HLOOKUP(K$56,'Input data'!$C$9:$AZ$26,12,FALSE)-HLOOKUP($C$6,'Input data'!$C$9:$AZ$26,12,FALSE))</f>
        <v>0.60000000000000142</v>
      </c>
      <c r="L64" s="1">
        <f>IF(L$56&lt;=$C$6,0,HLOOKUP(L$56,'Input data'!$C$9:$AZ$26,12,FALSE)-HLOOKUP($C$6,'Input data'!$C$9:$AZ$26,12,FALSE))</f>
        <v>0.70000000000000284</v>
      </c>
      <c r="M64" s="1">
        <f>IF(M$56&lt;=$C$6,0,HLOOKUP(M$56,'Input data'!$C$9:$AZ$26,12,FALSE)-HLOOKUP($C$6,'Input data'!$C$9:$AZ$26,12,FALSE))</f>
        <v>0.80000000000000071</v>
      </c>
      <c r="N64" s="1">
        <f>IF(N$56&lt;=$C$6,0,HLOOKUP(N$56,'Input data'!$C$9:$AZ$26,12,FALSE)-HLOOKUP($C$6,'Input data'!$C$9:$AZ$26,12,FALSE))</f>
        <v>0.90000000000000213</v>
      </c>
      <c r="O64" s="1">
        <f>IF(O$56&lt;=$C$6,0,HLOOKUP(O$56,'Input data'!$C$9:$AZ$26,12,FALSE)-HLOOKUP($C$6,'Input data'!$C$9:$AZ$26,12,FALSE))</f>
        <v>1.1000000000000014</v>
      </c>
      <c r="P64" s="1">
        <f>IF(P$56&lt;=$C$6,0,HLOOKUP(P$56,'Input data'!$C$9:$AZ$26,12,FALSE)-HLOOKUP($C$6,'Input data'!$C$9:$AZ$26,12,FALSE))</f>
        <v>1.3000000000000007</v>
      </c>
      <c r="Q64" s="1">
        <f>IF(Q$56&lt;=$C$6,0,HLOOKUP(Q$56,'Input data'!$C$9:$AZ$26,12,FALSE)-HLOOKUP($C$6,'Input data'!$C$9:$AZ$26,12,FALSE))</f>
        <v>1.3000000000000007</v>
      </c>
      <c r="R64" s="1">
        <f>IF(R$56&lt;=$C$6,0,HLOOKUP(R$56,'Input data'!$C$9:$AZ$26,12,FALSE)-HLOOKUP($C$6,'Input data'!$C$9:$AZ$26,12,FALSE))</f>
        <v>1.4000000000000021</v>
      </c>
      <c r="S64" s="1">
        <f>IF(S$56&lt;=$C$6,0,HLOOKUP(S$56,'Input data'!$C$9:$AZ$26,12,FALSE)-HLOOKUP($C$6,'Input data'!$C$9:$AZ$26,12,FALSE))</f>
        <v>1.5</v>
      </c>
      <c r="T64" s="1">
        <f>IF(T$56&lt;=$C$6,0,HLOOKUP(T$56,'Input data'!$C$9:$AZ$26,12,FALSE)-HLOOKUP($C$6,'Input data'!$C$9:$AZ$26,12,FALSE))</f>
        <v>1.7000000000000028</v>
      </c>
      <c r="U64" s="1">
        <f>IF(U$56&lt;=$C$6,0,HLOOKUP(U$56,'Input data'!$C$9:$AZ$26,12,FALSE)-HLOOKUP($C$6,'Input data'!$C$9:$AZ$26,12,FALSE))</f>
        <v>1.7000000000000028</v>
      </c>
    </row>
    <row r="65" spans="2:21" outlineLevel="1" x14ac:dyDescent="0.2">
      <c r="B65" s="63" t="s">
        <v>79</v>
      </c>
      <c r="C65" s="1"/>
      <c r="D65" s="1">
        <f>IF(D$56&lt;=$C$5,0,-HLOOKUP(D$56,'Input data'!$C$9:$AZ$26,18,FALSE)+HLOOKUP($C$6,'Input data'!$C$9:$AZ$26,18,FALSE))</f>
        <v>0</v>
      </c>
      <c r="E65" s="1">
        <f>IF(E$56&lt;=$C$6,0,-HLOOKUP(E$56,'Input data'!$C$9:$AZ$26,18,FALSE)+HLOOKUP($C$6,'Input data'!$C$9:$AZ$26,18,FALSE))</f>
        <v>0</v>
      </c>
      <c r="F65" s="1">
        <f>IF(F$56&lt;=$C$6,0,-HLOOKUP(F$56,'Input data'!$C$9:$AZ$26,18,FALSE)+HLOOKUP($C$6,'Input data'!$C$9:$AZ$26,18,FALSE))</f>
        <v>0</v>
      </c>
      <c r="G65" s="1">
        <f>IF(G$56&lt;=$C$6,0,-HLOOKUP(G$56,'Input data'!$C$9:$AZ$26,18,FALSE)+HLOOKUP($C$6,'Input data'!$C$9:$AZ$26,18,FALSE))</f>
        <v>0</v>
      </c>
      <c r="H65" s="1">
        <f>IF(H$56&lt;=$C$6,0,-HLOOKUP(H$56,'Input data'!$C$9:$AZ$26,18,FALSE)+HLOOKUP($C$6,'Input data'!$C$9:$AZ$26,18,FALSE))</f>
        <v>0</v>
      </c>
      <c r="I65" s="1">
        <f>IF(I$56&lt;=$C$6,0,-HLOOKUP(I$56,'Input data'!$C$9:$AZ$26,18,FALSE)+HLOOKUP($C$6,'Input data'!$C$9:$AZ$26,18,FALSE))</f>
        <v>5.7404000000000899E-3</v>
      </c>
      <c r="J65" s="1">
        <f>IF(J$56&lt;=$C$6,0,-HLOOKUP(J$56,'Input data'!$C$9:$AZ$26,18,FALSE)+HLOOKUP($C$6,'Input data'!$C$9:$AZ$26,18,FALSE))</f>
        <v>1.148070000000001E-2</v>
      </c>
      <c r="K65" s="1">
        <f>IF(K$56&lt;=$C$6,0,-HLOOKUP(K$56,'Input data'!$C$9:$AZ$26,18,FALSE)+HLOOKUP($C$6,'Input data'!$C$9:$AZ$26,18,FALSE))</f>
        <v>1.7221000000000042E-2</v>
      </c>
      <c r="L65" s="1">
        <f>IF(L$56&lt;=$C$6,0,-HLOOKUP(L$56,'Input data'!$C$9:$AZ$26,18,FALSE)+HLOOKUP($C$6,'Input data'!$C$9:$AZ$26,18,FALSE))</f>
        <v>2.2961300000000073E-2</v>
      </c>
      <c r="M65" s="1">
        <f>IF(M$56&lt;=$C$6,0,-HLOOKUP(M$56,'Input data'!$C$9:$AZ$26,18,FALSE)+HLOOKUP($C$6,'Input data'!$C$9:$AZ$26,18,FALSE))</f>
        <v>2.8701599999999994E-2</v>
      </c>
      <c r="N65" s="1">
        <f>IF(N$56&lt;=$C$6,0,-HLOOKUP(N$56,'Input data'!$C$9:$AZ$26,18,FALSE)+HLOOKUP($C$6,'Input data'!$C$9:$AZ$26,18,FALSE))</f>
        <v>3.4442000000000084E-2</v>
      </c>
      <c r="O65" s="1">
        <f>IF(O$56&lt;=$C$6,0,-HLOOKUP(O$56,'Input data'!$C$9:$AZ$26,18,FALSE)+HLOOKUP($C$6,'Input data'!$C$9:$AZ$26,18,FALSE))</f>
        <v>4.0182300000000004E-2</v>
      </c>
      <c r="P65" s="1">
        <f>IF(P$56&lt;=$C$6,0,-HLOOKUP(P$56,'Input data'!$C$9:$AZ$26,18,FALSE)+HLOOKUP($C$6,'Input data'!$C$9:$AZ$26,18,FALSE))</f>
        <v>4.5922500000000088E-2</v>
      </c>
      <c r="Q65" s="1">
        <f>IF(Q$56&lt;=$C$6,0,-HLOOKUP(Q$56,'Input data'!$C$9:$AZ$26,18,FALSE)+HLOOKUP($C$6,'Input data'!$C$9:$AZ$26,18,FALSE))</f>
        <v>5.1662900000000067E-2</v>
      </c>
      <c r="R65" s="1">
        <f>IF(R$56&lt;=$C$6,0,-HLOOKUP(R$56,'Input data'!$C$9:$AZ$26,18,FALSE)+HLOOKUP($C$6,'Input data'!$C$9:$AZ$26,18,FALSE))</f>
        <v>5.7403200000000099E-2</v>
      </c>
      <c r="S65" s="183">
        <f>IF(S$56&lt;=$C$6,0,-HLOOKUP(S$56,'Input data'!$C$9:$AZ$26,18,FALSE)+HLOOKUP($C$6,'Input data'!$C$9:$AZ$26,18,FALSE))</f>
        <v>6.3143500000000019E-2</v>
      </c>
      <c r="T65" s="183">
        <f>IF(T$56&lt;=$C$6,0,-HLOOKUP(T$56,'Input data'!$C$9:$AZ$26,18,FALSE)+HLOOKUP($C$6,'Input data'!$C$9:$AZ$26,18,FALSE))</f>
        <v>6.8883800000000051E-2</v>
      </c>
      <c r="U65" s="183">
        <f>IF(U$56&lt;=$C$6,0,-HLOOKUP(U$56,'Input data'!$C$9:$AZ$26,18,FALSE)+HLOOKUP($C$6,'Input data'!$C$9:$AZ$26,18,FALSE))</f>
        <v>7.4624100000000082E-2</v>
      </c>
    </row>
    <row r="66" spans="2:21" outlineLevel="1" x14ac:dyDescent="0.2">
      <c r="B66" s="63" t="s">
        <v>80</v>
      </c>
      <c r="C66" s="26"/>
      <c r="D66" s="26">
        <v>0</v>
      </c>
      <c r="E66" s="26">
        <v>0</v>
      </c>
      <c r="F66" s="26">
        <v>0</v>
      </c>
      <c r="G66" s="26">
        <v>0</v>
      </c>
      <c r="H66" s="26">
        <v>0</v>
      </c>
      <c r="I66" s="26">
        <v>0</v>
      </c>
      <c r="J66" s="26">
        <v>0</v>
      </c>
      <c r="K66" s="26">
        <v>0</v>
      </c>
      <c r="L66" s="26">
        <v>0</v>
      </c>
      <c r="M66" s="26">
        <v>0</v>
      </c>
      <c r="N66" s="26">
        <v>0</v>
      </c>
      <c r="O66" s="26">
        <v>0</v>
      </c>
      <c r="P66" s="26">
        <v>0</v>
      </c>
      <c r="Q66" s="26">
        <v>0</v>
      </c>
      <c r="R66" s="26">
        <v>0</v>
      </c>
      <c r="S66" s="184">
        <v>0</v>
      </c>
      <c r="T66" s="184">
        <v>0</v>
      </c>
      <c r="U66" s="184">
        <v>0</v>
      </c>
    </row>
    <row r="67" spans="2:21" outlineLevel="1" x14ac:dyDescent="0.2">
      <c r="B67" s="64" t="s">
        <v>81</v>
      </c>
      <c r="C67" s="34"/>
      <c r="D67" s="34">
        <f t="shared" ref="D67:M67" si="24">SUM(D68:D71)</f>
        <v>-1.328058</v>
      </c>
      <c r="E67" s="34">
        <f t="shared" si="24"/>
        <v>-1.2288980000000012</v>
      </c>
      <c r="F67" s="34">
        <f t="shared" si="24"/>
        <v>-0.87311571706762159</v>
      </c>
      <c r="G67" s="34">
        <f t="shared" si="24"/>
        <v>-0.7950615120413107</v>
      </c>
      <c r="H67" s="34">
        <f t="shared" si="24"/>
        <v>-0.69338451689483704</v>
      </c>
      <c r="I67" s="34">
        <f t="shared" si="24"/>
        <v>-0.63196376984833447</v>
      </c>
      <c r="J67" s="34">
        <f t="shared" si="24"/>
        <v>-0.42615909671609653</v>
      </c>
      <c r="K67" s="34">
        <f t="shared" si="24"/>
        <v>-0.35608143684565308</v>
      </c>
      <c r="L67" s="34">
        <f t="shared" si="24"/>
        <v>-0.28986535397787583</v>
      </c>
      <c r="M67" s="34">
        <f t="shared" si="24"/>
        <v>-0.23904830192802262</v>
      </c>
      <c r="N67" s="34">
        <f t="shared" ref="N67:R67" si="25">SUM(N68:N71)</f>
        <v>-0.19349207423777903</v>
      </c>
      <c r="O67" s="34">
        <f t="shared" si="25"/>
        <v>-0.17004376212494288</v>
      </c>
      <c r="P67" s="34">
        <f t="shared" si="25"/>
        <v>-0.15346753642442579</v>
      </c>
      <c r="Q67" s="34">
        <f t="shared" si="25"/>
        <v>-0.14357852343376543</v>
      </c>
      <c r="R67" s="34">
        <f t="shared" si="25"/>
        <v>-0.1873039758066215</v>
      </c>
      <c r="S67" s="34">
        <f t="shared" ref="S67:U67" si="26">SUM(S68:S71)</f>
        <v>-0.24006083136153489</v>
      </c>
      <c r="T67" s="34">
        <f t="shared" si="26"/>
        <v>-0.23520400930845775</v>
      </c>
      <c r="U67" s="34">
        <f t="shared" si="26"/>
        <v>-0.23540093786645455</v>
      </c>
    </row>
    <row r="68" spans="2:21" outlineLevel="1" x14ac:dyDescent="0.2">
      <c r="B68" s="63" t="s">
        <v>82</v>
      </c>
      <c r="C68" s="23"/>
      <c r="D68" s="23">
        <f t="shared" ref="D68:U68" si="27">C57*D36/100*(1/(1+D33/100))</f>
        <v>0.71728822977332674</v>
      </c>
      <c r="E68" s="23">
        <f t="shared" si="27"/>
        <v>0.74801828719034313</v>
      </c>
      <c r="F68" s="23">
        <f t="shared" si="27"/>
        <v>0.84257493081209656</v>
      </c>
      <c r="G68" s="23">
        <f t="shared" si="27"/>
        <v>0.90946083536599531</v>
      </c>
      <c r="H68" s="23">
        <f t="shared" si="27"/>
        <v>0.97513895526430605</v>
      </c>
      <c r="I68" s="23">
        <f t="shared" si="27"/>
        <v>1.0385130801704994</v>
      </c>
      <c r="J68" s="23">
        <f t="shared" si="27"/>
        <v>1.1060584635804851</v>
      </c>
      <c r="K68" s="23">
        <f t="shared" si="27"/>
        <v>1.187344291177262</v>
      </c>
      <c r="L68" s="23">
        <f t="shared" si="27"/>
        <v>1.2795196450251696</v>
      </c>
      <c r="M68" s="23">
        <f t="shared" si="27"/>
        <v>1.3790999737789913</v>
      </c>
      <c r="N68" s="23">
        <f t="shared" si="27"/>
        <v>1.4862341457780941</v>
      </c>
      <c r="O68" s="23">
        <f t="shared" si="27"/>
        <v>1.5845889728599494</v>
      </c>
      <c r="P68" s="23">
        <f t="shared" si="27"/>
        <v>1.6853554633496055</v>
      </c>
      <c r="Q68" s="23">
        <f t="shared" si="27"/>
        <v>1.7888939082221103</v>
      </c>
      <c r="R68" s="23">
        <f t="shared" si="27"/>
        <v>1.886532710042861</v>
      </c>
      <c r="S68" s="23">
        <f t="shared" si="27"/>
        <v>1.9820876540601382</v>
      </c>
      <c r="T68" s="23">
        <f t="shared" si="27"/>
        <v>2.0778660555452517</v>
      </c>
      <c r="U68" s="23">
        <f t="shared" si="27"/>
        <v>2.1778207823178537</v>
      </c>
    </row>
    <row r="69" spans="2:21" outlineLevel="1" x14ac:dyDescent="0.2">
      <c r="B69" s="63" t="s">
        <v>83</v>
      </c>
      <c r="C69" s="23"/>
      <c r="D69" s="23">
        <f t="shared" ref="D69:U69" si="28">-C57*(D24/100)*(1/(1+D33/100))</f>
        <v>-0.70755896558692444</v>
      </c>
      <c r="E69" s="23">
        <f t="shared" si="28"/>
        <v>-0.55001278605288473</v>
      </c>
      <c r="F69" s="23">
        <f t="shared" si="28"/>
        <v>-0.72987177892148902</v>
      </c>
      <c r="G69" s="23">
        <f t="shared" si="28"/>
        <v>-0.70485576927981131</v>
      </c>
      <c r="H69" s="23">
        <f t="shared" si="28"/>
        <v>-0.65675705179723654</v>
      </c>
      <c r="I69" s="23">
        <f t="shared" si="28"/>
        <v>-0.64791166328048688</v>
      </c>
      <c r="J69" s="23">
        <f t="shared" si="28"/>
        <v>-0.49879015092122414</v>
      </c>
      <c r="K69" s="23">
        <f t="shared" si="28"/>
        <v>-0.48804811749159099</v>
      </c>
      <c r="L69" s="23">
        <f t="shared" si="28"/>
        <v>-0.48580008491455484</v>
      </c>
      <c r="M69" s="23">
        <f t="shared" si="28"/>
        <v>-0.50221763188927138</v>
      </c>
      <c r="N69" s="23">
        <f t="shared" si="28"/>
        <v>-0.52754593842708775</v>
      </c>
      <c r="O69" s="23">
        <f t="shared" si="28"/>
        <v>-0.58059427561407806</v>
      </c>
      <c r="P69" s="23">
        <f t="shared" si="28"/>
        <v>-0.63822837315761438</v>
      </c>
      <c r="Q69" s="23">
        <f t="shared" si="28"/>
        <v>-0.70086635513344731</v>
      </c>
      <c r="R69" s="23">
        <f t="shared" si="28"/>
        <v>-0.81135003349046375</v>
      </c>
      <c r="S69" s="23">
        <f t="shared" si="28"/>
        <v>-0.92791565437876056</v>
      </c>
      <c r="T69" s="23">
        <f t="shared" si="28"/>
        <v>-0.98644458673608515</v>
      </c>
      <c r="U69" s="23">
        <f t="shared" si="28"/>
        <v>-1.0502129359656716</v>
      </c>
    </row>
    <row r="70" spans="2:21" outlineLevel="1" x14ac:dyDescent="0.2">
      <c r="B70" s="63" t="s">
        <v>84</v>
      </c>
      <c r="C70" s="23"/>
      <c r="D70" s="23">
        <f t="shared" ref="D70:U70" si="29">-C57*D42/100*(1/(1+D42/100))</f>
        <v>-1.337786977824317</v>
      </c>
      <c r="E70" s="23">
        <f t="shared" si="29"/>
        <v>-1.4269040787690661</v>
      </c>
      <c r="F70" s="23">
        <f t="shared" si="29"/>
        <v>-0.98581913280758426</v>
      </c>
      <c r="G70" s="23">
        <f t="shared" si="29"/>
        <v>-0.99966657812749471</v>
      </c>
      <c r="H70" s="23">
        <f t="shared" si="29"/>
        <v>-1.0117664203619066</v>
      </c>
      <c r="I70" s="23">
        <f t="shared" si="29"/>
        <v>-1.022565186738347</v>
      </c>
      <c r="J70" s="23">
        <f t="shared" si="29"/>
        <v>-1.0334274093753575</v>
      </c>
      <c r="K70" s="23">
        <f t="shared" si="29"/>
        <v>-1.0553776105313242</v>
      </c>
      <c r="L70" s="23">
        <f t="shared" si="29"/>
        <v>-1.0835849140884906</v>
      </c>
      <c r="M70" s="23">
        <f t="shared" si="29"/>
        <v>-1.1159306438177425</v>
      </c>
      <c r="N70" s="23">
        <f t="shared" si="29"/>
        <v>-1.1521802815887854</v>
      </c>
      <c r="O70" s="23">
        <f t="shared" si="29"/>
        <v>-1.1740384593708142</v>
      </c>
      <c r="P70" s="23">
        <f t="shared" si="29"/>
        <v>-1.2005946266164169</v>
      </c>
      <c r="Q70" s="23">
        <f t="shared" si="29"/>
        <v>-1.2316060765224284</v>
      </c>
      <c r="R70" s="23">
        <f t="shared" si="29"/>
        <v>-1.2624866523590188</v>
      </c>
      <c r="S70" s="23">
        <f t="shared" si="29"/>
        <v>-1.2942328310429125</v>
      </c>
      <c r="T70" s="23">
        <f t="shared" si="29"/>
        <v>-1.3266254781176243</v>
      </c>
      <c r="U70" s="23">
        <f t="shared" si="29"/>
        <v>-1.3630087842186367</v>
      </c>
    </row>
    <row r="71" spans="2:21" outlineLevel="1" x14ac:dyDescent="0.2">
      <c r="B71" s="63" t="s">
        <v>85</v>
      </c>
      <c r="C71" s="35"/>
      <c r="D71" s="35">
        <f>'Baseline NFPC'!D70</f>
        <v>-2.8636208515564476E-7</v>
      </c>
      <c r="E71" s="35">
        <f>'Baseline NFPC'!E70</f>
        <v>5.7763160654644707E-7</v>
      </c>
      <c r="F71" s="35">
        <f>'Baseline NFPC'!F70</f>
        <v>2.638493551421206E-7</v>
      </c>
      <c r="G71" s="35">
        <v>0</v>
      </c>
      <c r="H71" s="35">
        <v>0</v>
      </c>
      <c r="I71" s="35">
        <v>0</v>
      </c>
      <c r="J71" s="35">
        <v>0</v>
      </c>
      <c r="K71" s="35">
        <v>0</v>
      </c>
      <c r="L71" s="35">
        <v>0</v>
      </c>
      <c r="M71" s="35">
        <v>0</v>
      </c>
      <c r="N71" s="35">
        <v>0</v>
      </c>
      <c r="O71" s="35">
        <v>0</v>
      </c>
      <c r="P71" s="35">
        <v>0</v>
      </c>
      <c r="Q71" s="35">
        <v>0</v>
      </c>
      <c r="R71" s="35">
        <v>0</v>
      </c>
      <c r="S71" s="35">
        <v>0</v>
      </c>
      <c r="T71" s="35">
        <v>0</v>
      </c>
      <c r="U71" s="35">
        <v>0</v>
      </c>
    </row>
    <row r="72" spans="2:21" outlineLevel="1" x14ac:dyDescent="0.2">
      <c r="B72" s="64" t="s">
        <v>86</v>
      </c>
      <c r="C72" s="36"/>
      <c r="D72" s="36">
        <f>'Input data'!D16</f>
        <v>1.5799970000000001</v>
      </c>
      <c r="E72" s="36">
        <f>'Input data'!E16</f>
        <v>2.0146769999999998</v>
      </c>
      <c r="F72" s="36">
        <f>'Input data'!F16</f>
        <v>-2.0499999999999999E-6</v>
      </c>
      <c r="G72" s="36">
        <f>'Input data'!G16</f>
        <v>0</v>
      </c>
      <c r="H72" s="36">
        <f>'Input data'!H16</f>
        <v>0</v>
      </c>
      <c r="I72" s="36">
        <f>'Input data'!I16</f>
        <v>0</v>
      </c>
      <c r="J72" s="36">
        <f>'Input data'!J16</f>
        <v>0</v>
      </c>
      <c r="K72" s="36">
        <f>'Input data'!K16</f>
        <v>0</v>
      </c>
      <c r="L72" s="36">
        <f>'Input data'!L16</f>
        <v>0</v>
      </c>
      <c r="M72" s="36">
        <f>'Input data'!M16</f>
        <v>0</v>
      </c>
      <c r="N72" s="36">
        <f>'Input data'!N16</f>
        <v>0</v>
      </c>
      <c r="O72" s="36">
        <f>'Input data'!O16</f>
        <v>0</v>
      </c>
      <c r="P72" s="36">
        <f>'Input data'!P16</f>
        <v>0</v>
      </c>
      <c r="Q72" s="36">
        <f>'Input data'!Q16</f>
        <v>0</v>
      </c>
      <c r="R72" s="36">
        <f>'Input data'!R16</f>
        <v>0</v>
      </c>
      <c r="S72" s="36">
        <f>'Input data'!S16</f>
        <v>0</v>
      </c>
      <c r="T72" s="36">
        <f>'Input data'!T16</f>
        <v>0</v>
      </c>
      <c r="U72" s="36">
        <f>'Input data'!U16</f>
        <v>0</v>
      </c>
    </row>
    <row r="73" spans="2:21" outlineLevel="1" x14ac:dyDescent="0.2">
      <c r="B73" s="63" t="s">
        <v>87</v>
      </c>
      <c r="C73" s="23"/>
      <c r="D73" s="23">
        <f t="shared" ref="D73:U73" si="30">D15</f>
        <v>1.579996</v>
      </c>
      <c r="E73" s="23">
        <f t="shared" si="30"/>
        <v>2.014675</v>
      </c>
      <c r="F73" s="23">
        <f t="shared" si="30"/>
        <v>0</v>
      </c>
      <c r="G73" s="23">
        <f t="shared" si="30"/>
        <v>0</v>
      </c>
      <c r="H73" s="23">
        <f t="shared" si="30"/>
        <v>0</v>
      </c>
      <c r="I73" s="23">
        <f t="shared" si="30"/>
        <v>0</v>
      </c>
      <c r="J73" s="23">
        <f t="shared" si="30"/>
        <v>0</v>
      </c>
      <c r="K73" s="23">
        <f t="shared" si="30"/>
        <v>0</v>
      </c>
      <c r="L73" s="23">
        <f t="shared" si="30"/>
        <v>0</v>
      </c>
      <c r="M73" s="23">
        <f t="shared" si="30"/>
        <v>0</v>
      </c>
      <c r="N73" s="23">
        <f t="shared" si="30"/>
        <v>0</v>
      </c>
      <c r="O73" s="23">
        <f t="shared" si="30"/>
        <v>0</v>
      </c>
      <c r="P73" s="23">
        <f t="shared" si="30"/>
        <v>0</v>
      </c>
      <c r="Q73" s="23">
        <f t="shared" si="30"/>
        <v>0</v>
      </c>
      <c r="R73" s="23">
        <f t="shared" si="30"/>
        <v>0</v>
      </c>
      <c r="S73" s="23">
        <f t="shared" si="30"/>
        <v>0</v>
      </c>
      <c r="T73" s="23">
        <f t="shared" si="30"/>
        <v>0</v>
      </c>
      <c r="U73" s="23">
        <f t="shared" si="30"/>
        <v>0</v>
      </c>
    </row>
    <row r="74" spans="2:21" outlineLevel="1" x14ac:dyDescent="0.2">
      <c r="B74" s="69" t="s">
        <v>88</v>
      </c>
      <c r="C74" s="35"/>
      <c r="D74" s="35">
        <f t="shared" ref="D74:R74" si="31">+D72-D73</f>
        <v>1.000000000139778E-6</v>
      </c>
      <c r="E74" s="35">
        <f t="shared" si="31"/>
        <v>1.9999999998354667E-6</v>
      </c>
      <c r="F74" s="35">
        <f t="shared" si="31"/>
        <v>-2.0499999999999999E-6</v>
      </c>
      <c r="G74" s="35">
        <f t="shared" si="31"/>
        <v>0</v>
      </c>
      <c r="H74" s="35">
        <f t="shared" si="31"/>
        <v>0</v>
      </c>
      <c r="I74" s="35">
        <f t="shared" si="31"/>
        <v>0</v>
      </c>
      <c r="J74" s="35">
        <f t="shared" si="31"/>
        <v>0</v>
      </c>
      <c r="K74" s="35">
        <f t="shared" si="31"/>
        <v>0</v>
      </c>
      <c r="L74" s="35">
        <f t="shared" si="31"/>
        <v>0</v>
      </c>
      <c r="M74" s="35">
        <f t="shared" si="31"/>
        <v>0</v>
      </c>
      <c r="N74" s="35">
        <f t="shared" si="31"/>
        <v>0</v>
      </c>
      <c r="O74" s="35">
        <f t="shared" si="31"/>
        <v>0</v>
      </c>
      <c r="P74" s="35">
        <f t="shared" si="31"/>
        <v>0</v>
      </c>
      <c r="Q74" s="35">
        <f t="shared" si="31"/>
        <v>0</v>
      </c>
      <c r="R74" s="35">
        <f t="shared" si="31"/>
        <v>0</v>
      </c>
      <c r="S74" s="35">
        <f t="shared" ref="S74:U74" si="32">+S72-S73</f>
        <v>0</v>
      </c>
      <c r="T74" s="35">
        <f t="shared" si="32"/>
        <v>0</v>
      </c>
      <c r="U74" s="35">
        <f t="shared" si="32"/>
        <v>0</v>
      </c>
    </row>
    <row r="75" spans="2:21" ht="10.5" customHeight="1" outlineLevel="1" x14ac:dyDescent="0.2"/>
    <row r="76" spans="2:21" ht="10.5" customHeight="1" outlineLevel="1" x14ac:dyDescent="0.2">
      <c r="B76" s="70" t="s">
        <v>89</v>
      </c>
      <c r="G76" s="93"/>
    </row>
    <row r="77" spans="2:21" x14ac:dyDescent="0.2">
      <c r="B77" s="61" t="s">
        <v>19</v>
      </c>
      <c r="C77" s="62">
        <f>'Baseline NFPC'!C76</f>
        <v>-0.94488970000000005</v>
      </c>
      <c r="D77" s="62">
        <f>D59-D68-D71</f>
        <v>-1.8748091525852035</v>
      </c>
      <c r="E77" s="62">
        <f t="shared" ref="E77:U77" si="33">E59-E68-E71</f>
        <v>-2.6602742879216099</v>
      </c>
      <c r="F77" s="62">
        <f t="shared" si="33"/>
        <v>-1.8940193803137202</v>
      </c>
      <c r="G77" s="62">
        <f t="shared" si="33"/>
        <v>-1.7963389159861296</v>
      </c>
      <c r="H77" s="62">
        <f t="shared" si="33"/>
        <v>-1.6974466794921361</v>
      </c>
      <c r="I77" s="62">
        <f t="shared" si="33"/>
        <v>-1.7019935806106969</v>
      </c>
      <c r="J77" s="62">
        <f t="shared" si="33"/>
        <v>-2.0752804612210749</v>
      </c>
      <c r="K77" s="62">
        <f t="shared" si="33"/>
        <v>-2.3623065888178507</v>
      </c>
      <c r="L77" s="62">
        <f t="shared" si="33"/>
        <v>-2.5602216437301717</v>
      </c>
      <c r="M77" s="62">
        <f t="shared" si="33"/>
        <v>-2.7655434701884083</v>
      </c>
      <c r="N77" s="62">
        <f t="shared" si="33"/>
        <v>-2.9784144500823997</v>
      </c>
      <c r="O77" s="62">
        <f t="shared" si="33"/>
        <v>-3.2825083807234448</v>
      </c>
      <c r="P77" s="62">
        <f t="shared" si="33"/>
        <v>-3.5890114846692427</v>
      </c>
      <c r="Q77" s="62">
        <f t="shared" si="33"/>
        <v>-3.6982897322467703</v>
      </c>
      <c r="R77" s="62">
        <f t="shared" si="33"/>
        <v>-3.901668237714583</v>
      </c>
      <c r="S77" s="62">
        <f t="shared" si="33"/>
        <v>-4.102965863387487</v>
      </c>
      <c r="T77" s="62">
        <f t="shared" si="33"/>
        <v>-4.4044875404778017</v>
      </c>
      <c r="U77" s="62">
        <f t="shared" si="33"/>
        <v>-4.5101801879365775</v>
      </c>
    </row>
    <row r="78" spans="2:21" x14ac:dyDescent="0.2">
      <c r="B78" s="15" t="s">
        <v>20</v>
      </c>
      <c r="C78" s="23">
        <f>'Baseline NFPC'!C77</f>
        <v>-0.3200694</v>
      </c>
      <c r="D78" s="23">
        <f>D60-D68-D71-D64-D65-D66</f>
        <v>-1.2750274434112416</v>
      </c>
      <c r="E78" s="23">
        <f t="shared" ref="E78:U78" si="34">E60-E68-E71-E64-E65-E66</f>
        <v>-1.3057583648219497</v>
      </c>
      <c r="F78" s="23">
        <f t="shared" si="34"/>
        <v>-1.4003146946614518</v>
      </c>
      <c r="G78" s="23">
        <f t="shared" si="34"/>
        <v>-1.4672003353659955</v>
      </c>
      <c r="H78" s="23">
        <f t="shared" si="34"/>
        <v>-1.532878455264306</v>
      </c>
      <c r="I78" s="23">
        <f t="shared" si="34"/>
        <v>-1.7019929801705009</v>
      </c>
      <c r="J78" s="23">
        <f t="shared" si="34"/>
        <v>-2.0752786635804874</v>
      </c>
      <c r="K78" s="23">
        <f t="shared" si="34"/>
        <v>-2.3623047911772637</v>
      </c>
      <c r="L78" s="23">
        <f t="shared" si="34"/>
        <v>-2.5602204450251724</v>
      </c>
      <c r="M78" s="23">
        <f t="shared" si="34"/>
        <v>-2.7655410737789916</v>
      </c>
      <c r="N78" s="23">
        <f t="shared" si="34"/>
        <v>-2.9784156457780968</v>
      </c>
      <c r="O78" s="23">
        <f t="shared" si="34"/>
        <v>-3.282510772859951</v>
      </c>
      <c r="P78" s="23">
        <f t="shared" si="34"/>
        <v>-3.5890174633496064</v>
      </c>
      <c r="Q78" s="23">
        <f t="shared" si="34"/>
        <v>-3.698296308222111</v>
      </c>
      <c r="R78" s="23">
        <f t="shared" si="34"/>
        <v>-3.9016754100428632</v>
      </c>
      <c r="S78" s="23">
        <f t="shared" si="34"/>
        <v>-4.1029706540601376</v>
      </c>
      <c r="T78" s="23">
        <f t="shared" si="34"/>
        <v>-4.4044893555452544</v>
      </c>
      <c r="U78" s="23">
        <f t="shared" si="34"/>
        <v>-4.5101843823178571</v>
      </c>
    </row>
    <row r="79" spans="2:21" x14ac:dyDescent="0.2">
      <c r="B79" s="24" t="s">
        <v>90</v>
      </c>
      <c r="C79" s="233">
        <f>'Input data'!C45</f>
        <v>6.2115936893699919</v>
      </c>
      <c r="D79" s="233">
        <f>'Input data'!D45</f>
        <v>7.2645884583744351</v>
      </c>
      <c r="E79" s="35">
        <f>'Input data'!E33+E42-(E$12-D$12)/'Input data'!$C$64*100</f>
        <v>4.6891910000000001</v>
      </c>
      <c r="F79" s="35">
        <f>'Input data'!F33+F42-(F$12-E$12)/'Input data'!$C$64*100</f>
        <v>3.3961959999999998</v>
      </c>
      <c r="G79" s="35">
        <f>'Input data'!G33+G42-(G$12-F$12)/'Input data'!$C$64*100</f>
        <v>3.369138875</v>
      </c>
      <c r="H79" s="35">
        <f>'Input data'!H33+H42-(H$12-G$12)/'Input data'!$C$64*100</f>
        <v>3.28454975</v>
      </c>
      <c r="I79" s="35">
        <f>'Input data'!I33+I42-(I$12-H$12)/'Input data'!$C$64*100</f>
        <v>3.2875976250000001</v>
      </c>
      <c r="J79" s="35">
        <f>'Input data'!J33+J42-(J$12-I$12)/'Input data'!$C$64*100</f>
        <v>3.2607844999999998</v>
      </c>
      <c r="K79" s="35">
        <f>'Input data'!K33+K42-(K$12-J$12)/'Input data'!$C$64*100</f>
        <v>3.2480523749999999</v>
      </c>
      <c r="L79" s="35">
        <f>'Input data'!L33+L42-(L$12-K$12)/'Input data'!$C$64*100</f>
        <v>3.2483582499999999</v>
      </c>
      <c r="M79" s="35">
        <f>'Input data'!M33+M42-(M$12-L$12)/'Input data'!$C$64*100</f>
        <v>3.2845081249999994</v>
      </c>
      <c r="N79" s="35">
        <f>'Input data'!N33+N42-(N$12-M$12)/'Input data'!$C$64*100</f>
        <v>3.3349449999999998</v>
      </c>
      <c r="O79" s="35">
        <f>'Input data'!O33+O42-(O$12-N$12)/'Input data'!$C$64*100</f>
        <v>3.3992969999999998</v>
      </c>
      <c r="P79" s="35">
        <f>'Input data'!P33+P42-(P$12-O$12)/'Input data'!$C$64*100</f>
        <v>3.4636480000000001</v>
      </c>
      <c r="Q79" s="35">
        <f>'Input data'!Q33+Q42-(Q$12-P$12)/'Input data'!$C$64*100</f>
        <v>3.528</v>
      </c>
      <c r="R79" s="35">
        <f>'Input data'!R33+R42-(R$12-Q$12)/'Input data'!$C$64*100</f>
        <v>3.6739999999999995</v>
      </c>
      <c r="S79" s="35">
        <f>'Input data'!S33+S42-(S$12-R$12)/'Input data'!$C$64*100</f>
        <v>3.8200000000000003</v>
      </c>
      <c r="T79" s="35">
        <f>'Input data'!T33+T42-(T$12-S$12)/'Input data'!$C$64*100</f>
        <v>3.8559999999999999</v>
      </c>
      <c r="U79" s="35">
        <f>'Input data'!U33+U42-(U$12-T$12)/'Input data'!$C$64*100</f>
        <v>3.8919999999999999</v>
      </c>
    </row>
    <row r="80" spans="2:21" x14ac:dyDescent="0.2">
      <c r="C80" s="23"/>
      <c r="D80" s="332"/>
      <c r="E80" s="332"/>
      <c r="F80" s="332"/>
      <c r="G80" s="332"/>
      <c r="H80" s="332"/>
      <c r="I80" s="332"/>
      <c r="J80" s="332"/>
      <c r="K80" s="332"/>
      <c r="L80" s="23"/>
      <c r="M80" s="23"/>
      <c r="N80" s="23"/>
      <c r="O80" s="23"/>
      <c r="P80" s="23"/>
      <c r="Q80" s="23"/>
      <c r="R80" s="23"/>
      <c r="S80" s="23"/>
      <c r="T80" s="23"/>
      <c r="U80" s="23"/>
    </row>
    <row r="81" spans="2:21" x14ac:dyDescent="0.2">
      <c r="B81" s="89" t="s">
        <v>110</v>
      </c>
      <c r="C81" s="23"/>
      <c r="D81" s="23"/>
      <c r="E81" s="296"/>
      <c r="F81" s="296"/>
      <c r="G81" s="296"/>
      <c r="H81" s="296"/>
      <c r="I81" s="296"/>
      <c r="J81" s="296"/>
      <c r="K81" s="296"/>
      <c r="L81" s="296"/>
      <c r="M81" s="296"/>
      <c r="N81" s="296"/>
      <c r="O81" s="296"/>
      <c r="P81" s="296"/>
      <c r="Q81" s="296"/>
      <c r="R81" s="296"/>
      <c r="S81" s="23"/>
      <c r="T81" s="23"/>
      <c r="U81" s="23"/>
    </row>
    <row r="82" spans="2:21" x14ac:dyDescent="0.2">
      <c r="B82" s="61"/>
      <c r="C82" s="23"/>
      <c r="D82" s="23"/>
      <c r="E82" s="23"/>
      <c r="F82" s="23"/>
      <c r="G82" s="23"/>
      <c r="H82" s="23"/>
      <c r="I82" s="23"/>
      <c r="J82" s="23"/>
      <c r="K82" s="23"/>
      <c r="L82" s="23"/>
      <c r="M82" s="23"/>
      <c r="N82" s="23"/>
      <c r="O82" s="23"/>
      <c r="P82" s="23"/>
      <c r="Q82" s="23"/>
      <c r="R82" s="23"/>
      <c r="S82" s="23"/>
      <c r="T82" s="23"/>
      <c r="U82" s="23"/>
    </row>
    <row r="83" spans="2:21" s="71" customFormat="1" ht="12.75" outlineLevel="1" x14ac:dyDescent="0.2">
      <c r="B83" s="72" t="s">
        <v>91</v>
      </c>
      <c r="C83" s="74"/>
      <c r="D83" s="73"/>
    </row>
    <row r="84" spans="2:21" x14ac:dyDescent="0.2">
      <c r="C84" s="23"/>
      <c r="D84" s="23"/>
      <c r="E84" s="23"/>
      <c r="F84" s="23"/>
      <c r="G84" s="23"/>
      <c r="H84" s="23"/>
      <c r="I84" s="23"/>
      <c r="J84" s="23"/>
      <c r="K84" s="23"/>
      <c r="L84" s="23"/>
      <c r="M84" s="23"/>
      <c r="N84" s="23"/>
      <c r="O84" s="23"/>
      <c r="P84" s="23"/>
      <c r="Q84" s="23"/>
      <c r="R84" s="23"/>
      <c r="S84" s="23"/>
      <c r="T84" s="23"/>
      <c r="U84" s="23"/>
    </row>
    <row r="85" spans="2:21" x14ac:dyDescent="0.2">
      <c r="B85" s="15" t="s">
        <v>92</v>
      </c>
      <c r="C85" s="18"/>
      <c r="D85" s="18">
        <f t="shared" ref="D85:U85" si="35">IF((D90-C90*D43/((1+D24/100)*(1+D42/100)))&gt;0,1,0)</f>
        <v>1</v>
      </c>
      <c r="E85" s="18">
        <f t="shared" si="35"/>
        <v>1</v>
      </c>
      <c r="F85" s="18">
        <f t="shared" si="35"/>
        <v>1</v>
      </c>
      <c r="G85" s="18">
        <f t="shared" si="35"/>
        <v>1</v>
      </c>
      <c r="H85" s="18">
        <f t="shared" si="35"/>
        <v>1</v>
      </c>
      <c r="I85" s="18">
        <f t="shared" si="35"/>
        <v>1</v>
      </c>
      <c r="J85" s="18">
        <f t="shared" si="35"/>
        <v>1</v>
      </c>
      <c r="K85" s="18">
        <f t="shared" si="35"/>
        <v>1</v>
      </c>
      <c r="L85" s="18">
        <f t="shared" si="35"/>
        <v>1</v>
      </c>
      <c r="M85" s="18">
        <f t="shared" si="35"/>
        <v>1</v>
      </c>
      <c r="N85" s="18">
        <f t="shared" si="35"/>
        <v>1</v>
      </c>
      <c r="O85" s="18">
        <f t="shared" si="35"/>
        <v>1</v>
      </c>
      <c r="P85" s="18">
        <f t="shared" si="35"/>
        <v>1</v>
      </c>
      <c r="Q85" s="18">
        <f t="shared" si="35"/>
        <v>1</v>
      </c>
      <c r="R85" s="18">
        <f t="shared" si="35"/>
        <v>1</v>
      </c>
      <c r="S85" s="18">
        <f t="shared" si="35"/>
        <v>1</v>
      </c>
      <c r="T85" s="18">
        <f t="shared" si="35"/>
        <v>1</v>
      </c>
      <c r="U85" s="18">
        <f t="shared" si="35"/>
        <v>1</v>
      </c>
    </row>
    <row r="86" spans="2:21" x14ac:dyDescent="0.2">
      <c r="B86" s="15" t="s">
        <v>93</v>
      </c>
      <c r="C86" s="18"/>
      <c r="D86" s="18">
        <f t="shared" ref="D86:U86" si="36">IF(AND(D85=0,ABS(D90-C90*D43/((1+D24/100)*(1+D42/100)))&lt;((C96*C90*D43/((1+D24/100)*(1+D42/100))+(D39*C90*C97*D43/((1+D24/100)*(1+D42/100)))))),1,0)</f>
        <v>0</v>
      </c>
      <c r="E86" s="18">
        <f t="shared" si="36"/>
        <v>0</v>
      </c>
      <c r="F86" s="18">
        <f t="shared" si="36"/>
        <v>0</v>
      </c>
      <c r="G86" s="18">
        <f t="shared" si="36"/>
        <v>0</v>
      </c>
      <c r="H86" s="18">
        <f t="shared" si="36"/>
        <v>0</v>
      </c>
      <c r="I86" s="18">
        <f t="shared" si="36"/>
        <v>0</v>
      </c>
      <c r="J86" s="18">
        <f t="shared" si="36"/>
        <v>0</v>
      </c>
      <c r="K86" s="18">
        <f t="shared" si="36"/>
        <v>0</v>
      </c>
      <c r="L86" s="18">
        <f t="shared" si="36"/>
        <v>0</v>
      </c>
      <c r="M86" s="18">
        <f t="shared" si="36"/>
        <v>0</v>
      </c>
      <c r="N86" s="18">
        <f t="shared" si="36"/>
        <v>0</v>
      </c>
      <c r="O86" s="18">
        <f t="shared" si="36"/>
        <v>0</v>
      </c>
      <c r="P86" s="18">
        <f t="shared" si="36"/>
        <v>0</v>
      </c>
      <c r="Q86" s="18">
        <f t="shared" si="36"/>
        <v>0</v>
      </c>
      <c r="R86" s="18">
        <f t="shared" si="36"/>
        <v>0</v>
      </c>
      <c r="S86" s="18">
        <f t="shared" si="36"/>
        <v>0</v>
      </c>
      <c r="T86" s="18">
        <f t="shared" si="36"/>
        <v>0</v>
      </c>
      <c r="U86" s="18">
        <f t="shared" si="36"/>
        <v>0</v>
      </c>
    </row>
    <row r="88" spans="2:21" x14ac:dyDescent="0.2">
      <c r="F88" s="27"/>
      <c r="G88" s="27"/>
      <c r="H88" s="27"/>
      <c r="I88" s="27"/>
      <c r="J88" s="27"/>
      <c r="K88" s="27"/>
      <c r="L88" s="27"/>
      <c r="M88" s="27"/>
      <c r="N88" s="27"/>
      <c r="O88" s="27"/>
      <c r="P88" s="27"/>
      <c r="Q88" s="27"/>
      <c r="R88" s="27"/>
    </row>
    <row r="89" spans="2:21" x14ac:dyDescent="0.2">
      <c r="B89" s="37"/>
      <c r="C89" s="66">
        <f>'Input data'!$C$5-1</f>
        <v>2024</v>
      </c>
      <c r="D89" s="66">
        <f>C89+1</f>
        <v>2025</v>
      </c>
      <c r="E89" s="66">
        <f t="shared" ref="E89:U89" si="37">D89+1</f>
        <v>2026</v>
      </c>
      <c r="F89" s="66">
        <f t="shared" si="37"/>
        <v>2027</v>
      </c>
      <c r="G89" s="66">
        <f t="shared" si="37"/>
        <v>2028</v>
      </c>
      <c r="H89" s="66">
        <f t="shared" si="37"/>
        <v>2029</v>
      </c>
      <c r="I89" s="66">
        <f t="shared" si="37"/>
        <v>2030</v>
      </c>
      <c r="J89" s="66">
        <f t="shared" si="37"/>
        <v>2031</v>
      </c>
      <c r="K89" s="66">
        <f t="shared" si="37"/>
        <v>2032</v>
      </c>
      <c r="L89" s="66">
        <f t="shared" si="37"/>
        <v>2033</v>
      </c>
      <c r="M89" s="66">
        <f t="shared" si="37"/>
        <v>2034</v>
      </c>
      <c r="N89" s="66">
        <f t="shared" si="37"/>
        <v>2035</v>
      </c>
      <c r="O89" s="66">
        <f t="shared" si="37"/>
        <v>2036</v>
      </c>
      <c r="P89" s="66">
        <f t="shared" si="37"/>
        <v>2037</v>
      </c>
      <c r="Q89" s="66">
        <f t="shared" si="37"/>
        <v>2038</v>
      </c>
      <c r="R89" s="66">
        <f t="shared" si="37"/>
        <v>2039</v>
      </c>
      <c r="S89" s="66">
        <f t="shared" si="37"/>
        <v>2040</v>
      </c>
      <c r="T89" s="66">
        <f t="shared" si="37"/>
        <v>2041</v>
      </c>
      <c r="U89" s="66">
        <f t="shared" si="37"/>
        <v>2042</v>
      </c>
    </row>
    <row r="90" spans="2:21" x14ac:dyDescent="0.2">
      <c r="B90" s="83" t="s">
        <v>71</v>
      </c>
      <c r="C90" s="87">
        <f>C57</f>
        <v>43.748150000000003</v>
      </c>
      <c r="D90" s="87">
        <f>D57</f>
        <v>45.157610209173967</v>
      </c>
      <c r="E90" s="87">
        <f t="shared" ref="E90:U90" si="38">D90*(1+E104/100)*E43-E60-E61+E62+E63+E64+E65+E66+E73</f>
        <v>47.855642054642026</v>
      </c>
      <c r="F90" s="87">
        <f t="shared" si="38"/>
        <v>48.033965608153046</v>
      </c>
      <c r="G90" s="87">
        <f t="shared" si="38"/>
        <v>48.12578226681989</v>
      </c>
      <c r="H90" s="87">
        <f t="shared" si="38"/>
        <v>48.154705551272073</v>
      </c>
      <c r="I90" s="87">
        <f t="shared" si="38"/>
        <v>48.18622235109752</v>
      </c>
      <c r="J90" s="87">
        <f t="shared" si="38"/>
        <v>48.729285298066223</v>
      </c>
      <c r="K90" s="87">
        <f t="shared" si="38"/>
        <v>49.548166196568637</v>
      </c>
      <c r="L90" s="87">
        <f t="shared" si="38"/>
        <v>50.539002871263342</v>
      </c>
      <c r="M90" s="87">
        <f t="shared" si="38"/>
        <v>51.686398089832345</v>
      </c>
      <c r="N90" s="87">
        <f t="shared" si="38"/>
        <v>52.985086338873032</v>
      </c>
      <c r="O90" s="87">
        <f t="shared" si="38"/>
        <v>54.512962000816763</v>
      </c>
      <c r="P90" s="87">
        <f t="shared" si="38"/>
        <v>56.263150499881888</v>
      </c>
      <c r="Q90" s="87">
        <f t="shared" si="38"/>
        <v>58.028967813281085</v>
      </c>
      <c r="R90" s="87">
        <f t="shared" si="38"/>
        <v>59.856799381305358</v>
      </c>
      <c r="S90" s="87">
        <f t="shared" si="38"/>
        <v>61.737616779284551</v>
      </c>
      <c r="T90" s="87">
        <f t="shared" si="38"/>
        <v>63.829034273843504</v>
      </c>
      <c r="U90" s="87">
        <f t="shared" si="38"/>
        <v>65.925992759855731</v>
      </c>
    </row>
    <row r="91" spans="2:21" x14ac:dyDescent="0.2">
      <c r="B91" s="15" t="s">
        <v>94</v>
      </c>
      <c r="C91" s="23"/>
      <c r="D91" s="177">
        <f>'Input data'!$C$66*D$90</f>
        <v>37.015023638577119</v>
      </c>
      <c r="E91" s="23">
        <f t="shared" ref="E91:U91" si="39">IF(E90=0,0,IF(E85=1,D90*E43/((1+E24/100)*(1+E42/100))-E92-E93,IF(AND(E85=0,E86=1),(1-D96-E39*D97)*D90*E43/((1+E24/100)*(1+E42/100)),E90)))</f>
        <v>37.30308223564554</v>
      </c>
      <c r="F91" s="23">
        <f t="shared" si="39"/>
        <v>39.670909479319825</v>
      </c>
      <c r="G91" s="23">
        <f t="shared" si="39"/>
        <v>39.67445299911936</v>
      </c>
      <c r="H91" s="23">
        <f t="shared" si="39"/>
        <v>39.62574686766088</v>
      </c>
      <c r="I91" s="23">
        <f t="shared" si="39"/>
        <v>39.492007981835002</v>
      </c>
      <c r="J91" s="23">
        <f t="shared" si="39"/>
        <v>39.479498447501143</v>
      </c>
      <c r="K91" s="23">
        <f t="shared" si="39"/>
        <v>39.76890365729691</v>
      </c>
      <c r="L91" s="23">
        <f t="shared" si="39"/>
        <v>40.272792239851228</v>
      </c>
      <c r="M91" s="23">
        <f t="shared" si="39"/>
        <v>40.895852614172583</v>
      </c>
      <c r="N91" s="23">
        <f t="shared" si="39"/>
        <v>41.632209110485334</v>
      </c>
      <c r="O91" s="23">
        <f t="shared" si="39"/>
        <v>42.632627154107276</v>
      </c>
      <c r="P91" s="23">
        <f t="shared" si="39"/>
        <v>43.814875834017066</v>
      </c>
      <c r="Q91" s="23">
        <f t="shared" si="39"/>
        <v>45.17313876540647</v>
      </c>
      <c r="R91" s="23">
        <f t="shared" si="39"/>
        <v>46.504845437579746</v>
      </c>
      <c r="S91" s="23">
        <f t="shared" si="39"/>
        <v>47.882027498728952</v>
      </c>
      <c r="T91" s="23">
        <f t="shared" si="39"/>
        <v>49.350687194795164</v>
      </c>
      <c r="U91" s="23">
        <f t="shared" si="39"/>
        <v>50.985994065640334</v>
      </c>
    </row>
    <row r="92" spans="2:21" x14ac:dyDescent="0.2">
      <c r="B92" s="82" t="s">
        <v>95</v>
      </c>
      <c r="C92" s="23"/>
      <c r="D92" s="177">
        <f>'Input data'!$C$67*D$90</f>
        <v>3.5884993103512319</v>
      </c>
      <c r="E92" s="23">
        <f t="shared" ref="E92:U92" si="40">IF(E90=0,0,IF(E85=1,E39*D90*D97*E43/((1+E24/100)*(1+E42/100)),IF(AND(E85=0,E86=1),(E39*D90*D97*E43/((1+E24/100)*(1+E42/100)))*(1-ABS(E90-D90*E43/((1+E24/100)*(1+E42/100)))/((E39*D90*D97*E43/((1+E24/100)*(1+E42/100)))+(D96*D90*E43/((1+E24/100)*(1+E42/100))))),0)))</f>
        <v>2.2949334919658271</v>
      </c>
      <c r="F92" s="23">
        <f t="shared" si="40"/>
        <v>2.5911314173359576</v>
      </c>
      <c r="G92" s="23">
        <f t="shared" si="40"/>
        <v>2.742982522501987</v>
      </c>
      <c r="H92" s="23">
        <f t="shared" si="40"/>
        <v>2.8921390202263879</v>
      </c>
      <c r="I92" s="23">
        <f t="shared" si="40"/>
        <v>3.035485517810192</v>
      </c>
      <c r="J92" s="23">
        <f t="shared" si="40"/>
        <v>3.1886931881849239</v>
      </c>
      <c r="K92" s="23">
        <f t="shared" si="40"/>
        <v>3.3684977259599238</v>
      </c>
      <c r="L92" s="23">
        <f t="shared" si="40"/>
        <v>3.5707470835050517</v>
      </c>
      <c r="M92" s="23">
        <f t="shared" si="40"/>
        <v>3.7892160183701251</v>
      </c>
      <c r="N92" s="23">
        <f t="shared" si="40"/>
        <v>4.0248310892392336</v>
      </c>
      <c r="O92" s="23">
        <f t="shared" si="40"/>
        <v>4.1215473992846539</v>
      </c>
      <c r="P92" s="23">
        <f t="shared" si="40"/>
        <v>4.235842348886897</v>
      </c>
      <c r="Q92" s="23">
        <f t="shared" si="40"/>
        <v>4.3671536338371943</v>
      </c>
      <c r="R92" s="23">
        <f t="shared" si="40"/>
        <v>4.4958975686518468</v>
      </c>
      <c r="S92" s="23">
        <f t="shared" si="40"/>
        <v>4.6290378774100462</v>
      </c>
      <c r="T92" s="23">
        <f t="shared" si="40"/>
        <v>4.7710218684241363</v>
      </c>
      <c r="U92" s="23">
        <f t="shared" si="40"/>
        <v>4.9291166242598647</v>
      </c>
    </row>
    <row r="93" spans="2:21" x14ac:dyDescent="0.2">
      <c r="B93" s="82" t="s">
        <v>96</v>
      </c>
      <c r="C93" s="23"/>
      <c r="D93" s="177">
        <f>'Input data'!$C$68*D$90</f>
        <v>3.6736521009082228</v>
      </c>
      <c r="E93" s="23">
        <f t="shared" ref="E93:U93" si="41">IF(E90=0,0,IF(E85=1,(1-D97)*D90*E43/((1+E24/100)*(1+E42/100)),IF(AND(E85=0,E86=1),(D96*D90*E43/((1+E24/100)*(1+E42/100)))*(1-ABS(E90-D90*E43/((1+E24/100)*(1+E42/100)))/((E39*D90*D97*E43/((1+E24/100)*(1+E42/100)))+(D96*D90*E43/((1+E24/100)*(1+E42/100))))),0)))</f>
        <v>3.5826776167406504</v>
      </c>
      <c r="F93" s="23">
        <f t="shared" si="41"/>
        <v>3.8779057246737025</v>
      </c>
      <c r="G93" s="23">
        <f t="shared" si="41"/>
        <v>3.9120079322629686</v>
      </c>
      <c r="H93" s="23">
        <f t="shared" si="41"/>
        <v>3.9393730923489869</v>
      </c>
      <c r="I93" s="23">
        <f t="shared" si="41"/>
        <v>3.9567353846139603</v>
      </c>
      <c r="J93" s="23">
        <f t="shared" si="41"/>
        <v>3.9858133206627948</v>
      </c>
      <c r="K93" s="23">
        <f t="shared" si="41"/>
        <v>4.048458350228552</v>
      </c>
      <c r="L93" s="23">
        <f t="shared" si="41"/>
        <v>4.1352420364593874</v>
      </c>
      <c r="M93" s="23">
        <f t="shared" si="41"/>
        <v>4.2357861260657534</v>
      </c>
      <c r="N93" s="23">
        <f t="shared" si="41"/>
        <v>4.3496318348087426</v>
      </c>
      <c r="O93" s="23">
        <f t="shared" si="41"/>
        <v>4.4762792177128565</v>
      </c>
      <c r="P93" s="23">
        <f t="shared" si="41"/>
        <v>4.6234209879205279</v>
      </c>
      <c r="Q93" s="23">
        <f t="shared" si="41"/>
        <v>4.790385841373813</v>
      </c>
      <c r="R93" s="23">
        <f t="shared" si="41"/>
        <v>4.954388300114922</v>
      </c>
      <c r="S93" s="23">
        <f t="shared" si="41"/>
        <v>5.1235857050007043</v>
      </c>
      <c r="T93" s="23">
        <f t="shared" si="41"/>
        <v>5.3028378374230059</v>
      </c>
      <c r="U93" s="23">
        <f t="shared" si="41"/>
        <v>5.5007020509516362</v>
      </c>
    </row>
    <row r="94" spans="2:21" x14ac:dyDescent="0.2">
      <c r="B94" s="82" t="s">
        <v>97</v>
      </c>
      <c r="C94" s="23"/>
      <c r="D94" s="177">
        <f>'Input data'!$C$69*D$90</f>
        <v>0.80738171377187484</v>
      </c>
      <c r="E94" s="23">
        <f>IF(E90=0,0,IF(E85=1,'Input data'!$C$58*(E90-D90*E43/((1+E24/100)*(1+E42/100))),0))</f>
        <v>4.2355222313175842</v>
      </c>
      <c r="F94" s="23">
        <f>IF(F90=0,0,IF(F85=1,'Input data'!$C$58*(F90-E90*F43/((1+F24/100)*(1+F42/100))),0))</f>
        <v>1.7159887781380934</v>
      </c>
      <c r="G94" s="23">
        <f>IF(G90=0,0,IF(G85=1,'Input data'!$C$58*(G90-F90*G43/((1+G24/100)*(1+G42/100))),0))</f>
        <v>1.6274901498748815</v>
      </c>
      <c r="H94" s="23">
        <f>IF(H90=0,0,IF(H85=1,'Input data'!$C$58*(H90-G90*H43/((1+H24/100)*(1+H42/100))),0))</f>
        <v>1.5378933831447361</v>
      </c>
      <c r="I94" s="23">
        <f>IF(I90=0,0,IF(I85=1,'Input data'!$C$58*(I90-H90*I43/((1+I24/100)*(1+I42/100))),0))</f>
        <v>1.5420128889294278</v>
      </c>
      <c r="J94" s="23">
        <f>IF(J90=0,0,IF(J85=1,'Input data'!$C$58*(J90-I90*J43/((1+J24/100)*(1+J42/100))),0))</f>
        <v>1.8802122907173011</v>
      </c>
      <c r="K94" s="23">
        <f>IF(K90=0,0,IF(K85=1,'Input data'!$C$58*(K90-J90*K43/((1+K24/100)*(1+K42/100))),0))</f>
        <v>2.1402591047792772</v>
      </c>
      <c r="L94" s="23">
        <f>IF(L90=0,0,IF(L85=1,'Input data'!$C$58*(L90-K90*L43/((1+L24/100)*(1+L42/100))),0))</f>
        <v>2.3195709302576368</v>
      </c>
      <c r="M94" s="23">
        <f>IF(M90=0,0,IF(M85=1,'Input data'!$C$58*(M90-L90*M43/((1+M24/100)*(1+M42/100))),0))</f>
        <v>2.5055933202621614</v>
      </c>
      <c r="N94" s="23">
        <f>IF(N90=0,0,IF(N85=1,'Input data'!$C$58*(N90-M90*N43/((1+N24/100)*(1+N42/100))),0))</f>
        <v>2.6984552733890057</v>
      </c>
      <c r="O94" s="23">
        <f>IF(O90=0,0,IF(O85=1,'Input data'!$C$58*(O90-N90*O43/((1+O24/100)*(1+O42/100))),0))</f>
        <v>2.973965586151972</v>
      </c>
      <c r="P94" s="23">
        <f>IF(P90=0,0,IF(P85=1,'Input data'!$C$58*(P90-O90*P43/((1+P24/100)*(1+P42/100))),0))</f>
        <v>3.25165862017132</v>
      </c>
      <c r="Q94" s="23">
        <f>IF(Q90=0,0,IF(Q85=1,'Input data'!$C$58*(Q90-P90*Q43/((1+Q24/100)*(1+Q42/100))),0))</f>
        <v>3.3506651459915164</v>
      </c>
      <c r="R94" s="23">
        <f>IF(R90=0,0,IF(R85=1,'Input data'!$C$58*(R90-Q90*R43/((1+R24/100)*(1+R42/100))),0))</f>
        <v>3.5349268825850104</v>
      </c>
      <c r="S94" s="23">
        <f>IF(S90=0,0,IF(S85=1,'Input data'!$C$58*(S90-R90*S43/((1+S24/100)*(1+S42/100))),0))</f>
        <v>3.7173033343820201</v>
      </c>
      <c r="T94" s="23">
        <f>IF(T90=0,0,IF(T85=1,'Input data'!$C$58*(T90-S90*T43/((1+T24/100)*(1+T42/100))),0))</f>
        <v>3.9904831780697796</v>
      </c>
      <c r="U94" s="23">
        <f>IF(U90=0,0,IF(U85=1,'Input data'!$C$58*(U90-T90*U43/((1+U24/100)*(1+U42/100))),0))</f>
        <v>4.0862411379376073</v>
      </c>
    </row>
    <row r="95" spans="2:21" x14ac:dyDescent="0.2">
      <c r="B95" s="84" t="s">
        <v>98</v>
      </c>
      <c r="C95" s="35"/>
      <c r="D95" s="178">
        <f>'Input data'!$C$70*D$90</f>
        <v>7.3048800586333146E-2</v>
      </c>
      <c r="E95" s="35">
        <f>IF(E90=0,0,IF(E85=1,'Input data'!$C$57*(E90-D90*E43/((1+E24/100)*(1+E42/100))),0))</f>
        <v>0.43942647897241915</v>
      </c>
      <c r="F95" s="35">
        <f>IF(F90=0,0,IF(F85=1,'Input data'!$C$57*(F90-E90*F43/((1+F24/100)*(1+F42/100))),0))</f>
        <v>0.1780302086854674</v>
      </c>
      <c r="G95" s="35">
        <f>IF(G90=0,0,IF(G85=1,'Input data'!$C$57*(G90-F90*G43/((1+G24/100)*(1+G42/100))),0))</f>
        <v>0.16884866306069216</v>
      </c>
      <c r="H95" s="35">
        <f>IF(H90=0,0,IF(H85=1,'Input data'!$C$57*(H90-G90*H43/((1+H24/100)*(1+H42/100))),0))</f>
        <v>0.15955318789108283</v>
      </c>
      <c r="I95" s="35">
        <f>IF(I90=0,0,IF(I85=1,'Input data'!$C$57*(I90-H90*I43/((1+I24/100)*(1+I42/100))),0))</f>
        <v>0.15998057790893913</v>
      </c>
      <c r="J95" s="35">
        <f>IF(J90=0,0,IF(J85=1,'Input data'!$C$57*(J90-I90*J43/((1+J24/100)*(1+J42/100))),0))</f>
        <v>0.19506805100006558</v>
      </c>
      <c r="K95" s="35">
        <f>IF(K90=0,0,IF(K85=1,'Input data'!$C$57*(K90-J90*K43/((1+K24/100)*(1+K42/100))),0))</f>
        <v>0.22204735830397318</v>
      </c>
      <c r="L95" s="35">
        <f>IF(L90=0,0,IF(L85=1,'Input data'!$C$57*(L90-K90*L43/((1+L24/100)*(1+L42/100))),0))</f>
        <v>0.24065058119003538</v>
      </c>
      <c r="M95" s="35">
        <f>IF(M90=0,0,IF(M85=1,'Input data'!$C$57*(M90-L90*M43/((1+M24/100)*(1+M42/100))),0))</f>
        <v>0.25995001096171994</v>
      </c>
      <c r="N95" s="35">
        <f>IF(N90=0,0,IF(N85=1,'Input data'!$C$57*(N90-M90*N43/((1+N24/100)*(1+N42/100))),0))</f>
        <v>0.2799590309507165</v>
      </c>
      <c r="O95" s="35">
        <f>IF(O90=0,0,IF(O85=1,'Input data'!$C$57*(O90-N90*O43/((1+O24/100)*(1+O42/100))),0))</f>
        <v>0.30854264356000716</v>
      </c>
      <c r="P95" s="35">
        <f>IF(P90=0,0,IF(P85=1,'Input data'!$C$57*(P90-O90*P43/((1+P24/100)*(1+P42/100))),0))</f>
        <v>0.33735270888607927</v>
      </c>
      <c r="Q95" s="35">
        <f>IF(Q90=0,0,IF(Q85=1,'Input data'!$C$57*(Q90-P90*Q43/((1+Q24/100)*(1+Q42/100))),0))</f>
        <v>0.34762442667208815</v>
      </c>
      <c r="R95" s="35">
        <f>IF(R90=0,0,IF(R85=1,'Input data'!$C$57*(R90-Q90*R43/((1+R24/100)*(1+R42/100))),0))</f>
        <v>0.36674119237383129</v>
      </c>
      <c r="S95" s="35">
        <f>IF(S90=0,0,IF(S85=1,'Input data'!$C$57*(S90-R90*S43/((1+S24/100)*(1+S42/100))),0))</f>
        <v>0.38566236376282259</v>
      </c>
      <c r="T95" s="35">
        <f>IF(T90=0,0,IF(T85=1,'Input data'!$C$57*(T90-S90*T43/((1+T24/100)*(1+T42/100))),0))</f>
        <v>0.41400419513141989</v>
      </c>
      <c r="U95" s="35">
        <f>IF(U90=0,0,IF(U85=1,'Input data'!$C$57*(U90-T90*U43/((1+U24/100)*(1+U42/100))),0))</f>
        <v>0.4239388810662903</v>
      </c>
    </row>
    <row r="96" spans="2:21" x14ac:dyDescent="0.2">
      <c r="B96" s="15" t="s">
        <v>49</v>
      </c>
      <c r="C96" s="25"/>
      <c r="D96" s="25">
        <f t="shared" ref="D96:E96" si="42">IF(D90&lt;&gt;0,(D93+D95)/(D91+D92+D93+D94+D95),0)</f>
        <v>8.2969432384282449E-2</v>
      </c>
      <c r="E96" s="25">
        <f t="shared" si="42"/>
        <v>8.4046601884906147E-2</v>
      </c>
      <c r="F96" s="25">
        <f t="shared" ref="F96:U96" si="43">IF(F90&lt;&gt;0,(F93+F95)/(F91+F92+F93+F94+F95),0)</f>
        <v>8.4438914880488977E-2</v>
      </c>
      <c r="G96" s="25">
        <f t="shared" si="43"/>
        <v>8.4795641818318848E-2</v>
      </c>
      <c r="H96" s="25">
        <f t="shared" si="43"/>
        <v>8.5119953145093852E-2</v>
      </c>
      <c r="I96" s="25">
        <f t="shared" si="43"/>
        <v>8.5433465452581486E-2</v>
      </c>
      <c r="J96" s="25">
        <f t="shared" si="43"/>
        <v>8.5798126241526787E-2</v>
      </c>
      <c r="K96" s="25">
        <f t="shared" si="43"/>
        <v>8.6188976027699496E-2</v>
      </c>
      <c r="L96" s="25">
        <f t="shared" si="43"/>
        <v>8.6584466828441731E-2</v>
      </c>
      <c r="M96" s="25">
        <f t="shared" si="43"/>
        <v>8.698102988747182E-2</v>
      </c>
      <c r="N96" s="25">
        <f t="shared" si="43"/>
        <v>8.737535758930931E-2</v>
      </c>
      <c r="O96" s="25">
        <f t="shared" si="43"/>
        <v>8.7774020813640122E-2</v>
      </c>
      <c r="P96" s="25">
        <f t="shared" si="43"/>
        <v>8.8170919202560843E-2</v>
      </c>
      <c r="Q96" s="25">
        <f t="shared" si="43"/>
        <v>8.8542161986723558E-2</v>
      </c>
      <c r="R96" s="25">
        <f t="shared" si="43"/>
        <v>8.8897661543705306E-2</v>
      </c>
      <c r="S96" s="25">
        <f>IF(S90&lt;&gt;0,(S93+S95)/(S91+S92+S93+S94+S95),0)</f>
        <v>8.9236487512295751E-2</v>
      </c>
      <c r="T96" s="25">
        <f t="shared" si="43"/>
        <v>8.9564915051474153E-2</v>
      </c>
      <c r="U96" s="23">
        <f t="shared" si="43"/>
        <v>8.9868057862992304E-2</v>
      </c>
    </row>
    <row r="97" spans="2:23" x14ac:dyDescent="0.2">
      <c r="B97" s="24" t="s">
        <v>50</v>
      </c>
      <c r="C97" s="85"/>
      <c r="D97" s="85">
        <f t="shared" ref="D97:E97" si="44">IF(D90&lt;&gt;0,(D91+D92+D94)/(D91+D92+D93+D94+D95),1)</f>
        <v>0.91703056761571755</v>
      </c>
      <c r="E97" s="85">
        <f t="shared" si="44"/>
        <v>0.9159533981150938</v>
      </c>
      <c r="F97" s="85">
        <f t="shared" ref="F97:U97" si="45">IF(F90&lt;&gt;0,(F91+F92+F94)/(F91+F92+F93+F94+F95),1)</f>
        <v>0.91556108511951095</v>
      </c>
      <c r="G97" s="85">
        <f t="shared" si="45"/>
        <v>0.91520435818168122</v>
      </c>
      <c r="H97" s="85">
        <f t="shared" si="45"/>
        <v>0.91488004685490609</v>
      </c>
      <c r="I97" s="85">
        <f t="shared" si="45"/>
        <v>0.91456653454741854</v>
      </c>
      <c r="J97" s="85">
        <f t="shared" si="45"/>
        <v>0.91420187375847328</v>
      </c>
      <c r="K97" s="85">
        <f t="shared" si="45"/>
        <v>0.91381102397230052</v>
      </c>
      <c r="L97" s="85">
        <f t="shared" si="45"/>
        <v>0.91341553317155821</v>
      </c>
      <c r="M97" s="85">
        <f t="shared" si="45"/>
        <v>0.91301897011252819</v>
      </c>
      <c r="N97" s="85">
        <f t="shared" si="45"/>
        <v>0.91262464241069075</v>
      </c>
      <c r="O97" s="85">
        <f t="shared" si="45"/>
        <v>0.91222597918635984</v>
      </c>
      <c r="P97" s="85">
        <f t="shared" si="45"/>
        <v>0.91182908079743918</v>
      </c>
      <c r="Q97" s="85">
        <f t="shared" si="45"/>
        <v>0.9114578380132764</v>
      </c>
      <c r="R97" s="85">
        <f t="shared" si="45"/>
        <v>0.91110233845629474</v>
      </c>
      <c r="S97" s="85">
        <f t="shared" si="45"/>
        <v>0.91076351248770415</v>
      </c>
      <c r="T97" s="85">
        <f t="shared" si="45"/>
        <v>0.91043508494852587</v>
      </c>
      <c r="U97" s="35">
        <f t="shared" si="45"/>
        <v>0.91013194213700765</v>
      </c>
      <c r="V97" s="48"/>
      <c r="W97" s="48"/>
    </row>
    <row r="98" spans="2:23" x14ac:dyDescent="0.2">
      <c r="C98" s="27"/>
      <c r="D98" s="27"/>
      <c r="E98" s="27"/>
      <c r="F98" s="27"/>
      <c r="G98" s="27"/>
      <c r="H98" s="27"/>
      <c r="I98" s="27"/>
      <c r="J98" s="27"/>
      <c r="K98" s="27"/>
      <c r="L98" s="27"/>
      <c r="M98" s="27"/>
      <c r="N98" s="27"/>
      <c r="O98" s="27"/>
      <c r="P98" s="27"/>
      <c r="Q98" s="27"/>
      <c r="R98" s="27"/>
      <c r="S98" s="27"/>
      <c r="T98" s="27"/>
      <c r="U98" s="27"/>
      <c r="V98" s="48"/>
      <c r="W98" s="48"/>
    </row>
    <row r="99" spans="2:23" x14ac:dyDescent="0.2">
      <c r="B99" s="89" t="s">
        <v>99</v>
      </c>
      <c r="C99" s="90">
        <f>'Baseline NFPC'!C96</f>
        <v>1.6465860000000001</v>
      </c>
      <c r="D99" s="90">
        <f>'Baseline NFPC'!D96</f>
        <v>1.72</v>
      </c>
      <c r="E99" s="90">
        <f>'Baseline NFPC'!E96</f>
        <v>1.7322979999999999</v>
      </c>
      <c r="F99" s="90">
        <f>F101+F102</f>
        <v>1.8261286864640409</v>
      </c>
      <c r="G99" s="90">
        <f t="shared" ref="G99:U99" si="46">G101+G102</f>
        <v>1.9630296945412431</v>
      </c>
      <c r="H99" s="90">
        <f t="shared" si="46"/>
        <v>2.0990021112154578</v>
      </c>
      <c r="I99" s="90">
        <f t="shared" si="46"/>
        <v>2.2341189502873262</v>
      </c>
      <c r="J99" s="90">
        <f t="shared" si="46"/>
        <v>2.3707682654718401</v>
      </c>
      <c r="K99" s="90">
        <f t="shared" si="46"/>
        <v>2.5163135145761926</v>
      </c>
      <c r="L99" s="90">
        <f t="shared" si="46"/>
        <v>2.6668445435221684</v>
      </c>
      <c r="M99" s="90">
        <f t="shared" si="46"/>
        <v>2.8190428021329632</v>
      </c>
      <c r="N99" s="90">
        <f t="shared" si="46"/>
        <v>2.9720714048098702</v>
      </c>
      <c r="O99" s="90">
        <f t="shared" si="46"/>
        <v>3.0930602897416488</v>
      </c>
      <c r="P99" s="90">
        <f t="shared" si="46"/>
        <v>3.1995877564739863</v>
      </c>
      <c r="Q99" s="90">
        <f t="shared" si="46"/>
        <v>3.2926033809413693</v>
      </c>
      <c r="R99" s="90">
        <f t="shared" si="46"/>
        <v>3.371509463463886</v>
      </c>
      <c r="S99" s="90">
        <f t="shared" si="46"/>
        <v>3.4390552413114404</v>
      </c>
      <c r="T99" s="90">
        <f t="shared" si="46"/>
        <v>3.4966457409306697</v>
      </c>
      <c r="U99" s="90">
        <f t="shared" si="46"/>
        <v>3.546025878668484</v>
      </c>
      <c r="V99" s="48"/>
      <c r="W99" s="48"/>
    </row>
    <row r="100" spans="2:23" x14ac:dyDescent="0.2">
      <c r="B100" s="22" t="s">
        <v>100</v>
      </c>
      <c r="C100" s="23"/>
      <c r="D100" s="23"/>
      <c r="E100" s="185">
        <f>((E36*D90)-(E38*(D93+D95)))/(D91+D92+D94)</f>
        <v>1.7160168228649137</v>
      </c>
      <c r="F100" s="23">
        <f>IF(E90&gt;0,(E100*E91+
('Baseline NFPC'!F97*('Baseline NFPC'!E88+'Baseline NFPC'!E89+'Baseline NFPC'!E91)-'Baseline NFPC'!E97*'Baseline NFPC'!E88)/('Baseline NFPC'!E89+'Baseline NFPC'!E91)
*(E94+E92))/(E91+E92+E94),F37)</f>
        <v>1.8079378821903793</v>
      </c>
      <c r="G100" s="23">
        <f t="shared" ref="G100:U100" si="47">IF(F90&gt;0,(F100*F91+G37*(F94+F92))/(F91+F92+F94),G37)</f>
        <v>1.9431639240575029</v>
      </c>
      <c r="H100" s="23">
        <f t="shared" si="47"/>
        <v>2.0773690745993809</v>
      </c>
      <c r="I100" s="23">
        <f t="shared" si="47"/>
        <v>2.2106333066797528</v>
      </c>
      <c r="J100" s="23">
        <f t="shared" si="47"/>
        <v>2.3455619268593151</v>
      </c>
      <c r="K100" s="23">
        <f t="shared" si="47"/>
        <v>2.4901906702056529</v>
      </c>
      <c r="L100" s="23">
        <f t="shared" si="47"/>
        <v>2.6402589222994139</v>
      </c>
      <c r="M100" s="23">
        <f t="shared" si="47"/>
        <v>2.7921474430807645</v>
      </c>
      <c r="N100" s="23">
        <f t="shared" si="47"/>
        <v>2.9449431668545354</v>
      </c>
      <c r="O100" s="23">
        <f t="shared" si="47"/>
        <v>3.0833973483171455</v>
      </c>
      <c r="P100" s="23">
        <f t="shared" si="47"/>
        <v>3.2061730988346668</v>
      </c>
      <c r="Q100" s="23">
        <f t="shared" si="47"/>
        <v>3.3142922596515016</v>
      </c>
      <c r="R100" s="23">
        <f t="shared" si="47"/>
        <v>3.407068383875576</v>
      </c>
      <c r="S100" s="23">
        <f t="shared" si="47"/>
        <v>3.4874929501763874</v>
      </c>
      <c r="T100" s="23">
        <f t="shared" si="47"/>
        <v>3.5570860659942833</v>
      </c>
      <c r="U100" s="23">
        <f t="shared" si="47"/>
        <v>3.6177504427260323</v>
      </c>
      <c r="V100" s="48"/>
      <c r="W100" s="48"/>
    </row>
    <row r="101" spans="2:23" x14ac:dyDescent="0.2">
      <c r="B101" s="15" t="s">
        <v>101</v>
      </c>
      <c r="C101" s="322"/>
      <c r="D101" s="322"/>
      <c r="E101" s="322">
        <f t="shared" ref="E101:U101" si="48">(E100*(D91+D92+D94)+E38*(D93+D95))/D90</f>
        <v>1.7322980000000001</v>
      </c>
      <c r="F101" s="322">
        <f t="shared" si="48"/>
        <v>1.8261286864640409</v>
      </c>
      <c r="G101" s="322">
        <f t="shared" si="48"/>
        <v>1.9630296945412431</v>
      </c>
      <c r="H101" s="322">
        <f t="shared" si="48"/>
        <v>2.0990021112154578</v>
      </c>
      <c r="I101" s="322">
        <f t="shared" si="48"/>
        <v>2.2341189502873262</v>
      </c>
      <c r="J101" s="322">
        <f t="shared" si="48"/>
        <v>2.3707682654718401</v>
      </c>
      <c r="K101" s="322">
        <f t="shared" si="48"/>
        <v>2.5163135145761926</v>
      </c>
      <c r="L101" s="322">
        <f t="shared" si="48"/>
        <v>2.6668445435221684</v>
      </c>
      <c r="M101" s="322">
        <f t="shared" si="48"/>
        <v>2.8190428021329632</v>
      </c>
      <c r="N101" s="322">
        <f t="shared" si="48"/>
        <v>2.9720714048098702</v>
      </c>
      <c r="O101" s="322">
        <f t="shared" si="48"/>
        <v>3.0930602897416488</v>
      </c>
      <c r="P101" s="322">
        <f t="shared" si="48"/>
        <v>3.1995877564739863</v>
      </c>
      <c r="Q101" s="322">
        <f t="shared" si="48"/>
        <v>3.2926033809413693</v>
      </c>
      <c r="R101" s="322">
        <f t="shared" si="48"/>
        <v>3.371509463463886</v>
      </c>
      <c r="S101" s="322">
        <f t="shared" si="48"/>
        <v>3.4390552413114404</v>
      </c>
      <c r="T101" s="322">
        <f t="shared" si="48"/>
        <v>3.4966457409306697</v>
      </c>
      <c r="U101" s="322">
        <f t="shared" si="48"/>
        <v>3.546025878668484</v>
      </c>
      <c r="V101" s="48"/>
      <c r="W101" s="48"/>
    </row>
    <row r="102" spans="2:23" x14ac:dyDescent="0.2">
      <c r="B102" s="24" t="s">
        <v>102</v>
      </c>
      <c r="C102" s="35"/>
      <c r="D102" s="35"/>
      <c r="E102" s="35">
        <f>'Adjust. no safeguard'!E104</f>
        <v>0</v>
      </c>
      <c r="F102" s="35">
        <f>'Adjust. no safeguard'!F104</f>
        <v>0</v>
      </c>
      <c r="G102" s="35">
        <f>'Adjust. no safeguard'!G104</f>
        <v>0</v>
      </c>
      <c r="H102" s="35">
        <f>'Adjust. no safeguard'!H104</f>
        <v>0</v>
      </c>
      <c r="I102" s="35">
        <f>'Adjust. no safeguard'!I104</f>
        <v>0</v>
      </c>
      <c r="J102" s="35">
        <f>'Adjust. no safeguard'!J104</f>
        <v>0</v>
      </c>
      <c r="K102" s="35">
        <f>'Adjust. no safeguard'!K104</f>
        <v>0</v>
      </c>
      <c r="L102" s="35">
        <f>'Adjust. no safeguard'!L104</f>
        <v>0</v>
      </c>
      <c r="M102" s="35">
        <f>'Adjust. no safeguard'!M104</f>
        <v>0</v>
      </c>
      <c r="N102" s="35">
        <f>'Adjust. no safeguard'!N104</f>
        <v>0</v>
      </c>
      <c r="O102" s="35">
        <f>'Adjust. no safeguard'!O104</f>
        <v>0</v>
      </c>
      <c r="P102" s="35">
        <f>'Adjust. no safeguard'!P104</f>
        <v>0</v>
      </c>
      <c r="Q102" s="35">
        <f>'Adjust. no safeguard'!Q104</f>
        <v>0</v>
      </c>
      <c r="R102" s="35">
        <f>'Adjust. no safeguard'!R104</f>
        <v>0</v>
      </c>
      <c r="S102" s="35">
        <f>'Adjust. no safeguard'!S104</f>
        <v>0</v>
      </c>
      <c r="T102" s="35">
        <f>'Adjust. no safeguard'!T104</f>
        <v>0</v>
      </c>
      <c r="U102" s="35">
        <f>'Adjust. no safeguard'!U104</f>
        <v>0</v>
      </c>
      <c r="V102" s="48"/>
      <c r="W102" s="48"/>
    </row>
    <row r="103" spans="2:23" x14ac:dyDescent="0.2">
      <c r="C103" s="27"/>
      <c r="D103" s="27"/>
      <c r="E103" s="23"/>
      <c r="F103" s="23"/>
      <c r="G103" s="23"/>
      <c r="H103" s="23"/>
      <c r="I103" s="23"/>
      <c r="J103" s="23"/>
      <c r="K103" s="23"/>
      <c r="L103" s="23"/>
      <c r="M103" s="23"/>
      <c r="N103" s="23"/>
      <c r="O103" s="23"/>
      <c r="P103" s="23"/>
      <c r="Q103" s="23"/>
      <c r="R103" s="23"/>
      <c r="S103" s="23"/>
      <c r="T103" s="23"/>
      <c r="U103" s="23"/>
      <c r="V103" s="48"/>
      <c r="W103" s="48"/>
    </row>
    <row r="104" spans="2:23" x14ac:dyDescent="0.2">
      <c r="B104" s="89" t="s">
        <v>131</v>
      </c>
      <c r="C104" s="90">
        <f t="shared" ref="C104:U104" si="49">((1+C99/100)/((1+C24/100)*(1+C42/100))-1)*100</f>
        <v>-4.9030404382286115</v>
      </c>
      <c r="D104" s="90">
        <f t="shared" si="49"/>
        <v>-3.0356888545867822</v>
      </c>
      <c r="E104" s="90">
        <f t="shared" si="49"/>
        <v>-2.7213543230902415</v>
      </c>
      <c r="F104" s="90">
        <f t="shared" si="49"/>
        <v>-1.8244785701374666</v>
      </c>
      <c r="G104" s="90">
        <f t="shared" si="49"/>
        <v>-1.6552067102665657</v>
      </c>
      <c r="H104" s="90">
        <f t="shared" si="49"/>
        <v>-1.4407754162443887</v>
      </c>
      <c r="I104" s="90">
        <f t="shared" si="49"/>
        <v>-1.3123612601926737</v>
      </c>
      <c r="J104" s="90">
        <f t="shared" si="49"/>
        <v>-0.8844002079407165</v>
      </c>
      <c r="K104" s="90">
        <f t="shared" si="49"/>
        <v>-0.73073388407012274</v>
      </c>
      <c r="L104" s="90">
        <f t="shared" si="49"/>
        <v>-0.58501725948914007</v>
      </c>
      <c r="M104" s="90">
        <f t="shared" si="49"/>
        <v>-0.47299761423731379</v>
      </c>
      <c r="N104" s="90">
        <f t="shared" si="49"/>
        <v>-0.37435778544158138</v>
      </c>
      <c r="O104" s="90">
        <f t="shared" si="49"/>
        <v>-0.32092756220536423</v>
      </c>
      <c r="P104" s="90">
        <f t="shared" si="49"/>
        <v>-0.28152482753039942</v>
      </c>
      <c r="Q104" s="90">
        <f t="shared" si="49"/>
        <v>-0.25519102529774074</v>
      </c>
      <c r="R104" s="90">
        <f t="shared" si="49"/>
        <v>-0.32277665225777241</v>
      </c>
      <c r="S104" s="90">
        <f t="shared" si="49"/>
        <v>-0.40105854945382546</v>
      </c>
      <c r="T104" s="90">
        <f t="shared" si="49"/>
        <v>-0.38097355007151723</v>
      </c>
      <c r="U104" s="90">
        <f t="shared" si="49"/>
        <v>-0.36879912454348407</v>
      </c>
      <c r="V104" s="48"/>
      <c r="W104" s="48"/>
    </row>
    <row r="105" spans="2:23" x14ac:dyDescent="0.2">
      <c r="D105" s="23"/>
      <c r="E105" s="23"/>
      <c r="F105" s="23"/>
      <c r="G105" s="23"/>
      <c r="H105" s="23"/>
      <c r="I105" s="23"/>
      <c r="J105" s="23"/>
      <c r="K105" s="23"/>
      <c r="L105" s="23"/>
      <c r="M105" s="23"/>
      <c r="N105" s="23"/>
      <c r="O105" s="23"/>
      <c r="P105" s="23"/>
      <c r="Q105" s="23"/>
      <c r="R105" s="23"/>
      <c r="S105" s="23"/>
      <c r="T105" s="23"/>
      <c r="U105" s="23"/>
      <c r="V105" s="48"/>
      <c r="W105" s="48"/>
    </row>
    <row r="106" spans="2:23" x14ac:dyDescent="0.2">
      <c r="G106" s="176"/>
      <c r="H106" s="176"/>
      <c r="I106" s="176"/>
      <c r="J106" s="176"/>
      <c r="K106" s="176"/>
      <c r="L106" s="176"/>
      <c r="M106" s="176"/>
      <c r="N106" s="176"/>
      <c r="O106" s="176"/>
      <c r="P106" s="176"/>
      <c r="Q106" s="176"/>
      <c r="R106" s="176"/>
      <c r="S106" s="23"/>
      <c r="T106" s="23"/>
      <c r="U106" s="23"/>
      <c r="V106" s="48"/>
      <c r="W106" s="48"/>
    </row>
    <row r="107" spans="2:23" x14ac:dyDescent="0.2">
      <c r="B107" s="329"/>
      <c r="C107" s="329"/>
      <c r="D107" s="330"/>
      <c r="E107" s="331"/>
      <c r="F107" s="331"/>
      <c r="G107" s="329"/>
      <c r="H107" s="329"/>
      <c r="R107" s="48"/>
      <c r="S107" s="48"/>
      <c r="T107" s="48"/>
      <c r="U107" s="48"/>
      <c r="V107" s="48"/>
      <c r="W107" s="48"/>
    </row>
    <row r="108" spans="2:23" x14ac:dyDescent="0.2">
      <c r="R108" s="48"/>
      <c r="S108" s="91"/>
      <c r="T108" s="91"/>
      <c r="U108" s="91"/>
      <c r="V108" s="91"/>
      <c r="W108" s="48"/>
    </row>
    <row r="109" spans="2:23" x14ac:dyDescent="0.2">
      <c r="F109" s="96"/>
      <c r="G109" s="96"/>
      <c r="H109" s="96"/>
      <c r="I109" s="96"/>
      <c r="J109" s="96"/>
      <c r="K109" s="96"/>
      <c r="L109" s="96"/>
      <c r="M109" s="96"/>
      <c r="N109" s="96"/>
      <c r="O109" s="96"/>
      <c r="P109" s="96"/>
      <c r="Q109" s="96"/>
      <c r="R109" s="96"/>
      <c r="S109" s="96"/>
      <c r="T109" s="96"/>
      <c r="U109" s="96"/>
    </row>
    <row r="110" spans="2:23" x14ac:dyDescent="0.2">
      <c r="C110" s="23"/>
      <c r="D110" s="23"/>
      <c r="E110" s="96"/>
      <c r="F110" s="96"/>
      <c r="G110" s="96"/>
      <c r="H110" s="96"/>
      <c r="I110" s="96"/>
      <c r="J110" s="96"/>
      <c r="K110" s="96"/>
      <c r="L110" s="96"/>
      <c r="M110" s="96"/>
      <c r="N110" s="96"/>
      <c r="O110" s="96"/>
      <c r="P110" s="96"/>
      <c r="Q110" s="96"/>
      <c r="R110" s="96"/>
      <c r="S110" s="96"/>
      <c r="T110" s="96"/>
      <c r="U110" s="96"/>
    </row>
    <row r="111" spans="2:23" x14ac:dyDescent="0.2">
      <c r="E111" s="23"/>
      <c r="F111" s="23"/>
      <c r="G111" s="96"/>
      <c r="H111" s="96"/>
      <c r="I111" s="96"/>
      <c r="J111" s="96"/>
      <c r="K111" s="96"/>
      <c r="L111" s="96"/>
      <c r="M111" s="96"/>
      <c r="N111" s="96"/>
      <c r="O111" s="96"/>
      <c r="P111" s="96"/>
      <c r="Q111" s="96"/>
      <c r="R111" s="96"/>
      <c r="S111" s="96"/>
      <c r="T111" s="96"/>
      <c r="U111" s="96"/>
      <c r="V111" s="96"/>
      <c r="W111" s="96"/>
    </row>
    <row r="114" spans="5:24" x14ac:dyDescent="0.2">
      <c r="E114" s="23"/>
      <c r="F114" s="23"/>
      <c r="G114" s="96"/>
      <c r="H114" s="96"/>
      <c r="I114" s="96"/>
      <c r="J114" s="96"/>
      <c r="K114" s="96"/>
      <c r="L114" s="96"/>
      <c r="M114" s="96"/>
      <c r="N114" s="96"/>
      <c r="O114" s="96"/>
      <c r="P114" s="96"/>
      <c r="Q114" s="96"/>
      <c r="R114" s="96"/>
      <c r="S114" s="96"/>
      <c r="T114" s="96"/>
      <c r="U114" s="96"/>
      <c r="V114" s="96"/>
      <c r="W114" s="96"/>
    </row>
    <row r="115" spans="5:24" x14ac:dyDescent="0.2">
      <c r="E115" s="23"/>
      <c r="F115" s="23"/>
      <c r="G115" s="96"/>
      <c r="H115" s="96"/>
      <c r="I115" s="96"/>
      <c r="J115" s="96"/>
      <c r="K115" s="96"/>
      <c r="L115" s="96"/>
      <c r="M115" s="96"/>
      <c r="N115" s="96"/>
      <c r="O115" s="96"/>
      <c r="P115" s="96"/>
      <c r="Q115" s="96"/>
      <c r="R115" s="96"/>
      <c r="S115" s="96"/>
      <c r="T115" s="96"/>
      <c r="U115" s="96"/>
      <c r="V115" s="96"/>
      <c r="W115" s="96"/>
      <c r="X115" s="39"/>
    </row>
    <row r="116" spans="5:24" x14ac:dyDescent="0.2">
      <c r="G116" s="39"/>
      <c r="H116" s="39"/>
      <c r="I116" s="39"/>
      <c r="J116" s="39"/>
      <c r="K116" s="39"/>
      <c r="L116" s="39"/>
      <c r="M116" s="39"/>
      <c r="N116" s="39"/>
      <c r="O116" s="39"/>
      <c r="P116" s="39"/>
      <c r="Q116" s="39"/>
      <c r="R116" s="39"/>
      <c r="S116" s="39"/>
      <c r="T116" s="39"/>
      <c r="U116" s="39"/>
      <c r="V116" s="39"/>
      <c r="W116" s="39"/>
      <c r="X116" s="39"/>
    </row>
    <row r="117" spans="5:24" x14ac:dyDescent="0.2">
      <c r="E117" s="23"/>
      <c r="F117" s="23"/>
      <c r="G117" s="96"/>
      <c r="H117" s="96"/>
      <c r="I117" s="96"/>
      <c r="J117" s="96"/>
      <c r="K117" s="96"/>
      <c r="L117" s="96"/>
      <c r="M117" s="96"/>
      <c r="N117" s="96"/>
      <c r="O117" s="96"/>
      <c r="P117" s="96"/>
      <c r="Q117" s="96"/>
      <c r="R117" s="96"/>
      <c r="S117" s="96"/>
      <c r="T117" s="96"/>
      <c r="U117" s="96"/>
      <c r="V117" s="96"/>
      <c r="W117" s="96"/>
      <c r="X117" s="39"/>
    </row>
    <row r="118" spans="5:24" x14ac:dyDescent="0.2">
      <c r="E118" s="23"/>
      <c r="F118" s="23"/>
      <c r="G118" s="96"/>
      <c r="H118" s="96"/>
      <c r="I118" s="96"/>
      <c r="J118" s="96"/>
      <c r="K118" s="96"/>
      <c r="L118" s="96"/>
      <c r="M118" s="96"/>
      <c r="N118" s="96"/>
      <c r="O118" s="96"/>
      <c r="P118" s="96"/>
      <c r="Q118" s="96"/>
      <c r="R118" s="96"/>
      <c r="S118" s="96"/>
      <c r="T118" s="96"/>
      <c r="U118" s="96"/>
      <c r="V118" s="96"/>
      <c r="W118" s="96"/>
      <c r="X118" s="39"/>
    </row>
    <row r="119" spans="5:24" x14ac:dyDescent="0.2">
      <c r="G119" s="39"/>
      <c r="H119" s="39"/>
      <c r="I119" s="39"/>
      <c r="J119" s="39"/>
      <c r="K119" s="39"/>
      <c r="L119" s="39"/>
      <c r="M119" s="39"/>
      <c r="N119" s="39"/>
      <c r="O119" s="39"/>
      <c r="P119" s="39"/>
      <c r="Q119" s="39"/>
      <c r="R119" s="39"/>
      <c r="S119" s="39"/>
      <c r="T119" s="39"/>
      <c r="U119" s="39"/>
      <c r="V119" s="39"/>
      <c r="W119" s="39"/>
      <c r="X119" s="39"/>
    </row>
    <row r="120" spans="5:24" x14ac:dyDescent="0.2">
      <c r="E120" s="23"/>
      <c r="F120" s="23"/>
      <c r="G120" s="96"/>
      <c r="H120" s="96"/>
      <c r="I120" s="96"/>
      <c r="J120" s="96"/>
      <c r="K120" s="96"/>
      <c r="L120" s="96"/>
      <c r="M120" s="96"/>
      <c r="N120" s="96"/>
      <c r="O120" s="96"/>
      <c r="P120" s="96"/>
      <c r="Q120" s="96"/>
      <c r="R120" s="96"/>
      <c r="S120" s="96"/>
      <c r="T120" s="96"/>
      <c r="U120" s="96"/>
      <c r="V120" s="96"/>
      <c r="W120" s="96"/>
      <c r="X120" s="96"/>
    </row>
    <row r="121" spans="5:24" x14ac:dyDescent="0.2">
      <c r="E121" s="23"/>
      <c r="F121" s="23"/>
      <c r="G121" s="96"/>
      <c r="H121" s="96"/>
      <c r="I121" s="96"/>
      <c r="J121" s="96"/>
      <c r="K121" s="96"/>
      <c r="L121" s="96"/>
      <c r="M121" s="96"/>
      <c r="N121" s="96"/>
      <c r="O121" s="96"/>
      <c r="P121" s="96"/>
      <c r="Q121" s="96"/>
      <c r="R121" s="96"/>
      <c r="S121" s="96"/>
      <c r="T121" s="96"/>
      <c r="U121" s="96"/>
      <c r="V121" s="96"/>
      <c r="W121" s="96"/>
      <c r="X121" s="96"/>
    </row>
    <row r="122" spans="5:24" x14ac:dyDescent="0.2">
      <c r="G122" s="96"/>
      <c r="H122" s="96"/>
      <c r="I122" s="96"/>
      <c r="J122" s="96"/>
      <c r="K122" s="96"/>
      <c r="L122" s="96"/>
      <c r="M122" s="96"/>
      <c r="N122" s="96"/>
      <c r="O122" s="96"/>
      <c r="P122" s="96"/>
      <c r="Q122" s="96"/>
      <c r="R122" s="96"/>
      <c r="S122" s="96"/>
      <c r="T122" s="96"/>
      <c r="U122" s="96"/>
      <c r="V122" s="96"/>
      <c r="W122" s="96"/>
      <c r="X122" s="96"/>
    </row>
    <row r="123" spans="5:24" x14ac:dyDescent="0.2">
      <c r="E123" s="23"/>
      <c r="F123" s="23"/>
      <c r="G123" s="96"/>
      <c r="H123" s="96"/>
      <c r="I123" s="96"/>
      <c r="J123" s="96"/>
      <c r="K123" s="96"/>
      <c r="L123" s="96"/>
      <c r="M123" s="96"/>
      <c r="N123" s="96"/>
      <c r="O123" s="96"/>
      <c r="P123" s="96"/>
      <c r="Q123" s="96"/>
      <c r="R123" s="96"/>
      <c r="S123" s="96"/>
      <c r="T123" s="96"/>
      <c r="U123" s="96"/>
      <c r="V123" s="96"/>
      <c r="W123" s="96"/>
      <c r="X123" s="96"/>
    </row>
    <row r="124" spans="5:24" x14ac:dyDescent="0.2">
      <c r="E124" s="23"/>
      <c r="F124" s="23"/>
      <c r="G124" s="96"/>
      <c r="H124" s="96"/>
      <c r="I124" s="96"/>
      <c r="J124" s="96"/>
      <c r="K124" s="96"/>
      <c r="L124" s="96"/>
      <c r="M124" s="96"/>
      <c r="N124" s="96"/>
      <c r="O124" s="96"/>
      <c r="P124" s="96"/>
      <c r="Q124" s="96"/>
      <c r="R124" s="96"/>
      <c r="S124" s="96"/>
      <c r="T124" s="96"/>
      <c r="U124" s="96"/>
      <c r="V124" s="96"/>
      <c r="W124" s="96"/>
      <c r="X124" s="96"/>
    </row>
    <row r="125" spans="5:24" x14ac:dyDescent="0.2">
      <c r="G125" s="96"/>
      <c r="H125" s="96"/>
      <c r="I125" s="96"/>
      <c r="J125" s="96"/>
      <c r="K125" s="96"/>
      <c r="L125" s="96"/>
      <c r="M125" s="96"/>
      <c r="N125" s="96"/>
      <c r="O125" s="96"/>
      <c r="P125" s="96"/>
      <c r="Q125" s="96"/>
      <c r="R125" s="96"/>
      <c r="S125" s="96"/>
      <c r="T125" s="96"/>
      <c r="U125" s="96"/>
      <c r="V125" s="96"/>
      <c r="W125" s="96"/>
      <c r="X125" s="96"/>
    </row>
    <row r="126" spans="5:24" x14ac:dyDescent="0.2">
      <c r="G126" s="96"/>
      <c r="H126" s="96"/>
      <c r="I126" s="96"/>
      <c r="J126" s="96"/>
      <c r="K126" s="96"/>
      <c r="L126" s="96"/>
      <c r="M126" s="96"/>
      <c r="N126" s="96"/>
      <c r="O126" s="96"/>
      <c r="P126" s="96"/>
      <c r="Q126" s="96"/>
      <c r="R126" s="96"/>
      <c r="S126" s="96"/>
      <c r="T126" s="96"/>
      <c r="U126" s="96"/>
      <c r="V126" s="96"/>
      <c r="W126" s="96"/>
      <c r="X126" s="96"/>
    </row>
  </sheetData>
  <conditionalFormatting sqref="E12:K12">
    <cfRule type="expression" dxfId="11" priority="4">
      <formula>AND(E10&gt;$C$5,E10&lt;=$C$6)</formula>
    </cfRule>
  </conditionalFormatting>
  <conditionalFormatting sqref="S10:U44 S50:U53 S55:U82 S84:U110">
    <cfRule type="expression" dxfId="10" priority="1">
      <formula>S$10&gt;$C$7</formula>
    </cfRule>
  </conditionalFormatting>
  <conditionalFormatting sqref="U46:W49 U111:W121">
    <cfRule type="expression" dxfId="9" priority="124">
      <formula>S$10&gt;$C$7</formula>
    </cfRule>
  </conditionalFormatting>
  <pageMargins left="0.7" right="0.7" top="0.75" bottom="0.75" header="0.3" footer="0.3"/>
  <pageSetup paperSize="9" orientation="portrait" r:id="rId1"/>
  <ignoredErrors>
    <ignoredError sqref="C5 C47:C48" unlockedFormula="1"/>
  </ignoredError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26BD62-F475-4E99-9E07-BEAA4AE832C8}">
  <sheetPr codeName="Sheet18">
    <tabColor rgb="FF92D050"/>
  </sheetPr>
  <dimension ref="A1:AY139"/>
  <sheetViews>
    <sheetView zoomScaleNormal="100" workbookViewId="0"/>
  </sheetViews>
  <sheetFormatPr defaultColWidth="9.28515625" defaultRowHeight="11.25" outlineLevelRow="1" x14ac:dyDescent="0.2"/>
  <cols>
    <col min="1" max="1" width="9.28515625" style="15" customWidth="1"/>
    <col min="2" max="2" width="57.42578125" style="15" customWidth="1"/>
    <col min="3" max="38" width="9.28515625" style="15" customWidth="1"/>
    <col min="39" max="48" width="11.42578125" style="15" bestFit="1" customWidth="1"/>
    <col min="49" max="16384" width="9.28515625" style="15"/>
  </cols>
  <sheetData>
    <row r="1" spans="1:49" ht="24.75" customHeight="1" x14ac:dyDescent="0.2">
      <c r="B1" s="28"/>
    </row>
    <row r="2" spans="1:49" ht="11.25" customHeight="1" x14ac:dyDescent="0.2">
      <c r="B2" s="16"/>
    </row>
    <row r="3" spans="1:49" ht="11.25" customHeight="1" x14ac:dyDescent="0.2">
      <c r="B3" s="8" t="s">
        <v>11</v>
      </c>
      <c r="C3" s="9" t="str">
        <f>'Input data'!C3</f>
        <v>NL</v>
      </c>
    </row>
    <row r="4" spans="1:49" x14ac:dyDescent="0.2">
      <c r="B4" s="50" t="s">
        <v>16</v>
      </c>
      <c r="C4" s="10"/>
    </row>
    <row r="5" spans="1:49" x14ac:dyDescent="0.2">
      <c r="A5" s="18"/>
      <c r="B5" s="11" t="str">
        <f>'Input data'!B5</f>
        <v>Last year before the adjustment</v>
      </c>
      <c r="C5" s="12">
        <f>+'Input data'!C5</f>
        <v>2025</v>
      </c>
      <c r="J5" s="39"/>
      <c r="M5" s="27"/>
    </row>
    <row r="6" spans="1:49" x14ac:dyDescent="0.2">
      <c r="A6" s="18"/>
      <c r="B6" s="51" t="s">
        <v>22</v>
      </c>
      <c r="C6" s="12">
        <f>+C5+'Criteria results'!$F$5</f>
        <v>2029</v>
      </c>
      <c r="E6" s="30"/>
      <c r="F6" s="18"/>
    </row>
    <row r="7" spans="1:49" x14ac:dyDescent="0.2">
      <c r="A7" s="18"/>
      <c r="B7" s="13" t="s">
        <v>17</v>
      </c>
      <c r="C7" s="52">
        <f>C5+'Criteria results'!$F$5+10</f>
        <v>2039</v>
      </c>
      <c r="E7" s="30"/>
      <c r="F7" s="18"/>
      <c r="G7" s="39"/>
      <c r="H7" s="39"/>
      <c r="I7" s="39"/>
      <c r="J7" s="39"/>
      <c r="K7" s="39"/>
      <c r="L7" s="39"/>
      <c r="M7" s="39"/>
    </row>
    <row r="8" spans="1:49" x14ac:dyDescent="0.2">
      <c r="A8" s="18"/>
      <c r="C8" s="18"/>
      <c r="E8" s="30"/>
      <c r="F8" s="18"/>
      <c r="G8" s="18"/>
      <c r="H8" s="18"/>
      <c r="I8" s="18"/>
      <c r="J8" s="18"/>
      <c r="K8" s="18"/>
      <c r="L8" s="18"/>
      <c r="M8" s="18"/>
      <c r="N8" s="18"/>
      <c r="O8" s="18"/>
      <c r="P8" s="18"/>
      <c r="Q8" s="18"/>
      <c r="R8" s="18"/>
      <c r="S8" s="18"/>
      <c r="T8" s="18"/>
      <c r="U8" s="18"/>
      <c r="V8" s="18"/>
      <c r="W8" s="18"/>
    </row>
    <row r="9" spans="1:49" s="53" customFormat="1" ht="12.75" x14ac:dyDescent="0.2">
      <c r="B9" s="14" t="s">
        <v>23</v>
      </c>
    </row>
    <row r="10" spans="1:49" x14ac:dyDescent="0.2">
      <c r="C10" s="20">
        <f>'Input data'!$C$5-1</f>
        <v>2024</v>
      </c>
      <c r="D10" s="20">
        <f>C10+1</f>
        <v>2025</v>
      </c>
      <c r="E10" s="20">
        <f t="shared" ref="E10:U10" si="0">D10+1</f>
        <v>2026</v>
      </c>
      <c r="F10" s="20">
        <f t="shared" si="0"/>
        <v>2027</v>
      </c>
      <c r="G10" s="20">
        <f t="shared" si="0"/>
        <v>2028</v>
      </c>
      <c r="H10" s="20">
        <f t="shared" si="0"/>
        <v>2029</v>
      </c>
      <c r="I10" s="20">
        <f t="shared" si="0"/>
        <v>2030</v>
      </c>
      <c r="J10" s="20">
        <f t="shared" si="0"/>
        <v>2031</v>
      </c>
      <c r="K10" s="20">
        <f t="shared" si="0"/>
        <v>2032</v>
      </c>
      <c r="L10" s="20">
        <f t="shared" si="0"/>
        <v>2033</v>
      </c>
      <c r="M10" s="20">
        <f t="shared" si="0"/>
        <v>2034</v>
      </c>
      <c r="N10" s="20">
        <f t="shared" si="0"/>
        <v>2035</v>
      </c>
      <c r="O10" s="20">
        <f t="shared" si="0"/>
        <v>2036</v>
      </c>
      <c r="P10" s="20">
        <f t="shared" si="0"/>
        <v>2037</v>
      </c>
      <c r="Q10" s="20">
        <f t="shared" si="0"/>
        <v>2038</v>
      </c>
      <c r="R10" s="20">
        <f t="shared" si="0"/>
        <v>2039</v>
      </c>
      <c r="S10" s="20">
        <f t="shared" si="0"/>
        <v>2040</v>
      </c>
      <c r="T10" s="20">
        <f t="shared" si="0"/>
        <v>2041</v>
      </c>
      <c r="U10" s="20">
        <f t="shared" si="0"/>
        <v>2042</v>
      </c>
      <c r="V10" s="18"/>
      <c r="W10" s="18"/>
      <c r="X10" s="18"/>
      <c r="Y10" s="18"/>
      <c r="Z10" s="18"/>
      <c r="AA10" s="18"/>
      <c r="AB10" s="18"/>
      <c r="AC10" s="18"/>
      <c r="AD10" s="18"/>
      <c r="AE10" s="18"/>
      <c r="AF10" s="18"/>
      <c r="AG10" s="18"/>
      <c r="AH10" s="18"/>
      <c r="AI10" s="18"/>
      <c r="AJ10" s="18"/>
      <c r="AK10" s="18"/>
      <c r="AL10" s="18"/>
      <c r="AM10" s="18"/>
      <c r="AN10" s="18"/>
      <c r="AO10" s="18"/>
      <c r="AP10" s="18"/>
      <c r="AQ10" s="18"/>
      <c r="AR10" s="18"/>
      <c r="AS10" s="18"/>
      <c r="AT10" s="18"/>
      <c r="AU10" s="18"/>
      <c r="AV10" s="18"/>
    </row>
    <row r="11" spans="1:49" x14ac:dyDescent="0.2">
      <c r="B11" s="17" t="s">
        <v>24</v>
      </c>
      <c r="C11" s="18"/>
      <c r="D11" s="182"/>
      <c r="E11" s="334"/>
      <c r="F11" s="334"/>
      <c r="G11" s="334"/>
      <c r="H11" s="334"/>
      <c r="I11" s="334"/>
      <c r="J11" s="334"/>
      <c r="K11" s="334"/>
      <c r="L11" s="182"/>
      <c r="M11" s="182"/>
      <c r="N11" s="182"/>
      <c r="O11" s="182"/>
      <c r="P11" s="182"/>
      <c r="Q11" s="182"/>
      <c r="R11" s="182"/>
      <c r="S11" s="182"/>
      <c r="T11" s="182"/>
      <c r="U11" s="182"/>
      <c r="V11" s="18"/>
      <c r="W11" s="18"/>
      <c r="X11" s="18"/>
      <c r="Y11" s="18"/>
      <c r="Z11" s="18"/>
      <c r="AA11" s="18"/>
      <c r="AB11" s="18"/>
      <c r="AC11" s="18"/>
      <c r="AD11" s="18"/>
      <c r="AE11" s="18"/>
      <c r="AF11" s="18"/>
      <c r="AG11" s="18"/>
      <c r="AH11" s="18"/>
      <c r="AI11" s="18"/>
      <c r="AJ11" s="18"/>
      <c r="AK11" s="18"/>
      <c r="AL11" s="18"/>
      <c r="AM11" s="18"/>
      <c r="AN11" s="18"/>
      <c r="AO11" s="18"/>
      <c r="AP11" s="18"/>
      <c r="AQ11" s="18"/>
      <c r="AR11" s="18"/>
      <c r="AS11" s="18"/>
      <c r="AT11" s="18"/>
      <c r="AU11" s="18"/>
      <c r="AV11" s="18"/>
    </row>
    <row r="12" spans="1:49" x14ac:dyDescent="0.2">
      <c r="B12" s="15" t="s">
        <v>26</v>
      </c>
      <c r="C12" s="2">
        <f>'Input data'!C13</f>
        <v>0.386237</v>
      </c>
      <c r="D12" s="2">
        <f>'Input data'!D13</f>
        <v>-0.55773950000000005</v>
      </c>
      <c r="E12" s="3">
        <f>IF(E10&lt;=$C$6,D12+'Criteria results'!$F$7,D12)</f>
        <v>-0.55773950000000005</v>
      </c>
      <c r="F12" s="3">
        <f>IF(F10&lt;=$C$6,E12+'Criteria results'!$F$7,E12)</f>
        <v>-0.55773950000000005</v>
      </c>
      <c r="G12" s="3">
        <f>IF(G10&lt;=$C$6,F12+'Criteria results'!$F$7,F12)</f>
        <v>-0.55773950000000005</v>
      </c>
      <c r="H12" s="3">
        <f>IF(H10&lt;=$C$6,G12+'Criteria results'!$F$7,G12)</f>
        <v>-0.55773950000000005</v>
      </c>
      <c r="I12" s="94">
        <f>IF(I10&lt;=$C$6,H12+'Criteria results'!$F$7,H12)</f>
        <v>-0.55773950000000005</v>
      </c>
      <c r="J12" s="94">
        <f>IF(J10&lt;=$C$6,I12+'Criteria results'!$F$7,I12)</f>
        <v>-0.55773950000000005</v>
      </c>
      <c r="K12" s="94">
        <f>IF(K10&lt;=$C$6,J12+'Criteria results'!$F$7,J12)</f>
        <v>-0.55773950000000005</v>
      </c>
      <c r="L12" s="94">
        <f>K12</f>
        <v>-0.55773950000000005</v>
      </c>
      <c r="M12" s="94">
        <f t="shared" ref="M12:U12" si="1">L12</f>
        <v>-0.55773950000000005</v>
      </c>
      <c r="N12" s="94">
        <f t="shared" si="1"/>
        <v>-0.55773950000000005</v>
      </c>
      <c r="O12" s="94">
        <f t="shared" si="1"/>
        <v>-0.55773950000000005</v>
      </c>
      <c r="P12" s="94">
        <f t="shared" si="1"/>
        <v>-0.55773950000000005</v>
      </c>
      <c r="Q12" s="94">
        <f t="shared" si="1"/>
        <v>-0.55773950000000005</v>
      </c>
      <c r="R12" s="94">
        <f t="shared" si="1"/>
        <v>-0.55773950000000005</v>
      </c>
      <c r="S12" s="94">
        <f t="shared" si="1"/>
        <v>-0.55773950000000005</v>
      </c>
      <c r="T12" s="94">
        <f t="shared" si="1"/>
        <v>-0.55773950000000005</v>
      </c>
      <c r="U12" s="94">
        <f t="shared" si="1"/>
        <v>-0.55773950000000005</v>
      </c>
      <c r="V12" s="45"/>
      <c r="W12" s="45"/>
      <c r="X12" s="45"/>
      <c r="Y12" s="45"/>
      <c r="Z12" s="45"/>
      <c r="AA12" s="45"/>
      <c r="AB12" s="45"/>
      <c r="AC12" s="45"/>
      <c r="AD12" s="45"/>
      <c r="AE12" s="45"/>
      <c r="AF12" s="45"/>
      <c r="AG12" s="45"/>
      <c r="AH12" s="45"/>
      <c r="AI12" s="45"/>
      <c r="AJ12" s="45"/>
      <c r="AK12" s="45"/>
      <c r="AL12" s="45"/>
      <c r="AM12" s="45"/>
      <c r="AN12" s="45"/>
      <c r="AO12" s="45"/>
      <c r="AP12" s="45"/>
      <c r="AQ12" s="45"/>
      <c r="AR12" s="45"/>
      <c r="AS12" s="45"/>
      <c r="AT12" s="45"/>
      <c r="AU12" s="45"/>
      <c r="AV12" s="45"/>
      <c r="AW12" s="46"/>
    </row>
    <row r="13" spans="1:49" x14ac:dyDescent="0.2">
      <c r="B13" s="267" t="s">
        <v>135</v>
      </c>
      <c r="C13" s="18"/>
      <c r="D13" s="182"/>
      <c r="E13" s="182">
        <f>E12-D12</f>
        <v>0</v>
      </c>
      <c r="F13" s="182">
        <f t="shared" ref="F13:U13" si="2">F12-E12</f>
        <v>0</v>
      </c>
      <c r="G13" s="182">
        <f t="shared" si="2"/>
        <v>0</v>
      </c>
      <c r="H13" s="182">
        <f t="shared" si="2"/>
        <v>0</v>
      </c>
      <c r="I13" s="182">
        <f t="shared" si="2"/>
        <v>0</v>
      </c>
      <c r="J13" s="182">
        <f t="shared" si="2"/>
        <v>0</v>
      </c>
      <c r="K13" s="182">
        <f t="shared" si="2"/>
        <v>0</v>
      </c>
      <c r="L13" s="182">
        <f t="shared" si="2"/>
        <v>0</v>
      </c>
      <c r="M13" s="182">
        <f t="shared" si="2"/>
        <v>0</v>
      </c>
      <c r="N13" s="182">
        <f t="shared" si="2"/>
        <v>0</v>
      </c>
      <c r="O13" s="182">
        <f t="shared" si="2"/>
        <v>0</v>
      </c>
      <c r="P13" s="182">
        <f t="shared" si="2"/>
        <v>0</v>
      </c>
      <c r="Q13" s="182">
        <f t="shared" si="2"/>
        <v>0</v>
      </c>
      <c r="R13" s="182">
        <f t="shared" si="2"/>
        <v>0</v>
      </c>
      <c r="S13" s="182">
        <f t="shared" si="2"/>
        <v>0</v>
      </c>
      <c r="T13" s="182">
        <f t="shared" si="2"/>
        <v>0</v>
      </c>
      <c r="U13" s="182">
        <f t="shared" si="2"/>
        <v>0</v>
      </c>
      <c r="V13" s="18"/>
      <c r="W13" s="18"/>
      <c r="X13" s="18"/>
      <c r="Y13" s="18"/>
      <c r="Z13" s="18"/>
      <c r="AA13" s="18"/>
      <c r="AB13" s="18"/>
      <c r="AC13" s="18"/>
      <c r="AD13" s="18"/>
      <c r="AE13" s="18"/>
      <c r="AF13" s="18"/>
      <c r="AG13" s="18"/>
      <c r="AH13" s="18"/>
      <c r="AI13" s="18"/>
      <c r="AJ13" s="18"/>
      <c r="AK13" s="18"/>
      <c r="AL13" s="18"/>
      <c r="AM13" s="18"/>
      <c r="AN13" s="18"/>
      <c r="AO13" s="18"/>
      <c r="AP13" s="18"/>
      <c r="AQ13" s="18"/>
      <c r="AR13" s="18"/>
      <c r="AS13" s="18"/>
      <c r="AT13" s="18"/>
      <c r="AU13" s="18"/>
      <c r="AV13" s="18"/>
    </row>
    <row r="14" spans="1:49" x14ac:dyDescent="0.2">
      <c r="B14" s="15" t="s">
        <v>27</v>
      </c>
      <c r="C14" s="2">
        <f>'Input data'!C14</f>
        <v>-2.6727000000000001E-2</v>
      </c>
      <c r="D14" s="2">
        <f>'Input data'!D14</f>
        <v>-2.54775E-2</v>
      </c>
      <c r="E14" s="2">
        <f>'Input data'!E14</f>
        <v>-0.69010419999999995</v>
      </c>
      <c r="F14" s="2">
        <f>'Input data'!F14</f>
        <v>0</v>
      </c>
      <c r="G14" s="2">
        <f>'Input data'!G14</f>
        <v>0</v>
      </c>
      <c r="H14" s="2">
        <f>'Input data'!H14</f>
        <v>0</v>
      </c>
      <c r="I14" s="2">
        <f>'Input data'!I14</f>
        <v>0</v>
      </c>
      <c r="J14" s="2">
        <f>'Input data'!J14</f>
        <v>0</v>
      </c>
      <c r="K14" s="2">
        <f>'Input data'!K14</f>
        <v>0</v>
      </c>
      <c r="L14" s="2">
        <f>'Input data'!L14</f>
        <v>0</v>
      </c>
      <c r="M14" s="2">
        <f>'Input data'!M14</f>
        <v>0</v>
      </c>
      <c r="N14" s="2">
        <f>'Input data'!N14</f>
        <v>0</v>
      </c>
      <c r="O14" s="2">
        <f>'Input data'!O14</f>
        <v>0</v>
      </c>
      <c r="P14" s="2">
        <f>'Input data'!P14</f>
        <v>0</v>
      </c>
      <c r="Q14" s="2">
        <f>'Input data'!Q14</f>
        <v>0</v>
      </c>
      <c r="R14" s="2">
        <f>'Input data'!R14</f>
        <v>0</v>
      </c>
      <c r="S14" s="2">
        <f>'Input data'!S14</f>
        <v>0</v>
      </c>
      <c r="T14" s="2">
        <f>'Input data'!T14</f>
        <v>0</v>
      </c>
      <c r="U14" s="2">
        <f>'Input data'!U14</f>
        <v>0</v>
      </c>
      <c r="V14" s="45"/>
      <c r="W14" s="45"/>
      <c r="X14" s="45"/>
      <c r="Y14" s="45"/>
      <c r="Z14" s="45"/>
      <c r="AA14" s="45"/>
      <c r="AB14" s="45"/>
      <c r="AC14" s="45"/>
      <c r="AD14" s="45"/>
      <c r="AE14" s="45"/>
      <c r="AF14" s="45"/>
      <c r="AG14" s="45"/>
      <c r="AH14" s="45"/>
      <c r="AI14" s="45"/>
      <c r="AJ14" s="45"/>
      <c r="AK14" s="45"/>
      <c r="AL14" s="45"/>
      <c r="AM14" s="45"/>
      <c r="AN14" s="45"/>
      <c r="AO14" s="45"/>
      <c r="AP14" s="45"/>
      <c r="AQ14" s="45"/>
      <c r="AR14" s="45"/>
      <c r="AS14" s="45"/>
      <c r="AT14" s="45"/>
      <c r="AU14" s="45"/>
      <c r="AV14" s="45"/>
      <c r="AW14" s="46"/>
    </row>
    <row r="15" spans="1:49" x14ac:dyDescent="0.2">
      <c r="B15" s="15" t="s">
        <v>54</v>
      </c>
      <c r="C15" s="2">
        <f>'Input data'!C15</f>
        <v>-9.1939599999999996E-2</v>
      </c>
      <c r="D15" s="2">
        <f>'Input data'!D15</f>
        <v>1.579996</v>
      </c>
      <c r="E15" s="2">
        <f>'Input data'!E15</f>
        <v>2.014675</v>
      </c>
      <c r="F15" s="2">
        <f>'Input data'!F15</f>
        <v>0</v>
      </c>
      <c r="G15" s="2">
        <f>'Input data'!G15</f>
        <v>0</v>
      </c>
      <c r="H15" s="2">
        <f>'Input data'!H15</f>
        <v>0</v>
      </c>
      <c r="I15" s="2">
        <f>'Input data'!I15</f>
        <v>0</v>
      </c>
      <c r="J15" s="2">
        <f>'Input data'!J15</f>
        <v>0</v>
      </c>
      <c r="K15" s="2">
        <f>'Input data'!K15</f>
        <v>0</v>
      </c>
      <c r="L15" s="2">
        <f>'Input data'!L15</f>
        <v>0</v>
      </c>
      <c r="M15" s="2">
        <f>'Input data'!M15</f>
        <v>0</v>
      </c>
      <c r="N15" s="2">
        <f>'Input data'!N15</f>
        <v>0</v>
      </c>
      <c r="O15" s="2">
        <f>'Input data'!O15</f>
        <v>0</v>
      </c>
      <c r="P15" s="2">
        <f>'Input data'!P15</f>
        <v>0</v>
      </c>
      <c r="Q15" s="2">
        <f>'Input data'!Q15</f>
        <v>0</v>
      </c>
      <c r="R15" s="2">
        <f>'Input data'!R15</f>
        <v>0</v>
      </c>
      <c r="S15" s="2">
        <f>'Input data'!S15</f>
        <v>0</v>
      </c>
      <c r="T15" s="2">
        <f>'Input data'!T15</f>
        <v>0</v>
      </c>
      <c r="U15" s="2">
        <f>'Input data'!U15</f>
        <v>0</v>
      </c>
      <c r="V15" s="45"/>
      <c r="W15" s="45"/>
      <c r="X15" s="45"/>
      <c r="Y15" s="45"/>
      <c r="Z15" s="45"/>
      <c r="AA15" s="45"/>
      <c r="AB15" s="45"/>
      <c r="AC15" s="45"/>
      <c r="AD15" s="45"/>
      <c r="AE15" s="45"/>
      <c r="AF15" s="45"/>
      <c r="AG15" s="45"/>
      <c r="AH15" s="45"/>
      <c r="AI15" s="45"/>
      <c r="AJ15" s="45"/>
      <c r="AK15" s="45"/>
      <c r="AL15" s="45"/>
      <c r="AM15" s="45"/>
      <c r="AN15" s="45"/>
      <c r="AO15" s="45"/>
      <c r="AP15" s="45"/>
      <c r="AQ15" s="45"/>
      <c r="AR15" s="45"/>
      <c r="AS15" s="45"/>
      <c r="AT15" s="45"/>
      <c r="AU15" s="45"/>
      <c r="AV15" s="45"/>
      <c r="AW15" s="46"/>
    </row>
    <row r="16" spans="1:49" ht="5.65" customHeight="1" x14ac:dyDescent="0.2">
      <c r="C16" s="1"/>
      <c r="D16" s="1"/>
      <c r="E16" s="1"/>
      <c r="F16" s="1"/>
      <c r="G16" s="1"/>
      <c r="H16" s="1"/>
      <c r="I16" s="1"/>
      <c r="J16" s="1"/>
      <c r="K16" s="1"/>
      <c r="L16" s="1"/>
      <c r="M16" s="1"/>
      <c r="N16" s="1"/>
      <c r="O16" s="1"/>
      <c r="P16" s="1"/>
      <c r="Q16" s="1"/>
      <c r="R16" s="1"/>
      <c r="S16" s="1"/>
      <c r="T16" s="1"/>
      <c r="U16" s="1"/>
      <c r="V16" s="1"/>
      <c r="W16" s="1"/>
      <c r="X16" s="1"/>
      <c r="Y16" s="1"/>
      <c r="Z16" s="1"/>
      <c r="AA16" s="1"/>
      <c r="AB16" s="1"/>
      <c r="AC16" s="1"/>
      <c r="AD16" s="1"/>
      <c r="AE16" s="1"/>
      <c r="AF16" s="1"/>
      <c r="AG16" s="1"/>
      <c r="AH16" s="1"/>
      <c r="AI16" s="1"/>
      <c r="AJ16" s="1"/>
      <c r="AK16" s="1"/>
      <c r="AL16" s="1"/>
      <c r="AM16" s="1"/>
      <c r="AN16" s="1"/>
      <c r="AO16" s="1"/>
      <c r="AP16" s="1"/>
      <c r="AQ16" s="1"/>
      <c r="AR16" s="1"/>
      <c r="AS16" s="1"/>
      <c r="AT16" s="1"/>
      <c r="AU16" s="1"/>
      <c r="AV16" s="1"/>
    </row>
    <row r="17" spans="1:48" ht="11.25" customHeight="1" x14ac:dyDescent="0.2">
      <c r="B17" s="19" t="str">
        <f>'Input data'!B19</f>
        <v>Cost of ageing and selected public revenue (based on the Commission-Council 2024 Ageing Report ("AR 2024"))</v>
      </c>
      <c r="C17" s="1"/>
      <c r="D17" s="1"/>
      <c r="E17" s="1"/>
      <c r="F17" s="1"/>
      <c r="G17" s="1"/>
      <c r="H17" s="1"/>
      <c r="I17" s="1"/>
      <c r="J17" s="1"/>
      <c r="K17" s="1"/>
      <c r="L17" s="1"/>
      <c r="M17" s="1"/>
      <c r="N17" s="1"/>
      <c r="O17" s="1"/>
      <c r="P17" s="1"/>
      <c r="Q17" s="1"/>
      <c r="R17" s="1"/>
      <c r="S17" s="1"/>
      <c r="T17" s="1"/>
      <c r="U17" s="1"/>
      <c r="V17" s="1"/>
      <c r="W17" s="1"/>
      <c r="X17" s="1"/>
      <c r="Y17" s="1"/>
      <c r="Z17" s="1"/>
      <c r="AA17" s="1"/>
      <c r="AB17" s="1"/>
      <c r="AC17" s="1"/>
      <c r="AD17" s="1"/>
      <c r="AE17" s="1"/>
      <c r="AF17" s="1"/>
      <c r="AG17" s="1"/>
      <c r="AH17" s="1"/>
      <c r="AI17" s="1"/>
      <c r="AJ17" s="1"/>
      <c r="AK17" s="1"/>
      <c r="AL17" s="1"/>
      <c r="AM17" s="1"/>
      <c r="AN17" s="1"/>
      <c r="AO17" s="1"/>
      <c r="AP17" s="1"/>
      <c r="AQ17" s="1"/>
      <c r="AR17" s="1"/>
      <c r="AS17" s="1"/>
      <c r="AT17" s="1"/>
      <c r="AU17" s="1"/>
      <c r="AV17" s="1"/>
    </row>
    <row r="18" spans="1:48" x14ac:dyDescent="0.2">
      <c r="A18" s="47"/>
      <c r="B18" s="15" t="s">
        <v>30</v>
      </c>
      <c r="C18" s="78">
        <f>'Input data'!C20</f>
        <v>18.200000000000003</v>
      </c>
      <c r="D18" s="78">
        <f>'Input data'!D20</f>
        <v>18.100000000000001</v>
      </c>
      <c r="E18" s="78">
        <f>'Input data'!E20</f>
        <v>18.100000000000001</v>
      </c>
      <c r="F18" s="78">
        <f>'Input data'!F20</f>
        <v>18.3</v>
      </c>
      <c r="G18" s="78">
        <f>'Input data'!G20</f>
        <v>18.400000000000002</v>
      </c>
      <c r="H18" s="78">
        <f>'Input data'!H20</f>
        <v>18.499999999999996</v>
      </c>
      <c r="I18" s="78">
        <f>'Input data'!I20</f>
        <v>18.599999999999998</v>
      </c>
      <c r="J18" s="78">
        <f>'Input data'!J20</f>
        <v>18.899999999999999</v>
      </c>
      <c r="K18" s="78">
        <f>'Input data'!K20</f>
        <v>19.099999999999998</v>
      </c>
      <c r="L18" s="78">
        <f>'Input data'!L20</f>
        <v>19.2</v>
      </c>
      <c r="M18" s="78">
        <f>'Input data'!M20</f>
        <v>19.299999999999997</v>
      </c>
      <c r="N18" s="78">
        <f>'Input data'!N20</f>
        <v>19.399999999999999</v>
      </c>
      <c r="O18" s="78">
        <f>'Input data'!O20</f>
        <v>19.599999999999998</v>
      </c>
      <c r="P18" s="78">
        <f>'Input data'!P20</f>
        <v>19.799999999999997</v>
      </c>
      <c r="Q18" s="78">
        <f>'Input data'!Q20</f>
        <v>19.799999999999997</v>
      </c>
      <c r="R18" s="78">
        <f>'Input data'!R20</f>
        <v>19.899999999999999</v>
      </c>
      <c r="S18" s="78">
        <f>'Input data'!S20</f>
        <v>19.999999999999996</v>
      </c>
      <c r="T18" s="78">
        <f>'Input data'!T20</f>
        <v>20.2</v>
      </c>
      <c r="U18" s="78">
        <f>'Input data'!U20</f>
        <v>20.2</v>
      </c>
      <c r="V18" s="1"/>
      <c r="W18" s="1"/>
      <c r="X18" s="1"/>
      <c r="Y18" s="1"/>
      <c r="Z18" s="1"/>
      <c r="AA18" s="1"/>
      <c r="AB18" s="1"/>
      <c r="AC18" s="1"/>
      <c r="AD18" s="1"/>
      <c r="AE18" s="1"/>
      <c r="AF18" s="1"/>
      <c r="AG18" s="1"/>
      <c r="AH18" s="1"/>
      <c r="AI18" s="1"/>
      <c r="AJ18" s="1"/>
      <c r="AK18" s="1"/>
      <c r="AL18" s="1"/>
      <c r="AM18" s="1"/>
      <c r="AN18" s="1"/>
      <c r="AO18" s="1"/>
      <c r="AP18" s="1"/>
      <c r="AQ18" s="1"/>
      <c r="AR18" s="1"/>
      <c r="AS18" s="1"/>
      <c r="AT18" s="1"/>
      <c r="AU18" s="1"/>
      <c r="AV18" s="1"/>
    </row>
    <row r="19" spans="1:48" x14ac:dyDescent="0.2">
      <c r="A19" s="47"/>
      <c r="B19" s="15" t="s">
        <v>36</v>
      </c>
      <c r="C19" s="78">
        <f>'Input data'!C26</f>
        <v>0.62657079999999998</v>
      </c>
      <c r="D19" s="78">
        <f>'Input data'!D26</f>
        <v>0.62083049999999995</v>
      </c>
      <c r="E19" s="78">
        <f>'Input data'!E26</f>
        <v>0.61509020000000003</v>
      </c>
      <c r="F19" s="78">
        <f>'Input data'!F26</f>
        <v>0.60934980000000005</v>
      </c>
      <c r="G19" s="78">
        <f>'Input data'!G26</f>
        <v>0.60360959999999997</v>
      </c>
      <c r="H19" s="78">
        <f>'Input data'!H26</f>
        <v>0.59786930000000005</v>
      </c>
      <c r="I19" s="78">
        <f>'Input data'!I26</f>
        <v>0.59212889999999996</v>
      </c>
      <c r="J19" s="78">
        <f>'Input data'!J26</f>
        <v>0.58638860000000004</v>
      </c>
      <c r="K19" s="78">
        <f>'Input data'!K26</f>
        <v>0.58064830000000001</v>
      </c>
      <c r="L19" s="78">
        <f>'Input data'!L26</f>
        <v>0.57490799999999997</v>
      </c>
      <c r="M19" s="78">
        <f>'Input data'!M26</f>
        <v>0.56916770000000005</v>
      </c>
      <c r="N19" s="78">
        <f>'Input data'!N26</f>
        <v>0.56342729999999996</v>
      </c>
      <c r="O19" s="78">
        <f>'Input data'!O26</f>
        <v>0.55768700000000004</v>
      </c>
      <c r="P19" s="78">
        <f>'Input data'!P26</f>
        <v>0.55194679999999996</v>
      </c>
      <c r="Q19" s="78">
        <f>'Input data'!Q26</f>
        <v>0.54620639999999998</v>
      </c>
      <c r="R19" s="78">
        <f>'Input data'!R26</f>
        <v>0.54046609999999995</v>
      </c>
      <c r="S19" s="78">
        <f>'Input data'!S26</f>
        <v>0.53472580000000003</v>
      </c>
      <c r="T19" s="78">
        <f>'Input data'!T26</f>
        <v>0.5289855</v>
      </c>
      <c r="U19" s="78">
        <f>'Input data'!U26</f>
        <v>0.52324519999999997</v>
      </c>
      <c r="V19" s="1"/>
      <c r="W19" s="1"/>
      <c r="X19" s="1"/>
      <c r="Y19" s="1"/>
      <c r="Z19" s="1"/>
      <c r="AA19" s="1"/>
      <c r="AB19" s="1"/>
      <c r="AC19" s="1"/>
      <c r="AD19" s="1"/>
      <c r="AE19" s="1"/>
      <c r="AF19" s="1"/>
      <c r="AG19" s="1"/>
      <c r="AH19" s="1"/>
      <c r="AI19" s="1"/>
      <c r="AJ19" s="1"/>
      <c r="AK19" s="1"/>
      <c r="AL19" s="1"/>
      <c r="AM19" s="1"/>
      <c r="AN19" s="1"/>
      <c r="AO19" s="1"/>
      <c r="AP19" s="1"/>
      <c r="AQ19" s="1"/>
      <c r="AR19" s="1"/>
      <c r="AS19" s="1"/>
      <c r="AT19" s="1"/>
      <c r="AU19" s="1"/>
      <c r="AV19" s="1"/>
    </row>
    <row r="21" spans="1:48" x14ac:dyDescent="0.2">
      <c r="B21" s="17" t="s">
        <v>55</v>
      </c>
    </row>
    <row r="22" spans="1:48" ht="10.5" customHeight="1" x14ac:dyDescent="0.2">
      <c r="B22" s="19" t="s">
        <v>56</v>
      </c>
    </row>
    <row r="23" spans="1:48" x14ac:dyDescent="0.2">
      <c r="B23" s="15" t="s">
        <v>39</v>
      </c>
      <c r="C23" s="77">
        <f>'Baseline NFPC'!C22</f>
        <v>915.50049999999999</v>
      </c>
      <c r="D23" s="77">
        <f>'Baseline NFPC'!D22</f>
        <v>931.03352233334999</v>
      </c>
      <c r="E23" s="23">
        <f>IF(AND(E50&gt;1,D50&gt;1),
E27*(1+('Baseline NFPC'!E$29+E51)/100)-D23*$C$47*(E12-D12)/100,
IF(E50=1,E27,D23*(1+E52/100)))</f>
        <v>942.89253389306543</v>
      </c>
      <c r="F23" s="23">
        <f>IF(AND(F50&gt;1,E50&gt;1),
F27*(1+('Baseline NFPC'!F$29+F51)/100)-E23*$C$47*(F12-E12)/100,
IF(F50=1,F27,E23*(1+F52/100)))</f>
        <v>957.80782087433295</v>
      </c>
      <c r="G23" s="23">
        <f t="shared" ref="G23:U23" si="3">IF(AND(G50&gt;1,F50&gt;1),
G27*(1+G51/100)-F23*$C$47*(G12-F12)/100,
IF(G50=1,G27,F23*(1+G52/100)))</f>
        <v>972.37989948303675</v>
      </c>
      <c r="H23" s="23">
        <f t="shared" si="3"/>
        <v>986.12623964604848</v>
      </c>
      <c r="I23" s="23">
        <f t="shared" si="3"/>
        <v>999.87117287336923</v>
      </c>
      <c r="J23" s="23">
        <f t="shared" si="3"/>
        <v>1010.5610555490633</v>
      </c>
      <c r="K23" s="23">
        <f t="shared" si="3"/>
        <v>1021.0133896027129</v>
      </c>
      <c r="L23" s="23">
        <f t="shared" si="3"/>
        <v>1031.3514666865913</v>
      </c>
      <c r="M23" s="23">
        <f t="shared" si="3"/>
        <v>1041.9392383354784</v>
      </c>
      <c r="N23" s="23">
        <f t="shared" si="3"/>
        <v>1052.9311867496908</v>
      </c>
      <c r="O23" s="23">
        <f t="shared" si="3"/>
        <v>1064.8640453598134</v>
      </c>
      <c r="P23" s="23">
        <f t="shared" si="3"/>
        <v>1077.7665131599774</v>
      </c>
      <c r="Q23" s="23">
        <f t="shared" si="3"/>
        <v>1091.6697119574064</v>
      </c>
      <c r="R23" s="23">
        <f t="shared" si="3"/>
        <v>1107.4989336974859</v>
      </c>
      <c r="S23" s="23">
        <f t="shared" si="3"/>
        <v>1125.329622230058</v>
      </c>
      <c r="T23" s="23">
        <f t="shared" si="3"/>
        <v>1144.0100376925959</v>
      </c>
      <c r="U23" s="23">
        <f t="shared" si="3"/>
        <v>1163.572655097541</v>
      </c>
      <c r="V23" s="23"/>
      <c r="W23" s="23"/>
      <c r="X23" s="23"/>
      <c r="Y23" s="23"/>
      <c r="Z23" s="23"/>
      <c r="AA23" s="23"/>
      <c r="AB23" s="23"/>
      <c r="AC23" s="23"/>
      <c r="AD23" s="23"/>
      <c r="AE23" s="23"/>
      <c r="AF23" s="23"/>
      <c r="AG23" s="23"/>
      <c r="AH23" s="23"/>
      <c r="AI23" s="23"/>
      <c r="AJ23" s="23"/>
      <c r="AK23" s="23"/>
      <c r="AL23" s="23"/>
      <c r="AM23" s="23"/>
      <c r="AN23" s="23"/>
      <c r="AO23" s="23"/>
      <c r="AP23" s="23"/>
      <c r="AQ23" s="23"/>
      <c r="AR23" s="23"/>
      <c r="AS23" s="23"/>
      <c r="AT23" s="23"/>
    </row>
    <row r="24" spans="1:48" x14ac:dyDescent="0.2">
      <c r="A24" s="47"/>
      <c r="B24" s="48" t="s">
        <v>38</v>
      </c>
      <c r="C24" s="77">
        <f>'Baseline NFPC'!C23</f>
        <v>1.081005</v>
      </c>
      <c r="D24" s="77">
        <f>'Baseline NFPC'!D23</f>
        <v>1.6966699999999999</v>
      </c>
      <c r="E24" s="23">
        <f t="shared" ref="E24:Q24" si="4">100*(E23/D23-1)</f>
        <v>1.2737470000000028</v>
      </c>
      <c r="F24" s="23">
        <f t="shared" si="4"/>
        <v>1.5818649999999934</v>
      </c>
      <c r="G24" s="23">
        <f t="shared" si="4"/>
        <v>1.52139899999999</v>
      </c>
      <c r="H24" s="23">
        <f t="shared" si="4"/>
        <v>1.4136799999999949</v>
      </c>
      <c r="I24" s="23">
        <f t="shared" si="4"/>
        <v>1.3938309999999898</v>
      </c>
      <c r="J24" s="23">
        <f t="shared" si="4"/>
        <v>1.069125999999998</v>
      </c>
      <c r="K24" s="23">
        <f t="shared" si="4"/>
        <v>1.0343100000000049</v>
      </c>
      <c r="L24" s="23">
        <f t="shared" si="4"/>
        <v>1.0125310000000054</v>
      </c>
      <c r="M24" s="23">
        <f t="shared" si="4"/>
        <v>1.0265919999999928</v>
      </c>
      <c r="N24" s="23">
        <f t="shared" si="4"/>
        <v>1.0549509999999929</v>
      </c>
      <c r="O24" s="23">
        <f t="shared" si="4"/>
        <v>1.1332990000000098</v>
      </c>
      <c r="P24" s="23">
        <f t="shared" si="4"/>
        <v>1.2116540000000064</v>
      </c>
      <c r="Q24" s="23">
        <f t="shared" si="4"/>
        <v>1.2900010000000073</v>
      </c>
      <c r="R24" s="23">
        <f>100*(R23/Q23-1)</f>
        <v>1.4500009999999897</v>
      </c>
      <c r="S24" s="23">
        <f t="shared" ref="S24:U24" si="5">100*(S23/R23-1)</f>
        <v>1.6099960000000024</v>
      </c>
      <c r="T24" s="23">
        <f t="shared" si="5"/>
        <v>1.659995000000003</v>
      </c>
      <c r="U24" s="23">
        <f t="shared" si="5"/>
        <v>1.7100040000000094</v>
      </c>
      <c r="V24" s="1"/>
      <c r="W24" s="1"/>
      <c r="X24" s="1"/>
      <c r="Y24" s="1"/>
      <c r="Z24" s="1"/>
      <c r="AA24" s="1"/>
      <c r="AB24" s="1"/>
      <c r="AC24" s="1"/>
      <c r="AD24" s="1"/>
      <c r="AE24" s="1"/>
      <c r="AF24" s="1"/>
      <c r="AG24" s="1"/>
      <c r="AH24" s="1"/>
      <c r="AI24" s="1"/>
      <c r="AJ24" s="1"/>
      <c r="AK24" s="1"/>
      <c r="AL24" s="1"/>
      <c r="AM24" s="1"/>
      <c r="AN24" s="1"/>
      <c r="AO24" s="1"/>
      <c r="AP24" s="1"/>
      <c r="AQ24" s="1"/>
      <c r="AR24" s="1"/>
      <c r="AS24" s="1"/>
      <c r="AT24" s="1"/>
      <c r="AU24" s="1"/>
      <c r="AV24" s="1"/>
    </row>
    <row r="25" spans="1:48" ht="5.25" customHeight="1" x14ac:dyDescent="0.2">
      <c r="C25" s="23"/>
      <c r="D25" s="23"/>
      <c r="E25" s="23"/>
      <c r="F25" s="23"/>
      <c r="G25" s="23"/>
      <c r="H25" s="23"/>
      <c r="I25" s="23"/>
      <c r="J25" s="23"/>
      <c r="K25" s="23"/>
      <c r="L25" s="23"/>
      <c r="M25" s="23"/>
      <c r="N25" s="23"/>
      <c r="O25" s="23"/>
      <c r="P25" s="23"/>
      <c r="Q25" s="23"/>
      <c r="R25" s="23"/>
      <c r="S25" s="23"/>
      <c r="T25" s="23"/>
      <c r="U25" s="23"/>
      <c r="V25" s="23"/>
      <c r="W25" s="23"/>
      <c r="X25" s="23"/>
      <c r="Y25" s="23"/>
      <c r="Z25" s="23"/>
      <c r="AA25" s="23"/>
      <c r="AB25" s="23"/>
      <c r="AC25" s="23"/>
      <c r="AD25" s="23"/>
      <c r="AE25" s="23"/>
      <c r="AF25" s="23"/>
      <c r="AG25" s="23"/>
      <c r="AH25" s="23"/>
      <c r="AI25" s="23"/>
      <c r="AJ25" s="23"/>
      <c r="AK25" s="23"/>
      <c r="AL25" s="23"/>
      <c r="AM25" s="23"/>
      <c r="AN25" s="23"/>
      <c r="AO25" s="23"/>
      <c r="AP25" s="23"/>
      <c r="AQ25" s="23"/>
      <c r="AR25" s="23"/>
      <c r="AS25" s="23"/>
      <c r="AT25" s="23"/>
    </row>
    <row r="26" spans="1:48" ht="15" x14ac:dyDescent="0.2">
      <c r="A26" s="155"/>
      <c r="B26" s="19" t="s">
        <v>57</v>
      </c>
      <c r="C26" s="154"/>
      <c r="D26" s="154"/>
    </row>
    <row r="27" spans="1:48" x14ac:dyDescent="0.2">
      <c r="B27" s="15" t="s">
        <v>39</v>
      </c>
      <c r="C27" s="77">
        <f>'Input data'!C34</f>
        <v>924.64139999999998</v>
      </c>
      <c r="D27" s="77">
        <f>+C27*(1+'Input data'!D33/100)</f>
        <v>939.95618002971605</v>
      </c>
      <c r="E27" s="23">
        <f>+D27*(1+'Input data'!E33/100)</f>
        <v>953.36237084432253</v>
      </c>
      <c r="F27" s="23">
        <f>+E27*(1+'Input data'!F33/100)</f>
        <v>965.68823086536565</v>
      </c>
      <c r="G27" s="23">
        <f>+F27*(1+'Input data'!G33/100)</f>
        <v>977.69888166793055</v>
      </c>
      <c r="H27" s="23">
        <f>+G27*(1+'Input data'!H33/100)</f>
        <v>988.81595345676794</v>
      </c>
      <c r="I27" s="23">
        <f>+H27*(1+'Input data'!I33/100)</f>
        <v>999.87118279672211</v>
      </c>
      <c r="J27" s="23">
        <f>+I27*(1+'Input data'!J33/100)</f>
        <v>1010.5610855759331</v>
      </c>
      <c r="K27" s="23">
        <f>+J27*(1+'Input data'!K33/100)</f>
        <v>1021.0134199401537</v>
      </c>
      <c r="L27" s="23">
        <f>+K27*(1+'Input data'!L33/100)</f>
        <v>1031.3514871210737</v>
      </c>
      <c r="M27" s="23">
        <f>+L27*(1+'Input data'!M33/100)</f>
        <v>1041.9392796067693</v>
      </c>
      <c r="N27" s="23">
        <f>+M27*(1+'Input data'!N33/100)</f>
        <v>1052.9311659400171</v>
      </c>
      <c r="O27" s="23">
        <f>+N27*(1+'Input data'!O33/100)</f>
        <v>1064.8640032556802</v>
      </c>
      <c r="P27" s="23">
        <f>+O27*(1+'Input data'!P33/100)</f>
        <v>1077.7664066538475</v>
      </c>
      <c r="Q27" s="23">
        <f>+P27*(1+'Input data'!Q33/100)</f>
        <v>1091.669593299682</v>
      </c>
      <c r="R27" s="23">
        <f>+Q27*(1+'Input data'!R33/100)</f>
        <v>1107.4988024025274</v>
      </c>
      <c r="S27" s="23">
        <f>+R27*(1+'Input data'!S33/100)</f>
        <v>1125.3295331212082</v>
      </c>
      <c r="T27" s="23">
        <f>+S27*(1+'Input data'!T33/100)</f>
        <v>1144.0100033710203</v>
      </c>
      <c r="U27" s="23">
        <f>+T27*(1+'Input data'!U33/100)</f>
        <v>1163.5725744286647</v>
      </c>
      <c r="V27" s="23"/>
      <c r="W27" s="23"/>
      <c r="X27" s="23"/>
      <c r="Y27" s="23"/>
      <c r="Z27" s="23"/>
      <c r="AA27" s="23"/>
      <c r="AB27" s="23"/>
      <c r="AC27" s="23"/>
      <c r="AD27" s="23"/>
      <c r="AE27" s="23"/>
      <c r="AF27" s="23"/>
      <c r="AG27" s="23"/>
      <c r="AH27" s="23"/>
      <c r="AI27" s="23"/>
      <c r="AJ27" s="23"/>
      <c r="AK27" s="23"/>
      <c r="AL27" s="23"/>
      <c r="AM27" s="23"/>
      <c r="AN27" s="23"/>
      <c r="AO27" s="23"/>
      <c r="AP27" s="23"/>
      <c r="AQ27" s="23"/>
      <c r="AR27" s="23"/>
      <c r="AS27" s="23"/>
      <c r="AT27" s="23"/>
    </row>
    <row r="28" spans="1:48" ht="5.25" customHeight="1" x14ac:dyDescent="0.2">
      <c r="C28" s="23"/>
      <c r="D28" s="23"/>
      <c r="E28" s="23"/>
      <c r="F28" s="23"/>
      <c r="G28" s="23"/>
      <c r="H28" s="23"/>
      <c r="I28" s="23"/>
      <c r="J28" s="23"/>
      <c r="K28" s="23"/>
      <c r="L28" s="23"/>
      <c r="M28" s="23"/>
      <c r="N28" s="23"/>
      <c r="O28" s="23"/>
      <c r="P28" s="23"/>
      <c r="Q28" s="23"/>
      <c r="R28" s="23"/>
      <c r="S28" s="23"/>
      <c r="T28" s="23"/>
      <c r="U28" s="23"/>
      <c r="V28" s="23"/>
      <c r="W28" s="23"/>
      <c r="X28" s="23"/>
      <c r="Y28" s="23"/>
      <c r="Z28" s="23"/>
      <c r="AA28" s="23"/>
      <c r="AB28" s="23"/>
      <c r="AC28" s="23"/>
      <c r="AD28" s="23"/>
      <c r="AE28" s="23"/>
      <c r="AF28" s="23"/>
      <c r="AG28" s="23"/>
      <c r="AH28" s="23"/>
      <c r="AI28" s="23"/>
      <c r="AJ28" s="23"/>
      <c r="AK28" s="23"/>
      <c r="AL28" s="23"/>
      <c r="AM28" s="23"/>
      <c r="AN28" s="23"/>
      <c r="AO28" s="23"/>
      <c r="AP28" s="23"/>
      <c r="AQ28" s="23"/>
      <c r="AR28" s="23"/>
      <c r="AS28" s="23"/>
      <c r="AT28" s="23"/>
    </row>
    <row r="29" spans="1:48" x14ac:dyDescent="0.2">
      <c r="B29" s="19" t="s">
        <v>58</v>
      </c>
      <c r="C29" s="23"/>
      <c r="D29" s="23"/>
      <c r="E29" s="23"/>
      <c r="F29" s="23"/>
      <c r="G29" s="23"/>
      <c r="H29" s="23"/>
      <c r="I29" s="23"/>
      <c r="J29" s="23"/>
      <c r="K29" s="23"/>
      <c r="L29" s="23"/>
      <c r="M29" s="23"/>
      <c r="N29" s="23"/>
      <c r="O29" s="23"/>
      <c r="P29" s="23"/>
      <c r="Q29" s="23"/>
      <c r="R29" s="23"/>
      <c r="S29" s="23"/>
      <c r="T29" s="23"/>
      <c r="U29" s="23"/>
      <c r="V29" s="23"/>
      <c r="W29" s="23"/>
      <c r="X29" s="23"/>
      <c r="Y29" s="23"/>
      <c r="Z29" s="23"/>
      <c r="AA29" s="23"/>
      <c r="AB29" s="23"/>
      <c r="AC29" s="23"/>
      <c r="AD29" s="23"/>
      <c r="AE29" s="23"/>
      <c r="AF29" s="23"/>
      <c r="AG29" s="23"/>
      <c r="AH29" s="23"/>
      <c r="AI29" s="23"/>
      <c r="AJ29" s="23"/>
      <c r="AK29" s="23"/>
      <c r="AL29" s="23"/>
      <c r="AM29" s="23"/>
      <c r="AN29" s="23"/>
      <c r="AO29" s="23"/>
      <c r="AP29" s="23"/>
      <c r="AQ29" s="23"/>
      <c r="AR29" s="23"/>
      <c r="AS29" s="23"/>
      <c r="AT29" s="23"/>
    </row>
    <row r="30" spans="1:48" x14ac:dyDescent="0.2">
      <c r="B30" s="15" t="s">
        <v>58</v>
      </c>
      <c r="C30" s="77">
        <f t="shared" ref="C30:U30" si="6">100*(C23/C27-1)</f>
        <v>-0.98858865718104427</v>
      </c>
      <c r="D30" s="77">
        <f t="shared" si="6"/>
        <v>-0.94926315565944108</v>
      </c>
      <c r="E30" s="23">
        <f t="shared" si="6"/>
        <v>-1.09820119520605</v>
      </c>
      <c r="F30" s="23">
        <f t="shared" si="6"/>
        <v>-0.81604080273102175</v>
      </c>
      <c r="G30" s="23">
        <f t="shared" si="6"/>
        <v>-0.54403071176881701</v>
      </c>
      <c r="H30" s="23">
        <f t="shared" si="6"/>
        <v>-0.27201359376500811</v>
      </c>
      <c r="I30" s="23">
        <f t="shared" si="6"/>
        <v>-9.9246313389755869E-7</v>
      </c>
      <c r="J30" s="23">
        <f t="shared" si="6"/>
        <v>-2.9713067561942808E-6</v>
      </c>
      <c r="K30" s="23">
        <f>100*(K23/K27-1)</f>
        <v>-2.9713067561942808E-6</v>
      </c>
      <c r="L30" s="23">
        <f t="shared" si="6"/>
        <v>-1.9813305773830336E-6</v>
      </c>
      <c r="M30" s="23">
        <f t="shared" si="6"/>
        <v>-3.9610072999352042E-6</v>
      </c>
      <c r="N30" s="23">
        <f t="shared" si="6"/>
        <v>1.9763565228814173E-6</v>
      </c>
      <c r="O30" s="23">
        <f t="shared" si="6"/>
        <v>3.9539446383685117E-6</v>
      </c>
      <c r="P30" s="23">
        <f t="shared" si="6"/>
        <v>9.8821163030393677E-6</v>
      </c>
      <c r="Q30" s="23">
        <f t="shared" si="6"/>
        <v>1.0869380728806277E-5</v>
      </c>
      <c r="R30" s="23">
        <f t="shared" si="6"/>
        <v>1.185508806678115E-5</v>
      </c>
      <c r="S30" s="23">
        <f t="shared" si="6"/>
        <v>7.9184671930576656E-6</v>
      </c>
      <c r="T30" s="23">
        <f t="shared" si="6"/>
        <v>3.0001114925681804E-6</v>
      </c>
      <c r="U30" s="23">
        <f t="shared" si="6"/>
        <v>6.9328616181252301E-6</v>
      </c>
      <c r="V30" s="23"/>
      <c r="W30" s="23"/>
      <c r="X30" s="23"/>
      <c r="Y30" s="23"/>
      <c r="Z30" s="23"/>
      <c r="AA30" s="23"/>
      <c r="AB30" s="23"/>
      <c r="AC30" s="23"/>
      <c r="AD30" s="23"/>
      <c r="AE30" s="23"/>
      <c r="AF30" s="23"/>
      <c r="AG30" s="23"/>
      <c r="AH30" s="23"/>
      <c r="AI30" s="23"/>
      <c r="AJ30" s="23"/>
      <c r="AK30" s="23"/>
      <c r="AL30" s="23"/>
      <c r="AM30" s="23"/>
      <c r="AN30" s="23"/>
      <c r="AO30" s="23"/>
      <c r="AP30" s="23"/>
      <c r="AQ30" s="23"/>
      <c r="AR30" s="23"/>
      <c r="AS30" s="23"/>
      <c r="AT30" s="23"/>
    </row>
    <row r="31" spans="1:48" ht="4.9000000000000004" customHeight="1" x14ac:dyDescent="0.2">
      <c r="C31" s="23"/>
      <c r="D31" s="23"/>
      <c r="E31" s="23"/>
      <c r="F31" s="23"/>
      <c r="G31" s="23"/>
      <c r="H31" s="23"/>
      <c r="I31" s="23"/>
      <c r="J31" s="23"/>
      <c r="K31" s="23"/>
      <c r="L31" s="23"/>
      <c r="M31" s="23"/>
      <c r="N31" s="23"/>
      <c r="O31" s="23"/>
      <c r="P31" s="23"/>
      <c r="Q31" s="23"/>
      <c r="R31" s="23"/>
      <c r="S31" s="23"/>
      <c r="T31" s="23"/>
      <c r="U31" s="23"/>
      <c r="V31" s="23"/>
      <c r="W31" s="23"/>
      <c r="X31" s="23"/>
      <c r="Y31" s="23"/>
      <c r="Z31" s="23"/>
      <c r="AA31" s="23"/>
      <c r="AB31" s="23"/>
      <c r="AC31" s="23"/>
      <c r="AD31" s="23"/>
      <c r="AE31" s="23"/>
      <c r="AF31" s="23"/>
      <c r="AG31" s="23"/>
      <c r="AH31" s="23"/>
      <c r="AI31" s="23"/>
      <c r="AJ31" s="23"/>
      <c r="AK31" s="23"/>
      <c r="AL31" s="23"/>
      <c r="AM31" s="23"/>
      <c r="AN31" s="23"/>
      <c r="AO31" s="23"/>
      <c r="AP31" s="23"/>
      <c r="AQ31" s="23"/>
      <c r="AR31" s="23"/>
      <c r="AS31" s="23"/>
      <c r="AT31" s="23"/>
    </row>
    <row r="32" spans="1:48" x14ac:dyDescent="0.2">
      <c r="B32" s="19" t="s">
        <v>59</v>
      </c>
      <c r="C32" s="23"/>
      <c r="D32" s="23"/>
      <c r="E32" s="23"/>
      <c r="F32" s="23"/>
      <c r="G32" s="23"/>
      <c r="H32" s="23"/>
      <c r="I32" s="23"/>
      <c r="J32" s="23"/>
      <c r="K32" s="23"/>
      <c r="L32" s="23"/>
      <c r="M32" s="23"/>
      <c r="N32" s="23"/>
      <c r="O32" s="23"/>
      <c r="P32" s="23"/>
      <c r="Q32" s="23"/>
      <c r="R32" s="23"/>
      <c r="S32" s="23"/>
      <c r="T32" s="23"/>
      <c r="U32" s="23"/>
      <c r="V32" s="23"/>
      <c r="W32" s="23"/>
      <c r="X32" s="23"/>
      <c r="Y32" s="23"/>
      <c r="Z32" s="23"/>
      <c r="AA32" s="23"/>
      <c r="AB32" s="23"/>
      <c r="AC32" s="23"/>
      <c r="AD32" s="23"/>
      <c r="AE32" s="23"/>
      <c r="AF32" s="23"/>
      <c r="AG32" s="23"/>
      <c r="AH32" s="23"/>
      <c r="AI32" s="23"/>
      <c r="AJ32" s="23"/>
      <c r="AK32" s="23"/>
      <c r="AL32" s="23"/>
      <c r="AM32" s="23"/>
      <c r="AN32" s="23"/>
      <c r="AO32" s="23"/>
      <c r="AP32" s="23"/>
      <c r="AQ32" s="23"/>
      <c r="AR32" s="23"/>
      <c r="AS32" s="23"/>
      <c r="AT32" s="23"/>
    </row>
    <row r="33" spans="2:49" x14ac:dyDescent="0.2">
      <c r="B33" s="15" t="s">
        <v>38</v>
      </c>
      <c r="C33" s="2">
        <f t="shared" ref="C33:U33" si="7">100*((1+C24/100)*(1+C42/100)-1)</f>
        <v>6.8873142405506904</v>
      </c>
      <c r="D33" s="2">
        <f>100*((1+D24/100)*(1+D42/100)-1)</f>
        <v>4.9045765379128969</v>
      </c>
      <c r="E33" s="1">
        <f>100*((1+E24/100)*(1+E42/100)-1)</f>
        <v>4.5782425239369706</v>
      </c>
      <c r="F33" s="1">
        <f t="shared" si="7"/>
        <v>3.7184495721874322</v>
      </c>
      <c r="G33" s="1">
        <f t="shared" si="7"/>
        <v>3.6791336722302503</v>
      </c>
      <c r="H33" s="1">
        <f t="shared" si="7"/>
        <v>3.5915233124137913</v>
      </c>
      <c r="I33" s="1">
        <f t="shared" si="7"/>
        <v>3.5936417729381498</v>
      </c>
      <c r="J33" s="1">
        <f t="shared" si="7"/>
        <v>3.2842140694721911</v>
      </c>
      <c r="K33" s="1">
        <f t="shared" si="7"/>
        <v>3.2709493337588658</v>
      </c>
      <c r="L33" s="1">
        <f t="shared" si="7"/>
        <v>3.2709977041380123</v>
      </c>
      <c r="M33" s="1">
        <f t="shared" si="7"/>
        <v>3.3076856907741092</v>
      </c>
      <c r="N33" s="1">
        <f t="shared" si="7"/>
        <v>3.3590038827999935</v>
      </c>
      <c r="O33" s="1">
        <f t="shared" si="7"/>
        <v>3.424979555340002</v>
      </c>
      <c r="P33" s="1">
        <f t="shared" si="7"/>
        <v>3.4909404480800266</v>
      </c>
      <c r="Q33" s="1">
        <f t="shared" si="7"/>
        <v>3.5568712223800203</v>
      </c>
      <c r="R33" s="1">
        <f t="shared" si="7"/>
        <v>3.7062490222399935</v>
      </c>
      <c r="S33" s="1">
        <f>100*((1+S24/100)*(1+S42/100)-1)</f>
        <v>3.8555769116000116</v>
      </c>
      <c r="T33" s="1">
        <f t="shared" si="7"/>
        <v>3.8924484902000067</v>
      </c>
      <c r="U33" s="1">
        <f t="shared" si="7"/>
        <v>3.9293162872799936</v>
      </c>
      <c r="V33" s="1"/>
      <c r="W33" s="1"/>
      <c r="X33" s="1"/>
      <c r="Y33" s="1"/>
      <c r="Z33" s="1"/>
      <c r="AA33" s="1"/>
      <c r="AB33" s="1"/>
      <c r="AC33" s="1"/>
      <c r="AD33" s="1"/>
      <c r="AE33" s="1"/>
      <c r="AF33" s="1"/>
      <c r="AG33" s="1"/>
      <c r="AH33" s="1"/>
      <c r="AI33" s="1"/>
      <c r="AJ33" s="1"/>
      <c r="AK33" s="1"/>
      <c r="AL33" s="1"/>
      <c r="AM33" s="1"/>
      <c r="AN33" s="1"/>
      <c r="AO33" s="1"/>
      <c r="AP33" s="1"/>
      <c r="AQ33" s="1"/>
      <c r="AR33" s="1"/>
      <c r="AS33" s="1"/>
      <c r="AT33" s="1"/>
      <c r="AU33" s="1"/>
      <c r="AV33" s="1"/>
    </row>
    <row r="35" spans="2:49" x14ac:dyDescent="0.2">
      <c r="B35" s="17" t="s">
        <v>108</v>
      </c>
    </row>
    <row r="36" spans="2:49" x14ac:dyDescent="0.2">
      <c r="B36" s="15" t="s">
        <v>41</v>
      </c>
      <c r="C36" s="77">
        <f>'Input data'!C37</f>
        <v>1.6465860000000001</v>
      </c>
      <c r="D36" s="77">
        <f>'Input data'!D37</f>
        <v>1.72</v>
      </c>
      <c r="E36" s="77">
        <f>'Input data'!E37</f>
        <v>1.7322979999999999</v>
      </c>
      <c r="F36" s="23">
        <f t="shared" ref="F36:U36" si="8">F101</f>
        <v>1.8261286864640409</v>
      </c>
      <c r="G36" s="23">
        <f t="shared" si="8"/>
        <v>1.9630296945412431</v>
      </c>
      <c r="H36" s="23">
        <f t="shared" si="8"/>
        <v>2.0990021112154578</v>
      </c>
      <c r="I36" s="23">
        <f t="shared" si="8"/>
        <v>2.2341189502873262</v>
      </c>
      <c r="J36" s="23">
        <f t="shared" si="8"/>
        <v>2.3707682654718401</v>
      </c>
      <c r="K36" s="23">
        <f t="shared" si="8"/>
        <v>2.5163135145761926</v>
      </c>
      <c r="L36" s="23">
        <f t="shared" si="8"/>
        <v>2.6668445435221684</v>
      </c>
      <c r="M36" s="23">
        <f t="shared" si="8"/>
        <v>2.8190428021329632</v>
      </c>
      <c r="N36" s="23">
        <f t="shared" si="8"/>
        <v>2.9720714048098702</v>
      </c>
      <c r="O36" s="23">
        <f t="shared" si="8"/>
        <v>3.0930602897416488</v>
      </c>
      <c r="P36" s="23">
        <f t="shared" si="8"/>
        <v>3.1995877564739863</v>
      </c>
      <c r="Q36" s="23">
        <f t="shared" si="8"/>
        <v>3.2926033809413693</v>
      </c>
      <c r="R36" s="23">
        <f t="shared" si="8"/>
        <v>3.371509463463886</v>
      </c>
      <c r="S36" s="23">
        <f t="shared" si="8"/>
        <v>3.4390552413114404</v>
      </c>
      <c r="T36" s="23">
        <f t="shared" si="8"/>
        <v>3.4966457409306697</v>
      </c>
      <c r="U36" s="23">
        <f t="shared" si="8"/>
        <v>3.546025878668484</v>
      </c>
    </row>
    <row r="37" spans="2:49" x14ac:dyDescent="0.2">
      <c r="B37" s="21" t="s">
        <v>61</v>
      </c>
      <c r="C37" s="2">
        <f>'Input data'!C$39</f>
        <v>2.6204999999999998</v>
      </c>
      <c r="D37" s="135">
        <f>'Input data'!D$39</f>
        <v>2.78965</v>
      </c>
      <c r="E37" s="135">
        <f>'Input data'!E$39</f>
        <v>2.8949530000000001</v>
      </c>
      <c r="F37" s="135">
        <f>'Input data'!F$39</f>
        <v>3.0816759999999999</v>
      </c>
      <c r="G37" s="1">
        <f>'Baseline NFPC'!G36</f>
        <v>3.188669</v>
      </c>
      <c r="H37" s="1">
        <f>'Baseline NFPC'!H36</f>
        <v>3.2956620000000001</v>
      </c>
      <c r="I37" s="1">
        <f>'Baseline NFPC'!I36</f>
        <v>3.4026550000000002</v>
      </c>
      <c r="J37" s="1">
        <f>'Baseline NFPC'!J36</f>
        <v>3.5096480000000003</v>
      </c>
      <c r="K37" s="1">
        <f>'Baseline NFPC'!K36</f>
        <v>3.6166410000000004</v>
      </c>
      <c r="L37" s="1">
        <f>'Baseline NFPC'!L36</f>
        <v>3.7236340000000006</v>
      </c>
      <c r="M37" s="1">
        <f>'Baseline NFPC'!M36</f>
        <v>3.8306270000000007</v>
      </c>
      <c r="N37" s="175">
        <f>'Baseline NFPC'!N36</f>
        <v>3.9376199999999999</v>
      </c>
      <c r="O37" s="1">
        <f>'Baseline NFPC'!O36</f>
        <v>3.9407389999999998</v>
      </c>
      <c r="P37" s="1">
        <f>'Baseline NFPC'!P36</f>
        <v>3.9438580000000001</v>
      </c>
      <c r="Q37" s="1">
        <f>'Baseline NFPC'!Q36</f>
        <v>3.946977</v>
      </c>
      <c r="R37" s="1">
        <f>'Baseline NFPC'!R36</f>
        <v>3.9500959999999998</v>
      </c>
      <c r="S37" s="1">
        <f>'Baseline NFPC'!S36</f>
        <v>3.9532150000000001</v>
      </c>
      <c r="T37" s="1">
        <f>'Baseline NFPC'!T36</f>
        <v>3.956334</v>
      </c>
      <c r="U37" s="1">
        <f>'Baseline NFPC'!U36</f>
        <v>3.9594529999999999</v>
      </c>
      <c r="V37" s="45"/>
      <c r="W37" s="45"/>
      <c r="X37" s="45"/>
      <c r="Y37" s="45"/>
      <c r="Z37" s="45"/>
      <c r="AA37" s="45"/>
      <c r="AB37" s="45"/>
      <c r="AC37" s="45"/>
      <c r="AD37" s="45"/>
      <c r="AE37" s="45"/>
      <c r="AF37" s="45"/>
      <c r="AG37" s="45"/>
      <c r="AH37" s="45"/>
      <c r="AI37" s="45"/>
      <c r="AJ37" s="45"/>
      <c r="AK37" s="45"/>
      <c r="AL37" s="45"/>
      <c r="AM37" s="45"/>
      <c r="AN37" s="45"/>
      <c r="AO37" s="45"/>
      <c r="AP37" s="45"/>
      <c r="AQ37" s="45"/>
      <c r="AR37" s="45"/>
      <c r="AS37" s="45"/>
      <c r="AT37" s="45"/>
      <c r="AU37" s="45"/>
      <c r="AV37" s="45"/>
      <c r="AW37" s="46"/>
    </row>
    <row r="38" spans="2:49" x14ac:dyDescent="0.2">
      <c r="B38" s="21" t="s">
        <v>62</v>
      </c>
      <c r="C38" s="2">
        <f>'Input data'!C$38</f>
        <v>3.5708329999999999</v>
      </c>
      <c r="D38" s="135">
        <f>'Input data'!D$38</f>
        <v>2.1725829999999999</v>
      </c>
      <c r="E38" s="135">
        <f>'Input data'!E$38</f>
        <v>1.91225</v>
      </c>
      <c r="F38" s="135">
        <f>'Input data'!F$38</f>
        <v>2.024375</v>
      </c>
      <c r="G38" s="1">
        <f>'Baseline NFPC'!G37</f>
        <v>2.1784318750000002</v>
      </c>
      <c r="H38" s="1">
        <f>'Baseline NFPC'!H37</f>
        <v>2.3324887500000004</v>
      </c>
      <c r="I38" s="1">
        <f>'Baseline NFPC'!I37</f>
        <v>2.4865456250000006</v>
      </c>
      <c r="J38" s="1">
        <f>'Baseline NFPC'!J37</f>
        <v>2.6406025000000009</v>
      </c>
      <c r="K38" s="1">
        <f>'Baseline NFPC'!K37</f>
        <v>2.7946593750000011</v>
      </c>
      <c r="L38" s="1">
        <f>'Baseline NFPC'!L37</f>
        <v>2.9487162500000013</v>
      </c>
      <c r="M38" s="1">
        <f>'Baseline NFPC'!M37</f>
        <v>3.1027731250000015</v>
      </c>
      <c r="N38" s="175">
        <f>'Baseline NFPC'!N37</f>
        <v>3.2568299999999999</v>
      </c>
      <c r="O38" s="1">
        <f>'Baseline NFPC'!O37</f>
        <v>3.1939884999999997</v>
      </c>
      <c r="P38" s="1">
        <f>'Baseline NFPC'!P37</f>
        <v>3.1311469999999999</v>
      </c>
      <c r="Q38" s="1">
        <f>'Baseline NFPC'!Q37</f>
        <v>3.0683055000000001</v>
      </c>
      <c r="R38" s="1">
        <f>'Baseline NFPC'!R37</f>
        <v>3.0054639999999999</v>
      </c>
      <c r="S38" s="1">
        <f>'Baseline NFPC'!S37</f>
        <v>2.9426224999999997</v>
      </c>
      <c r="T38" s="1">
        <f>'Baseline NFPC'!T37</f>
        <v>2.8797809999999999</v>
      </c>
      <c r="U38" s="1">
        <f>'Baseline NFPC'!U37</f>
        <v>2.8169395000000002</v>
      </c>
      <c r="V38" s="45"/>
      <c r="W38" s="45"/>
      <c r="X38" s="45"/>
      <c r="Y38" s="45"/>
      <c r="Z38" s="45"/>
      <c r="AA38" s="45"/>
      <c r="AB38" s="45"/>
      <c r="AC38" s="45"/>
      <c r="AD38" s="45"/>
      <c r="AE38" s="45"/>
      <c r="AF38" s="45"/>
      <c r="AG38" s="45"/>
      <c r="AH38" s="45"/>
      <c r="AI38" s="45"/>
      <c r="AJ38" s="45"/>
      <c r="AK38" s="45"/>
      <c r="AL38" s="45"/>
      <c r="AM38" s="45"/>
      <c r="AN38" s="45"/>
      <c r="AO38" s="45"/>
      <c r="AP38" s="45"/>
      <c r="AQ38" s="45"/>
      <c r="AR38" s="45"/>
      <c r="AS38" s="45"/>
      <c r="AT38" s="45"/>
      <c r="AU38" s="45"/>
      <c r="AV38" s="45"/>
      <c r="AW38" s="46"/>
    </row>
    <row r="39" spans="2:49" s="4" customFormat="1" ht="12.75" x14ac:dyDescent="0.2">
      <c r="B39" s="15" t="s">
        <v>63</v>
      </c>
      <c r="C39" s="23">
        <f>'Baseline NFPC'!C38</f>
        <v>8.8379020000000003E-2</v>
      </c>
      <c r="D39" s="23">
        <f>'Baseline NFPC'!D38</f>
        <v>5.4600460000000003E-2</v>
      </c>
      <c r="E39" s="23">
        <f>'Baseline NFPC'!E38</f>
        <v>5.7955769999999997E-2</v>
      </c>
      <c r="F39" s="23">
        <f>'Baseline NFPC'!F38</f>
        <v>6.131108111111111E-2</v>
      </c>
      <c r="G39" s="23">
        <f>'Baseline NFPC'!G38</f>
        <v>6.4666392222222216E-2</v>
      </c>
      <c r="H39" s="23">
        <f>'Baseline NFPC'!H38</f>
        <v>6.8021703333333336E-2</v>
      </c>
      <c r="I39" s="23">
        <f>'Baseline NFPC'!I38</f>
        <v>7.1377014444444442E-2</v>
      </c>
      <c r="J39" s="23">
        <f>'Baseline NFPC'!J38</f>
        <v>7.4732325555555562E-2</v>
      </c>
      <c r="K39" s="23">
        <f>'Baseline NFPC'!K38</f>
        <v>7.8087636666666668E-2</v>
      </c>
      <c r="L39" s="23">
        <f>'Baseline NFPC'!L38</f>
        <v>8.1442947777777774E-2</v>
      </c>
      <c r="M39" s="23">
        <f>'Baseline NFPC'!M38</f>
        <v>8.4798258888888894E-2</v>
      </c>
      <c r="N39" s="23">
        <f>'Baseline NFPC'!N38</f>
        <v>8.8153570000000001E-2</v>
      </c>
      <c r="O39" s="23">
        <f>'Baseline NFPC'!O38</f>
        <v>8.8153570000000001E-2</v>
      </c>
      <c r="P39" s="23">
        <f>'Baseline NFPC'!P38</f>
        <v>8.8153570000000001E-2</v>
      </c>
      <c r="Q39" s="23">
        <f>'Baseline NFPC'!Q38</f>
        <v>8.8153570000000001E-2</v>
      </c>
      <c r="R39" s="23">
        <f>'Baseline NFPC'!R38</f>
        <v>8.8153570000000001E-2</v>
      </c>
      <c r="S39" s="23">
        <f>'Baseline NFPC'!S38</f>
        <v>8.8153570000000001E-2</v>
      </c>
      <c r="T39" s="23">
        <f>'Baseline NFPC'!T38</f>
        <v>8.8153570000000001E-2</v>
      </c>
      <c r="U39" s="23">
        <f>'Baseline NFPC'!U38</f>
        <v>8.8153570000000001E-2</v>
      </c>
    </row>
    <row r="40" spans="2:49" x14ac:dyDescent="0.2">
      <c r="C40" s="81"/>
      <c r="D40" s="81"/>
      <c r="E40" s="81"/>
      <c r="F40" s="81"/>
      <c r="G40" s="81"/>
      <c r="H40" s="81"/>
      <c r="I40" s="81"/>
      <c r="J40" s="81"/>
      <c r="K40" s="81"/>
      <c r="L40" s="81"/>
      <c r="M40" s="1"/>
      <c r="N40" s="1"/>
      <c r="O40" s="1"/>
      <c r="P40" s="1"/>
      <c r="Q40" s="1"/>
      <c r="R40" s="1"/>
      <c r="S40" s="1"/>
      <c r="T40" s="1"/>
      <c r="U40" s="1"/>
      <c r="V40" s="45"/>
      <c r="W40" s="45"/>
      <c r="X40" s="45"/>
      <c r="Y40" s="45"/>
      <c r="Z40" s="45"/>
      <c r="AA40" s="45"/>
      <c r="AB40" s="45"/>
      <c r="AC40" s="45"/>
      <c r="AD40" s="45"/>
      <c r="AE40" s="45"/>
      <c r="AF40" s="45"/>
      <c r="AG40" s="45"/>
      <c r="AH40" s="45"/>
      <c r="AI40" s="45"/>
      <c r="AJ40" s="45"/>
      <c r="AK40" s="45"/>
      <c r="AL40" s="45"/>
      <c r="AM40" s="45"/>
      <c r="AN40" s="45"/>
      <c r="AO40" s="45"/>
      <c r="AP40" s="45"/>
      <c r="AQ40" s="45"/>
      <c r="AR40" s="45"/>
      <c r="AS40" s="45"/>
      <c r="AT40" s="45"/>
      <c r="AU40" s="45"/>
      <c r="AV40" s="45"/>
      <c r="AW40" s="46"/>
    </row>
    <row r="41" spans="2:49" x14ac:dyDescent="0.2">
      <c r="B41" s="17" t="s">
        <v>64</v>
      </c>
      <c r="C41" s="1"/>
      <c r="D41" s="1"/>
      <c r="E41" s="1"/>
      <c r="F41" s="1"/>
      <c r="G41" s="1"/>
      <c r="H41" s="1"/>
      <c r="I41" s="1"/>
      <c r="J41" s="1"/>
      <c r="K41" s="1"/>
      <c r="L41" s="1"/>
      <c r="M41" s="1"/>
      <c r="N41" s="1"/>
      <c r="O41" s="1"/>
      <c r="P41" s="1"/>
      <c r="Q41" s="1"/>
      <c r="R41" s="1"/>
      <c r="S41" s="1"/>
      <c r="T41" s="1"/>
      <c r="U41" s="1"/>
      <c r="V41" s="45"/>
      <c r="W41" s="45"/>
      <c r="X41" s="45"/>
      <c r="Y41" s="45"/>
      <c r="Z41" s="45"/>
      <c r="AA41" s="45"/>
      <c r="AB41" s="45"/>
      <c r="AC41" s="45"/>
      <c r="AD41" s="45"/>
      <c r="AE41" s="45"/>
      <c r="AF41" s="45"/>
      <c r="AG41" s="45"/>
      <c r="AH41" s="45"/>
      <c r="AI41" s="45"/>
      <c r="AJ41" s="45"/>
      <c r="AK41" s="45"/>
      <c r="AL41" s="45"/>
      <c r="AM41" s="45"/>
      <c r="AN41" s="45"/>
      <c r="AO41" s="45"/>
      <c r="AP41" s="45"/>
      <c r="AQ41" s="45"/>
      <c r="AR41" s="45"/>
      <c r="AS41" s="45"/>
      <c r="AT41" s="45"/>
      <c r="AU41" s="45"/>
      <c r="AV41" s="45"/>
      <c r="AW41" s="46"/>
    </row>
    <row r="42" spans="2:49" x14ac:dyDescent="0.2">
      <c r="B42" s="15" t="s">
        <v>109</v>
      </c>
      <c r="C42" s="2">
        <f>'Input data'!C42</f>
        <v>5.7442140000000004</v>
      </c>
      <c r="D42" s="2">
        <f>'Input data'!D42</f>
        <v>3.1543869999999998</v>
      </c>
      <c r="E42" s="2">
        <f>'Input data'!E42</f>
        <v>3.262934</v>
      </c>
      <c r="F42" s="2">
        <f>'Input data'!F42</f>
        <v>2.103313</v>
      </c>
      <c r="G42" s="1">
        <f>'Baseline NFPC'!G41</f>
        <v>2.1253988750000001</v>
      </c>
      <c r="H42" s="1">
        <f>'Baseline NFPC'!H41</f>
        <v>2.1474847499999998</v>
      </c>
      <c r="I42" s="1">
        <f>'Baseline NFPC'!I41</f>
        <v>2.169570625</v>
      </c>
      <c r="J42" s="1">
        <f>'Baseline NFPC'!J41</f>
        <v>2.1916564999999997</v>
      </c>
      <c r="K42" s="1">
        <f>'Baseline NFPC'!K41</f>
        <v>2.2137423749999998</v>
      </c>
      <c r="L42" s="1">
        <f>'Baseline NFPC'!L41</f>
        <v>2.23582825</v>
      </c>
      <c r="M42" s="1">
        <f>'Baseline NFPC'!M41</f>
        <v>2.2579141249999997</v>
      </c>
      <c r="N42" s="175">
        <f>'Baseline NFPC'!N41</f>
        <v>2.2799999999999998</v>
      </c>
      <c r="O42" s="1">
        <f>'Baseline NFPC'!O41</f>
        <v>2.266</v>
      </c>
      <c r="P42" s="1">
        <f>'Baseline NFPC'!P41</f>
        <v>2.2519999999999998</v>
      </c>
      <c r="Q42" s="1">
        <f>'Baseline NFPC'!Q41</f>
        <v>2.238</v>
      </c>
      <c r="R42" s="1">
        <f>'Baseline NFPC'!R41</f>
        <v>2.2239999999999998</v>
      </c>
      <c r="S42" s="1">
        <f>'Baseline NFPC'!S41</f>
        <v>2.21</v>
      </c>
      <c r="T42" s="1">
        <f>'Baseline NFPC'!T41</f>
        <v>2.1959999999999997</v>
      </c>
      <c r="U42" s="1">
        <f>'Baseline NFPC'!U41</f>
        <v>2.1819999999999999</v>
      </c>
      <c r="V42" s="45"/>
      <c r="W42" s="45"/>
      <c r="X42" s="45"/>
      <c r="Y42" s="45"/>
      <c r="Z42" s="45"/>
      <c r="AA42" s="45"/>
      <c r="AB42" s="45"/>
      <c r="AC42" s="45"/>
      <c r="AD42" s="45"/>
      <c r="AE42" s="45"/>
      <c r="AF42" s="45"/>
      <c r="AG42" s="45"/>
      <c r="AH42" s="45"/>
      <c r="AI42" s="45"/>
      <c r="AJ42" s="45"/>
      <c r="AK42" s="45"/>
      <c r="AL42" s="45"/>
      <c r="AM42" s="45"/>
      <c r="AN42" s="45"/>
      <c r="AO42" s="45"/>
      <c r="AP42" s="45"/>
      <c r="AQ42" s="45"/>
      <c r="AR42" s="45"/>
      <c r="AS42" s="45"/>
      <c r="AT42" s="45"/>
      <c r="AU42" s="45"/>
      <c r="AV42" s="45"/>
      <c r="AW42" s="46"/>
    </row>
    <row r="43" spans="2:49" x14ac:dyDescent="0.2">
      <c r="B43" s="15" t="s">
        <v>65</v>
      </c>
      <c r="C43" s="1">
        <f>'Baseline NFPC'!C42</f>
        <v>0.99999990000000005</v>
      </c>
      <c r="D43" s="1">
        <f>'Baseline NFPC'!D42</f>
        <v>1</v>
      </c>
      <c r="E43" s="1">
        <f>'Baseline NFPC'!E42</f>
        <v>1</v>
      </c>
      <c r="F43" s="1">
        <f>'Baseline NFPC'!F42</f>
        <v>0.99999990000000005</v>
      </c>
      <c r="G43" s="1">
        <f>'Baseline NFPC'!G42</f>
        <v>1</v>
      </c>
      <c r="H43" s="1">
        <f>'Baseline NFPC'!H42</f>
        <v>1</v>
      </c>
      <c r="I43" s="1">
        <f>'Baseline NFPC'!I42</f>
        <v>1</v>
      </c>
      <c r="J43" s="1">
        <f>'Baseline NFPC'!J42</f>
        <v>1</v>
      </c>
      <c r="K43" s="1">
        <f>'Baseline NFPC'!K42</f>
        <v>1</v>
      </c>
      <c r="L43" s="1">
        <f>'Baseline NFPC'!L42</f>
        <v>1</v>
      </c>
      <c r="M43" s="1">
        <f>'Baseline NFPC'!M42</f>
        <v>1</v>
      </c>
      <c r="N43" s="1">
        <f>'Baseline NFPC'!N42</f>
        <v>1</v>
      </c>
      <c r="O43" s="1">
        <f>'Baseline NFPC'!O42</f>
        <v>1</v>
      </c>
      <c r="P43" s="1">
        <f>'Baseline NFPC'!P42</f>
        <v>1</v>
      </c>
      <c r="Q43" s="1">
        <f>'Baseline NFPC'!Q42</f>
        <v>1</v>
      </c>
      <c r="R43" s="1">
        <f>'Baseline NFPC'!R42</f>
        <v>1</v>
      </c>
      <c r="S43" s="1">
        <f>'Baseline NFPC'!S42</f>
        <v>1</v>
      </c>
      <c r="T43" s="1">
        <f>'Baseline NFPC'!T42</f>
        <v>1</v>
      </c>
      <c r="U43" s="1">
        <f>'Baseline NFPC'!U42</f>
        <v>1</v>
      </c>
      <c r="V43" s="49"/>
      <c r="W43" s="49"/>
      <c r="X43" s="49"/>
      <c r="Y43" s="49"/>
      <c r="Z43" s="49"/>
      <c r="AA43" s="49"/>
      <c r="AB43" s="49"/>
      <c r="AC43" s="49"/>
      <c r="AD43" s="49"/>
      <c r="AE43" s="49"/>
      <c r="AF43" s="49"/>
      <c r="AG43" s="49"/>
      <c r="AH43" s="49"/>
      <c r="AI43" s="49"/>
      <c r="AJ43" s="49"/>
      <c r="AK43" s="49"/>
      <c r="AL43" s="49"/>
      <c r="AM43" s="49"/>
      <c r="AN43" s="49"/>
      <c r="AO43" s="49"/>
      <c r="AP43" s="49"/>
      <c r="AQ43" s="49"/>
      <c r="AR43" s="49"/>
      <c r="AS43" s="49"/>
      <c r="AT43" s="49"/>
      <c r="AU43" s="49"/>
      <c r="AV43" s="49"/>
      <c r="AW43" s="46"/>
    </row>
    <row r="44" spans="2:49" x14ac:dyDescent="0.2">
      <c r="C44" s="1"/>
      <c r="D44" s="1"/>
      <c r="E44" s="1"/>
      <c r="F44" s="1"/>
      <c r="G44" s="1"/>
      <c r="H44" s="1"/>
      <c r="I44" s="1"/>
      <c r="J44" s="1"/>
      <c r="K44" s="1"/>
      <c r="L44" s="1"/>
      <c r="M44" s="1"/>
      <c r="N44" s="1"/>
      <c r="O44" s="1"/>
      <c r="P44" s="1"/>
      <c r="Q44" s="1"/>
      <c r="R44" s="1"/>
      <c r="S44" s="1"/>
      <c r="T44" s="1"/>
      <c r="U44" s="1"/>
    </row>
    <row r="45" spans="2:49" s="53" customFormat="1" ht="12.75" x14ac:dyDescent="0.2">
      <c r="B45" s="60" t="s">
        <v>66</v>
      </c>
    </row>
    <row r="46" spans="2:49" x14ac:dyDescent="0.2">
      <c r="C46" s="25"/>
    </row>
    <row r="47" spans="2:49" x14ac:dyDescent="0.2">
      <c r="B47" s="40" t="s">
        <v>46</v>
      </c>
      <c r="C47" s="41">
        <f>'Input data'!C49</f>
        <v>0.6</v>
      </c>
    </row>
    <row r="48" spans="2:49" x14ac:dyDescent="0.2">
      <c r="B48" s="42" t="s">
        <v>177</v>
      </c>
      <c r="C48" s="43">
        <f>'Input data'!C50</f>
        <v>0.60499999999999998</v>
      </c>
    </row>
    <row r="49" spans="2:46" x14ac:dyDescent="0.2">
      <c r="C49" s="44"/>
    </row>
    <row r="50" spans="2:46" outlineLevel="1" x14ac:dyDescent="0.2">
      <c r="B50" s="15" t="s">
        <v>67</v>
      </c>
      <c r="C50" s="23">
        <v>0</v>
      </c>
      <c r="D50" s="23">
        <f>IF(AND(ABS((D12-C12)-('Input data'!D13-'Input data'!C13))&gt;0.0001,ABS(D12-C12)&gt;0.0001,D$10&gt;$C$5),4,IF(C50=4,3,IF(C50=3,2,IF(C50=2,1,0))))</f>
        <v>0</v>
      </c>
      <c r="E50" s="23">
        <f>IF(AND(ABS((E12-D12)-('Baseline NFPC'!E12-'Baseline NFPC'!D12))&gt;0.0001,ABS(E12-D12)&gt;0.0001,E$10&gt;$C$5),4,IF(D50=4,3,IF(D50=3,2,IF(D50=2,1,0))))</f>
        <v>0</v>
      </c>
      <c r="F50" s="23">
        <f>IF(AND(ABS((F12-E12)-('Baseline NFPC'!F12-'Baseline NFPC'!E12))&gt;0.0001,ABS(F12-E12)&gt;0.0001,F$10&gt;$C$5),4,IF(E50=4,3,IF(E50=3,2,IF(E50=2,1,0))))</f>
        <v>0</v>
      </c>
      <c r="G50" s="23">
        <f>IF(AND(ABS((G12-F12)-('Baseline NFPC'!G12-'Baseline NFPC'!F12))&gt;0.0001,ABS(G12-F12)&gt;0.0001,G$10&gt;$C$5),4,IF(F50=4,3,IF(F50=3,2,IF(F50=2,1,0))))</f>
        <v>0</v>
      </c>
      <c r="H50" s="23">
        <f>IF(AND(ABS((H12-G12)-('Baseline NFPC'!H12-'Baseline NFPC'!G12))&gt;0.0001,ABS(H12-G12)&gt;0.0001,H$10&gt;$C$5),4,IF(G50=4,3,IF(G50=3,2,IF(G50=2,1,0))))</f>
        <v>0</v>
      </c>
      <c r="I50" s="23">
        <f>IF(AND(ABS((I12-H12)-('Baseline NFPC'!I12-'Baseline NFPC'!H12))&gt;0.0001,ABS(I12-H12)&gt;0.0001,I$10&gt;$C$5),4,IF(H50=4,3,IF(H50=3,2,IF(H50=2,1,0))))</f>
        <v>0</v>
      </c>
      <c r="J50" s="23">
        <f>IF(AND(ABS((J12-I12)-('Baseline NFPC'!J12-'Baseline NFPC'!I12))&gt;0.0001,ABS(J12-I12)&gt;0.0001,J$10&gt;$C$5),4,IF(I50=4,3,IF(I50=3,2,IF(I50=2,1,0))))</f>
        <v>0</v>
      </c>
      <c r="K50" s="23">
        <f>IF(AND(ABS((K12-J12)-('Baseline NFPC'!K12-'Baseline NFPC'!J12))&gt;0.0001,ABS(K12-J12)&gt;0.0001,K$10&gt;$C$5),4,IF(J50=4,3,IF(J50=3,2,IF(J50=2,1,0))))</f>
        <v>0</v>
      </c>
      <c r="L50" s="23">
        <f>IF(AND(ABS((L12-K12)-('Baseline NFPC'!L12-'Baseline NFPC'!K12))&gt;0.0001,ABS(L12-K12)&gt;0.0001,L$10&gt;$C$5),4,IF(K50=4,3,IF(K50=3,2,IF(K50=2,1,0))))</f>
        <v>0</v>
      </c>
      <c r="M50" s="23">
        <f>IF(AND(ABS((M12-L12)-('Baseline NFPC'!M12-'Baseline NFPC'!L12))&gt;0.0001,ABS(M12-L12)&gt;0.0001,M$10&gt;$C$5),4,IF(L50=4,3,IF(L50=3,2,IF(L50=2,1,0))))</f>
        <v>0</v>
      </c>
      <c r="N50" s="23">
        <f>IF(AND(ABS((N12-M12)-('Baseline NFPC'!N12-'Baseline NFPC'!M12))&gt;0.0001,ABS(N12-M12)&gt;0.0001,N$10&gt;$C$5),4,IF(M50=4,3,IF(M50=3,2,IF(M50=2,1,0))))</f>
        <v>0</v>
      </c>
      <c r="O50" s="23">
        <f>IF(AND(ABS((O12-N12)-('Baseline NFPC'!O12-'Baseline NFPC'!N12))&gt;0.0001,ABS(O12-N12)&gt;0.0001,O$10&gt;$C$5),4,IF(N50=4,3,IF(N50=3,2,IF(N50=2,1,0))))</f>
        <v>0</v>
      </c>
      <c r="P50" s="23">
        <f>IF(AND(ABS((P12-O12)-('Baseline NFPC'!P12-'Baseline NFPC'!O12))&gt;0.0001,ABS(P12-O12)&gt;0.0001,P$10&gt;$C$5),4,IF(O50=4,3,IF(O50=3,2,IF(O50=2,1,0))))</f>
        <v>0</v>
      </c>
      <c r="Q50" s="23">
        <f>IF(AND(ABS((Q12-P12)-('Baseline NFPC'!Q12-'Baseline NFPC'!P12))&gt;0.0001,ABS(Q12-P12)&gt;0.0001,Q$10&gt;$C$5),4,IF(P50=4,3,IF(P50=3,2,IF(P50=2,1,0))))</f>
        <v>0</v>
      </c>
      <c r="R50" s="23">
        <f>IF(AND(ABS((R12-Q12)-('Baseline NFPC'!R12-'Baseline NFPC'!Q12))&gt;0.0001,ABS(R12-Q12)&gt;0.0001,R$10&gt;$C$5),4,IF(Q50=4,3,IF(Q50=3,2,IF(Q50=2,1,0))))</f>
        <v>0</v>
      </c>
      <c r="S50" s="23">
        <f>IF(AND(ABS((S12-R12)-('Baseline NFPC'!S12-'Baseline NFPC'!R12))&gt;0.0001,ABS(S12-R12)&gt;0.0001,S$10&gt;$C$5),4,IF(R50=4,3,IF(R50=3,2,IF(R50=2,1,0))))</f>
        <v>0</v>
      </c>
      <c r="T50" s="23">
        <f>IF(AND(ABS((T12-S12)-('Baseline NFPC'!T12-'Baseline NFPC'!S12))&gt;0.0001,ABS(T12-S12)&gt;0.0001,T$10&gt;$C$5),4,IF(S50=4,3,IF(S50=3,2,IF(S50=2,1,0))))</f>
        <v>0</v>
      </c>
      <c r="U50" s="23">
        <f>IF(AND(ABS((U12-T12)-('Baseline NFPC'!U12-'Baseline NFPC'!T12))&gt;0.0001,ABS(U12-T12)&gt;0.0001,U$10&gt;$C$5),4,IF(T50=4,3,IF(T50=3,2,IF(T50=2,1,0))))</f>
        <v>0</v>
      </c>
      <c r="V50" s="23"/>
      <c r="W50" s="23"/>
      <c r="X50" s="23"/>
      <c r="Y50" s="23"/>
      <c r="Z50" s="23"/>
      <c r="AA50" s="23"/>
      <c r="AB50" s="23"/>
      <c r="AC50" s="23"/>
      <c r="AD50" s="23"/>
      <c r="AE50" s="23"/>
      <c r="AF50" s="23"/>
      <c r="AG50" s="23"/>
      <c r="AH50" s="23"/>
      <c r="AI50" s="23"/>
      <c r="AJ50" s="23"/>
      <c r="AK50" s="23"/>
      <c r="AL50" s="23"/>
      <c r="AM50" s="23"/>
      <c r="AN50" s="23"/>
      <c r="AO50" s="23"/>
      <c r="AP50" s="23"/>
      <c r="AQ50" s="23"/>
      <c r="AR50" s="23"/>
      <c r="AS50" s="23"/>
      <c r="AT50" s="23"/>
    </row>
    <row r="51" spans="2:46" outlineLevel="1" x14ac:dyDescent="0.2">
      <c r="B51" s="15" t="s">
        <v>68</v>
      </c>
      <c r="C51" s="23">
        <v>0</v>
      </c>
      <c r="D51" s="23">
        <f>IF(C50=4,2/3*(C30-'Baseline NFPC'!C29),IF(C50=3,1/3*(#REF!-'Baseline NFPC'!#REF!),0))</f>
        <v>0</v>
      </c>
      <c r="E51" s="23">
        <f>IF(D50=4,2/3*(D30-'Baseline NFPC'!D29),IF(D50=3,1/3*(C30-'Baseline NFPC'!C29),0))</f>
        <v>0</v>
      </c>
      <c r="F51" s="23">
        <f>IF(E50=4,2/3*(E30-'Baseline NFPC'!E29),IF(E50=3,1/3*(D30-'Baseline NFPC'!D29),0))</f>
        <v>0</v>
      </c>
      <c r="G51" s="23">
        <f t="shared" ref="G51:U51" si="9">IF(F50=4,2/3*F30,IF(F50=3,1/3*E30,0))</f>
        <v>0</v>
      </c>
      <c r="H51" s="23">
        <f t="shared" si="9"/>
        <v>0</v>
      </c>
      <c r="I51" s="23">
        <f t="shared" si="9"/>
        <v>0</v>
      </c>
      <c r="J51" s="23">
        <f t="shared" si="9"/>
        <v>0</v>
      </c>
      <c r="K51" s="23">
        <f t="shared" si="9"/>
        <v>0</v>
      </c>
      <c r="L51" s="23">
        <f t="shared" si="9"/>
        <v>0</v>
      </c>
      <c r="M51" s="23">
        <f t="shared" si="9"/>
        <v>0</v>
      </c>
      <c r="N51" s="23">
        <f t="shared" si="9"/>
        <v>0</v>
      </c>
      <c r="O51" s="23">
        <f t="shared" si="9"/>
        <v>0</v>
      </c>
      <c r="P51" s="23">
        <f t="shared" si="9"/>
        <v>0</v>
      </c>
      <c r="Q51" s="23">
        <f t="shared" si="9"/>
        <v>0</v>
      </c>
      <c r="R51" s="23">
        <f t="shared" si="9"/>
        <v>0</v>
      </c>
      <c r="S51" s="23">
        <f t="shared" si="9"/>
        <v>0</v>
      </c>
      <c r="T51" s="23">
        <f t="shared" si="9"/>
        <v>0</v>
      </c>
      <c r="U51" s="23">
        <f t="shared" si="9"/>
        <v>0</v>
      </c>
      <c r="V51" s="23"/>
      <c r="W51" s="23"/>
      <c r="X51" s="23"/>
      <c r="Y51" s="23"/>
      <c r="Z51" s="23"/>
      <c r="AA51" s="23"/>
      <c r="AB51" s="23"/>
      <c r="AC51" s="23"/>
      <c r="AD51" s="23"/>
      <c r="AE51" s="23"/>
      <c r="AF51" s="23"/>
      <c r="AG51" s="23"/>
      <c r="AH51" s="23"/>
      <c r="AI51" s="23"/>
      <c r="AJ51" s="23"/>
      <c r="AK51" s="23"/>
      <c r="AL51" s="23"/>
      <c r="AM51" s="23"/>
      <c r="AN51" s="23"/>
      <c r="AO51" s="23"/>
      <c r="AP51" s="23"/>
      <c r="AQ51" s="23"/>
      <c r="AR51" s="23"/>
      <c r="AS51" s="23"/>
      <c r="AT51" s="23"/>
    </row>
    <row r="52" spans="2:46" outlineLevel="1" x14ac:dyDescent="0.2">
      <c r="B52" s="15" t="s">
        <v>69</v>
      </c>
      <c r="C52" s="23">
        <v>0</v>
      </c>
      <c r="D52" s="23">
        <f>'Input data'!D30-$C$47*((D12-C12)-('Input data'!D13-'Input data'!C13))</f>
        <v>1.6966699999999999</v>
      </c>
      <c r="E52" s="23">
        <f>'Input data'!E30-$C$47*(E12-D12)</f>
        <v>1.273747</v>
      </c>
      <c r="F52" s="23">
        <f>'Input data'!F30-$C$47*(F12-E12)</f>
        <v>1.5818650000000001</v>
      </c>
      <c r="G52" s="23">
        <f>'Input data'!G30-$C$47*(G12-F12)</f>
        <v>1.5213989999999999</v>
      </c>
      <c r="H52" s="23">
        <f>'Input data'!H30-$C$47*(H12-G12)</f>
        <v>1.41368</v>
      </c>
      <c r="I52" s="23">
        <f>'Input data'!I30-$C$47*(I12-H12)</f>
        <v>1.393831</v>
      </c>
      <c r="J52" s="23">
        <f>'Input data'!J30-$C$47*(J12-I12)</f>
        <v>1.069126</v>
      </c>
      <c r="K52" s="23">
        <f>'Input data'!K30-$C$47*(K12-J12)</f>
        <v>1.0343100000000001</v>
      </c>
      <c r="L52" s="23">
        <f>'Input data'!L30-$C$47*(L12-K12)</f>
        <v>1.0125310000000001</v>
      </c>
      <c r="M52" s="23">
        <f>'Input data'!M30-$C$47*(M12-L12)</f>
        <v>1.0265919999999999</v>
      </c>
      <c r="N52" s="23">
        <f>'Input data'!N30-$C$47*(N12-M12)</f>
        <v>1.054951</v>
      </c>
      <c r="O52" s="23">
        <f>'Input data'!O30-$C$47*(O12-N12)</f>
        <v>1.1332990000000001</v>
      </c>
      <c r="P52" s="23">
        <f>'Input data'!P30-$C$47*(P12-O12)</f>
        <v>1.211654</v>
      </c>
      <c r="Q52" s="23">
        <f>'Input data'!Q30-$C$47*(Q12-P12)</f>
        <v>1.290001</v>
      </c>
      <c r="R52" s="23">
        <f>'Input data'!R30-$C$47*(R12-Q12)</f>
        <v>1.4500010000000001</v>
      </c>
      <c r="S52" s="23">
        <f>'Input data'!S30-$C$47*(S12-R12)</f>
        <v>1.609996</v>
      </c>
      <c r="T52" s="23">
        <f>'Input data'!T30-$C$47*(T12-S12)</f>
        <v>1.6599950000000001</v>
      </c>
      <c r="U52" s="23">
        <f>'Input data'!U30-$C$47*(U12-T12)</f>
        <v>1.7100040000000001</v>
      </c>
      <c r="V52" s="23"/>
      <c r="W52" s="23"/>
      <c r="X52" s="23"/>
      <c r="Y52" s="23"/>
      <c r="Z52" s="23"/>
      <c r="AA52" s="23"/>
      <c r="AB52" s="23"/>
      <c r="AC52" s="23"/>
      <c r="AD52" s="23"/>
      <c r="AE52" s="23"/>
      <c r="AF52" s="23"/>
      <c r="AG52" s="23"/>
      <c r="AH52" s="23"/>
      <c r="AI52" s="23"/>
      <c r="AJ52" s="23"/>
      <c r="AK52" s="23"/>
      <c r="AL52" s="23"/>
      <c r="AM52" s="23"/>
      <c r="AN52" s="23"/>
      <c r="AO52" s="23"/>
      <c r="AP52" s="23"/>
      <c r="AQ52" s="23"/>
      <c r="AR52" s="23"/>
      <c r="AS52" s="23"/>
      <c r="AT52" s="23"/>
    </row>
    <row r="54" spans="2:46" s="53" customFormat="1" ht="12.75" outlineLevel="1" x14ac:dyDescent="0.2">
      <c r="B54" s="57" t="s">
        <v>70</v>
      </c>
      <c r="C54" s="55"/>
      <c r="D54" s="54"/>
    </row>
    <row r="55" spans="2:46" outlineLevel="1" x14ac:dyDescent="0.2">
      <c r="B55" s="30"/>
      <c r="C55" s="31"/>
      <c r="D55" s="18"/>
    </row>
    <row r="56" spans="2:46" outlineLevel="1" x14ac:dyDescent="0.2">
      <c r="B56" s="65"/>
      <c r="C56" s="66">
        <f>'Input data'!$C$5-1</f>
        <v>2024</v>
      </c>
      <c r="D56" s="66">
        <f>C56+1</f>
        <v>2025</v>
      </c>
      <c r="E56" s="66">
        <f t="shared" ref="E56:U56" si="10">D56+1</f>
        <v>2026</v>
      </c>
      <c r="F56" s="66">
        <f t="shared" si="10"/>
        <v>2027</v>
      </c>
      <c r="G56" s="66">
        <f t="shared" si="10"/>
        <v>2028</v>
      </c>
      <c r="H56" s="66">
        <f t="shared" si="10"/>
        <v>2029</v>
      </c>
      <c r="I56" s="66">
        <f t="shared" si="10"/>
        <v>2030</v>
      </c>
      <c r="J56" s="66">
        <f t="shared" si="10"/>
        <v>2031</v>
      </c>
      <c r="K56" s="66">
        <f t="shared" si="10"/>
        <v>2032</v>
      </c>
      <c r="L56" s="66">
        <f t="shared" si="10"/>
        <v>2033</v>
      </c>
      <c r="M56" s="66">
        <f t="shared" si="10"/>
        <v>2034</v>
      </c>
      <c r="N56" s="66">
        <f t="shared" si="10"/>
        <v>2035</v>
      </c>
      <c r="O56" s="66">
        <f t="shared" si="10"/>
        <v>2036</v>
      </c>
      <c r="P56" s="66">
        <f t="shared" si="10"/>
        <v>2037</v>
      </c>
      <c r="Q56" s="66">
        <f t="shared" si="10"/>
        <v>2038</v>
      </c>
      <c r="R56" s="66">
        <f t="shared" si="10"/>
        <v>2039</v>
      </c>
      <c r="S56" s="66">
        <f t="shared" si="10"/>
        <v>2040</v>
      </c>
      <c r="T56" s="66">
        <f t="shared" si="10"/>
        <v>2041</v>
      </c>
      <c r="U56" s="66">
        <f t="shared" si="10"/>
        <v>2042</v>
      </c>
    </row>
    <row r="57" spans="2:46" ht="10.5" customHeight="1" outlineLevel="1" x14ac:dyDescent="0.2">
      <c r="B57" s="67" t="s">
        <v>71</v>
      </c>
      <c r="C57" s="32">
        <f>+'Input data'!C12</f>
        <v>43.748150000000003</v>
      </c>
      <c r="D57" s="32">
        <f>+C57+D58</f>
        <v>45.157610209173967</v>
      </c>
      <c r="E57" s="32">
        <f>+D57+E58</f>
        <v>47.855644632273624</v>
      </c>
      <c r="F57" s="32">
        <f t="shared" ref="F57:Q57" si="11">+E57+F58</f>
        <v>48.03397105085827</v>
      </c>
      <c r="G57" s="32">
        <f t="shared" si="11"/>
        <v>48.125787619437091</v>
      </c>
      <c r="H57" s="32">
        <f t="shared" si="11"/>
        <v>48.154710826770085</v>
      </c>
      <c r="I57" s="32">
        <f t="shared" si="11"/>
        <v>48.186227557361946</v>
      </c>
      <c r="J57" s="32">
        <f t="shared" si="11"/>
        <v>48.729290458286442</v>
      </c>
      <c r="K57" s="32">
        <f t="shared" si="11"/>
        <v>49.548171319081376</v>
      </c>
      <c r="L57" s="32">
        <f t="shared" si="11"/>
        <v>50.539007963808501</v>
      </c>
      <c r="M57" s="32">
        <f t="shared" si="11"/>
        <v>51.686403158289899</v>
      </c>
      <c r="N57" s="32">
        <f t="shared" si="11"/>
        <v>52.985091388356423</v>
      </c>
      <c r="O57" s="32">
        <f t="shared" si="11"/>
        <v>54.512967034094977</v>
      </c>
      <c r="P57" s="32">
        <f t="shared" si="11"/>
        <v>56.263155518990189</v>
      </c>
      <c r="Q57" s="32">
        <f t="shared" si="11"/>
        <v>58.028972819581085</v>
      </c>
      <c r="R57" s="32">
        <f>+Q57+R58</f>
        <v>59.856804371446188</v>
      </c>
      <c r="S57" s="32">
        <f>+R57+S58</f>
        <v>61.737621749412</v>
      </c>
      <c r="T57" s="32">
        <f t="shared" ref="T57:U57" si="12">+S57+T58</f>
        <v>63.829039225036091</v>
      </c>
      <c r="U57" s="32">
        <f t="shared" si="12"/>
        <v>65.925997692788357</v>
      </c>
      <c r="V57" s="27"/>
      <c r="W57" s="27"/>
      <c r="X57" s="27"/>
      <c r="Y57" s="27"/>
      <c r="Z57" s="27"/>
      <c r="AA57" s="27"/>
      <c r="AB57" s="27"/>
      <c r="AC57" s="27"/>
      <c r="AD57" s="27"/>
      <c r="AE57" s="27"/>
      <c r="AF57" s="27"/>
      <c r="AG57" s="27"/>
      <c r="AH57" s="27"/>
      <c r="AI57" s="27"/>
      <c r="AJ57" s="27"/>
      <c r="AK57" s="27"/>
      <c r="AL57" s="27"/>
      <c r="AM57" s="27"/>
      <c r="AN57" s="27"/>
      <c r="AO57" s="27"/>
      <c r="AP57" s="27"/>
      <c r="AQ57" s="27"/>
      <c r="AR57" s="27"/>
      <c r="AS57" s="27"/>
      <c r="AT57" s="27"/>
    </row>
    <row r="58" spans="2:46" outlineLevel="1" x14ac:dyDescent="0.2">
      <c r="B58" s="68" t="s">
        <v>72</v>
      </c>
      <c r="C58" s="33"/>
      <c r="D58" s="33">
        <f>-D59+D67+D72</f>
        <v>1.4094602091739621</v>
      </c>
      <c r="E58" s="33">
        <f>-E59+E67+E72</f>
        <v>2.6980344230996591</v>
      </c>
      <c r="F58" s="33">
        <f t="shared" ref="F58:Q58" si="13">-F59+F67+F72</f>
        <v>0.17832641858464668</v>
      </c>
      <c r="G58" s="33">
        <f t="shared" si="13"/>
        <v>9.1816568578823698E-2</v>
      </c>
      <c r="H58" s="33">
        <f t="shared" si="13"/>
        <v>2.8923207332992917E-2</v>
      </c>
      <c r="I58" s="33">
        <f t="shared" si="13"/>
        <v>3.1516730591863107E-2</v>
      </c>
      <c r="J58" s="33">
        <f t="shared" si="13"/>
        <v>0.54306290092449316</v>
      </c>
      <c r="K58" s="33">
        <f t="shared" si="13"/>
        <v>0.81888086079493583</v>
      </c>
      <c r="L58" s="33">
        <f t="shared" si="13"/>
        <v>0.99083664472712651</v>
      </c>
      <c r="M58" s="33">
        <f t="shared" si="13"/>
        <v>1.1473951944813945</v>
      </c>
      <c r="N58" s="33">
        <f t="shared" si="13"/>
        <v>1.2986882300665268</v>
      </c>
      <c r="O58" s="33">
        <f t="shared" si="13"/>
        <v>1.5278756457385523</v>
      </c>
      <c r="P58" s="33">
        <f t="shared" si="13"/>
        <v>1.7501884848952116</v>
      </c>
      <c r="Q58" s="33">
        <f t="shared" si="13"/>
        <v>1.7658173005908946</v>
      </c>
      <c r="R58" s="33">
        <f>-R59+R67+R72</f>
        <v>1.8278315518651003</v>
      </c>
      <c r="S58" s="33">
        <f t="shared" ref="S58:U58" si="14">-S59+S67+S72</f>
        <v>1.8808173779658137</v>
      </c>
      <c r="T58" s="33">
        <f t="shared" si="14"/>
        <v>2.091417475624092</v>
      </c>
      <c r="U58" s="33">
        <f t="shared" si="14"/>
        <v>2.0969584677522692</v>
      </c>
    </row>
    <row r="59" spans="2:46" outlineLevel="1" x14ac:dyDescent="0.2">
      <c r="B59" s="64" t="s">
        <v>73</v>
      </c>
      <c r="C59" s="34"/>
      <c r="D59" s="34">
        <f t="shared" ref="D59:P59" si="15">D60+D61-D62-D63-D64-D65-D66</f>
        <v>-1.157521209173962</v>
      </c>
      <c r="E59" s="34">
        <f t="shared" si="15"/>
        <v>-1.9122554230996602</v>
      </c>
      <c r="F59" s="34">
        <f t="shared" si="15"/>
        <v>-1.0514441856522683</v>
      </c>
      <c r="G59" s="34">
        <f t="shared" si="15"/>
        <v>-0.8868780806201344</v>
      </c>
      <c r="H59" s="34">
        <f t="shared" si="15"/>
        <v>-0.72230772422782996</v>
      </c>
      <c r="I59" s="34">
        <f t="shared" si="15"/>
        <v>-0.66348050044019757</v>
      </c>
      <c r="J59" s="34">
        <f t="shared" si="15"/>
        <v>-0.96922199764058969</v>
      </c>
      <c r="K59" s="34">
        <f t="shared" si="15"/>
        <v>-1.1749622976405889</v>
      </c>
      <c r="L59" s="34">
        <f t="shared" si="15"/>
        <v>-1.2807019987050023</v>
      </c>
      <c r="M59" s="34">
        <f t="shared" si="15"/>
        <v>-1.3864434964094172</v>
      </c>
      <c r="N59" s="34">
        <f t="shared" si="15"/>
        <v>-1.4921803043043058</v>
      </c>
      <c r="O59" s="34">
        <f t="shared" si="15"/>
        <v>-1.6979194078634952</v>
      </c>
      <c r="P59" s="34">
        <f t="shared" si="15"/>
        <v>-1.9036560213196374</v>
      </c>
      <c r="Q59" s="34">
        <f>Q60+Q61-Q62-Q63-Q64-Q65-Q66</f>
        <v>-1.90939582402466</v>
      </c>
      <c r="R59" s="34">
        <f>R60+R61-R62-R63-R64-R65-R66</f>
        <v>-2.0151355276717218</v>
      </c>
      <c r="S59" s="34">
        <f>S60+S61-S62-S63-S64-S65-S66</f>
        <v>-2.1208782093273486</v>
      </c>
      <c r="T59" s="34">
        <f t="shared" ref="T59:U59" si="16">T60+T61-T62-T63-T64-T65-T66</f>
        <v>-2.3266214849325499</v>
      </c>
      <c r="U59" s="34">
        <f t="shared" si="16"/>
        <v>-2.3323594056187238</v>
      </c>
    </row>
    <row r="60" spans="2:46" outlineLevel="1" x14ac:dyDescent="0.2">
      <c r="B60" s="63" t="s">
        <v>74</v>
      </c>
      <c r="C60" s="1"/>
      <c r="D60" s="1">
        <f>D12</f>
        <v>-0.55773950000000005</v>
      </c>
      <c r="E60" s="1">
        <f t="shared" ref="E60:U60" si="17">IF(E12="",D60,E12)</f>
        <v>-0.55773950000000005</v>
      </c>
      <c r="F60" s="1">
        <f t="shared" si="17"/>
        <v>-0.55773950000000005</v>
      </c>
      <c r="G60" s="1">
        <f t="shared" si="17"/>
        <v>-0.55773950000000005</v>
      </c>
      <c r="H60" s="1">
        <f t="shared" si="17"/>
        <v>-0.55773950000000005</v>
      </c>
      <c r="I60" s="1">
        <f t="shared" si="17"/>
        <v>-0.55773950000000005</v>
      </c>
      <c r="J60" s="1">
        <f t="shared" si="17"/>
        <v>-0.55773950000000005</v>
      </c>
      <c r="K60" s="1">
        <f t="shared" si="17"/>
        <v>-0.55773950000000005</v>
      </c>
      <c r="L60" s="1">
        <f t="shared" si="17"/>
        <v>-0.55773950000000005</v>
      </c>
      <c r="M60" s="1">
        <f t="shared" si="17"/>
        <v>-0.55773950000000005</v>
      </c>
      <c r="N60" s="1">
        <f t="shared" si="17"/>
        <v>-0.55773950000000005</v>
      </c>
      <c r="O60" s="1">
        <f t="shared" si="17"/>
        <v>-0.55773950000000005</v>
      </c>
      <c r="P60" s="1">
        <f t="shared" si="17"/>
        <v>-0.55773950000000005</v>
      </c>
      <c r="Q60" s="1">
        <f t="shared" si="17"/>
        <v>-0.55773950000000005</v>
      </c>
      <c r="R60" s="1">
        <f t="shared" si="17"/>
        <v>-0.55773950000000005</v>
      </c>
      <c r="S60" s="1">
        <f t="shared" si="17"/>
        <v>-0.55773950000000005</v>
      </c>
      <c r="T60" s="1">
        <f t="shared" si="17"/>
        <v>-0.55773950000000005</v>
      </c>
      <c r="U60" s="1">
        <f t="shared" si="17"/>
        <v>-0.55773950000000005</v>
      </c>
    </row>
    <row r="61" spans="2:46" outlineLevel="1" x14ac:dyDescent="0.2">
      <c r="B61" s="63" t="s">
        <v>75</v>
      </c>
      <c r="C61" s="1"/>
      <c r="D61" s="1">
        <v>0</v>
      </c>
      <c r="E61" s="1">
        <v>0</v>
      </c>
      <c r="F61" s="1">
        <v>0</v>
      </c>
      <c r="G61" s="1">
        <v>0</v>
      </c>
      <c r="H61" s="1">
        <v>0</v>
      </c>
      <c r="I61" s="1">
        <v>0</v>
      </c>
      <c r="J61" s="1">
        <v>0</v>
      </c>
      <c r="K61" s="1">
        <v>0</v>
      </c>
      <c r="L61" s="1">
        <v>0</v>
      </c>
      <c r="M61" s="1">
        <v>0</v>
      </c>
      <c r="N61" s="1">
        <v>0</v>
      </c>
      <c r="O61" s="1">
        <v>0</v>
      </c>
      <c r="P61" s="1">
        <v>0</v>
      </c>
      <c r="Q61" s="1">
        <v>0</v>
      </c>
      <c r="R61" s="1">
        <v>0</v>
      </c>
      <c r="S61" s="1">
        <v>0</v>
      </c>
      <c r="T61" s="1">
        <v>0</v>
      </c>
      <c r="U61" s="1">
        <v>0</v>
      </c>
    </row>
    <row r="62" spans="2:46" outlineLevel="1" x14ac:dyDescent="0.2">
      <c r="B62" s="63" t="s">
        <v>76</v>
      </c>
      <c r="C62" s="1"/>
      <c r="D62" s="1">
        <f t="shared" ref="D62:U62" si="18">-$C$48*D30</f>
        <v>0.57430420917396185</v>
      </c>
      <c r="E62" s="1">
        <f t="shared" si="18"/>
        <v>0.66441172309966023</v>
      </c>
      <c r="F62" s="1">
        <f t="shared" si="18"/>
        <v>0.49370468565226816</v>
      </c>
      <c r="G62" s="1">
        <f t="shared" si="18"/>
        <v>0.32913858062013429</v>
      </c>
      <c r="H62" s="1">
        <f t="shared" si="18"/>
        <v>0.16456822422782991</v>
      </c>
      <c r="I62" s="1">
        <f t="shared" si="18"/>
        <v>6.0044019600802301E-7</v>
      </c>
      <c r="J62" s="1">
        <f t="shared" si="18"/>
        <v>1.7976405874975399E-6</v>
      </c>
      <c r="K62" s="1">
        <f t="shared" si="18"/>
        <v>1.7976405874975399E-6</v>
      </c>
      <c r="L62" s="1">
        <f t="shared" si="18"/>
        <v>1.1987049993167354E-6</v>
      </c>
      <c r="M62" s="1">
        <f t="shared" si="18"/>
        <v>2.3964094164607985E-6</v>
      </c>
      <c r="N62" s="1">
        <f t="shared" si="18"/>
        <v>-1.1956956963432575E-6</v>
      </c>
      <c r="O62" s="1">
        <f t="shared" si="18"/>
        <v>-2.3921365062129496E-6</v>
      </c>
      <c r="P62" s="1">
        <f t="shared" si="18"/>
        <v>-5.9786803633388175E-6</v>
      </c>
      <c r="Q62" s="1">
        <f t="shared" si="18"/>
        <v>-6.5759753409277977E-6</v>
      </c>
      <c r="R62" s="1">
        <f t="shared" si="18"/>
        <v>-7.1723282804025956E-6</v>
      </c>
      <c r="S62" s="1">
        <f t="shared" si="18"/>
        <v>-4.7906726517998877E-6</v>
      </c>
      <c r="T62" s="1">
        <f t="shared" si="18"/>
        <v>-1.8150674530037492E-6</v>
      </c>
      <c r="U62" s="1">
        <f t="shared" si="18"/>
        <v>-4.1943812789657642E-6</v>
      </c>
    </row>
    <row r="63" spans="2:46" outlineLevel="1" x14ac:dyDescent="0.2">
      <c r="B63" s="63" t="s">
        <v>77</v>
      </c>
      <c r="C63" s="1"/>
      <c r="D63" s="1">
        <f t="shared" ref="D63:U63" si="19">-D14</f>
        <v>2.54775E-2</v>
      </c>
      <c r="E63" s="1">
        <f t="shared" si="19"/>
        <v>0.69010419999999995</v>
      </c>
      <c r="F63" s="1">
        <f t="shared" si="19"/>
        <v>0</v>
      </c>
      <c r="G63" s="1">
        <f t="shared" si="19"/>
        <v>0</v>
      </c>
      <c r="H63" s="1">
        <f t="shared" si="19"/>
        <v>0</v>
      </c>
      <c r="I63" s="1">
        <f t="shared" si="19"/>
        <v>0</v>
      </c>
      <c r="J63" s="1">
        <f t="shared" si="19"/>
        <v>0</v>
      </c>
      <c r="K63" s="1">
        <f t="shared" si="19"/>
        <v>0</v>
      </c>
      <c r="L63" s="1">
        <f t="shared" si="19"/>
        <v>0</v>
      </c>
      <c r="M63" s="1">
        <f t="shared" si="19"/>
        <v>0</v>
      </c>
      <c r="N63" s="1">
        <f t="shared" si="19"/>
        <v>0</v>
      </c>
      <c r="O63" s="1">
        <f t="shared" si="19"/>
        <v>0</v>
      </c>
      <c r="P63" s="1">
        <f t="shared" si="19"/>
        <v>0</v>
      </c>
      <c r="Q63" s="1">
        <f t="shared" si="19"/>
        <v>0</v>
      </c>
      <c r="R63" s="1">
        <f t="shared" si="19"/>
        <v>0</v>
      </c>
      <c r="S63" s="1">
        <f t="shared" si="19"/>
        <v>0</v>
      </c>
      <c r="T63" s="1">
        <f t="shared" si="19"/>
        <v>0</v>
      </c>
      <c r="U63" s="1">
        <f t="shared" si="19"/>
        <v>0</v>
      </c>
    </row>
    <row r="64" spans="2:46" outlineLevel="1" x14ac:dyDescent="0.2">
      <c r="B64" s="63" t="s">
        <v>78</v>
      </c>
      <c r="C64" s="1"/>
      <c r="D64" s="1">
        <f>IF(D$56&lt;=$C$6,0,HLOOKUP(D$56,'Input data'!$C$9:$AZ$26,12,FALSE)-HLOOKUP($C$6,'Input data'!$C$9:$AZ$26,12,FALSE))</f>
        <v>0</v>
      </c>
      <c r="E64" s="1">
        <f>IF(E$56&lt;=$C$6,0,HLOOKUP(E$56,'Input data'!$C$9:$AZ$26,12,FALSE)-HLOOKUP($C$6,'Input data'!$C$9:$AZ$26,12,FALSE))</f>
        <v>0</v>
      </c>
      <c r="F64" s="1">
        <f>IF(F$56&lt;=$C$6,0,HLOOKUP(F$56,'Input data'!$C$9:$AZ$26,12,FALSE)-HLOOKUP($C$6,'Input data'!$C$9:$AZ$26,12,FALSE))</f>
        <v>0</v>
      </c>
      <c r="G64" s="1">
        <f>IF(G$56&lt;=$C$6,0,HLOOKUP(G$56,'Input data'!$C$9:$AZ$26,12,FALSE)-HLOOKUP($C$6,'Input data'!$C$9:$AZ$26,12,FALSE))</f>
        <v>0</v>
      </c>
      <c r="H64" s="1">
        <f>IF(H$56&lt;=$C$6,0,HLOOKUP(H$56,'Input data'!$C$9:$AZ$26,12,FALSE)-HLOOKUP($C$6,'Input data'!$C$9:$AZ$26,12,FALSE))</f>
        <v>0</v>
      </c>
      <c r="I64" s="1">
        <f>IF(I$56&lt;=$C$6,0,HLOOKUP(I$56,'Input data'!$C$9:$AZ$26,12,FALSE)-HLOOKUP($C$6,'Input data'!$C$9:$AZ$26,12,FALSE))</f>
        <v>0.10000000000000142</v>
      </c>
      <c r="J64" s="1">
        <f>IF(J$56&lt;=$C$6,0,HLOOKUP(J$56,'Input data'!$C$9:$AZ$26,12,FALSE)-HLOOKUP($C$6,'Input data'!$C$9:$AZ$26,12,FALSE))</f>
        <v>0.40000000000000213</v>
      </c>
      <c r="K64" s="1">
        <f>IF(K$56&lt;=$C$6,0,HLOOKUP(K$56,'Input data'!$C$9:$AZ$26,12,FALSE)-HLOOKUP($C$6,'Input data'!$C$9:$AZ$26,12,FALSE))</f>
        <v>0.60000000000000142</v>
      </c>
      <c r="L64" s="1">
        <f>IF(L$56&lt;=$C$6,0,HLOOKUP(L$56,'Input data'!$C$9:$AZ$26,12,FALSE)-HLOOKUP($C$6,'Input data'!$C$9:$AZ$26,12,FALSE))</f>
        <v>0.70000000000000284</v>
      </c>
      <c r="M64" s="1">
        <f>IF(M$56&lt;=$C$6,0,HLOOKUP(M$56,'Input data'!$C$9:$AZ$26,12,FALSE)-HLOOKUP($C$6,'Input data'!$C$9:$AZ$26,12,FALSE))</f>
        <v>0.80000000000000071</v>
      </c>
      <c r="N64" s="1">
        <f>IF(N$56&lt;=$C$6,0,HLOOKUP(N$56,'Input data'!$C$9:$AZ$26,12,FALSE)-HLOOKUP($C$6,'Input data'!$C$9:$AZ$26,12,FALSE))</f>
        <v>0.90000000000000213</v>
      </c>
      <c r="O64" s="1">
        <f>IF(O$56&lt;=$C$6,0,HLOOKUP(O$56,'Input data'!$C$9:$AZ$26,12,FALSE)-HLOOKUP($C$6,'Input data'!$C$9:$AZ$26,12,FALSE))</f>
        <v>1.1000000000000014</v>
      </c>
      <c r="P64" s="1">
        <f>IF(P$56&lt;=$C$6,0,HLOOKUP(P$56,'Input data'!$C$9:$AZ$26,12,FALSE)-HLOOKUP($C$6,'Input data'!$C$9:$AZ$26,12,FALSE))</f>
        <v>1.3000000000000007</v>
      </c>
      <c r="Q64" s="1">
        <f>IF(Q$56&lt;=$C$6,0,HLOOKUP(Q$56,'Input data'!$C$9:$AZ$26,12,FALSE)-HLOOKUP($C$6,'Input data'!$C$9:$AZ$26,12,FALSE))</f>
        <v>1.3000000000000007</v>
      </c>
      <c r="R64" s="1">
        <f>IF(R$56&lt;=$C$6,0,HLOOKUP(R$56,'Input data'!$C$9:$AZ$26,12,FALSE)-HLOOKUP($C$6,'Input data'!$C$9:$AZ$26,12,FALSE))</f>
        <v>1.4000000000000021</v>
      </c>
      <c r="S64" s="1">
        <f>IF(S$56&lt;=$C$6,0,HLOOKUP(S$56,'Input data'!$C$9:$AZ$26,12,FALSE)-HLOOKUP($C$6,'Input data'!$C$9:$AZ$26,12,FALSE))</f>
        <v>1.5</v>
      </c>
      <c r="T64" s="1">
        <f>IF(T$56&lt;=$C$6,0,HLOOKUP(T$56,'Input data'!$C$9:$AZ$26,12,FALSE)-HLOOKUP($C$6,'Input data'!$C$9:$AZ$26,12,FALSE))</f>
        <v>1.7000000000000028</v>
      </c>
      <c r="U64" s="1">
        <f>IF(U$56&lt;=$C$6,0,HLOOKUP(U$56,'Input data'!$C$9:$AZ$26,12,FALSE)-HLOOKUP($C$6,'Input data'!$C$9:$AZ$26,12,FALSE))</f>
        <v>1.7000000000000028</v>
      </c>
    </row>
    <row r="65" spans="2:21" outlineLevel="1" x14ac:dyDescent="0.2">
      <c r="B65" s="63" t="s">
        <v>79</v>
      </c>
      <c r="C65" s="1"/>
      <c r="D65" s="1">
        <f>IF(D$56&lt;=$C$5,0,-HLOOKUP(D$56,'Input data'!$C$9:$AZ$26,18,FALSE)+HLOOKUP($C$6,'Input data'!$C$9:$AZ$26,18,FALSE))</f>
        <v>0</v>
      </c>
      <c r="E65" s="1">
        <f>IF(E$56&lt;=$C$6,0,-HLOOKUP(E$56,'Input data'!$C$9:$AZ$26,18,FALSE)+HLOOKUP($C$6,'Input data'!$C$9:$AZ$26,18,FALSE))</f>
        <v>0</v>
      </c>
      <c r="F65" s="1">
        <f>IF(F$56&lt;=$C$6,0,-HLOOKUP(F$56,'Input data'!$C$9:$AZ$26,18,FALSE)+HLOOKUP($C$6,'Input data'!$C$9:$AZ$26,18,FALSE))</f>
        <v>0</v>
      </c>
      <c r="G65" s="1">
        <f>IF(G$56&lt;=$C$6,0,-HLOOKUP(G$56,'Input data'!$C$9:$AZ$26,18,FALSE)+HLOOKUP($C$6,'Input data'!$C$9:$AZ$26,18,FALSE))</f>
        <v>0</v>
      </c>
      <c r="H65" s="1">
        <f>IF(H$56&lt;=$C$6,0,-HLOOKUP(H$56,'Input data'!$C$9:$AZ$26,18,FALSE)+HLOOKUP($C$6,'Input data'!$C$9:$AZ$26,18,FALSE))</f>
        <v>0</v>
      </c>
      <c r="I65" s="1">
        <f>IF(I$56&lt;=$C$6,0,-HLOOKUP(I$56,'Input data'!$C$9:$AZ$26,18,FALSE)+HLOOKUP($C$6,'Input data'!$C$9:$AZ$26,18,FALSE))</f>
        <v>5.7404000000000899E-3</v>
      </c>
      <c r="J65" s="1">
        <f>IF(J$56&lt;=$C$6,0,-HLOOKUP(J$56,'Input data'!$C$9:$AZ$26,18,FALSE)+HLOOKUP($C$6,'Input data'!$C$9:$AZ$26,18,FALSE))</f>
        <v>1.148070000000001E-2</v>
      </c>
      <c r="K65" s="1">
        <f>IF(K$56&lt;=$C$6,0,-HLOOKUP(K$56,'Input data'!$C$9:$AZ$26,18,FALSE)+HLOOKUP($C$6,'Input data'!$C$9:$AZ$26,18,FALSE))</f>
        <v>1.7221000000000042E-2</v>
      </c>
      <c r="L65" s="1">
        <f>IF(L$56&lt;=$C$6,0,-HLOOKUP(L$56,'Input data'!$C$9:$AZ$26,18,FALSE)+HLOOKUP($C$6,'Input data'!$C$9:$AZ$26,18,FALSE))</f>
        <v>2.2961300000000073E-2</v>
      </c>
      <c r="M65" s="1">
        <f>IF(M$56&lt;=$C$6,0,-HLOOKUP(M$56,'Input data'!$C$9:$AZ$26,18,FALSE)+HLOOKUP($C$6,'Input data'!$C$9:$AZ$26,18,FALSE))</f>
        <v>2.8701599999999994E-2</v>
      </c>
      <c r="N65" s="1">
        <f>IF(N$56&lt;=$C$6,0,-HLOOKUP(N$56,'Input data'!$C$9:$AZ$26,18,FALSE)+HLOOKUP($C$6,'Input data'!$C$9:$AZ$26,18,FALSE))</f>
        <v>3.4442000000000084E-2</v>
      </c>
      <c r="O65" s="1">
        <f>IF(O$56&lt;=$C$6,0,-HLOOKUP(O$56,'Input data'!$C$9:$AZ$26,18,FALSE)+HLOOKUP($C$6,'Input data'!$C$9:$AZ$26,18,FALSE))</f>
        <v>4.0182300000000004E-2</v>
      </c>
      <c r="P65" s="1">
        <f>IF(P$56&lt;=$C$6,0,-HLOOKUP(P$56,'Input data'!$C$9:$AZ$26,18,FALSE)+HLOOKUP($C$6,'Input data'!$C$9:$AZ$26,18,FALSE))</f>
        <v>4.5922500000000088E-2</v>
      </c>
      <c r="Q65" s="1">
        <f>IF(Q$56&lt;=$C$6,0,-HLOOKUP(Q$56,'Input data'!$C$9:$AZ$26,18,FALSE)+HLOOKUP($C$6,'Input data'!$C$9:$AZ$26,18,FALSE))</f>
        <v>5.1662900000000067E-2</v>
      </c>
      <c r="R65" s="1">
        <f>IF(R$56&lt;=$C$6,0,-HLOOKUP(R$56,'Input data'!$C$9:$AZ$26,18,FALSE)+HLOOKUP($C$6,'Input data'!$C$9:$AZ$26,18,FALSE))</f>
        <v>5.7403200000000099E-2</v>
      </c>
      <c r="S65" s="183">
        <f>IF(S$56&lt;=$C$6,0,-HLOOKUP(S$56,'Input data'!$C$9:$AZ$26,18,FALSE)+HLOOKUP($C$6,'Input data'!$C$9:$AZ$26,18,FALSE))</f>
        <v>6.3143500000000019E-2</v>
      </c>
      <c r="T65" s="183">
        <f>IF(T$56&lt;=$C$6,0,-HLOOKUP(T$56,'Input data'!$C$9:$AZ$26,18,FALSE)+HLOOKUP($C$6,'Input data'!$C$9:$AZ$26,18,FALSE))</f>
        <v>6.8883800000000051E-2</v>
      </c>
      <c r="U65" s="183">
        <f>IF(U$56&lt;=$C$6,0,-HLOOKUP(U$56,'Input data'!$C$9:$AZ$26,18,FALSE)+HLOOKUP($C$6,'Input data'!$C$9:$AZ$26,18,FALSE))</f>
        <v>7.4624100000000082E-2</v>
      </c>
    </row>
    <row r="66" spans="2:21" outlineLevel="1" x14ac:dyDescent="0.2">
      <c r="B66" s="63" t="s">
        <v>80</v>
      </c>
      <c r="C66" s="26"/>
      <c r="D66" s="26">
        <v>0</v>
      </c>
      <c r="E66" s="26">
        <v>0</v>
      </c>
      <c r="F66" s="26">
        <v>0</v>
      </c>
      <c r="G66" s="26">
        <v>0</v>
      </c>
      <c r="H66" s="26">
        <v>0</v>
      </c>
      <c r="I66" s="26">
        <v>0</v>
      </c>
      <c r="J66" s="26">
        <v>0</v>
      </c>
      <c r="K66" s="26">
        <v>0</v>
      </c>
      <c r="L66" s="26">
        <v>0</v>
      </c>
      <c r="M66" s="26">
        <v>0</v>
      </c>
      <c r="N66" s="26">
        <v>0</v>
      </c>
      <c r="O66" s="26">
        <v>0</v>
      </c>
      <c r="P66" s="26">
        <v>0</v>
      </c>
      <c r="Q66" s="26">
        <v>0</v>
      </c>
      <c r="R66" s="26">
        <v>0</v>
      </c>
      <c r="S66" s="184">
        <v>0</v>
      </c>
      <c r="T66" s="184">
        <v>0</v>
      </c>
      <c r="U66" s="184">
        <v>0</v>
      </c>
    </row>
    <row r="67" spans="2:21" outlineLevel="1" x14ac:dyDescent="0.2">
      <c r="B67" s="64" t="s">
        <v>81</v>
      </c>
      <c r="C67" s="34"/>
      <c r="D67" s="34">
        <f t="shared" ref="D67:M67" si="20">SUM(D68:D71)</f>
        <v>-1.328058</v>
      </c>
      <c r="E67" s="34">
        <f t="shared" si="20"/>
        <v>-1.2288980000000012</v>
      </c>
      <c r="F67" s="34">
        <f t="shared" si="20"/>
        <v>-0.87311571706762159</v>
      </c>
      <c r="G67" s="34">
        <f t="shared" si="20"/>
        <v>-0.7950615120413107</v>
      </c>
      <c r="H67" s="34">
        <f t="shared" si="20"/>
        <v>-0.69338451689483704</v>
      </c>
      <c r="I67" s="34">
        <f t="shared" si="20"/>
        <v>-0.63196376984833447</v>
      </c>
      <c r="J67" s="34">
        <f t="shared" si="20"/>
        <v>-0.42615909671609653</v>
      </c>
      <c r="K67" s="34">
        <f t="shared" si="20"/>
        <v>-0.35608143684565308</v>
      </c>
      <c r="L67" s="34">
        <f t="shared" si="20"/>
        <v>-0.28986535397787583</v>
      </c>
      <c r="M67" s="34">
        <f t="shared" si="20"/>
        <v>-0.23904830192802262</v>
      </c>
      <c r="N67" s="34">
        <f t="shared" ref="N67:U67" si="21">SUM(N68:N71)</f>
        <v>-0.19349207423777903</v>
      </c>
      <c r="O67" s="34">
        <f t="shared" si="21"/>
        <v>-0.17004376212494288</v>
      </c>
      <c r="P67" s="34">
        <f t="shared" si="21"/>
        <v>-0.15346753642442579</v>
      </c>
      <c r="Q67" s="34">
        <f t="shared" si="21"/>
        <v>-0.14357852343376543</v>
      </c>
      <c r="R67" s="34">
        <f t="shared" si="21"/>
        <v>-0.1873039758066215</v>
      </c>
      <c r="S67" s="34">
        <f t="shared" si="21"/>
        <v>-0.24006083136153489</v>
      </c>
      <c r="T67" s="34">
        <f t="shared" si="21"/>
        <v>-0.23520400930845775</v>
      </c>
      <c r="U67" s="34">
        <f t="shared" si="21"/>
        <v>-0.23540093786645455</v>
      </c>
    </row>
    <row r="68" spans="2:21" outlineLevel="1" x14ac:dyDescent="0.2">
      <c r="B68" s="63" t="s">
        <v>82</v>
      </c>
      <c r="C68" s="23"/>
      <c r="D68" s="23">
        <f t="shared" ref="D68:U68" si="22">C57*D36/100*(1/(1+D33/100))</f>
        <v>0.71728822977332674</v>
      </c>
      <c r="E68" s="23">
        <f t="shared" si="22"/>
        <v>0.74801828719034313</v>
      </c>
      <c r="F68" s="23">
        <f t="shared" si="22"/>
        <v>0.84257493081209656</v>
      </c>
      <c r="G68" s="23">
        <f t="shared" si="22"/>
        <v>0.90946083536599531</v>
      </c>
      <c r="H68" s="23">
        <f t="shared" si="22"/>
        <v>0.97513895526430605</v>
      </c>
      <c r="I68" s="23">
        <f t="shared" si="22"/>
        <v>1.0385130801704994</v>
      </c>
      <c r="J68" s="23">
        <f t="shared" si="22"/>
        <v>1.1060584635804851</v>
      </c>
      <c r="K68" s="23">
        <f t="shared" si="22"/>
        <v>1.187344291177262</v>
      </c>
      <c r="L68" s="23">
        <f t="shared" si="22"/>
        <v>1.2795196450251696</v>
      </c>
      <c r="M68" s="23">
        <f t="shared" si="22"/>
        <v>1.3790999737789913</v>
      </c>
      <c r="N68" s="23">
        <f t="shared" si="22"/>
        <v>1.4862341457780941</v>
      </c>
      <c r="O68" s="23">
        <f t="shared" si="22"/>
        <v>1.5845889728599494</v>
      </c>
      <c r="P68" s="23">
        <f t="shared" si="22"/>
        <v>1.6853554633496055</v>
      </c>
      <c r="Q68" s="23">
        <f t="shared" si="22"/>
        <v>1.7888939082221103</v>
      </c>
      <c r="R68" s="23">
        <f t="shared" si="22"/>
        <v>1.886532710042861</v>
      </c>
      <c r="S68" s="23">
        <f t="shared" si="22"/>
        <v>1.9820876540601382</v>
      </c>
      <c r="T68" s="23">
        <f t="shared" si="22"/>
        <v>2.0778660555452517</v>
      </c>
      <c r="U68" s="23">
        <f t="shared" si="22"/>
        <v>2.1778207823178537</v>
      </c>
    </row>
    <row r="69" spans="2:21" outlineLevel="1" x14ac:dyDescent="0.2">
      <c r="B69" s="63" t="s">
        <v>83</v>
      </c>
      <c r="C69" s="23"/>
      <c r="D69" s="23">
        <f t="shared" ref="D69:U69" si="23">-C57*(D24/100)*(1/(1+D33/100))</f>
        <v>-0.70755896558692444</v>
      </c>
      <c r="E69" s="23">
        <f t="shared" si="23"/>
        <v>-0.55001278605288473</v>
      </c>
      <c r="F69" s="23">
        <f t="shared" si="23"/>
        <v>-0.72987177892148902</v>
      </c>
      <c r="G69" s="23">
        <f t="shared" si="23"/>
        <v>-0.70485576927981131</v>
      </c>
      <c r="H69" s="23">
        <f t="shared" si="23"/>
        <v>-0.65675705179723654</v>
      </c>
      <c r="I69" s="23">
        <f t="shared" si="23"/>
        <v>-0.64791166328048688</v>
      </c>
      <c r="J69" s="23">
        <f t="shared" si="23"/>
        <v>-0.49879015092122414</v>
      </c>
      <c r="K69" s="23">
        <f t="shared" si="23"/>
        <v>-0.48804811749159099</v>
      </c>
      <c r="L69" s="23">
        <f t="shared" si="23"/>
        <v>-0.48580008491455484</v>
      </c>
      <c r="M69" s="23">
        <f t="shared" si="23"/>
        <v>-0.50221763188927138</v>
      </c>
      <c r="N69" s="23">
        <f t="shared" si="23"/>
        <v>-0.52754593842708775</v>
      </c>
      <c r="O69" s="23">
        <f t="shared" si="23"/>
        <v>-0.58059427561407806</v>
      </c>
      <c r="P69" s="23">
        <f t="shared" si="23"/>
        <v>-0.63822837315761438</v>
      </c>
      <c r="Q69" s="23">
        <f t="shared" si="23"/>
        <v>-0.70086635513344731</v>
      </c>
      <c r="R69" s="23">
        <f t="shared" si="23"/>
        <v>-0.81135003349046375</v>
      </c>
      <c r="S69" s="23">
        <f t="shared" si="23"/>
        <v>-0.92791565437876056</v>
      </c>
      <c r="T69" s="23">
        <f t="shared" si="23"/>
        <v>-0.98644458673608515</v>
      </c>
      <c r="U69" s="23">
        <f t="shared" si="23"/>
        <v>-1.0502129359656716</v>
      </c>
    </row>
    <row r="70" spans="2:21" outlineLevel="1" x14ac:dyDescent="0.2">
      <c r="B70" s="63" t="s">
        <v>84</v>
      </c>
      <c r="C70" s="23"/>
      <c r="D70" s="23">
        <f t="shared" ref="D70:U70" si="24">-C57*D42/100*(1/(1+D42/100))</f>
        <v>-1.337786977824317</v>
      </c>
      <c r="E70" s="23">
        <f t="shared" si="24"/>
        <v>-1.4269040787690661</v>
      </c>
      <c r="F70" s="23">
        <f t="shared" si="24"/>
        <v>-0.98581913280758426</v>
      </c>
      <c r="G70" s="23">
        <f t="shared" si="24"/>
        <v>-0.99966657812749471</v>
      </c>
      <c r="H70" s="23">
        <f t="shared" si="24"/>
        <v>-1.0117664203619066</v>
      </c>
      <c r="I70" s="23">
        <f t="shared" si="24"/>
        <v>-1.022565186738347</v>
      </c>
      <c r="J70" s="23">
        <f t="shared" si="24"/>
        <v>-1.0334274093753575</v>
      </c>
      <c r="K70" s="23">
        <f t="shared" si="24"/>
        <v>-1.0553776105313242</v>
      </c>
      <c r="L70" s="23">
        <f t="shared" si="24"/>
        <v>-1.0835849140884906</v>
      </c>
      <c r="M70" s="23">
        <f t="shared" si="24"/>
        <v>-1.1159306438177425</v>
      </c>
      <c r="N70" s="23">
        <f t="shared" si="24"/>
        <v>-1.1521802815887854</v>
      </c>
      <c r="O70" s="23">
        <f t="shared" si="24"/>
        <v>-1.1740384593708142</v>
      </c>
      <c r="P70" s="23">
        <f t="shared" si="24"/>
        <v>-1.2005946266164169</v>
      </c>
      <c r="Q70" s="23">
        <f t="shared" si="24"/>
        <v>-1.2316060765224284</v>
      </c>
      <c r="R70" s="23">
        <f t="shared" si="24"/>
        <v>-1.2624866523590188</v>
      </c>
      <c r="S70" s="23">
        <f t="shared" si="24"/>
        <v>-1.2942328310429125</v>
      </c>
      <c r="T70" s="23">
        <f t="shared" si="24"/>
        <v>-1.3266254781176243</v>
      </c>
      <c r="U70" s="23">
        <f t="shared" si="24"/>
        <v>-1.3630087842186367</v>
      </c>
    </row>
    <row r="71" spans="2:21" outlineLevel="1" x14ac:dyDescent="0.2">
      <c r="B71" s="63" t="s">
        <v>85</v>
      </c>
      <c r="C71" s="35"/>
      <c r="D71" s="35">
        <f>'Baseline NFPC'!D70</f>
        <v>-2.8636208515564476E-7</v>
      </c>
      <c r="E71" s="35">
        <f>'Baseline NFPC'!E70</f>
        <v>5.7763160654644707E-7</v>
      </c>
      <c r="F71" s="35">
        <f>'Baseline NFPC'!F70</f>
        <v>2.638493551421206E-7</v>
      </c>
      <c r="G71" s="35">
        <v>0</v>
      </c>
      <c r="H71" s="35">
        <v>0</v>
      </c>
      <c r="I71" s="35">
        <v>0</v>
      </c>
      <c r="J71" s="35">
        <v>0</v>
      </c>
      <c r="K71" s="35">
        <v>0</v>
      </c>
      <c r="L71" s="35">
        <v>0</v>
      </c>
      <c r="M71" s="35">
        <v>0</v>
      </c>
      <c r="N71" s="35">
        <v>0</v>
      </c>
      <c r="O71" s="35">
        <v>0</v>
      </c>
      <c r="P71" s="35">
        <v>0</v>
      </c>
      <c r="Q71" s="35">
        <v>0</v>
      </c>
      <c r="R71" s="35">
        <v>0</v>
      </c>
      <c r="S71" s="35">
        <v>0</v>
      </c>
      <c r="T71" s="35">
        <v>0</v>
      </c>
      <c r="U71" s="35">
        <v>0</v>
      </c>
    </row>
    <row r="72" spans="2:21" outlineLevel="1" x14ac:dyDescent="0.2">
      <c r="B72" s="64" t="s">
        <v>86</v>
      </c>
      <c r="C72" s="36"/>
      <c r="D72" s="36">
        <f>'Input data'!D16</f>
        <v>1.5799970000000001</v>
      </c>
      <c r="E72" s="36">
        <f>'Input data'!E16</f>
        <v>2.0146769999999998</v>
      </c>
      <c r="F72" s="36">
        <f>'Input data'!F16</f>
        <v>-2.0499999999999999E-6</v>
      </c>
      <c r="G72" s="36">
        <f>'Input data'!G16</f>
        <v>0</v>
      </c>
      <c r="H72" s="36">
        <f>'Input data'!H16</f>
        <v>0</v>
      </c>
      <c r="I72" s="36">
        <f>'Input data'!I16</f>
        <v>0</v>
      </c>
      <c r="J72" s="36">
        <f>'Input data'!J16</f>
        <v>0</v>
      </c>
      <c r="K72" s="36">
        <f>'Input data'!K16</f>
        <v>0</v>
      </c>
      <c r="L72" s="36">
        <f>'Input data'!L16</f>
        <v>0</v>
      </c>
      <c r="M72" s="36">
        <f>'Input data'!M16</f>
        <v>0</v>
      </c>
      <c r="N72" s="36">
        <f>'Input data'!N16</f>
        <v>0</v>
      </c>
      <c r="O72" s="36">
        <f>'Input data'!O16</f>
        <v>0</v>
      </c>
      <c r="P72" s="36">
        <f>'Input data'!P16</f>
        <v>0</v>
      </c>
      <c r="Q72" s="36">
        <f>'Input data'!Q16</f>
        <v>0</v>
      </c>
      <c r="R72" s="36">
        <f>'Input data'!R16</f>
        <v>0</v>
      </c>
      <c r="S72" s="36">
        <f>'Input data'!S16</f>
        <v>0</v>
      </c>
      <c r="T72" s="36">
        <f>'Input data'!T16</f>
        <v>0</v>
      </c>
      <c r="U72" s="36">
        <f>'Input data'!U16</f>
        <v>0</v>
      </c>
    </row>
    <row r="73" spans="2:21" outlineLevel="1" x14ac:dyDescent="0.2">
      <c r="B73" s="63" t="s">
        <v>87</v>
      </c>
      <c r="C73" s="23"/>
      <c r="D73" s="23">
        <f t="shared" ref="D73:U73" si="25">D15</f>
        <v>1.579996</v>
      </c>
      <c r="E73" s="23">
        <f t="shared" si="25"/>
        <v>2.014675</v>
      </c>
      <c r="F73" s="23">
        <f t="shared" si="25"/>
        <v>0</v>
      </c>
      <c r="G73" s="23">
        <f t="shared" si="25"/>
        <v>0</v>
      </c>
      <c r="H73" s="23">
        <f t="shared" si="25"/>
        <v>0</v>
      </c>
      <c r="I73" s="23">
        <f t="shared" si="25"/>
        <v>0</v>
      </c>
      <c r="J73" s="23">
        <f t="shared" si="25"/>
        <v>0</v>
      </c>
      <c r="K73" s="23">
        <f t="shared" si="25"/>
        <v>0</v>
      </c>
      <c r="L73" s="23">
        <f t="shared" si="25"/>
        <v>0</v>
      </c>
      <c r="M73" s="23">
        <f t="shared" si="25"/>
        <v>0</v>
      </c>
      <c r="N73" s="23">
        <f t="shared" si="25"/>
        <v>0</v>
      </c>
      <c r="O73" s="23">
        <f t="shared" si="25"/>
        <v>0</v>
      </c>
      <c r="P73" s="23">
        <f t="shared" si="25"/>
        <v>0</v>
      </c>
      <c r="Q73" s="23">
        <f t="shared" si="25"/>
        <v>0</v>
      </c>
      <c r="R73" s="23">
        <f t="shared" si="25"/>
        <v>0</v>
      </c>
      <c r="S73" s="23">
        <f t="shared" si="25"/>
        <v>0</v>
      </c>
      <c r="T73" s="23">
        <f t="shared" si="25"/>
        <v>0</v>
      </c>
      <c r="U73" s="23">
        <f t="shared" si="25"/>
        <v>0</v>
      </c>
    </row>
    <row r="74" spans="2:21" outlineLevel="1" x14ac:dyDescent="0.2">
      <c r="B74" s="69" t="s">
        <v>88</v>
      </c>
      <c r="C74" s="35"/>
      <c r="D74" s="35">
        <f t="shared" ref="D74:U74" si="26">+D72-D73</f>
        <v>1.000000000139778E-6</v>
      </c>
      <c r="E74" s="35">
        <f t="shared" si="26"/>
        <v>1.9999999998354667E-6</v>
      </c>
      <c r="F74" s="35">
        <f t="shared" si="26"/>
        <v>-2.0499999999999999E-6</v>
      </c>
      <c r="G74" s="35">
        <f t="shared" si="26"/>
        <v>0</v>
      </c>
      <c r="H74" s="35">
        <f t="shared" si="26"/>
        <v>0</v>
      </c>
      <c r="I74" s="35">
        <f t="shared" si="26"/>
        <v>0</v>
      </c>
      <c r="J74" s="35">
        <f t="shared" si="26"/>
        <v>0</v>
      </c>
      <c r="K74" s="35">
        <f t="shared" si="26"/>
        <v>0</v>
      </c>
      <c r="L74" s="35">
        <f t="shared" si="26"/>
        <v>0</v>
      </c>
      <c r="M74" s="35">
        <f t="shared" si="26"/>
        <v>0</v>
      </c>
      <c r="N74" s="35">
        <f t="shared" si="26"/>
        <v>0</v>
      </c>
      <c r="O74" s="35">
        <f t="shared" si="26"/>
        <v>0</v>
      </c>
      <c r="P74" s="35">
        <f t="shared" si="26"/>
        <v>0</v>
      </c>
      <c r="Q74" s="35">
        <f t="shared" si="26"/>
        <v>0</v>
      </c>
      <c r="R74" s="35">
        <f t="shared" si="26"/>
        <v>0</v>
      </c>
      <c r="S74" s="35">
        <f t="shared" si="26"/>
        <v>0</v>
      </c>
      <c r="T74" s="35">
        <f t="shared" si="26"/>
        <v>0</v>
      </c>
      <c r="U74" s="35">
        <f t="shared" si="26"/>
        <v>0</v>
      </c>
    </row>
    <row r="75" spans="2:21" ht="10.5" customHeight="1" outlineLevel="1" x14ac:dyDescent="0.2"/>
    <row r="76" spans="2:21" ht="10.5" customHeight="1" outlineLevel="1" x14ac:dyDescent="0.2">
      <c r="B76" s="70" t="s">
        <v>89</v>
      </c>
    </row>
    <row r="77" spans="2:21" x14ac:dyDescent="0.2">
      <c r="B77" s="61" t="s">
        <v>19</v>
      </c>
      <c r="C77" s="62">
        <f>'Baseline NFPC'!C76</f>
        <v>-0.94488970000000005</v>
      </c>
      <c r="D77" s="62">
        <f>D59-D68-D71</f>
        <v>-1.8748091525852035</v>
      </c>
      <c r="E77" s="62">
        <f t="shared" ref="E77:U77" si="27">E59-E68-E71</f>
        <v>-2.6602742879216099</v>
      </c>
      <c r="F77" s="62">
        <f t="shared" si="27"/>
        <v>-1.8940193803137202</v>
      </c>
      <c r="G77" s="62">
        <f t="shared" si="27"/>
        <v>-1.7963389159861296</v>
      </c>
      <c r="H77" s="62">
        <f t="shared" si="27"/>
        <v>-1.6974466794921361</v>
      </c>
      <c r="I77" s="62">
        <f t="shared" si="27"/>
        <v>-1.7019935806106969</v>
      </c>
      <c r="J77" s="62">
        <f t="shared" si="27"/>
        <v>-2.0752804612210749</v>
      </c>
      <c r="K77" s="62">
        <f t="shared" si="27"/>
        <v>-2.3623065888178507</v>
      </c>
      <c r="L77" s="62">
        <f t="shared" si="27"/>
        <v>-2.5602216437301717</v>
      </c>
      <c r="M77" s="62">
        <f t="shared" si="27"/>
        <v>-2.7655434701884083</v>
      </c>
      <c r="N77" s="62">
        <f t="shared" si="27"/>
        <v>-2.9784144500823997</v>
      </c>
      <c r="O77" s="62">
        <f t="shared" si="27"/>
        <v>-3.2825083807234448</v>
      </c>
      <c r="P77" s="62">
        <f t="shared" si="27"/>
        <v>-3.5890114846692427</v>
      </c>
      <c r="Q77" s="62">
        <f t="shared" si="27"/>
        <v>-3.6982897322467703</v>
      </c>
      <c r="R77" s="62">
        <f t="shared" si="27"/>
        <v>-3.901668237714583</v>
      </c>
      <c r="S77" s="62">
        <f t="shared" si="27"/>
        <v>-4.102965863387487</v>
      </c>
      <c r="T77" s="62">
        <f t="shared" si="27"/>
        <v>-4.4044875404778017</v>
      </c>
      <c r="U77" s="62">
        <f t="shared" si="27"/>
        <v>-4.5101801879365775</v>
      </c>
    </row>
    <row r="78" spans="2:21" x14ac:dyDescent="0.2">
      <c r="B78" s="15" t="s">
        <v>20</v>
      </c>
      <c r="C78" s="23">
        <f>'Baseline NFPC'!C77</f>
        <v>-0.3200694</v>
      </c>
      <c r="D78" s="23">
        <f>D60-D68-D71-D64-D65-D66</f>
        <v>-1.2750274434112416</v>
      </c>
      <c r="E78" s="23">
        <f t="shared" ref="E78:U78" si="28">E60-E68-E71-E64-E65-E66</f>
        <v>-1.3057583648219497</v>
      </c>
      <c r="F78" s="23">
        <f t="shared" si="28"/>
        <v>-1.4003146946614518</v>
      </c>
      <c r="G78" s="23">
        <f t="shared" si="28"/>
        <v>-1.4672003353659955</v>
      </c>
      <c r="H78" s="23">
        <f t="shared" si="28"/>
        <v>-1.532878455264306</v>
      </c>
      <c r="I78" s="23">
        <f t="shared" si="28"/>
        <v>-1.7019929801705009</v>
      </c>
      <c r="J78" s="23">
        <f t="shared" si="28"/>
        <v>-2.0752786635804874</v>
      </c>
      <c r="K78" s="23">
        <f t="shared" si="28"/>
        <v>-2.3623047911772637</v>
      </c>
      <c r="L78" s="23">
        <f t="shared" si="28"/>
        <v>-2.5602204450251724</v>
      </c>
      <c r="M78" s="23">
        <f t="shared" si="28"/>
        <v>-2.7655410737789916</v>
      </c>
      <c r="N78" s="23">
        <f t="shared" si="28"/>
        <v>-2.9784156457780968</v>
      </c>
      <c r="O78" s="23">
        <f t="shared" si="28"/>
        <v>-3.282510772859951</v>
      </c>
      <c r="P78" s="23">
        <f t="shared" si="28"/>
        <v>-3.5890174633496064</v>
      </c>
      <c r="Q78" s="23">
        <f t="shared" si="28"/>
        <v>-3.698296308222111</v>
      </c>
      <c r="R78" s="23">
        <f t="shared" si="28"/>
        <v>-3.9016754100428632</v>
      </c>
      <c r="S78" s="23">
        <f t="shared" si="28"/>
        <v>-4.1029706540601376</v>
      </c>
      <c r="T78" s="23">
        <f t="shared" si="28"/>
        <v>-4.4044893555452544</v>
      </c>
      <c r="U78" s="23">
        <f t="shared" si="28"/>
        <v>-4.5101843823178571</v>
      </c>
    </row>
    <row r="79" spans="2:21" x14ac:dyDescent="0.2">
      <c r="B79" s="24" t="s">
        <v>90</v>
      </c>
      <c r="C79" s="233">
        <f>'Input data'!C45</f>
        <v>6.2115936893699919</v>
      </c>
      <c r="D79" s="233">
        <f>'Input data'!D45</f>
        <v>7.2645884583744351</v>
      </c>
      <c r="E79" s="35">
        <f>'Input data'!E33+E42-(E$12-D$12)/'Input data'!$C$64*100</f>
        <v>4.6891910000000001</v>
      </c>
      <c r="F79" s="35">
        <f>'Input data'!F33+F42-(F$12-E$12)/'Input data'!$C$64*100</f>
        <v>3.3961959999999998</v>
      </c>
      <c r="G79" s="35">
        <f>'Input data'!G33+G42-(G$12-F$12)/'Input data'!$C$64*100</f>
        <v>3.369138875</v>
      </c>
      <c r="H79" s="35">
        <f>'Input data'!H33+H42-(H$12-G$12)/'Input data'!$C$64*100</f>
        <v>3.28454975</v>
      </c>
      <c r="I79" s="35">
        <f>'Input data'!I33+I42-(I$12-H$12)/'Input data'!$C$64*100</f>
        <v>3.2875976250000001</v>
      </c>
      <c r="J79" s="35">
        <f>'Input data'!J33+J42-(J$12-I$12)/'Input data'!$C$64*100</f>
        <v>3.2607844999999998</v>
      </c>
      <c r="K79" s="35">
        <f>'Input data'!K33+K42-(K$12-J$12)/'Input data'!$C$64*100</f>
        <v>3.2480523749999999</v>
      </c>
      <c r="L79" s="35">
        <f>'Input data'!L33+L42-(L$12-K$12)/'Input data'!$C$64*100</f>
        <v>3.2483582499999999</v>
      </c>
      <c r="M79" s="35">
        <f>'Input data'!M33+M42-(M$12-L$12)/'Input data'!$C$64*100</f>
        <v>3.2845081249999994</v>
      </c>
      <c r="N79" s="35">
        <f>'Input data'!N33+N42-(N$12-M$12)/'Input data'!$C$64*100</f>
        <v>3.3349449999999998</v>
      </c>
      <c r="O79" s="35">
        <f>'Input data'!O33+O42-(O$12-N$12)/'Input data'!$C$64*100</f>
        <v>3.3992969999999998</v>
      </c>
      <c r="P79" s="35">
        <f>'Input data'!P33+P42-(P$12-O$12)/'Input data'!$C$64*100</f>
        <v>3.4636480000000001</v>
      </c>
      <c r="Q79" s="35">
        <f>'Input data'!Q33+Q42-(Q$12-P$12)/'Input data'!$C$64*100</f>
        <v>3.528</v>
      </c>
      <c r="R79" s="35">
        <f>'Input data'!R33+R42-(R$12-Q$12)/'Input data'!$C$64*100</f>
        <v>3.6739999999999995</v>
      </c>
      <c r="S79" s="35">
        <f>'Input data'!S33+S42-(S$12-R$12)/'Input data'!$C$64*100</f>
        <v>3.8200000000000003</v>
      </c>
      <c r="T79" s="35">
        <f>'Input data'!T33+T42-(T$12-S$12)/'Input data'!$C$64*100</f>
        <v>3.8559999999999999</v>
      </c>
      <c r="U79" s="35">
        <f>'Input data'!U33+U42-(U$12-T$12)/'Input data'!$C$64*100</f>
        <v>3.8919999999999999</v>
      </c>
    </row>
    <row r="80" spans="2:21" x14ac:dyDescent="0.2">
      <c r="C80" s="23"/>
      <c r="D80" s="23"/>
      <c r="E80" s="23"/>
      <c r="F80" s="23"/>
      <c r="G80" s="23"/>
      <c r="H80" s="23"/>
      <c r="I80" s="23"/>
      <c r="J80" s="23"/>
      <c r="K80" s="23"/>
      <c r="L80" s="23"/>
      <c r="M80" s="23"/>
      <c r="N80" s="23"/>
      <c r="O80" s="23"/>
      <c r="P80" s="23"/>
      <c r="Q80" s="23"/>
      <c r="R80" s="23"/>
      <c r="S80" s="23"/>
      <c r="T80" s="23"/>
      <c r="U80" s="23"/>
    </row>
    <row r="81" spans="2:21" x14ac:dyDescent="0.2">
      <c r="B81" s="89" t="s">
        <v>110</v>
      </c>
      <c r="C81" s="23"/>
      <c r="D81" s="23"/>
      <c r="E81" s="23"/>
      <c r="F81" s="23"/>
      <c r="G81" s="25"/>
      <c r="H81" s="25"/>
      <c r="I81" s="25"/>
      <c r="J81" s="25"/>
      <c r="K81" s="23"/>
      <c r="L81" s="23"/>
      <c r="M81" s="23"/>
      <c r="N81" s="23"/>
      <c r="O81" s="23"/>
      <c r="P81" s="23"/>
      <c r="Q81" s="23"/>
      <c r="R81" s="23"/>
      <c r="S81" s="23"/>
      <c r="T81" s="23"/>
      <c r="U81" s="23"/>
    </row>
    <row r="82" spans="2:21" x14ac:dyDescent="0.2">
      <c r="B82" s="67"/>
      <c r="C82" s="23"/>
      <c r="D82" s="23"/>
      <c r="E82" s="23"/>
      <c r="F82" s="23"/>
      <c r="G82" s="25"/>
      <c r="H82" s="25"/>
      <c r="I82" s="25"/>
      <c r="J82" s="25"/>
      <c r="K82" s="23"/>
      <c r="L82" s="23"/>
      <c r="M82" s="23"/>
      <c r="N82" s="23"/>
      <c r="O82" s="23"/>
      <c r="P82" s="23"/>
      <c r="Q82" s="23"/>
      <c r="R82" s="23"/>
      <c r="S82" s="23"/>
      <c r="T82" s="23"/>
      <c r="U82" s="23"/>
    </row>
    <row r="83" spans="2:21" x14ac:dyDescent="0.2">
      <c r="B83" s="37" t="s">
        <v>141</v>
      </c>
      <c r="C83" s="37"/>
      <c r="D83" s="37"/>
      <c r="E83" s="180"/>
      <c r="F83" s="180"/>
      <c r="G83" s="180"/>
      <c r="H83" s="180"/>
      <c r="I83" s="180">
        <f t="shared" ref="I83:U83" si="29">IF(I57&lt;H57,0,1)</f>
        <v>1</v>
      </c>
      <c r="J83" s="180">
        <f t="shared" si="29"/>
        <v>1</v>
      </c>
      <c r="K83" s="180">
        <f t="shared" si="29"/>
        <v>1</v>
      </c>
      <c r="L83" s="180">
        <f t="shared" si="29"/>
        <v>1</v>
      </c>
      <c r="M83" s="180">
        <f t="shared" si="29"/>
        <v>1</v>
      </c>
      <c r="N83" s="180">
        <f t="shared" si="29"/>
        <v>1</v>
      </c>
      <c r="O83" s="180">
        <f t="shared" si="29"/>
        <v>1</v>
      </c>
      <c r="P83" s="180">
        <f t="shared" si="29"/>
        <v>1</v>
      </c>
      <c r="Q83" s="180">
        <f t="shared" si="29"/>
        <v>1</v>
      </c>
      <c r="R83" s="180">
        <f t="shared" si="29"/>
        <v>1</v>
      </c>
      <c r="S83" s="38">
        <f t="shared" si="29"/>
        <v>1</v>
      </c>
      <c r="T83" s="38">
        <f t="shared" si="29"/>
        <v>1</v>
      </c>
      <c r="U83" s="38">
        <f t="shared" si="29"/>
        <v>1</v>
      </c>
    </row>
    <row r="84" spans="2:21" x14ac:dyDescent="0.2">
      <c r="B84" s="61"/>
      <c r="C84" s="23"/>
      <c r="D84" s="23"/>
      <c r="E84" s="23"/>
      <c r="F84" s="23"/>
      <c r="G84" s="23"/>
      <c r="H84" s="23"/>
      <c r="I84" s="23"/>
      <c r="J84" s="23"/>
      <c r="K84" s="23"/>
      <c r="L84" s="23"/>
      <c r="M84" s="23"/>
      <c r="N84" s="23"/>
      <c r="O84" s="23"/>
      <c r="P84" s="23"/>
      <c r="Q84" s="23"/>
      <c r="R84" s="23"/>
      <c r="S84" s="23"/>
      <c r="T84" s="23"/>
      <c r="U84" s="23"/>
    </row>
    <row r="85" spans="2:21" s="71" customFormat="1" ht="12.75" outlineLevel="1" x14ac:dyDescent="0.2">
      <c r="B85" s="72" t="s">
        <v>91</v>
      </c>
      <c r="C85" s="74"/>
      <c r="D85" s="73"/>
    </row>
    <row r="86" spans="2:21" x14ac:dyDescent="0.2">
      <c r="C86" s="23"/>
      <c r="D86" s="23"/>
      <c r="E86" s="23"/>
      <c r="F86" s="23"/>
      <c r="G86" s="23"/>
      <c r="H86" s="23"/>
      <c r="I86" s="23"/>
      <c r="J86" s="23"/>
      <c r="K86" s="23"/>
      <c r="L86" s="23"/>
      <c r="M86" s="23"/>
      <c r="N86" s="23"/>
      <c r="O86" s="23"/>
      <c r="P86" s="23"/>
      <c r="Q86" s="23"/>
      <c r="R86" s="23"/>
      <c r="S86" s="23"/>
      <c r="T86" s="23"/>
      <c r="U86" s="23"/>
    </row>
    <row r="87" spans="2:21" x14ac:dyDescent="0.2">
      <c r="B87" s="15" t="s">
        <v>92</v>
      </c>
      <c r="C87" s="18"/>
      <c r="D87" s="18">
        <f t="shared" ref="D87:U87" si="30">IF((D92-C92*D43/((1+D24/100)*(1+D42/100)))&gt;0,1,0)</f>
        <v>1</v>
      </c>
      <c r="E87" s="18">
        <f t="shared" si="30"/>
        <v>1</v>
      </c>
      <c r="F87" s="18">
        <f t="shared" si="30"/>
        <v>1</v>
      </c>
      <c r="G87" s="18">
        <f t="shared" si="30"/>
        <v>1</v>
      </c>
      <c r="H87" s="18">
        <f t="shared" si="30"/>
        <v>1</v>
      </c>
      <c r="I87" s="18">
        <f t="shared" si="30"/>
        <v>1</v>
      </c>
      <c r="J87" s="18">
        <f t="shared" si="30"/>
        <v>1</v>
      </c>
      <c r="K87" s="18">
        <f t="shared" si="30"/>
        <v>1</v>
      </c>
      <c r="L87" s="18">
        <f t="shared" si="30"/>
        <v>1</v>
      </c>
      <c r="M87" s="18">
        <f t="shared" si="30"/>
        <v>1</v>
      </c>
      <c r="N87" s="18">
        <f t="shared" si="30"/>
        <v>1</v>
      </c>
      <c r="O87" s="18">
        <f t="shared" si="30"/>
        <v>1</v>
      </c>
      <c r="P87" s="18">
        <f t="shared" si="30"/>
        <v>1</v>
      </c>
      <c r="Q87" s="18">
        <f t="shared" si="30"/>
        <v>1</v>
      </c>
      <c r="R87" s="18">
        <f t="shared" si="30"/>
        <v>1</v>
      </c>
      <c r="S87" s="18">
        <f t="shared" si="30"/>
        <v>1</v>
      </c>
      <c r="T87" s="18">
        <f t="shared" si="30"/>
        <v>1</v>
      </c>
      <c r="U87" s="18">
        <f t="shared" si="30"/>
        <v>1</v>
      </c>
    </row>
    <row r="88" spans="2:21" x14ac:dyDescent="0.2">
      <c r="B88" s="15" t="s">
        <v>93</v>
      </c>
      <c r="C88" s="18"/>
      <c r="D88" s="18">
        <f t="shared" ref="D88:U88" si="31">IF(AND(D87=0,ABS(D92-C92*D43/((1+D24/100)*(1+D42/100)))&lt;((C98*C92*D43/((1+D24/100)*(1+D42/100))+(D39*C92*C99*D43/((1+D24/100)*(1+D42/100)))))),1,0)</f>
        <v>0</v>
      </c>
      <c r="E88" s="18">
        <f t="shared" si="31"/>
        <v>0</v>
      </c>
      <c r="F88" s="18">
        <f t="shared" si="31"/>
        <v>0</v>
      </c>
      <c r="G88" s="18">
        <f t="shared" si="31"/>
        <v>0</v>
      </c>
      <c r="H88" s="18">
        <f t="shared" si="31"/>
        <v>0</v>
      </c>
      <c r="I88" s="18">
        <f t="shared" si="31"/>
        <v>0</v>
      </c>
      <c r="J88" s="18">
        <f t="shared" si="31"/>
        <v>0</v>
      </c>
      <c r="K88" s="18">
        <f t="shared" si="31"/>
        <v>0</v>
      </c>
      <c r="L88" s="18">
        <f t="shared" si="31"/>
        <v>0</v>
      </c>
      <c r="M88" s="18">
        <f t="shared" si="31"/>
        <v>0</v>
      </c>
      <c r="N88" s="18">
        <f t="shared" si="31"/>
        <v>0</v>
      </c>
      <c r="O88" s="18">
        <f t="shared" si="31"/>
        <v>0</v>
      </c>
      <c r="P88" s="18">
        <f t="shared" si="31"/>
        <v>0</v>
      </c>
      <c r="Q88" s="18">
        <f t="shared" si="31"/>
        <v>0</v>
      </c>
      <c r="R88" s="18">
        <f t="shared" si="31"/>
        <v>0</v>
      </c>
      <c r="S88" s="18">
        <f t="shared" si="31"/>
        <v>0</v>
      </c>
      <c r="T88" s="18">
        <f t="shared" si="31"/>
        <v>0</v>
      </c>
      <c r="U88" s="18">
        <f t="shared" si="31"/>
        <v>0</v>
      </c>
    </row>
    <row r="90" spans="2:21" x14ac:dyDescent="0.2">
      <c r="F90" s="27"/>
      <c r="G90" s="27"/>
      <c r="H90" s="27"/>
      <c r="I90" s="27"/>
      <c r="J90" s="27"/>
      <c r="K90" s="27"/>
      <c r="L90" s="27"/>
      <c r="M90" s="27"/>
      <c r="N90" s="27"/>
      <c r="O90" s="27"/>
      <c r="P90" s="27"/>
      <c r="Q90" s="27"/>
      <c r="R90" s="27"/>
    </row>
    <row r="91" spans="2:21" x14ac:dyDescent="0.2">
      <c r="B91" s="37"/>
      <c r="C91" s="66">
        <f>'Input data'!$C$5-1</f>
        <v>2024</v>
      </c>
      <c r="D91" s="66">
        <f>C91+1</f>
        <v>2025</v>
      </c>
      <c r="E91" s="66">
        <f t="shared" ref="E91:U91" si="32">D91+1</f>
        <v>2026</v>
      </c>
      <c r="F91" s="66">
        <f t="shared" si="32"/>
        <v>2027</v>
      </c>
      <c r="G91" s="66">
        <f t="shared" si="32"/>
        <v>2028</v>
      </c>
      <c r="H91" s="66">
        <f t="shared" si="32"/>
        <v>2029</v>
      </c>
      <c r="I91" s="66">
        <f t="shared" si="32"/>
        <v>2030</v>
      </c>
      <c r="J91" s="66">
        <f t="shared" si="32"/>
        <v>2031</v>
      </c>
      <c r="K91" s="66">
        <f t="shared" si="32"/>
        <v>2032</v>
      </c>
      <c r="L91" s="66">
        <f t="shared" si="32"/>
        <v>2033</v>
      </c>
      <c r="M91" s="66">
        <f t="shared" si="32"/>
        <v>2034</v>
      </c>
      <c r="N91" s="66">
        <f t="shared" si="32"/>
        <v>2035</v>
      </c>
      <c r="O91" s="66">
        <f t="shared" si="32"/>
        <v>2036</v>
      </c>
      <c r="P91" s="66">
        <f t="shared" si="32"/>
        <v>2037</v>
      </c>
      <c r="Q91" s="66">
        <f t="shared" si="32"/>
        <v>2038</v>
      </c>
      <c r="R91" s="66">
        <f t="shared" si="32"/>
        <v>2039</v>
      </c>
      <c r="S91" s="66">
        <f t="shared" si="32"/>
        <v>2040</v>
      </c>
      <c r="T91" s="66">
        <f t="shared" si="32"/>
        <v>2041</v>
      </c>
      <c r="U91" s="66">
        <f t="shared" si="32"/>
        <v>2042</v>
      </c>
    </row>
    <row r="92" spans="2:21" x14ac:dyDescent="0.2">
      <c r="B92" s="83" t="s">
        <v>71</v>
      </c>
      <c r="C92" s="87">
        <f>C57</f>
        <v>43.748150000000003</v>
      </c>
      <c r="D92" s="87">
        <f>D57</f>
        <v>45.157610209173967</v>
      </c>
      <c r="E92" s="87">
        <f t="shared" ref="E92:U92" si="33">D92*(1+E106/100)*E43-E60-E61+E62+E63+E64+E65+E66+E73</f>
        <v>47.855642054642026</v>
      </c>
      <c r="F92" s="87">
        <f t="shared" si="33"/>
        <v>48.033965608153046</v>
      </c>
      <c r="G92" s="87">
        <f t="shared" si="33"/>
        <v>48.12578226681989</v>
      </c>
      <c r="H92" s="87">
        <f t="shared" si="33"/>
        <v>48.154705551272073</v>
      </c>
      <c r="I92" s="87">
        <f t="shared" si="33"/>
        <v>48.18622235109752</v>
      </c>
      <c r="J92" s="87">
        <f t="shared" si="33"/>
        <v>48.729285298066223</v>
      </c>
      <c r="K92" s="87">
        <f t="shared" si="33"/>
        <v>49.548166196568637</v>
      </c>
      <c r="L92" s="87">
        <f t="shared" si="33"/>
        <v>50.539002871263342</v>
      </c>
      <c r="M92" s="87">
        <f t="shared" si="33"/>
        <v>51.686398089832345</v>
      </c>
      <c r="N92" s="87">
        <f t="shared" si="33"/>
        <v>52.985086338873032</v>
      </c>
      <c r="O92" s="87">
        <f t="shared" si="33"/>
        <v>54.512962000816763</v>
      </c>
      <c r="P92" s="87">
        <f t="shared" si="33"/>
        <v>56.263150499881888</v>
      </c>
      <c r="Q92" s="87">
        <f t="shared" si="33"/>
        <v>58.028967813281085</v>
      </c>
      <c r="R92" s="87">
        <f t="shared" si="33"/>
        <v>59.856799381305358</v>
      </c>
      <c r="S92" s="87">
        <f t="shared" si="33"/>
        <v>61.737616779284551</v>
      </c>
      <c r="T92" s="87">
        <f t="shared" si="33"/>
        <v>63.829034273843504</v>
      </c>
      <c r="U92" s="87">
        <f t="shared" si="33"/>
        <v>65.925992759855731</v>
      </c>
    </row>
    <row r="93" spans="2:21" x14ac:dyDescent="0.2">
      <c r="B93" s="15" t="s">
        <v>94</v>
      </c>
      <c r="C93" s="23"/>
      <c r="D93" s="177">
        <f>'Input data'!$C$66*D$92</f>
        <v>37.015023638577119</v>
      </c>
      <c r="E93" s="23">
        <f t="shared" ref="E93:U93" si="34">IF(E92=0,0,IF(E87=1,D92*E43/((1+E24/100)*(1+E42/100))-E94-E95,IF(AND(E87=0,E88=1),(1-D98-E39*D99)*D92*E43/((1+E24/100)*(1+E42/100)),E92)))</f>
        <v>37.30308223564554</v>
      </c>
      <c r="F93" s="23">
        <f t="shared" si="34"/>
        <v>39.670909479319825</v>
      </c>
      <c r="G93" s="23">
        <f t="shared" si="34"/>
        <v>39.67445299911936</v>
      </c>
      <c r="H93" s="23">
        <f t="shared" si="34"/>
        <v>39.62574686766088</v>
      </c>
      <c r="I93" s="23">
        <f t="shared" si="34"/>
        <v>39.492007981835002</v>
      </c>
      <c r="J93" s="23">
        <f t="shared" si="34"/>
        <v>39.479498447501143</v>
      </c>
      <c r="K93" s="23">
        <f t="shared" si="34"/>
        <v>39.76890365729691</v>
      </c>
      <c r="L93" s="23">
        <f t="shared" si="34"/>
        <v>40.272792239851228</v>
      </c>
      <c r="M93" s="23">
        <f t="shared" si="34"/>
        <v>40.895852614172583</v>
      </c>
      <c r="N93" s="23">
        <f t="shared" si="34"/>
        <v>41.632209110485334</v>
      </c>
      <c r="O93" s="23">
        <f t="shared" si="34"/>
        <v>42.632627154107276</v>
      </c>
      <c r="P93" s="23">
        <f t="shared" si="34"/>
        <v>43.814875834017066</v>
      </c>
      <c r="Q93" s="23">
        <f t="shared" si="34"/>
        <v>45.17313876540647</v>
      </c>
      <c r="R93" s="23">
        <f t="shared" si="34"/>
        <v>46.504845437579746</v>
      </c>
      <c r="S93" s="23">
        <f t="shared" si="34"/>
        <v>47.882027498728952</v>
      </c>
      <c r="T93" s="23">
        <f t="shared" si="34"/>
        <v>49.350687194795164</v>
      </c>
      <c r="U93" s="23">
        <f t="shared" si="34"/>
        <v>50.985994065640334</v>
      </c>
    </row>
    <row r="94" spans="2:21" x14ac:dyDescent="0.2">
      <c r="B94" s="82" t="s">
        <v>95</v>
      </c>
      <c r="C94" s="23"/>
      <c r="D94" s="177">
        <f>'Input data'!$C$67*D$92</f>
        <v>3.5884993103512319</v>
      </c>
      <c r="E94" s="23">
        <f t="shared" ref="E94:U94" si="35">IF(E92=0,0,IF(E87=1,E39*D92*D99*E43/((1+E24/100)*(1+E42/100)),IF(AND(E87=0,E88=1),(E39*D92*D99*E43/((1+E24/100)*(1+E42/100)))*(1-ABS(E92-D92*E43/((1+E24/100)*(1+E42/100)))/((E39*D92*D99*E43/((1+E24/100)*(1+E42/100)))+(D98*D92*E43/((1+E24/100)*(1+E42/100))))),0)))</f>
        <v>2.2949334919658271</v>
      </c>
      <c r="F94" s="23">
        <f t="shared" si="35"/>
        <v>2.5911314173359576</v>
      </c>
      <c r="G94" s="23">
        <f t="shared" si="35"/>
        <v>2.742982522501987</v>
      </c>
      <c r="H94" s="23">
        <f t="shared" si="35"/>
        <v>2.8921390202263879</v>
      </c>
      <c r="I94" s="23">
        <f t="shared" si="35"/>
        <v>3.035485517810192</v>
      </c>
      <c r="J94" s="23">
        <f t="shared" si="35"/>
        <v>3.1886931881849239</v>
      </c>
      <c r="K94" s="23">
        <f t="shared" si="35"/>
        <v>3.3684977259599238</v>
      </c>
      <c r="L94" s="23">
        <f t="shared" si="35"/>
        <v>3.5707470835050517</v>
      </c>
      <c r="M94" s="23">
        <f t="shared" si="35"/>
        <v>3.7892160183701251</v>
      </c>
      <c r="N94" s="23">
        <f t="shared" si="35"/>
        <v>4.0248310892392336</v>
      </c>
      <c r="O94" s="23">
        <f t="shared" si="35"/>
        <v>4.1215473992846539</v>
      </c>
      <c r="P94" s="23">
        <f t="shared" si="35"/>
        <v>4.235842348886897</v>
      </c>
      <c r="Q94" s="23">
        <f t="shared" si="35"/>
        <v>4.3671536338371943</v>
      </c>
      <c r="R94" s="23">
        <f t="shared" si="35"/>
        <v>4.4958975686518468</v>
      </c>
      <c r="S94" s="23">
        <f t="shared" si="35"/>
        <v>4.6290378774100462</v>
      </c>
      <c r="T94" s="23">
        <f t="shared" si="35"/>
        <v>4.7710218684241363</v>
      </c>
      <c r="U94" s="23">
        <f t="shared" si="35"/>
        <v>4.9291166242598647</v>
      </c>
    </row>
    <row r="95" spans="2:21" x14ac:dyDescent="0.2">
      <c r="B95" s="82" t="s">
        <v>96</v>
      </c>
      <c r="C95" s="23"/>
      <c r="D95" s="177">
        <f>'Input data'!$C$68*D$92</f>
        <v>3.6736521009082228</v>
      </c>
      <c r="E95" s="23">
        <f t="shared" ref="E95:U95" si="36">IF(E92=0,0,IF(E87=1,(1-D99)*D92*E43/((1+E24/100)*(1+E42/100)),IF(AND(E87=0,E88=1),(D98*D92*E43/((1+E24/100)*(1+E42/100)))*(1-ABS(E92-D92*E43/((1+E24/100)*(1+E42/100)))/((E39*D92*D99*E43/((1+E24/100)*(1+E42/100)))+(D98*D92*E43/((1+E24/100)*(1+E42/100))))),0)))</f>
        <v>3.5826776167406504</v>
      </c>
      <c r="F95" s="23">
        <f t="shared" si="36"/>
        <v>3.8779057246737025</v>
      </c>
      <c r="G95" s="23">
        <f t="shared" si="36"/>
        <v>3.9120079322629686</v>
      </c>
      <c r="H95" s="23">
        <f t="shared" si="36"/>
        <v>3.9393730923489869</v>
      </c>
      <c r="I95" s="23">
        <f t="shared" si="36"/>
        <v>3.9567353846139603</v>
      </c>
      <c r="J95" s="23">
        <f t="shared" si="36"/>
        <v>3.9858133206627948</v>
      </c>
      <c r="K95" s="23">
        <f t="shared" si="36"/>
        <v>4.048458350228552</v>
      </c>
      <c r="L95" s="23">
        <f t="shared" si="36"/>
        <v>4.1352420364593874</v>
      </c>
      <c r="M95" s="23">
        <f t="shared" si="36"/>
        <v>4.2357861260657534</v>
      </c>
      <c r="N95" s="23">
        <f t="shared" si="36"/>
        <v>4.3496318348087426</v>
      </c>
      <c r="O95" s="23">
        <f t="shared" si="36"/>
        <v>4.4762792177128565</v>
      </c>
      <c r="P95" s="23">
        <f t="shared" si="36"/>
        <v>4.6234209879205279</v>
      </c>
      <c r="Q95" s="23">
        <f t="shared" si="36"/>
        <v>4.790385841373813</v>
      </c>
      <c r="R95" s="23">
        <f t="shared" si="36"/>
        <v>4.954388300114922</v>
      </c>
      <c r="S95" s="23">
        <f t="shared" si="36"/>
        <v>5.1235857050007043</v>
      </c>
      <c r="T95" s="23">
        <f t="shared" si="36"/>
        <v>5.3028378374230059</v>
      </c>
      <c r="U95" s="23">
        <f t="shared" si="36"/>
        <v>5.5007020509516362</v>
      </c>
    </row>
    <row r="96" spans="2:21" x14ac:dyDescent="0.2">
      <c r="B96" s="82" t="s">
        <v>97</v>
      </c>
      <c r="C96" s="23"/>
      <c r="D96" s="177">
        <f>'Input data'!$C$69*D$92</f>
        <v>0.80738171377187484</v>
      </c>
      <c r="E96" s="23">
        <f>IF(E92=0,0,IF(E87=1,'Input data'!$C$58*(E92-D92*E43/((1+E24/100)*(1+E42/100))),0))</f>
        <v>4.2355222313175842</v>
      </c>
      <c r="F96" s="23">
        <f>IF(F92=0,0,IF(F87=1,'Input data'!$C$58*(F92-E92*F43/((1+F24/100)*(1+F42/100))),0))</f>
        <v>1.7159887781380934</v>
      </c>
      <c r="G96" s="23">
        <f>IF(G92=0,0,IF(G87=1,'Input data'!$C$58*(G92-F92*G43/((1+G24/100)*(1+G42/100))),0))</f>
        <v>1.6274901498748815</v>
      </c>
      <c r="H96" s="23">
        <f>IF(H92=0,0,IF(H87=1,'Input data'!$C$58*(H92-G92*H43/((1+H24/100)*(1+H42/100))),0))</f>
        <v>1.5378933831447361</v>
      </c>
      <c r="I96" s="23">
        <f>IF(I92=0,0,IF(I87=1,'Input data'!$C$58*(I92-H92*I43/((1+I24/100)*(1+I42/100))),0))</f>
        <v>1.5420128889294278</v>
      </c>
      <c r="J96" s="23">
        <f>IF(J92=0,0,IF(J87=1,'Input data'!$C$58*(J92-I92*J43/((1+J24/100)*(1+J42/100))),0))</f>
        <v>1.8802122907173011</v>
      </c>
      <c r="K96" s="23">
        <f>IF(K92=0,0,IF(K87=1,'Input data'!$C$58*(K92-J92*K43/((1+K24/100)*(1+K42/100))),0))</f>
        <v>2.1402591047792772</v>
      </c>
      <c r="L96" s="23">
        <f>IF(L92=0,0,IF(L87=1,'Input data'!$C$58*(L92-K92*L43/((1+L24/100)*(1+L42/100))),0))</f>
        <v>2.3195709302576368</v>
      </c>
      <c r="M96" s="23">
        <f>IF(M92=0,0,IF(M87=1,'Input data'!$C$58*(M92-L92*M43/((1+M24/100)*(1+M42/100))),0))</f>
        <v>2.5055933202621614</v>
      </c>
      <c r="N96" s="23">
        <f>IF(N92=0,0,IF(N87=1,'Input data'!$C$58*(N92-M92*N43/((1+N24/100)*(1+N42/100))),0))</f>
        <v>2.6984552733890057</v>
      </c>
      <c r="O96" s="23">
        <f>IF(O92=0,0,IF(O87=1,'Input data'!$C$58*(O92-N92*O43/((1+O24/100)*(1+O42/100))),0))</f>
        <v>2.973965586151972</v>
      </c>
      <c r="P96" s="23">
        <f>IF(P92=0,0,IF(P87=1,'Input data'!$C$58*(P92-O92*P43/((1+P24/100)*(1+P42/100))),0))</f>
        <v>3.25165862017132</v>
      </c>
      <c r="Q96" s="23">
        <f>IF(Q92=0,0,IF(Q87=1,'Input data'!$C$58*(Q92-P92*Q43/((1+Q24/100)*(1+Q42/100))),0))</f>
        <v>3.3506651459915164</v>
      </c>
      <c r="R96" s="23">
        <f>IF(R92=0,0,IF(R87=1,'Input data'!$C$58*(R92-Q92*R43/((1+R24/100)*(1+R42/100))),0))</f>
        <v>3.5349268825850104</v>
      </c>
      <c r="S96" s="23">
        <f>IF(S92=0,0,IF(S87=1,'Input data'!$C$58*(S92-R92*S43/((1+S24/100)*(1+S42/100))),0))</f>
        <v>3.7173033343820201</v>
      </c>
      <c r="T96" s="23">
        <f>IF(T92=0,0,IF(T87=1,'Input data'!$C$58*(T92-S92*T43/((1+T24/100)*(1+T42/100))),0))</f>
        <v>3.9904831780697796</v>
      </c>
      <c r="U96" s="23">
        <f>IF(U92=0,0,IF(U87=1,'Input data'!$C$58*(U92-T92*U43/((1+U24/100)*(1+U42/100))),0))</f>
        <v>4.0862411379376073</v>
      </c>
    </row>
    <row r="97" spans="2:23" x14ac:dyDescent="0.2">
      <c r="B97" s="84" t="s">
        <v>98</v>
      </c>
      <c r="C97" s="35"/>
      <c r="D97" s="178">
        <f>'Input data'!$C$70*D$92</f>
        <v>7.3048800586333146E-2</v>
      </c>
      <c r="E97" s="35">
        <f>IF(E92=0,0,IF(E87=1,'Input data'!$C$57*(E92-D92*E43/((1+E24/100)*(1+E42/100))),0))</f>
        <v>0.43942647897241915</v>
      </c>
      <c r="F97" s="35">
        <f>IF(F92=0,0,IF(F87=1,'Input data'!$C$57*(F92-E92*F43/((1+F24/100)*(1+F42/100))),0))</f>
        <v>0.1780302086854674</v>
      </c>
      <c r="G97" s="35">
        <f>IF(G92=0,0,IF(G87=1,'Input data'!$C$57*(G92-F92*G43/((1+G24/100)*(1+G42/100))),0))</f>
        <v>0.16884866306069216</v>
      </c>
      <c r="H97" s="35">
        <f>IF(H92=0,0,IF(H87=1,'Input data'!$C$57*(H92-G92*H43/((1+H24/100)*(1+H42/100))),0))</f>
        <v>0.15955318789108283</v>
      </c>
      <c r="I97" s="35">
        <f>IF(I92=0,0,IF(I87=1,'Input data'!$C$57*(I92-H92*I43/((1+I24/100)*(1+I42/100))),0))</f>
        <v>0.15998057790893913</v>
      </c>
      <c r="J97" s="35">
        <f>IF(J92=0,0,IF(J87=1,'Input data'!$C$57*(J92-I92*J43/((1+J24/100)*(1+J42/100))),0))</f>
        <v>0.19506805100006558</v>
      </c>
      <c r="K97" s="35">
        <f>IF(K92=0,0,IF(K87=1,'Input data'!$C$57*(K92-J92*K43/((1+K24/100)*(1+K42/100))),0))</f>
        <v>0.22204735830397318</v>
      </c>
      <c r="L97" s="35">
        <f>IF(L92=0,0,IF(L87=1,'Input data'!$C$57*(L92-K92*L43/((1+L24/100)*(1+L42/100))),0))</f>
        <v>0.24065058119003538</v>
      </c>
      <c r="M97" s="35">
        <f>IF(M92=0,0,IF(M87=1,'Input data'!$C$57*(M92-L92*M43/((1+M24/100)*(1+M42/100))),0))</f>
        <v>0.25995001096171994</v>
      </c>
      <c r="N97" s="35">
        <f>IF(N92=0,0,IF(N87=1,'Input data'!$C$57*(N92-M92*N43/((1+N24/100)*(1+N42/100))),0))</f>
        <v>0.2799590309507165</v>
      </c>
      <c r="O97" s="35">
        <f>IF(O92=0,0,IF(O87=1,'Input data'!$C$57*(O92-N92*O43/((1+O24/100)*(1+O42/100))),0))</f>
        <v>0.30854264356000716</v>
      </c>
      <c r="P97" s="35">
        <f>IF(P92=0,0,IF(P87=1,'Input data'!$C$57*(P92-O92*P43/((1+P24/100)*(1+P42/100))),0))</f>
        <v>0.33735270888607927</v>
      </c>
      <c r="Q97" s="35">
        <f>IF(Q92=0,0,IF(Q87=1,'Input data'!$C$57*(Q92-P92*Q43/((1+Q24/100)*(1+Q42/100))),0))</f>
        <v>0.34762442667208815</v>
      </c>
      <c r="R97" s="35">
        <f>IF(R92=0,0,IF(R87=1,'Input data'!$C$57*(R92-Q92*R43/((1+R24/100)*(1+R42/100))),0))</f>
        <v>0.36674119237383129</v>
      </c>
      <c r="S97" s="35">
        <f>IF(S92=0,0,IF(S87=1,'Input data'!$C$57*(S92-R92*S43/((1+S24/100)*(1+S42/100))),0))</f>
        <v>0.38566236376282259</v>
      </c>
      <c r="T97" s="35">
        <f>IF(T92=0,0,IF(T87=1,'Input data'!$C$57*(T92-S92*T43/((1+T24/100)*(1+T42/100))),0))</f>
        <v>0.41400419513141989</v>
      </c>
      <c r="U97" s="35">
        <f>IF(U92=0,0,IF(U87=1,'Input data'!$C$57*(U92-T92*U43/((1+U24/100)*(1+U42/100))),0))</f>
        <v>0.4239388810662903</v>
      </c>
    </row>
    <row r="98" spans="2:23" x14ac:dyDescent="0.2">
      <c r="B98" s="15" t="s">
        <v>49</v>
      </c>
      <c r="C98" s="25"/>
      <c r="D98" s="25">
        <f t="shared" ref="D98:U98" si="37">IF(D92&lt;&gt;0,(D95+D97)/(D93+D94+D95+D96+D97),0)</f>
        <v>8.2969432384282449E-2</v>
      </c>
      <c r="E98" s="25">
        <f t="shared" si="37"/>
        <v>8.4046601884906147E-2</v>
      </c>
      <c r="F98" s="25">
        <f t="shared" si="37"/>
        <v>8.4438914880488977E-2</v>
      </c>
      <c r="G98" s="25">
        <f t="shared" si="37"/>
        <v>8.4795641818318848E-2</v>
      </c>
      <c r="H98" s="25">
        <f t="shared" si="37"/>
        <v>8.5119953145093852E-2</v>
      </c>
      <c r="I98" s="25">
        <f t="shared" si="37"/>
        <v>8.5433465452581486E-2</v>
      </c>
      <c r="J98" s="25">
        <f t="shared" si="37"/>
        <v>8.5798126241526787E-2</v>
      </c>
      <c r="K98" s="25">
        <f t="shared" si="37"/>
        <v>8.6188976027699496E-2</v>
      </c>
      <c r="L98" s="25">
        <f t="shared" si="37"/>
        <v>8.6584466828441731E-2</v>
      </c>
      <c r="M98" s="25">
        <f t="shared" si="37"/>
        <v>8.698102988747182E-2</v>
      </c>
      <c r="N98" s="25">
        <f t="shared" si="37"/>
        <v>8.737535758930931E-2</v>
      </c>
      <c r="O98" s="25">
        <f t="shared" si="37"/>
        <v>8.7774020813640122E-2</v>
      </c>
      <c r="P98" s="25">
        <f t="shared" si="37"/>
        <v>8.8170919202560843E-2</v>
      </c>
      <c r="Q98" s="25">
        <f t="shared" si="37"/>
        <v>8.8542161986723558E-2</v>
      </c>
      <c r="R98" s="25">
        <f t="shared" si="37"/>
        <v>8.8897661543705306E-2</v>
      </c>
      <c r="S98" s="25">
        <f>IF(S92&lt;&gt;0,(S95+S97)/(S93+S94+S95+S96+S97),0)</f>
        <v>8.9236487512295751E-2</v>
      </c>
      <c r="T98" s="25">
        <f t="shared" si="37"/>
        <v>8.9564915051474153E-2</v>
      </c>
      <c r="U98" s="23">
        <f t="shared" si="37"/>
        <v>8.9868057862992304E-2</v>
      </c>
    </row>
    <row r="99" spans="2:23" x14ac:dyDescent="0.2">
      <c r="B99" s="24" t="s">
        <v>50</v>
      </c>
      <c r="C99" s="85"/>
      <c r="D99" s="85">
        <f t="shared" ref="D99:U99" si="38">IF(D92&lt;&gt;0,(D93+D94+D96)/(D93+D94+D95+D96+D97),1)</f>
        <v>0.91703056761571755</v>
      </c>
      <c r="E99" s="85">
        <f t="shared" si="38"/>
        <v>0.9159533981150938</v>
      </c>
      <c r="F99" s="85">
        <f t="shared" si="38"/>
        <v>0.91556108511951095</v>
      </c>
      <c r="G99" s="85">
        <f t="shared" si="38"/>
        <v>0.91520435818168122</v>
      </c>
      <c r="H99" s="85">
        <f t="shared" si="38"/>
        <v>0.91488004685490609</v>
      </c>
      <c r="I99" s="85">
        <f t="shared" si="38"/>
        <v>0.91456653454741854</v>
      </c>
      <c r="J99" s="85">
        <f t="shared" si="38"/>
        <v>0.91420187375847328</v>
      </c>
      <c r="K99" s="85">
        <f t="shared" si="38"/>
        <v>0.91381102397230052</v>
      </c>
      <c r="L99" s="85">
        <f t="shared" si="38"/>
        <v>0.91341553317155821</v>
      </c>
      <c r="M99" s="85">
        <f t="shared" si="38"/>
        <v>0.91301897011252819</v>
      </c>
      <c r="N99" s="85">
        <f t="shared" si="38"/>
        <v>0.91262464241069075</v>
      </c>
      <c r="O99" s="85">
        <f t="shared" si="38"/>
        <v>0.91222597918635984</v>
      </c>
      <c r="P99" s="85">
        <f t="shared" si="38"/>
        <v>0.91182908079743918</v>
      </c>
      <c r="Q99" s="85">
        <f t="shared" si="38"/>
        <v>0.9114578380132764</v>
      </c>
      <c r="R99" s="85">
        <f t="shared" si="38"/>
        <v>0.91110233845629474</v>
      </c>
      <c r="S99" s="85">
        <f t="shared" si="38"/>
        <v>0.91076351248770415</v>
      </c>
      <c r="T99" s="85">
        <f t="shared" si="38"/>
        <v>0.91043508494852587</v>
      </c>
      <c r="U99" s="35">
        <f t="shared" si="38"/>
        <v>0.91013194213700765</v>
      </c>
    </row>
    <row r="100" spans="2:23" x14ac:dyDescent="0.2">
      <c r="C100" s="27"/>
      <c r="D100" s="27"/>
      <c r="E100" s="27"/>
      <c r="F100" s="27"/>
      <c r="G100" s="27"/>
      <c r="H100" s="27"/>
      <c r="I100" s="27"/>
      <c r="J100" s="27"/>
      <c r="K100" s="27"/>
      <c r="L100" s="27"/>
      <c r="M100" s="27"/>
      <c r="N100" s="27"/>
      <c r="O100" s="27"/>
      <c r="P100" s="27"/>
      <c r="Q100" s="27"/>
      <c r="R100" s="27"/>
      <c r="S100" s="27"/>
      <c r="T100" s="27"/>
      <c r="U100" s="27"/>
    </row>
    <row r="101" spans="2:23" x14ac:dyDescent="0.2">
      <c r="B101" s="89" t="s">
        <v>99</v>
      </c>
      <c r="C101" s="90">
        <f>'Baseline NFPC'!C96</f>
        <v>1.6465860000000001</v>
      </c>
      <c r="D101" s="90">
        <f>'Baseline NFPC'!D96</f>
        <v>1.72</v>
      </c>
      <c r="E101" s="90">
        <f>'Baseline NFPC'!E96</f>
        <v>1.7322979999999999</v>
      </c>
      <c r="F101" s="90">
        <f t="shared" ref="F101:U101" si="39">F103+F104</f>
        <v>1.8261286864640409</v>
      </c>
      <c r="G101" s="90">
        <f t="shared" si="39"/>
        <v>1.9630296945412431</v>
      </c>
      <c r="H101" s="90">
        <f>H103+H104</f>
        <v>2.0990021112154578</v>
      </c>
      <c r="I101" s="90">
        <f t="shared" si="39"/>
        <v>2.2341189502873262</v>
      </c>
      <c r="J101" s="90">
        <f t="shared" si="39"/>
        <v>2.3707682654718401</v>
      </c>
      <c r="K101" s="90">
        <f t="shared" si="39"/>
        <v>2.5163135145761926</v>
      </c>
      <c r="L101" s="90">
        <f t="shared" si="39"/>
        <v>2.6668445435221684</v>
      </c>
      <c r="M101" s="90">
        <f t="shared" si="39"/>
        <v>2.8190428021329632</v>
      </c>
      <c r="N101" s="90">
        <f t="shared" si="39"/>
        <v>2.9720714048098702</v>
      </c>
      <c r="O101" s="90">
        <f t="shared" si="39"/>
        <v>3.0930602897416488</v>
      </c>
      <c r="P101" s="90">
        <f t="shared" si="39"/>
        <v>3.1995877564739863</v>
      </c>
      <c r="Q101" s="90">
        <f t="shared" si="39"/>
        <v>3.2926033809413693</v>
      </c>
      <c r="R101" s="90">
        <f t="shared" si="39"/>
        <v>3.371509463463886</v>
      </c>
      <c r="S101" s="90">
        <f t="shared" si="39"/>
        <v>3.4390552413114404</v>
      </c>
      <c r="T101" s="90">
        <f t="shared" si="39"/>
        <v>3.4966457409306697</v>
      </c>
      <c r="U101" s="90">
        <f t="shared" si="39"/>
        <v>3.546025878668484</v>
      </c>
    </row>
    <row r="102" spans="2:23" x14ac:dyDescent="0.2">
      <c r="B102" s="22" t="s">
        <v>100</v>
      </c>
      <c r="C102" s="23"/>
      <c r="D102" s="23"/>
      <c r="E102" s="185">
        <f>((E36*D92)-(E38*(D95+D97)))/(D93+D94+D96)</f>
        <v>1.7160168228649137</v>
      </c>
      <c r="F102" s="23">
        <f>IF(E92&gt;0,(E102*E93+
('Baseline NFPC'!F97*('Baseline NFPC'!E88+'Baseline NFPC'!E89+'Baseline NFPC'!E91)-'Baseline NFPC'!E97*'Baseline NFPC'!E88)/('Baseline NFPC'!E89+'Baseline NFPC'!E91)
*(E96+E94))/(E93+E94+E96),F37)</f>
        <v>1.8079378821903793</v>
      </c>
      <c r="G102" s="23">
        <f t="shared" ref="G102:U102" si="40">IF(F92&gt;0,(F102*F93+G37*(F96+F94))/(F93+F94+F96),G37)</f>
        <v>1.9431639240575029</v>
      </c>
      <c r="H102" s="23">
        <f t="shared" si="40"/>
        <v>2.0773690745993809</v>
      </c>
      <c r="I102" s="23">
        <f t="shared" si="40"/>
        <v>2.2106333066797528</v>
      </c>
      <c r="J102" s="23">
        <f t="shared" si="40"/>
        <v>2.3455619268593151</v>
      </c>
      <c r="K102" s="23">
        <f t="shared" si="40"/>
        <v>2.4901906702056529</v>
      </c>
      <c r="L102" s="23">
        <f t="shared" si="40"/>
        <v>2.6402589222994139</v>
      </c>
      <c r="M102" s="23">
        <f t="shared" si="40"/>
        <v>2.7921474430807645</v>
      </c>
      <c r="N102" s="23">
        <f t="shared" si="40"/>
        <v>2.9449431668545354</v>
      </c>
      <c r="O102" s="23">
        <f t="shared" si="40"/>
        <v>3.0833973483171455</v>
      </c>
      <c r="P102" s="23">
        <f t="shared" si="40"/>
        <v>3.2061730988346668</v>
      </c>
      <c r="Q102" s="23">
        <f t="shared" si="40"/>
        <v>3.3142922596515016</v>
      </c>
      <c r="R102" s="23">
        <f t="shared" si="40"/>
        <v>3.407068383875576</v>
      </c>
      <c r="S102" s="23">
        <f t="shared" si="40"/>
        <v>3.4874929501763874</v>
      </c>
      <c r="T102" s="23">
        <f t="shared" si="40"/>
        <v>3.5570860659942833</v>
      </c>
      <c r="U102" s="23">
        <f t="shared" si="40"/>
        <v>3.6177504427260323</v>
      </c>
    </row>
    <row r="103" spans="2:23" x14ac:dyDescent="0.2">
      <c r="B103" s="15" t="s">
        <v>101</v>
      </c>
      <c r="C103" s="23"/>
      <c r="D103" s="23"/>
      <c r="E103" s="23">
        <f t="shared" ref="E103:U103" si="41">(E102*(D93+D94+D96)+E38*(D95+D97))/D92</f>
        <v>1.7322980000000001</v>
      </c>
      <c r="F103" s="23">
        <f t="shared" si="41"/>
        <v>1.8261286864640409</v>
      </c>
      <c r="G103" s="23">
        <f t="shared" si="41"/>
        <v>1.9630296945412431</v>
      </c>
      <c r="H103" s="23">
        <f t="shared" si="41"/>
        <v>2.0990021112154578</v>
      </c>
      <c r="I103" s="23">
        <f t="shared" si="41"/>
        <v>2.2341189502873262</v>
      </c>
      <c r="J103" s="23">
        <f t="shared" si="41"/>
        <v>2.3707682654718401</v>
      </c>
      <c r="K103" s="23">
        <f t="shared" si="41"/>
        <v>2.5163135145761926</v>
      </c>
      <c r="L103" s="23">
        <f t="shared" si="41"/>
        <v>2.6668445435221684</v>
      </c>
      <c r="M103" s="23">
        <f t="shared" si="41"/>
        <v>2.8190428021329632</v>
      </c>
      <c r="N103" s="23">
        <f t="shared" si="41"/>
        <v>2.9720714048098702</v>
      </c>
      <c r="O103" s="23">
        <f t="shared" si="41"/>
        <v>3.0930602897416488</v>
      </c>
      <c r="P103" s="23">
        <f t="shared" si="41"/>
        <v>3.1995877564739863</v>
      </c>
      <c r="Q103" s="23">
        <f t="shared" si="41"/>
        <v>3.2926033809413693</v>
      </c>
      <c r="R103" s="23">
        <f t="shared" si="41"/>
        <v>3.371509463463886</v>
      </c>
      <c r="S103" s="23">
        <f t="shared" si="41"/>
        <v>3.4390552413114404</v>
      </c>
      <c r="T103" s="23">
        <f t="shared" si="41"/>
        <v>3.4966457409306697</v>
      </c>
      <c r="U103" s="23">
        <f t="shared" si="41"/>
        <v>3.546025878668484</v>
      </c>
    </row>
    <row r="104" spans="2:23" x14ac:dyDescent="0.2">
      <c r="B104" s="24" t="s">
        <v>102</v>
      </c>
      <c r="C104" s="35"/>
      <c r="D104" s="35">
        <f>IF('Criteria results'!$F$5=4,D115,D120)</f>
        <v>0</v>
      </c>
      <c r="E104" s="35">
        <f>IF('Criteria results'!$F$5=4,E115,E120)</f>
        <v>0</v>
      </c>
      <c r="F104" s="35">
        <f>IF('Criteria results'!$F$5=4,F115,F120)</f>
        <v>0</v>
      </c>
      <c r="G104" s="35">
        <f>IF('Criteria results'!$F$5=4,G115,G120)</f>
        <v>0</v>
      </c>
      <c r="H104" s="35">
        <f>IF('Criteria results'!$F$5=4,H115,H120)</f>
        <v>0</v>
      </c>
      <c r="I104" s="35">
        <f>IF('Criteria results'!$F$5=4,I115,I120)</f>
        <v>0</v>
      </c>
      <c r="J104" s="35">
        <f>IF('Criteria results'!$F$5=4,J115,J120)</f>
        <v>0</v>
      </c>
      <c r="K104" s="35">
        <f>IF('Criteria results'!$F$5=4,K115,K120)</f>
        <v>0</v>
      </c>
      <c r="L104" s="35">
        <f>IF('Criteria results'!$F$5=4,L115,L120)</f>
        <v>0</v>
      </c>
      <c r="M104" s="35">
        <f>IF('Criteria results'!$F$5=4,M115,M120)</f>
        <v>0</v>
      </c>
      <c r="N104" s="35">
        <f>IF('Criteria results'!$F$5=4,N115,N120)</f>
        <v>0</v>
      </c>
      <c r="O104" s="35">
        <f>IF('Criteria results'!$F$5=4,O115,O120)</f>
        <v>0</v>
      </c>
      <c r="P104" s="35">
        <f>IF('Criteria results'!$F$5=4,P115,P120)</f>
        <v>0</v>
      </c>
      <c r="Q104" s="35">
        <f>IF('Criteria results'!$F$5=4,Q115,Q120)</f>
        <v>0</v>
      </c>
      <c r="R104" s="35">
        <f>IF('Criteria results'!$F$5=4,R115,R120)</f>
        <v>0</v>
      </c>
      <c r="S104" s="35">
        <f>IF('Criteria results'!$F$5=4,S115,S120)</f>
        <v>0</v>
      </c>
      <c r="T104" s="35">
        <f>IF('Criteria results'!$F$5=4,T115,T120)</f>
        <v>0</v>
      </c>
      <c r="U104" s="35">
        <f>IF('Criteria results'!$F$5=4,U115,U120)</f>
        <v>0</v>
      </c>
    </row>
    <row r="105" spans="2:23" x14ac:dyDescent="0.2">
      <c r="C105" s="27"/>
      <c r="D105" s="27"/>
      <c r="E105" s="23"/>
      <c r="F105" s="23"/>
      <c r="G105" s="23"/>
      <c r="H105" s="23"/>
      <c r="I105" s="23"/>
      <c r="J105" s="23"/>
      <c r="K105" s="23"/>
      <c r="L105" s="23"/>
      <c r="M105" s="23"/>
      <c r="N105" s="23"/>
      <c r="O105" s="23"/>
      <c r="P105" s="23"/>
      <c r="Q105" s="23"/>
      <c r="R105" s="23"/>
      <c r="S105" s="23"/>
      <c r="T105" s="23"/>
      <c r="U105" s="23"/>
    </row>
    <row r="106" spans="2:23" x14ac:dyDescent="0.2">
      <c r="B106" s="89" t="s">
        <v>131</v>
      </c>
      <c r="C106" s="90">
        <f t="shared" ref="C106:U106" si="42">((1+C101/100)/((1+C24/100)*(1+C42/100))-1)*100</f>
        <v>-4.9030404382286115</v>
      </c>
      <c r="D106" s="90">
        <f t="shared" si="42"/>
        <v>-3.0356888545867822</v>
      </c>
      <c r="E106" s="90">
        <f t="shared" si="42"/>
        <v>-2.7213543230902415</v>
      </c>
      <c r="F106" s="90">
        <f t="shared" si="42"/>
        <v>-1.8244785701374666</v>
      </c>
      <c r="G106" s="90">
        <f t="shared" si="42"/>
        <v>-1.6552067102665657</v>
      </c>
      <c r="H106" s="90">
        <f t="shared" si="42"/>
        <v>-1.4407754162443887</v>
      </c>
      <c r="I106" s="90">
        <f t="shared" si="42"/>
        <v>-1.3123612601926737</v>
      </c>
      <c r="J106" s="90">
        <f t="shared" si="42"/>
        <v>-0.8844002079407165</v>
      </c>
      <c r="K106" s="90">
        <f t="shared" si="42"/>
        <v>-0.73073388407012274</v>
      </c>
      <c r="L106" s="90">
        <f t="shared" si="42"/>
        <v>-0.58501725948914007</v>
      </c>
      <c r="M106" s="90">
        <f t="shared" si="42"/>
        <v>-0.47299761423731379</v>
      </c>
      <c r="N106" s="90">
        <f t="shared" si="42"/>
        <v>-0.37435778544158138</v>
      </c>
      <c r="O106" s="90">
        <f t="shared" si="42"/>
        <v>-0.32092756220536423</v>
      </c>
      <c r="P106" s="90">
        <f t="shared" si="42"/>
        <v>-0.28152482753039942</v>
      </c>
      <c r="Q106" s="90">
        <f t="shared" si="42"/>
        <v>-0.25519102529774074</v>
      </c>
      <c r="R106" s="90">
        <f t="shared" si="42"/>
        <v>-0.32277665225777241</v>
      </c>
      <c r="S106" s="90">
        <f t="shared" si="42"/>
        <v>-0.40105854945382546</v>
      </c>
      <c r="T106" s="90">
        <f t="shared" si="42"/>
        <v>-0.38097355007151723</v>
      </c>
      <c r="U106" s="90">
        <f t="shared" si="42"/>
        <v>-0.36879912454348407</v>
      </c>
    </row>
    <row r="107" spans="2:23" x14ac:dyDescent="0.2">
      <c r="D107" s="23"/>
      <c r="E107" s="23"/>
      <c r="F107" s="23"/>
      <c r="G107" s="23"/>
      <c r="H107" s="23"/>
      <c r="I107" s="23"/>
      <c r="J107" s="23"/>
      <c r="K107" s="23"/>
      <c r="L107" s="23"/>
      <c r="M107" s="23"/>
      <c r="N107" s="23"/>
      <c r="O107" s="23"/>
      <c r="P107" s="23"/>
      <c r="Q107" s="23"/>
      <c r="R107" s="23"/>
      <c r="S107" s="23"/>
      <c r="T107" s="23"/>
      <c r="U107" s="23"/>
    </row>
    <row r="108" spans="2:23" x14ac:dyDescent="0.2">
      <c r="B108" s="329"/>
      <c r="C108" s="329"/>
      <c r="D108" s="330"/>
      <c r="E108" s="331"/>
      <c r="F108" s="331"/>
      <c r="G108" s="335"/>
      <c r="H108" s="335"/>
      <c r="I108" s="176"/>
      <c r="J108" s="176"/>
      <c r="K108" s="176"/>
      <c r="L108" s="176"/>
      <c r="M108" s="176"/>
      <c r="N108" s="176"/>
      <c r="O108" s="176"/>
      <c r="P108" s="176"/>
      <c r="Q108" s="176"/>
      <c r="R108" s="176"/>
      <c r="S108" s="23"/>
      <c r="T108" s="23"/>
      <c r="U108" s="23"/>
    </row>
    <row r="109" spans="2:23" x14ac:dyDescent="0.2">
      <c r="R109" s="48"/>
      <c r="S109" s="48"/>
      <c r="T109" s="48"/>
      <c r="U109" s="48"/>
      <c r="V109" s="48"/>
      <c r="W109" s="48"/>
    </row>
    <row r="110" spans="2:23" s="14" customFormat="1" ht="12.75" outlineLevel="1" x14ac:dyDescent="0.2">
      <c r="B110" s="14" t="s">
        <v>103</v>
      </c>
      <c r="C110" s="88"/>
      <c r="D110" s="88"/>
      <c r="E110" s="88"/>
      <c r="F110" s="88"/>
      <c r="G110" s="88"/>
      <c r="H110" s="88"/>
      <c r="I110" s="88"/>
      <c r="J110" s="88"/>
      <c r="K110" s="88"/>
      <c r="L110" s="88"/>
      <c r="M110" s="88"/>
      <c r="N110" s="88"/>
      <c r="O110" s="88"/>
      <c r="P110" s="88"/>
      <c r="Q110" s="88"/>
      <c r="R110" s="88"/>
      <c r="S110" s="88"/>
      <c r="T110" s="88"/>
      <c r="U110" s="88"/>
    </row>
    <row r="111" spans="2:23" s="79" customFormat="1" ht="12.75" outlineLevel="1" x14ac:dyDescent="0.2">
      <c r="C111" s="97"/>
      <c r="D111" s="97"/>
      <c r="E111" s="97"/>
      <c r="F111" s="97"/>
      <c r="G111" s="97"/>
      <c r="H111" s="97"/>
      <c r="I111" s="97"/>
      <c r="J111" s="97"/>
      <c r="K111" s="97"/>
      <c r="L111" s="97"/>
      <c r="M111" s="97"/>
      <c r="N111" s="97"/>
      <c r="O111" s="97"/>
      <c r="P111" s="97"/>
      <c r="Q111" s="97"/>
      <c r="R111" s="97"/>
      <c r="S111" s="97"/>
      <c r="T111" s="97"/>
      <c r="U111" s="97"/>
    </row>
    <row r="112" spans="2:23" s="79" customFormat="1" ht="12.75" outlineLevel="1" x14ac:dyDescent="0.2">
      <c r="B112" s="83" t="s">
        <v>215</v>
      </c>
      <c r="C112" s="98"/>
      <c r="D112" s="98"/>
      <c r="E112" s="98"/>
      <c r="F112" s="26"/>
      <c r="G112" s="26"/>
      <c r="H112" s="26"/>
      <c r="I112" s="26"/>
      <c r="J112" s="26"/>
      <c r="K112" s="26"/>
      <c r="L112" s="26"/>
      <c r="M112" s="26"/>
      <c r="N112" s="26"/>
      <c r="O112" s="26"/>
      <c r="P112" s="26"/>
      <c r="Q112" s="26"/>
      <c r="R112" s="26"/>
      <c r="S112" s="98"/>
      <c r="T112" s="98"/>
      <c r="U112" s="98"/>
    </row>
    <row r="113" spans="1:51" outlineLevel="1" x14ac:dyDescent="0.2">
      <c r="B113" s="95" t="s">
        <v>21</v>
      </c>
      <c r="C113" s="23">
        <v>43.748150000000003</v>
      </c>
      <c r="D113" s="23">
        <v>45.157600000000002</v>
      </c>
      <c r="E113" s="23">
        <v>47.794029999999999</v>
      </c>
      <c r="F113" s="23">
        <v>47.776890000000002</v>
      </c>
      <c r="G113" s="23">
        <v>47.52948</v>
      </c>
      <c r="H113" s="23">
        <v>47.168059999999997</v>
      </c>
      <c r="I113" s="23">
        <v>46.834609999999998</v>
      </c>
      <c r="J113" s="23">
        <v>46.763660000000002</v>
      </c>
      <c r="K113" s="23">
        <v>46.848790000000001</v>
      </c>
      <c r="L113" s="23">
        <v>47.194479999999999</v>
      </c>
      <c r="M113" s="23">
        <v>47.693689999999997</v>
      </c>
      <c r="N113" s="23">
        <v>48.341079999999998</v>
      </c>
      <c r="O113" s="23">
        <v>49.21658</v>
      </c>
      <c r="P113" s="23">
        <v>50.314300000000003</v>
      </c>
      <c r="Q113" s="23">
        <v>51.428550000000001</v>
      </c>
      <c r="R113" s="23">
        <v>52.611969999999999</v>
      </c>
      <c r="S113" s="23">
        <v>53.857529999999997</v>
      </c>
      <c r="T113" s="23">
        <v>55.316229999999997</v>
      </c>
      <c r="U113" s="23">
        <v>56.783589999999997</v>
      </c>
      <c r="V113" s="91"/>
      <c r="W113" s="48"/>
    </row>
    <row r="114" spans="1:51" x14ac:dyDescent="0.2">
      <c r="B114" s="15" t="s">
        <v>99</v>
      </c>
      <c r="C114" s="1">
        <v>1.6465860000000001</v>
      </c>
      <c r="D114" s="1">
        <v>1.72</v>
      </c>
      <c r="E114" s="1">
        <v>1.7322979999999999</v>
      </c>
      <c r="F114" s="1">
        <v>1.8250599999999999</v>
      </c>
      <c r="G114" s="1">
        <v>1.956788</v>
      </c>
      <c r="H114" s="1">
        <v>2.0850439999999999</v>
      </c>
      <c r="I114" s="1">
        <v>2.2112479999999999</v>
      </c>
      <c r="J114" s="1">
        <v>2.3411179999999998</v>
      </c>
      <c r="K114" s="1">
        <v>2.4787330000000001</v>
      </c>
      <c r="L114" s="1">
        <v>2.620689</v>
      </c>
      <c r="M114" s="1">
        <v>2.7664900000000001</v>
      </c>
      <c r="N114" s="1">
        <v>2.9151910000000001</v>
      </c>
      <c r="O114" s="1">
        <v>3.034691</v>
      </c>
      <c r="P114" s="1">
        <v>3.1420159999999999</v>
      </c>
      <c r="Q114" s="1">
        <v>3.23752</v>
      </c>
      <c r="R114" s="1">
        <v>3.3196560000000002</v>
      </c>
      <c r="S114" s="1">
        <v>3.3910420000000001</v>
      </c>
      <c r="T114" s="1">
        <v>3.4527890000000001</v>
      </c>
      <c r="U114" s="1">
        <v>3.506567</v>
      </c>
      <c r="V114" s="92"/>
      <c r="W114" s="45"/>
      <c r="X114" s="45"/>
      <c r="Y114" s="45"/>
      <c r="Z114" s="45"/>
      <c r="AA114" s="45"/>
      <c r="AB114" s="45"/>
      <c r="AC114" s="45"/>
      <c r="AD114" s="45"/>
      <c r="AE114" s="45"/>
      <c r="AF114" s="45"/>
      <c r="AG114" s="45"/>
      <c r="AH114" s="45"/>
      <c r="AI114" s="45"/>
      <c r="AJ114" s="45"/>
      <c r="AK114" s="45"/>
      <c r="AL114" s="45"/>
      <c r="AM114" s="45"/>
      <c r="AN114" s="45"/>
      <c r="AO114" s="45"/>
      <c r="AP114" s="45"/>
      <c r="AQ114" s="45"/>
      <c r="AR114" s="45"/>
      <c r="AS114" s="45"/>
      <c r="AT114" s="45"/>
      <c r="AU114" s="45"/>
      <c r="AV114" s="45"/>
      <c r="AW114" s="46"/>
    </row>
    <row r="115" spans="1:51" x14ac:dyDescent="0.2">
      <c r="B115" s="15" t="s">
        <v>130</v>
      </c>
      <c r="C115" s="1">
        <v>0</v>
      </c>
      <c r="D115" s="1">
        <v>0</v>
      </c>
      <c r="E115" s="1">
        <v>0</v>
      </c>
      <c r="F115" s="1">
        <v>0</v>
      </c>
      <c r="G115" s="1">
        <v>0</v>
      </c>
      <c r="H115" s="1">
        <v>0</v>
      </c>
      <c r="I115" s="1">
        <v>0</v>
      </c>
      <c r="J115" s="1">
        <v>0</v>
      </c>
      <c r="K115" s="1">
        <v>0</v>
      </c>
      <c r="L115" s="1">
        <v>0</v>
      </c>
      <c r="M115" s="1">
        <v>0</v>
      </c>
      <c r="N115" s="1">
        <v>0</v>
      </c>
      <c r="O115" s="1">
        <v>0</v>
      </c>
      <c r="P115" s="1">
        <v>0</v>
      </c>
      <c r="Q115" s="1">
        <v>0</v>
      </c>
      <c r="R115" s="1">
        <v>0</v>
      </c>
      <c r="S115" s="1">
        <v>0</v>
      </c>
      <c r="T115" s="1">
        <v>0</v>
      </c>
      <c r="U115" s="1">
        <v>0</v>
      </c>
      <c r="V115" s="92"/>
      <c r="W115" s="45"/>
      <c r="X115" s="45"/>
      <c r="Y115" s="45"/>
      <c r="Z115" s="45"/>
      <c r="AA115" s="45"/>
      <c r="AB115" s="45"/>
      <c r="AC115" s="45"/>
      <c r="AD115" s="45"/>
      <c r="AE115" s="45"/>
      <c r="AF115" s="45"/>
      <c r="AG115" s="45"/>
      <c r="AH115" s="45"/>
      <c r="AI115" s="45"/>
      <c r="AJ115" s="45"/>
      <c r="AK115" s="45"/>
      <c r="AL115" s="45"/>
      <c r="AM115" s="45"/>
      <c r="AN115" s="45"/>
      <c r="AO115" s="45"/>
      <c r="AP115" s="45"/>
      <c r="AQ115" s="45"/>
      <c r="AR115" s="45"/>
      <c r="AS115" s="45"/>
      <c r="AT115" s="45"/>
      <c r="AU115" s="45"/>
      <c r="AV115" s="45"/>
      <c r="AW115" s="46"/>
    </row>
    <row r="116" spans="1:51" x14ac:dyDescent="0.2">
      <c r="C116" s="76"/>
      <c r="D116" s="76"/>
      <c r="E116" s="76"/>
      <c r="F116" s="76"/>
      <c r="G116" s="76"/>
      <c r="H116" s="76"/>
      <c r="I116" s="76"/>
      <c r="J116" s="76"/>
      <c r="K116" s="76"/>
      <c r="L116" s="76"/>
      <c r="M116" s="76"/>
      <c r="N116" s="76"/>
      <c r="O116" s="76"/>
      <c r="P116" s="76"/>
      <c r="Q116" s="76"/>
      <c r="R116" s="76"/>
      <c r="S116" s="80"/>
      <c r="T116" s="80"/>
      <c r="U116" s="80"/>
      <c r="V116" s="92"/>
      <c r="W116" s="45"/>
      <c r="X116" s="45"/>
      <c r="Y116" s="45"/>
      <c r="Z116" s="45"/>
      <c r="AA116" s="45"/>
      <c r="AB116" s="45"/>
      <c r="AC116" s="45"/>
      <c r="AD116" s="45"/>
      <c r="AE116" s="45"/>
      <c r="AF116" s="45"/>
      <c r="AG116" s="45"/>
      <c r="AH116" s="45"/>
      <c r="AI116" s="45"/>
      <c r="AJ116" s="45"/>
      <c r="AK116" s="45"/>
      <c r="AL116" s="45"/>
      <c r="AM116" s="45"/>
      <c r="AN116" s="45"/>
      <c r="AO116" s="45"/>
      <c r="AP116" s="45"/>
      <c r="AQ116" s="45"/>
      <c r="AR116" s="45"/>
      <c r="AS116" s="45"/>
      <c r="AT116" s="45"/>
      <c r="AU116" s="45"/>
      <c r="AV116" s="45"/>
      <c r="AW116" s="46"/>
    </row>
    <row r="117" spans="1:51" x14ac:dyDescent="0.2">
      <c r="B117" s="83" t="s">
        <v>216</v>
      </c>
      <c r="C117" s="26"/>
      <c r="D117" s="26"/>
      <c r="E117" s="26"/>
      <c r="F117" s="26"/>
      <c r="G117" s="26"/>
      <c r="H117" s="26"/>
      <c r="I117" s="26"/>
      <c r="J117" s="26"/>
      <c r="K117" s="26"/>
      <c r="L117" s="26"/>
      <c r="M117" s="26"/>
      <c r="N117" s="26"/>
      <c r="O117" s="26"/>
      <c r="P117" s="26"/>
      <c r="Q117" s="26"/>
      <c r="R117" s="26"/>
      <c r="S117" s="26"/>
      <c r="T117" s="99"/>
      <c r="U117" s="99"/>
      <c r="V117" s="92"/>
      <c r="W117" s="45"/>
      <c r="X117" s="45"/>
      <c r="Y117" s="45"/>
      <c r="Z117" s="45"/>
      <c r="AA117" s="45"/>
      <c r="AB117" s="45"/>
      <c r="AC117" s="45"/>
      <c r="AD117" s="45"/>
      <c r="AE117" s="45"/>
      <c r="AF117" s="45"/>
      <c r="AG117" s="45"/>
      <c r="AH117" s="45"/>
      <c r="AI117" s="45"/>
      <c r="AJ117" s="45"/>
      <c r="AK117" s="45"/>
      <c r="AL117" s="45"/>
      <c r="AM117" s="45"/>
      <c r="AN117" s="45"/>
      <c r="AO117" s="45"/>
      <c r="AP117" s="45"/>
      <c r="AQ117" s="45"/>
      <c r="AR117" s="45"/>
      <c r="AS117" s="45"/>
      <c r="AT117" s="45"/>
      <c r="AU117" s="45"/>
      <c r="AV117" s="45"/>
      <c r="AW117" s="46"/>
    </row>
    <row r="118" spans="1:51" outlineLevel="1" x14ac:dyDescent="0.2">
      <c r="B118" s="95" t="s">
        <v>21</v>
      </c>
      <c r="C118" s="23">
        <v>43.748150000000003</v>
      </c>
      <c r="D118" s="23">
        <v>45.157600000000002</v>
      </c>
      <c r="E118" s="23">
        <v>47.824829999999999</v>
      </c>
      <c r="F118" s="23">
        <v>47.905439999999999</v>
      </c>
      <c r="G118" s="23">
        <v>47.827719999999999</v>
      </c>
      <c r="H118" s="23">
        <v>47.710610000000003</v>
      </c>
      <c r="I118" s="23">
        <v>47.53349</v>
      </c>
      <c r="J118" s="23">
        <v>47.324150000000003</v>
      </c>
      <c r="K118" s="23">
        <v>47.085030000000003</v>
      </c>
      <c r="L118" s="23">
        <v>46.950890000000001</v>
      </c>
      <c r="M118" s="23">
        <v>46.920340000000003</v>
      </c>
      <c r="N118" s="23">
        <v>46.987499999999997</v>
      </c>
      <c r="O118" s="23">
        <v>47.318809999999999</v>
      </c>
      <c r="P118" s="23">
        <v>47.871450000000003</v>
      </c>
      <c r="Q118" s="23">
        <v>48.440420000000003</v>
      </c>
      <c r="R118" s="23">
        <v>49.081510000000002</v>
      </c>
      <c r="S118" s="23">
        <v>49.789259999999999</v>
      </c>
      <c r="T118" s="23">
        <v>50.711849999999998</v>
      </c>
      <c r="U118" s="23">
        <v>51.645200000000003</v>
      </c>
      <c r="V118" s="91"/>
      <c r="W118" s="48"/>
    </row>
    <row r="119" spans="1:51" x14ac:dyDescent="0.2">
      <c r="B119" s="15" t="s">
        <v>99</v>
      </c>
      <c r="C119" s="1">
        <v>1.6465860000000001</v>
      </c>
      <c r="D119" s="1">
        <v>1.72</v>
      </c>
      <c r="E119" s="1">
        <v>1.7322979999999999</v>
      </c>
      <c r="F119" s="1">
        <v>1.8255950000000001</v>
      </c>
      <c r="G119" s="1">
        <v>1.959948</v>
      </c>
      <c r="H119" s="1">
        <v>2.0921259999999999</v>
      </c>
      <c r="I119" s="1">
        <v>2.2235119999999999</v>
      </c>
      <c r="J119" s="1">
        <v>2.3549150000000001</v>
      </c>
      <c r="K119" s="1">
        <v>2.4867669999999999</v>
      </c>
      <c r="L119" s="1">
        <v>2.619259</v>
      </c>
      <c r="M119" s="1">
        <v>2.7558129999999998</v>
      </c>
      <c r="N119" s="1">
        <v>2.89574</v>
      </c>
      <c r="O119" s="1">
        <v>3.0081280000000001</v>
      </c>
      <c r="P119" s="1">
        <v>3.1108180000000001</v>
      </c>
      <c r="Q119" s="1">
        <v>3.2037990000000001</v>
      </c>
      <c r="R119" s="1">
        <v>3.2848609999999998</v>
      </c>
      <c r="S119" s="1">
        <v>3.3563890000000001</v>
      </c>
      <c r="T119" s="1">
        <v>3.419181</v>
      </c>
      <c r="U119" s="1">
        <v>3.4747659999999998</v>
      </c>
      <c r="V119" s="92"/>
      <c r="W119" s="45"/>
      <c r="X119" s="45"/>
      <c r="Y119" s="45"/>
      <c r="Z119" s="45"/>
      <c r="AA119" s="45"/>
      <c r="AB119" s="45"/>
      <c r="AC119" s="45"/>
      <c r="AD119" s="45"/>
      <c r="AE119" s="45"/>
      <c r="AF119" s="45"/>
      <c r="AG119" s="45"/>
      <c r="AH119" s="45"/>
      <c r="AI119" s="45"/>
      <c r="AJ119" s="45"/>
      <c r="AK119" s="45"/>
      <c r="AL119" s="45"/>
      <c r="AM119" s="45"/>
      <c r="AN119" s="45"/>
      <c r="AO119" s="45"/>
      <c r="AP119" s="45"/>
      <c r="AQ119" s="45"/>
      <c r="AR119" s="45"/>
      <c r="AS119" s="45"/>
      <c r="AT119" s="45"/>
      <c r="AU119" s="45"/>
      <c r="AV119" s="45"/>
      <c r="AW119" s="46"/>
    </row>
    <row r="120" spans="1:51" x14ac:dyDescent="0.2">
      <c r="B120" s="15" t="s">
        <v>130</v>
      </c>
      <c r="C120" s="1"/>
      <c r="D120" s="1">
        <v>0</v>
      </c>
      <c r="E120" s="1">
        <v>0</v>
      </c>
      <c r="F120" s="1">
        <v>0</v>
      </c>
      <c r="G120" s="1">
        <v>0</v>
      </c>
      <c r="H120" s="1">
        <v>0</v>
      </c>
      <c r="I120" s="1">
        <v>0</v>
      </c>
      <c r="J120" s="1">
        <v>0</v>
      </c>
      <c r="K120" s="1">
        <v>0</v>
      </c>
      <c r="L120" s="1">
        <v>0</v>
      </c>
      <c r="M120" s="1">
        <v>0</v>
      </c>
      <c r="N120" s="1">
        <v>0</v>
      </c>
      <c r="O120" s="1">
        <v>0</v>
      </c>
      <c r="P120" s="1">
        <v>0</v>
      </c>
      <c r="Q120" s="1">
        <v>0</v>
      </c>
      <c r="R120" s="1">
        <v>0</v>
      </c>
      <c r="S120" s="1">
        <v>0</v>
      </c>
      <c r="T120" s="1">
        <v>0</v>
      </c>
      <c r="U120" s="1">
        <v>0</v>
      </c>
      <c r="V120" s="1"/>
      <c r="W120" s="1"/>
      <c r="X120" s="92"/>
      <c r="Y120" s="45"/>
      <c r="Z120" s="45"/>
      <c r="AA120" s="45"/>
      <c r="AB120" s="45"/>
      <c r="AC120" s="45"/>
      <c r="AD120" s="45"/>
      <c r="AE120" s="45"/>
      <c r="AF120" s="45"/>
      <c r="AG120" s="45"/>
      <c r="AH120" s="45"/>
      <c r="AI120" s="45"/>
      <c r="AJ120" s="45"/>
      <c r="AK120" s="45"/>
      <c r="AL120" s="45"/>
      <c r="AM120" s="45"/>
      <c r="AN120" s="45"/>
      <c r="AO120" s="45"/>
      <c r="AP120" s="45"/>
      <c r="AQ120" s="45"/>
      <c r="AR120" s="45"/>
      <c r="AS120" s="45"/>
      <c r="AT120" s="45"/>
      <c r="AU120" s="45"/>
      <c r="AV120" s="45"/>
      <c r="AW120" s="45"/>
      <c r="AX120" s="45"/>
      <c r="AY120" s="46"/>
    </row>
    <row r="121" spans="1:51" x14ac:dyDescent="0.2">
      <c r="T121" s="48"/>
      <c r="U121" s="91"/>
      <c r="V121" s="91"/>
      <c r="W121" s="91"/>
      <c r="X121" s="91"/>
      <c r="Y121" s="48"/>
    </row>
    <row r="122" spans="1:51" x14ac:dyDescent="0.2">
      <c r="H122" s="96"/>
      <c r="I122" s="96"/>
      <c r="J122" s="96"/>
      <c r="K122" s="96"/>
      <c r="L122" s="96"/>
      <c r="M122" s="96"/>
      <c r="N122" s="96"/>
      <c r="O122" s="96"/>
      <c r="P122" s="96"/>
      <c r="Q122" s="96"/>
      <c r="R122" s="96"/>
      <c r="S122" s="96"/>
      <c r="T122" s="96"/>
      <c r="U122" s="96"/>
      <c r="V122" s="96"/>
      <c r="W122" s="96"/>
    </row>
    <row r="123" spans="1:51" x14ac:dyDescent="0.2">
      <c r="E123" s="23"/>
      <c r="F123" s="23"/>
      <c r="G123" s="96"/>
      <c r="H123" s="96"/>
      <c r="I123" s="96"/>
      <c r="J123" s="96"/>
      <c r="K123" s="96"/>
      <c r="L123" s="96"/>
      <c r="M123" s="96"/>
      <c r="N123" s="96"/>
      <c r="O123" s="96"/>
      <c r="P123" s="96"/>
      <c r="Q123" s="96"/>
      <c r="R123" s="96"/>
      <c r="S123" s="96"/>
      <c r="T123" s="96"/>
      <c r="U123" s="96"/>
      <c r="V123" s="96"/>
      <c r="W123" s="96"/>
    </row>
    <row r="124" spans="1:51" x14ac:dyDescent="0.2">
      <c r="A124" s="46"/>
      <c r="C124" s="23"/>
      <c r="D124" s="23"/>
      <c r="E124" s="23"/>
      <c r="F124" s="23"/>
      <c r="G124" s="23"/>
      <c r="H124" s="23"/>
      <c r="I124" s="23"/>
      <c r="J124" s="23"/>
      <c r="K124" s="23"/>
      <c r="L124" s="23"/>
      <c r="M124" s="23"/>
      <c r="N124" s="23"/>
      <c r="O124" s="23"/>
      <c r="P124" s="23"/>
      <c r="Q124" s="23"/>
      <c r="R124" s="23"/>
      <c r="S124" s="23"/>
      <c r="T124" s="23"/>
      <c r="U124" s="23"/>
      <c r="V124" s="23"/>
      <c r="W124" s="23"/>
    </row>
    <row r="125" spans="1:51" x14ac:dyDescent="0.2">
      <c r="C125" s="47"/>
      <c r="D125" s="47"/>
      <c r="E125" s="47"/>
      <c r="F125" s="47"/>
      <c r="G125" s="47"/>
      <c r="H125" s="47"/>
      <c r="I125" s="47"/>
      <c r="J125" s="47"/>
      <c r="K125" s="47"/>
      <c r="L125" s="47"/>
      <c r="M125" s="47"/>
      <c r="N125" s="47"/>
      <c r="O125" s="47"/>
      <c r="P125" s="47"/>
      <c r="Q125" s="47"/>
      <c r="R125" s="47"/>
      <c r="S125" s="47"/>
      <c r="T125" s="47"/>
      <c r="U125" s="47"/>
      <c r="V125" s="47"/>
      <c r="W125" s="47"/>
      <c r="X125" s="47"/>
    </row>
    <row r="127" spans="1:51" x14ac:dyDescent="0.2">
      <c r="E127" s="23"/>
      <c r="F127" s="23"/>
      <c r="G127" s="96"/>
      <c r="H127" s="96"/>
      <c r="I127" s="96"/>
      <c r="J127" s="96"/>
      <c r="K127" s="96"/>
      <c r="L127" s="96"/>
      <c r="M127" s="96"/>
      <c r="N127" s="96"/>
      <c r="O127" s="96"/>
      <c r="P127" s="96"/>
      <c r="Q127" s="96"/>
      <c r="R127" s="96"/>
      <c r="S127" s="96"/>
      <c r="T127" s="96"/>
      <c r="U127" s="96"/>
      <c r="V127" s="96"/>
      <c r="W127" s="96"/>
    </row>
    <row r="128" spans="1:51" x14ac:dyDescent="0.2">
      <c r="E128" s="23"/>
      <c r="F128" s="23"/>
      <c r="G128" s="96"/>
      <c r="H128" s="96"/>
      <c r="I128" s="96"/>
      <c r="J128" s="96"/>
      <c r="K128" s="96"/>
      <c r="L128" s="96"/>
      <c r="M128" s="96"/>
      <c r="N128" s="96"/>
      <c r="O128" s="96"/>
      <c r="P128" s="96"/>
      <c r="Q128" s="96"/>
      <c r="R128" s="96"/>
      <c r="S128" s="96"/>
      <c r="T128" s="96"/>
      <c r="U128" s="96"/>
      <c r="V128" s="96"/>
      <c r="W128" s="96"/>
      <c r="X128" s="39"/>
    </row>
    <row r="129" spans="5:24" x14ac:dyDescent="0.2">
      <c r="G129" s="39"/>
      <c r="H129" s="39"/>
      <c r="I129" s="39"/>
      <c r="J129" s="39"/>
      <c r="K129" s="39"/>
      <c r="L129" s="39"/>
      <c r="M129" s="39"/>
      <c r="N129" s="39"/>
      <c r="O129" s="39"/>
      <c r="P129" s="39"/>
      <c r="Q129" s="39"/>
      <c r="R129" s="39"/>
      <c r="S129" s="39"/>
      <c r="T129" s="39"/>
      <c r="U129" s="39"/>
      <c r="V129" s="39"/>
      <c r="W129" s="39"/>
      <c r="X129" s="39"/>
    </row>
    <row r="130" spans="5:24" x14ac:dyDescent="0.2">
      <c r="E130" s="23"/>
      <c r="F130" s="23"/>
      <c r="G130" s="96"/>
      <c r="H130" s="96"/>
      <c r="I130" s="96"/>
      <c r="J130" s="96"/>
      <c r="K130" s="96"/>
      <c r="L130" s="96"/>
      <c r="M130" s="96"/>
      <c r="N130" s="96"/>
      <c r="O130" s="96"/>
      <c r="P130" s="96"/>
      <c r="Q130" s="96"/>
      <c r="R130" s="96"/>
      <c r="S130" s="96"/>
      <c r="T130" s="96"/>
      <c r="U130" s="96"/>
      <c r="V130" s="96"/>
      <c r="W130" s="96"/>
      <c r="X130" s="39"/>
    </row>
    <row r="131" spans="5:24" x14ac:dyDescent="0.2">
      <c r="E131" s="23"/>
      <c r="F131" s="23"/>
      <c r="G131" s="96"/>
      <c r="H131" s="96"/>
      <c r="I131" s="96"/>
      <c r="J131" s="96"/>
      <c r="K131" s="96"/>
      <c r="L131" s="96"/>
      <c r="M131" s="96"/>
      <c r="N131" s="96"/>
      <c r="O131" s="96"/>
      <c r="P131" s="96"/>
      <c r="Q131" s="96"/>
      <c r="R131" s="96"/>
      <c r="S131" s="96"/>
      <c r="T131" s="96"/>
      <c r="U131" s="96"/>
      <c r="V131" s="96"/>
      <c r="W131" s="96"/>
      <c r="X131" s="39"/>
    </row>
    <row r="132" spans="5:24" x14ac:dyDescent="0.2">
      <c r="G132" s="39"/>
      <c r="H132" s="39"/>
      <c r="I132" s="39"/>
      <c r="J132" s="39"/>
      <c r="K132" s="39"/>
      <c r="L132" s="39"/>
      <c r="M132" s="39"/>
      <c r="N132" s="39"/>
      <c r="O132" s="39"/>
      <c r="P132" s="39"/>
      <c r="Q132" s="39"/>
      <c r="R132" s="39"/>
      <c r="S132" s="39"/>
      <c r="T132" s="39"/>
      <c r="U132" s="39"/>
      <c r="V132" s="39"/>
      <c r="W132" s="39"/>
      <c r="X132" s="39"/>
    </row>
    <row r="133" spans="5:24" x14ac:dyDescent="0.2">
      <c r="E133" s="23"/>
      <c r="F133" s="23"/>
      <c r="G133" s="96"/>
      <c r="H133" s="96"/>
      <c r="I133" s="96"/>
      <c r="J133" s="96"/>
      <c r="K133" s="96"/>
      <c r="L133" s="96"/>
      <c r="M133" s="96"/>
      <c r="N133" s="96"/>
      <c r="O133" s="96"/>
      <c r="P133" s="96"/>
      <c r="Q133" s="96"/>
      <c r="R133" s="96"/>
      <c r="S133" s="96"/>
      <c r="T133" s="96"/>
      <c r="U133" s="96"/>
      <c r="V133" s="96"/>
      <c r="W133" s="96"/>
      <c r="X133" s="96"/>
    </row>
    <row r="134" spans="5:24" x14ac:dyDescent="0.2">
      <c r="E134" s="23"/>
      <c r="F134" s="23"/>
      <c r="G134" s="96"/>
      <c r="H134" s="96"/>
      <c r="I134" s="96"/>
      <c r="J134" s="96"/>
      <c r="K134" s="96"/>
      <c r="L134" s="96"/>
      <c r="M134" s="96"/>
      <c r="N134" s="96"/>
      <c r="O134" s="96"/>
      <c r="P134" s="96"/>
      <c r="Q134" s="96"/>
      <c r="R134" s="96"/>
      <c r="S134" s="96"/>
      <c r="T134" s="96"/>
      <c r="U134" s="96"/>
      <c r="V134" s="96"/>
      <c r="W134" s="96"/>
      <c r="X134" s="96"/>
    </row>
    <row r="135" spans="5:24" x14ac:dyDescent="0.2">
      <c r="G135" s="96"/>
      <c r="H135" s="96"/>
      <c r="I135" s="96"/>
      <c r="J135" s="96"/>
      <c r="K135" s="96"/>
      <c r="L135" s="96"/>
      <c r="M135" s="96"/>
      <c r="N135" s="96"/>
      <c r="O135" s="96"/>
      <c r="P135" s="96"/>
      <c r="Q135" s="96"/>
      <c r="R135" s="96"/>
      <c r="S135" s="96"/>
      <c r="T135" s="96"/>
      <c r="U135" s="96"/>
      <c r="V135" s="96"/>
      <c r="W135" s="96"/>
      <c r="X135" s="96"/>
    </row>
    <row r="136" spans="5:24" x14ac:dyDescent="0.2">
      <c r="E136" s="23"/>
      <c r="F136" s="23"/>
      <c r="G136" s="96"/>
      <c r="H136" s="96"/>
      <c r="I136" s="96"/>
      <c r="J136" s="96"/>
      <c r="K136" s="96"/>
      <c r="L136" s="96"/>
      <c r="M136" s="96"/>
      <c r="N136" s="96"/>
      <c r="O136" s="96"/>
      <c r="P136" s="96"/>
      <c r="Q136" s="96"/>
      <c r="R136" s="96"/>
      <c r="S136" s="96"/>
      <c r="T136" s="96"/>
      <c r="U136" s="96"/>
      <c r="V136" s="96"/>
      <c r="W136" s="96"/>
      <c r="X136" s="96"/>
    </row>
    <row r="137" spans="5:24" x14ac:dyDescent="0.2">
      <c r="E137" s="23"/>
      <c r="F137" s="23"/>
      <c r="G137" s="96"/>
      <c r="H137" s="96"/>
      <c r="I137" s="96"/>
      <c r="J137" s="96"/>
      <c r="K137" s="96"/>
      <c r="L137" s="96"/>
      <c r="M137" s="96"/>
      <c r="N137" s="96"/>
      <c r="O137" s="96"/>
      <c r="P137" s="96"/>
      <c r="Q137" s="96"/>
      <c r="R137" s="96"/>
      <c r="S137" s="96"/>
      <c r="T137" s="96"/>
      <c r="U137" s="96"/>
      <c r="V137" s="96"/>
      <c r="W137" s="96"/>
      <c r="X137" s="96"/>
    </row>
    <row r="138" spans="5:24" x14ac:dyDescent="0.2">
      <c r="G138" s="96"/>
      <c r="H138" s="96"/>
      <c r="I138" s="96"/>
      <c r="J138" s="96"/>
      <c r="K138" s="96"/>
      <c r="L138" s="96"/>
      <c r="M138" s="96"/>
      <c r="N138" s="96"/>
      <c r="O138" s="96"/>
      <c r="P138" s="96"/>
      <c r="Q138" s="96"/>
      <c r="R138" s="96"/>
      <c r="S138" s="96"/>
      <c r="T138" s="96"/>
      <c r="U138" s="96"/>
      <c r="V138" s="96"/>
      <c r="W138" s="96"/>
      <c r="X138" s="96"/>
    </row>
    <row r="139" spans="5:24" x14ac:dyDescent="0.2">
      <c r="G139" s="96"/>
      <c r="H139" s="96"/>
      <c r="I139" s="96"/>
      <c r="J139" s="96"/>
      <c r="K139" s="96"/>
      <c r="L139" s="96"/>
      <c r="M139" s="96"/>
      <c r="N139" s="96"/>
      <c r="O139" s="96"/>
      <c r="P139" s="96"/>
      <c r="Q139" s="96"/>
      <c r="R139" s="96"/>
      <c r="S139" s="96"/>
      <c r="T139" s="96"/>
      <c r="U139" s="96"/>
      <c r="V139" s="96"/>
      <c r="W139" s="96"/>
      <c r="X139" s="96"/>
    </row>
  </sheetData>
  <conditionalFormatting sqref="E12:K12">
    <cfRule type="expression" dxfId="8" priority="6">
      <formula>AND(E10&gt;$C$5,E10&lt;=$C$6)</formula>
    </cfRule>
  </conditionalFormatting>
  <conditionalFormatting sqref="S10:U44 S50:U53 S86:U109 S111:U120">
    <cfRule type="expression" dxfId="7" priority="2">
      <formula>S$10&gt;$C$7</formula>
    </cfRule>
  </conditionalFormatting>
  <conditionalFormatting sqref="S55:U84">
    <cfRule type="expression" dxfId="6" priority="116">
      <formula>S$10&gt;$C$7</formula>
    </cfRule>
  </conditionalFormatting>
  <conditionalFormatting sqref="S79:U79">
    <cfRule type="expression" dxfId="5" priority="120">
      <formula>S$10&gt;$C$7</formula>
    </cfRule>
  </conditionalFormatting>
  <conditionalFormatting sqref="U46:W49 U120:W130">
    <cfRule type="expression" dxfId="4" priority="121">
      <formula>S$10&gt;$C$7</formula>
    </cfRule>
  </conditionalFormatting>
  <pageMargins left="0.7" right="0.7" top="0.75" bottom="0.75" header="0.3" footer="0.3"/>
  <pageSetup paperSize="9" orientation="portrait" r:id="rId1"/>
  <ignoredErrors>
    <ignoredError sqref="C47:C48 C5" unlockedFormula="1"/>
  </ignoredError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FFD891-C40B-4DD5-A43C-645C26D0DC6D}">
  <sheetPr codeName="Sheet22">
    <tabColor rgb="FF7030A0"/>
  </sheetPr>
  <dimension ref="A1:Y63"/>
  <sheetViews>
    <sheetView zoomScale="90" zoomScaleNormal="90" workbookViewId="0">
      <selection activeCell="F22" sqref="F22:X36"/>
    </sheetView>
  </sheetViews>
  <sheetFormatPr defaultColWidth="9.140625" defaultRowHeight="12.75" x14ac:dyDescent="0.2"/>
  <cols>
    <col min="1" max="1" width="9.140625" style="268"/>
    <col min="2" max="2" width="4.5703125" style="268" customWidth="1"/>
    <col min="3" max="3" width="67" style="268" customWidth="1"/>
    <col min="4" max="4" width="16.5703125" style="268" customWidth="1"/>
    <col min="5" max="5" width="13.7109375" style="268" customWidth="1"/>
    <col min="6" max="24" width="10.7109375" style="268" customWidth="1"/>
    <col min="25" max="16384" width="9.140625" style="268"/>
  </cols>
  <sheetData>
    <row r="1" spans="1:25" x14ac:dyDescent="0.2">
      <c r="A1" s="186"/>
      <c r="B1" s="186"/>
      <c r="C1" s="186"/>
      <c r="D1" s="186"/>
      <c r="E1" s="186"/>
      <c r="F1" s="186"/>
      <c r="G1" s="186"/>
      <c r="H1" s="186"/>
      <c r="I1" s="186"/>
      <c r="J1" s="186"/>
      <c r="K1" s="186"/>
      <c r="L1" s="186"/>
      <c r="M1" s="186"/>
      <c r="N1" s="186"/>
      <c r="O1" s="186"/>
      <c r="P1" s="186"/>
      <c r="Q1" s="186"/>
      <c r="R1" s="186"/>
      <c r="S1" s="186"/>
      <c r="T1" s="186"/>
      <c r="U1" s="186"/>
      <c r="V1" s="186"/>
      <c r="W1" s="186"/>
      <c r="X1" s="186"/>
      <c r="Y1" s="186"/>
    </row>
    <row r="2" spans="1:25" x14ac:dyDescent="0.2">
      <c r="A2" s="186"/>
      <c r="B2" s="273"/>
      <c r="C2" s="274" t="s">
        <v>142</v>
      </c>
      <c r="D2" s="275"/>
      <c r="E2" s="275"/>
      <c r="F2" s="275"/>
      <c r="G2" s="291"/>
      <c r="H2" s="291"/>
      <c r="I2" s="291"/>
      <c r="J2" s="291"/>
      <c r="K2" s="186"/>
      <c r="L2" s="186"/>
      <c r="M2" s="186"/>
      <c r="N2" s="186"/>
      <c r="O2" s="186"/>
      <c r="P2" s="186"/>
      <c r="Q2" s="186"/>
      <c r="R2" s="186"/>
      <c r="S2" s="186"/>
      <c r="T2" s="186"/>
      <c r="U2" s="186"/>
      <c r="V2" s="186"/>
      <c r="W2" s="186"/>
      <c r="X2" s="186"/>
      <c r="Y2" s="186"/>
    </row>
    <row r="3" spans="1:25" x14ac:dyDescent="0.2">
      <c r="A3" s="186"/>
      <c r="B3" s="270"/>
      <c r="C3" s="291"/>
      <c r="D3" s="291"/>
      <c r="E3" s="291"/>
      <c r="F3" s="291"/>
      <c r="G3" s="291"/>
      <c r="H3" s="291"/>
      <c r="I3" s="291"/>
      <c r="J3" s="291"/>
      <c r="K3" s="186"/>
      <c r="L3" s="186"/>
      <c r="M3" s="186"/>
      <c r="N3" s="186"/>
      <c r="O3" s="186"/>
      <c r="P3" s="186"/>
      <c r="Q3" s="186"/>
      <c r="R3" s="186"/>
      <c r="S3" s="186"/>
      <c r="T3" s="186"/>
      <c r="U3" s="186"/>
      <c r="V3" s="186"/>
      <c r="W3" s="186"/>
      <c r="X3" s="186"/>
      <c r="Y3" s="186"/>
    </row>
    <row r="4" spans="1:25" x14ac:dyDescent="0.2">
      <c r="A4" s="186"/>
      <c r="B4" s="276"/>
      <c r="C4" s="274"/>
      <c r="D4" s="277" t="s">
        <v>163</v>
      </c>
      <c r="E4" s="278">
        <f>F4-1</f>
        <v>2023</v>
      </c>
      <c r="F4" s="279">
        <f>'Input data'!$C$5-1</f>
        <v>2024</v>
      </c>
      <c r="G4" s="279">
        <f>F4+1</f>
        <v>2025</v>
      </c>
      <c r="H4" s="279">
        <f t="shared" ref="H4:X4" si="0">G4+1</f>
        <v>2026</v>
      </c>
      <c r="I4" s="279">
        <f t="shared" si="0"/>
        <v>2027</v>
      </c>
      <c r="J4" s="279">
        <f t="shared" si="0"/>
        <v>2028</v>
      </c>
      <c r="K4" s="279">
        <f t="shared" si="0"/>
        <v>2029</v>
      </c>
      <c r="L4" s="279">
        <f t="shared" si="0"/>
        <v>2030</v>
      </c>
      <c r="M4" s="279">
        <f t="shared" si="0"/>
        <v>2031</v>
      </c>
      <c r="N4" s="279">
        <f t="shared" si="0"/>
        <v>2032</v>
      </c>
      <c r="O4" s="279">
        <f t="shared" si="0"/>
        <v>2033</v>
      </c>
      <c r="P4" s="279">
        <f t="shared" si="0"/>
        <v>2034</v>
      </c>
      <c r="Q4" s="279">
        <f t="shared" si="0"/>
        <v>2035</v>
      </c>
      <c r="R4" s="279">
        <f t="shared" si="0"/>
        <v>2036</v>
      </c>
      <c r="S4" s="279">
        <f t="shared" si="0"/>
        <v>2037</v>
      </c>
      <c r="T4" s="279">
        <f t="shared" si="0"/>
        <v>2038</v>
      </c>
      <c r="U4" s="279">
        <f t="shared" si="0"/>
        <v>2039</v>
      </c>
      <c r="V4" s="279">
        <f t="shared" si="0"/>
        <v>2040</v>
      </c>
      <c r="W4" s="279">
        <f t="shared" si="0"/>
        <v>2041</v>
      </c>
      <c r="X4" s="279">
        <f t="shared" si="0"/>
        <v>2042</v>
      </c>
      <c r="Y4" s="186"/>
    </row>
    <row r="5" spans="1:25" x14ac:dyDescent="0.2">
      <c r="A5" s="186"/>
      <c r="B5" s="276">
        <v>1</v>
      </c>
      <c r="C5" s="280" t="s">
        <v>143</v>
      </c>
      <c r="D5" s="281">
        <v>57</v>
      </c>
      <c r="E5" s="282" t="s">
        <v>144</v>
      </c>
      <c r="F5" s="269">
        <f ca="1">INDEX(OFFSET('Adjustment scenario'!$C$1:$U$1,$D5-1,0),MATCH(F$4,'Adjustment scenario'!$C$10:$U$10,0))</f>
        <v>43.748150000000003</v>
      </c>
      <c r="G5" s="269">
        <f ca="1">INDEX(OFFSET('Adjustment scenario'!$C$1:$U$1,$D5-1,0),MATCH(G$4,'Adjustment scenario'!$C$10:$U$10,0))</f>
        <v>45.157610209173967</v>
      </c>
      <c r="H5" s="269">
        <f ca="1">INDEX(OFFSET('Adjustment scenario'!$C$1:$U$1,$D5-1,0),MATCH(H$4,'Adjustment scenario'!$C$10:$U$10,0))</f>
        <v>47.855644632273624</v>
      </c>
      <c r="I5" s="269">
        <f ca="1">INDEX(OFFSET('Adjustment scenario'!$C$1:$U$1,$D5-1,0),MATCH(I$4,'Adjustment scenario'!$C$10:$U$10,0))</f>
        <v>48.03397105085827</v>
      </c>
      <c r="J5" s="269">
        <f ca="1">INDEX(OFFSET('Adjustment scenario'!$C$1:$U$1,$D5-1,0),MATCH(J$4,'Adjustment scenario'!$C$10:$U$10,0))</f>
        <v>48.125787619437091</v>
      </c>
      <c r="K5" s="269">
        <f ca="1">INDEX(OFFSET('Adjustment scenario'!$C$1:$U$1,$D5-1,0),MATCH(K$4,'Adjustment scenario'!$C$10:$U$10,0))</f>
        <v>48.154710826770085</v>
      </c>
      <c r="L5" s="269">
        <f ca="1">INDEX(OFFSET('Adjustment scenario'!$C$1:$U$1,$D5-1,0),MATCH(L$4,'Adjustment scenario'!$C$10:$U$10,0))</f>
        <v>48.186227557361946</v>
      </c>
      <c r="M5" s="269">
        <f ca="1">INDEX(OFFSET('Adjustment scenario'!$C$1:$U$1,$D5-1,0),MATCH(M$4,'Adjustment scenario'!$C$10:$U$10,0))</f>
        <v>48.729290458286442</v>
      </c>
      <c r="N5" s="269">
        <f ca="1">INDEX(OFFSET('Adjustment scenario'!$C$1:$U$1,$D5-1,0),MATCH(N$4,'Adjustment scenario'!$C$10:$U$10,0))</f>
        <v>49.548171319081376</v>
      </c>
      <c r="O5" s="269">
        <f ca="1">INDEX(OFFSET('Adjustment scenario'!$C$1:$U$1,$D5-1,0),MATCH(O$4,'Adjustment scenario'!$C$10:$U$10,0))</f>
        <v>50.539007963808501</v>
      </c>
      <c r="P5" s="269">
        <f ca="1">INDEX(OFFSET('Adjustment scenario'!$C$1:$U$1,$D5-1,0),MATCH(P$4,'Adjustment scenario'!$C$10:$U$10,0))</f>
        <v>51.686403158289899</v>
      </c>
      <c r="Q5" s="269">
        <f ca="1">INDEX(OFFSET('Adjustment scenario'!$C$1:$U$1,$D5-1,0),MATCH(Q$4,'Adjustment scenario'!$C$10:$U$10,0))</f>
        <v>52.985091388356423</v>
      </c>
      <c r="R5" s="269">
        <f ca="1">INDEX(OFFSET('Adjustment scenario'!$C$1:$U$1,$D5-1,0),MATCH(R$4,'Adjustment scenario'!$C$10:$U$10,0))</f>
        <v>54.512967034094977</v>
      </c>
      <c r="S5" s="269">
        <f ca="1">INDEX(OFFSET('Adjustment scenario'!$C$1:$U$1,$D5-1,0),MATCH(S$4,'Adjustment scenario'!$C$10:$U$10,0))</f>
        <v>56.263155518990189</v>
      </c>
      <c r="T5" s="269">
        <f ca="1">INDEX(OFFSET('Adjustment scenario'!$C$1:$U$1,$D5-1,0),MATCH(T$4,'Adjustment scenario'!$C$10:$U$10,0))</f>
        <v>58.028972819581085</v>
      </c>
      <c r="U5" s="269">
        <f ca="1">INDEX(OFFSET('Adjustment scenario'!$C$1:$U$1,$D5-1,0),MATCH(U$4,'Adjustment scenario'!$C$10:$U$10,0))</f>
        <v>59.856804371446188</v>
      </c>
      <c r="V5" s="269">
        <f ca="1">INDEX(OFFSET('Adjustment scenario'!$C$1:$U$1,$D5-1,0),MATCH(V$4,'Adjustment scenario'!$C$10:$U$10,0))</f>
        <v>61.737621749412</v>
      </c>
      <c r="W5" s="269">
        <f ca="1">INDEX(OFFSET('Adjustment scenario'!$C$1:$U$1,$D5-1,0),MATCH(W$4,'Adjustment scenario'!$C$10:$U$10,0))</f>
        <v>63.829039225036091</v>
      </c>
      <c r="X5" s="269">
        <f ca="1">INDEX(OFFSET('Adjustment scenario'!$C$1:$U$1,$D5-1,0),MATCH(X$4,'Adjustment scenario'!$C$10:$U$10,0))</f>
        <v>65.925997692788357</v>
      </c>
      <c r="Y5" s="186"/>
    </row>
    <row r="6" spans="1:25" x14ac:dyDescent="0.2">
      <c r="A6" s="186"/>
      <c r="B6" s="276">
        <v>2</v>
      </c>
      <c r="C6" s="280" t="s">
        <v>145</v>
      </c>
      <c r="D6" s="281">
        <v>77</v>
      </c>
      <c r="E6" s="282" t="s">
        <v>144</v>
      </c>
      <c r="F6" s="269">
        <f ca="1">INDEX(OFFSET('Adjustment scenario'!$C$1:$U$1,$D6-1,0),MATCH(F$4,'Adjustment scenario'!$C$10:$U$10,0))</f>
        <v>-0.94488970000000005</v>
      </c>
      <c r="G6" s="269">
        <f ca="1">INDEX(OFFSET('Adjustment scenario'!$C$1:$U$1,$D6-1,0),MATCH(G$4,'Adjustment scenario'!$C$10:$U$10,0))</f>
        <v>-1.8748091525852035</v>
      </c>
      <c r="H6" s="269">
        <f ca="1">INDEX(OFFSET('Adjustment scenario'!$C$1:$U$1,$D6-1,0),MATCH(H$4,'Adjustment scenario'!$C$10:$U$10,0))</f>
        <v>-2.6602742879216099</v>
      </c>
      <c r="I6" s="269">
        <f ca="1">INDEX(OFFSET('Adjustment scenario'!$C$1:$U$1,$D6-1,0),MATCH(I$4,'Adjustment scenario'!$C$10:$U$10,0))</f>
        <v>-1.8940193803137202</v>
      </c>
      <c r="J6" s="269">
        <f ca="1">INDEX(OFFSET('Adjustment scenario'!$C$1:$U$1,$D6-1,0),MATCH(J$4,'Adjustment scenario'!$C$10:$U$10,0))</f>
        <v>-1.7963389159861296</v>
      </c>
      <c r="K6" s="269">
        <f ca="1">INDEX(OFFSET('Adjustment scenario'!$C$1:$U$1,$D6-1,0),MATCH(K$4,'Adjustment scenario'!$C$10:$U$10,0))</f>
        <v>-1.6974466794921361</v>
      </c>
      <c r="L6" s="269">
        <f ca="1">INDEX(OFFSET('Adjustment scenario'!$C$1:$U$1,$D6-1,0),MATCH(L$4,'Adjustment scenario'!$C$10:$U$10,0))</f>
        <v>-1.7019935806106969</v>
      </c>
      <c r="M6" s="269">
        <f ca="1">INDEX(OFFSET('Adjustment scenario'!$C$1:$U$1,$D6-1,0),MATCH(M$4,'Adjustment scenario'!$C$10:$U$10,0))</f>
        <v>-2.0752804612210749</v>
      </c>
      <c r="N6" s="269">
        <f ca="1">INDEX(OFFSET('Adjustment scenario'!$C$1:$U$1,$D6-1,0),MATCH(N$4,'Adjustment scenario'!$C$10:$U$10,0))</f>
        <v>-2.3623065888178507</v>
      </c>
      <c r="O6" s="269">
        <f ca="1">INDEX(OFFSET('Adjustment scenario'!$C$1:$U$1,$D6-1,0),MATCH(O$4,'Adjustment scenario'!$C$10:$U$10,0))</f>
        <v>-2.5602216437301717</v>
      </c>
      <c r="P6" s="269">
        <f ca="1">INDEX(OFFSET('Adjustment scenario'!$C$1:$U$1,$D6-1,0),MATCH(P$4,'Adjustment scenario'!$C$10:$U$10,0))</f>
        <v>-2.7655434701884083</v>
      </c>
      <c r="Q6" s="269">
        <f ca="1">INDEX(OFFSET('Adjustment scenario'!$C$1:$U$1,$D6-1,0),MATCH(Q$4,'Adjustment scenario'!$C$10:$U$10,0))</f>
        <v>-2.9784144500823997</v>
      </c>
      <c r="R6" s="269">
        <f ca="1">INDEX(OFFSET('Adjustment scenario'!$C$1:$U$1,$D6-1,0),MATCH(R$4,'Adjustment scenario'!$C$10:$U$10,0))</f>
        <v>-3.2825083807234448</v>
      </c>
      <c r="S6" s="269">
        <f ca="1">INDEX(OFFSET('Adjustment scenario'!$C$1:$U$1,$D6-1,0),MATCH(S$4,'Adjustment scenario'!$C$10:$U$10,0))</f>
        <v>-3.5890114846692427</v>
      </c>
      <c r="T6" s="269">
        <f ca="1">INDEX(OFFSET('Adjustment scenario'!$C$1:$U$1,$D6-1,0),MATCH(T$4,'Adjustment scenario'!$C$10:$U$10,0))</f>
        <v>-3.6982897322467703</v>
      </c>
      <c r="U6" s="269">
        <f ca="1">INDEX(OFFSET('Adjustment scenario'!$C$1:$U$1,$D6-1,0),MATCH(U$4,'Adjustment scenario'!$C$10:$U$10,0))</f>
        <v>-3.901668237714583</v>
      </c>
      <c r="V6" s="269">
        <f ca="1">INDEX(OFFSET('Adjustment scenario'!$C$1:$U$1,$D6-1,0),MATCH(V$4,'Adjustment scenario'!$C$10:$U$10,0))</f>
        <v>-4.102965863387487</v>
      </c>
      <c r="W6" s="269">
        <f ca="1">INDEX(OFFSET('Adjustment scenario'!$C$1:$U$1,$D6-1,0),MATCH(W$4,'Adjustment scenario'!$C$10:$U$10,0))</f>
        <v>-4.4044875404778017</v>
      </c>
      <c r="X6" s="269">
        <f ca="1">INDEX(OFFSET('Adjustment scenario'!$C$1:$U$1,$D6-1,0),MATCH(X$4,'Adjustment scenario'!$C$10:$U$10,0))</f>
        <v>-4.5101801879365775</v>
      </c>
      <c r="Y6" s="186"/>
    </row>
    <row r="7" spans="1:25" x14ac:dyDescent="0.2">
      <c r="A7" s="186"/>
      <c r="B7" s="276">
        <v>3</v>
      </c>
      <c r="C7" s="280" t="s">
        <v>18</v>
      </c>
      <c r="D7" s="281">
        <v>12</v>
      </c>
      <c r="E7" s="282" t="s">
        <v>146</v>
      </c>
      <c r="F7" s="269">
        <f ca="1">INDEX(OFFSET('Adjustment scenario'!$C$1:$U$1,$D7-1,0),MATCH(F$4,'Adjustment scenario'!$C$10:$U$10,0))</f>
        <v>0.386237</v>
      </c>
      <c r="G7" s="269">
        <f ca="1">INDEX(OFFSET('Adjustment scenario'!$C$1:$U$1,$D7-1,0),MATCH(G$4,'Adjustment scenario'!$C$10:$U$10,0))</f>
        <v>-0.55773950000000005</v>
      </c>
      <c r="H7" s="269">
        <f ca="1">INDEX(OFFSET('Adjustment scenario'!$C$1:$U$1,$D7-1,0),MATCH(H$4,'Adjustment scenario'!$C$10:$U$10,0))</f>
        <v>-0.55773950000000005</v>
      </c>
      <c r="I7" s="269">
        <f ca="1">INDEX(OFFSET('Adjustment scenario'!$C$1:$U$1,$D7-1,0),MATCH(I$4,'Adjustment scenario'!$C$10:$U$10,0))</f>
        <v>-0.55773950000000005</v>
      </c>
      <c r="J7" s="269">
        <f ca="1">INDEX(OFFSET('Adjustment scenario'!$C$1:$U$1,$D7-1,0),MATCH(J$4,'Adjustment scenario'!$C$10:$U$10,0))</f>
        <v>-0.55773950000000005</v>
      </c>
      <c r="K7" s="269">
        <f ca="1">INDEX(OFFSET('Adjustment scenario'!$C$1:$U$1,$D7-1,0),MATCH(K$4,'Adjustment scenario'!$C$10:$U$10,0))</f>
        <v>-0.55773950000000005</v>
      </c>
      <c r="L7" s="269">
        <f ca="1">INDEX(OFFSET('Adjustment scenario'!$C$1:$U$1,$D7-1,0),MATCH(L$4,'Adjustment scenario'!$C$10:$U$10,0))</f>
        <v>-0.55773950000000005</v>
      </c>
      <c r="M7" s="269">
        <f ca="1">INDEX(OFFSET('Adjustment scenario'!$C$1:$U$1,$D7-1,0),MATCH(M$4,'Adjustment scenario'!$C$10:$U$10,0))</f>
        <v>-0.55773950000000005</v>
      </c>
      <c r="N7" s="269">
        <f ca="1">INDEX(OFFSET('Adjustment scenario'!$C$1:$U$1,$D7-1,0),MATCH(N$4,'Adjustment scenario'!$C$10:$U$10,0))</f>
        <v>-0.55773950000000005</v>
      </c>
      <c r="O7" s="269">
        <f ca="1">INDEX(OFFSET('Adjustment scenario'!$C$1:$U$1,$D7-1,0),MATCH(O$4,'Adjustment scenario'!$C$10:$U$10,0))</f>
        <v>-0.55773950000000005</v>
      </c>
      <c r="P7" s="269">
        <f ca="1">INDEX(OFFSET('Adjustment scenario'!$C$1:$U$1,$D7-1,0),MATCH(P$4,'Adjustment scenario'!$C$10:$U$10,0))</f>
        <v>-0.55773950000000005</v>
      </c>
      <c r="Q7" s="269">
        <f ca="1">INDEX(OFFSET('Adjustment scenario'!$C$1:$U$1,$D7-1,0),MATCH(Q$4,'Adjustment scenario'!$C$10:$U$10,0))</f>
        <v>-0.55773950000000005</v>
      </c>
      <c r="R7" s="269">
        <f ca="1">INDEX(OFFSET('Adjustment scenario'!$C$1:$U$1,$D7-1,0),MATCH(R$4,'Adjustment scenario'!$C$10:$U$10,0))</f>
        <v>-0.55773950000000005</v>
      </c>
      <c r="S7" s="269">
        <f ca="1">INDEX(OFFSET('Adjustment scenario'!$C$1:$U$1,$D7-1,0),MATCH(S$4,'Adjustment scenario'!$C$10:$U$10,0))</f>
        <v>-0.55773950000000005</v>
      </c>
      <c r="T7" s="269">
        <f ca="1">INDEX(OFFSET('Adjustment scenario'!$C$1:$U$1,$D7-1,0),MATCH(T$4,'Adjustment scenario'!$C$10:$U$10,0))</f>
        <v>-0.55773950000000005</v>
      </c>
      <c r="U7" s="269">
        <f ca="1">INDEX(OFFSET('Adjustment scenario'!$C$1:$U$1,$D7-1,0),MATCH(U$4,'Adjustment scenario'!$C$10:$U$10,0))</f>
        <v>-0.55773950000000005</v>
      </c>
      <c r="V7" s="269">
        <f ca="1">INDEX(OFFSET('Adjustment scenario'!$C$1:$U$1,$D7-1,0),MATCH(V$4,'Adjustment scenario'!$C$10:$U$10,0))</f>
        <v>-0.55773950000000005</v>
      </c>
      <c r="W7" s="269">
        <f ca="1">INDEX(OFFSET('Adjustment scenario'!$C$1:$U$1,$D7-1,0),MATCH(W$4,'Adjustment scenario'!$C$10:$U$10,0))</f>
        <v>-0.55773950000000005</v>
      </c>
      <c r="X7" s="269">
        <f ca="1">INDEX(OFFSET('Adjustment scenario'!$C$1:$U$1,$D7-1,0),MATCH(X$4,'Adjustment scenario'!$C$10:$U$10,0))</f>
        <v>-0.55773950000000005</v>
      </c>
      <c r="Y7" s="186"/>
    </row>
    <row r="8" spans="1:25" x14ac:dyDescent="0.2">
      <c r="A8" s="186"/>
      <c r="B8" s="276">
        <v>4</v>
      </c>
      <c r="C8" s="280" t="s">
        <v>147</v>
      </c>
      <c r="D8" s="281">
        <v>62</v>
      </c>
      <c r="E8" s="282" t="s">
        <v>146</v>
      </c>
      <c r="F8" s="269">
        <f ca="1">INDEX(OFFSET('Adjustment scenario'!$C$1:$U$1,$D8-1,0),MATCH(F$4,'Adjustment scenario'!$C$10:$U$10,0))</f>
        <v>0</v>
      </c>
      <c r="G8" s="269">
        <f ca="1">INDEX(OFFSET('Adjustment scenario'!$C$1:$U$1,$D8-1,0),MATCH(G$4,'Adjustment scenario'!$C$10:$U$10,0))</f>
        <v>0.57430420917396185</v>
      </c>
      <c r="H8" s="269">
        <f ca="1">INDEX(OFFSET('Adjustment scenario'!$C$1:$U$1,$D8-1,0),MATCH(H$4,'Adjustment scenario'!$C$10:$U$10,0))</f>
        <v>0.66441172309966023</v>
      </c>
      <c r="I8" s="269">
        <f ca="1">INDEX(OFFSET('Adjustment scenario'!$C$1:$U$1,$D8-1,0),MATCH(I$4,'Adjustment scenario'!$C$10:$U$10,0))</f>
        <v>0.49370468565226816</v>
      </c>
      <c r="J8" s="269">
        <f ca="1">INDEX(OFFSET('Adjustment scenario'!$C$1:$U$1,$D8-1,0),MATCH(J$4,'Adjustment scenario'!$C$10:$U$10,0))</f>
        <v>0.32913858062013429</v>
      </c>
      <c r="K8" s="269">
        <f ca="1">INDEX(OFFSET('Adjustment scenario'!$C$1:$U$1,$D8-1,0),MATCH(K$4,'Adjustment scenario'!$C$10:$U$10,0))</f>
        <v>0.16456822422782991</v>
      </c>
      <c r="L8" s="269">
        <f ca="1">INDEX(OFFSET('Adjustment scenario'!$C$1:$U$1,$D8-1,0),MATCH(L$4,'Adjustment scenario'!$C$10:$U$10,0))</f>
        <v>6.0044019600802301E-7</v>
      </c>
      <c r="M8" s="269">
        <f ca="1">INDEX(OFFSET('Adjustment scenario'!$C$1:$U$1,$D8-1,0),MATCH(M$4,'Adjustment scenario'!$C$10:$U$10,0))</f>
        <v>1.7976405874975399E-6</v>
      </c>
      <c r="N8" s="269">
        <f ca="1">INDEX(OFFSET('Adjustment scenario'!$C$1:$U$1,$D8-1,0),MATCH(N$4,'Adjustment scenario'!$C$10:$U$10,0))</f>
        <v>1.7976405874975399E-6</v>
      </c>
      <c r="O8" s="269">
        <f ca="1">INDEX(OFFSET('Adjustment scenario'!$C$1:$U$1,$D8-1,0),MATCH(O$4,'Adjustment scenario'!$C$10:$U$10,0))</f>
        <v>1.1987049993167354E-6</v>
      </c>
      <c r="P8" s="269">
        <f ca="1">INDEX(OFFSET('Adjustment scenario'!$C$1:$U$1,$D8-1,0),MATCH(P$4,'Adjustment scenario'!$C$10:$U$10,0))</f>
        <v>2.3964094164607985E-6</v>
      </c>
      <c r="Q8" s="269">
        <f ca="1">INDEX(OFFSET('Adjustment scenario'!$C$1:$U$1,$D8-1,0),MATCH(Q$4,'Adjustment scenario'!$C$10:$U$10,0))</f>
        <v>-1.1956956963432575E-6</v>
      </c>
      <c r="R8" s="269">
        <f ca="1">INDEX(OFFSET('Adjustment scenario'!$C$1:$U$1,$D8-1,0),MATCH(R$4,'Adjustment scenario'!$C$10:$U$10,0))</f>
        <v>-2.3921365062129496E-6</v>
      </c>
      <c r="S8" s="269">
        <f ca="1">INDEX(OFFSET('Adjustment scenario'!$C$1:$U$1,$D8-1,0),MATCH(S$4,'Adjustment scenario'!$C$10:$U$10,0))</f>
        <v>-5.9786803633388175E-6</v>
      </c>
      <c r="T8" s="269">
        <f ca="1">INDEX(OFFSET('Adjustment scenario'!$C$1:$U$1,$D8-1,0),MATCH(T$4,'Adjustment scenario'!$C$10:$U$10,0))</f>
        <v>-6.5759753409277977E-6</v>
      </c>
      <c r="U8" s="269">
        <f ca="1">INDEX(OFFSET('Adjustment scenario'!$C$1:$U$1,$D8-1,0),MATCH(U$4,'Adjustment scenario'!$C$10:$U$10,0))</f>
        <v>-7.1723282804025956E-6</v>
      </c>
      <c r="V8" s="269">
        <f ca="1">INDEX(OFFSET('Adjustment scenario'!$C$1:$U$1,$D8-1,0),MATCH(V$4,'Adjustment scenario'!$C$10:$U$10,0))</f>
        <v>-4.7906726517998877E-6</v>
      </c>
      <c r="W8" s="269">
        <f ca="1">INDEX(OFFSET('Adjustment scenario'!$C$1:$U$1,$D8-1,0),MATCH(W$4,'Adjustment scenario'!$C$10:$U$10,0))</f>
        <v>-1.8150674530037492E-6</v>
      </c>
      <c r="X8" s="269">
        <f ca="1">INDEX(OFFSET('Adjustment scenario'!$C$1:$U$1,$D8-1,0),MATCH(X$4,'Adjustment scenario'!$C$10:$U$10,0))</f>
        <v>-4.1943812789657642E-6</v>
      </c>
      <c r="Y8" s="186"/>
    </row>
    <row r="9" spans="1:25" x14ac:dyDescent="0.2">
      <c r="A9" s="186"/>
      <c r="B9" s="276">
        <v>5</v>
      </c>
      <c r="C9" s="280" t="s">
        <v>148</v>
      </c>
      <c r="D9" s="281">
        <v>14</v>
      </c>
      <c r="E9" s="282" t="s">
        <v>144</v>
      </c>
      <c r="F9" s="269">
        <f ca="1">INDEX(OFFSET('Adjustment scenario'!$C$1:$U$1,$D9-1,0),MATCH(F$4,'Adjustment scenario'!$C$10:$U$10,0))</f>
        <v>-2.6727000000000001E-2</v>
      </c>
      <c r="G9" s="269">
        <f ca="1">INDEX(OFFSET('Adjustment scenario'!$C$1:$U$1,$D9-1,0),MATCH(G$4,'Adjustment scenario'!$C$10:$U$10,0))</f>
        <v>-2.54775E-2</v>
      </c>
      <c r="H9" s="269">
        <f ca="1">INDEX(OFFSET('Adjustment scenario'!$C$1:$U$1,$D9-1,0),MATCH(H$4,'Adjustment scenario'!$C$10:$U$10,0))</f>
        <v>-0.69010419999999995</v>
      </c>
      <c r="I9" s="269">
        <f ca="1">INDEX(OFFSET('Adjustment scenario'!$C$1:$U$1,$D9-1,0),MATCH(I$4,'Adjustment scenario'!$C$10:$U$10,0))</f>
        <v>0</v>
      </c>
      <c r="J9" s="269">
        <f ca="1">INDEX(OFFSET('Adjustment scenario'!$C$1:$U$1,$D9-1,0),MATCH(J$4,'Adjustment scenario'!$C$10:$U$10,0))</f>
        <v>0</v>
      </c>
      <c r="K9" s="269">
        <f ca="1">INDEX(OFFSET('Adjustment scenario'!$C$1:$U$1,$D9-1,0),MATCH(K$4,'Adjustment scenario'!$C$10:$U$10,0))</f>
        <v>0</v>
      </c>
      <c r="L9" s="269">
        <f ca="1">INDEX(OFFSET('Adjustment scenario'!$C$1:$U$1,$D9-1,0),MATCH(L$4,'Adjustment scenario'!$C$10:$U$10,0))</f>
        <v>0</v>
      </c>
      <c r="M9" s="269">
        <f ca="1">INDEX(OFFSET('Adjustment scenario'!$C$1:$U$1,$D9-1,0),MATCH(M$4,'Adjustment scenario'!$C$10:$U$10,0))</f>
        <v>0</v>
      </c>
      <c r="N9" s="269">
        <f ca="1">INDEX(OFFSET('Adjustment scenario'!$C$1:$U$1,$D9-1,0),MATCH(N$4,'Adjustment scenario'!$C$10:$U$10,0))</f>
        <v>0</v>
      </c>
      <c r="O9" s="269">
        <f ca="1">INDEX(OFFSET('Adjustment scenario'!$C$1:$U$1,$D9-1,0),MATCH(O$4,'Adjustment scenario'!$C$10:$U$10,0))</f>
        <v>0</v>
      </c>
      <c r="P9" s="269">
        <f ca="1">INDEX(OFFSET('Adjustment scenario'!$C$1:$U$1,$D9-1,0),MATCH(P$4,'Adjustment scenario'!$C$10:$U$10,0))</f>
        <v>0</v>
      </c>
      <c r="Q9" s="269">
        <f ca="1">INDEX(OFFSET('Adjustment scenario'!$C$1:$U$1,$D9-1,0),MATCH(Q$4,'Adjustment scenario'!$C$10:$U$10,0))</f>
        <v>0</v>
      </c>
      <c r="R9" s="269">
        <f ca="1">INDEX(OFFSET('Adjustment scenario'!$C$1:$U$1,$D9-1,0),MATCH(R$4,'Adjustment scenario'!$C$10:$U$10,0))</f>
        <v>0</v>
      </c>
      <c r="S9" s="269">
        <f ca="1">INDEX(OFFSET('Adjustment scenario'!$C$1:$U$1,$D9-1,0),MATCH(S$4,'Adjustment scenario'!$C$10:$U$10,0))</f>
        <v>0</v>
      </c>
      <c r="T9" s="269">
        <f ca="1">INDEX(OFFSET('Adjustment scenario'!$C$1:$U$1,$D9-1,0),MATCH(T$4,'Adjustment scenario'!$C$10:$U$10,0))</f>
        <v>0</v>
      </c>
      <c r="U9" s="269">
        <f ca="1">INDEX(OFFSET('Adjustment scenario'!$C$1:$U$1,$D9-1,0),MATCH(U$4,'Adjustment scenario'!$C$10:$U$10,0))</f>
        <v>0</v>
      </c>
      <c r="V9" s="269">
        <f ca="1">INDEX(OFFSET('Adjustment scenario'!$C$1:$U$1,$D9-1,0),MATCH(V$4,'Adjustment scenario'!$C$10:$U$10,0))</f>
        <v>0</v>
      </c>
      <c r="W9" s="269">
        <f ca="1">INDEX(OFFSET('Adjustment scenario'!$C$1:$U$1,$D9-1,0),MATCH(W$4,'Adjustment scenario'!$C$10:$U$10,0))</f>
        <v>0</v>
      </c>
      <c r="X9" s="269">
        <f ca="1">INDEX(OFFSET('Adjustment scenario'!$C$1:$U$1,$D9-1,0),MATCH(X$4,'Adjustment scenario'!$C$10:$U$10,0))</f>
        <v>0</v>
      </c>
      <c r="Y9" s="186"/>
    </row>
    <row r="10" spans="1:25" x14ac:dyDescent="0.2">
      <c r="A10" s="186"/>
      <c r="B10" s="276">
        <v>6</v>
      </c>
      <c r="C10" s="280" t="s">
        <v>149</v>
      </c>
      <c r="D10" s="281">
        <v>68</v>
      </c>
      <c r="E10" s="282" t="s">
        <v>144</v>
      </c>
      <c r="F10" s="269">
        <f ca="1">INDEX(OFFSET('Adjustment scenario'!$C$1:$U$1,$D10-1,0),MATCH(F$4,'Adjustment scenario'!$C$10:$U$10,0))</f>
        <v>0</v>
      </c>
      <c r="G10" s="269">
        <f ca="1">INDEX(OFFSET('Adjustment scenario'!$C$1:$U$1,$D10-1,0),MATCH(G$4,'Adjustment scenario'!$C$10:$U$10,0))</f>
        <v>0.71728822977332674</v>
      </c>
      <c r="H10" s="269">
        <f ca="1">INDEX(OFFSET('Adjustment scenario'!$C$1:$U$1,$D10-1,0),MATCH(H$4,'Adjustment scenario'!$C$10:$U$10,0))</f>
        <v>0.74801828719034313</v>
      </c>
      <c r="I10" s="269">
        <f ca="1">INDEX(OFFSET('Adjustment scenario'!$C$1:$U$1,$D10-1,0),MATCH(I$4,'Adjustment scenario'!$C$10:$U$10,0))</f>
        <v>0.84257493081209656</v>
      </c>
      <c r="J10" s="269">
        <f ca="1">INDEX(OFFSET('Adjustment scenario'!$C$1:$U$1,$D10-1,0),MATCH(J$4,'Adjustment scenario'!$C$10:$U$10,0))</f>
        <v>0.90946083536599531</v>
      </c>
      <c r="K10" s="269">
        <f ca="1">INDEX(OFFSET('Adjustment scenario'!$C$1:$U$1,$D10-1,0),MATCH(K$4,'Adjustment scenario'!$C$10:$U$10,0))</f>
        <v>0.97513895526430605</v>
      </c>
      <c r="L10" s="269">
        <f ca="1">INDEX(OFFSET('Adjustment scenario'!$C$1:$U$1,$D10-1,0),MATCH(L$4,'Adjustment scenario'!$C$10:$U$10,0))</f>
        <v>1.0385130801704994</v>
      </c>
      <c r="M10" s="269">
        <f ca="1">INDEX(OFFSET('Adjustment scenario'!$C$1:$U$1,$D10-1,0),MATCH(M$4,'Adjustment scenario'!$C$10:$U$10,0))</f>
        <v>1.1060584635804851</v>
      </c>
      <c r="N10" s="269">
        <f ca="1">INDEX(OFFSET('Adjustment scenario'!$C$1:$U$1,$D10-1,0),MATCH(N$4,'Adjustment scenario'!$C$10:$U$10,0))</f>
        <v>1.187344291177262</v>
      </c>
      <c r="O10" s="269">
        <f ca="1">INDEX(OFFSET('Adjustment scenario'!$C$1:$U$1,$D10-1,0),MATCH(O$4,'Adjustment scenario'!$C$10:$U$10,0))</f>
        <v>1.2795196450251696</v>
      </c>
      <c r="P10" s="269">
        <f ca="1">INDEX(OFFSET('Adjustment scenario'!$C$1:$U$1,$D10-1,0),MATCH(P$4,'Adjustment scenario'!$C$10:$U$10,0))</f>
        <v>1.3790999737789913</v>
      </c>
      <c r="Q10" s="269">
        <f ca="1">INDEX(OFFSET('Adjustment scenario'!$C$1:$U$1,$D10-1,0),MATCH(Q$4,'Adjustment scenario'!$C$10:$U$10,0))</f>
        <v>1.4862341457780941</v>
      </c>
      <c r="R10" s="269">
        <f ca="1">INDEX(OFFSET('Adjustment scenario'!$C$1:$U$1,$D10-1,0),MATCH(R$4,'Adjustment scenario'!$C$10:$U$10,0))</f>
        <v>1.5845889728599494</v>
      </c>
      <c r="S10" s="269">
        <f ca="1">INDEX(OFFSET('Adjustment scenario'!$C$1:$U$1,$D10-1,0),MATCH(S$4,'Adjustment scenario'!$C$10:$U$10,0))</f>
        <v>1.6853554633496055</v>
      </c>
      <c r="T10" s="269">
        <f ca="1">INDEX(OFFSET('Adjustment scenario'!$C$1:$U$1,$D10-1,0),MATCH(T$4,'Adjustment scenario'!$C$10:$U$10,0))</f>
        <v>1.7888939082221103</v>
      </c>
      <c r="U10" s="269">
        <f ca="1">INDEX(OFFSET('Adjustment scenario'!$C$1:$U$1,$D10-1,0),MATCH(U$4,'Adjustment scenario'!$C$10:$U$10,0))</f>
        <v>1.886532710042861</v>
      </c>
      <c r="V10" s="269">
        <f ca="1">INDEX(OFFSET('Adjustment scenario'!$C$1:$U$1,$D10-1,0),MATCH(V$4,'Adjustment scenario'!$C$10:$U$10,0))</f>
        <v>1.9820876540601382</v>
      </c>
      <c r="W10" s="269">
        <f ca="1">INDEX(OFFSET('Adjustment scenario'!$C$1:$U$1,$D10-1,0),MATCH(W$4,'Adjustment scenario'!$C$10:$U$10,0))</f>
        <v>2.0778660555452517</v>
      </c>
      <c r="X10" s="269">
        <f ca="1">INDEX(OFFSET('Adjustment scenario'!$C$1:$U$1,$D10-1,0),MATCH(X$4,'Adjustment scenario'!$C$10:$U$10,0))</f>
        <v>2.1778207823178537</v>
      </c>
      <c r="Y10" s="186"/>
    </row>
    <row r="11" spans="1:25" x14ac:dyDescent="0.2">
      <c r="A11" s="186"/>
      <c r="B11" s="276">
        <v>7</v>
      </c>
      <c r="C11" s="283" t="s">
        <v>61</v>
      </c>
      <c r="D11" s="281">
        <v>37</v>
      </c>
      <c r="E11" s="282" t="s">
        <v>150</v>
      </c>
      <c r="F11" s="269">
        <f ca="1">INDEX(OFFSET('Adjustment scenario'!$C$1:$U$1,$D11-1,0),MATCH(F$4,'Adjustment scenario'!$C$10:$U$10,0))</f>
        <v>2.6204999999999998</v>
      </c>
      <c r="G11" s="269">
        <f ca="1">INDEX(OFFSET('Adjustment scenario'!$C$1:$U$1,$D11-1,0),MATCH(G$4,'Adjustment scenario'!$C$10:$U$10,0))</f>
        <v>2.78965</v>
      </c>
      <c r="H11" s="269">
        <f ca="1">INDEX(OFFSET('Adjustment scenario'!$C$1:$U$1,$D11-1,0),MATCH(H$4,'Adjustment scenario'!$C$10:$U$10,0))</f>
        <v>2.8949530000000001</v>
      </c>
      <c r="I11" s="269">
        <f ca="1">INDEX(OFFSET('Adjustment scenario'!$C$1:$U$1,$D11-1,0),MATCH(I$4,'Adjustment scenario'!$C$10:$U$10,0))</f>
        <v>3.0816759999999999</v>
      </c>
      <c r="J11" s="269">
        <f ca="1">INDEX(OFFSET('Adjustment scenario'!$C$1:$U$1,$D11-1,0),MATCH(J$4,'Adjustment scenario'!$C$10:$U$10,0))</f>
        <v>3.188669</v>
      </c>
      <c r="K11" s="269">
        <f ca="1">INDEX(OFFSET('Adjustment scenario'!$C$1:$U$1,$D11-1,0),MATCH(K$4,'Adjustment scenario'!$C$10:$U$10,0))</f>
        <v>3.2956620000000001</v>
      </c>
      <c r="L11" s="269">
        <f ca="1">INDEX(OFFSET('Adjustment scenario'!$C$1:$U$1,$D11-1,0),MATCH(L$4,'Adjustment scenario'!$C$10:$U$10,0))</f>
        <v>3.4026550000000002</v>
      </c>
      <c r="M11" s="269">
        <f ca="1">INDEX(OFFSET('Adjustment scenario'!$C$1:$U$1,$D11-1,0),MATCH(M$4,'Adjustment scenario'!$C$10:$U$10,0))</f>
        <v>3.5096480000000003</v>
      </c>
      <c r="N11" s="269">
        <f ca="1">INDEX(OFFSET('Adjustment scenario'!$C$1:$U$1,$D11-1,0),MATCH(N$4,'Adjustment scenario'!$C$10:$U$10,0))</f>
        <v>3.6166410000000004</v>
      </c>
      <c r="O11" s="269">
        <f ca="1">INDEX(OFFSET('Adjustment scenario'!$C$1:$U$1,$D11-1,0),MATCH(O$4,'Adjustment scenario'!$C$10:$U$10,0))</f>
        <v>3.7236340000000006</v>
      </c>
      <c r="P11" s="269">
        <f ca="1">INDEX(OFFSET('Adjustment scenario'!$C$1:$U$1,$D11-1,0),MATCH(P$4,'Adjustment scenario'!$C$10:$U$10,0))</f>
        <v>3.8306270000000007</v>
      </c>
      <c r="Q11" s="269">
        <f ca="1">INDEX(OFFSET('Adjustment scenario'!$C$1:$U$1,$D11-1,0),MATCH(Q$4,'Adjustment scenario'!$C$10:$U$10,0))</f>
        <v>3.9376199999999999</v>
      </c>
      <c r="R11" s="269">
        <f ca="1">INDEX(OFFSET('Adjustment scenario'!$C$1:$U$1,$D11-1,0),MATCH(R$4,'Adjustment scenario'!$C$10:$U$10,0))</f>
        <v>3.9407389999999998</v>
      </c>
      <c r="S11" s="269">
        <f ca="1">INDEX(OFFSET('Adjustment scenario'!$C$1:$U$1,$D11-1,0),MATCH(S$4,'Adjustment scenario'!$C$10:$U$10,0))</f>
        <v>3.9438580000000001</v>
      </c>
      <c r="T11" s="269">
        <f ca="1">INDEX(OFFSET('Adjustment scenario'!$C$1:$U$1,$D11-1,0),MATCH(T$4,'Adjustment scenario'!$C$10:$U$10,0))</f>
        <v>3.946977</v>
      </c>
      <c r="U11" s="269">
        <f ca="1">INDEX(OFFSET('Adjustment scenario'!$C$1:$U$1,$D11-1,0),MATCH(U$4,'Adjustment scenario'!$C$10:$U$10,0))</f>
        <v>3.9500959999999998</v>
      </c>
      <c r="V11" s="269">
        <f ca="1">INDEX(OFFSET('Adjustment scenario'!$C$1:$U$1,$D11-1,0),MATCH(V$4,'Adjustment scenario'!$C$10:$U$10,0))</f>
        <v>3.9532150000000001</v>
      </c>
      <c r="W11" s="269">
        <f ca="1">INDEX(OFFSET('Adjustment scenario'!$C$1:$U$1,$D11-1,0),MATCH(W$4,'Adjustment scenario'!$C$10:$U$10,0))</f>
        <v>3.956334</v>
      </c>
      <c r="X11" s="269">
        <f ca="1">INDEX(OFFSET('Adjustment scenario'!$C$1:$U$1,$D11-1,0),MATCH(X$4,'Adjustment scenario'!$C$10:$U$10,0))</f>
        <v>3.9594529999999999</v>
      </c>
      <c r="Y11" s="186"/>
    </row>
    <row r="12" spans="1:25" x14ac:dyDescent="0.2">
      <c r="A12" s="186"/>
      <c r="B12" s="276">
        <v>8</v>
      </c>
      <c r="C12" s="283" t="s">
        <v>62</v>
      </c>
      <c r="D12" s="281">
        <v>38</v>
      </c>
      <c r="E12" s="282" t="s">
        <v>150</v>
      </c>
      <c r="F12" s="269">
        <f ca="1">INDEX(OFFSET('Adjustment scenario'!$C$1:$U$1,$D12-1,0),MATCH(F$4,'Adjustment scenario'!$C$10:$U$10,0))</f>
        <v>3.5708329999999999</v>
      </c>
      <c r="G12" s="269">
        <f ca="1">INDEX(OFFSET('Adjustment scenario'!$C$1:$U$1,$D12-1,0),MATCH(G$4,'Adjustment scenario'!$C$10:$U$10,0))</f>
        <v>2.1725829999999999</v>
      </c>
      <c r="H12" s="269">
        <f ca="1">INDEX(OFFSET('Adjustment scenario'!$C$1:$U$1,$D12-1,0),MATCH(H$4,'Adjustment scenario'!$C$10:$U$10,0))</f>
        <v>1.91225</v>
      </c>
      <c r="I12" s="269">
        <f ca="1">INDEX(OFFSET('Adjustment scenario'!$C$1:$U$1,$D12-1,0),MATCH(I$4,'Adjustment scenario'!$C$10:$U$10,0))</f>
        <v>2.024375</v>
      </c>
      <c r="J12" s="269">
        <f ca="1">INDEX(OFFSET('Adjustment scenario'!$C$1:$U$1,$D12-1,0),MATCH(J$4,'Adjustment scenario'!$C$10:$U$10,0))</f>
        <v>2.1784318750000002</v>
      </c>
      <c r="K12" s="269">
        <f ca="1">INDEX(OFFSET('Adjustment scenario'!$C$1:$U$1,$D12-1,0),MATCH(K$4,'Adjustment scenario'!$C$10:$U$10,0))</f>
        <v>2.3324887500000004</v>
      </c>
      <c r="L12" s="269">
        <f ca="1">INDEX(OFFSET('Adjustment scenario'!$C$1:$U$1,$D12-1,0),MATCH(L$4,'Adjustment scenario'!$C$10:$U$10,0))</f>
        <v>2.4865456250000006</v>
      </c>
      <c r="M12" s="269">
        <f ca="1">INDEX(OFFSET('Adjustment scenario'!$C$1:$U$1,$D12-1,0),MATCH(M$4,'Adjustment scenario'!$C$10:$U$10,0))</f>
        <v>2.6406025000000009</v>
      </c>
      <c r="N12" s="269">
        <f ca="1">INDEX(OFFSET('Adjustment scenario'!$C$1:$U$1,$D12-1,0),MATCH(N$4,'Adjustment scenario'!$C$10:$U$10,0))</f>
        <v>2.7946593750000011</v>
      </c>
      <c r="O12" s="269">
        <f ca="1">INDEX(OFFSET('Adjustment scenario'!$C$1:$U$1,$D12-1,0),MATCH(O$4,'Adjustment scenario'!$C$10:$U$10,0))</f>
        <v>2.9487162500000013</v>
      </c>
      <c r="P12" s="269">
        <f ca="1">INDEX(OFFSET('Adjustment scenario'!$C$1:$U$1,$D12-1,0),MATCH(P$4,'Adjustment scenario'!$C$10:$U$10,0))</f>
        <v>3.1027731250000015</v>
      </c>
      <c r="Q12" s="269">
        <f ca="1">INDEX(OFFSET('Adjustment scenario'!$C$1:$U$1,$D12-1,0),MATCH(Q$4,'Adjustment scenario'!$C$10:$U$10,0))</f>
        <v>3.2568299999999999</v>
      </c>
      <c r="R12" s="269">
        <f ca="1">INDEX(OFFSET('Adjustment scenario'!$C$1:$U$1,$D12-1,0),MATCH(R$4,'Adjustment scenario'!$C$10:$U$10,0))</f>
        <v>3.1939884999999997</v>
      </c>
      <c r="S12" s="269">
        <f ca="1">INDEX(OFFSET('Adjustment scenario'!$C$1:$U$1,$D12-1,0),MATCH(S$4,'Adjustment scenario'!$C$10:$U$10,0))</f>
        <v>3.1311469999999999</v>
      </c>
      <c r="T12" s="269">
        <f ca="1">INDEX(OFFSET('Adjustment scenario'!$C$1:$U$1,$D12-1,0),MATCH(T$4,'Adjustment scenario'!$C$10:$U$10,0))</f>
        <v>3.0683055000000001</v>
      </c>
      <c r="U12" s="269">
        <f ca="1">INDEX(OFFSET('Adjustment scenario'!$C$1:$U$1,$D12-1,0),MATCH(U$4,'Adjustment scenario'!$C$10:$U$10,0))</f>
        <v>3.0054639999999999</v>
      </c>
      <c r="V12" s="269">
        <f ca="1">INDEX(OFFSET('Adjustment scenario'!$C$1:$U$1,$D12-1,0),MATCH(V$4,'Adjustment scenario'!$C$10:$U$10,0))</f>
        <v>2.9426224999999997</v>
      </c>
      <c r="W12" s="269">
        <f ca="1">INDEX(OFFSET('Adjustment scenario'!$C$1:$U$1,$D12-1,0),MATCH(W$4,'Adjustment scenario'!$C$10:$U$10,0))</f>
        <v>2.8797809999999999</v>
      </c>
      <c r="X12" s="269">
        <f ca="1">INDEX(OFFSET('Adjustment scenario'!$C$1:$U$1,$D12-1,0),MATCH(X$4,'Adjustment scenario'!$C$10:$U$10,0))</f>
        <v>2.8169395000000002</v>
      </c>
      <c r="Y12" s="186"/>
    </row>
    <row r="13" spans="1:25" x14ac:dyDescent="0.2">
      <c r="A13" s="186"/>
      <c r="B13" s="276">
        <v>9</v>
      </c>
      <c r="C13" s="280" t="s">
        <v>151</v>
      </c>
      <c r="D13" s="281">
        <v>36</v>
      </c>
      <c r="E13" s="282" t="s">
        <v>150</v>
      </c>
      <c r="F13" s="269">
        <f ca="1">INDEX(OFFSET('Adjustment scenario'!$C$1:$U$1,$D13-1,0),MATCH(F$4,'Adjustment scenario'!$C$10:$U$10,0))</f>
        <v>1.6465860000000001</v>
      </c>
      <c r="G13" s="269">
        <f ca="1">INDEX(OFFSET('Adjustment scenario'!$C$1:$U$1,$D13-1,0),MATCH(G$4,'Adjustment scenario'!$C$10:$U$10,0))</f>
        <v>1.72</v>
      </c>
      <c r="H13" s="269">
        <f ca="1">INDEX(OFFSET('Adjustment scenario'!$C$1:$U$1,$D13-1,0),MATCH(H$4,'Adjustment scenario'!$C$10:$U$10,0))</f>
        <v>1.7322979999999999</v>
      </c>
      <c r="I13" s="269">
        <f ca="1">INDEX(OFFSET('Adjustment scenario'!$C$1:$U$1,$D13-1,0),MATCH(I$4,'Adjustment scenario'!$C$10:$U$10,0))</f>
        <v>1.8261286864640409</v>
      </c>
      <c r="J13" s="269">
        <f ca="1">INDEX(OFFSET('Adjustment scenario'!$C$1:$U$1,$D13-1,0),MATCH(J$4,'Adjustment scenario'!$C$10:$U$10,0))</f>
        <v>1.9630296945412431</v>
      </c>
      <c r="K13" s="269">
        <f ca="1">INDEX(OFFSET('Adjustment scenario'!$C$1:$U$1,$D13-1,0),MATCH(K$4,'Adjustment scenario'!$C$10:$U$10,0))</f>
        <v>2.0990021112154578</v>
      </c>
      <c r="L13" s="269">
        <f ca="1">INDEX(OFFSET('Adjustment scenario'!$C$1:$U$1,$D13-1,0),MATCH(L$4,'Adjustment scenario'!$C$10:$U$10,0))</f>
        <v>2.2341189502873262</v>
      </c>
      <c r="M13" s="269">
        <f ca="1">INDEX(OFFSET('Adjustment scenario'!$C$1:$U$1,$D13-1,0),MATCH(M$4,'Adjustment scenario'!$C$10:$U$10,0))</f>
        <v>2.3707682654718401</v>
      </c>
      <c r="N13" s="269">
        <f ca="1">INDEX(OFFSET('Adjustment scenario'!$C$1:$U$1,$D13-1,0),MATCH(N$4,'Adjustment scenario'!$C$10:$U$10,0))</f>
        <v>2.5163135145761926</v>
      </c>
      <c r="O13" s="269">
        <f ca="1">INDEX(OFFSET('Adjustment scenario'!$C$1:$U$1,$D13-1,0),MATCH(O$4,'Adjustment scenario'!$C$10:$U$10,0))</f>
        <v>2.6668445435221684</v>
      </c>
      <c r="P13" s="269">
        <f ca="1">INDEX(OFFSET('Adjustment scenario'!$C$1:$U$1,$D13-1,0),MATCH(P$4,'Adjustment scenario'!$C$10:$U$10,0))</f>
        <v>2.8190428021329632</v>
      </c>
      <c r="Q13" s="269">
        <f ca="1">INDEX(OFFSET('Adjustment scenario'!$C$1:$U$1,$D13-1,0),MATCH(Q$4,'Adjustment scenario'!$C$10:$U$10,0))</f>
        <v>2.9720714048098702</v>
      </c>
      <c r="R13" s="269">
        <f ca="1">INDEX(OFFSET('Adjustment scenario'!$C$1:$U$1,$D13-1,0),MATCH(R$4,'Adjustment scenario'!$C$10:$U$10,0))</f>
        <v>3.0930602897416488</v>
      </c>
      <c r="S13" s="269">
        <f ca="1">INDEX(OFFSET('Adjustment scenario'!$C$1:$U$1,$D13-1,0),MATCH(S$4,'Adjustment scenario'!$C$10:$U$10,0))</f>
        <v>3.1995877564739863</v>
      </c>
      <c r="T13" s="269">
        <f ca="1">INDEX(OFFSET('Adjustment scenario'!$C$1:$U$1,$D13-1,0),MATCH(T$4,'Adjustment scenario'!$C$10:$U$10,0))</f>
        <v>3.2926033809413693</v>
      </c>
      <c r="U13" s="269">
        <f ca="1">INDEX(OFFSET('Adjustment scenario'!$C$1:$U$1,$D13-1,0),MATCH(U$4,'Adjustment scenario'!$C$10:$U$10,0))</f>
        <v>3.371509463463886</v>
      </c>
      <c r="V13" s="269">
        <f ca="1">INDEX(OFFSET('Adjustment scenario'!$C$1:$U$1,$D13-1,0),MATCH(V$4,'Adjustment scenario'!$C$10:$U$10,0))</f>
        <v>3.4390552413114404</v>
      </c>
      <c r="W13" s="269">
        <f ca="1">INDEX(OFFSET('Adjustment scenario'!$C$1:$U$1,$D13-1,0),MATCH(W$4,'Adjustment scenario'!$C$10:$U$10,0))</f>
        <v>3.4966457409306697</v>
      </c>
      <c r="X13" s="269">
        <f ca="1">INDEX(OFFSET('Adjustment scenario'!$C$1:$U$1,$D13-1,0),MATCH(X$4,'Adjustment scenario'!$C$10:$U$10,0))</f>
        <v>3.546025878668484</v>
      </c>
      <c r="Y13" s="186"/>
    </row>
    <row r="14" spans="1:25" x14ac:dyDescent="0.2">
      <c r="A14" s="186"/>
      <c r="B14" s="276">
        <v>10</v>
      </c>
      <c r="C14" s="280" t="s">
        <v>152</v>
      </c>
      <c r="D14" s="281">
        <v>72</v>
      </c>
      <c r="E14" s="282" t="s">
        <v>144</v>
      </c>
      <c r="F14" s="269">
        <f ca="1">INDEX(OFFSET('Adjustment scenario'!$C$1:$U$1,$D14-1,0),MATCH(F$4,'Adjustment scenario'!$C$10:$U$10,0))</f>
        <v>0</v>
      </c>
      <c r="G14" s="269">
        <f ca="1">INDEX(OFFSET('Adjustment scenario'!$C$1:$U$1,$D14-1,0),MATCH(G$4,'Adjustment scenario'!$C$10:$U$10,0))</f>
        <v>1.5799970000000001</v>
      </c>
      <c r="H14" s="269">
        <f ca="1">INDEX(OFFSET('Adjustment scenario'!$C$1:$U$1,$D14-1,0),MATCH(H$4,'Adjustment scenario'!$C$10:$U$10,0))</f>
        <v>2.0146769999999998</v>
      </c>
      <c r="I14" s="269">
        <f ca="1">INDEX(OFFSET('Adjustment scenario'!$C$1:$U$1,$D14-1,0),MATCH(I$4,'Adjustment scenario'!$C$10:$U$10,0))</f>
        <v>-2.0499999999999999E-6</v>
      </c>
      <c r="J14" s="269">
        <f ca="1">INDEX(OFFSET('Adjustment scenario'!$C$1:$U$1,$D14-1,0),MATCH(J$4,'Adjustment scenario'!$C$10:$U$10,0))</f>
        <v>0</v>
      </c>
      <c r="K14" s="269">
        <f ca="1">INDEX(OFFSET('Adjustment scenario'!$C$1:$U$1,$D14-1,0),MATCH(K$4,'Adjustment scenario'!$C$10:$U$10,0))</f>
        <v>0</v>
      </c>
      <c r="L14" s="269">
        <f ca="1">INDEX(OFFSET('Adjustment scenario'!$C$1:$U$1,$D14-1,0),MATCH(L$4,'Adjustment scenario'!$C$10:$U$10,0))</f>
        <v>0</v>
      </c>
      <c r="M14" s="269">
        <f ca="1">INDEX(OFFSET('Adjustment scenario'!$C$1:$U$1,$D14-1,0),MATCH(M$4,'Adjustment scenario'!$C$10:$U$10,0))</f>
        <v>0</v>
      </c>
      <c r="N14" s="269">
        <f ca="1">INDEX(OFFSET('Adjustment scenario'!$C$1:$U$1,$D14-1,0),MATCH(N$4,'Adjustment scenario'!$C$10:$U$10,0))</f>
        <v>0</v>
      </c>
      <c r="O14" s="269">
        <f ca="1">INDEX(OFFSET('Adjustment scenario'!$C$1:$U$1,$D14-1,0),MATCH(O$4,'Adjustment scenario'!$C$10:$U$10,0))</f>
        <v>0</v>
      </c>
      <c r="P14" s="269">
        <f ca="1">INDEX(OFFSET('Adjustment scenario'!$C$1:$U$1,$D14-1,0),MATCH(P$4,'Adjustment scenario'!$C$10:$U$10,0))</f>
        <v>0</v>
      </c>
      <c r="Q14" s="269">
        <f ca="1">INDEX(OFFSET('Adjustment scenario'!$C$1:$U$1,$D14-1,0),MATCH(Q$4,'Adjustment scenario'!$C$10:$U$10,0))</f>
        <v>0</v>
      </c>
      <c r="R14" s="269">
        <f ca="1">INDEX(OFFSET('Adjustment scenario'!$C$1:$U$1,$D14-1,0),MATCH(R$4,'Adjustment scenario'!$C$10:$U$10,0))</f>
        <v>0</v>
      </c>
      <c r="S14" s="269">
        <f ca="1">INDEX(OFFSET('Adjustment scenario'!$C$1:$U$1,$D14-1,0),MATCH(S$4,'Adjustment scenario'!$C$10:$U$10,0))</f>
        <v>0</v>
      </c>
      <c r="T14" s="269">
        <f ca="1">INDEX(OFFSET('Adjustment scenario'!$C$1:$U$1,$D14-1,0),MATCH(T$4,'Adjustment scenario'!$C$10:$U$10,0))</f>
        <v>0</v>
      </c>
      <c r="U14" s="269">
        <f ca="1">INDEX(OFFSET('Adjustment scenario'!$C$1:$U$1,$D14-1,0),MATCH(U$4,'Adjustment scenario'!$C$10:$U$10,0))</f>
        <v>0</v>
      </c>
      <c r="V14" s="269">
        <f ca="1">INDEX(OFFSET('Adjustment scenario'!$C$1:$U$1,$D14-1,0),MATCH(V$4,'Adjustment scenario'!$C$10:$U$10,0))</f>
        <v>0</v>
      </c>
      <c r="W14" s="269">
        <f ca="1">INDEX(OFFSET('Adjustment scenario'!$C$1:$U$1,$D14-1,0),MATCH(W$4,'Adjustment scenario'!$C$10:$U$10,0))</f>
        <v>0</v>
      </c>
      <c r="X14" s="269">
        <f ca="1">INDEX(OFFSET('Adjustment scenario'!$C$1:$U$1,$D14-1,0),MATCH(X$4,'Adjustment scenario'!$C$10:$U$10,0))</f>
        <v>0</v>
      </c>
      <c r="Y14" s="186"/>
    </row>
    <row r="15" spans="1:25" x14ac:dyDescent="0.2">
      <c r="A15" s="186"/>
      <c r="B15" s="276">
        <v>11</v>
      </c>
      <c r="C15" s="284" t="s">
        <v>40</v>
      </c>
      <c r="D15" s="281">
        <v>27</v>
      </c>
      <c r="E15" s="282" t="s">
        <v>153</v>
      </c>
      <c r="F15" s="269">
        <f>'Input data'!C$33</f>
        <v>1.8242259999999999</v>
      </c>
      <c r="G15" s="269">
        <f ca="1">(INDEX(OFFSET('Adjustment scenario'!$C$1:$U$1,$D15-1,0),MATCH(G$4,'Adjustment scenario'!$C$10:$U$10,0))/INDEX(OFFSET('Adjustment scenario'!$C$1:$U$1,$D15-1,0),MATCH(F$4,'Adjustment scenario'!$C$10:$U$10,0))-1)*100</f>
        <v>1.6562940000000026</v>
      </c>
      <c r="H15" s="269">
        <f ca="1">(INDEX(OFFSET('Adjustment scenario'!$C$1:$U$1,$D15-1,0),MATCH(H$4,'Adjustment scenario'!$C$10:$U$10,0))/INDEX(OFFSET('Adjustment scenario'!$C$1:$U$1,$D15-1,0),MATCH(G$4,'Adjustment scenario'!$C$10:$U$10,0))-1)*100</f>
        <v>1.4262570000000085</v>
      </c>
      <c r="I15" s="269">
        <f ca="1">(INDEX(OFFSET('Adjustment scenario'!$C$1:$U$1,$D15-1,0),MATCH(I$4,'Adjustment scenario'!$C$10:$U$10,0))/INDEX(OFFSET('Adjustment scenario'!$C$1:$U$1,$D15-1,0),MATCH(H$4,'Adjustment scenario'!$C$10:$U$10,0))-1)*100</f>
        <v>1.2928829999999891</v>
      </c>
      <c r="J15" s="269">
        <f ca="1">(INDEX(OFFSET('Adjustment scenario'!$C$1:$U$1,$D15-1,0),MATCH(J$4,'Adjustment scenario'!$C$10:$U$10,0))/INDEX(OFFSET('Adjustment scenario'!$C$1:$U$1,$D15-1,0),MATCH(I$4,'Adjustment scenario'!$C$10:$U$10,0))-1)*100</f>
        <v>1.2437400000000043</v>
      </c>
      <c r="K15" s="269">
        <f ca="1">(INDEX(OFFSET('Adjustment scenario'!$C$1:$U$1,$D15-1,0),MATCH(K$4,'Adjustment scenario'!$C$10:$U$10,0))/INDEX(OFFSET('Adjustment scenario'!$C$1:$U$1,$D15-1,0),MATCH(J$4,'Adjustment scenario'!$C$10:$U$10,0))-1)*100</f>
        <v>1.1370649999999927</v>
      </c>
      <c r="L15" s="269">
        <f ca="1">(INDEX(OFFSET('Adjustment scenario'!$C$1:$U$1,$D15-1,0),MATCH(L$4,'Adjustment scenario'!$C$10:$U$10,0))/INDEX(OFFSET('Adjustment scenario'!$C$1:$U$1,$D15-1,0),MATCH(K$4,'Adjustment scenario'!$C$10:$U$10,0))-1)*100</f>
        <v>1.1180270000000103</v>
      </c>
      <c r="M15" s="269">
        <f ca="1">(INDEX(OFFSET('Adjustment scenario'!$C$1:$U$1,$D15-1,0),MATCH(M$4,'Adjustment scenario'!$C$10:$U$10,0))/INDEX(OFFSET('Adjustment scenario'!$C$1:$U$1,$D15-1,0),MATCH(L$4,'Adjustment scenario'!$C$10:$U$10,0))-1)*100</f>
        <v>1.0691280000000081</v>
      </c>
      <c r="N15" s="269">
        <f ca="1">(INDEX(OFFSET('Adjustment scenario'!$C$1:$U$1,$D15-1,0),MATCH(N$4,'Adjustment scenario'!$C$10:$U$10,0))/INDEX(OFFSET('Adjustment scenario'!$C$1:$U$1,$D15-1,0),MATCH(M$4,'Adjustment scenario'!$C$10:$U$10,0))-1)*100</f>
        <v>1.0343100000000049</v>
      </c>
      <c r="O15" s="269">
        <f ca="1">(INDEX(OFFSET('Adjustment scenario'!$C$1:$U$1,$D15-1,0),MATCH(O$4,'Adjustment scenario'!$C$10:$U$10,0))/INDEX(OFFSET('Adjustment scenario'!$C$1:$U$1,$D15-1,0),MATCH(N$4,'Adjustment scenario'!$C$10:$U$10,0))-1)*100</f>
        <v>1.0125299999999893</v>
      </c>
      <c r="P15" s="269">
        <f ca="1">(INDEX(OFFSET('Adjustment scenario'!$C$1:$U$1,$D15-1,0),MATCH(P$4,'Adjustment scenario'!$C$10:$U$10,0))/INDEX(OFFSET('Adjustment scenario'!$C$1:$U$1,$D15-1,0),MATCH(O$4,'Adjustment scenario'!$C$10:$U$10,0))-1)*100</f>
        <v>1.0265940000000029</v>
      </c>
      <c r="Q15" s="269">
        <f ca="1">(INDEX(OFFSET('Adjustment scenario'!$C$1:$U$1,$D15-1,0),MATCH(Q$4,'Adjustment scenario'!$C$10:$U$10,0))/INDEX(OFFSET('Adjustment scenario'!$C$1:$U$1,$D15-1,0),MATCH(P$4,'Adjustment scenario'!$C$10:$U$10,0))-1)*100</f>
        <v>1.0549450000000071</v>
      </c>
      <c r="R15" s="269">
        <f ca="1">(INDEX(OFFSET('Adjustment scenario'!$C$1:$U$1,$D15-1,0),MATCH(R$4,'Adjustment scenario'!$C$10:$U$10,0))/INDEX(OFFSET('Adjustment scenario'!$C$1:$U$1,$D15-1,0),MATCH(Q$4,'Adjustment scenario'!$C$10:$U$10,0))-1)*100</f>
        <v>1.1332969999999998</v>
      </c>
      <c r="S15" s="269">
        <f ca="1">(INDEX(OFFSET('Adjustment scenario'!$C$1:$U$1,$D15-1,0),MATCH(S$4,'Adjustment scenario'!$C$10:$U$10,0))/INDEX(OFFSET('Adjustment scenario'!$C$1:$U$1,$D15-1,0),MATCH(R$4,'Adjustment scenario'!$C$10:$U$10,0))-1)*100</f>
        <v>1.2116479999999985</v>
      </c>
      <c r="T15" s="269">
        <f ca="1">(INDEX(OFFSET('Adjustment scenario'!$C$1:$U$1,$D15-1,0),MATCH(T$4,'Adjustment scenario'!$C$10:$U$10,0))/INDEX(OFFSET('Adjustment scenario'!$C$1:$U$1,$D15-1,0),MATCH(S$4,'Adjustment scenario'!$C$10:$U$10,0))-1)*100</f>
        <v>1.2899999999999912</v>
      </c>
      <c r="U15" s="269">
        <f ca="1">(INDEX(OFFSET('Adjustment scenario'!$C$1:$U$1,$D15-1,0),MATCH(U$4,'Adjustment scenario'!$C$10:$U$10,0))/INDEX(OFFSET('Adjustment scenario'!$C$1:$U$1,$D15-1,0),MATCH(T$4,'Adjustment scenario'!$C$10:$U$10,0))-1)*100</f>
        <v>1.4499999999999957</v>
      </c>
      <c r="V15" s="269">
        <f ca="1">(INDEX(OFFSET('Adjustment scenario'!$C$1:$U$1,$D15-1,0),MATCH(V$4,'Adjustment scenario'!$C$10:$U$10,0))/INDEX(OFFSET('Adjustment scenario'!$C$1:$U$1,$D15-1,0),MATCH(U$4,'Adjustment scenario'!$C$10:$U$10,0))-1)*100</f>
        <v>1.6100000000000003</v>
      </c>
      <c r="W15" s="269">
        <f ca="1">(INDEX(OFFSET('Adjustment scenario'!$C$1:$U$1,$D15-1,0),MATCH(W$4,'Adjustment scenario'!$C$10:$U$10,0))/INDEX(OFFSET('Adjustment scenario'!$C$1:$U$1,$D15-1,0),MATCH(V$4,'Adjustment scenario'!$C$10:$U$10,0))-1)*100</f>
        <v>1.6599999999999948</v>
      </c>
      <c r="X15" s="269">
        <f ca="1">(INDEX(OFFSET('Adjustment scenario'!$C$1:$U$1,$D15-1,0),MATCH(X$4,'Adjustment scenario'!$C$10:$U$10,0))/INDEX(OFFSET('Adjustment scenario'!$C$1:$U$1,$D15-1,0),MATCH(W$4,'Adjustment scenario'!$C$10:$U$10,0))-1)*100</f>
        <v>1.7099999999999893</v>
      </c>
      <c r="Y15" s="186"/>
    </row>
    <row r="16" spans="1:25" x14ac:dyDescent="0.2">
      <c r="A16" s="186"/>
      <c r="B16" s="276">
        <v>12</v>
      </c>
      <c r="C16" s="272" t="s">
        <v>154</v>
      </c>
      <c r="D16" s="281">
        <v>24</v>
      </c>
      <c r="E16" s="282" t="s">
        <v>153</v>
      </c>
      <c r="F16" s="269">
        <f ca="1">INDEX(OFFSET('Adjustment scenario'!$C$1:$U$1,$D16-1,0),MATCH(F$4,'Adjustment scenario'!$C$10:$U$10,0))</f>
        <v>1.081005</v>
      </c>
      <c r="G16" s="269">
        <f ca="1">INDEX(OFFSET('Adjustment scenario'!$C$1:$U$1,$D16-1,0),MATCH(G$4,'Adjustment scenario'!$C$10:$U$10,0))</f>
        <v>1.6966699999999999</v>
      </c>
      <c r="H16" s="269">
        <f ca="1">INDEX(OFFSET('Adjustment scenario'!$C$1:$U$1,$D16-1,0),MATCH(H$4,'Adjustment scenario'!$C$10:$U$10,0))</f>
        <v>1.2737470000000028</v>
      </c>
      <c r="I16" s="269">
        <f ca="1">INDEX(OFFSET('Adjustment scenario'!$C$1:$U$1,$D16-1,0),MATCH(I$4,'Adjustment scenario'!$C$10:$U$10,0))</f>
        <v>1.5818649999999934</v>
      </c>
      <c r="J16" s="269">
        <f ca="1">INDEX(OFFSET('Adjustment scenario'!$C$1:$U$1,$D16-1,0),MATCH(J$4,'Adjustment scenario'!$C$10:$U$10,0))</f>
        <v>1.52139899999999</v>
      </c>
      <c r="K16" s="269">
        <f ca="1">INDEX(OFFSET('Adjustment scenario'!$C$1:$U$1,$D16-1,0),MATCH(K$4,'Adjustment scenario'!$C$10:$U$10,0))</f>
        <v>1.4136799999999949</v>
      </c>
      <c r="L16" s="269">
        <f ca="1">INDEX(OFFSET('Adjustment scenario'!$C$1:$U$1,$D16-1,0),MATCH(L$4,'Adjustment scenario'!$C$10:$U$10,0))</f>
        <v>1.3938309999999898</v>
      </c>
      <c r="M16" s="269">
        <f ca="1">INDEX(OFFSET('Adjustment scenario'!$C$1:$U$1,$D16-1,0),MATCH(M$4,'Adjustment scenario'!$C$10:$U$10,0))</f>
        <v>1.069125999999998</v>
      </c>
      <c r="N16" s="269">
        <f ca="1">INDEX(OFFSET('Adjustment scenario'!$C$1:$U$1,$D16-1,0),MATCH(N$4,'Adjustment scenario'!$C$10:$U$10,0))</f>
        <v>1.0343100000000049</v>
      </c>
      <c r="O16" s="269">
        <f ca="1">INDEX(OFFSET('Adjustment scenario'!$C$1:$U$1,$D16-1,0),MATCH(O$4,'Adjustment scenario'!$C$10:$U$10,0))</f>
        <v>1.0125310000000054</v>
      </c>
      <c r="P16" s="269">
        <f ca="1">INDEX(OFFSET('Adjustment scenario'!$C$1:$U$1,$D16-1,0),MATCH(P$4,'Adjustment scenario'!$C$10:$U$10,0))</f>
        <v>1.0265919999999928</v>
      </c>
      <c r="Q16" s="269">
        <f ca="1">INDEX(OFFSET('Adjustment scenario'!$C$1:$U$1,$D16-1,0),MATCH(Q$4,'Adjustment scenario'!$C$10:$U$10,0))</f>
        <v>1.0549509999999929</v>
      </c>
      <c r="R16" s="269">
        <f ca="1">INDEX(OFFSET('Adjustment scenario'!$C$1:$U$1,$D16-1,0),MATCH(R$4,'Adjustment scenario'!$C$10:$U$10,0))</f>
        <v>1.1332990000000098</v>
      </c>
      <c r="S16" s="269">
        <f ca="1">INDEX(OFFSET('Adjustment scenario'!$C$1:$U$1,$D16-1,0),MATCH(S$4,'Adjustment scenario'!$C$10:$U$10,0))</f>
        <v>1.2116540000000064</v>
      </c>
      <c r="T16" s="269">
        <f ca="1">INDEX(OFFSET('Adjustment scenario'!$C$1:$U$1,$D16-1,0),MATCH(T$4,'Adjustment scenario'!$C$10:$U$10,0))</f>
        <v>1.2900010000000073</v>
      </c>
      <c r="U16" s="269">
        <f ca="1">INDEX(OFFSET('Adjustment scenario'!$C$1:$U$1,$D16-1,0),MATCH(U$4,'Adjustment scenario'!$C$10:$U$10,0))</f>
        <v>1.4500009999999897</v>
      </c>
      <c r="V16" s="269">
        <f ca="1">INDEX(OFFSET('Adjustment scenario'!$C$1:$U$1,$D16-1,0),MATCH(V$4,'Adjustment scenario'!$C$10:$U$10,0))</f>
        <v>1.6099960000000024</v>
      </c>
      <c r="W16" s="269">
        <f ca="1">INDEX(OFFSET('Adjustment scenario'!$C$1:$U$1,$D16-1,0),MATCH(W$4,'Adjustment scenario'!$C$10:$U$10,0))</f>
        <v>1.659995000000003</v>
      </c>
      <c r="X16" s="269">
        <f ca="1">INDEX(OFFSET('Adjustment scenario'!$C$1:$U$1,$D16-1,0),MATCH(X$4,'Adjustment scenario'!$C$10:$U$10,0))</f>
        <v>1.7100040000000094</v>
      </c>
      <c r="Y16" s="186"/>
    </row>
    <row r="17" spans="1:25" x14ac:dyDescent="0.2">
      <c r="A17" s="186"/>
      <c r="B17" s="276">
        <v>13</v>
      </c>
      <c r="C17" s="285" t="s">
        <v>155</v>
      </c>
      <c r="D17" s="281">
        <v>42</v>
      </c>
      <c r="E17" s="282" t="s">
        <v>153</v>
      </c>
      <c r="F17" s="269">
        <f ca="1">INDEX(OFFSET('Adjustment scenario'!$C$1:$U$1,$D17-1,0),MATCH(F$4,'Adjustment scenario'!$C$10:$U$10,0))</f>
        <v>5.7442140000000004</v>
      </c>
      <c r="G17" s="269">
        <f ca="1">INDEX(OFFSET('Adjustment scenario'!$C$1:$U$1,$D17-1,0),MATCH(G$4,'Adjustment scenario'!$C$10:$U$10,0))</f>
        <v>3.1543869999999998</v>
      </c>
      <c r="H17" s="269">
        <f ca="1">INDEX(OFFSET('Adjustment scenario'!$C$1:$U$1,$D17-1,0),MATCH(H$4,'Adjustment scenario'!$C$10:$U$10,0))</f>
        <v>3.262934</v>
      </c>
      <c r="I17" s="269">
        <f ca="1">INDEX(OFFSET('Adjustment scenario'!$C$1:$U$1,$D17-1,0),MATCH(I$4,'Adjustment scenario'!$C$10:$U$10,0))</f>
        <v>2.103313</v>
      </c>
      <c r="J17" s="269">
        <f ca="1">INDEX(OFFSET('Adjustment scenario'!$C$1:$U$1,$D17-1,0),MATCH(J$4,'Adjustment scenario'!$C$10:$U$10,0))</f>
        <v>2.1253988750000001</v>
      </c>
      <c r="K17" s="269">
        <f ca="1">INDEX(OFFSET('Adjustment scenario'!$C$1:$U$1,$D17-1,0),MATCH(K$4,'Adjustment scenario'!$C$10:$U$10,0))</f>
        <v>2.1474847499999998</v>
      </c>
      <c r="L17" s="269">
        <f ca="1">INDEX(OFFSET('Adjustment scenario'!$C$1:$U$1,$D17-1,0),MATCH(L$4,'Adjustment scenario'!$C$10:$U$10,0))</f>
        <v>2.169570625</v>
      </c>
      <c r="M17" s="269">
        <f ca="1">INDEX(OFFSET('Adjustment scenario'!$C$1:$U$1,$D17-1,0),MATCH(M$4,'Adjustment scenario'!$C$10:$U$10,0))</f>
        <v>2.1916564999999997</v>
      </c>
      <c r="N17" s="269">
        <f ca="1">INDEX(OFFSET('Adjustment scenario'!$C$1:$U$1,$D17-1,0),MATCH(N$4,'Adjustment scenario'!$C$10:$U$10,0))</f>
        <v>2.2137423749999998</v>
      </c>
      <c r="O17" s="269">
        <f ca="1">INDEX(OFFSET('Adjustment scenario'!$C$1:$U$1,$D17-1,0),MATCH(O$4,'Adjustment scenario'!$C$10:$U$10,0))</f>
        <v>2.23582825</v>
      </c>
      <c r="P17" s="269">
        <f ca="1">INDEX(OFFSET('Adjustment scenario'!$C$1:$U$1,$D17-1,0),MATCH(P$4,'Adjustment scenario'!$C$10:$U$10,0))</f>
        <v>2.2579141249999997</v>
      </c>
      <c r="Q17" s="269">
        <f ca="1">INDEX(OFFSET('Adjustment scenario'!$C$1:$U$1,$D17-1,0),MATCH(Q$4,'Adjustment scenario'!$C$10:$U$10,0))</f>
        <v>2.2799999999999998</v>
      </c>
      <c r="R17" s="269">
        <f ca="1">INDEX(OFFSET('Adjustment scenario'!$C$1:$U$1,$D17-1,0),MATCH(R$4,'Adjustment scenario'!$C$10:$U$10,0))</f>
        <v>2.266</v>
      </c>
      <c r="S17" s="269">
        <f ca="1">INDEX(OFFSET('Adjustment scenario'!$C$1:$U$1,$D17-1,0),MATCH(S$4,'Adjustment scenario'!$C$10:$U$10,0))</f>
        <v>2.2519999999999998</v>
      </c>
      <c r="T17" s="269">
        <f ca="1">INDEX(OFFSET('Adjustment scenario'!$C$1:$U$1,$D17-1,0),MATCH(T$4,'Adjustment scenario'!$C$10:$U$10,0))</f>
        <v>2.238</v>
      </c>
      <c r="U17" s="269">
        <f ca="1">INDEX(OFFSET('Adjustment scenario'!$C$1:$U$1,$D17-1,0),MATCH(U$4,'Adjustment scenario'!$C$10:$U$10,0))</f>
        <v>2.2239999999999998</v>
      </c>
      <c r="V17" s="269">
        <f ca="1">INDEX(OFFSET('Adjustment scenario'!$C$1:$U$1,$D17-1,0),MATCH(V$4,'Adjustment scenario'!$C$10:$U$10,0))</f>
        <v>2.21</v>
      </c>
      <c r="W17" s="269">
        <f ca="1">INDEX(OFFSET('Adjustment scenario'!$C$1:$U$1,$D17-1,0),MATCH(W$4,'Adjustment scenario'!$C$10:$U$10,0))</f>
        <v>2.1959999999999997</v>
      </c>
      <c r="X17" s="269">
        <f ca="1">INDEX(OFFSET('Adjustment scenario'!$C$1:$U$1,$D17-1,0),MATCH(X$4,'Adjustment scenario'!$C$10:$U$10,0))</f>
        <v>2.1819999999999999</v>
      </c>
      <c r="Y17" s="186"/>
    </row>
    <row r="18" spans="1:25" x14ac:dyDescent="0.2">
      <c r="A18" s="186"/>
      <c r="B18" s="276">
        <v>14</v>
      </c>
      <c r="C18" s="272" t="s">
        <v>156</v>
      </c>
      <c r="D18" s="281">
        <v>33</v>
      </c>
      <c r="E18" s="282" t="s">
        <v>153</v>
      </c>
      <c r="F18" s="269">
        <f ca="1">INDEX(OFFSET('Adjustment scenario'!$C$1:$U$1,$D18-1,0),MATCH(F$4,'Adjustment scenario'!$C$10:$U$10,0))</f>
        <v>6.8873142405506904</v>
      </c>
      <c r="G18" s="269">
        <f ca="1">INDEX(OFFSET('Adjustment scenario'!$C$1:$U$1,$D18-1,0),MATCH(G$4,'Adjustment scenario'!$C$10:$U$10,0))</f>
        <v>4.9045765379128969</v>
      </c>
      <c r="H18" s="269">
        <f ca="1">INDEX(OFFSET('Adjustment scenario'!$C$1:$U$1,$D18-1,0),MATCH(H$4,'Adjustment scenario'!$C$10:$U$10,0))</f>
        <v>4.5782425239369706</v>
      </c>
      <c r="I18" s="269">
        <f ca="1">INDEX(OFFSET('Adjustment scenario'!$C$1:$U$1,$D18-1,0),MATCH(I$4,'Adjustment scenario'!$C$10:$U$10,0))</f>
        <v>3.7184495721874322</v>
      </c>
      <c r="J18" s="269">
        <f ca="1">INDEX(OFFSET('Adjustment scenario'!$C$1:$U$1,$D18-1,0),MATCH(J$4,'Adjustment scenario'!$C$10:$U$10,0))</f>
        <v>3.6791336722302503</v>
      </c>
      <c r="K18" s="269">
        <f ca="1">INDEX(OFFSET('Adjustment scenario'!$C$1:$U$1,$D18-1,0),MATCH(K$4,'Adjustment scenario'!$C$10:$U$10,0))</f>
        <v>3.5915233124137913</v>
      </c>
      <c r="L18" s="269">
        <f ca="1">INDEX(OFFSET('Adjustment scenario'!$C$1:$U$1,$D18-1,0),MATCH(L$4,'Adjustment scenario'!$C$10:$U$10,0))</f>
        <v>3.5936417729381498</v>
      </c>
      <c r="M18" s="269">
        <f ca="1">INDEX(OFFSET('Adjustment scenario'!$C$1:$U$1,$D18-1,0),MATCH(M$4,'Adjustment scenario'!$C$10:$U$10,0))</f>
        <v>3.2842140694721911</v>
      </c>
      <c r="N18" s="269">
        <f ca="1">INDEX(OFFSET('Adjustment scenario'!$C$1:$U$1,$D18-1,0),MATCH(N$4,'Adjustment scenario'!$C$10:$U$10,0))</f>
        <v>3.2709493337588658</v>
      </c>
      <c r="O18" s="269">
        <f ca="1">INDEX(OFFSET('Adjustment scenario'!$C$1:$U$1,$D18-1,0),MATCH(O$4,'Adjustment scenario'!$C$10:$U$10,0))</f>
        <v>3.2709977041380123</v>
      </c>
      <c r="P18" s="269">
        <f ca="1">INDEX(OFFSET('Adjustment scenario'!$C$1:$U$1,$D18-1,0),MATCH(P$4,'Adjustment scenario'!$C$10:$U$10,0))</f>
        <v>3.3076856907741092</v>
      </c>
      <c r="Q18" s="269">
        <f ca="1">INDEX(OFFSET('Adjustment scenario'!$C$1:$U$1,$D18-1,0),MATCH(Q$4,'Adjustment scenario'!$C$10:$U$10,0))</f>
        <v>3.3590038827999935</v>
      </c>
      <c r="R18" s="269">
        <f ca="1">INDEX(OFFSET('Adjustment scenario'!$C$1:$U$1,$D18-1,0),MATCH(R$4,'Adjustment scenario'!$C$10:$U$10,0))</f>
        <v>3.424979555340002</v>
      </c>
      <c r="S18" s="269">
        <f ca="1">INDEX(OFFSET('Adjustment scenario'!$C$1:$U$1,$D18-1,0),MATCH(S$4,'Adjustment scenario'!$C$10:$U$10,0))</f>
        <v>3.4909404480800266</v>
      </c>
      <c r="T18" s="269">
        <f ca="1">INDEX(OFFSET('Adjustment scenario'!$C$1:$U$1,$D18-1,0),MATCH(T$4,'Adjustment scenario'!$C$10:$U$10,0))</f>
        <v>3.5568712223800203</v>
      </c>
      <c r="U18" s="269">
        <f ca="1">INDEX(OFFSET('Adjustment scenario'!$C$1:$U$1,$D18-1,0),MATCH(U$4,'Adjustment scenario'!$C$10:$U$10,0))</f>
        <v>3.7062490222399935</v>
      </c>
      <c r="V18" s="269">
        <f ca="1">INDEX(OFFSET('Adjustment scenario'!$C$1:$U$1,$D18-1,0),MATCH(V$4,'Adjustment scenario'!$C$10:$U$10,0))</f>
        <v>3.8555769116000116</v>
      </c>
      <c r="W18" s="269">
        <f ca="1">INDEX(OFFSET('Adjustment scenario'!$C$1:$U$1,$D18-1,0),MATCH(W$4,'Adjustment scenario'!$C$10:$U$10,0))</f>
        <v>3.8924484902000067</v>
      </c>
      <c r="X18" s="269">
        <f ca="1">INDEX(OFFSET('Adjustment scenario'!$C$1:$U$1,$D18-1,0),MATCH(X$4,'Adjustment scenario'!$C$10:$U$10,0))</f>
        <v>3.9293162872799936</v>
      </c>
      <c r="Y18" s="186"/>
    </row>
    <row r="19" spans="1:25" x14ac:dyDescent="0.2">
      <c r="A19" s="186"/>
      <c r="B19" s="270"/>
      <c r="C19" s="291"/>
      <c r="D19" s="291"/>
      <c r="E19" s="291"/>
      <c r="F19" s="291"/>
      <c r="G19" s="291"/>
      <c r="H19" s="291"/>
      <c r="I19" s="291"/>
      <c r="J19" s="291"/>
      <c r="K19" s="186"/>
      <c r="L19" s="186"/>
      <c r="M19" s="186"/>
      <c r="N19" s="186"/>
      <c r="O19" s="186"/>
      <c r="P19" s="186"/>
      <c r="Q19" s="186"/>
      <c r="R19" s="186"/>
      <c r="S19" s="186"/>
      <c r="T19" s="186"/>
      <c r="U19" s="186"/>
      <c r="V19" s="186"/>
      <c r="W19" s="186"/>
      <c r="X19" s="186"/>
      <c r="Y19" s="186"/>
    </row>
    <row r="20" spans="1:25" x14ac:dyDescent="0.2">
      <c r="A20" s="186"/>
      <c r="B20" s="292"/>
      <c r="C20" s="274" t="s">
        <v>157</v>
      </c>
      <c r="D20" s="275"/>
      <c r="E20" s="275"/>
      <c r="F20" s="275"/>
      <c r="G20" s="291"/>
      <c r="H20" s="291"/>
      <c r="I20" s="291"/>
      <c r="J20" s="291"/>
      <c r="K20" s="186"/>
      <c r="L20" s="186"/>
      <c r="M20" s="186"/>
      <c r="N20" s="186"/>
      <c r="O20" s="186"/>
      <c r="P20" s="186"/>
      <c r="Q20" s="186"/>
      <c r="R20" s="186"/>
      <c r="S20" s="186"/>
      <c r="T20" s="186"/>
      <c r="U20" s="186"/>
      <c r="V20" s="186"/>
      <c r="W20" s="186"/>
      <c r="X20" s="186"/>
      <c r="Y20" s="186"/>
    </row>
    <row r="21" spans="1:25" x14ac:dyDescent="0.2">
      <c r="A21" s="186"/>
      <c r="B21" s="270"/>
      <c r="C21" s="291"/>
      <c r="D21" s="291"/>
      <c r="E21" s="291"/>
      <c r="F21" s="291"/>
      <c r="G21" s="291"/>
      <c r="H21" s="291"/>
      <c r="I21" s="291"/>
      <c r="J21" s="291"/>
      <c r="K21" s="186"/>
      <c r="L21" s="186"/>
      <c r="M21" s="186"/>
      <c r="N21" s="186"/>
      <c r="O21" s="186"/>
      <c r="P21" s="186"/>
      <c r="Q21" s="186"/>
      <c r="R21" s="186"/>
      <c r="S21" s="186"/>
      <c r="T21" s="186"/>
      <c r="U21" s="186"/>
      <c r="V21" s="186"/>
      <c r="W21" s="186"/>
      <c r="X21" s="186"/>
      <c r="Y21" s="186"/>
    </row>
    <row r="22" spans="1:25" x14ac:dyDescent="0.2">
      <c r="A22" s="186"/>
      <c r="B22" s="276"/>
      <c r="C22" s="274" t="s">
        <v>12</v>
      </c>
      <c r="D22" s="274"/>
      <c r="E22" s="278">
        <f>F22-1</f>
        <v>-1</v>
      </c>
      <c r="F22" s="279"/>
      <c r="G22" s="279"/>
      <c r="H22" s="279"/>
      <c r="I22" s="279"/>
      <c r="J22" s="279"/>
      <c r="K22" s="279"/>
      <c r="L22" s="279"/>
      <c r="M22" s="279"/>
      <c r="N22" s="279"/>
      <c r="O22" s="279"/>
      <c r="P22" s="279"/>
      <c r="Q22" s="279"/>
      <c r="R22" s="279"/>
      <c r="S22" s="279"/>
      <c r="T22" s="279"/>
      <c r="U22" s="279"/>
      <c r="V22" s="279"/>
      <c r="W22" s="279"/>
      <c r="X22" s="279"/>
      <c r="Y22" s="186"/>
    </row>
    <row r="23" spans="1:25" x14ac:dyDescent="0.2">
      <c r="A23" s="186"/>
      <c r="B23" s="276">
        <v>1</v>
      </c>
      <c r="C23" s="280" t="s">
        <v>143</v>
      </c>
      <c r="D23" s="281">
        <v>56</v>
      </c>
      <c r="E23" s="282" t="s">
        <v>144</v>
      </c>
      <c r="F23" s="269"/>
      <c r="G23" s="269"/>
      <c r="H23" s="269"/>
      <c r="I23" s="269"/>
      <c r="J23" s="269"/>
      <c r="K23" s="269"/>
      <c r="L23" s="269"/>
      <c r="M23" s="269"/>
      <c r="N23" s="269"/>
      <c r="O23" s="269"/>
      <c r="P23" s="269"/>
      <c r="Q23" s="269"/>
      <c r="R23" s="269"/>
      <c r="S23" s="269"/>
      <c r="T23" s="269"/>
      <c r="U23" s="269"/>
      <c r="V23" s="269"/>
      <c r="W23" s="269"/>
      <c r="X23" s="269"/>
      <c r="Y23" s="186"/>
    </row>
    <row r="24" spans="1:25" x14ac:dyDescent="0.2">
      <c r="A24" s="186"/>
      <c r="B24" s="276">
        <v>2</v>
      </c>
      <c r="C24" s="280" t="s">
        <v>61</v>
      </c>
      <c r="D24" s="281">
        <v>36</v>
      </c>
      <c r="E24" s="282" t="s">
        <v>150</v>
      </c>
      <c r="F24" s="269"/>
      <c r="G24" s="269"/>
      <c r="H24" s="269"/>
      <c r="I24" s="269"/>
      <c r="J24" s="269"/>
      <c r="K24" s="269"/>
      <c r="L24" s="269"/>
      <c r="M24" s="269"/>
      <c r="N24" s="269"/>
      <c r="O24" s="269"/>
      <c r="P24" s="269"/>
      <c r="Q24" s="269"/>
      <c r="R24" s="269"/>
      <c r="S24" s="269"/>
      <c r="T24" s="269"/>
      <c r="U24" s="269"/>
      <c r="V24" s="269"/>
      <c r="W24" s="269"/>
      <c r="X24" s="269"/>
      <c r="Y24" s="186"/>
    </row>
    <row r="25" spans="1:25" x14ac:dyDescent="0.2">
      <c r="A25" s="186"/>
      <c r="B25" s="276">
        <v>3</v>
      </c>
      <c r="C25" s="280" t="s">
        <v>62</v>
      </c>
      <c r="D25" s="281">
        <v>37</v>
      </c>
      <c r="E25" s="282" t="s">
        <v>150</v>
      </c>
      <c r="F25" s="269"/>
      <c r="G25" s="269"/>
      <c r="H25" s="269"/>
      <c r="I25" s="269"/>
      <c r="J25" s="269"/>
      <c r="K25" s="269"/>
      <c r="L25" s="269"/>
      <c r="M25" s="269"/>
      <c r="N25" s="269"/>
      <c r="O25" s="269"/>
      <c r="P25" s="269"/>
      <c r="Q25" s="269"/>
      <c r="R25" s="269"/>
      <c r="S25" s="269"/>
      <c r="T25" s="269"/>
      <c r="U25" s="269"/>
      <c r="V25" s="269"/>
      <c r="W25" s="269"/>
      <c r="X25" s="269"/>
      <c r="Y25" s="186"/>
    </row>
    <row r="26" spans="1:25" x14ac:dyDescent="0.2">
      <c r="A26" s="186"/>
      <c r="B26" s="276"/>
      <c r="C26" s="274" t="s">
        <v>13</v>
      </c>
      <c r="D26" s="274"/>
      <c r="E26" s="278">
        <f>F26-1</f>
        <v>-1</v>
      </c>
      <c r="F26" s="279"/>
      <c r="G26" s="279"/>
      <c r="H26" s="279"/>
      <c r="I26" s="279"/>
      <c r="J26" s="279"/>
      <c r="K26" s="279"/>
      <c r="L26" s="279"/>
      <c r="M26" s="279"/>
      <c r="N26" s="279"/>
      <c r="O26" s="279"/>
      <c r="P26" s="279"/>
      <c r="Q26" s="279"/>
      <c r="R26" s="279"/>
      <c r="S26" s="279"/>
      <c r="T26" s="279"/>
      <c r="U26" s="279"/>
      <c r="V26" s="279"/>
      <c r="W26" s="279"/>
      <c r="X26" s="279"/>
      <c r="Y26" s="186"/>
    </row>
    <row r="27" spans="1:25" x14ac:dyDescent="0.2">
      <c r="A27" s="186"/>
      <c r="B27" s="276">
        <v>4</v>
      </c>
      <c r="C27" s="280" t="s">
        <v>143</v>
      </c>
      <c r="D27" s="281">
        <v>56</v>
      </c>
      <c r="E27" s="282" t="s">
        <v>144</v>
      </c>
      <c r="F27" s="269"/>
      <c r="G27" s="269"/>
      <c r="H27" s="269"/>
      <c r="I27" s="269"/>
      <c r="J27" s="269"/>
      <c r="K27" s="269"/>
      <c r="L27" s="269"/>
      <c r="M27" s="269"/>
      <c r="N27" s="269"/>
      <c r="O27" s="269"/>
      <c r="P27" s="269"/>
      <c r="Q27" s="269"/>
      <c r="R27" s="269"/>
      <c r="S27" s="269"/>
      <c r="T27" s="269"/>
      <c r="U27" s="269"/>
      <c r="V27" s="269"/>
      <c r="W27" s="269"/>
      <c r="X27" s="269"/>
      <c r="Y27" s="186"/>
    </row>
    <row r="28" spans="1:25" x14ac:dyDescent="0.2">
      <c r="A28" s="186"/>
      <c r="B28" s="276">
        <v>5</v>
      </c>
      <c r="C28" s="280" t="s">
        <v>18</v>
      </c>
      <c r="D28" s="281">
        <v>12</v>
      </c>
      <c r="E28" s="282" t="s">
        <v>146</v>
      </c>
      <c r="F28" s="269"/>
      <c r="G28" s="269"/>
      <c r="H28" s="269"/>
      <c r="I28" s="269"/>
      <c r="J28" s="269"/>
      <c r="K28" s="269"/>
      <c r="L28" s="269"/>
      <c r="M28" s="269"/>
      <c r="N28" s="269"/>
      <c r="O28" s="269"/>
      <c r="P28" s="269"/>
      <c r="Q28" s="269"/>
      <c r="R28" s="269"/>
      <c r="S28" s="269"/>
      <c r="T28" s="269"/>
      <c r="U28" s="269"/>
      <c r="V28" s="269"/>
      <c r="W28" s="269"/>
      <c r="X28" s="269"/>
      <c r="Y28" s="186"/>
    </row>
    <row r="29" spans="1:25" x14ac:dyDescent="0.2">
      <c r="A29" s="186"/>
      <c r="B29" s="276"/>
      <c r="C29" s="274" t="s">
        <v>158</v>
      </c>
      <c r="D29" s="274"/>
      <c r="E29" s="278">
        <f>F29-1</f>
        <v>-1</v>
      </c>
      <c r="F29" s="279"/>
      <c r="G29" s="279"/>
      <c r="H29" s="279"/>
      <c r="I29" s="279"/>
      <c r="J29" s="279"/>
      <c r="K29" s="279"/>
      <c r="L29" s="279"/>
      <c r="M29" s="279"/>
      <c r="N29" s="279"/>
      <c r="O29" s="279"/>
      <c r="P29" s="279"/>
      <c r="Q29" s="279"/>
      <c r="R29" s="279"/>
      <c r="S29" s="279"/>
      <c r="T29" s="279"/>
      <c r="U29" s="279"/>
      <c r="V29" s="279"/>
      <c r="W29" s="279"/>
      <c r="X29" s="279"/>
      <c r="Y29" s="186"/>
    </row>
    <row r="30" spans="1:25" x14ac:dyDescent="0.2">
      <c r="A30" s="186"/>
      <c r="B30" s="276">
        <v>6</v>
      </c>
      <c r="C30" s="280" t="s">
        <v>143</v>
      </c>
      <c r="D30" s="281">
        <v>57</v>
      </c>
      <c r="E30" s="282" t="s">
        <v>144</v>
      </c>
      <c r="F30" s="269"/>
      <c r="G30" s="269"/>
      <c r="H30" s="269"/>
      <c r="I30" s="269"/>
      <c r="J30" s="269"/>
      <c r="K30" s="269"/>
      <c r="L30" s="269"/>
      <c r="M30" s="269"/>
      <c r="N30" s="269"/>
      <c r="O30" s="269"/>
      <c r="P30" s="269"/>
      <c r="Q30" s="269"/>
      <c r="R30" s="269"/>
      <c r="S30" s="269"/>
      <c r="T30" s="269"/>
      <c r="U30" s="269"/>
      <c r="V30" s="269"/>
      <c r="W30" s="269"/>
      <c r="X30" s="269"/>
      <c r="Y30" s="186"/>
    </row>
    <row r="31" spans="1:25" x14ac:dyDescent="0.2">
      <c r="A31" s="186"/>
      <c r="B31" s="276">
        <v>7</v>
      </c>
      <c r="C31" s="280" t="s">
        <v>61</v>
      </c>
      <c r="D31" s="281">
        <v>37</v>
      </c>
      <c r="E31" s="282" t="s">
        <v>150</v>
      </c>
      <c r="F31" s="269"/>
      <c r="G31" s="269"/>
      <c r="H31" s="269"/>
      <c r="I31" s="269"/>
      <c r="J31" s="269"/>
      <c r="K31" s="269"/>
      <c r="L31" s="269"/>
      <c r="M31" s="269"/>
      <c r="N31" s="269"/>
      <c r="O31" s="269"/>
      <c r="P31" s="269"/>
      <c r="Q31" s="269"/>
      <c r="R31" s="269"/>
      <c r="S31" s="269"/>
      <c r="T31" s="269"/>
      <c r="U31" s="269"/>
      <c r="V31" s="269"/>
      <c r="W31" s="269"/>
      <c r="X31" s="269"/>
      <c r="Y31" s="186"/>
    </row>
    <row r="32" spans="1:25" x14ac:dyDescent="0.2">
      <c r="A32" s="186"/>
      <c r="B32" s="276">
        <v>8</v>
      </c>
      <c r="C32" s="280" t="s">
        <v>62</v>
      </c>
      <c r="D32" s="281">
        <v>38</v>
      </c>
      <c r="E32" s="282" t="s">
        <v>150</v>
      </c>
      <c r="F32" s="269"/>
      <c r="G32" s="269"/>
      <c r="H32" s="269"/>
      <c r="I32" s="269"/>
      <c r="J32" s="269"/>
      <c r="K32" s="269"/>
      <c r="L32" s="269"/>
      <c r="M32" s="269"/>
      <c r="N32" s="269"/>
      <c r="O32" s="269"/>
      <c r="P32" s="269"/>
      <c r="Q32" s="269"/>
      <c r="R32" s="269"/>
      <c r="S32" s="269"/>
      <c r="T32" s="269"/>
      <c r="U32" s="269"/>
      <c r="V32" s="269"/>
      <c r="W32" s="269"/>
      <c r="X32" s="269"/>
      <c r="Y32" s="186"/>
    </row>
    <row r="33" spans="1:25" x14ac:dyDescent="0.2">
      <c r="A33" s="186"/>
      <c r="B33" s="276">
        <v>9</v>
      </c>
      <c r="C33" s="272" t="s">
        <v>154</v>
      </c>
      <c r="D33" s="281">
        <v>23</v>
      </c>
      <c r="E33" s="282" t="s">
        <v>153</v>
      </c>
      <c r="F33" s="269"/>
      <c r="G33" s="269"/>
      <c r="H33" s="269"/>
      <c r="I33" s="269"/>
      <c r="J33" s="269"/>
      <c r="K33" s="269"/>
      <c r="L33" s="269"/>
      <c r="M33" s="269"/>
      <c r="N33" s="269"/>
      <c r="O33" s="269"/>
      <c r="P33" s="269"/>
      <c r="Q33" s="269"/>
      <c r="R33" s="269"/>
      <c r="S33" s="269"/>
      <c r="T33" s="269"/>
      <c r="U33" s="269"/>
      <c r="V33" s="269"/>
      <c r="W33" s="269"/>
      <c r="X33" s="269"/>
      <c r="Y33" s="186"/>
    </row>
    <row r="34" spans="1:25" x14ac:dyDescent="0.2">
      <c r="A34" s="186"/>
      <c r="B34" s="276">
        <v>10</v>
      </c>
      <c r="C34" s="284" t="s">
        <v>40</v>
      </c>
      <c r="D34" s="281">
        <v>27</v>
      </c>
      <c r="E34" s="282" t="s">
        <v>153</v>
      </c>
      <c r="F34" s="269"/>
      <c r="G34" s="269"/>
      <c r="H34" s="269"/>
      <c r="I34" s="269"/>
      <c r="J34" s="269"/>
      <c r="K34" s="269"/>
      <c r="L34" s="269"/>
      <c r="M34" s="269"/>
      <c r="N34" s="269"/>
      <c r="O34" s="269"/>
      <c r="P34" s="269"/>
      <c r="Q34" s="269"/>
      <c r="R34" s="269"/>
      <c r="S34" s="269"/>
      <c r="T34" s="269"/>
      <c r="U34" s="269"/>
      <c r="V34" s="269"/>
      <c r="W34" s="269"/>
      <c r="X34" s="269"/>
      <c r="Y34" s="186"/>
    </row>
    <row r="35" spans="1:25" x14ac:dyDescent="0.2">
      <c r="A35" s="186"/>
      <c r="B35" s="276"/>
      <c r="C35" s="274" t="s">
        <v>159</v>
      </c>
      <c r="D35" s="274"/>
      <c r="E35" s="278">
        <f>F35-1</f>
        <v>-1</v>
      </c>
      <c r="F35" s="287"/>
      <c r="G35" s="186"/>
      <c r="H35" s="186"/>
      <c r="I35" s="186"/>
      <c r="J35" s="186"/>
      <c r="K35" s="186"/>
      <c r="L35" s="186"/>
      <c r="M35" s="186"/>
      <c r="N35" s="186"/>
      <c r="O35" s="186"/>
      <c r="P35" s="186"/>
      <c r="Q35" s="186"/>
      <c r="R35" s="186"/>
      <c r="S35" s="186"/>
      <c r="T35" s="186"/>
      <c r="U35" s="186"/>
      <c r="V35" s="186"/>
      <c r="W35" s="186"/>
      <c r="X35" s="186"/>
      <c r="Y35" s="186"/>
    </row>
    <row r="36" spans="1:25" x14ac:dyDescent="0.2">
      <c r="A36" s="186"/>
      <c r="B36" s="276">
        <v>11</v>
      </c>
      <c r="C36" s="280" t="s">
        <v>160</v>
      </c>
      <c r="D36" s="293" t="s">
        <v>164</v>
      </c>
      <c r="E36" s="282" t="s">
        <v>150</v>
      </c>
      <c r="F36" s="269"/>
      <c r="G36" s="300"/>
      <c r="H36" s="289"/>
      <c r="I36" s="290"/>
      <c r="J36" s="290"/>
      <c r="K36" s="289"/>
      <c r="L36" s="290"/>
      <c r="M36" s="289"/>
      <c r="N36" s="289"/>
      <c r="O36" s="290"/>
      <c r="P36" s="290"/>
      <c r="Q36" s="289"/>
      <c r="R36" s="290"/>
      <c r="S36" s="289"/>
      <c r="T36" s="294"/>
      <c r="U36" s="86"/>
      <c r="V36" s="301"/>
      <c r="W36" s="302"/>
      <c r="X36" s="301"/>
      <c r="Y36" s="86"/>
    </row>
    <row r="37" spans="1:25" x14ac:dyDescent="0.2">
      <c r="A37" s="186"/>
      <c r="B37" s="270"/>
      <c r="C37" s="291"/>
      <c r="D37" s="291"/>
      <c r="E37" s="291"/>
      <c r="F37" s="291"/>
      <c r="G37" s="291"/>
      <c r="H37" s="291"/>
      <c r="I37" s="291"/>
      <c r="J37" s="291"/>
      <c r="K37" s="186"/>
      <c r="L37" s="186"/>
      <c r="M37" s="186"/>
      <c r="N37" s="186"/>
      <c r="O37" s="186"/>
      <c r="P37" s="186"/>
      <c r="Q37" s="300"/>
      <c r="R37" s="300"/>
      <c r="S37" s="300"/>
      <c r="T37" s="300"/>
      <c r="U37" s="300"/>
      <c r="V37" s="300"/>
      <c r="W37" s="186"/>
      <c r="X37" s="186"/>
      <c r="Y37" s="186"/>
    </row>
    <row r="38" spans="1:25" x14ac:dyDescent="0.2">
      <c r="A38" s="186"/>
      <c r="B38" s="292"/>
      <c r="C38" s="274" t="s">
        <v>161</v>
      </c>
      <c r="D38" s="275"/>
      <c r="E38" s="275"/>
      <c r="F38" s="286"/>
      <c r="G38" s="186"/>
      <c r="H38" s="186"/>
      <c r="I38" s="186"/>
      <c r="J38" s="186"/>
      <c r="K38" s="186"/>
      <c r="L38" s="186"/>
      <c r="M38" s="186"/>
      <c r="N38" s="186"/>
      <c r="O38" s="186"/>
      <c r="P38" s="186"/>
      <c r="Q38" s="186"/>
      <c r="R38" s="186"/>
      <c r="S38" s="186"/>
      <c r="T38" s="186"/>
      <c r="U38" s="186"/>
      <c r="V38" s="186"/>
      <c r="W38" s="186"/>
      <c r="X38" s="186"/>
      <c r="Y38" s="186"/>
    </row>
    <row r="39" spans="1:25" x14ac:dyDescent="0.2">
      <c r="A39" s="186"/>
      <c r="B39" s="270"/>
      <c r="C39" s="291"/>
      <c r="D39" s="291"/>
      <c r="E39" s="291"/>
      <c r="F39" s="291"/>
      <c r="G39" s="291"/>
      <c r="H39" s="291"/>
      <c r="I39" s="291"/>
      <c r="J39" s="291"/>
      <c r="K39" s="186"/>
      <c r="L39" s="186"/>
      <c r="M39" s="186"/>
      <c r="N39" s="186"/>
      <c r="O39" s="186"/>
      <c r="P39" s="186"/>
      <c r="Q39" s="186"/>
      <c r="R39" s="186"/>
      <c r="S39" s="186"/>
      <c r="T39" s="186"/>
      <c r="U39" s="186"/>
      <c r="V39" s="186"/>
      <c r="W39" s="186"/>
      <c r="X39" s="186"/>
      <c r="Y39" s="186"/>
    </row>
    <row r="40" spans="1:25" x14ac:dyDescent="0.2">
      <c r="A40" s="186"/>
      <c r="B40" s="276"/>
      <c r="C40" s="274"/>
      <c r="D40" s="274"/>
      <c r="E40" s="279"/>
      <c r="F40" s="279">
        <f>'Input data'!$C$5-1</f>
        <v>2024</v>
      </c>
      <c r="G40" s="279">
        <f>F40+1</f>
        <v>2025</v>
      </c>
      <c r="H40" s="279">
        <f t="shared" ref="H40:X40" si="1">G40+1</f>
        <v>2026</v>
      </c>
      <c r="I40" s="279">
        <f t="shared" si="1"/>
        <v>2027</v>
      </c>
      <c r="J40" s="279">
        <f t="shared" si="1"/>
        <v>2028</v>
      </c>
      <c r="K40" s="279">
        <f t="shared" si="1"/>
        <v>2029</v>
      </c>
      <c r="L40" s="279">
        <f t="shared" si="1"/>
        <v>2030</v>
      </c>
      <c r="M40" s="279">
        <f t="shared" si="1"/>
        <v>2031</v>
      </c>
      <c r="N40" s="279">
        <f t="shared" si="1"/>
        <v>2032</v>
      </c>
      <c r="O40" s="279">
        <f t="shared" si="1"/>
        <v>2033</v>
      </c>
      <c r="P40" s="279">
        <f t="shared" si="1"/>
        <v>2034</v>
      </c>
      <c r="Q40" s="279">
        <f t="shared" si="1"/>
        <v>2035</v>
      </c>
      <c r="R40" s="279">
        <f t="shared" si="1"/>
        <v>2036</v>
      </c>
      <c r="S40" s="279">
        <f t="shared" si="1"/>
        <v>2037</v>
      </c>
      <c r="T40" s="279">
        <f t="shared" si="1"/>
        <v>2038</v>
      </c>
      <c r="U40" s="279">
        <f t="shared" si="1"/>
        <v>2039</v>
      </c>
      <c r="V40" s="279">
        <f t="shared" si="1"/>
        <v>2040</v>
      </c>
      <c r="W40" s="279">
        <f t="shared" si="1"/>
        <v>2041</v>
      </c>
      <c r="X40" s="279">
        <f t="shared" si="1"/>
        <v>2042</v>
      </c>
      <c r="Y40" s="186"/>
    </row>
    <row r="41" spans="1:25" x14ac:dyDescent="0.2">
      <c r="A41" s="186"/>
      <c r="B41" s="276">
        <v>1</v>
      </c>
      <c r="C41" s="280" t="s">
        <v>143</v>
      </c>
      <c r="D41" s="281">
        <v>56</v>
      </c>
      <c r="E41" s="282" t="s">
        <v>144</v>
      </c>
      <c r="F41" s="269">
        <f ca="1">INDEX(OFFSET('Baseline NFPC'!$C$1:$U$1,$D41-1,0),MATCH(F$4,'Baseline NFPC'!$C$10:$U$10,0))</f>
        <v>43.748150000000003</v>
      </c>
      <c r="G41" s="269">
        <f ca="1">INDEX(OFFSET('Baseline NFPC'!$C$1:$U$1,$D41-1,0),MATCH(G$4,'Baseline NFPC'!$C$10:$U$10,0))</f>
        <v>45.157610209173967</v>
      </c>
      <c r="H41" s="269">
        <f ca="1">INDEX(OFFSET('Baseline NFPC'!$C$1:$U$1,$D41-1,0),MATCH(H$4,'Baseline NFPC'!$C$10:$U$10,0))</f>
        <v>47.86138493227363</v>
      </c>
      <c r="I41" s="269">
        <f ca="1">INDEX(OFFSET('Baseline NFPC'!$C$1:$U$1,$D41-1,0),MATCH(I$4,'Baseline NFPC'!$C$10:$U$10,0))</f>
        <v>48.251113767925901</v>
      </c>
      <c r="J41" s="269">
        <f ca="1">INDEX(OFFSET('Baseline NFPC'!$C$1:$U$1,$D41-1,0),MATCH(J$4,'Baseline NFPC'!$C$10:$U$10,0))</f>
        <v>48.658886297589476</v>
      </c>
      <c r="K41" s="269">
        <f ca="1">INDEX(OFFSET('Baseline NFPC'!$C$1:$U$1,$D41-1,0),MATCH(K$4,'Baseline NFPC'!$C$10:$U$10,0))</f>
        <v>49.108563868732105</v>
      </c>
      <c r="L41" s="269">
        <f ca="1">INDEX(OFFSET('Baseline NFPC'!$C$1:$U$1,$D41-1,0),MATCH(L$4,'Baseline NFPC'!$C$10:$U$10,0))</f>
        <v>49.559845131784883</v>
      </c>
      <c r="M41" s="269">
        <f ca="1">INDEX(OFFSET('Baseline NFPC'!$C$1:$U$1,$D41-1,0),MATCH(M$4,'Baseline NFPC'!$C$10:$U$10,0))</f>
        <v>50.526398348778315</v>
      </c>
      <c r="N41" s="269">
        <f ca="1">INDEX(OFFSET('Baseline NFPC'!$C$1:$U$1,$D41-1,0),MATCH(N$4,'Baseline NFPC'!$C$10:$U$10,0))</f>
        <v>51.770517719886442</v>
      </c>
      <c r="O41" s="269">
        <f ca="1">INDEX(OFFSET('Baseline NFPC'!$C$1:$U$1,$D41-1,0),MATCH(O$4,'Baseline NFPC'!$C$10:$U$10,0))</f>
        <v>53.188845724367795</v>
      </c>
      <c r="P41" s="269">
        <f ca="1">INDEX(OFFSET('Baseline NFPC'!$C$1:$U$1,$D41-1,0),MATCH(P$4,'Baseline NFPC'!$C$10:$U$10,0))</f>
        <v>54.765766831287095</v>
      </c>
      <c r="Q41" s="269">
        <f ca="1">INDEX(OFFSET('Baseline NFPC'!$C$1:$U$1,$D41-1,0),MATCH(Q$4,'Baseline NFPC'!$C$10:$U$10,0))</f>
        <v>56.49603640089309</v>
      </c>
      <c r="R41" s="269">
        <f ca="1">INDEX(OFFSET('Baseline NFPC'!$C$1:$U$1,$D41-1,0),MATCH(R$4,'Baseline NFPC'!$C$10:$U$10,0))</f>
        <v>58.456006967164342</v>
      </c>
      <c r="S41" s="269">
        <f ca="1">INDEX(OFFSET('Baseline NFPC'!$C$1:$U$1,$D41-1,0),MATCH(S$4,'Baseline NFPC'!$C$10:$U$10,0))</f>
        <v>60.638138528929375</v>
      </c>
      <c r="T41" s="269">
        <f ca="1">INDEX(OFFSET('Baseline NFPC'!$C$1:$U$1,$D41-1,0),MATCH(T$4,'Baseline NFPC'!$C$10:$U$10,0))</f>
        <v>62.835090774679905</v>
      </c>
      <c r="U41" s="269">
        <f ca="1">INDEX(OFFSET('Baseline NFPC'!$C$1:$U$1,$D41-1,0),MATCH(U$4,'Baseline NFPC'!$C$10:$U$10,0))</f>
        <v>65.088728236222039</v>
      </c>
      <c r="V41" s="269">
        <f ca="1">INDEX(OFFSET('Baseline NFPC'!$C$1:$U$1,$D41-1,0),MATCH(V$4,'Baseline NFPC'!$C$10:$U$10,0))</f>
        <v>67.38871368178792</v>
      </c>
      <c r="W41" s="269">
        <f ca="1">INDEX(OFFSET('Baseline NFPC'!$C$1:$U$1,$D41-1,0),MATCH(W$4,'Baseline NFPC'!$C$10:$U$10,0))</f>
        <v>69.897492014028487</v>
      </c>
      <c r="X41" s="269">
        <f ca="1">INDEX(OFFSET('Baseline NFPC'!$C$1:$U$1,$D41-1,0),MATCH(X$4,'Baseline NFPC'!$C$10:$U$10,0))</f>
        <v>72.409632686836588</v>
      </c>
      <c r="Y41" s="186"/>
    </row>
    <row r="42" spans="1:25" x14ac:dyDescent="0.2">
      <c r="A42" s="186"/>
      <c r="B42" s="276">
        <v>2</v>
      </c>
      <c r="C42" s="280" t="s">
        <v>145</v>
      </c>
      <c r="D42" s="281">
        <v>76</v>
      </c>
      <c r="E42" s="282" t="s">
        <v>144</v>
      </c>
      <c r="F42" s="269">
        <f ca="1">INDEX(OFFSET('Baseline NFPC'!$C$1:$U$1,$D42-1,0),MATCH(F$4,'Baseline NFPC'!$C$10:$U$10,0))</f>
        <v>-0.94488970000000005</v>
      </c>
      <c r="G42" s="269">
        <f ca="1">INDEX(OFFSET('Baseline NFPC'!$C$1:$U$1,$D42-1,0),MATCH(G$4,'Baseline NFPC'!$C$10:$U$10,0))</f>
        <v>-1.8748091525852035</v>
      </c>
      <c r="H42" s="269">
        <f ca="1">INDEX(OFFSET('Baseline NFPC'!$C$1:$U$1,$D42-1,0),MATCH(H$4,'Baseline NFPC'!$C$10:$U$10,0))</f>
        <v>-2.6660145879216097</v>
      </c>
      <c r="I42" s="269">
        <f ca="1">INDEX(OFFSET('Baseline NFPC'!$C$1:$U$1,$D42-1,0),MATCH(I$4,'Baseline NFPC'!$C$10:$U$10,0))</f>
        <v>-2.105627595059262</v>
      </c>
      <c r="J42" s="269">
        <f ca="1">INDEX(OFFSET('Baseline NFPC'!$C$1:$U$1,$D42-1,0),MATCH(J$4,'Baseline NFPC'!$C$10:$U$10,0))</f>
        <v>-2.1200003531271223</v>
      </c>
      <c r="K42" s="269">
        <f ca="1">INDEX(OFFSET('Baseline NFPC'!$C$1:$U$1,$D42-1,0),MATCH(K$4,'Baseline NFPC'!$C$10:$U$10,0))</f>
        <v>-2.1366836012290995</v>
      </c>
      <c r="L42" s="269">
        <f ca="1">INDEX(OFFSET('Baseline NFPC'!$C$1:$U$1,$D42-1,0),MATCH(L$4,'Baseline NFPC'!$C$10:$U$10,0))</f>
        <v>-2.1548470756582612</v>
      </c>
      <c r="M42" s="269">
        <f ca="1">INDEX(OFFSET('Baseline NFPC'!$C$1:$U$1,$D42-1,0),MATCH(M$4,'Baseline NFPC'!$C$10:$U$10,0))</f>
        <v>-2.542448837917556</v>
      </c>
      <c r="N42" s="269">
        <f ca="1">INDEX(OFFSET('Baseline NFPC'!$C$1:$U$1,$D42-1,0),MATCH(N$4,'Baseline NFPC'!$C$10:$U$10,0))</f>
        <v>-2.844465742303397</v>
      </c>
      <c r="O42" s="269">
        <f ca="1">INDEX(OFFSET('Baseline NFPC'!$C$1:$U$1,$D42-1,0),MATCH(O$4,'Baseline NFPC'!$C$10:$U$10,0))</f>
        <v>-3.0581034338708482</v>
      </c>
      <c r="P42" s="269">
        <f ca="1">INDEX(OFFSET('Baseline NFPC'!$C$1:$U$1,$D42-1,0),MATCH(P$4,'Baseline NFPC'!$C$10:$U$10,0))</f>
        <v>-3.2799113804396263</v>
      </c>
      <c r="Q42" s="269">
        <f ca="1">INDEX(OFFSET('Baseline NFPC'!$C$1:$U$1,$D42-1,0),MATCH(Q$4,'Baseline NFPC'!$C$10:$U$10,0))</f>
        <v>-3.5100702306050637</v>
      </c>
      <c r="R42" s="269">
        <f ca="1">INDEX(OFFSET('Baseline NFPC'!$C$1:$U$1,$D42-1,0),MATCH(R$4,'Baseline NFPC'!$C$10:$U$10,0))</f>
        <v>-3.8308703282312471</v>
      </c>
      <c r="S42" s="269">
        <f ca="1">INDEX(OFFSET('Baseline NFPC'!$C$1:$U$1,$D42-1,0),MATCH(S$4,'Baseline NFPC'!$C$10:$U$10,0))</f>
        <v>-4.1539605766660745</v>
      </c>
      <c r="T42" s="269">
        <f ca="1">INDEX(OFFSET('Baseline NFPC'!$C$1:$U$1,$D42-1,0),MATCH(T$4,'Baseline NFPC'!$C$10:$U$10,0))</f>
        <v>-4.2796923610740301</v>
      </c>
      <c r="U42" s="269">
        <f ca="1">INDEX(OFFSET('Baseline NFPC'!$C$1:$U$1,$D42-1,0),MATCH(U$4,'Baseline NFPC'!$C$10:$U$10,0))</f>
        <v>-4.4992349635410402</v>
      </c>
      <c r="V42" s="269">
        <f ca="1">INDEX(OFFSET('Baseline NFPC'!$C$1:$U$1,$D42-1,0),MATCH(V$4,'Baseline NFPC'!$C$10:$U$10,0))</f>
        <v>-4.7163660122695079</v>
      </c>
      <c r="W42" s="269">
        <f ca="1">INDEX(OFFSET('Baseline NFPC'!$C$1:$U$1,$D42-1,0),MATCH(W$4,'Baseline NFPC'!$C$10:$U$10,0))</f>
        <v>-5.0335729697636022</v>
      </c>
      <c r="X42" s="269">
        <f ca="1">INDEX(OFFSET('Baseline NFPC'!$C$1:$U$1,$D42-1,0),MATCH(X$4,'Baseline NFPC'!$C$10:$U$10,0))</f>
        <v>-5.1547959275733994</v>
      </c>
      <c r="Y42" s="186"/>
    </row>
    <row r="43" spans="1:25" x14ac:dyDescent="0.2">
      <c r="A43" s="186"/>
      <c r="B43" s="276">
        <v>3</v>
      </c>
      <c r="C43" s="280" t="s">
        <v>18</v>
      </c>
      <c r="D43" s="281">
        <v>12</v>
      </c>
      <c r="E43" s="282" t="s">
        <v>146</v>
      </c>
      <c r="F43" s="269">
        <f ca="1">INDEX(OFFSET('Baseline NFPC'!$C$1:$U$1,$D43-1,0),MATCH(F$4,'Baseline NFPC'!$C$10:$U$10,0))</f>
        <v>0.386237</v>
      </c>
      <c r="G43" s="269">
        <f ca="1">INDEX(OFFSET('Baseline NFPC'!$C$1:$U$1,$D43-1,0),MATCH(G$4,'Baseline NFPC'!$C$10:$U$10,0))</f>
        <v>-0.55773950000000005</v>
      </c>
      <c r="H43" s="269">
        <f ca="1">INDEX(OFFSET('Baseline NFPC'!$C$1:$U$1,$D43-1,0),MATCH(H$4,'Baseline NFPC'!$C$10:$U$10,0))</f>
        <v>-0.55773950000000005</v>
      </c>
      <c r="I43" s="269">
        <f ca="1">INDEX(OFFSET('Baseline NFPC'!$C$1:$U$1,$D43-1,0),MATCH(I$4,'Baseline NFPC'!$C$10:$U$10,0))</f>
        <v>-0.55773950000000005</v>
      </c>
      <c r="J43" s="269">
        <f ca="1">INDEX(OFFSET('Baseline NFPC'!$C$1:$U$1,$D43-1,0),MATCH(J$4,'Baseline NFPC'!$C$10:$U$10,0))</f>
        <v>-0.55773950000000005</v>
      </c>
      <c r="K43" s="269">
        <f ca="1">INDEX(OFFSET('Baseline NFPC'!$C$1:$U$1,$D43-1,0),MATCH(K$4,'Baseline NFPC'!$C$10:$U$10,0))</f>
        <v>-0.55773950000000005</v>
      </c>
      <c r="L43" s="269">
        <f ca="1">INDEX(OFFSET('Baseline NFPC'!$C$1:$U$1,$D43-1,0),MATCH(L$4,'Baseline NFPC'!$C$10:$U$10,0))</f>
        <v>-0.55773950000000005</v>
      </c>
      <c r="M43" s="269">
        <f ca="1">INDEX(OFFSET('Baseline NFPC'!$C$1:$U$1,$D43-1,0),MATCH(M$4,'Baseline NFPC'!$C$10:$U$10,0))</f>
        <v>-0.55773950000000005</v>
      </c>
      <c r="N43" s="269">
        <f ca="1">INDEX(OFFSET('Baseline NFPC'!$C$1:$U$1,$D43-1,0),MATCH(N$4,'Baseline NFPC'!$C$10:$U$10,0))</f>
        <v>-0.55773950000000005</v>
      </c>
      <c r="O43" s="269">
        <f ca="1">INDEX(OFFSET('Baseline NFPC'!$C$1:$U$1,$D43-1,0),MATCH(O$4,'Baseline NFPC'!$C$10:$U$10,0))</f>
        <v>-0.55773950000000005</v>
      </c>
      <c r="P43" s="269">
        <f ca="1">INDEX(OFFSET('Baseline NFPC'!$C$1:$U$1,$D43-1,0),MATCH(P$4,'Baseline NFPC'!$C$10:$U$10,0))</f>
        <v>-0.55773950000000005</v>
      </c>
      <c r="Q43" s="269">
        <f ca="1">INDEX(OFFSET('Baseline NFPC'!$C$1:$U$1,$D43-1,0),MATCH(Q$4,'Baseline NFPC'!$C$10:$U$10,0))</f>
        <v>-0.55773950000000005</v>
      </c>
      <c r="R43" s="269">
        <f ca="1">INDEX(OFFSET('Baseline NFPC'!$C$1:$U$1,$D43-1,0),MATCH(R$4,'Baseline NFPC'!$C$10:$U$10,0))</f>
        <v>-0.55773950000000005</v>
      </c>
      <c r="S43" s="269">
        <f ca="1">INDEX(OFFSET('Baseline NFPC'!$C$1:$U$1,$D43-1,0),MATCH(S$4,'Baseline NFPC'!$C$10:$U$10,0))</f>
        <v>-0.55773950000000005</v>
      </c>
      <c r="T43" s="269">
        <f ca="1">INDEX(OFFSET('Baseline NFPC'!$C$1:$U$1,$D43-1,0),MATCH(T$4,'Baseline NFPC'!$C$10:$U$10,0))</f>
        <v>-0.55773950000000005</v>
      </c>
      <c r="U43" s="269">
        <f ca="1">INDEX(OFFSET('Baseline NFPC'!$C$1:$U$1,$D43-1,0),MATCH(U$4,'Baseline NFPC'!$C$10:$U$10,0))</f>
        <v>-0.55773950000000005</v>
      </c>
      <c r="V43" s="269">
        <f ca="1">INDEX(OFFSET('Baseline NFPC'!$C$1:$U$1,$D43-1,0),MATCH(V$4,'Baseline NFPC'!$C$10:$U$10,0))</f>
        <v>-0.55773950000000005</v>
      </c>
      <c r="W43" s="269">
        <f ca="1">INDEX(OFFSET('Baseline NFPC'!$C$1:$U$1,$D43-1,0),MATCH(W$4,'Baseline NFPC'!$C$10:$U$10,0))</f>
        <v>-0.55773950000000005</v>
      </c>
      <c r="X43" s="269">
        <f ca="1">INDEX(OFFSET('Baseline NFPC'!$C$1:$U$1,$D43-1,0),MATCH(X$4,'Baseline NFPC'!$C$10:$U$10,0))</f>
        <v>-0.55773950000000005</v>
      </c>
      <c r="Y43" s="186"/>
    </row>
    <row r="44" spans="1:25" x14ac:dyDescent="0.2">
      <c r="A44" s="186"/>
      <c r="B44" s="276">
        <v>4</v>
      </c>
      <c r="C44" s="280" t="s">
        <v>147</v>
      </c>
      <c r="D44" s="281">
        <v>61</v>
      </c>
      <c r="E44" s="282" t="s">
        <v>146</v>
      </c>
      <c r="F44" s="269">
        <f ca="1">INDEX(OFFSET('Baseline NFPC'!$C$1:$U$1,$D44-1,0),MATCH(F$4,'Baseline NFPC'!$C$10:$U$10,0))</f>
        <v>0</v>
      </c>
      <c r="G44" s="269">
        <f ca="1">INDEX(OFFSET('Baseline NFPC'!$C$1:$U$1,$D44-1,0),MATCH(G$4,'Baseline NFPC'!$C$10:$U$10,0))</f>
        <v>0.57430420917396185</v>
      </c>
      <c r="H44" s="269">
        <f ca="1">INDEX(OFFSET('Baseline NFPC'!$C$1:$U$1,$D44-1,0),MATCH(H$4,'Baseline NFPC'!$C$10:$U$10,0))</f>
        <v>0.66441172309966023</v>
      </c>
      <c r="I44" s="269">
        <f ca="1">INDEX(OFFSET('Baseline NFPC'!$C$1:$U$1,$D44-1,0),MATCH(I$4,'Baseline NFPC'!$C$10:$U$10,0))</f>
        <v>0.49370468565226816</v>
      </c>
      <c r="J44" s="269">
        <f ca="1">INDEX(OFFSET('Baseline NFPC'!$C$1:$U$1,$D44-1,0),MATCH(J$4,'Baseline NFPC'!$C$10:$U$10,0))</f>
        <v>0.32913858062013429</v>
      </c>
      <c r="K44" s="269">
        <f ca="1">INDEX(OFFSET('Baseline NFPC'!$C$1:$U$1,$D44-1,0),MATCH(K$4,'Baseline NFPC'!$C$10:$U$10,0))</f>
        <v>0.16456822422782991</v>
      </c>
      <c r="L44" s="269">
        <f ca="1">INDEX(OFFSET('Baseline NFPC'!$C$1:$U$1,$D44-1,0),MATCH(L$4,'Baseline NFPC'!$C$10:$U$10,0))</f>
        <v>6.0044019600802301E-7</v>
      </c>
      <c r="M44" s="269">
        <f ca="1">INDEX(OFFSET('Baseline NFPC'!$C$1:$U$1,$D44-1,0),MATCH(M$4,'Baseline NFPC'!$C$10:$U$10,0))</f>
        <v>1.7976405874975399E-6</v>
      </c>
      <c r="N44" s="269">
        <f ca="1">INDEX(OFFSET('Baseline NFPC'!$C$1:$U$1,$D44-1,0),MATCH(N$4,'Baseline NFPC'!$C$10:$U$10,0))</f>
        <v>1.7976405874975399E-6</v>
      </c>
      <c r="O44" s="269">
        <f ca="1">INDEX(OFFSET('Baseline NFPC'!$C$1:$U$1,$D44-1,0),MATCH(O$4,'Baseline NFPC'!$C$10:$U$10,0))</f>
        <v>1.1987049993167354E-6</v>
      </c>
      <c r="P44" s="269">
        <f ca="1">INDEX(OFFSET('Baseline NFPC'!$C$1:$U$1,$D44-1,0),MATCH(P$4,'Baseline NFPC'!$C$10:$U$10,0))</f>
        <v>2.3964094164607985E-6</v>
      </c>
      <c r="Q44" s="269">
        <f ca="1">INDEX(OFFSET('Baseline NFPC'!$C$1:$U$1,$D44-1,0),MATCH(Q$4,'Baseline NFPC'!$C$10:$U$10,0))</f>
        <v>-1.1956956963432575E-6</v>
      </c>
      <c r="R44" s="269">
        <f ca="1">INDEX(OFFSET('Baseline NFPC'!$C$1:$U$1,$D44-1,0),MATCH(R$4,'Baseline NFPC'!$C$10:$U$10,0))</f>
        <v>-2.3921365062129496E-6</v>
      </c>
      <c r="S44" s="269">
        <f ca="1">INDEX(OFFSET('Baseline NFPC'!$C$1:$U$1,$D44-1,0),MATCH(S$4,'Baseline NFPC'!$C$10:$U$10,0))</f>
        <v>-5.9786803633388175E-6</v>
      </c>
      <c r="T44" s="269">
        <f ca="1">INDEX(OFFSET('Baseline NFPC'!$C$1:$U$1,$D44-1,0),MATCH(T$4,'Baseline NFPC'!$C$10:$U$10,0))</f>
        <v>-6.5759753409277977E-6</v>
      </c>
      <c r="U44" s="269">
        <f ca="1">INDEX(OFFSET('Baseline NFPC'!$C$1:$U$1,$D44-1,0),MATCH(U$4,'Baseline NFPC'!$C$10:$U$10,0))</f>
        <v>-7.1723282804025956E-6</v>
      </c>
      <c r="V44" s="269">
        <f ca="1">INDEX(OFFSET('Baseline NFPC'!$C$1:$U$1,$D44-1,0),MATCH(V$4,'Baseline NFPC'!$C$10:$U$10,0))</f>
        <v>-4.7906726517998877E-6</v>
      </c>
      <c r="W44" s="269">
        <f ca="1">INDEX(OFFSET('Baseline NFPC'!$C$1:$U$1,$D44-1,0),MATCH(W$4,'Baseline NFPC'!$C$10:$U$10,0))</f>
        <v>-1.8150674530037492E-6</v>
      </c>
      <c r="X44" s="269">
        <f ca="1">INDEX(OFFSET('Baseline NFPC'!$C$1:$U$1,$D44-1,0),MATCH(X$4,'Baseline NFPC'!$C$10:$U$10,0))</f>
        <v>-4.1943812789657642E-6</v>
      </c>
      <c r="Y44" s="186"/>
    </row>
    <row r="45" spans="1:25" x14ac:dyDescent="0.2">
      <c r="A45" s="186"/>
      <c r="B45" s="276">
        <v>5</v>
      </c>
      <c r="C45" s="280" t="s">
        <v>149</v>
      </c>
      <c r="D45" s="281">
        <v>67</v>
      </c>
      <c r="E45" s="282" t="s">
        <v>144</v>
      </c>
      <c r="F45" s="269">
        <f ca="1">INDEX(OFFSET('Baseline NFPC'!$C$1:$U$1,$D45-1,0),MATCH(F$4,'Baseline NFPC'!$C$10:$U$10,0))</f>
        <v>0</v>
      </c>
      <c r="G45" s="269">
        <f ca="1">INDEX(OFFSET('Baseline NFPC'!$C$1:$U$1,$D45-1,0),MATCH(G$4,'Baseline NFPC'!$C$10:$U$10,0))</f>
        <v>0.71728822977332674</v>
      </c>
      <c r="H45" s="269">
        <f ca="1">INDEX(OFFSET('Baseline NFPC'!$C$1:$U$1,$D45-1,0),MATCH(H$4,'Baseline NFPC'!$C$10:$U$10,0))</f>
        <v>0.74801828719034313</v>
      </c>
      <c r="I45" s="269">
        <f ca="1">INDEX(OFFSET('Baseline NFPC'!$C$1:$U$1,$D45-1,0),MATCH(I$4,'Baseline NFPC'!$C$10:$U$10,0))</f>
        <v>0.8427024455576394</v>
      </c>
      <c r="J45" s="269">
        <f ca="1">INDEX(OFFSET('Baseline NFPC'!$C$1:$U$1,$D45-1,0),MATCH(J$4,'Baseline NFPC'!$C$10:$U$10,0))</f>
        <v>0.91590137250698755</v>
      </c>
      <c r="K45" s="269">
        <f ca="1">INDEX(OFFSET('Baseline NFPC'!$C$1:$U$1,$D45-1,0),MATCH(K$4,'Baseline NFPC'!$C$10:$U$10,0))</f>
        <v>0.99141467700127472</v>
      </c>
      <c r="L45" s="269">
        <f ca="1">INDEX(OFFSET('Baseline NFPC'!$C$1:$U$1,$D45-1,0),MATCH(L$4,'Baseline NFPC'!$C$10:$U$10,0))</f>
        <v>1.0684053752180684</v>
      </c>
      <c r="M45" s="269">
        <f ca="1">INDEX(OFFSET('Baseline NFPC'!$C$1:$U$1,$D45-1,0),MATCH(M$4,'Baseline NFPC'!$C$10:$U$10,0))</f>
        <v>1.1502656402769718</v>
      </c>
      <c r="N45" s="269">
        <f ca="1">INDEX(OFFSET('Baseline NFPC'!$C$1:$U$1,$D45-1,0),MATCH(N$4,'Baseline NFPC'!$C$10:$U$10,0))</f>
        <v>1.2465422446628132</v>
      </c>
      <c r="O45" s="269">
        <f ca="1">INDEX(OFFSET('Baseline NFPC'!$C$1:$U$1,$D45-1,0),MATCH(O$4,'Baseline NFPC'!$C$10:$U$10,0))</f>
        <v>1.3544402351658511</v>
      </c>
      <c r="P45" s="269">
        <f ca="1">INDEX(OFFSET('Baseline NFPC'!$C$1:$U$1,$D45-1,0),MATCH(P$4,'Baseline NFPC'!$C$10:$U$10,0))</f>
        <v>1.4705066840302141</v>
      </c>
      <c r="Q45" s="269">
        <f ca="1">INDEX(OFFSET('Baseline NFPC'!$C$1:$U$1,$D45-1,0),MATCH(Q$4,'Baseline NFPC'!$C$10:$U$10,0))</f>
        <v>1.5949287263007628</v>
      </c>
      <c r="R45" s="269">
        <f ca="1">INDEX(OFFSET('Baseline NFPC'!$C$1:$U$1,$D45-1,0),MATCH(R$4,'Baseline NFPC'!$C$10:$U$10,0))</f>
        <v>1.7099897203677572</v>
      </c>
      <c r="S45" s="269">
        <f ca="1">INDEX(OFFSET('Baseline NFPC'!$C$1:$U$1,$D45-1,0),MATCH(S$4,'Baseline NFPC'!$C$10:$U$10,0))</f>
        <v>1.8273433553464422</v>
      </c>
      <c r="T45" s="269">
        <f ca="1">INDEX(OFFSET('Baseline NFPC'!$C$1:$U$1,$D45-1,0),MATCH(T$4,'Baseline NFPC'!$C$10:$U$10,0))</f>
        <v>1.9473353370493749</v>
      </c>
      <c r="U45" s="269">
        <f ca="1">INDEX(OFFSET('Baseline NFPC'!$C$1:$U$1,$D45-1,0),MATCH(U$4,'Baseline NFPC'!$C$10:$U$10,0))</f>
        <v>2.0611382358693238</v>
      </c>
      <c r="V45" s="269">
        <f ca="1">INDEX(OFFSET('Baseline NFPC'!$C$1:$U$1,$D45-1,0),MATCH(V$4,'Baseline NFPC'!$C$10:$U$10,0))</f>
        <v>2.1725266029421646</v>
      </c>
      <c r="W45" s="269">
        <f ca="1">INDEX(OFFSET('Baseline NFPC'!$C$1:$U$1,$D45-1,0),MATCH(W$4,'Baseline NFPC'!$C$10:$U$10,0))</f>
        <v>2.2839902848310576</v>
      </c>
      <c r="X45" s="269">
        <f ca="1">INDEX(OFFSET('Baseline NFPC'!$C$1:$U$1,$D45-1,0),MATCH(X$4,'Baseline NFPC'!$C$10:$U$10,0))</f>
        <v>2.3994753219546809</v>
      </c>
      <c r="Y45" s="186"/>
    </row>
    <row r="46" spans="1:25" x14ac:dyDescent="0.2">
      <c r="A46" s="186"/>
      <c r="B46" s="276">
        <v>6</v>
      </c>
      <c r="C46" s="283" t="s">
        <v>61</v>
      </c>
      <c r="D46" s="281">
        <v>36</v>
      </c>
      <c r="E46" s="282" t="s">
        <v>150</v>
      </c>
      <c r="F46" s="269">
        <f ca="1">INDEX(OFFSET('Baseline NFPC'!$C$1:$U$1,$D46-1,0),MATCH(F$4,'Baseline NFPC'!$C$10:$U$10,0))</f>
        <v>2.6204999999999998</v>
      </c>
      <c r="G46" s="269">
        <f ca="1">INDEX(OFFSET('Baseline NFPC'!$C$1:$U$1,$D46-1,0),MATCH(G$4,'Baseline NFPC'!$C$10:$U$10,0))</f>
        <v>2.78965</v>
      </c>
      <c r="H46" s="269">
        <f ca="1">INDEX(OFFSET('Baseline NFPC'!$C$1:$U$1,$D46-1,0),MATCH(H$4,'Baseline NFPC'!$C$10:$U$10,0))</f>
        <v>2.8949530000000001</v>
      </c>
      <c r="I46" s="269">
        <f ca="1">INDEX(OFFSET('Baseline NFPC'!$C$1:$U$1,$D46-1,0),MATCH(I$4,'Baseline NFPC'!$C$10:$U$10,0))</f>
        <v>3.0816759999999999</v>
      </c>
      <c r="J46" s="269">
        <f ca="1">INDEX(OFFSET('Baseline NFPC'!$C$1:$U$1,$D46-1,0),MATCH(J$4,'Baseline NFPC'!$C$10:$U$10,0))</f>
        <v>3.188669</v>
      </c>
      <c r="K46" s="269">
        <f ca="1">INDEX(OFFSET('Baseline NFPC'!$C$1:$U$1,$D46-1,0),MATCH(K$4,'Baseline NFPC'!$C$10:$U$10,0))</f>
        <v>3.2956620000000001</v>
      </c>
      <c r="L46" s="269">
        <f ca="1">INDEX(OFFSET('Baseline NFPC'!$C$1:$U$1,$D46-1,0),MATCH(L$4,'Baseline NFPC'!$C$10:$U$10,0))</f>
        <v>3.4026550000000002</v>
      </c>
      <c r="M46" s="269">
        <f ca="1">INDEX(OFFSET('Baseline NFPC'!$C$1:$U$1,$D46-1,0),MATCH(M$4,'Baseline NFPC'!$C$10:$U$10,0))</f>
        <v>3.5096480000000003</v>
      </c>
      <c r="N46" s="269">
        <f ca="1">INDEX(OFFSET('Baseline NFPC'!$C$1:$U$1,$D46-1,0),MATCH(N$4,'Baseline NFPC'!$C$10:$U$10,0))</f>
        <v>3.6166410000000004</v>
      </c>
      <c r="O46" s="269">
        <f ca="1">INDEX(OFFSET('Baseline NFPC'!$C$1:$U$1,$D46-1,0),MATCH(O$4,'Baseline NFPC'!$C$10:$U$10,0))</f>
        <v>3.7236340000000006</v>
      </c>
      <c r="P46" s="269">
        <f ca="1">INDEX(OFFSET('Baseline NFPC'!$C$1:$U$1,$D46-1,0),MATCH(P$4,'Baseline NFPC'!$C$10:$U$10,0))</f>
        <v>3.8306270000000007</v>
      </c>
      <c r="Q46" s="269">
        <f ca="1">INDEX(OFFSET('Baseline NFPC'!$C$1:$U$1,$D46-1,0),MATCH(Q$4,'Baseline NFPC'!$C$10:$U$10,0))</f>
        <v>3.9376199999999999</v>
      </c>
      <c r="R46" s="269">
        <f ca="1">INDEX(OFFSET('Baseline NFPC'!$C$1:$U$1,$D46-1,0),MATCH(R$4,'Baseline NFPC'!$C$10:$U$10,0))</f>
        <v>3.9407389999999998</v>
      </c>
      <c r="S46" s="269">
        <f ca="1">INDEX(OFFSET('Baseline NFPC'!$C$1:$U$1,$D46-1,0),MATCH(S$4,'Baseline NFPC'!$C$10:$U$10,0))</f>
        <v>3.9438580000000001</v>
      </c>
      <c r="T46" s="269">
        <f ca="1">INDEX(OFFSET('Baseline NFPC'!$C$1:$U$1,$D46-1,0),MATCH(T$4,'Baseline NFPC'!$C$10:$U$10,0))</f>
        <v>3.946977</v>
      </c>
      <c r="U46" s="269">
        <f ca="1">INDEX(OFFSET('Baseline NFPC'!$C$1:$U$1,$D46-1,0),MATCH(U$4,'Baseline NFPC'!$C$10:$U$10,0))</f>
        <v>3.9500959999999998</v>
      </c>
      <c r="V46" s="269">
        <f ca="1">INDEX(OFFSET('Baseline NFPC'!$C$1:$U$1,$D46-1,0),MATCH(V$4,'Baseline NFPC'!$C$10:$U$10,0))</f>
        <v>3.9532150000000001</v>
      </c>
      <c r="W46" s="269">
        <f ca="1">INDEX(OFFSET('Baseline NFPC'!$C$1:$U$1,$D46-1,0),MATCH(W$4,'Baseline NFPC'!$C$10:$U$10,0))</f>
        <v>3.956334</v>
      </c>
      <c r="X46" s="269">
        <f ca="1">INDEX(OFFSET('Baseline NFPC'!$C$1:$U$1,$D46-1,0),MATCH(X$4,'Baseline NFPC'!$C$10:$U$10,0))</f>
        <v>3.9594529999999999</v>
      </c>
      <c r="Y46" s="186"/>
    </row>
    <row r="47" spans="1:25" x14ac:dyDescent="0.2">
      <c r="A47" s="186"/>
      <c r="B47" s="276">
        <v>7</v>
      </c>
      <c r="C47" s="283" t="s">
        <v>62</v>
      </c>
      <c r="D47" s="281">
        <v>37</v>
      </c>
      <c r="E47" s="282" t="s">
        <v>150</v>
      </c>
      <c r="F47" s="269">
        <f ca="1">INDEX(OFFSET('Baseline NFPC'!$C$1:$U$1,$D47-1,0),MATCH(F$4,'Baseline NFPC'!$C$10:$U$10,0))</f>
        <v>3.5708329999999999</v>
      </c>
      <c r="G47" s="269">
        <f ca="1">INDEX(OFFSET('Baseline NFPC'!$C$1:$U$1,$D47-1,0),MATCH(G$4,'Baseline NFPC'!$C$10:$U$10,0))</f>
        <v>2.1725829999999999</v>
      </c>
      <c r="H47" s="269">
        <f ca="1">INDEX(OFFSET('Baseline NFPC'!$C$1:$U$1,$D47-1,0),MATCH(H$4,'Baseline NFPC'!$C$10:$U$10,0))</f>
        <v>1.91225</v>
      </c>
      <c r="I47" s="269">
        <f ca="1">INDEX(OFFSET('Baseline NFPC'!$C$1:$U$1,$D47-1,0),MATCH(I$4,'Baseline NFPC'!$C$10:$U$10,0))</f>
        <v>2.024375</v>
      </c>
      <c r="J47" s="269">
        <f ca="1">INDEX(OFFSET('Baseline NFPC'!$C$1:$U$1,$D47-1,0),MATCH(J$4,'Baseline NFPC'!$C$10:$U$10,0))</f>
        <v>2.1784318750000002</v>
      </c>
      <c r="K47" s="269">
        <f ca="1">INDEX(OFFSET('Baseline NFPC'!$C$1:$U$1,$D47-1,0),MATCH(K$4,'Baseline NFPC'!$C$10:$U$10,0))</f>
        <v>2.3324887500000004</v>
      </c>
      <c r="L47" s="269">
        <f ca="1">INDEX(OFFSET('Baseline NFPC'!$C$1:$U$1,$D47-1,0),MATCH(L$4,'Baseline NFPC'!$C$10:$U$10,0))</f>
        <v>2.4865456250000006</v>
      </c>
      <c r="M47" s="269">
        <f ca="1">INDEX(OFFSET('Baseline NFPC'!$C$1:$U$1,$D47-1,0),MATCH(M$4,'Baseline NFPC'!$C$10:$U$10,0))</f>
        <v>2.6406025000000009</v>
      </c>
      <c r="N47" s="269">
        <f ca="1">INDEX(OFFSET('Baseline NFPC'!$C$1:$U$1,$D47-1,0),MATCH(N$4,'Baseline NFPC'!$C$10:$U$10,0))</f>
        <v>2.7946593750000011</v>
      </c>
      <c r="O47" s="269">
        <f ca="1">INDEX(OFFSET('Baseline NFPC'!$C$1:$U$1,$D47-1,0),MATCH(O$4,'Baseline NFPC'!$C$10:$U$10,0))</f>
        <v>2.9487162500000013</v>
      </c>
      <c r="P47" s="269">
        <f ca="1">INDEX(OFFSET('Baseline NFPC'!$C$1:$U$1,$D47-1,0),MATCH(P$4,'Baseline NFPC'!$C$10:$U$10,0))</f>
        <v>3.1027731250000015</v>
      </c>
      <c r="Q47" s="269">
        <f ca="1">INDEX(OFFSET('Baseline NFPC'!$C$1:$U$1,$D47-1,0),MATCH(Q$4,'Baseline NFPC'!$C$10:$U$10,0))</f>
        <v>3.2568299999999999</v>
      </c>
      <c r="R47" s="269">
        <f ca="1">INDEX(OFFSET('Baseline NFPC'!$C$1:$U$1,$D47-1,0),MATCH(R$4,'Baseline NFPC'!$C$10:$U$10,0))</f>
        <v>3.1939884999999997</v>
      </c>
      <c r="S47" s="269">
        <f ca="1">INDEX(OFFSET('Baseline NFPC'!$C$1:$U$1,$D47-1,0),MATCH(S$4,'Baseline NFPC'!$C$10:$U$10,0))</f>
        <v>3.1311469999999999</v>
      </c>
      <c r="T47" s="269">
        <f ca="1">INDEX(OFFSET('Baseline NFPC'!$C$1:$U$1,$D47-1,0),MATCH(T$4,'Baseline NFPC'!$C$10:$U$10,0))</f>
        <v>3.0683055000000001</v>
      </c>
      <c r="U47" s="269">
        <f ca="1">INDEX(OFFSET('Baseline NFPC'!$C$1:$U$1,$D47-1,0),MATCH(U$4,'Baseline NFPC'!$C$10:$U$10,0))</f>
        <v>3.0054639999999999</v>
      </c>
      <c r="V47" s="269">
        <f ca="1">INDEX(OFFSET('Baseline NFPC'!$C$1:$U$1,$D47-1,0),MATCH(V$4,'Baseline NFPC'!$C$10:$U$10,0))</f>
        <v>2.9426224999999997</v>
      </c>
      <c r="W47" s="269">
        <f ca="1">INDEX(OFFSET('Baseline NFPC'!$C$1:$U$1,$D47-1,0),MATCH(W$4,'Baseline NFPC'!$C$10:$U$10,0))</f>
        <v>2.8797809999999999</v>
      </c>
      <c r="X47" s="269">
        <f ca="1">INDEX(OFFSET('Baseline NFPC'!$C$1:$U$1,$D47-1,0),MATCH(X$4,'Baseline NFPC'!$C$10:$U$10,0))</f>
        <v>2.8169395000000002</v>
      </c>
      <c r="Y47" s="186"/>
    </row>
    <row r="48" spans="1:25" x14ac:dyDescent="0.2">
      <c r="A48" s="186"/>
      <c r="B48" s="276">
        <v>8</v>
      </c>
      <c r="C48" s="280" t="s">
        <v>151</v>
      </c>
      <c r="D48" s="281">
        <v>35</v>
      </c>
      <c r="E48" s="282" t="s">
        <v>150</v>
      </c>
      <c r="F48" s="269">
        <f ca="1">INDEX(OFFSET('Baseline NFPC'!$C$1:$U$1,$D48-1,0),MATCH(F$4,'Baseline NFPC'!$C$10:$U$10,0))</f>
        <v>1.6465860000000001</v>
      </c>
      <c r="G48" s="269">
        <f ca="1">INDEX(OFFSET('Baseline NFPC'!$C$1:$U$1,$D48-1,0),MATCH(G$4,'Baseline NFPC'!$C$10:$U$10,0))</f>
        <v>1.72</v>
      </c>
      <c r="H48" s="269">
        <f ca="1">INDEX(OFFSET('Baseline NFPC'!$C$1:$U$1,$D48-1,0),MATCH(H$4,'Baseline NFPC'!$C$10:$U$10,0))</f>
        <v>1.7322979999999999</v>
      </c>
      <c r="I48" s="269">
        <f ca="1">INDEX(OFFSET('Baseline NFPC'!$C$1:$U$1,$D48-1,0),MATCH(I$4,'Baseline NFPC'!$C$10:$U$10,0))</f>
        <v>1.8261860000000001</v>
      </c>
      <c r="J48" s="269">
        <f ca="1">INDEX(OFFSET('Baseline NFPC'!$C$1:$U$1,$D48-1,0),MATCH(J$4,'Baseline NFPC'!$C$10:$U$10,0))</f>
        <v>1.9680345885373955</v>
      </c>
      <c r="K48" s="269">
        <f ca="1">INDEX(OFFSET('Baseline NFPC'!$C$1:$U$1,$D48-1,0),MATCH(K$4,'Baseline NFPC'!$C$10:$U$10,0))</f>
        <v>2.1106557186027199</v>
      </c>
      <c r="L48" s="269">
        <f ca="1">INDEX(OFFSET('Baseline NFPC'!$C$1:$U$1,$D48-1,0),MATCH(L$4,'Baseline NFPC'!$C$10:$U$10,0))</f>
        <v>2.253782130637568</v>
      </c>
      <c r="M48" s="269">
        <f ca="1">INDEX(OFFSET('Baseline NFPC'!$C$1:$U$1,$D48-1,0),MATCH(M$4,'Baseline NFPC'!$C$10:$U$10,0))</f>
        <v>2.3971883348548015</v>
      </c>
      <c r="N48" s="269">
        <f ca="1">INDEX(OFFSET('Baseline NFPC'!$C$1:$U$1,$D48-1,0),MATCH(N$4,'Baseline NFPC'!$C$10:$U$10,0))</f>
        <v>2.5478087731950136</v>
      </c>
      <c r="O48" s="269">
        <f ca="1">INDEX(OFFSET('Baseline NFPC'!$C$1:$U$1,$D48-1,0),MATCH(O$4,'Baseline NFPC'!$C$10:$U$10,0))</f>
        <v>2.7018156390287609</v>
      </c>
      <c r="P48" s="269">
        <f ca="1">INDEX(OFFSET('Baseline NFPC'!$C$1:$U$1,$D48-1,0),MATCH(P$4,'Baseline NFPC'!$C$10:$U$10,0))</f>
        <v>2.8561372267264309</v>
      </c>
      <c r="Q48" s="269">
        <f ca="1">INDEX(OFFSET('Baseline NFPC'!$C$1:$U$1,$D48-1,0),MATCH(Q$4,'Baseline NFPC'!$C$10:$U$10,0))</f>
        <v>3.0100965247570057</v>
      </c>
      <c r="R48" s="269">
        <f ca="1">INDEX(OFFSET('Baseline NFPC'!$C$1:$U$1,$D48-1,0),MATCH(R$4,'Baseline NFPC'!$C$10:$U$10,0))</f>
        <v>3.1304081336594631</v>
      </c>
      <c r="S48" s="269">
        <f ca="1">INDEX(OFFSET('Baseline NFPC'!$C$1:$U$1,$D48-1,0),MATCH(S$4,'Baseline NFPC'!$C$10:$U$10,0))</f>
        <v>3.2351419841690765</v>
      </c>
      <c r="T48" s="269">
        <f ca="1">INDEX(OFFSET('Baseline NFPC'!$C$1:$U$1,$D48-1,0),MATCH(T$4,'Baseline NFPC'!$C$10:$U$10,0))</f>
        <v>3.3256290449846797</v>
      </c>
      <c r="U48" s="269">
        <f ca="1">INDEX(OFFSET('Baseline NFPC'!$C$1:$U$1,$D48-1,0),MATCH(U$4,'Baseline NFPC'!$C$10:$U$10,0))</f>
        <v>3.4018080108266293</v>
      </c>
      <c r="V48" s="269">
        <f ca="1">INDEX(OFFSET('Baseline NFPC'!$C$1:$U$1,$D48-1,0),MATCH(V$4,'Baseline NFPC'!$C$10:$U$10,0))</f>
        <v>3.4664835190126508</v>
      </c>
      <c r="W48" s="269">
        <f ca="1">INDEX(OFFSET('Baseline NFPC'!$C$1:$U$1,$D48-1,0),MATCH(W$4,'Baseline NFPC'!$C$10:$U$10,0))</f>
        <v>3.5212030331876818</v>
      </c>
      <c r="X48" s="269">
        <f ca="1">INDEX(OFFSET('Baseline NFPC'!$C$1:$U$1,$D48-1,0),MATCH(X$4,'Baseline NFPC'!$C$10:$U$10,0))</f>
        <v>3.5677364448055031</v>
      </c>
      <c r="Y48" s="186"/>
    </row>
    <row r="49" spans="1:25" x14ac:dyDescent="0.2">
      <c r="A49" s="186"/>
      <c r="B49" s="276">
        <v>9</v>
      </c>
      <c r="C49" s="284" t="s">
        <v>40</v>
      </c>
      <c r="D49" s="281">
        <v>26</v>
      </c>
      <c r="E49" s="282" t="s">
        <v>153</v>
      </c>
      <c r="F49" s="269">
        <f>'Input data'!C$33</f>
        <v>1.8242259999999999</v>
      </c>
      <c r="G49" s="269">
        <f ca="1">(INDEX(OFFSET('Baseline NFPC'!$C$1:$U$1,$D49-1,0),MATCH(G$4,'Baseline NFPC'!$C$10:$U$10,0))/INDEX(OFFSET('Baseline NFPC'!$C$1:$U$1,$D49-1,0),MATCH(F$4,'Baseline NFPC'!$C$10:$U$10,0))-1)*100</f>
        <v>1.6562940000000026</v>
      </c>
      <c r="H49" s="269">
        <f ca="1">(INDEX(OFFSET('Baseline NFPC'!$C$1:$U$1,$D49-1,0),MATCH(H$4,'Baseline NFPC'!$C$10:$U$10,0))/INDEX(OFFSET('Baseline NFPC'!$C$1:$U$1,$D49-1,0),MATCH(G$4,'Baseline NFPC'!$C$10:$U$10,0))-1)*100</f>
        <v>1.4262570000000085</v>
      </c>
      <c r="I49" s="269">
        <f ca="1">(INDEX(OFFSET('Baseline NFPC'!$C$1:$U$1,$D49-1,0),MATCH(I$4,'Baseline NFPC'!$C$10:$U$10,0))/INDEX(OFFSET('Baseline NFPC'!$C$1:$U$1,$D49-1,0),MATCH(H$4,'Baseline NFPC'!$C$10:$U$10,0))-1)*100</f>
        <v>1.2928829999999891</v>
      </c>
      <c r="J49" s="269">
        <f ca="1">(INDEX(OFFSET('Baseline NFPC'!$C$1:$U$1,$D49-1,0),MATCH(J$4,'Baseline NFPC'!$C$10:$U$10,0))/INDEX(OFFSET('Baseline NFPC'!$C$1:$U$1,$D49-1,0),MATCH(I$4,'Baseline NFPC'!$C$10:$U$10,0))-1)*100</f>
        <v>1.2437400000000043</v>
      </c>
      <c r="K49" s="269">
        <f ca="1">(INDEX(OFFSET('Baseline NFPC'!$C$1:$U$1,$D49-1,0),MATCH(K$4,'Baseline NFPC'!$C$10:$U$10,0))/INDEX(OFFSET('Baseline NFPC'!$C$1:$U$1,$D49-1,0),MATCH(J$4,'Baseline NFPC'!$C$10:$U$10,0))-1)*100</f>
        <v>1.1370649999999927</v>
      </c>
      <c r="L49" s="269">
        <f ca="1">(INDEX(OFFSET('Baseline NFPC'!$C$1:$U$1,$D49-1,0),MATCH(L$4,'Baseline NFPC'!$C$10:$U$10,0))/INDEX(OFFSET('Baseline NFPC'!$C$1:$U$1,$D49-1,0),MATCH(K$4,'Baseline NFPC'!$C$10:$U$10,0))-1)*100</f>
        <v>1.1180270000000103</v>
      </c>
      <c r="M49" s="269">
        <f ca="1">(INDEX(OFFSET('Baseline NFPC'!$C$1:$U$1,$D49-1,0),MATCH(M$4,'Baseline NFPC'!$C$10:$U$10,0))/INDEX(OFFSET('Baseline NFPC'!$C$1:$U$1,$D49-1,0),MATCH(L$4,'Baseline NFPC'!$C$10:$U$10,0))-1)*100</f>
        <v>1.0691280000000081</v>
      </c>
      <c r="N49" s="269">
        <f ca="1">(INDEX(OFFSET('Baseline NFPC'!$C$1:$U$1,$D49-1,0),MATCH(N$4,'Baseline NFPC'!$C$10:$U$10,0))/INDEX(OFFSET('Baseline NFPC'!$C$1:$U$1,$D49-1,0),MATCH(M$4,'Baseline NFPC'!$C$10:$U$10,0))-1)*100</f>
        <v>1.0343100000000049</v>
      </c>
      <c r="O49" s="269">
        <f ca="1">(INDEX(OFFSET('Baseline NFPC'!$C$1:$U$1,$D49-1,0),MATCH(O$4,'Baseline NFPC'!$C$10:$U$10,0))/INDEX(OFFSET('Baseline NFPC'!$C$1:$U$1,$D49-1,0),MATCH(N$4,'Baseline NFPC'!$C$10:$U$10,0))-1)*100</f>
        <v>1.0125299999999893</v>
      </c>
      <c r="P49" s="269">
        <f ca="1">(INDEX(OFFSET('Baseline NFPC'!$C$1:$U$1,$D49-1,0),MATCH(P$4,'Baseline NFPC'!$C$10:$U$10,0))/INDEX(OFFSET('Baseline NFPC'!$C$1:$U$1,$D49-1,0),MATCH(O$4,'Baseline NFPC'!$C$10:$U$10,0))-1)*100</f>
        <v>1.0265940000000029</v>
      </c>
      <c r="Q49" s="269">
        <f ca="1">(INDEX(OFFSET('Baseline NFPC'!$C$1:$U$1,$D49-1,0),MATCH(Q$4,'Baseline NFPC'!$C$10:$U$10,0))/INDEX(OFFSET('Baseline NFPC'!$C$1:$U$1,$D49-1,0),MATCH(P$4,'Baseline NFPC'!$C$10:$U$10,0))-1)*100</f>
        <v>1.0549450000000071</v>
      </c>
      <c r="R49" s="269">
        <f ca="1">(INDEX(OFFSET('Baseline NFPC'!$C$1:$U$1,$D49-1,0),MATCH(R$4,'Baseline NFPC'!$C$10:$U$10,0))/INDEX(OFFSET('Baseline NFPC'!$C$1:$U$1,$D49-1,0),MATCH(Q$4,'Baseline NFPC'!$C$10:$U$10,0))-1)*100</f>
        <v>1.1332969999999998</v>
      </c>
      <c r="S49" s="269">
        <f ca="1">(INDEX(OFFSET('Baseline NFPC'!$C$1:$U$1,$D49-1,0),MATCH(S$4,'Baseline NFPC'!$C$10:$U$10,0))/INDEX(OFFSET('Baseline NFPC'!$C$1:$U$1,$D49-1,0),MATCH(R$4,'Baseline NFPC'!$C$10:$U$10,0))-1)*100</f>
        <v>1.2116479999999985</v>
      </c>
      <c r="T49" s="269">
        <f ca="1">(INDEX(OFFSET('Baseline NFPC'!$C$1:$U$1,$D49-1,0),MATCH(T$4,'Baseline NFPC'!$C$10:$U$10,0))/INDEX(OFFSET('Baseline NFPC'!$C$1:$U$1,$D49-1,0),MATCH(S$4,'Baseline NFPC'!$C$10:$U$10,0))-1)*100</f>
        <v>1.2899999999999912</v>
      </c>
      <c r="U49" s="269">
        <f ca="1">(INDEX(OFFSET('Baseline NFPC'!$C$1:$U$1,$D49-1,0),MATCH(U$4,'Baseline NFPC'!$C$10:$U$10,0))/INDEX(OFFSET('Baseline NFPC'!$C$1:$U$1,$D49-1,0),MATCH(T$4,'Baseline NFPC'!$C$10:$U$10,0))-1)*100</f>
        <v>1.4499999999999957</v>
      </c>
      <c r="V49" s="269">
        <f ca="1">(INDEX(OFFSET('Baseline NFPC'!$C$1:$U$1,$D49-1,0),MATCH(V$4,'Baseline NFPC'!$C$10:$U$10,0))/INDEX(OFFSET('Baseline NFPC'!$C$1:$U$1,$D49-1,0),MATCH(U$4,'Baseline NFPC'!$C$10:$U$10,0))-1)*100</f>
        <v>1.6100000000000003</v>
      </c>
      <c r="W49" s="269">
        <f ca="1">(INDEX(OFFSET('Baseline NFPC'!$C$1:$U$1,$D49-1,0),MATCH(W$4,'Baseline NFPC'!$C$10:$U$10,0))/INDEX(OFFSET('Baseline NFPC'!$C$1:$U$1,$D49-1,0),MATCH(V$4,'Baseline NFPC'!$C$10:$U$10,0))-1)*100</f>
        <v>1.6599999999999948</v>
      </c>
      <c r="X49" s="269">
        <f ca="1">(INDEX(OFFSET('Baseline NFPC'!$C$1:$U$1,$D49-1,0),MATCH(X$4,'Baseline NFPC'!$C$10:$U$10,0))/INDEX(OFFSET('Baseline NFPC'!$C$1:$U$1,$D49-1,0),MATCH(W$4,'Baseline NFPC'!$C$10:$U$10,0))-1)*100</f>
        <v>1.7099999999999893</v>
      </c>
      <c r="Y49" s="186"/>
    </row>
    <row r="50" spans="1:25" x14ac:dyDescent="0.2">
      <c r="A50" s="186"/>
      <c r="B50" s="276">
        <v>10</v>
      </c>
      <c r="C50" s="272" t="s">
        <v>154</v>
      </c>
      <c r="D50" s="281">
        <v>23</v>
      </c>
      <c r="E50" s="282" t="s">
        <v>153</v>
      </c>
      <c r="F50" s="269">
        <f ca="1">INDEX(OFFSET('Baseline NFPC'!$C$1:$U$1,$D50-1,0),MATCH(F$4,'Baseline NFPC'!$C$10:$U$10,0))</f>
        <v>1.081005</v>
      </c>
      <c r="G50" s="269">
        <f ca="1">INDEX(OFFSET('Baseline NFPC'!$C$1:$U$1,$D50-1,0),MATCH(G$4,'Baseline NFPC'!$C$10:$U$10,0))</f>
        <v>1.6966699999999999</v>
      </c>
      <c r="H50" s="269">
        <f ca="1">INDEX(OFFSET('Baseline NFPC'!$C$1:$U$1,$D50-1,0),MATCH(H$4,'Baseline NFPC'!$C$10:$U$10,0))</f>
        <v>1.273747</v>
      </c>
      <c r="I50" s="269">
        <f ca="1">INDEX(OFFSET('Baseline NFPC'!$C$1:$U$1,$D50-1,0),MATCH(I$4,'Baseline NFPC'!$C$10:$U$10,0))</f>
        <v>1.5818650000000001</v>
      </c>
      <c r="J50" s="269">
        <f ca="1">INDEX(OFFSET('Baseline NFPC'!$C$1:$U$1,$D50-1,0),MATCH(J$4,'Baseline NFPC'!$C$10:$U$10,0))</f>
        <v>1.5213989999999999</v>
      </c>
      <c r="K50" s="269">
        <f ca="1">INDEX(OFFSET('Baseline NFPC'!$C$1:$U$1,$D50-1,0),MATCH(K$4,'Baseline NFPC'!$C$10:$U$10,0))</f>
        <v>1.41368</v>
      </c>
      <c r="L50" s="269">
        <f ca="1">INDEX(OFFSET('Baseline NFPC'!$C$1:$U$1,$D50-1,0),MATCH(L$4,'Baseline NFPC'!$C$10:$U$10,0))</f>
        <v>1.393831</v>
      </c>
      <c r="M50" s="269">
        <f ca="1">INDEX(OFFSET('Baseline NFPC'!$C$1:$U$1,$D50-1,0),MATCH(M$4,'Baseline NFPC'!$C$10:$U$10,0))</f>
        <v>1.069126</v>
      </c>
      <c r="N50" s="269">
        <f ca="1">INDEX(OFFSET('Baseline NFPC'!$C$1:$U$1,$D50-1,0),MATCH(N$4,'Baseline NFPC'!$C$10:$U$10,0))</f>
        <v>1.0343100000000001</v>
      </c>
      <c r="O50" s="269">
        <f ca="1">INDEX(OFFSET('Baseline NFPC'!$C$1:$U$1,$D50-1,0),MATCH(O$4,'Baseline NFPC'!$C$10:$U$10,0))</f>
        <v>1.0125310000000001</v>
      </c>
      <c r="P50" s="269">
        <f ca="1">INDEX(OFFSET('Baseline NFPC'!$C$1:$U$1,$D50-1,0),MATCH(P$4,'Baseline NFPC'!$C$10:$U$10,0))</f>
        <v>1.0265919999999999</v>
      </c>
      <c r="Q50" s="269">
        <f ca="1">INDEX(OFFSET('Baseline NFPC'!$C$1:$U$1,$D50-1,0),MATCH(Q$4,'Baseline NFPC'!$C$10:$U$10,0))</f>
        <v>1.054951</v>
      </c>
      <c r="R50" s="269">
        <f ca="1">INDEX(OFFSET('Baseline NFPC'!$C$1:$U$1,$D50-1,0),MATCH(R$4,'Baseline NFPC'!$C$10:$U$10,0))</f>
        <v>1.1332990000000001</v>
      </c>
      <c r="S50" s="269">
        <f ca="1">INDEX(OFFSET('Baseline NFPC'!$C$1:$U$1,$D50-1,0),MATCH(S$4,'Baseline NFPC'!$C$10:$U$10,0))</f>
        <v>1.211654</v>
      </c>
      <c r="T50" s="269">
        <f ca="1">INDEX(OFFSET('Baseline NFPC'!$C$1:$U$1,$D50-1,0),MATCH(T$4,'Baseline NFPC'!$C$10:$U$10,0))</f>
        <v>1.290001</v>
      </c>
      <c r="U50" s="269">
        <f ca="1">INDEX(OFFSET('Baseline NFPC'!$C$1:$U$1,$D50-1,0),MATCH(U$4,'Baseline NFPC'!$C$10:$U$10,0))</f>
        <v>1.4500010000000001</v>
      </c>
      <c r="V50" s="269">
        <f ca="1">INDEX(OFFSET('Baseline NFPC'!$C$1:$U$1,$D50-1,0),MATCH(V$4,'Baseline NFPC'!$C$10:$U$10,0))</f>
        <v>1.609996</v>
      </c>
      <c r="W50" s="269">
        <f ca="1">INDEX(OFFSET('Baseline NFPC'!$C$1:$U$1,$D50-1,0),MATCH(W$4,'Baseline NFPC'!$C$10:$U$10,0))</f>
        <v>1.6599950000000001</v>
      </c>
      <c r="X50" s="269">
        <f ca="1">INDEX(OFFSET('Baseline NFPC'!$C$1:$U$1,$D50-1,0),MATCH(X$4,'Baseline NFPC'!$C$10:$U$10,0))</f>
        <v>1.7100040000000001</v>
      </c>
      <c r="Y50" s="186"/>
    </row>
    <row r="51" spans="1:25" x14ac:dyDescent="0.2">
      <c r="A51" s="186"/>
      <c r="B51" s="276">
        <v>11</v>
      </c>
      <c r="C51" s="285" t="s">
        <v>155</v>
      </c>
      <c r="D51" s="281">
        <v>41</v>
      </c>
      <c r="E51" s="282" t="s">
        <v>153</v>
      </c>
      <c r="F51" s="269">
        <f ca="1">INDEX(OFFSET('Baseline NFPC'!$C$1:$U$1,$D51-1,0),MATCH(F$4,'Baseline NFPC'!$C$10:$U$10,0))</f>
        <v>5.7442140000000004</v>
      </c>
      <c r="G51" s="269">
        <f ca="1">INDEX(OFFSET('Baseline NFPC'!$C$1:$U$1,$D51-1,0),MATCH(G$4,'Baseline NFPC'!$C$10:$U$10,0))</f>
        <v>3.1543869999999998</v>
      </c>
      <c r="H51" s="269">
        <f ca="1">INDEX(OFFSET('Baseline NFPC'!$C$1:$U$1,$D51-1,0),MATCH(H$4,'Baseline NFPC'!$C$10:$U$10,0))</f>
        <v>3.262934</v>
      </c>
      <c r="I51" s="269">
        <f ca="1">INDEX(OFFSET('Baseline NFPC'!$C$1:$U$1,$D51-1,0),MATCH(I$4,'Baseline NFPC'!$C$10:$U$10,0))</f>
        <v>2.103313</v>
      </c>
      <c r="J51" s="269">
        <f ca="1">INDEX(OFFSET('Baseline NFPC'!$C$1:$U$1,$D51-1,0),MATCH(J$4,'Baseline NFPC'!$C$10:$U$10,0))</f>
        <v>2.1253988750000001</v>
      </c>
      <c r="K51" s="269">
        <f ca="1">INDEX(OFFSET('Baseline NFPC'!$C$1:$U$1,$D51-1,0),MATCH(K$4,'Baseline NFPC'!$C$10:$U$10,0))</f>
        <v>2.1474847499999998</v>
      </c>
      <c r="L51" s="269">
        <f ca="1">INDEX(OFFSET('Baseline NFPC'!$C$1:$U$1,$D51-1,0),MATCH(L$4,'Baseline NFPC'!$C$10:$U$10,0))</f>
        <v>2.169570625</v>
      </c>
      <c r="M51" s="269">
        <f ca="1">INDEX(OFFSET('Baseline NFPC'!$C$1:$U$1,$D51-1,0),MATCH(M$4,'Baseline NFPC'!$C$10:$U$10,0))</f>
        <v>2.1916564999999997</v>
      </c>
      <c r="N51" s="269">
        <f ca="1">INDEX(OFFSET('Baseline NFPC'!$C$1:$U$1,$D51-1,0),MATCH(N$4,'Baseline NFPC'!$C$10:$U$10,0))</f>
        <v>2.2137423749999998</v>
      </c>
      <c r="O51" s="269">
        <f ca="1">INDEX(OFFSET('Baseline NFPC'!$C$1:$U$1,$D51-1,0),MATCH(O$4,'Baseline NFPC'!$C$10:$U$10,0))</f>
        <v>2.23582825</v>
      </c>
      <c r="P51" s="269">
        <f ca="1">INDEX(OFFSET('Baseline NFPC'!$C$1:$U$1,$D51-1,0),MATCH(P$4,'Baseline NFPC'!$C$10:$U$10,0))</f>
        <v>2.2579141249999997</v>
      </c>
      <c r="Q51" s="269">
        <f ca="1">INDEX(OFFSET('Baseline NFPC'!$C$1:$U$1,$D51-1,0),MATCH(Q$4,'Baseline NFPC'!$C$10:$U$10,0))</f>
        <v>2.2799999999999998</v>
      </c>
      <c r="R51" s="269">
        <f ca="1">INDEX(OFFSET('Baseline NFPC'!$C$1:$U$1,$D51-1,0),MATCH(R$4,'Baseline NFPC'!$C$10:$U$10,0))</f>
        <v>2.266</v>
      </c>
      <c r="S51" s="269">
        <f ca="1">INDEX(OFFSET('Baseline NFPC'!$C$1:$U$1,$D51-1,0),MATCH(S$4,'Baseline NFPC'!$C$10:$U$10,0))</f>
        <v>2.2519999999999998</v>
      </c>
      <c r="T51" s="269">
        <f ca="1">INDEX(OFFSET('Baseline NFPC'!$C$1:$U$1,$D51-1,0),MATCH(T$4,'Baseline NFPC'!$C$10:$U$10,0))</f>
        <v>2.238</v>
      </c>
      <c r="U51" s="269">
        <f ca="1">INDEX(OFFSET('Baseline NFPC'!$C$1:$U$1,$D51-1,0),MATCH(U$4,'Baseline NFPC'!$C$10:$U$10,0))</f>
        <v>2.2239999999999998</v>
      </c>
      <c r="V51" s="269">
        <f ca="1">INDEX(OFFSET('Baseline NFPC'!$C$1:$U$1,$D51-1,0),MATCH(V$4,'Baseline NFPC'!$C$10:$U$10,0))</f>
        <v>2.21</v>
      </c>
      <c r="W51" s="269">
        <f ca="1">INDEX(OFFSET('Baseline NFPC'!$C$1:$U$1,$D51-1,0),MATCH(W$4,'Baseline NFPC'!$C$10:$U$10,0))</f>
        <v>2.1959999999999997</v>
      </c>
      <c r="X51" s="269">
        <f ca="1">INDEX(OFFSET('Baseline NFPC'!$C$1:$U$1,$D51-1,0),MATCH(X$4,'Baseline NFPC'!$C$10:$U$10,0))</f>
        <v>2.1819999999999999</v>
      </c>
      <c r="Y51" s="186"/>
    </row>
    <row r="52" spans="1:25" x14ac:dyDescent="0.2">
      <c r="A52" s="186"/>
      <c r="B52" s="276">
        <v>12</v>
      </c>
      <c r="C52" s="272" t="s">
        <v>156</v>
      </c>
      <c r="D52" s="281">
        <v>32</v>
      </c>
      <c r="E52" s="282" t="s">
        <v>153</v>
      </c>
      <c r="F52" s="269">
        <f ca="1">INDEX(OFFSET('Baseline NFPC'!$C$1:$U$1,$D52-1,0),MATCH(F$4,'Baseline NFPC'!$C$10:$U$10,0))</f>
        <v>6.8873142405506904</v>
      </c>
      <c r="G52" s="269">
        <f ca="1">INDEX(OFFSET('Baseline NFPC'!$C$1:$U$1,$D52-1,0),MATCH(G$4,'Baseline NFPC'!$C$10:$U$10,0))</f>
        <v>4.9045765379128969</v>
      </c>
      <c r="H52" s="269">
        <f ca="1">INDEX(OFFSET('Baseline NFPC'!$C$1:$U$1,$D52-1,0),MATCH(H$4,'Baseline NFPC'!$C$10:$U$10,0))</f>
        <v>4.5782425239369706</v>
      </c>
      <c r="I52" s="269">
        <f ca="1">INDEX(OFFSET('Baseline NFPC'!$C$1:$U$1,$D52-1,0),MATCH(I$4,'Baseline NFPC'!$C$10:$U$10,0))</f>
        <v>3.7184495721874322</v>
      </c>
      <c r="J52" s="269">
        <f ca="1">INDEX(OFFSET('Baseline NFPC'!$C$1:$U$1,$D52-1,0),MATCH(J$4,'Baseline NFPC'!$C$10:$U$10,0))</f>
        <v>3.6791336722302503</v>
      </c>
      <c r="K52" s="269">
        <f ca="1">INDEX(OFFSET('Baseline NFPC'!$C$1:$U$1,$D52-1,0),MATCH(K$4,'Baseline NFPC'!$C$10:$U$10,0))</f>
        <v>3.5915233124137913</v>
      </c>
      <c r="L52" s="269">
        <f ca="1">INDEX(OFFSET('Baseline NFPC'!$C$1:$U$1,$D52-1,0),MATCH(L$4,'Baseline NFPC'!$C$10:$U$10,0))</f>
        <v>3.5936417729381498</v>
      </c>
      <c r="M52" s="269">
        <f ca="1">INDEX(OFFSET('Baseline NFPC'!$C$1:$U$1,$D52-1,0),MATCH(M$4,'Baseline NFPC'!$C$10:$U$10,0))</f>
        <v>3.2842140694721911</v>
      </c>
      <c r="N52" s="269">
        <f ca="1">INDEX(OFFSET('Baseline NFPC'!$C$1:$U$1,$D52-1,0),MATCH(N$4,'Baseline NFPC'!$C$10:$U$10,0))</f>
        <v>3.2709493337588658</v>
      </c>
      <c r="O52" s="269">
        <f ca="1">INDEX(OFFSET('Baseline NFPC'!$C$1:$U$1,$D52-1,0),MATCH(O$4,'Baseline NFPC'!$C$10:$U$10,0))</f>
        <v>3.2709977041380123</v>
      </c>
      <c r="P52" s="269">
        <f ca="1">INDEX(OFFSET('Baseline NFPC'!$C$1:$U$1,$D52-1,0),MATCH(P$4,'Baseline NFPC'!$C$10:$U$10,0))</f>
        <v>3.3076856907741092</v>
      </c>
      <c r="Q52" s="269">
        <f ca="1">INDEX(OFFSET('Baseline NFPC'!$C$1:$U$1,$D52-1,0),MATCH(Q$4,'Baseline NFPC'!$C$10:$U$10,0))</f>
        <v>3.3590038827999935</v>
      </c>
      <c r="R52" s="269">
        <f ca="1">INDEX(OFFSET('Baseline NFPC'!$C$1:$U$1,$D52-1,0),MATCH(R$4,'Baseline NFPC'!$C$10:$U$10,0))</f>
        <v>3.424979555340002</v>
      </c>
      <c r="S52" s="269">
        <f ca="1">INDEX(OFFSET('Baseline NFPC'!$C$1:$U$1,$D52-1,0),MATCH(S$4,'Baseline NFPC'!$C$10:$U$10,0))</f>
        <v>3.4909404480800266</v>
      </c>
      <c r="T52" s="269">
        <f ca="1">INDEX(OFFSET('Baseline NFPC'!$C$1:$U$1,$D52-1,0),MATCH(T$4,'Baseline NFPC'!$C$10:$U$10,0))</f>
        <v>3.5568712223800203</v>
      </c>
      <c r="U52" s="269">
        <f ca="1">INDEX(OFFSET('Baseline NFPC'!$C$1:$U$1,$D52-1,0),MATCH(U$4,'Baseline NFPC'!$C$10:$U$10,0))</f>
        <v>3.7062490222399935</v>
      </c>
      <c r="V52" s="269">
        <f ca="1">INDEX(OFFSET('Baseline NFPC'!$C$1:$U$1,$D52-1,0),MATCH(V$4,'Baseline NFPC'!$C$10:$U$10,0))</f>
        <v>3.8555769116000116</v>
      </c>
      <c r="W52" s="269">
        <f ca="1">INDEX(OFFSET('Baseline NFPC'!$C$1:$U$1,$D52-1,0),MATCH(W$4,'Baseline NFPC'!$C$10:$U$10,0))</f>
        <v>3.8924484902000067</v>
      </c>
      <c r="X52" s="269">
        <f ca="1">INDEX(OFFSET('Baseline NFPC'!$C$1:$U$1,$D52-1,0),MATCH(X$4,'Baseline NFPC'!$C$10:$U$10,0))</f>
        <v>3.9293162872799936</v>
      </c>
      <c r="Y52" s="186"/>
    </row>
    <row r="53" spans="1:25" x14ac:dyDescent="0.2">
      <c r="A53" s="186"/>
      <c r="B53" s="276">
        <v>13</v>
      </c>
      <c r="C53" s="272" t="s">
        <v>46</v>
      </c>
      <c r="D53" s="271"/>
      <c r="E53" s="282" t="s">
        <v>150</v>
      </c>
      <c r="F53" s="288">
        <f>'Input data'!$C$49</f>
        <v>0.6</v>
      </c>
      <c r="G53" s="186"/>
      <c r="H53" s="186"/>
      <c r="I53" s="186"/>
      <c r="J53" s="186"/>
      <c r="K53" s="186"/>
      <c r="L53" s="186"/>
      <c r="M53" s="186"/>
      <c r="N53" s="186"/>
      <c r="O53" s="186"/>
      <c r="P53" s="186"/>
      <c r="Q53" s="186"/>
      <c r="R53" s="186"/>
      <c r="S53" s="186"/>
      <c r="T53" s="186"/>
      <c r="U53" s="186"/>
      <c r="V53" s="186"/>
      <c r="W53" s="186"/>
      <c r="X53" s="186"/>
      <c r="Y53" s="186"/>
    </row>
    <row r="54" spans="1:25" x14ac:dyDescent="0.2">
      <c r="A54" s="186"/>
      <c r="B54" s="270"/>
      <c r="C54" s="291"/>
      <c r="D54" s="291"/>
      <c r="E54" s="291"/>
      <c r="F54" s="291"/>
      <c r="G54" s="291"/>
      <c r="H54" s="291"/>
      <c r="I54" s="291"/>
      <c r="J54" s="291"/>
      <c r="K54" s="186"/>
      <c r="L54" s="186"/>
      <c r="M54" s="186"/>
      <c r="N54" s="186"/>
      <c r="O54" s="186"/>
      <c r="P54" s="186"/>
      <c r="Q54" s="186"/>
      <c r="R54" s="186"/>
      <c r="S54" s="186"/>
      <c r="T54" s="186"/>
      <c r="U54" s="186"/>
      <c r="V54" s="186"/>
      <c r="W54" s="186"/>
      <c r="X54" s="186"/>
      <c r="Y54" s="186"/>
    </row>
    <row r="55" spans="1:25" x14ac:dyDescent="0.2">
      <c r="A55" s="186"/>
      <c r="B55" s="292"/>
      <c r="C55" s="274" t="s">
        <v>162</v>
      </c>
      <c r="D55" s="275"/>
      <c r="E55" s="275"/>
      <c r="F55" s="275"/>
      <c r="G55" s="291"/>
      <c r="H55" s="291"/>
      <c r="I55" s="291"/>
      <c r="J55" s="291"/>
      <c r="K55" s="186"/>
      <c r="L55" s="186"/>
      <c r="M55" s="186"/>
      <c r="N55" s="186"/>
      <c r="O55" s="186"/>
      <c r="P55" s="186"/>
      <c r="Q55" s="186"/>
      <c r="R55" s="186"/>
      <c r="S55" s="186"/>
      <c r="T55" s="186"/>
      <c r="U55" s="186"/>
      <c r="V55" s="186"/>
      <c r="W55" s="186"/>
      <c r="X55" s="186"/>
      <c r="Y55" s="186"/>
    </row>
    <row r="56" spans="1:25" x14ac:dyDescent="0.2">
      <c r="A56" s="186"/>
      <c r="B56" s="270"/>
      <c r="C56" s="291"/>
      <c r="D56" s="291"/>
      <c r="E56" s="291"/>
      <c r="F56" s="291"/>
      <c r="G56" s="291"/>
      <c r="H56" s="291"/>
      <c r="I56" s="291"/>
      <c r="J56" s="291"/>
      <c r="K56" s="186"/>
      <c r="L56" s="186"/>
      <c r="M56" s="186"/>
      <c r="N56" s="186"/>
      <c r="O56" s="186"/>
      <c r="P56" s="186"/>
      <c r="Q56" s="186"/>
      <c r="R56" s="186"/>
      <c r="S56" s="186"/>
      <c r="T56" s="186"/>
      <c r="U56" s="186"/>
      <c r="V56" s="186"/>
      <c r="W56" s="186"/>
      <c r="X56" s="186"/>
      <c r="Y56" s="186"/>
    </row>
    <row r="57" spans="1:25" x14ac:dyDescent="0.2">
      <c r="A57" s="186"/>
      <c r="B57" s="276"/>
      <c r="C57" s="274"/>
      <c r="D57" s="274"/>
      <c r="E57" s="279"/>
      <c r="F57" s="279">
        <f>'Input data'!$C$5-1</f>
        <v>2024</v>
      </c>
      <c r="G57" s="279">
        <f>F57+1</f>
        <v>2025</v>
      </c>
      <c r="H57" s="279">
        <f t="shared" ref="H57:X57" si="2">G57+1</f>
        <v>2026</v>
      </c>
      <c r="I57" s="279">
        <f t="shared" si="2"/>
        <v>2027</v>
      </c>
      <c r="J57" s="279">
        <f t="shared" si="2"/>
        <v>2028</v>
      </c>
      <c r="K57" s="279">
        <f t="shared" si="2"/>
        <v>2029</v>
      </c>
      <c r="L57" s="279">
        <f t="shared" si="2"/>
        <v>2030</v>
      </c>
      <c r="M57" s="279">
        <f t="shared" si="2"/>
        <v>2031</v>
      </c>
      <c r="N57" s="279">
        <f t="shared" si="2"/>
        <v>2032</v>
      </c>
      <c r="O57" s="279">
        <f t="shared" si="2"/>
        <v>2033</v>
      </c>
      <c r="P57" s="279">
        <f t="shared" si="2"/>
        <v>2034</v>
      </c>
      <c r="Q57" s="279">
        <f t="shared" si="2"/>
        <v>2035</v>
      </c>
      <c r="R57" s="279">
        <f t="shared" si="2"/>
        <v>2036</v>
      </c>
      <c r="S57" s="279">
        <f t="shared" si="2"/>
        <v>2037</v>
      </c>
      <c r="T57" s="279">
        <f t="shared" si="2"/>
        <v>2038</v>
      </c>
      <c r="U57" s="279">
        <f t="shared" si="2"/>
        <v>2039</v>
      </c>
      <c r="V57" s="279">
        <f t="shared" si="2"/>
        <v>2040</v>
      </c>
      <c r="W57" s="279">
        <f t="shared" si="2"/>
        <v>2041</v>
      </c>
      <c r="X57" s="279">
        <f t="shared" si="2"/>
        <v>2042</v>
      </c>
      <c r="Y57" s="186"/>
    </row>
    <row r="58" spans="1:25" x14ac:dyDescent="0.2">
      <c r="A58" s="186"/>
      <c r="B58" s="276">
        <v>1</v>
      </c>
      <c r="C58" s="280" t="s">
        <v>143</v>
      </c>
      <c r="D58" s="281">
        <v>90</v>
      </c>
      <c r="E58" s="282" t="s">
        <v>144</v>
      </c>
      <c r="F58" s="269">
        <f ca="1">INDEX(OFFSET('Adjustment scenario'!$C$1:$U$1,$D58-1,0),MATCH(F$4,'Adjustment scenario'!$C$10:$U$10,0))</f>
        <v>43.748150000000003</v>
      </c>
      <c r="G58" s="269">
        <f ca="1">INDEX(OFFSET('Adjustment scenario'!$C$1:$U$1,$D58-1,0),MATCH(G$4,'Adjustment scenario'!$C$10:$U$10,0))</f>
        <v>45.157610209173967</v>
      </c>
      <c r="H58" s="269">
        <f ca="1">INDEX(OFFSET('Adjustment scenario'!$C$1:$U$1,$D58-1,0),MATCH(H$4,'Adjustment scenario'!$C$10:$U$10,0))</f>
        <v>47.855642054642026</v>
      </c>
      <c r="I58" s="269">
        <f ca="1">INDEX(OFFSET('Adjustment scenario'!$C$1:$U$1,$D58-1,0),MATCH(I$4,'Adjustment scenario'!$C$10:$U$10,0))</f>
        <v>48.033965608153046</v>
      </c>
      <c r="J58" s="269">
        <f ca="1">INDEX(OFFSET('Adjustment scenario'!$C$1:$U$1,$D58-1,0),MATCH(J$4,'Adjustment scenario'!$C$10:$U$10,0))</f>
        <v>48.12578226681989</v>
      </c>
      <c r="K58" s="269">
        <f ca="1">INDEX(OFFSET('Adjustment scenario'!$C$1:$U$1,$D58-1,0),MATCH(K$4,'Adjustment scenario'!$C$10:$U$10,0))</f>
        <v>48.154705551272073</v>
      </c>
      <c r="L58" s="269">
        <f ca="1">INDEX(OFFSET('Adjustment scenario'!$C$1:$U$1,$D58-1,0),MATCH(L$4,'Adjustment scenario'!$C$10:$U$10,0))</f>
        <v>48.18622235109752</v>
      </c>
      <c r="M58" s="269">
        <f ca="1">INDEX(OFFSET('Adjustment scenario'!$C$1:$U$1,$D58-1,0),MATCH(M$4,'Adjustment scenario'!$C$10:$U$10,0))</f>
        <v>48.729285298066223</v>
      </c>
      <c r="N58" s="269">
        <f ca="1">INDEX(OFFSET('Adjustment scenario'!$C$1:$U$1,$D58-1,0),MATCH(N$4,'Adjustment scenario'!$C$10:$U$10,0))</f>
        <v>49.548166196568637</v>
      </c>
      <c r="O58" s="269">
        <f ca="1">INDEX(OFFSET('Adjustment scenario'!$C$1:$U$1,$D58-1,0),MATCH(O$4,'Adjustment scenario'!$C$10:$U$10,0))</f>
        <v>50.539002871263342</v>
      </c>
      <c r="P58" s="269">
        <f ca="1">INDEX(OFFSET('Adjustment scenario'!$C$1:$U$1,$D58-1,0),MATCH(P$4,'Adjustment scenario'!$C$10:$U$10,0))</f>
        <v>51.686398089832345</v>
      </c>
      <c r="Q58" s="269">
        <f ca="1">INDEX(OFFSET('Adjustment scenario'!$C$1:$U$1,$D58-1,0),MATCH(Q$4,'Adjustment scenario'!$C$10:$U$10,0))</f>
        <v>52.985086338873032</v>
      </c>
      <c r="R58" s="269">
        <f ca="1">INDEX(OFFSET('Adjustment scenario'!$C$1:$U$1,$D58-1,0),MATCH(R$4,'Adjustment scenario'!$C$10:$U$10,0))</f>
        <v>54.512962000816763</v>
      </c>
      <c r="S58" s="269">
        <f ca="1">INDEX(OFFSET('Adjustment scenario'!$C$1:$U$1,$D58-1,0),MATCH(S$4,'Adjustment scenario'!$C$10:$U$10,0))</f>
        <v>56.263150499881888</v>
      </c>
      <c r="T58" s="269">
        <f ca="1">INDEX(OFFSET('Adjustment scenario'!$C$1:$U$1,$D58-1,0),MATCH(T$4,'Adjustment scenario'!$C$10:$U$10,0))</f>
        <v>58.028967813281085</v>
      </c>
      <c r="U58" s="269">
        <f ca="1">INDEX(OFFSET('Adjustment scenario'!$C$1:$U$1,$D58-1,0),MATCH(U$4,'Adjustment scenario'!$C$10:$U$10,0))</f>
        <v>59.856799381305358</v>
      </c>
      <c r="V58" s="269">
        <f ca="1">INDEX(OFFSET('Adjustment scenario'!$C$1:$U$1,$D58-1,0),MATCH(V$4,'Adjustment scenario'!$C$10:$U$10,0))</f>
        <v>61.737616779284551</v>
      </c>
      <c r="W58" s="269">
        <f ca="1">INDEX(OFFSET('Adjustment scenario'!$C$1:$U$1,$D58-1,0),MATCH(W$4,'Adjustment scenario'!$C$10:$U$10,0))</f>
        <v>63.829034273843504</v>
      </c>
      <c r="X58" s="269">
        <f ca="1">INDEX(OFFSET('Adjustment scenario'!$C$1:$U$1,$D58-1,0),MATCH(X$4,'Adjustment scenario'!$C$10:$U$10,0))</f>
        <v>65.925992759855731</v>
      </c>
      <c r="Y58" s="186"/>
    </row>
    <row r="59" spans="1:25" x14ac:dyDescent="0.2">
      <c r="A59" s="186"/>
      <c r="B59" s="276">
        <f>B58+1</f>
        <v>2</v>
      </c>
      <c r="C59" s="283" t="s">
        <v>95</v>
      </c>
      <c r="D59" s="281">
        <v>92</v>
      </c>
      <c r="E59" s="282" t="s">
        <v>144</v>
      </c>
      <c r="F59" s="269">
        <f ca="1">INDEX(OFFSET('Adjustment scenario'!$C$1:$U$1,$D59-1,0),MATCH(F$4,'Adjustment scenario'!$C$10:$U$10,0))</f>
        <v>0</v>
      </c>
      <c r="G59" s="269">
        <f ca="1">INDEX(OFFSET('Adjustment scenario'!$C$1:$U$1,$D59-1,0),MATCH(G$4,'Adjustment scenario'!$C$10:$U$10,0))</f>
        <v>3.5884993103512319</v>
      </c>
      <c r="H59" s="269">
        <f ca="1">INDEX(OFFSET('Adjustment scenario'!$C$1:$U$1,$D59-1,0),MATCH(H$4,'Adjustment scenario'!$C$10:$U$10,0))</f>
        <v>2.2949334919658271</v>
      </c>
      <c r="I59" s="269">
        <f ca="1">INDEX(OFFSET('Adjustment scenario'!$C$1:$U$1,$D59-1,0),MATCH(I$4,'Adjustment scenario'!$C$10:$U$10,0))</f>
        <v>2.5911314173359576</v>
      </c>
      <c r="J59" s="269">
        <f ca="1">INDEX(OFFSET('Adjustment scenario'!$C$1:$U$1,$D59-1,0),MATCH(J$4,'Adjustment scenario'!$C$10:$U$10,0))</f>
        <v>2.742982522501987</v>
      </c>
      <c r="K59" s="269">
        <f ca="1">INDEX(OFFSET('Adjustment scenario'!$C$1:$U$1,$D59-1,0),MATCH(K$4,'Adjustment scenario'!$C$10:$U$10,0))</f>
        <v>2.8921390202263879</v>
      </c>
      <c r="L59" s="269">
        <f ca="1">INDEX(OFFSET('Adjustment scenario'!$C$1:$U$1,$D59-1,0),MATCH(L$4,'Adjustment scenario'!$C$10:$U$10,0))</f>
        <v>3.035485517810192</v>
      </c>
      <c r="M59" s="269">
        <f ca="1">INDEX(OFFSET('Adjustment scenario'!$C$1:$U$1,$D59-1,0),MATCH(M$4,'Adjustment scenario'!$C$10:$U$10,0))</f>
        <v>3.1886931881849239</v>
      </c>
      <c r="N59" s="269">
        <f ca="1">INDEX(OFFSET('Adjustment scenario'!$C$1:$U$1,$D59-1,0),MATCH(N$4,'Adjustment scenario'!$C$10:$U$10,0))</f>
        <v>3.3684977259599238</v>
      </c>
      <c r="O59" s="269">
        <f ca="1">INDEX(OFFSET('Adjustment scenario'!$C$1:$U$1,$D59-1,0),MATCH(O$4,'Adjustment scenario'!$C$10:$U$10,0))</f>
        <v>3.5707470835050517</v>
      </c>
      <c r="P59" s="269">
        <f ca="1">INDEX(OFFSET('Adjustment scenario'!$C$1:$U$1,$D59-1,0),MATCH(P$4,'Adjustment scenario'!$C$10:$U$10,0))</f>
        <v>3.7892160183701251</v>
      </c>
      <c r="Q59" s="269">
        <f ca="1">INDEX(OFFSET('Adjustment scenario'!$C$1:$U$1,$D59-1,0),MATCH(Q$4,'Adjustment scenario'!$C$10:$U$10,0))</f>
        <v>4.0248310892392336</v>
      </c>
      <c r="R59" s="269">
        <f ca="1">INDEX(OFFSET('Adjustment scenario'!$C$1:$U$1,$D59-1,0),MATCH(R$4,'Adjustment scenario'!$C$10:$U$10,0))</f>
        <v>4.1215473992846539</v>
      </c>
      <c r="S59" s="269">
        <f ca="1">INDEX(OFFSET('Adjustment scenario'!$C$1:$U$1,$D59-1,0),MATCH(S$4,'Adjustment scenario'!$C$10:$U$10,0))</f>
        <v>4.235842348886897</v>
      </c>
      <c r="T59" s="269">
        <f ca="1">INDEX(OFFSET('Adjustment scenario'!$C$1:$U$1,$D59-1,0),MATCH(T$4,'Adjustment scenario'!$C$10:$U$10,0))</f>
        <v>4.3671536338371943</v>
      </c>
      <c r="U59" s="269">
        <f ca="1">INDEX(OFFSET('Adjustment scenario'!$C$1:$U$1,$D59-1,0),MATCH(U$4,'Adjustment scenario'!$C$10:$U$10,0))</f>
        <v>4.4958975686518468</v>
      </c>
      <c r="V59" s="269">
        <f ca="1">INDEX(OFFSET('Adjustment scenario'!$C$1:$U$1,$D59-1,0),MATCH(V$4,'Adjustment scenario'!$C$10:$U$10,0))</f>
        <v>4.6290378774100462</v>
      </c>
      <c r="W59" s="269">
        <f ca="1">INDEX(OFFSET('Adjustment scenario'!$C$1:$U$1,$D59-1,0),MATCH(W$4,'Adjustment scenario'!$C$10:$U$10,0))</f>
        <v>4.7710218684241363</v>
      </c>
      <c r="X59" s="269">
        <f ca="1">INDEX(OFFSET('Adjustment scenario'!$C$1:$U$1,$D59-1,0),MATCH(X$4,'Adjustment scenario'!$C$10:$U$10,0))</f>
        <v>4.9291166242598647</v>
      </c>
      <c r="Y59" s="186"/>
    </row>
    <row r="60" spans="1:25" x14ac:dyDescent="0.2">
      <c r="A60" s="186"/>
      <c r="B60" s="276">
        <f t="shared" ref="B60:B62" si="3">B59+1</f>
        <v>3</v>
      </c>
      <c r="C60" s="283" t="s">
        <v>96</v>
      </c>
      <c r="D60" s="281">
        <v>93</v>
      </c>
      <c r="E60" s="282" t="s">
        <v>144</v>
      </c>
      <c r="F60" s="269">
        <f ca="1">INDEX(OFFSET('Adjustment scenario'!$C$1:$U$1,$D60-1,0),MATCH(F$4,'Adjustment scenario'!$C$10:$U$10,0))</f>
        <v>0</v>
      </c>
      <c r="G60" s="269">
        <f ca="1">INDEX(OFFSET('Adjustment scenario'!$C$1:$U$1,$D60-1,0),MATCH(G$4,'Adjustment scenario'!$C$10:$U$10,0))</f>
        <v>3.6736521009082228</v>
      </c>
      <c r="H60" s="269">
        <f ca="1">INDEX(OFFSET('Adjustment scenario'!$C$1:$U$1,$D60-1,0),MATCH(H$4,'Adjustment scenario'!$C$10:$U$10,0))</f>
        <v>3.5826776167406504</v>
      </c>
      <c r="I60" s="269">
        <f ca="1">INDEX(OFFSET('Adjustment scenario'!$C$1:$U$1,$D60-1,0),MATCH(I$4,'Adjustment scenario'!$C$10:$U$10,0))</f>
        <v>3.8779057246737025</v>
      </c>
      <c r="J60" s="269">
        <f ca="1">INDEX(OFFSET('Adjustment scenario'!$C$1:$U$1,$D60-1,0),MATCH(J$4,'Adjustment scenario'!$C$10:$U$10,0))</f>
        <v>3.9120079322629686</v>
      </c>
      <c r="K60" s="269">
        <f ca="1">INDEX(OFFSET('Adjustment scenario'!$C$1:$U$1,$D60-1,0),MATCH(K$4,'Adjustment scenario'!$C$10:$U$10,0))</f>
        <v>3.9393730923489869</v>
      </c>
      <c r="L60" s="269">
        <f ca="1">INDEX(OFFSET('Adjustment scenario'!$C$1:$U$1,$D60-1,0),MATCH(L$4,'Adjustment scenario'!$C$10:$U$10,0))</f>
        <v>3.9567353846139603</v>
      </c>
      <c r="M60" s="269">
        <f ca="1">INDEX(OFFSET('Adjustment scenario'!$C$1:$U$1,$D60-1,0),MATCH(M$4,'Adjustment scenario'!$C$10:$U$10,0))</f>
        <v>3.9858133206627948</v>
      </c>
      <c r="N60" s="269">
        <f ca="1">INDEX(OFFSET('Adjustment scenario'!$C$1:$U$1,$D60-1,0),MATCH(N$4,'Adjustment scenario'!$C$10:$U$10,0))</f>
        <v>4.048458350228552</v>
      </c>
      <c r="O60" s="269">
        <f ca="1">INDEX(OFFSET('Adjustment scenario'!$C$1:$U$1,$D60-1,0),MATCH(O$4,'Adjustment scenario'!$C$10:$U$10,0))</f>
        <v>4.1352420364593874</v>
      </c>
      <c r="P60" s="269">
        <f ca="1">INDEX(OFFSET('Adjustment scenario'!$C$1:$U$1,$D60-1,0),MATCH(P$4,'Adjustment scenario'!$C$10:$U$10,0))</f>
        <v>4.2357861260657534</v>
      </c>
      <c r="Q60" s="269">
        <f ca="1">INDEX(OFFSET('Adjustment scenario'!$C$1:$U$1,$D60-1,0),MATCH(Q$4,'Adjustment scenario'!$C$10:$U$10,0))</f>
        <v>4.3496318348087426</v>
      </c>
      <c r="R60" s="269">
        <f ca="1">INDEX(OFFSET('Adjustment scenario'!$C$1:$U$1,$D60-1,0),MATCH(R$4,'Adjustment scenario'!$C$10:$U$10,0))</f>
        <v>4.4762792177128565</v>
      </c>
      <c r="S60" s="269">
        <f ca="1">INDEX(OFFSET('Adjustment scenario'!$C$1:$U$1,$D60-1,0),MATCH(S$4,'Adjustment scenario'!$C$10:$U$10,0))</f>
        <v>4.6234209879205279</v>
      </c>
      <c r="T60" s="269">
        <f ca="1">INDEX(OFFSET('Adjustment scenario'!$C$1:$U$1,$D60-1,0),MATCH(T$4,'Adjustment scenario'!$C$10:$U$10,0))</f>
        <v>4.790385841373813</v>
      </c>
      <c r="U60" s="269">
        <f ca="1">INDEX(OFFSET('Adjustment scenario'!$C$1:$U$1,$D60-1,0),MATCH(U$4,'Adjustment scenario'!$C$10:$U$10,0))</f>
        <v>4.954388300114922</v>
      </c>
      <c r="V60" s="269">
        <f ca="1">INDEX(OFFSET('Adjustment scenario'!$C$1:$U$1,$D60-1,0),MATCH(V$4,'Adjustment scenario'!$C$10:$U$10,0))</f>
        <v>5.1235857050007043</v>
      </c>
      <c r="W60" s="269">
        <f ca="1">INDEX(OFFSET('Adjustment scenario'!$C$1:$U$1,$D60-1,0),MATCH(W$4,'Adjustment scenario'!$C$10:$U$10,0))</f>
        <v>5.3028378374230059</v>
      </c>
      <c r="X60" s="269">
        <f ca="1">INDEX(OFFSET('Adjustment scenario'!$C$1:$U$1,$D60-1,0),MATCH(X$4,'Adjustment scenario'!$C$10:$U$10,0))</f>
        <v>5.5007020509516362</v>
      </c>
      <c r="Y60" s="186"/>
    </row>
    <row r="61" spans="1:25" x14ac:dyDescent="0.2">
      <c r="A61" s="186"/>
      <c r="B61" s="276">
        <f t="shared" si="3"/>
        <v>4</v>
      </c>
      <c r="C61" s="283" t="s">
        <v>97</v>
      </c>
      <c r="D61" s="281">
        <v>94</v>
      </c>
      <c r="E61" s="282" t="s">
        <v>144</v>
      </c>
      <c r="F61" s="269">
        <f ca="1">INDEX(OFFSET('Adjustment scenario'!$C$1:$U$1,$D61-1,0),MATCH(F$4,'Adjustment scenario'!$C$10:$U$10,0))</f>
        <v>0</v>
      </c>
      <c r="G61" s="269">
        <f ca="1">INDEX(OFFSET('Adjustment scenario'!$C$1:$U$1,$D61-1,0),MATCH(G$4,'Adjustment scenario'!$C$10:$U$10,0))</f>
        <v>0.80738171377187484</v>
      </c>
      <c r="H61" s="269">
        <f ca="1">INDEX(OFFSET('Adjustment scenario'!$C$1:$U$1,$D61-1,0),MATCH(H$4,'Adjustment scenario'!$C$10:$U$10,0))</f>
        <v>4.2355222313175842</v>
      </c>
      <c r="I61" s="269">
        <f ca="1">INDEX(OFFSET('Adjustment scenario'!$C$1:$U$1,$D61-1,0),MATCH(I$4,'Adjustment scenario'!$C$10:$U$10,0))</f>
        <v>1.7159887781380934</v>
      </c>
      <c r="J61" s="269">
        <f ca="1">INDEX(OFFSET('Adjustment scenario'!$C$1:$U$1,$D61-1,0),MATCH(J$4,'Adjustment scenario'!$C$10:$U$10,0))</f>
        <v>1.6274901498748815</v>
      </c>
      <c r="K61" s="269">
        <f ca="1">INDEX(OFFSET('Adjustment scenario'!$C$1:$U$1,$D61-1,0),MATCH(K$4,'Adjustment scenario'!$C$10:$U$10,0))</f>
        <v>1.5378933831447361</v>
      </c>
      <c r="L61" s="269">
        <f ca="1">INDEX(OFFSET('Adjustment scenario'!$C$1:$U$1,$D61-1,0),MATCH(L$4,'Adjustment scenario'!$C$10:$U$10,0))</f>
        <v>1.5420128889294278</v>
      </c>
      <c r="M61" s="269">
        <f ca="1">INDEX(OFFSET('Adjustment scenario'!$C$1:$U$1,$D61-1,0),MATCH(M$4,'Adjustment scenario'!$C$10:$U$10,0))</f>
        <v>1.8802122907173011</v>
      </c>
      <c r="N61" s="269">
        <f ca="1">INDEX(OFFSET('Adjustment scenario'!$C$1:$U$1,$D61-1,0),MATCH(N$4,'Adjustment scenario'!$C$10:$U$10,0))</f>
        <v>2.1402591047792772</v>
      </c>
      <c r="O61" s="269">
        <f ca="1">INDEX(OFFSET('Adjustment scenario'!$C$1:$U$1,$D61-1,0),MATCH(O$4,'Adjustment scenario'!$C$10:$U$10,0))</f>
        <v>2.3195709302576368</v>
      </c>
      <c r="P61" s="269">
        <f ca="1">INDEX(OFFSET('Adjustment scenario'!$C$1:$U$1,$D61-1,0),MATCH(P$4,'Adjustment scenario'!$C$10:$U$10,0))</f>
        <v>2.5055933202621614</v>
      </c>
      <c r="Q61" s="269">
        <f ca="1">INDEX(OFFSET('Adjustment scenario'!$C$1:$U$1,$D61-1,0),MATCH(Q$4,'Adjustment scenario'!$C$10:$U$10,0))</f>
        <v>2.6984552733890057</v>
      </c>
      <c r="R61" s="269">
        <f ca="1">INDEX(OFFSET('Adjustment scenario'!$C$1:$U$1,$D61-1,0),MATCH(R$4,'Adjustment scenario'!$C$10:$U$10,0))</f>
        <v>2.973965586151972</v>
      </c>
      <c r="S61" s="269">
        <f ca="1">INDEX(OFFSET('Adjustment scenario'!$C$1:$U$1,$D61-1,0),MATCH(S$4,'Adjustment scenario'!$C$10:$U$10,0))</f>
        <v>3.25165862017132</v>
      </c>
      <c r="T61" s="269">
        <f ca="1">INDEX(OFFSET('Adjustment scenario'!$C$1:$U$1,$D61-1,0),MATCH(T$4,'Adjustment scenario'!$C$10:$U$10,0))</f>
        <v>3.3506651459915164</v>
      </c>
      <c r="U61" s="269">
        <f ca="1">INDEX(OFFSET('Adjustment scenario'!$C$1:$U$1,$D61-1,0),MATCH(U$4,'Adjustment scenario'!$C$10:$U$10,0))</f>
        <v>3.5349268825850104</v>
      </c>
      <c r="V61" s="269">
        <f ca="1">INDEX(OFFSET('Adjustment scenario'!$C$1:$U$1,$D61-1,0),MATCH(V$4,'Adjustment scenario'!$C$10:$U$10,0))</f>
        <v>3.7173033343820201</v>
      </c>
      <c r="W61" s="269">
        <f ca="1">INDEX(OFFSET('Adjustment scenario'!$C$1:$U$1,$D61-1,0),MATCH(W$4,'Adjustment scenario'!$C$10:$U$10,0))</f>
        <v>3.9904831780697796</v>
      </c>
      <c r="X61" s="269">
        <f ca="1">INDEX(OFFSET('Adjustment scenario'!$C$1:$U$1,$D61-1,0),MATCH(X$4,'Adjustment scenario'!$C$10:$U$10,0))</f>
        <v>4.0862411379376073</v>
      </c>
      <c r="Y61" s="186"/>
    </row>
    <row r="62" spans="1:25" x14ac:dyDescent="0.2">
      <c r="A62" s="186"/>
      <c r="B62" s="276">
        <f t="shared" si="3"/>
        <v>5</v>
      </c>
      <c r="C62" s="283" t="s">
        <v>98</v>
      </c>
      <c r="D62" s="281">
        <v>95</v>
      </c>
      <c r="E62" s="282" t="s">
        <v>144</v>
      </c>
      <c r="F62" s="269">
        <f ca="1">INDEX(OFFSET('Adjustment scenario'!$C$1:$U$1,$D62-1,0),MATCH(F$4,'Adjustment scenario'!$C$10:$U$10,0))</f>
        <v>0</v>
      </c>
      <c r="G62" s="269">
        <f ca="1">INDEX(OFFSET('Adjustment scenario'!$C$1:$U$1,$D62-1,0),MATCH(G$4,'Adjustment scenario'!$C$10:$U$10,0))</f>
        <v>7.3048800586333146E-2</v>
      </c>
      <c r="H62" s="269">
        <f ca="1">INDEX(OFFSET('Adjustment scenario'!$C$1:$U$1,$D62-1,0),MATCH(H$4,'Adjustment scenario'!$C$10:$U$10,0))</f>
        <v>0.43942647897241915</v>
      </c>
      <c r="I62" s="269">
        <f ca="1">INDEX(OFFSET('Adjustment scenario'!$C$1:$U$1,$D62-1,0),MATCH(I$4,'Adjustment scenario'!$C$10:$U$10,0))</f>
        <v>0.1780302086854674</v>
      </c>
      <c r="J62" s="269">
        <f ca="1">INDEX(OFFSET('Adjustment scenario'!$C$1:$U$1,$D62-1,0),MATCH(J$4,'Adjustment scenario'!$C$10:$U$10,0))</f>
        <v>0.16884866306069216</v>
      </c>
      <c r="K62" s="269">
        <f ca="1">INDEX(OFFSET('Adjustment scenario'!$C$1:$U$1,$D62-1,0),MATCH(K$4,'Adjustment scenario'!$C$10:$U$10,0))</f>
        <v>0.15955318789108283</v>
      </c>
      <c r="L62" s="269">
        <f ca="1">INDEX(OFFSET('Adjustment scenario'!$C$1:$U$1,$D62-1,0),MATCH(L$4,'Adjustment scenario'!$C$10:$U$10,0))</f>
        <v>0.15998057790893913</v>
      </c>
      <c r="M62" s="269">
        <f ca="1">INDEX(OFFSET('Adjustment scenario'!$C$1:$U$1,$D62-1,0),MATCH(M$4,'Adjustment scenario'!$C$10:$U$10,0))</f>
        <v>0.19506805100006558</v>
      </c>
      <c r="N62" s="269">
        <f ca="1">INDEX(OFFSET('Adjustment scenario'!$C$1:$U$1,$D62-1,0),MATCH(N$4,'Adjustment scenario'!$C$10:$U$10,0))</f>
        <v>0.22204735830397318</v>
      </c>
      <c r="O62" s="269">
        <f ca="1">INDEX(OFFSET('Adjustment scenario'!$C$1:$U$1,$D62-1,0),MATCH(O$4,'Adjustment scenario'!$C$10:$U$10,0))</f>
        <v>0.24065058119003538</v>
      </c>
      <c r="P62" s="269">
        <f ca="1">INDEX(OFFSET('Adjustment scenario'!$C$1:$U$1,$D62-1,0),MATCH(P$4,'Adjustment scenario'!$C$10:$U$10,0))</f>
        <v>0.25995001096171994</v>
      </c>
      <c r="Q62" s="269">
        <f ca="1">INDEX(OFFSET('Adjustment scenario'!$C$1:$U$1,$D62-1,0),MATCH(Q$4,'Adjustment scenario'!$C$10:$U$10,0))</f>
        <v>0.2799590309507165</v>
      </c>
      <c r="R62" s="269">
        <f ca="1">INDEX(OFFSET('Adjustment scenario'!$C$1:$U$1,$D62-1,0),MATCH(R$4,'Adjustment scenario'!$C$10:$U$10,0))</f>
        <v>0.30854264356000716</v>
      </c>
      <c r="S62" s="269">
        <f ca="1">INDEX(OFFSET('Adjustment scenario'!$C$1:$U$1,$D62-1,0),MATCH(S$4,'Adjustment scenario'!$C$10:$U$10,0))</f>
        <v>0.33735270888607927</v>
      </c>
      <c r="T62" s="269">
        <f ca="1">INDEX(OFFSET('Adjustment scenario'!$C$1:$U$1,$D62-1,0),MATCH(T$4,'Adjustment scenario'!$C$10:$U$10,0))</f>
        <v>0.34762442667208815</v>
      </c>
      <c r="U62" s="269">
        <f ca="1">INDEX(OFFSET('Adjustment scenario'!$C$1:$U$1,$D62-1,0),MATCH(U$4,'Adjustment scenario'!$C$10:$U$10,0))</f>
        <v>0.36674119237383129</v>
      </c>
      <c r="V62" s="269">
        <f ca="1">INDEX(OFFSET('Adjustment scenario'!$C$1:$U$1,$D62-1,0),MATCH(V$4,'Adjustment scenario'!$C$10:$U$10,0))</f>
        <v>0.38566236376282259</v>
      </c>
      <c r="W62" s="269">
        <f ca="1">INDEX(OFFSET('Adjustment scenario'!$C$1:$U$1,$D62-1,0),MATCH(W$4,'Adjustment scenario'!$C$10:$U$10,0))</f>
        <v>0.41400419513141989</v>
      </c>
      <c r="X62" s="269">
        <f ca="1">INDEX(OFFSET('Adjustment scenario'!$C$1:$U$1,$D62-1,0),MATCH(X$4,'Adjustment scenario'!$C$10:$U$10,0))</f>
        <v>0.4239388810662903</v>
      </c>
      <c r="Y62" s="186"/>
    </row>
    <row r="63" spans="1:25" x14ac:dyDescent="0.2">
      <c r="A63" s="186"/>
      <c r="B63" s="186"/>
      <c r="C63" s="186"/>
      <c r="D63" s="186"/>
      <c r="E63" s="186"/>
      <c r="F63" s="186"/>
      <c r="G63" s="186"/>
      <c r="H63" s="186"/>
      <c r="I63" s="186"/>
      <c r="J63" s="186"/>
      <c r="K63" s="186"/>
      <c r="L63" s="186"/>
      <c r="M63" s="186"/>
      <c r="N63" s="186"/>
      <c r="O63" s="186"/>
      <c r="P63" s="186"/>
      <c r="Q63" s="186"/>
      <c r="R63" s="186"/>
      <c r="S63" s="186"/>
      <c r="T63" s="186"/>
      <c r="U63" s="186"/>
      <c r="V63" s="186"/>
      <c r="W63" s="186"/>
      <c r="X63" s="186"/>
      <c r="Y63" s="186"/>
    </row>
  </sheetData>
  <conditionalFormatting sqref="V4:X63">
    <cfRule type="expression" dxfId="3" priority="1">
      <formula>#REF!=4</formula>
    </cfRule>
  </conditionalFormatting>
  <pageMargins left="0.7" right="0.7" top="0.75" bottom="0.75" header="0.3" footer="0.3"/>
  <pageSetup paperSize="9" orientation="portrait" verticalDpi="0" r:id="rId1"/>
  <ignoredErrors>
    <ignoredError sqref="F15:X21 F37:X52" formula="1"/>
  </ignoredErrors>
  <extLst>
    <ext xmlns:x14="http://schemas.microsoft.com/office/spreadsheetml/2009/9/main" uri="{78C0D931-6437-407d-A8EE-F0AAD7539E65}">
      <x14:conditionalFormattings>
        <x14:conditionalFormatting xmlns:xm="http://schemas.microsoft.com/office/excel/2006/main">
          <x14:cfRule type="expression" priority="2" id="{1794A10D-CEDE-4DE7-974F-7E50033A335B}">
            <xm:f>'Criteria results'!$F$5=4</xm:f>
            <x14:dxf>
              <font>
                <color theme="0"/>
              </font>
              <fill>
                <patternFill>
                  <bgColor theme="0"/>
                </patternFill>
              </fill>
            </x14:dxf>
          </x14:cfRule>
          <xm:sqref>V4:X63</xm:sqref>
        </x14:conditionalFormatting>
      </x14:conditionalFormatting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75637D-C597-4E38-ADE0-4F52B1E42E7B}">
  <sheetPr codeName="Sheet26">
    <tabColor rgb="FF7030A0"/>
  </sheetPr>
  <dimension ref="A1:Y63"/>
  <sheetViews>
    <sheetView zoomScale="90" zoomScaleNormal="90" workbookViewId="0"/>
  </sheetViews>
  <sheetFormatPr defaultColWidth="9.140625" defaultRowHeight="12.75" x14ac:dyDescent="0.2"/>
  <cols>
    <col min="1" max="1" width="9.140625" style="268"/>
    <col min="2" max="2" width="4.5703125" style="268" customWidth="1"/>
    <col min="3" max="3" width="67" style="268" customWidth="1"/>
    <col min="4" max="4" width="16.5703125" style="268" customWidth="1"/>
    <col min="5" max="5" width="13.7109375" style="268" customWidth="1"/>
    <col min="6" max="24" width="10.7109375" style="268" customWidth="1"/>
    <col min="25" max="16384" width="9.140625" style="268"/>
  </cols>
  <sheetData>
    <row r="1" spans="1:25" x14ac:dyDescent="0.2">
      <c r="A1" s="186"/>
      <c r="B1" s="186"/>
      <c r="C1" s="186"/>
      <c r="D1" s="186"/>
      <c r="E1" s="186"/>
      <c r="F1" s="186"/>
      <c r="G1" s="186"/>
      <c r="H1" s="186"/>
      <c r="I1" s="186"/>
      <c r="J1" s="186"/>
      <c r="K1" s="186"/>
      <c r="L1" s="186"/>
      <c r="M1" s="186"/>
      <c r="N1" s="186"/>
      <c r="O1" s="186"/>
      <c r="P1" s="186"/>
      <c r="Q1" s="186"/>
      <c r="R1" s="186"/>
      <c r="S1" s="186"/>
      <c r="T1" s="186"/>
      <c r="U1" s="186"/>
      <c r="V1" s="186"/>
      <c r="W1" s="186"/>
      <c r="X1" s="186"/>
      <c r="Y1" s="186"/>
    </row>
    <row r="2" spans="1:25" x14ac:dyDescent="0.2">
      <c r="A2" s="186"/>
      <c r="B2" s="273"/>
      <c r="C2" s="274" t="s">
        <v>142</v>
      </c>
      <c r="D2" s="275"/>
      <c r="E2" s="275"/>
      <c r="F2" s="275"/>
      <c r="G2" s="291"/>
      <c r="H2" s="291"/>
      <c r="I2" s="291"/>
      <c r="J2" s="291"/>
      <c r="K2" s="186"/>
      <c r="L2" s="186"/>
      <c r="M2" s="186"/>
      <c r="N2" s="186"/>
      <c r="O2" s="186"/>
      <c r="P2" s="186"/>
      <c r="Q2" s="186"/>
      <c r="R2" s="186"/>
      <c r="S2" s="186"/>
      <c r="T2" s="186"/>
      <c r="U2" s="186"/>
      <c r="V2" s="186"/>
      <c r="W2" s="186"/>
      <c r="X2" s="186"/>
      <c r="Y2" s="186"/>
    </row>
    <row r="3" spans="1:25" x14ac:dyDescent="0.2">
      <c r="A3" s="186"/>
      <c r="B3" s="270"/>
      <c r="C3" s="291"/>
      <c r="D3" s="291"/>
      <c r="E3" s="291"/>
      <c r="F3" s="291"/>
      <c r="G3" s="291"/>
      <c r="H3" s="291"/>
      <c r="I3" s="291"/>
      <c r="J3" s="291"/>
      <c r="K3" s="186"/>
      <c r="L3" s="186"/>
      <c r="M3" s="186"/>
      <c r="N3" s="186"/>
      <c r="O3" s="186"/>
      <c r="P3" s="186"/>
      <c r="Q3" s="186"/>
      <c r="R3" s="186"/>
      <c r="S3" s="186"/>
      <c r="T3" s="186"/>
      <c r="U3" s="186"/>
      <c r="V3" s="186"/>
      <c r="W3" s="186"/>
      <c r="X3" s="186"/>
      <c r="Y3" s="186"/>
    </row>
    <row r="4" spans="1:25" x14ac:dyDescent="0.2">
      <c r="A4" s="186"/>
      <c r="B4" s="276"/>
      <c r="C4" s="274"/>
      <c r="D4" s="277" t="s">
        <v>163</v>
      </c>
      <c r="E4" s="278">
        <f>F4-1</f>
        <v>2023</v>
      </c>
      <c r="F4" s="279">
        <f>'Input data'!$C$5-1</f>
        <v>2024</v>
      </c>
      <c r="G4" s="279">
        <f>F4+1</f>
        <v>2025</v>
      </c>
      <c r="H4" s="279">
        <f t="shared" ref="H4:X4" si="0">G4+1</f>
        <v>2026</v>
      </c>
      <c r="I4" s="279">
        <f t="shared" si="0"/>
        <v>2027</v>
      </c>
      <c r="J4" s="279">
        <f t="shared" si="0"/>
        <v>2028</v>
      </c>
      <c r="K4" s="279">
        <f t="shared" si="0"/>
        <v>2029</v>
      </c>
      <c r="L4" s="279">
        <f t="shared" si="0"/>
        <v>2030</v>
      </c>
      <c r="M4" s="279">
        <f t="shared" si="0"/>
        <v>2031</v>
      </c>
      <c r="N4" s="279">
        <f t="shared" si="0"/>
        <v>2032</v>
      </c>
      <c r="O4" s="279">
        <f t="shared" si="0"/>
        <v>2033</v>
      </c>
      <c r="P4" s="279">
        <f t="shared" si="0"/>
        <v>2034</v>
      </c>
      <c r="Q4" s="279">
        <f t="shared" si="0"/>
        <v>2035</v>
      </c>
      <c r="R4" s="279">
        <f t="shared" si="0"/>
        <v>2036</v>
      </c>
      <c r="S4" s="279">
        <f t="shared" si="0"/>
        <v>2037</v>
      </c>
      <c r="T4" s="279">
        <f t="shared" si="0"/>
        <v>2038</v>
      </c>
      <c r="U4" s="279">
        <f t="shared" si="0"/>
        <v>2039</v>
      </c>
      <c r="V4" s="279">
        <f t="shared" si="0"/>
        <v>2040</v>
      </c>
      <c r="W4" s="279">
        <f t="shared" si="0"/>
        <v>2041</v>
      </c>
      <c r="X4" s="279">
        <f t="shared" si="0"/>
        <v>2042</v>
      </c>
      <c r="Y4" s="186"/>
    </row>
    <row r="5" spans="1:25" x14ac:dyDescent="0.2">
      <c r="A5" s="186"/>
      <c r="B5" s="276">
        <v>1</v>
      </c>
      <c r="C5" s="280" t="s">
        <v>143</v>
      </c>
      <c r="D5" s="281">
        <v>57</v>
      </c>
      <c r="E5" s="282" t="s">
        <v>144</v>
      </c>
      <c r="F5" s="269">
        <f ca="1">INDEX(OFFSET('Adjust. no safeguard'!$C$1:$U$1,$D5-1,0),MATCH(F$4,'Adjust. no safeguard'!$C$10:$U$10,0))</f>
        <v>43.748150000000003</v>
      </c>
      <c r="G5" s="269">
        <f ca="1">INDEX(OFFSET('Adjust. no safeguard'!$C$1:$U$1,$D5-1,0),MATCH(G$4,'Adjust. no safeguard'!$C$10:$U$10,0))</f>
        <v>45.157610209173967</v>
      </c>
      <c r="H5" s="269">
        <f ca="1">INDEX(OFFSET('Adjust. no safeguard'!$C$1:$U$1,$D5-1,0),MATCH(H$4,'Adjust. no safeguard'!$C$10:$U$10,0))</f>
        <v>47.855644632273624</v>
      </c>
      <c r="I5" s="269">
        <f ca="1">INDEX(OFFSET('Adjust. no safeguard'!$C$1:$U$1,$D5-1,0),MATCH(I$4,'Adjust. no safeguard'!$C$10:$U$10,0))</f>
        <v>48.03397105085827</v>
      </c>
      <c r="J5" s="269">
        <f ca="1">INDEX(OFFSET('Adjust. no safeguard'!$C$1:$U$1,$D5-1,0),MATCH(J$4,'Adjust. no safeguard'!$C$10:$U$10,0))</f>
        <v>48.125787619437091</v>
      </c>
      <c r="K5" s="269">
        <f ca="1">INDEX(OFFSET('Adjust. no safeguard'!$C$1:$U$1,$D5-1,0),MATCH(K$4,'Adjust. no safeguard'!$C$10:$U$10,0))</f>
        <v>48.154710826770085</v>
      </c>
      <c r="L5" s="269">
        <f ca="1">INDEX(OFFSET('Adjust. no safeguard'!$C$1:$U$1,$D5-1,0),MATCH(L$4,'Adjust. no safeguard'!$C$10:$U$10,0))</f>
        <v>48.186227557361946</v>
      </c>
      <c r="M5" s="269">
        <f ca="1">INDEX(OFFSET('Adjust. no safeguard'!$C$1:$U$1,$D5-1,0),MATCH(M$4,'Adjust. no safeguard'!$C$10:$U$10,0))</f>
        <v>48.729290458286442</v>
      </c>
      <c r="N5" s="269">
        <f ca="1">INDEX(OFFSET('Adjust. no safeguard'!$C$1:$U$1,$D5-1,0),MATCH(N$4,'Adjust. no safeguard'!$C$10:$U$10,0))</f>
        <v>49.548171319081376</v>
      </c>
      <c r="O5" s="269">
        <f ca="1">INDEX(OFFSET('Adjust. no safeguard'!$C$1:$U$1,$D5-1,0),MATCH(O$4,'Adjust. no safeguard'!$C$10:$U$10,0))</f>
        <v>50.539007963808501</v>
      </c>
      <c r="P5" s="269">
        <f ca="1">INDEX(OFFSET('Adjust. no safeguard'!$C$1:$U$1,$D5-1,0),MATCH(P$4,'Adjust. no safeguard'!$C$10:$U$10,0))</f>
        <v>51.686403158289899</v>
      </c>
      <c r="Q5" s="269">
        <f ca="1">INDEX(OFFSET('Adjust. no safeguard'!$C$1:$U$1,$D5-1,0),MATCH(Q$4,'Adjust. no safeguard'!$C$10:$U$10,0))</f>
        <v>52.985091388356423</v>
      </c>
      <c r="R5" s="269">
        <f ca="1">INDEX(OFFSET('Adjust. no safeguard'!$C$1:$U$1,$D5-1,0),MATCH(R$4,'Adjust. no safeguard'!$C$10:$U$10,0))</f>
        <v>54.512967034094977</v>
      </c>
      <c r="S5" s="269">
        <f ca="1">INDEX(OFFSET('Adjust. no safeguard'!$C$1:$U$1,$D5-1,0),MATCH(S$4,'Adjust. no safeguard'!$C$10:$U$10,0))</f>
        <v>56.263155518990189</v>
      </c>
      <c r="T5" s="269">
        <f ca="1">INDEX(OFFSET('Adjust. no safeguard'!$C$1:$U$1,$D5-1,0),MATCH(T$4,'Adjust. no safeguard'!$C$10:$U$10,0))</f>
        <v>58.028972819581085</v>
      </c>
      <c r="U5" s="269">
        <f ca="1">INDEX(OFFSET('Adjust. no safeguard'!$C$1:$U$1,$D5-1,0),MATCH(U$4,'Adjust. no safeguard'!$C$10:$U$10,0))</f>
        <v>59.856804371446188</v>
      </c>
      <c r="V5" s="269">
        <f ca="1">INDEX(OFFSET('Adjust. no safeguard'!$C$1:$U$1,$D5-1,0),MATCH(V$4,'Adjust. no safeguard'!$C$10:$U$10,0))</f>
        <v>61.737621749412</v>
      </c>
      <c r="W5" s="269">
        <f ca="1">INDEX(OFFSET('Adjust. no safeguard'!$C$1:$U$1,$D5-1,0),MATCH(W$4,'Adjust. no safeguard'!$C$10:$U$10,0))</f>
        <v>63.829039225036091</v>
      </c>
      <c r="X5" s="269">
        <f ca="1">INDEX(OFFSET('Adjust. no safeguard'!$C$1:$U$1,$D5-1,0),MATCH(X$4,'Adjust. no safeguard'!$C$10:$U$10,0))</f>
        <v>65.925997692788357</v>
      </c>
      <c r="Y5" s="186"/>
    </row>
    <row r="6" spans="1:25" x14ac:dyDescent="0.2">
      <c r="A6" s="186"/>
      <c r="B6" s="276">
        <v>2</v>
      </c>
      <c r="C6" s="280" t="s">
        <v>145</v>
      </c>
      <c r="D6" s="281">
        <v>77</v>
      </c>
      <c r="E6" s="282" t="s">
        <v>144</v>
      </c>
      <c r="F6" s="269">
        <f ca="1">INDEX(OFFSET('Adjust. no safeguard'!$C$1:$U$1,$D6-1,0),MATCH(F$4,'Adjust. no safeguard'!$C$10:$U$10,0))</f>
        <v>-0.94488970000000005</v>
      </c>
      <c r="G6" s="269">
        <f ca="1">INDEX(OFFSET('Adjust. no safeguard'!$C$1:$U$1,$D6-1,0),MATCH(G$4,'Adjust. no safeguard'!$C$10:$U$10,0))</f>
        <v>-1.8748091525852035</v>
      </c>
      <c r="H6" s="269">
        <f ca="1">INDEX(OFFSET('Adjust. no safeguard'!$C$1:$U$1,$D6-1,0),MATCH(H$4,'Adjust. no safeguard'!$C$10:$U$10,0))</f>
        <v>-2.6602742879216099</v>
      </c>
      <c r="I6" s="269">
        <f ca="1">INDEX(OFFSET('Adjust. no safeguard'!$C$1:$U$1,$D6-1,0),MATCH(I$4,'Adjust. no safeguard'!$C$10:$U$10,0))</f>
        <v>-1.8940193803137202</v>
      </c>
      <c r="J6" s="269">
        <f ca="1">INDEX(OFFSET('Adjust. no safeguard'!$C$1:$U$1,$D6-1,0),MATCH(J$4,'Adjust. no safeguard'!$C$10:$U$10,0))</f>
        <v>-1.7963389159861296</v>
      </c>
      <c r="K6" s="269">
        <f ca="1">INDEX(OFFSET('Adjust. no safeguard'!$C$1:$U$1,$D6-1,0),MATCH(K$4,'Adjust. no safeguard'!$C$10:$U$10,0))</f>
        <v>-1.6974466794921361</v>
      </c>
      <c r="L6" s="269">
        <f ca="1">INDEX(OFFSET('Adjust. no safeguard'!$C$1:$U$1,$D6-1,0),MATCH(L$4,'Adjust. no safeguard'!$C$10:$U$10,0))</f>
        <v>-1.7019935806106969</v>
      </c>
      <c r="M6" s="269">
        <f ca="1">INDEX(OFFSET('Adjust. no safeguard'!$C$1:$U$1,$D6-1,0),MATCH(M$4,'Adjust. no safeguard'!$C$10:$U$10,0))</f>
        <v>-2.0752804612210749</v>
      </c>
      <c r="N6" s="269">
        <f ca="1">INDEX(OFFSET('Adjust. no safeguard'!$C$1:$U$1,$D6-1,0),MATCH(N$4,'Adjust. no safeguard'!$C$10:$U$10,0))</f>
        <v>-2.3623065888178507</v>
      </c>
      <c r="O6" s="269">
        <f ca="1">INDEX(OFFSET('Adjust. no safeguard'!$C$1:$U$1,$D6-1,0),MATCH(O$4,'Adjust. no safeguard'!$C$10:$U$10,0))</f>
        <v>-2.5602216437301717</v>
      </c>
      <c r="P6" s="269">
        <f ca="1">INDEX(OFFSET('Adjust. no safeguard'!$C$1:$U$1,$D6-1,0),MATCH(P$4,'Adjust. no safeguard'!$C$10:$U$10,0))</f>
        <v>-2.7655434701884083</v>
      </c>
      <c r="Q6" s="269">
        <f ca="1">INDEX(OFFSET('Adjust. no safeguard'!$C$1:$U$1,$D6-1,0),MATCH(Q$4,'Adjust. no safeguard'!$C$10:$U$10,0))</f>
        <v>-2.9784144500823997</v>
      </c>
      <c r="R6" s="269">
        <f ca="1">INDEX(OFFSET('Adjust. no safeguard'!$C$1:$U$1,$D6-1,0),MATCH(R$4,'Adjust. no safeguard'!$C$10:$U$10,0))</f>
        <v>-3.2825083807234448</v>
      </c>
      <c r="S6" s="269">
        <f ca="1">INDEX(OFFSET('Adjust. no safeguard'!$C$1:$U$1,$D6-1,0),MATCH(S$4,'Adjust. no safeguard'!$C$10:$U$10,0))</f>
        <v>-3.5890114846692427</v>
      </c>
      <c r="T6" s="269">
        <f ca="1">INDEX(OFFSET('Adjust. no safeguard'!$C$1:$U$1,$D6-1,0),MATCH(T$4,'Adjust. no safeguard'!$C$10:$U$10,0))</f>
        <v>-3.6982897322467703</v>
      </c>
      <c r="U6" s="269">
        <f ca="1">INDEX(OFFSET('Adjust. no safeguard'!$C$1:$U$1,$D6-1,0),MATCH(U$4,'Adjust. no safeguard'!$C$10:$U$10,0))</f>
        <v>-3.901668237714583</v>
      </c>
      <c r="V6" s="269">
        <f ca="1">INDEX(OFFSET('Adjust. no safeguard'!$C$1:$U$1,$D6-1,0),MATCH(V$4,'Adjust. no safeguard'!$C$10:$U$10,0))</f>
        <v>-4.102965863387487</v>
      </c>
      <c r="W6" s="269">
        <f ca="1">INDEX(OFFSET('Adjust. no safeguard'!$C$1:$U$1,$D6-1,0),MATCH(W$4,'Adjust. no safeguard'!$C$10:$U$10,0))</f>
        <v>-4.4044875404778017</v>
      </c>
      <c r="X6" s="269">
        <f ca="1">INDEX(OFFSET('Adjust. no safeguard'!$C$1:$U$1,$D6-1,0),MATCH(X$4,'Adjust. no safeguard'!$C$10:$U$10,0))</f>
        <v>-4.5101801879365775</v>
      </c>
      <c r="Y6" s="186"/>
    </row>
    <row r="7" spans="1:25" x14ac:dyDescent="0.2">
      <c r="A7" s="186"/>
      <c r="B7" s="276">
        <v>3</v>
      </c>
      <c r="C7" s="280" t="s">
        <v>18</v>
      </c>
      <c r="D7" s="281">
        <v>12</v>
      </c>
      <c r="E7" s="282" t="s">
        <v>146</v>
      </c>
      <c r="F7" s="269">
        <f ca="1">INDEX(OFFSET('Adjust. no safeguard'!$C$1:$U$1,$D7-1,0),MATCH(F$4,'Adjust. no safeguard'!$C$10:$U$10,0))</f>
        <v>0.386237</v>
      </c>
      <c r="G7" s="269">
        <f ca="1">INDEX(OFFSET('Adjust. no safeguard'!$C$1:$U$1,$D7-1,0),MATCH(G$4,'Adjust. no safeguard'!$C$10:$U$10,0))</f>
        <v>-0.55773950000000005</v>
      </c>
      <c r="H7" s="269">
        <f ca="1">INDEX(OFFSET('Adjust. no safeguard'!$C$1:$U$1,$D7-1,0),MATCH(H$4,'Adjust. no safeguard'!$C$10:$U$10,0))</f>
        <v>-0.55773950000000005</v>
      </c>
      <c r="I7" s="269">
        <f ca="1">INDEX(OFFSET('Adjust. no safeguard'!$C$1:$U$1,$D7-1,0),MATCH(I$4,'Adjust. no safeguard'!$C$10:$U$10,0))</f>
        <v>-0.55773950000000005</v>
      </c>
      <c r="J7" s="269">
        <f ca="1">INDEX(OFFSET('Adjust. no safeguard'!$C$1:$U$1,$D7-1,0),MATCH(J$4,'Adjust. no safeguard'!$C$10:$U$10,0))</f>
        <v>-0.55773950000000005</v>
      </c>
      <c r="K7" s="269">
        <f ca="1">INDEX(OFFSET('Adjust. no safeguard'!$C$1:$U$1,$D7-1,0),MATCH(K$4,'Adjust. no safeguard'!$C$10:$U$10,0))</f>
        <v>-0.55773950000000005</v>
      </c>
      <c r="L7" s="269">
        <f ca="1">INDEX(OFFSET('Adjust. no safeguard'!$C$1:$U$1,$D7-1,0),MATCH(L$4,'Adjust. no safeguard'!$C$10:$U$10,0))</f>
        <v>-0.55773950000000005</v>
      </c>
      <c r="M7" s="269">
        <f ca="1">INDEX(OFFSET('Adjust. no safeguard'!$C$1:$U$1,$D7-1,0),MATCH(M$4,'Adjust. no safeguard'!$C$10:$U$10,0))</f>
        <v>-0.55773950000000005</v>
      </c>
      <c r="N7" s="269">
        <f ca="1">INDEX(OFFSET('Adjust. no safeguard'!$C$1:$U$1,$D7-1,0),MATCH(N$4,'Adjust. no safeguard'!$C$10:$U$10,0))</f>
        <v>-0.55773950000000005</v>
      </c>
      <c r="O7" s="269">
        <f ca="1">INDEX(OFFSET('Adjust. no safeguard'!$C$1:$U$1,$D7-1,0),MATCH(O$4,'Adjust. no safeguard'!$C$10:$U$10,0))</f>
        <v>-0.55773950000000005</v>
      </c>
      <c r="P7" s="269">
        <f ca="1">INDEX(OFFSET('Adjust. no safeguard'!$C$1:$U$1,$D7-1,0),MATCH(P$4,'Adjust. no safeguard'!$C$10:$U$10,0))</f>
        <v>-0.55773950000000005</v>
      </c>
      <c r="Q7" s="269">
        <f ca="1">INDEX(OFFSET('Adjust. no safeguard'!$C$1:$U$1,$D7-1,0),MATCH(Q$4,'Adjust. no safeguard'!$C$10:$U$10,0))</f>
        <v>-0.55773950000000005</v>
      </c>
      <c r="R7" s="269">
        <f ca="1">INDEX(OFFSET('Adjust. no safeguard'!$C$1:$U$1,$D7-1,0),MATCH(R$4,'Adjust. no safeguard'!$C$10:$U$10,0))</f>
        <v>-0.55773950000000005</v>
      </c>
      <c r="S7" s="269">
        <f ca="1">INDEX(OFFSET('Adjust. no safeguard'!$C$1:$U$1,$D7-1,0),MATCH(S$4,'Adjust. no safeguard'!$C$10:$U$10,0))</f>
        <v>-0.55773950000000005</v>
      </c>
      <c r="T7" s="269">
        <f ca="1">INDEX(OFFSET('Adjust. no safeguard'!$C$1:$U$1,$D7-1,0),MATCH(T$4,'Adjust. no safeguard'!$C$10:$U$10,0))</f>
        <v>-0.55773950000000005</v>
      </c>
      <c r="U7" s="269">
        <f ca="1">INDEX(OFFSET('Adjust. no safeguard'!$C$1:$U$1,$D7-1,0),MATCH(U$4,'Adjust. no safeguard'!$C$10:$U$10,0))</f>
        <v>-0.55773950000000005</v>
      </c>
      <c r="V7" s="269">
        <f ca="1">INDEX(OFFSET('Adjust. no safeguard'!$C$1:$U$1,$D7-1,0),MATCH(V$4,'Adjust. no safeguard'!$C$10:$U$10,0))</f>
        <v>-0.55773950000000005</v>
      </c>
      <c r="W7" s="269">
        <f ca="1">INDEX(OFFSET('Adjust. no safeguard'!$C$1:$U$1,$D7-1,0),MATCH(W$4,'Adjust. no safeguard'!$C$10:$U$10,0))</f>
        <v>-0.55773950000000005</v>
      </c>
      <c r="X7" s="269">
        <f ca="1">INDEX(OFFSET('Adjust. no safeguard'!$C$1:$U$1,$D7-1,0),MATCH(X$4,'Adjust. no safeguard'!$C$10:$U$10,0))</f>
        <v>-0.55773950000000005</v>
      </c>
      <c r="Y7" s="186"/>
    </row>
    <row r="8" spans="1:25" x14ac:dyDescent="0.2">
      <c r="A8" s="186"/>
      <c r="B8" s="276">
        <v>4</v>
      </c>
      <c r="C8" s="280" t="s">
        <v>147</v>
      </c>
      <c r="D8" s="281">
        <v>62</v>
      </c>
      <c r="E8" s="282" t="s">
        <v>146</v>
      </c>
      <c r="F8" s="269">
        <f ca="1">INDEX(OFFSET('Adjust. no safeguard'!$C$1:$U$1,$D8-1,0),MATCH(F$4,'Adjust. no safeguard'!$C$10:$U$10,0))</f>
        <v>0</v>
      </c>
      <c r="G8" s="269">
        <f ca="1">INDEX(OFFSET('Adjust. no safeguard'!$C$1:$U$1,$D8-1,0),MATCH(G$4,'Adjust. no safeguard'!$C$10:$U$10,0))</f>
        <v>0.57430420917396185</v>
      </c>
      <c r="H8" s="269">
        <f ca="1">INDEX(OFFSET('Adjust. no safeguard'!$C$1:$U$1,$D8-1,0),MATCH(H$4,'Adjust. no safeguard'!$C$10:$U$10,0))</f>
        <v>0.66441172309966023</v>
      </c>
      <c r="I8" s="269">
        <f ca="1">INDEX(OFFSET('Adjust. no safeguard'!$C$1:$U$1,$D8-1,0),MATCH(I$4,'Adjust. no safeguard'!$C$10:$U$10,0))</f>
        <v>0.49370468565226816</v>
      </c>
      <c r="J8" s="269">
        <f ca="1">INDEX(OFFSET('Adjust. no safeguard'!$C$1:$U$1,$D8-1,0),MATCH(J$4,'Adjust. no safeguard'!$C$10:$U$10,0))</f>
        <v>0.32913858062013429</v>
      </c>
      <c r="K8" s="269">
        <f ca="1">INDEX(OFFSET('Adjust. no safeguard'!$C$1:$U$1,$D8-1,0),MATCH(K$4,'Adjust. no safeguard'!$C$10:$U$10,0))</f>
        <v>0.16456822422782991</v>
      </c>
      <c r="L8" s="269">
        <f ca="1">INDEX(OFFSET('Adjust. no safeguard'!$C$1:$U$1,$D8-1,0),MATCH(L$4,'Adjust. no safeguard'!$C$10:$U$10,0))</f>
        <v>6.0044019600802301E-7</v>
      </c>
      <c r="M8" s="269">
        <f ca="1">INDEX(OFFSET('Adjust. no safeguard'!$C$1:$U$1,$D8-1,0),MATCH(M$4,'Adjust. no safeguard'!$C$10:$U$10,0))</f>
        <v>1.7976405874975399E-6</v>
      </c>
      <c r="N8" s="269">
        <f ca="1">INDEX(OFFSET('Adjust. no safeguard'!$C$1:$U$1,$D8-1,0),MATCH(N$4,'Adjust. no safeguard'!$C$10:$U$10,0))</f>
        <v>1.7976405874975399E-6</v>
      </c>
      <c r="O8" s="269">
        <f ca="1">INDEX(OFFSET('Adjust. no safeguard'!$C$1:$U$1,$D8-1,0),MATCH(O$4,'Adjust. no safeguard'!$C$10:$U$10,0))</f>
        <v>1.1987049993167354E-6</v>
      </c>
      <c r="P8" s="269">
        <f ca="1">INDEX(OFFSET('Adjust. no safeguard'!$C$1:$U$1,$D8-1,0),MATCH(P$4,'Adjust. no safeguard'!$C$10:$U$10,0))</f>
        <v>2.3964094164607985E-6</v>
      </c>
      <c r="Q8" s="269">
        <f ca="1">INDEX(OFFSET('Adjust. no safeguard'!$C$1:$U$1,$D8-1,0),MATCH(Q$4,'Adjust. no safeguard'!$C$10:$U$10,0))</f>
        <v>-1.1956956963432575E-6</v>
      </c>
      <c r="R8" s="269">
        <f ca="1">INDEX(OFFSET('Adjust. no safeguard'!$C$1:$U$1,$D8-1,0),MATCH(R$4,'Adjust. no safeguard'!$C$10:$U$10,0))</f>
        <v>-2.3921365062129496E-6</v>
      </c>
      <c r="S8" s="269">
        <f ca="1">INDEX(OFFSET('Adjust. no safeguard'!$C$1:$U$1,$D8-1,0),MATCH(S$4,'Adjust. no safeguard'!$C$10:$U$10,0))</f>
        <v>-5.9786803633388175E-6</v>
      </c>
      <c r="T8" s="269">
        <f ca="1">INDEX(OFFSET('Adjust. no safeguard'!$C$1:$U$1,$D8-1,0),MATCH(T$4,'Adjust. no safeguard'!$C$10:$U$10,0))</f>
        <v>-6.5759753409277977E-6</v>
      </c>
      <c r="U8" s="269">
        <f ca="1">INDEX(OFFSET('Adjust. no safeguard'!$C$1:$U$1,$D8-1,0),MATCH(U$4,'Adjust. no safeguard'!$C$10:$U$10,0))</f>
        <v>-7.1723282804025956E-6</v>
      </c>
      <c r="V8" s="269">
        <f ca="1">INDEX(OFFSET('Adjust. no safeguard'!$C$1:$U$1,$D8-1,0),MATCH(V$4,'Adjust. no safeguard'!$C$10:$U$10,0))</f>
        <v>-4.7906726517998877E-6</v>
      </c>
      <c r="W8" s="269">
        <f ca="1">INDEX(OFFSET('Adjust. no safeguard'!$C$1:$U$1,$D8-1,0),MATCH(W$4,'Adjust. no safeguard'!$C$10:$U$10,0))</f>
        <v>-1.8150674530037492E-6</v>
      </c>
      <c r="X8" s="269">
        <f ca="1">INDEX(OFFSET('Adjust. no safeguard'!$C$1:$U$1,$D8-1,0),MATCH(X$4,'Adjust. no safeguard'!$C$10:$U$10,0))</f>
        <v>-4.1943812789657642E-6</v>
      </c>
      <c r="Y8" s="186"/>
    </row>
    <row r="9" spans="1:25" x14ac:dyDescent="0.2">
      <c r="A9" s="186"/>
      <c r="B9" s="276">
        <v>5</v>
      </c>
      <c r="C9" s="280" t="s">
        <v>148</v>
      </c>
      <c r="D9" s="281">
        <v>14</v>
      </c>
      <c r="E9" s="282" t="s">
        <v>144</v>
      </c>
      <c r="F9" s="269">
        <f ca="1">INDEX(OFFSET('Adjust. no safeguard'!$C$1:$U$1,$D9-1,0),MATCH(F$4,'Adjust. no safeguard'!$C$10:$U$10,0))</f>
        <v>-2.6727000000000001E-2</v>
      </c>
      <c r="G9" s="269">
        <f ca="1">INDEX(OFFSET('Adjust. no safeguard'!$C$1:$U$1,$D9-1,0),MATCH(G$4,'Adjust. no safeguard'!$C$10:$U$10,0))</f>
        <v>-2.54775E-2</v>
      </c>
      <c r="H9" s="269">
        <f ca="1">INDEX(OFFSET('Adjust. no safeguard'!$C$1:$U$1,$D9-1,0),MATCH(H$4,'Adjust. no safeguard'!$C$10:$U$10,0))</f>
        <v>-0.69010419999999995</v>
      </c>
      <c r="I9" s="269">
        <f ca="1">INDEX(OFFSET('Adjust. no safeguard'!$C$1:$U$1,$D9-1,0),MATCH(I$4,'Adjust. no safeguard'!$C$10:$U$10,0))</f>
        <v>0</v>
      </c>
      <c r="J9" s="269">
        <f ca="1">INDEX(OFFSET('Adjust. no safeguard'!$C$1:$U$1,$D9-1,0),MATCH(J$4,'Adjust. no safeguard'!$C$10:$U$10,0))</f>
        <v>0</v>
      </c>
      <c r="K9" s="269">
        <f ca="1">INDEX(OFFSET('Adjust. no safeguard'!$C$1:$U$1,$D9-1,0),MATCH(K$4,'Adjust. no safeguard'!$C$10:$U$10,0))</f>
        <v>0</v>
      </c>
      <c r="L9" s="269">
        <f ca="1">INDEX(OFFSET('Adjust. no safeguard'!$C$1:$U$1,$D9-1,0),MATCH(L$4,'Adjust. no safeguard'!$C$10:$U$10,0))</f>
        <v>0</v>
      </c>
      <c r="M9" s="269">
        <f ca="1">INDEX(OFFSET('Adjust. no safeguard'!$C$1:$U$1,$D9-1,0),MATCH(M$4,'Adjust. no safeguard'!$C$10:$U$10,0))</f>
        <v>0</v>
      </c>
      <c r="N9" s="269">
        <f ca="1">INDEX(OFFSET('Adjust. no safeguard'!$C$1:$U$1,$D9-1,0),MATCH(N$4,'Adjust. no safeguard'!$C$10:$U$10,0))</f>
        <v>0</v>
      </c>
      <c r="O9" s="269">
        <f ca="1">INDEX(OFFSET('Adjust. no safeguard'!$C$1:$U$1,$D9-1,0),MATCH(O$4,'Adjust. no safeguard'!$C$10:$U$10,0))</f>
        <v>0</v>
      </c>
      <c r="P9" s="269">
        <f ca="1">INDEX(OFFSET('Adjust. no safeguard'!$C$1:$U$1,$D9-1,0),MATCH(P$4,'Adjust. no safeguard'!$C$10:$U$10,0))</f>
        <v>0</v>
      </c>
      <c r="Q9" s="269">
        <f ca="1">INDEX(OFFSET('Adjust. no safeguard'!$C$1:$U$1,$D9-1,0),MATCH(Q$4,'Adjust. no safeguard'!$C$10:$U$10,0))</f>
        <v>0</v>
      </c>
      <c r="R9" s="269">
        <f ca="1">INDEX(OFFSET('Adjust. no safeguard'!$C$1:$U$1,$D9-1,0),MATCH(R$4,'Adjust. no safeguard'!$C$10:$U$10,0))</f>
        <v>0</v>
      </c>
      <c r="S9" s="269">
        <f ca="1">INDEX(OFFSET('Adjust. no safeguard'!$C$1:$U$1,$D9-1,0),MATCH(S$4,'Adjust. no safeguard'!$C$10:$U$10,0))</f>
        <v>0</v>
      </c>
      <c r="T9" s="269">
        <f ca="1">INDEX(OFFSET('Adjust. no safeguard'!$C$1:$U$1,$D9-1,0),MATCH(T$4,'Adjust. no safeguard'!$C$10:$U$10,0))</f>
        <v>0</v>
      </c>
      <c r="U9" s="269">
        <f ca="1">INDEX(OFFSET('Adjust. no safeguard'!$C$1:$U$1,$D9-1,0),MATCH(U$4,'Adjust. no safeguard'!$C$10:$U$10,0))</f>
        <v>0</v>
      </c>
      <c r="V9" s="269">
        <f ca="1">INDEX(OFFSET('Adjust. no safeguard'!$C$1:$U$1,$D9-1,0),MATCH(V$4,'Adjust. no safeguard'!$C$10:$U$10,0))</f>
        <v>0</v>
      </c>
      <c r="W9" s="269">
        <f ca="1">INDEX(OFFSET('Adjust. no safeguard'!$C$1:$U$1,$D9-1,0),MATCH(W$4,'Adjust. no safeguard'!$C$10:$U$10,0))</f>
        <v>0</v>
      </c>
      <c r="X9" s="269">
        <f ca="1">INDEX(OFFSET('Adjust. no safeguard'!$C$1:$U$1,$D9-1,0),MATCH(X$4,'Adjust. no safeguard'!$C$10:$U$10,0))</f>
        <v>0</v>
      </c>
      <c r="Y9" s="186"/>
    </row>
    <row r="10" spans="1:25" x14ac:dyDescent="0.2">
      <c r="A10" s="186"/>
      <c r="B10" s="276">
        <v>6</v>
      </c>
      <c r="C10" s="280" t="s">
        <v>149</v>
      </c>
      <c r="D10" s="281">
        <v>68</v>
      </c>
      <c r="E10" s="282" t="s">
        <v>144</v>
      </c>
      <c r="F10" s="269">
        <f ca="1">INDEX(OFFSET('Adjust. no safeguard'!$C$1:$U$1,$D10-1,0),MATCH(F$4,'Adjust. no safeguard'!$C$10:$U$10,0))</f>
        <v>0</v>
      </c>
      <c r="G10" s="269">
        <f ca="1">INDEX(OFFSET('Adjust. no safeguard'!$C$1:$U$1,$D10-1,0),MATCH(G$4,'Adjust. no safeguard'!$C$10:$U$10,0))</f>
        <v>0.71728822977332674</v>
      </c>
      <c r="H10" s="269">
        <f ca="1">INDEX(OFFSET('Adjust. no safeguard'!$C$1:$U$1,$D10-1,0),MATCH(H$4,'Adjust. no safeguard'!$C$10:$U$10,0))</f>
        <v>0.74801828719034313</v>
      </c>
      <c r="I10" s="269">
        <f ca="1">INDEX(OFFSET('Adjust. no safeguard'!$C$1:$U$1,$D10-1,0),MATCH(I$4,'Adjust. no safeguard'!$C$10:$U$10,0))</f>
        <v>0.84257493081209656</v>
      </c>
      <c r="J10" s="269">
        <f ca="1">INDEX(OFFSET('Adjust. no safeguard'!$C$1:$U$1,$D10-1,0),MATCH(J$4,'Adjust. no safeguard'!$C$10:$U$10,0))</f>
        <v>0.90946083536599531</v>
      </c>
      <c r="K10" s="269">
        <f ca="1">INDEX(OFFSET('Adjust. no safeguard'!$C$1:$U$1,$D10-1,0),MATCH(K$4,'Adjust. no safeguard'!$C$10:$U$10,0))</f>
        <v>0.97513895526430605</v>
      </c>
      <c r="L10" s="269">
        <f ca="1">INDEX(OFFSET('Adjust. no safeguard'!$C$1:$U$1,$D10-1,0),MATCH(L$4,'Adjust. no safeguard'!$C$10:$U$10,0))</f>
        <v>1.0385130801704994</v>
      </c>
      <c r="M10" s="269">
        <f ca="1">INDEX(OFFSET('Adjust. no safeguard'!$C$1:$U$1,$D10-1,0),MATCH(M$4,'Adjust. no safeguard'!$C$10:$U$10,0))</f>
        <v>1.1060584635804851</v>
      </c>
      <c r="N10" s="269">
        <f ca="1">INDEX(OFFSET('Adjust. no safeguard'!$C$1:$U$1,$D10-1,0),MATCH(N$4,'Adjust. no safeguard'!$C$10:$U$10,0))</f>
        <v>1.187344291177262</v>
      </c>
      <c r="O10" s="269">
        <f ca="1">INDEX(OFFSET('Adjust. no safeguard'!$C$1:$U$1,$D10-1,0),MATCH(O$4,'Adjust. no safeguard'!$C$10:$U$10,0))</f>
        <v>1.2795196450251696</v>
      </c>
      <c r="P10" s="269">
        <f ca="1">INDEX(OFFSET('Adjust. no safeguard'!$C$1:$U$1,$D10-1,0),MATCH(P$4,'Adjust. no safeguard'!$C$10:$U$10,0))</f>
        <v>1.3790999737789913</v>
      </c>
      <c r="Q10" s="269">
        <f ca="1">INDEX(OFFSET('Adjust. no safeguard'!$C$1:$U$1,$D10-1,0),MATCH(Q$4,'Adjust. no safeguard'!$C$10:$U$10,0))</f>
        <v>1.4862341457780941</v>
      </c>
      <c r="R10" s="269">
        <f ca="1">INDEX(OFFSET('Adjust. no safeguard'!$C$1:$U$1,$D10-1,0),MATCH(R$4,'Adjust. no safeguard'!$C$10:$U$10,0))</f>
        <v>1.5845889728599494</v>
      </c>
      <c r="S10" s="269">
        <f ca="1">INDEX(OFFSET('Adjust. no safeguard'!$C$1:$U$1,$D10-1,0),MATCH(S$4,'Adjust. no safeguard'!$C$10:$U$10,0))</f>
        <v>1.6853554633496055</v>
      </c>
      <c r="T10" s="269">
        <f ca="1">INDEX(OFFSET('Adjust. no safeguard'!$C$1:$U$1,$D10-1,0),MATCH(T$4,'Adjust. no safeguard'!$C$10:$U$10,0))</f>
        <v>1.7888939082221103</v>
      </c>
      <c r="U10" s="269">
        <f ca="1">INDEX(OFFSET('Adjust. no safeguard'!$C$1:$U$1,$D10-1,0),MATCH(U$4,'Adjust. no safeguard'!$C$10:$U$10,0))</f>
        <v>1.886532710042861</v>
      </c>
      <c r="V10" s="269">
        <f ca="1">INDEX(OFFSET('Adjust. no safeguard'!$C$1:$U$1,$D10-1,0),MATCH(V$4,'Adjust. no safeguard'!$C$10:$U$10,0))</f>
        <v>1.9820876540601382</v>
      </c>
      <c r="W10" s="269">
        <f ca="1">INDEX(OFFSET('Adjust. no safeguard'!$C$1:$U$1,$D10-1,0),MATCH(W$4,'Adjust. no safeguard'!$C$10:$U$10,0))</f>
        <v>2.0778660555452517</v>
      </c>
      <c r="X10" s="269">
        <f ca="1">INDEX(OFFSET('Adjust. no safeguard'!$C$1:$U$1,$D10-1,0),MATCH(X$4,'Adjust. no safeguard'!$C$10:$U$10,0))</f>
        <v>2.1778207823178537</v>
      </c>
      <c r="Y10" s="186"/>
    </row>
    <row r="11" spans="1:25" x14ac:dyDescent="0.2">
      <c r="A11" s="186"/>
      <c r="B11" s="276">
        <v>7</v>
      </c>
      <c r="C11" s="283" t="s">
        <v>61</v>
      </c>
      <c r="D11" s="281">
        <v>37</v>
      </c>
      <c r="E11" s="282" t="s">
        <v>150</v>
      </c>
      <c r="F11" s="269">
        <f ca="1">INDEX(OFFSET('Adjust. no safeguard'!$C$1:$U$1,$D11-1,0),MATCH(F$4,'Adjust. no safeguard'!$C$10:$U$10,0))</f>
        <v>2.6204999999999998</v>
      </c>
      <c r="G11" s="269">
        <f ca="1">INDEX(OFFSET('Adjust. no safeguard'!$C$1:$U$1,$D11-1,0),MATCH(G$4,'Adjust. no safeguard'!$C$10:$U$10,0))</f>
        <v>2.78965</v>
      </c>
      <c r="H11" s="269">
        <f ca="1">INDEX(OFFSET('Adjust. no safeguard'!$C$1:$U$1,$D11-1,0),MATCH(H$4,'Adjust. no safeguard'!$C$10:$U$10,0))</f>
        <v>2.8949530000000001</v>
      </c>
      <c r="I11" s="269">
        <f ca="1">INDEX(OFFSET('Adjust. no safeguard'!$C$1:$U$1,$D11-1,0),MATCH(I$4,'Adjust. no safeguard'!$C$10:$U$10,0))</f>
        <v>3.0816759999999999</v>
      </c>
      <c r="J11" s="269">
        <f ca="1">INDEX(OFFSET('Adjust. no safeguard'!$C$1:$U$1,$D11-1,0),MATCH(J$4,'Adjust. no safeguard'!$C$10:$U$10,0))</f>
        <v>3.188669</v>
      </c>
      <c r="K11" s="269">
        <f ca="1">INDEX(OFFSET('Adjust. no safeguard'!$C$1:$U$1,$D11-1,0),MATCH(K$4,'Adjust. no safeguard'!$C$10:$U$10,0))</f>
        <v>3.2956620000000001</v>
      </c>
      <c r="L11" s="269">
        <f ca="1">INDEX(OFFSET('Adjust. no safeguard'!$C$1:$U$1,$D11-1,0),MATCH(L$4,'Adjust. no safeguard'!$C$10:$U$10,0))</f>
        <v>3.4026550000000002</v>
      </c>
      <c r="M11" s="269">
        <f ca="1">INDEX(OFFSET('Adjust. no safeguard'!$C$1:$U$1,$D11-1,0),MATCH(M$4,'Adjust. no safeguard'!$C$10:$U$10,0))</f>
        <v>3.5096480000000003</v>
      </c>
      <c r="N11" s="269">
        <f ca="1">INDEX(OFFSET('Adjust. no safeguard'!$C$1:$U$1,$D11-1,0),MATCH(N$4,'Adjust. no safeguard'!$C$10:$U$10,0))</f>
        <v>3.6166410000000004</v>
      </c>
      <c r="O11" s="269">
        <f ca="1">INDEX(OFFSET('Adjust. no safeguard'!$C$1:$U$1,$D11-1,0),MATCH(O$4,'Adjust. no safeguard'!$C$10:$U$10,0))</f>
        <v>3.7236340000000006</v>
      </c>
      <c r="P11" s="269">
        <f ca="1">INDEX(OFFSET('Adjust. no safeguard'!$C$1:$U$1,$D11-1,0),MATCH(P$4,'Adjust. no safeguard'!$C$10:$U$10,0))</f>
        <v>3.8306270000000007</v>
      </c>
      <c r="Q11" s="269">
        <f ca="1">INDEX(OFFSET('Adjust. no safeguard'!$C$1:$U$1,$D11-1,0),MATCH(Q$4,'Adjust. no safeguard'!$C$10:$U$10,0))</f>
        <v>3.9376199999999999</v>
      </c>
      <c r="R11" s="269">
        <f ca="1">INDEX(OFFSET('Adjust. no safeguard'!$C$1:$U$1,$D11-1,0),MATCH(R$4,'Adjust. no safeguard'!$C$10:$U$10,0))</f>
        <v>3.9407389999999998</v>
      </c>
      <c r="S11" s="269">
        <f ca="1">INDEX(OFFSET('Adjust. no safeguard'!$C$1:$U$1,$D11-1,0),MATCH(S$4,'Adjust. no safeguard'!$C$10:$U$10,0))</f>
        <v>3.9438580000000001</v>
      </c>
      <c r="T11" s="269">
        <f ca="1">INDEX(OFFSET('Adjust. no safeguard'!$C$1:$U$1,$D11-1,0),MATCH(T$4,'Adjust. no safeguard'!$C$10:$U$10,0))</f>
        <v>3.946977</v>
      </c>
      <c r="U11" s="269">
        <f ca="1">INDEX(OFFSET('Adjust. no safeguard'!$C$1:$U$1,$D11-1,0),MATCH(U$4,'Adjust. no safeguard'!$C$10:$U$10,0))</f>
        <v>3.9500959999999998</v>
      </c>
      <c r="V11" s="269">
        <f ca="1">INDEX(OFFSET('Adjust. no safeguard'!$C$1:$U$1,$D11-1,0),MATCH(V$4,'Adjust. no safeguard'!$C$10:$U$10,0))</f>
        <v>3.9532150000000001</v>
      </c>
      <c r="W11" s="269">
        <f ca="1">INDEX(OFFSET('Adjust. no safeguard'!$C$1:$U$1,$D11-1,0),MATCH(W$4,'Adjust. no safeguard'!$C$10:$U$10,0))</f>
        <v>3.956334</v>
      </c>
      <c r="X11" s="269">
        <f ca="1">INDEX(OFFSET('Adjust. no safeguard'!$C$1:$U$1,$D11-1,0),MATCH(X$4,'Adjust. no safeguard'!$C$10:$U$10,0))</f>
        <v>3.9594529999999999</v>
      </c>
      <c r="Y11" s="186"/>
    </row>
    <row r="12" spans="1:25" x14ac:dyDescent="0.2">
      <c r="A12" s="186"/>
      <c r="B12" s="276">
        <v>8</v>
      </c>
      <c r="C12" s="283" t="s">
        <v>62</v>
      </c>
      <c r="D12" s="281">
        <v>38</v>
      </c>
      <c r="E12" s="282" t="s">
        <v>150</v>
      </c>
      <c r="F12" s="269">
        <f ca="1">INDEX(OFFSET('Adjust. no safeguard'!$C$1:$U$1,$D12-1,0),MATCH(F$4,'Adjust. no safeguard'!$C$10:$U$10,0))</f>
        <v>3.5708329999999999</v>
      </c>
      <c r="G12" s="269">
        <f ca="1">INDEX(OFFSET('Adjust. no safeguard'!$C$1:$U$1,$D12-1,0),MATCH(G$4,'Adjust. no safeguard'!$C$10:$U$10,0))</f>
        <v>2.1725829999999999</v>
      </c>
      <c r="H12" s="269">
        <f ca="1">INDEX(OFFSET('Adjust. no safeguard'!$C$1:$U$1,$D12-1,0),MATCH(H$4,'Adjust. no safeguard'!$C$10:$U$10,0))</f>
        <v>1.91225</v>
      </c>
      <c r="I12" s="269">
        <f ca="1">INDEX(OFFSET('Adjust. no safeguard'!$C$1:$U$1,$D12-1,0),MATCH(I$4,'Adjust. no safeguard'!$C$10:$U$10,0))</f>
        <v>2.024375</v>
      </c>
      <c r="J12" s="269">
        <f ca="1">INDEX(OFFSET('Adjust. no safeguard'!$C$1:$U$1,$D12-1,0),MATCH(J$4,'Adjust. no safeguard'!$C$10:$U$10,0))</f>
        <v>2.1784318750000002</v>
      </c>
      <c r="K12" s="269">
        <f ca="1">INDEX(OFFSET('Adjust. no safeguard'!$C$1:$U$1,$D12-1,0),MATCH(K$4,'Adjust. no safeguard'!$C$10:$U$10,0))</f>
        <v>2.3324887500000004</v>
      </c>
      <c r="L12" s="269">
        <f ca="1">INDEX(OFFSET('Adjust. no safeguard'!$C$1:$U$1,$D12-1,0),MATCH(L$4,'Adjust. no safeguard'!$C$10:$U$10,0))</f>
        <v>2.4865456250000006</v>
      </c>
      <c r="M12" s="269">
        <f ca="1">INDEX(OFFSET('Adjust. no safeguard'!$C$1:$U$1,$D12-1,0),MATCH(M$4,'Adjust. no safeguard'!$C$10:$U$10,0))</f>
        <v>2.6406025000000009</v>
      </c>
      <c r="N12" s="269">
        <f ca="1">INDEX(OFFSET('Adjust. no safeguard'!$C$1:$U$1,$D12-1,0),MATCH(N$4,'Adjust. no safeguard'!$C$10:$U$10,0))</f>
        <v>2.7946593750000011</v>
      </c>
      <c r="O12" s="269">
        <f ca="1">INDEX(OFFSET('Adjust. no safeguard'!$C$1:$U$1,$D12-1,0),MATCH(O$4,'Adjust. no safeguard'!$C$10:$U$10,0))</f>
        <v>2.9487162500000013</v>
      </c>
      <c r="P12" s="269">
        <f ca="1">INDEX(OFFSET('Adjust. no safeguard'!$C$1:$U$1,$D12-1,0),MATCH(P$4,'Adjust. no safeguard'!$C$10:$U$10,0))</f>
        <v>3.1027731250000015</v>
      </c>
      <c r="Q12" s="269">
        <f ca="1">INDEX(OFFSET('Adjust. no safeguard'!$C$1:$U$1,$D12-1,0),MATCH(Q$4,'Adjust. no safeguard'!$C$10:$U$10,0))</f>
        <v>3.2568299999999999</v>
      </c>
      <c r="R12" s="269">
        <f ca="1">INDEX(OFFSET('Adjust. no safeguard'!$C$1:$U$1,$D12-1,0),MATCH(R$4,'Adjust. no safeguard'!$C$10:$U$10,0))</f>
        <v>3.1939884999999997</v>
      </c>
      <c r="S12" s="269">
        <f ca="1">INDEX(OFFSET('Adjust. no safeguard'!$C$1:$U$1,$D12-1,0),MATCH(S$4,'Adjust. no safeguard'!$C$10:$U$10,0))</f>
        <v>3.1311469999999999</v>
      </c>
      <c r="T12" s="269">
        <f ca="1">INDEX(OFFSET('Adjust. no safeguard'!$C$1:$U$1,$D12-1,0),MATCH(T$4,'Adjust. no safeguard'!$C$10:$U$10,0))</f>
        <v>3.0683055000000001</v>
      </c>
      <c r="U12" s="269">
        <f ca="1">INDEX(OFFSET('Adjust. no safeguard'!$C$1:$U$1,$D12-1,0),MATCH(U$4,'Adjust. no safeguard'!$C$10:$U$10,0))</f>
        <v>3.0054639999999999</v>
      </c>
      <c r="V12" s="269">
        <f ca="1">INDEX(OFFSET('Adjust. no safeguard'!$C$1:$U$1,$D12-1,0),MATCH(V$4,'Adjust. no safeguard'!$C$10:$U$10,0))</f>
        <v>2.9426224999999997</v>
      </c>
      <c r="W12" s="269">
        <f ca="1">INDEX(OFFSET('Adjust. no safeguard'!$C$1:$U$1,$D12-1,0),MATCH(W$4,'Adjust. no safeguard'!$C$10:$U$10,0))</f>
        <v>2.8797809999999999</v>
      </c>
      <c r="X12" s="269">
        <f ca="1">INDEX(OFFSET('Adjust. no safeguard'!$C$1:$U$1,$D12-1,0),MATCH(X$4,'Adjust. no safeguard'!$C$10:$U$10,0))</f>
        <v>2.8169395000000002</v>
      </c>
      <c r="Y12" s="186"/>
    </row>
    <row r="13" spans="1:25" x14ac:dyDescent="0.2">
      <c r="A13" s="186"/>
      <c r="B13" s="276">
        <v>9</v>
      </c>
      <c r="C13" s="280" t="s">
        <v>151</v>
      </c>
      <c r="D13" s="281">
        <v>36</v>
      </c>
      <c r="E13" s="282" t="s">
        <v>150</v>
      </c>
      <c r="F13" s="269">
        <f ca="1">INDEX(OFFSET('Adjust. no safeguard'!$C$1:$U$1,$D13-1,0),MATCH(F$4,'Adjust. no safeguard'!$C$10:$U$10,0))</f>
        <v>1.6465860000000001</v>
      </c>
      <c r="G13" s="269">
        <f ca="1">INDEX(OFFSET('Adjust. no safeguard'!$C$1:$U$1,$D13-1,0),MATCH(G$4,'Adjust. no safeguard'!$C$10:$U$10,0))</f>
        <v>1.72</v>
      </c>
      <c r="H13" s="269">
        <f ca="1">INDEX(OFFSET('Adjust. no safeguard'!$C$1:$U$1,$D13-1,0),MATCH(H$4,'Adjust. no safeguard'!$C$10:$U$10,0))</f>
        <v>1.7322979999999999</v>
      </c>
      <c r="I13" s="269">
        <f ca="1">INDEX(OFFSET('Adjust. no safeguard'!$C$1:$U$1,$D13-1,0),MATCH(I$4,'Adjust. no safeguard'!$C$10:$U$10,0))</f>
        <v>1.8261286864640409</v>
      </c>
      <c r="J13" s="269">
        <f ca="1">INDEX(OFFSET('Adjust. no safeguard'!$C$1:$U$1,$D13-1,0),MATCH(J$4,'Adjust. no safeguard'!$C$10:$U$10,0))</f>
        <v>1.9630296945412431</v>
      </c>
      <c r="K13" s="269">
        <f ca="1">INDEX(OFFSET('Adjust. no safeguard'!$C$1:$U$1,$D13-1,0),MATCH(K$4,'Adjust. no safeguard'!$C$10:$U$10,0))</f>
        <v>2.0990021112154578</v>
      </c>
      <c r="L13" s="269">
        <f ca="1">INDEX(OFFSET('Adjust. no safeguard'!$C$1:$U$1,$D13-1,0),MATCH(L$4,'Adjust. no safeguard'!$C$10:$U$10,0))</f>
        <v>2.2341189502873262</v>
      </c>
      <c r="M13" s="269">
        <f ca="1">INDEX(OFFSET('Adjust. no safeguard'!$C$1:$U$1,$D13-1,0),MATCH(M$4,'Adjust. no safeguard'!$C$10:$U$10,0))</f>
        <v>2.3707682654718401</v>
      </c>
      <c r="N13" s="269">
        <f ca="1">INDEX(OFFSET('Adjust. no safeguard'!$C$1:$U$1,$D13-1,0),MATCH(N$4,'Adjust. no safeguard'!$C$10:$U$10,0))</f>
        <v>2.5163135145761926</v>
      </c>
      <c r="O13" s="269">
        <f ca="1">INDEX(OFFSET('Adjust. no safeguard'!$C$1:$U$1,$D13-1,0),MATCH(O$4,'Adjust. no safeguard'!$C$10:$U$10,0))</f>
        <v>2.6668445435221684</v>
      </c>
      <c r="P13" s="269">
        <f ca="1">INDEX(OFFSET('Adjust. no safeguard'!$C$1:$U$1,$D13-1,0),MATCH(P$4,'Adjust. no safeguard'!$C$10:$U$10,0))</f>
        <v>2.8190428021329632</v>
      </c>
      <c r="Q13" s="269">
        <f ca="1">INDEX(OFFSET('Adjust. no safeguard'!$C$1:$U$1,$D13-1,0),MATCH(Q$4,'Adjust. no safeguard'!$C$10:$U$10,0))</f>
        <v>2.9720714048098702</v>
      </c>
      <c r="R13" s="269">
        <f ca="1">INDEX(OFFSET('Adjust. no safeguard'!$C$1:$U$1,$D13-1,0),MATCH(R$4,'Adjust. no safeguard'!$C$10:$U$10,0))</f>
        <v>3.0930602897416488</v>
      </c>
      <c r="S13" s="269">
        <f ca="1">INDEX(OFFSET('Adjust. no safeguard'!$C$1:$U$1,$D13-1,0),MATCH(S$4,'Adjust. no safeguard'!$C$10:$U$10,0))</f>
        <v>3.1995877564739863</v>
      </c>
      <c r="T13" s="269">
        <f ca="1">INDEX(OFFSET('Adjust. no safeguard'!$C$1:$U$1,$D13-1,0),MATCH(T$4,'Adjust. no safeguard'!$C$10:$U$10,0))</f>
        <v>3.2926033809413693</v>
      </c>
      <c r="U13" s="269">
        <f ca="1">INDEX(OFFSET('Adjust. no safeguard'!$C$1:$U$1,$D13-1,0),MATCH(U$4,'Adjust. no safeguard'!$C$10:$U$10,0))</f>
        <v>3.371509463463886</v>
      </c>
      <c r="V13" s="269">
        <f ca="1">INDEX(OFFSET('Adjust. no safeguard'!$C$1:$U$1,$D13-1,0),MATCH(V$4,'Adjust. no safeguard'!$C$10:$U$10,0))</f>
        <v>3.4390552413114404</v>
      </c>
      <c r="W13" s="269">
        <f ca="1">INDEX(OFFSET('Adjust. no safeguard'!$C$1:$U$1,$D13-1,0),MATCH(W$4,'Adjust. no safeguard'!$C$10:$U$10,0))</f>
        <v>3.4966457409306697</v>
      </c>
      <c r="X13" s="269">
        <f ca="1">INDEX(OFFSET('Adjust. no safeguard'!$C$1:$U$1,$D13-1,0),MATCH(X$4,'Adjust. no safeguard'!$C$10:$U$10,0))</f>
        <v>3.546025878668484</v>
      </c>
      <c r="Y13" s="186"/>
    </row>
    <row r="14" spans="1:25" x14ac:dyDescent="0.2">
      <c r="A14" s="186"/>
      <c r="B14" s="276">
        <v>10</v>
      </c>
      <c r="C14" s="280" t="s">
        <v>152</v>
      </c>
      <c r="D14" s="281">
        <v>72</v>
      </c>
      <c r="E14" s="282" t="s">
        <v>144</v>
      </c>
      <c r="F14" s="269">
        <f ca="1">INDEX(OFFSET('Adjust. no safeguard'!$C$1:$U$1,$D14-1,0),MATCH(F$4,'Adjust. no safeguard'!$C$10:$U$10,0))</f>
        <v>0</v>
      </c>
      <c r="G14" s="269">
        <f ca="1">INDEX(OFFSET('Adjust. no safeguard'!$C$1:$U$1,$D14-1,0),MATCH(G$4,'Adjust. no safeguard'!$C$10:$U$10,0))</f>
        <v>1.5799970000000001</v>
      </c>
      <c r="H14" s="269">
        <f ca="1">INDEX(OFFSET('Adjust. no safeguard'!$C$1:$U$1,$D14-1,0),MATCH(H$4,'Adjust. no safeguard'!$C$10:$U$10,0))</f>
        <v>2.0146769999999998</v>
      </c>
      <c r="I14" s="269">
        <f ca="1">INDEX(OFFSET('Adjust. no safeguard'!$C$1:$U$1,$D14-1,0),MATCH(I$4,'Adjust. no safeguard'!$C$10:$U$10,0))</f>
        <v>-2.0499999999999999E-6</v>
      </c>
      <c r="J14" s="269">
        <f ca="1">INDEX(OFFSET('Adjust. no safeguard'!$C$1:$U$1,$D14-1,0),MATCH(J$4,'Adjust. no safeguard'!$C$10:$U$10,0))</f>
        <v>0</v>
      </c>
      <c r="K14" s="269">
        <f ca="1">INDEX(OFFSET('Adjust. no safeguard'!$C$1:$U$1,$D14-1,0),MATCH(K$4,'Adjust. no safeguard'!$C$10:$U$10,0))</f>
        <v>0</v>
      </c>
      <c r="L14" s="269">
        <f ca="1">INDEX(OFFSET('Adjust. no safeguard'!$C$1:$U$1,$D14-1,0),MATCH(L$4,'Adjust. no safeguard'!$C$10:$U$10,0))</f>
        <v>0</v>
      </c>
      <c r="M14" s="269">
        <f ca="1">INDEX(OFFSET('Adjust. no safeguard'!$C$1:$U$1,$D14-1,0),MATCH(M$4,'Adjust. no safeguard'!$C$10:$U$10,0))</f>
        <v>0</v>
      </c>
      <c r="N14" s="269">
        <f ca="1">INDEX(OFFSET('Adjust. no safeguard'!$C$1:$U$1,$D14-1,0),MATCH(N$4,'Adjust. no safeguard'!$C$10:$U$10,0))</f>
        <v>0</v>
      </c>
      <c r="O14" s="269">
        <f ca="1">INDEX(OFFSET('Adjust. no safeguard'!$C$1:$U$1,$D14-1,0),MATCH(O$4,'Adjust. no safeguard'!$C$10:$U$10,0))</f>
        <v>0</v>
      </c>
      <c r="P14" s="269">
        <f ca="1">INDEX(OFFSET('Adjust. no safeguard'!$C$1:$U$1,$D14-1,0),MATCH(P$4,'Adjust. no safeguard'!$C$10:$U$10,0))</f>
        <v>0</v>
      </c>
      <c r="Q14" s="269">
        <f ca="1">INDEX(OFFSET('Adjust. no safeguard'!$C$1:$U$1,$D14-1,0),MATCH(Q$4,'Adjust. no safeguard'!$C$10:$U$10,0))</f>
        <v>0</v>
      </c>
      <c r="R14" s="269">
        <f ca="1">INDEX(OFFSET('Adjust. no safeguard'!$C$1:$U$1,$D14-1,0),MATCH(R$4,'Adjust. no safeguard'!$C$10:$U$10,0))</f>
        <v>0</v>
      </c>
      <c r="S14" s="269">
        <f ca="1">INDEX(OFFSET('Adjust. no safeguard'!$C$1:$U$1,$D14-1,0),MATCH(S$4,'Adjust. no safeguard'!$C$10:$U$10,0))</f>
        <v>0</v>
      </c>
      <c r="T14" s="269">
        <f ca="1">INDEX(OFFSET('Adjust. no safeguard'!$C$1:$U$1,$D14-1,0),MATCH(T$4,'Adjust. no safeguard'!$C$10:$U$10,0))</f>
        <v>0</v>
      </c>
      <c r="U14" s="269">
        <f ca="1">INDEX(OFFSET('Adjust. no safeguard'!$C$1:$U$1,$D14-1,0),MATCH(U$4,'Adjust. no safeguard'!$C$10:$U$10,0))</f>
        <v>0</v>
      </c>
      <c r="V14" s="269">
        <f ca="1">INDEX(OFFSET('Adjust. no safeguard'!$C$1:$U$1,$D14-1,0),MATCH(V$4,'Adjust. no safeguard'!$C$10:$U$10,0))</f>
        <v>0</v>
      </c>
      <c r="W14" s="269">
        <f ca="1">INDEX(OFFSET('Adjust. no safeguard'!$C$1:$U$1,$D14-1,0),MATCH(W$4,'Adjust. no safeguard'!$C$10:$U$10,0))</f>
        <v>0</v>
      </c>
      <c r="X14" s="269">
        <f ca="1">INDEX(OFFSET('Adjust. no safeguard'!$C$1:$U$1,$D14-1,0),MATCH(X$4,'Adjust. no safeguard'!$C$10:$U$10,0))</f>
        <v>0</v>
      </c>
      <c r="Y14" s="186"/>
    </row>
    <row r="15" spans="1:25" x14ac:dyDescent="0.2">
      <c r="A15" s="186"/>
      <c r="B15" s="276">
        <v>11</v>
      </c>
      <c r="C15" s="284" t="s">
        <v>40</v>
      </c>
      <c r="D15" s="281">
        <v>27</v>
      </c>
      <c r="E15" s="282" t="s">
        <v>153</v>
      </c>
      <c r="F15" s="269">
        <f>'Input data'!C33</f>
        <v>1.8242259999999999</v>
      </c>
      <c r="G15" s="269">
        <f ca="1">(INDEX(OFFSET('Adjust. no safeguard'!$C$1:$U$1,$D15-1,0),MATCH(G$4,'Adjust. no safeguard'!$C$10:$U$10,0))/INDEX(OFFSET('Adjust. no safeguard'!$C$1:$U$1,$D15-1,0),MATCH(F$4,'Adjust. no safeguard'!$C$10:$U$10,0))-1)*100</f>
        <v>1.6562940000000026</v>
      </c>
      <c r="H15" s="269">
        <f ca="1">(INDEX(OFFSET('Adjust. no safeguard'!$C$1:$U$1,$D15-1,0),MATCH(H$4,'Adjust. no safeguard'!$C$10:$U$10,0))/INDEX(OFFSET('Adjust. no safeguard'!$C$1:$U$1,$D15-1,0),MATCH(G$4,'Adjust. no safeguard'!$C$10:$U$10,0))-1)*100</f>
        <v>1.4262570000000085</v>
      </c>
      <c r="I15" s="269">
        <f ca="1">(INDEX(OFFSET('Adjust. no safeguard'!$C$1:$U$1,$D15-1,0),MATCH(I$4,'Adjust. no safeguard'!$C$10:$U$10,0))/INDEX(OFFSET('Adjust. no safeguard'!$C$1:$U$1,$D15-1,0),MATCH(H$4,'Adjust. no safeguard'!$C$10:$U$10,0))-1)*100</f>
        <v>1.2928829999999891</v>
      </c>
      <c r="J15" s="269">
        <f ca="1">(INDEX(OFFSET('Adjust. no safeguard'!$C$1:$U$1,$D15-1,0),MATCH(J$4,'Adjust. no safeguard'!$C$10:$U$10,0))/INDEX(OFFSET('Adjust. no safeguard'!$C$1:$U$1,$D15-1,0),MATCH(I$4,'Adjust. no safeguard'!$C$10:$U$10,0))-1)*100</f>
        <v>1.2437400000000043</v>
      </c>
      <c r="K15" s="269">
        <f ca="1">(INDEX(OFFSET('Adjust. no safeguard'!$C$1:$U$1,$D15-1,0),MATCH(K$4,'Adjust. no safeguard'!$C$10:$U$10,0))/INDEX(OFFSET('Adjust. no safeguard'!$C$1:$U$1,$D15-1,0),MATCH(J$4,'Adjust. no safeguard'!$C$10:$U$10,0))-1)*100</f>
        <v>1.1370649999999927</v>
      </c>
      <c r="L15" s="269">
        <f ca="1">(INDEX(OFFSET('Adjust. no safeguard'!$C$1:$U$1,$D15-1,0),MATCH(L$4,'Adjust. no safeguard'!$C$10:$U$10,0))/INDEX(OFFSET('Adjust. no safeguard'!$C$1:$U$1,$D15-1,0),MATCH(K$4,'Adjust. no safeguard'!$C$10:$U$10,0))-1)*100</f>
        <v>1.1180270000000103</v>
      </c>
      <c r="M15" s="269">
        <f ca="1">(INDEX(OFFSET('Adjust. no safeguard'!$C$1:$U$1,$D15-1,0),MATCH(M$4,'Adjust. no safeguard'!$C$10:$U$10,0))/INDEX(OFFSET('Adjust. no safeguard'!$C$1:$U$1,$D15-1,0),MATCH(L$4,'Adjust. no safeguard'!$C$10:$U$10,0))-1)*100</f>
        <v>1.0691280000000081</v>
      </c>
      <c r="N15" s="269">
        <f ca="1">(INDEX(OFFSET('Adjust. no safeguard'!$C$1:$U$1,$D15-1,0),MATCH(N$4,'Adjust. no safeguard'!$C$10:$U$10,0))/INDEX(OFFSET('Adjust. no safeguard'!$C$1:$U$1,$D15-1,0),MATCH(M$4,'Adjust. no safeguard'!$C$10:$U$10,0))-1)*100</f>
        <v>1.0343100000000049</v>
      </c>
      <c r="O15" s="269">
        <f ca="1">(INDEX(OFFSET('Adjust. no safeguard'!$C$1:$U$1,$D15-1,0),MATCH(O$4,'Adjust. no safeguard'!$C$10:$U$10,0))/INDEX(OFFSET('Adjust. no safeguard'!$C$1:$U$1,$D15-1,0),MATCH(N$4,'Adjust. no safeguard'!$C$10:$U$10,0))-1)*100</f>
        <v>1.0125299999999893</v>
      </c>
      <c r="P15" s="269">
        <f ca="1">(INDEX(OFFSET('Adjust. no safeguard'!$C$1:$U$1,$D15-1,0),MATCH(P$4,'Adjust. no safeguard'!$C$10:$U$10,0))/INDEX(OFFSET('Adjust. no safeguard'!$C$1:$U$1,$D15-1,0),MATCH(O$4,'Adjust. no safeguard'!$C$10:$U$10,0))-1)*100</f>
        <v>1.0265940000000029</v>
      </c>
      <c r="Q15" s="269">
        <f ca="1">(INDEX(OFFSET('Adjust. no safeguard'!$C$1:$U$1,$D15-1,0),MATCH(Q$4,'Adjust. no safeguard'!$C$10:$U$10,0))/INDEX(OFFSET('Adjust. no safeguard'!$C$1:$U$1,$D15-1,0),MATCH(P$4,'Adjust. no safeguard'!$C$10:$U$10,0))-1)*100</f>
        <v>1.0549450000000071</v>
      </c>
      <c r="R15" s="269">
        <f ca="1">(INDEX(OFFSET('Adjust. no safeguard'!$C$1:$U$1,$D15-1,0),MATCH(R$4,'Adjust. no safeguard'!$C$10:$U$10,0))/INDEX(OFFSET('Adjust. no safeguard'!$C$1:$U$1,$D15-1,0),MATCH(Q$4,'Adjust. no safeguard'!$C$10:$U$10,0))-1)*100</f>
        <v>1.1332969999999998</v>
      </c>
      <c r="S15" s="269">
        <f ca="1">(INDEX(OFFSET('Adjust. no safeguard'!$C$1:$U$1,$D15-1,0),MATCH(S$4,'Adjust. no safeguard'!$C$10:$U$10,0))/INDEX(OFFSET('Adjust. no safeguard'!$C$1:$U$1,$D15-1,0),MATCH(R$4,'Adjust. no safeguard'!$C$10:$U$10,0))-1)*100</f>
        <v>1.2116479999999985</v>
      </c>
      <c r="T15" s="269">
        <f ca="1">(INDEX(OFFSET('Adjust. no safeguard'!$C$1:$U$1,$D15-1,0),MATCH(T$4,'Adjust. no safeguard'!$C$10:$U$10,0))/INDEX(OFFSET('Adjust. no safeguard'!$C$1:$U$1,$D15-1,0),MATCH(S$4,'Adjust. no safeguard'!$C$10:$U$10,0))-1)*100</f>
        <v>1.2899999999999912</v>
      </c>
      <c r="U15" s="269">
        <f ca="1">(INDEX(OFFSET('Adjust. no safeguard'!$C$1:$U$1,$D15-1,0),MATCH(U$4,'Adjust. no safeguard'!$C$10:$U$10,0))/INDEX(OFFSET('Adjust. no safeguard'!$C$1:$U$1,$D15-1,0),MATCH(T$4,'Adjust. no safeguard'!$C$10:$U$10,0))-1)*100</f>
        <v>1.4499999999999957</v>
      </c>
      <c r="V15" s="269">
        <f ca="1">(INDEX(OFFSET('Adjust. no safeguard'!$C$1:$U$1,$D15-1,0),MATCH(V$4,'Adjust. no safeguard'!$C$10:$U$10,0))/INDEX(OFFSET('Adjust. no safeguard'!$C$1:$U$1,$D15-1,0),MATCH(U$4,'Adjust. no safeguard'!$C$10:$U$10,0))-1)*100</f>
        <v>1.6100000000000003</v>
      </c>
      <c r="W15" s="269">
        <f ca="1">(INDEX(OFFSET('Adjust. no safeguard'!$C$1:$U$1,$D15-1,0),MATCH(W$4,'Adjust. no safeguard'!$C$10:$U$10,0))/INDEX(OFFSET('Adjust. no safeguard'!$C$1:$U$1,$D15-1,0),MATCH(V$4,'Adjust. no safeguard'!$C$10:$U$10,0))-1)*100</f>
        <v>1.6599999999999948</v>
      </c>
      <c r="X15" s="269">
        <f ca="1">(INDEX(OFFSET('Adjust. no safeguard'!$C$1:$U$1,$D15-1,0),MATCH(X$4,'Adjust. no safeguard'!$C$10:$U$10,0))/INDEX(OFFSET('Adjust. no safeguard'!$C$1:$U$1,$D15-1,0),MATCH(W$4,'Adjust. no safeguard'!$C$10:$U$10,0))-1)*100</f>
        <v>1.7099999999999893</v>
      </c>
      <c r="Y15" s="186"/>
    </row>
    <row r="16" spans="1:25" x14ac:dyDescent="0.2">
      <c r="A16" s="186"/>
      <c r="B16" s="276">
        <v>12</v>
      </c>
      <c r="C16" s="272" t="s">
        <v>154</v>
      </c>
      <c r="D16" s="281">
        <v>24</v>
      </c>
      <c r="E16" s="282" t="s">
        <v>153</v>
      </c>
      <c r="F16" s="269">
        <f ca="1">INDEX(OFFSET('Adjust. no safeguard'!$C$1:$U$1,$D16-1,0),MATCH(F$4,'Adjust. no safeguard'!$C$10:$U$10,0))</f>
        <v>1.081005</v>
      </c>
      <c r="G16" s="269">
        <f ca="1">INDEX(OFFSET('Adjust. no safeguard'!$C$1:$U$1,$D16-1,0),MATCH(G$4,'Adjust. no safeguard'!$C$10:$U$10,0))</f>
        <v>1.6966699999999999</v>
      </c>
      <c r="H16" s="269">
        <f ca="1">INDEX(OFFSET('Adjust. no safeguard'!$C$1:$U$1,$D16-1,0),MATCH(H$4,'Adjust. no safeguard'!$C$10:$U$10,0))</f>
        <v>1.2737470000000028</v>
      </c>
      <c r="I16" s="269">
        <f ca="1">INDEX(OFFSET('Adjust. no safeguard'!$C$1:$U$1,$D16-1,0),MATCH(I$4,'Adjust. no safeguard'!$C$10:$U$10,0))</f>
        <v>1.5818649999999934</v>
      </c>
      <c r="J16" s="269">
        <f ca="1">INDEX(OFFSET('Adjust. no safeguard'!$C$1:$U$1,$D16-1,0),MATCH(J$4,'Adjust. no safeguard'!$C$10:$U$10,0))</f>
        <v>1.52139899999999</v>
      </c>
      <c r="K16" s="269">
        <f ca="1">INDEX(OFFSET('Adjust. no safeguard'!$C$1:$U$1,$D16-1,0),MATCH(K$4,'Adjust. no safeguard'!$C$10:$U$10,0))</f>
        <v>1.4136799999999949</v>
      </c>
      <c r="L16" s="269">
        <f ca="1">INDEX(OFFSET('Adjust. no safeguard'!$C$1:$U$1,$D16-1,0),MATCH(L$4,'Adjust. no safeguard'!$C$10:$U$10,0))</f>
        <v>1.3938309999999898</v>
      </c>
      <c r="M16" s="269">
        <f ca="1">INDEX(OFFSET('Adjust. no safeguard'!$C$1:$U$1,$D16-1,0),MATCH(M$4,'Adjust. no safeguard'!$C$10:$U$10,0))</f>
        <v>1.069125999999998</v>
      </c>
      <c r="N16" s="269">
        <f ca="1">INDEX(OFFSET('Adjust. no safeguard'!$C$1:$U$1,$D16-1,0),MATCH(N$4,'Adjust. no safeguard'!$C$10:$U$10,0))</f>
        <v>1.0343100000000049</v>
      </c>
      <c r="O16" s="269">
        <f ca="1">INDEX(OFFSET('Adjust. no safeguard'!$C$1:$U$1,$D16-1,0),MATCH(O$4,'Adjust. no safeguard'!$C$10:$U$10,0))</f>
        <v>1.0125310000000054</v>
      </c>
      <c r="P16" s="269">
        <f ca="1">INDEX(OFFSET('Adjust. no safeguard'!$C$1:$U$1,$D16-1,0),MATCH(P$4,'Adjust. no safeguard'!$C$10:$U$10,0))</f>
        <v>1.0265919999999928</v>
      </c>
      <c r="Q16" s="269">
        <f ca="1">INDEX(OFFSET('Adjust. no safeguard'!$C$1:$U$1,$D16-1,0),MATCH(Q$4,'Adjust. no safeguard'!$C$10:$U$10,0))</f>
        <v>1.0549509999999929</v>
      </c>
      <c r="R16" s="269">
        <f ca="1">INDEX(OFFSET('Adjust. no safeguard'!$C$1:$U$1,$D16-1,0),MATCH(R$4,'Adjust. no safeguard'!$C$10:$U$10,0))</f>
        <v>1.1332990000000098</v>
      </c>
      <c r="S16" s="269">
        <f ca="1">INDEX(OFFSET('Adjust. no safeguard'!$C$1:$U$1,$D16-1,0),MATCH(S$4,'Adjust. no safeguard'!$C$10:$U$10,0))</f>
        <v>1.2116540000000064</v>
      </c>
      <c r="T16" s="269">
        <f ca="1">INDEX(OFFSET('Adjust. no safeguard'!$C$1:$U$1,$D16-1,0),MATCH(T$4,'Adjust. no safeguard'!$C$10:$U$10,0))</f>
        <v>1.2900010000000073</v>
      </c>
      <c r="U16" s="269">
        <f ca="1">INDEX(OFFSET('Adjust. no safeguard'!$C$1:$U$1,$D16-1,0),MATCH(U$4,'Adjust. no safeguard'!$C$10:$U$10,0))</f>
        <v>1.4500009999999897</v>
      </c>
      <c r="V16" s="269">
        <f ca="1">INDEX(OFFSET('Adjust. no safeguard'!$C$1:$U$1,$D16-1,0),MATCH(V$4,'Adjust. no safeguard'!$C$10:$U$10,0))</f>
        <v>1.6099960000000024</v>
      </c>
      <c r="W16" s="269">
        <f ca="1">INDEX(OFFSET('Adjust. no safeguard'!$C$1:$U$1,$D16-1,0),MATCH(W$4,'Adjust. no safeguard'!$C$10:$U$10,0))</f>
        <v>1.659995000000003</v>
      </c>
      <c r="X16" s="269">
        <f ca="1">INDEX(OFFSET('Adjust. no safeguard'!$C$1:$U$1,$D16-1,0),MATCH(X$4,'Adjust. no safeguard'!$C$10:$U$10,0))</f>
        <v>1.7100040000000094</v>
      </c>
      <c r="Y16" s="186"/>
    </row>
    <row r="17" spans="1:25" x14ac:dyDescent="0.2">
      <c r="A17" s="186"/>
      <c r="B17" s="276">
        <v>13</v>
      </c>
      <c r="C17" s="285" t="s">
        <v>155</v>
      </c>
      <c r="D17" s="281">
        <v>42</v>
      </c>
      <c r="E17" s="282" t="s">
        <v>153</v>
      </c>
      <c r="F17" s="269">
        <f ca="1">INDEX(OFFSET('Adjust. no safeguard'!$C$1:$U$1,$D17-1,0),MATCH(F$4,'Adjust. no safeguard'!$C$10:$U$10,0))</f>
        <v>5.7442140000000004</v>
      </c>
      <c r="G17" s="269">
        <f ca="1">INDEX(OFFSET('Adjust. no safeguard'!$C$1:$U$1,$D17-1,0),MATCH(G$4,'Adjust. no safeguard'!$C$10:$U$10,0))</f>
        <v>3.1543869999999998</v>
      </c>
      <c r="H17" s="269">
        <f ca="1">INDEX(OFFSET('Adjust. no safeguard'!$C$1:$U$1,$D17-1,0),MATCH(H$4,'Adjust. no safeguard'!$C$10:$U$10,0))</f>
        <v>3.262934</v>
      </c>
      <c r="I17" s="269">
        <f ca="1">INDEX(OFFSET('Adjust. no safeguard'!$C$1:$U$1,$D17-1,0),MATCH(I$4,'Adjust. no safeguard'!$C$10:$U$10,0))</f>
        <v>2.103313</v>
      </c>
      <c r="J17" s="269">
        <f ca="1">INDEX(OFFSET('Adjust. no safeguard'!$C$1:$U$1,$D17-1,0),MATCH(J$4,'Adjust. no safeguard'!$C$10:$U$10,0))</f>
        <v>2.1253988750000001</v>
      </c>
      <c r="K17" s="269">
        <f ca="1">INDEX(OFFSET('Adjust. no safeguard'!$C$1:$U$1,$D17-1,0),MATCH(K$4,'Adjust. no safeguard'!$C$10:$U$10,0))</f>
        <v>2.1474847499999998</v>
      </c>
      <c r="L17" s="269">
        <f ca="1">INDEX(OFFSET('Adjust. no safeguard'!$C$1:$U$1,$D17-1,0),MATCH(L$4,'Adjust. no safeguard'!$C$10:$U$10,0))</f>
        <v>2.169570625</v>
      </c>
      <c r="M17" s="269">
        <f ca="1">INDEX(OFFSET('Adjust. no safeguard'!$C$1:$U$1,$D17-1,0),MATCH(M$4,'Adjust. no safeguard'!$C$10:$U$10,0))</f>
        <v>2.1916564999999997</v>
      </c>
      <c r="N17" s="269">
        <f ca="1">INDEX(OFFSET('Adjust. no safeguard'!$C$1:$U$1,$D17-1,0),MATCH(N$4,'Adjust. no safeguard'!$C$10:$U$10,0))</f>
        <v>2.2137423749999998</v>
      </c>
      <c r="O17" s="269">
        <f ca="1">INDEX(OFFSET('Adjust. no safeguard'!$C$1:$U$1,$D17-1,0),MATCH(O$4,'Adjust. no safeguard'!$C$10:$U$10,0))</f>
        <v>2.23582825</v>
      </c>
      <c r="P17" s="269">
        <f ca="1">INDEX(OFFSET('Adjust. no safeguard'!$C$1:$U$1,$D17-1,0),MATCH(P$4,'Adjust. no safeguard'!$C$10:$U$10,0))</f>
        <v>2.2579141249999997</v>
      </c>
      <c r="Q17" s="269">
        <f ca="1">INDEX(OFFSET('Adjust. no safeguard'!$C$1:$U$1,$D17-1,0),MATCH(Q$4,'Adjust. no safeguard'!$C$10:$U$10,0))</f>
        <v>2.2799999999999998</v>
      </c>
      <c r="R17" s="269">
        <f ca="1">INDEX(OFFSET('Adjust. no safeguard'!$C$1:$U$1,$D17-1,0),MATCH(R$4,'Adjust. no safeguard'!$C$10:$U$10,0))</f>
        <v>2.266</v>
      </c>
      <c r="S17" s="269">
        <f ca="1">INDEX(OFFSET('Adjust. no safeguard'!$C$1:$U$1,$D17-1,0),MATCH(S$4,'Adjust. no safeguard'!$C$10:$U$10,0))</f>
        <v>2.2519999999999998</v>
      </c>
      <c r="T17" s="269">
        <f ca="1">INDEX(OFFSET('Adjust. no safeguard'!$C$1:$U$1,$D17-1,0),MATCH(T$4,'Adjust. no safeguard'!$C$10:$U$10,0))</f>
        <v>2.238</v>
      </c>
      <c r="U17" s="269">
        <f ca="1">INDEX(OFFSET('Adjust. no safeguard'!$C$1:$U$1,$D17-1,0),MATCH(U$4,'Adjust. no safeguard'!$C$10:$U$10,0))</f>
        <v>2.2239999999999998</v>
      </c>
      <c r="V17" s="269">
        <f ca="1">INDEX(OFFSET('Adjust. no safeguard'!$C$1:$U$1,$D17-1,0),MATCH(V$4,'Adjust. no safeguard'!$C$10:$U$10,0))</f>
        <v>2.21</v>
      </c>
      <c r="W17" s="269">
        <f ca="1">INDEX(OFFSET('Adjust. no safeguard'!$C$1:$U$1,$D17-1,0),MATCH(W$4,'Adjust. no safeguard'!$C$10:$U$10,0))</f>
        <v>2.1959999999999997</v>
      </c>
      <c r="X17" s="269">
        <f ca="1">INDEX(OFFSET('Adjust. no safeguard'!$C$1:$U$1,$D17-1,0),MATCH(X$4,'Adjust. no safeguard'!$C$10:$U$10,0))</f>
        <v>2.1819999999999999</v>
      </c>
      <c r="Y17" s="186"/>
    </row>
    <row r="18" spans="1:25" x14ac:dyDescent="0.2">
      <c r="A18" s="186"/>
      <c r="B18" s="276">
        <v>14</v>
      </c>
      <c r="C18" s="272" t="s">
        <v>156</v>
      </c>
      <c r="D18" s="281">
        <v>33</v>
      </c>
      <c r="E18" s="282" t="s">
        <v>153</v>
      </c>
      <c r="F18" s="269">
        <f ca="1">INDEX(OFFSET('Adjust. no safeguard'!$C$1:$U$1,$D18-1,0),MATCH(F$4,'Adjust. no safeguard'!$C$10:$U$10,0))</f>
        <v>6.8873142405506904</v>
      </c>
      <c r="G18" s="269">
        <f ca="1">INDEX(OFFSET('Adjust. no safeguard'!$C$1:$U$1,$D18-1,0),MATCH(G$4,'Adjust. no safeguard'!$C$10:$U$10,0))</f>
        <v>4.9045765379128969</v>
      </c>
      <c r="H18" s="269">
        <f ca="1">INDEX(OFFSET('Adjust. no safeguard'!$C$1:$U$1,$D18-1,0),MATCH(H$4,'Adjust. no safeguard'!$C$10:$U$10,0))</f>
        <v>4.5782425239369706</v>
      </c>
      <c r="I18" s="269">
        <f ca="1">INDEX(OFFSET('Adjust. no safeguard'!$C$1:$U$1,$D18-1,0),MATCH(I$4,'Adjust. no safeguard'!$C$10:$U$10,0))</f>
        <v>3.7184495721874322</v>
      </c>
      <c r="J18" s="269">
        <f ca="1">INDEX(OFFSET('Adjust. no safeguard'!$C$1:$U$1,$D18-1,0),MATCH(J$4,'Adjust. no safeguard'!$C$10:$U$10,0))</f>
        <v>3.6791336722302503</v>
      </c>
      <c r="K18" s="269">
        <f ca="1">INDEX(OFFSET('Adjust. no safeguard'!$C$1:$U$1,$D18-1,0),MATCH(K$4,'Adjust. no safeguard'!$C$10:$U$10,0))</f>
        <v>3.5915233124137913</v>
      </c>
      <c r="L18" s="269">
        <f ca="1">INDEX(OFFSET('Adjust. no safeguard'!$C$1:$U$1,$D18-1,0),MATCH(L$4,'Adjust. no safeguard'!$C$10:$U$10,0))</f>
        <v>3.5936417729381498</v>
      </c>
      <c r="M18" s="269">
        <f ca="1">INDEX(OFFSET('Adjust. no safeguard'!$C$1:$U$1,$D18-1,0),MATCH(M$4,'Adjust. no safeguard'!$C$10:$U$10,0))</f>
        <v>3.2842140694721911</v>
      </c>
      <c r="N18" s="269">
        <f ca="1">INDEX(OFFSET('Adjust. no safeguard'!$C$1:$U$1,$D18-1,0),MATCH(N$4,'Adjust. no safeguard'!$C$10:$U$10,0))</f>
        <v>3.2709493337588658</v>
      </c>
      <c r="O18" s="269">
        <f ca="1">INDEX(OFFSET('Adjust. no safeguard'!$C$1:$U$1,$D18-1,0),MATCH(O$4,'Adjust. no safeguard'!$C$10:$U$10,0))</f>
        <v>3.2709977041380123</v>
      </c>
      <c r="P18" s="269">
        <f ca="1">INDEX(OFFSET('Adjust. no safeguard'!$C$1:$U$1,$D18-1,0),MATCH(P$4,'Adjust. no safeguard'!$C$10:$U$10,0))</f>
        <v>3.3076856907741092</v>
      </c>
      <c r="Q18" s="269">
        <f ca="1">INDEX(OFFSET('Adjust. no safeguard'!$C$1:$U$1,$D18-1,0),MATCH(Q$4,'Adjust. no safeguard'!$C$10:$U$10,0))</f>
        <v>3.3590038827999935</v>
      </c>
      <c r="R18" s="269">
        <f ca="1">INDEX(OFFSET('Adjust. no safeguard'!$C$1:$U$1,$D18-1,0),MATCH(R$4,'Adjust. no safeguard'!$C$10:$U$10,0))</f>
        <v>3.424979555340002</v>
      </c>
      <c r="S18" s="269">
        <f ca="1">INDEX(OFFSET('Adjust. no safeguard'!$C$1:$U$1,$D18-1,0),MATCH(S$4,'Adjust. no safeguard'!$C$10:$U$10,0))</f>
        <v>3.4909404480800266</v>
      </c>
      <c r="T18" s="269">
        <f ca="1">INDEX(OFFSET('Adjust. no safeguard'!$C$1:$U$1,$D18-1,0),MATCH(T$4,'Adjust. no safeguard'!$C$10:$U$10,0))</f>
        <v>3.5568712223800203</v>
      </c>
      <c r="U18" s="269">
        <f ca="1">INDEX(OFFSET('Adjust. no safeguard'!$C$1:$U$1,$D18-1,0),MATCH(U$4,'Adjust. no safeguard'!$C$10:$U$10,0))</f>
        <v>3.7062490222399935</v>
      </c>
      <c r="V18" s="269">
        <f ca="1">INDEX(OFFSET('Adjust. no safeguard'!$C$1:$U$1,$D18-1,0),MATCH(V$4,'Adjust. no safeguard'!$C$10:$U$10,0))</f>
        <v>3.8555769116000116</v>
      </c>
      <c r="W18" s="269">
        <f ca="1">INDEX(OFFSET('Adjust. no safeguard'!$C$1:$U$1,$D18-1,0),MATCH(W$4,'Adjust. no safeguard'!$C$10:$U$10,0))</f>
        <v>3.8924484902000067</v>
      </c>
      <c r="X18" s="269">
        <f ca="1">INDEX(OFFSET('Adjust. no safeguard'!$C$1:$U$1,$D18-1,0),MATCH(X$4,'Adjust. no safeguard'!$C$10:$U$10,0))</f>
        <v>3.9293162872799936</v>
      </c>
      <c r="Y18" s="186"/>
    </row>
    <row r="19" spans="1:25" x14ac:dyDescent="0.2">
      <c r="A19" s="186"/>
      <c r="B19" s="270"/>
      <c r="C19" s="291"/>
      <c r="D19" s="291"/>
      <c r="E19" s="291"/>
      <c r="F19" s="291"/>
      <c r="G19" s="291"/>
      <c r="H19" s="291"/>
      <c r="I19" s="291"/>
      <c r="J19" s="291"/>
      <c r="K19" s="186"/>
      <c r="L19" s="186"/>
      <c r="M19" s="186"/>
      <c r="N19" s="186"/>
      <c r="O19" s="186"/>
      <c r="P19" s="186"/>
      <c r="Q19" s="186"/>
      <c r="R19" s="186"/>
      <c r="S19" s="186"/>
      <c r="T19" s="186"/>
      <c r="U19" s="186"/>
      <c r="V19" s="186"/>
      <c r="W19" s="186"/>
      <c r="X19" s="186"/>
      <c r="Y19" s="186"/>
    </row>
    <row r="20" spans="1:25" x14ac:dyDescent="0.2">
      <c r="A20" s="186"/>
      <c r="B20" s="292"/>
      <c r="C20" s="274" t="s">
        <v>157</v>
      </c>
      <c r="D20" s="275"/>
      <c r="E20" s="275"/>
      <c r="F20" s="275"/>
      <c r="G20" s="291"/>
      <c r="H20" s="291"/>
      <c r="I20" s="291"/>
      <c r="J20" s="291"/>
      <c r="K20" s="186"/>
      <c r="L20" s="186"/>
      <c r="M20" s="186"/>
      <c r="N20" s="186"/>
      <c r="O20" s="186"/>
      <c r="P20" s="186"/>
      <c r="Q20" s="186"/>
      <c r="R20" s="186"/>
      <c r="S20" s="186"/>
      <c r="T20" s="186"/>
      <c r="U20" s="186"/>
      <c r="V20" s="186"/>
      <c r="W20" s="186"/>
      <c r="X20" s="186"/>
      <c r="Y20" s="186"/>
    </row>
    <row r="21" spans="1:25" x14ac:dyDescent="0.2">
      <c r="A21" s="186"/>
      <c r="B21" s="270"/>
      <c r="C21" s="291"/>
      <c r="D21" s="291"/>
      <c r="E21" s="291"/>
      <c r="F21" s="291"/>
      <c r="G21" s="291"/>
      <c r="H21" s="291"/>
      <c r="I21" s="291"/>
      <c r="J21" s="291"/>
      <c r="K21" s="186"/>
      <c r="L21" s="186"/>
      <c r="M21" s="186"/>
      <c r="N21" s="186"/>
      <c r="O21" s="186"/>
      <c r="P21" s="186"/>
      <c r="Q21" s="186"/>
      <c r="R21" s="186"/>
      <c r="S21" s="186"/>
      <c r="T21" s="186"/>
      <c r="U21" s="186"/>
      <c r="V21" s="186"/>
      <c r="W21" s="186"/>
      <c r="X21" s="186"/>
      <c r="Y21" s="186"/>
    </row>
    <row r="22" spans="1:25" x14ac:dyDescent="0.2">
      <c r="A22" s="186"/>
      <c r="B22" s="276"/>
      <c r="C22" s="274" t="s">
        <v>12</v>
      </c>
      <c r="D22" s="274"/>
      <c r="E22" s="278">
        <f>F22-1</f>
        <v>-1</v>
      </c>
      <c r="F22" s="279"/>
      <c r="G22" s="279"/>
      <c r="H22" s="279"/>
      <c r="I22" s="279"/>
      <c r="J22" s="279"/>
      <c r="K22" s="279"/>
      <c r="L22" s="279"/>
      <c r="M22" s="279"/>
      <c r="N22" s="279"/>
      <c r="O22" s="279"/>
      <c r="P22" s="279"/>
      <c r="Q22" s="279"/>
      <c r="R22" s="279"/>
      <c r="S22" s="279"/>
      <c r="T22" s="279"/>
      <c r="U22" s="279"/>
      <c r="V22" s="279"/>
      <c r="W22" s="279"/>
      <c r="X22" s="279"/>
      <c r="Y22" s="186"/>
    </row>
    <row r="23" spans="1:25" x14ac:dyDescent="0.2">
      <c r="A23" s="186"/>
      <c r="B23" s="276">
        <v>1</v>
      </c>
      <c r="C23" s="280" t="s">
        <v>143</v>
      </c>
      <c r="D23" s="281">
        <v>56</v>
      </c>
      <c r="E23" s="282" t="s">
        <v>144</v>
      </c>
      <c r="F23" s="269"/>
      <c r="G23" s="269"/>
      <c r="H23" s="269"/>
      <c r="I23" s="269"/>
      <c r="J23" s="269"/>
      <c r="K23" s="269"/>
      <c r="L23" s="269"/>
      <c r="M23" s="269"/>
      <c r="N23" s="269"/>
      <c r="O23" s="269"/>
      <c r="P23" s="269"/>
      <c r="Q23" s="269"/>
      <c r="R23" s="269"/>
      <c r="S23" s="269"/>
      <c r="T23" s="269"/>
      <c r="U23" s="269"/>
      <c r="V23" s="269"/>
      <c r="W23" s="269"/>
      <c r="X23" s="269"/>
      <c r="Y23" s="186"/>
    </row>
    <row r="24" spans="1:25" x14ac:dyDescent="0.2">
      <c r="A24" s="186"/>
      <c r="B24" s="276">
        <v>2</v>
      </c>
      <c r="C24" s="280" t="s">
        <v>61</v>
      </c>
      <c r="D24" s="281">
        <v>36</v>
      </c>
      <c r="E24" s="282" t="s">
        <v>150</v>
      </c>
      <c r="F24" s="269"/>
      <c r="G24" s="269"/>
      <c r="H24" s="269"/>
      <c r="I24" s="269"/>
      <c r="J24" s="269"/>
      <c r="K24" s="269"/>
      <c r="L24" s="269"/>
      <c r="M24" s="269"/>
      <c r="N24" s="269"/>
      <c r="O24" s="269"/>
      <c r="P24" s="269"/>
      <c r="Q24" s="269"/>
      <c r="R24" s="269"/>
      <c r="S24" s="269"/>
      <c r="T24" s="269"/>
      <c r="U24" s="269"/>
      <c r="V24" s="269"/>
      <c r="W24" s="269"/>
      <c r="X24" s="269"/>
      <c r="Y24" s="186"/>
    </row>
    <row r="25" spans="1:25" x14ac:dyDescent="0.2">
      <c r="A25" s="186"/>
      <c r="B25" s="276">
        <v>3</v>
      </c>
      <c r="C25" s="280" t="s">
        <v>62</v>
      </c>
      <c r="D25" s="281">
        <v>37</v>
      </c>
      <c r="E25" s="282" t="s">
        <v>150</v>
      </c>
      <c r="F25" s="269"/>
      <c r="G25" s="269"/>
      <c r="H25" s="269"/>
      <c r="I25" s="269"/>
      <c r="J25" s="269"/>
      <c r="K25" s="269"/>
      <c r="L25" s="269"/>
      <c r="M25" s="269"/>
      <c r="N25" s="269"/>
      <c r="O25" s="269"/>
      <c r="P25" s="269"/>
      <c r="Q25" s="269"/>
      <c r="R25" s="269"/>
      <c r="S25" s="269"/>
      <c r="T25" s="269"/>
      <c r="U25" s="269"/>
      <c r="V25" s="269"/>
      <c r="W25" s="269"/>
      <c r="X25" s="269"/>
      <c r="Y25" s="186"/>
    </row>
    <row r="26" spans="1:25" x14ac:dyDescent="0.2">
      <c r="A26" s="186"/>
      <c r="B26" s="276"/>
      <c r="C26" s="274" t="s">
        <v>13</v>
      </c>
      <c r="D26" s="274"/>
      <c r="E26" s="278">
        <f>F26-1</f>
        <v>-1</v>
      </c>
      <c r="F26" s="279"/>
      <c r="G26" s="279"/>
      <c r="H26" s="279"/>
      <c r="I26" s="279"/>
      <c r="J26" s="279"/>
      <c r="K26" s="279"/>
      <c r="L26" s="279"/>
      <c r="M26" s="279"/>
      <c r="N26" s="279"/>
      <c r="O26" s="279"/>
      <c r="P26" s="279"/>
      <c r="Q26" s="279"/>
      <c r="R26" s="279"/>
      <c r="S26" s="279"/>
      <c r="T26" s="279"/>
      <c r="U26" s="279"/>
      <c r="V26" s="279"/>
      <c r="W26" s="279"/>
      <c r="X26" s="279"/>
      <c r="Y26" s="186"/>
    </row>
    <row r="27" spans="1:25" x14ac:dyDescent="0.2">
      <c r="A27" s="186"/>
      <c r="B27" s="276">
        <v>4</v>
      </c>
      <c r="C27" s="280" t="s">
        <v>143</v>
      </c>
      <c r="D27" s="281">
        <v>56</v>
      </c>
      <c r="E27" s="282" t="s">
        <v>144</v>
      </c>
      <c r="F27" s="269"/>
      <c r="G27" s="269"/>
      <c r="H27" s="269"/>
      <c r="I27" s="269"/>
      <c r="J27" s="269"/>
      <c r="K27" s="269"/>
      <c r="L27" s="269"/>
      <c r="M27" s="269"/>
      <c r="N27" s="269"/>
      <c r="O27" s="269"/>
      <c r="P27" s="269"/>
      <c r="Q27" s="269"/>
      <c r="R27" s="269"/>
      <c r="S27" s="269"/>
      <c r="T27" s="269"/>
      <c r="U27" s="269"/>
      <c r="V27" s="269"/>
      <c r="W27" s="269"/>
      <c r="X27" s="269"/>
      <c r="Y27" s="186"/>
    </row>
    <row r="28" spans="1:25" x14ac:dyDescent="0.2">
      <c r="A28" s="186"/>
      <c r="B28" s="276">
        <v>5</v>
      </c>
      <c r="C28" s="280" t="s">
        <v>18</v>
      </c>
      <c r="D28" s="281">
        <v>12</v>
      </c>
      <c r="E28" s="282" t="s">
        <v>146</v>
      </c>
      <c r="F28" s="269"/>
      <c r="G28" s="269"/>
      <c r="H28" s="269"/>
      <c r="I28" s="269"/>
      <c r="J28" s="269"/>
      <c r="K28" s="269"/>
      <c r="L28" s="269"/>
      <c r="M28" s="269"/>
      <c r="N28" s="269"/>
      <c r="O28" s="269"/>
      <c r="P28" s="269"/>
      <c r="Q28" s="269"/>
      <c r="R28" s="269"/>
      <c r="S28" s="269"/>
      <c r="T28" s="269"/>
      <c r="U28" s="269"/>
      <c r="V28" s="269"/>
      <c r="W28" s="269"/>
      <c r="X28" s="269"/>
      <c r="Y28" s="186"/>
    </row>
    <row r="29" spans="1:25" x14ac:dyDescent="0.2">
      <c r="A29" s="186"/>
      <c r="B29" s="276"/>
      <c r="C29" s="274" t="s">
        <v>158</v>
      </c>
      <c r="D29" s="274"/>
      <c r="E29" s="278">
        <f>F29-1</f>
        <v>-1</v>
      </c>
      <c r="F29" s="279"/>
      <c r="G29" s="279"/>
      <c r="H29" s="279"/>
      <c r="I29" s="279"/>
      <c r="J29" s="279"/>
      <c r="K29" s="279"/>
      <c r="L29" s="279"/>
      <c r="M29" s="279"/>
      <c r="N29" s="279"/>
      <c r="O29" s="279"/>
      <c r="P29" s="279"/>
      <c r="Q29" s="279"/>
      <c r="R29" s="279"/>
      <c r="S29" s="279"/>
      <c r="T29" s="279"/>
      <c r="U29" s="279"/>
      <c r="V29" s="279"/>
      <c r="W29" s="279"/>
      <c r="X29" s="279"/>
      <c r="Y29" s="186"/>
    </row>
    <row r="30" spans="1:25" x14ac:dyDescent="0.2">
      <c r="A30" s="186"/>
      <c r="B30" s="276">
        <v>6</v>
      </c>
      <c r="C30" s="280" t="s">
        <v>143</v>
      </c>
      <c r="D30" s="281">
        <v>57</v>
      </c>
      <c r="E30" s="282" t="s">
        <v>144</v>
      </c>
      <c r="F30" s="269"/>
      <c r="G30" s="269"/>
      <c r="H30" s="269"/>
      <c r="I30" s="269"/>
      <c r="J30" s="269"/>
      <c r="K30" s="269"/>
      <c r="L30" s="269"/>
      <c r="M30" s="269"/>
      <c r="N30" s="269"/>
      <c r="O30" s="269"/>
      <c r="P30" s="269"/>
      <c r="Q30" s="269"/>
      <c r="R30" s="269"/>
      <c r="S30" s="269"/>
      <c r="T30" s="269"/>
      <c r="U30" s="269"/>
      <c r="V30" s="269"/>
      <c r="W30" s="269"/>
      <c r="X30" s="269"/>
      <c r="Y30" s="186"/>
    </row>
    <row r="31" spans="1:25" x14ac:dyDescent="0.2">
      <c r="A31" s="186"/>
      <c r="B31" s="276">
        <v>7</v>
      </c>
      <c r="C31" s="280" t="s">
        <v>61</v>
      </c>
      <c r="D31" s="281">
        <v>37</v>
      </c>
      <c r="E31" s="282" t="s">
        <v>150</v>
      </c>
      <c r="F31" s="269"/>
      <c r="G31" s="269"/>
      <c r="H31" s="269"/>
      <c r="I31" s="269"/>
      <c r="J31" s="269"/>
      <c r="K31" s="269"/>
      <c r="L31" s="269"/>
      <c r="M31" s="269"/>
      <c r="N31" s="269"/>
      <c r="O31" s="269"/>
      <c r="P31" s="269"/>
      <c r="Q31" s="269"/>
      <c r="R31" s="269"/>
      <c r="S31" s="269"/>
      <c r="T31" s="269"/>
      <c r="U31" s="269"/>
      <c r="V31" s="269"/>
      <c r="W31" s="269"/>
      <c r="X31" s="269"/>
      <c r="Y31" s="186"/>
    </row>
    <row r="32" spans="1:25" x14ac:dyDescent="0.2">
      <c r="A32" s="186"/>
      <c r="B32" s="276">
        <v>8</v>
      </c>
      <c r="C32" s="280" t="s">
        <v>62</v>
      </c>
      <c r="D32" s="281">
        <v>38</v>
      </c>
      <c r="E32" s="282" t="s">
        <v>150</v>
      </c>
      <c r="F32" s="269"/>
      <c r="G32" s="269"/>
      <c r="H32" s="269"/>
      <c r="I32" s="269"/>
      <c r="J32" s="269"/>
      <c r="K32" s="269"/>
      <c r="L32" s="269"/>
      <c r="M32" s="269"/>
      <c r="N32" s="269"/>
      <c r="O32" s="269"/>
      <c r="P32" s="269"/>
      <c r="Q32" s="269"/>
      <c r="R32" s="269"/>
      <c r="S32" s="269"/>
      <c r="T32" s="269"/>
      <c r="U32" s="269"/>
      <c r="V32" s="269"/>
      <c r="W32" s="269"/>
      <c r="X32" s="269"/>
      <c r="Y32" s="186"/>
    </row>
    <row r="33" spans="1:25" x14ac:dyDescent="0.2">
      <c r="A33" s="186"/>
      <c r="B33" s="276">
        <v>9</v>
      </c>
      <c r="C33" s="272" t="s">
        <v>154</v>
      </c>
      <c r="D33" s="281">
        <v>23</v>
      </c>
      <c r="E33" s="282" t="s">
        <v>153</v>
      </c>
      <c r="F33" s="269"/>
      <c r="G33" s="269"/>
      <c r="H33" s="269"/>
      <c r="I33" s="269"/>
      <c r="J33" s="269"/>
      <c r="K33" s="269"/>
      <c r="L33" s="269"/>
      <c r="M33" s="269"/>
      <c r="N33" s="269"/>
      <c r="O33" s="269"/>
      <c r="P33" s="269"/>
      <c r="Q33" s="269"/>
      <c r="R33" s="269"/>
      <c r="S33" s="269"/>
      <c r="T33" s="269"/>
      <c r="U33" s="269"/>
      <c r="V33" s="269"/>
      <c r="W33" s="269"/>
      <c r="X33" s="269"/>
      <c r="Y33" s="186"/>
    </row>
    <row r="34" spans="1:25" x14ac:dyDescent="0.2">
      <c r="A34" s="186"/>
      <c r="B34" s="276">
        <v>10</v>
      </c>
      <c r="C34" s="284" t="s">
        <v>40</v>
      </c>
      <c r="D34" s="281">
        <v>27</v>
      </c>
      <c r="E34" s="282" t="s">
        <v>153</v>
      </c>
      <c r="F34" s="269"/>
      <c r="G34" s="269"/>
      <c r="H34" s="269"/>
      <c r="I34" s="269"/>
      <c r="J34" s="269"/>
      <c r="K34" s="269"/>
      <c r="L34" s="269"/>
      <c r="M34" s="269"/>
      <c r="N34" s="269"/>
      <c r="O34" s="269"/>
      <c r="P34" s="269"/>
      <c r="Q34" s="269"/>
      <c r="R34" s="269"/>
      <c r="S34" s="269"/>
      <c r="T34" s="269"/>
      <c r="U34" s="269"/>
      <c r="V34" s="269"/>
      <c r="W34" s="269"/>
      <c r="X34" s="269"/>
      <c r="Y34" s="186"/>
    </row>
    <row r="35" spans="1:25" x14ac:dyDescent="0.2">
      <c r="A35" s="186"/>
      <c r="B35" s="276"/>
      <c r="C35" s="274" t="s">
        <v>159</v>
      </c>
      <c r="D35" s="274"/>
      <c r="E35" s="278">
        <f>F35-1</f>
        <v>-1</v>
      </c>
      <c r="F35" s="287"/>
      <c r="G35" s="186"/>
      <c r="H35" s="186"/>
      <c r="I35" s="186"/>
      <c r="J35" s="186"/>
      <c r="K35" s="186"/>
      <c r="L35" s="186"/>
      <c r="M35" s="186"/>
      <c r="N35" s="186"/>
      <c r="O35" s="186"/>
      <c r="P35" s="186"/>
      <c r="Q35" s="186"/>
      <c r="R35" s="186"/>
      <c r="S35" s="186"/>
      <c r="T35" s="186"/>
      <c r="U35" s="186"/>
      <c r="V35" s="186"/>
      <c r="W35" s="186"/>
      <c r="X35" s="186"/>
      <c r="Y35" s="186"/>
    </row>
    <row r="36" spans="1:25" x14ac:dyDescent="0.2">
      <c r="A36" s="186"/>
      <c r="B36" s="276">
        <v>11</v>
      </c>
      <c r="C36" s="280" t="s">
        <v>160</v>
      </c>
      <c r="D36" s="293" t="s">
        <v>164</v>
      </c>
      <c r="E36" s="282" t="s">
        <v>150</v>
      </c>
      <c r="F36" s="269"/>
      <c r="G36" s="300"/>
      <c r="H36" s="289"/>
      <c r="I36" s="290"/>
      <c r="J36" s="290"/>
      <c r="K36" s="289"/>
      <c r="L36" s="290"/>
      <c r="M36" s="289"/>
      <c r="N36" s="289"/>
      <c r="O36" s="290"/>
      <c r="P36" s="290"/>
      <c r="Q36" s="289"/>
      <c r="R36" s="290"/>
      <c r="S36" s="289"/>
      <c r="T36" s="294"/>
      <c r="U36" s="86"/>
      <c r="V36" s="301"/>
      <c r="W36" s="302"/>
      <c r="X36" s="301"/>
      <c r="Y36" s="86"/>
    </row>
    <row r="37" spans="1:25" x14ac:dyDescent="0.2">
      <c r="A37" s="186"/>
      <c r="B37" s="270"/>
      <c r="C37" s="291"/>
      <c r="D37" s="291"/>
      <c r="E37" s="291"/>
      <c r="F37" s="291"/>
      <c r="G37" s="291"/>
      <c r="H37" s="291"/>
      <c r="I37" s="291"/>
      <c r="J37" s="291"/>
      <c r="K37" s="186"/>
      <c r="L37" s="186"/>
      <c r="M37" s="186"/>
      <c r="N37" s="186"/>
      <c r="O37" s="186"/>
      <c r="P37" s="186"/>
      <c r="Q37" s="300"/>
      <c r="R37" s="300"/>
      <c r="S37" s="300"/>
      <c r="T37" s="300"/>
      <c r="U37" s="300"/>
      <c r="V37" s="300"/>
      <c r="W37" s="186"/>
      <c r="X37" s="186"/>
      <c r="Y37" s="186"/>
    </row>
    <row r="38" spans="1:25" x14ac:dyDescent="0.2">
      <c r="A38" s="186"/>
      <c r="B38" s="292"/>
      <c r="C38" s="274" t="s">
        <v>161</v>
      </c>
      <c r="D38" s="275"/>
      <c r="E38" s="275"/>
      <c r="F38" s="286"/>
      <c r="G38" s="186"/>
      <c r="H38" s="186"/>
      <c r="I38" s="186"/>
      <c r="J38" s="186"/>
      <c r="K38" s="186"/>
      <c r="L38" s="186"/>
      <c r="M38" s="186"/>
      <c r="N38" s="186"/>
      <c r="O38" s="186"/>
      <c r="P38" s="186"/>
      <c r="Q38" s="186"/>
      <c r="R38" s="186"/>
      <c r="S38" s="186"/>
      <c r="T38" s="186"/>
      <c r="U38" s="186"/>
      <c r="V38" s="186"/>
      <c r="W38" s="186"/>
      <c r="X38" s="186"/>
      <c r="Y38" s="186"/>
    </row>
    <row r="39" spans="1:25" x14ac:dyDescent="0.2">
      <c r="A39" s="186"/>
      <c r="B39" s="270"/>
      <c r="C39" s="291"/>
      <c r="D39" s="291"/>
      <c r="E39" s="291"/>
      <c r="F39" s="291"/>
      <c r="G39" s="291"/>
      <c r="H39" s="291"/>
      <c r="I39" s="291"/>
      <c r="J39" s="291"/>
      <c r="K39" s="186"/>
      <c r="L39" s="186"/>
      <c r="M39" s="186"/>
      <c r="N39" s="186"/>
      <c r="O39" s="186"/>
      <c r="P39" s="186"/>
      <c r="Q39" s="186"/>
      <c r="R39" s="186"/>
      <c r="S39" s="186"/>
      <c r="T39" s="186"/>
      <c r="U39" s="186"/>
      <c r="V39" s="186"/>
      <c r="W39" s="186"/>
      <c r="X39" s="186"/>
      <c r="Y39" s="186"/>
    </row>
    <row r="40" spans="1:25" x14ac:dyDescent="0.2">
      <c r="A40" s="186"/>
      <c r="B40" s="276"/>
      <c r="C40" s="274"/>
      <c r="D40" s="274"/>
      <c r="E40" s="279"/>
      <c r="F40" s="279">
        <f>'Input data'!$C$5-1</f>
        <v>2024</v>
      </c>
      <c r="G40" s="279">
        <f>F40+1</f>
        <v>2025</v>
      </c>
      <c r="H40" s="279">
        <f t="shared" ref="H40:X40" si="1">G40+1</f>
        <v>2026</v>
      </c>
      <c r="I40" s="279">
        <f t="shared" si="1"/>
        <v>2027</v>
      </c>
      <c r="J40" s="279">
        <f t="shared" si="1"/>
        <v>2028</v>
      </c>
      <c r="K40" s="279">
        <f t="shared" si="1"/>
        <v>2029</v>
      </c>
      <c r="L40" s="279">
        <f t="shared" si="1"/>
        <v>2030</v>
      </c>
      <c r="M40" s="279">
        <f t="shared" si="1"/>
        <v>2031</v>
      </c>
      <c r="N40" s="279">
        <f t="shared" si="1"/>
        <v>2032</v>
      </c>
      <c r="O40" s="279">
        <f t="shared" si="1"/>
        <v>2033</v>
      </c>
      <c r="P40" s="279">
        <f t="shared" si="1"/>
        <v>2034</v>
      </c>
      <c r="Q40" s="279">
        <f t="shared" si="1"/>
        <v>2035</v>
      </c>
      <c r="R40" s="279">
        <f t="shared" si="1"/>
        <v>2036</v>
      </c>
      <c r="S40" s="279">
        <f t="shared" si="1"/>
        <v>2037</v>
      </c>
      <c r="T40" s="279">
        <f t="shared" si="1"/>
        <v>2038</v>
      </c>
      <c r="U40" s="279">
        <f t="shared" si="1"/>
        <v>2039</v>
      </c>
      <c r="V40" s="279">
        <f t="shared" si="1"/>
        <v>2040</v>
      </c>
      <c r="W40" s="279">
        <f t="shared" si="1"/>
        <v>2041</v>
      </c>
      <c r="X40" s="279">
        <f t="shared" si="1"/>
        <v>2042</v>
      </c>
      <c r="Y40" s="186"/>
    </row>
    <row r="41" spans="1:25" x14ac:dyDescent="0.2">
      <c r="A41" s="186"/>
      <c r="B41" s="276">
        <v>1</v>
      </c>
      <c r="C41" s="280" t="s">
        <v>143</v>
      </c>
      <c r="D41" s="281">
        <v>56</v>
      </c>
      <c r="E41" s="282" t="s">
        <v>144</v>
      </c>
      <c r="F41" s="269">
        <f ca="1">INDEX(OFFSET('Baseline NFPC'!$C$1:$U$1,$D41-1,0),MATCH(F$4,'Baseline NFPC'!$C$10:$U$10,0))</f>
        <v>43.748150000000003</v>
      </c>
      <c r="G41" s="269">
        <f ca="1">INDEX(OFFSET('Baseline NFPC'!$C$1:$U$1,$D41-1,0),MATCH(G$4,'Baseline NFPC'!$C$10:$U$10,0))</f>
        <v>45.157610209173967</v>
      </c>
      <c r="H41" s="269">
        <f ca="1">INDEX(OFFSET('Baseline NFPC'!$C$1:$U$1,$D41-1,0),MATCH(H$4,'Baseline NFPC'!$C$10:$U$10,0))</f>
        <v>47.86138493227363</v>
      </c>
      <c r="I41" s="269">
        <f ca="1">INDEX(OFFSET('Baseline NFPC'!$C$1:$U$1,$D41-1,0),MATCH(I$4,'Baseline NFPC'!$C$10:$U$10,0))</f>
        <v>48.251113767925901</v>
      </c>
      <c r="J41" s="269">
        <f ca="1">INDEX(OFFSET('Baseline NFPC'!$C$1:$U$1,$D41-1,0),MATCH(J$4,'Baseline NFPC'!$C$10:$U$10,0))</f>
        <v>48.658886297589476</v>
      </c>
      <c r="K41" s="269">
        <f ca="1">INDEX(OFFSET('Baseline NFPC'!$C$1:$U$1,$D41-1,0),MATCH(K$4,'Baseline NFPC'!$C$10:$U$10,0))</f>
        <v>49.108563868732105</v>
      </c>
      <c r="L41" s="269">
        <f ca="1">INDEX(OFFSET('Baseline NFPC'!$C$1:$U$1,$D41-1,0),MATCH(L$4,'Baseline NFPC'!$C$10:$U$10,0))</f>
        <v>49.559845131784883</v>
      </c>
      <c r="M41" s="269">
        <f ca="1">INDEX(OFFSET('Baseline NFPC'!$C$1:$U$1,$D41-1,0),MATCH(M$4,'Baseline NFPC'!$C$10:$U$10,0))</f>
        <v>50.526398348778315</v>
      </c>
      <c r="N41" s="269">
        <f ca="1">INDEX(OFFSET('Baseline NFPC'!$C$1:$U$1,$D41-1,0),MATCH(N$4,'Baseline NFPC'!$C$10:$U$10,0))</f>
        <v>51.770517719886442</v>
      </c>
      <c r="O41" s="269">
        <f ca="1">INDEX(OFFSET('Baseline NFPC'!$C$1:$U$1,$D41-1,0),MATCH(O$4,'Baseline NFPC'!$C$10:$U$10,0))</f>
        <v>53.188845724367795</v>
      </c>
      <c r="P41" s="269">
        <f ca="1">INDEX(OFFSET('Baseline NFPC'!$C$1:$U$1,$D41-1,0),MATCH(P$4,'Baseline NFPC'!$C$10:$U$10,0))</f>
        <v>54.765766831287095</v>
      </c>
      <c r="Q41" s="269">
        <f ca="1">INDEX(OFFSET('Baseline NFPC'!$C$1:$U$1,$D41-1,0),MATCH(Q$4,'Baseline NFPC'!$C$10:$U$10,0))</f>
        <v>56.49603640089309</v>
      </c>
      <c r="R41" s="269">
        <f ca="1">INDEX(OFFSET('Baseline NFPC'!$C$1:$U$1,$D41-1,0),MATCH(R$4,'Baseline NFPC'!$C$10:$U$10,0))</f>
        <v>58.456006967164342</v>
      </c>
      <c r="S41" s="269">
        <f ca="1">INDEX(OFFSET('Baseline NFPC'!$C$1:$U$1,$D41-1,0),MATCH(S$4,'Baseline NFPC'!$C$10:$U$10,0))</f>
        <v>60.638138528929375</v>
      </c>
      <c r="T41" s="269">
        <f ca="1">INDEX(OFFSET('Baseline NFPC'!$C$1:$U$1,$D41-1,0),MATCH(T$4,'Baseline NFPC'!$C$10:$U$10,0))</f>
        <v>62.835090774679905</v>
      </c>
      <c r="U41" s="269">
        <f ca="1">INDEX(OFFSET('Baseline NFPC'!$C$1:$U$1,$D41-1,0),MATCH(U$4,'Baseline NFPC'!$C$10:$U$10,0))</f>
        <v>65.088728236222039</v>
      </c>
      <c r="V41" s="269">
        <f ca="1">INDEX(OFFSET('Baseline NFPC'!$C$1:$U$1,$D41-1,0),MATCH(V$4,'Baseline NFPC'!$C$10:$U$10,0))</f>
        <v>67.38871368178792</v>
      </c>
      <c r="W41" s="269">
        <f ca="1">INDEX(OFFSET('Baseline NFPC'!$C$1:$U$1,$D41-1,0),MATCH(W$4,'Baseline NFPC'!$C$10:$U$10,0))</f>
        <v>69.897492014028487</v>
      </c>
      <c r="X41" s="269">
        <f ca="1">INDEX(OFFSET('Baseline NFPC'!$C$1:$U$1,$D41-1,0),MATCH(X$4,'Baseline NFPC'!$C$10:$U$10,0))</f>
        <v>72.409632686836588</v>
      </c>
      <c r="Y41" s="186"/>
    </row>
    <row r="42" spans="1:25" x14ac:dyDescent="0.2">
      <c r="A42" s="186"/>
      <c r="B42" s="276">
        <v>2</v>
      </c>
      <c r="C42" s="280" t="s">
        <v>145</v>
      </c>
      <c r="D42" s="281">
        <v>76</v>
      </c>
      <c r="E42" s="282" t="s">
        <v>144</v>
      </c>
      <c r="F42" s="269">
        <f ca="1">INDEX(OFFSET('Baseline NFPC'!$C$1:$U$1,$D42-1,0),MATCH(F$4,'Baseline NFPC'!$C$10:$U$10,0))</f>
        <v>-0.94488970000000005</v>
      </c>
      <c r="G42" s="269">
        <f ca="1">INDEX(OFFSET('Baseline NFPC'!$C$1:$U$1,$D42-1,0),MATCH(G$4,'Baseline NFPC'!$C$10:$U$10,0))</f>
        <v>-1.8748091525852035</v>
      </c>
      <c r="H42" s="269">
        <f ca="1">INDEX(OFFSET('Baseline NFPC'!$C$1:$U$1,$D42-1,0),MATCH(H$4,'Baseline NFPC'!$C$10:$U$10,0))</f>
        <v>-2.6660145879216097</v>
      </c>
      <c r="I42" s="269">
        <f ca="1">INDEX(OFFSET('Baseline NFPC'!$C$1:$U$1,$D42-1,0),MATCH(I$4,'Baseline NFPC'!$C$10:$U$10,0))</f>
        <v>-2.105627595059262</v>
      </c>
      <c r="J42" s="269">
        <f ca="1">INDEX(OFFSET('Baseline NFPC'!$C$1:$U$1,$D42-1,0),MATCH(J$4,'Baseline NFPC'!$C$10:$U$10,0))</f>
        <v>-2.1200003531271223</v>
      </c>
      <c r="K42" s="269">
        <f ca="1">INDEX(OFFSET('Baseline NFPC'!$C$1:$U$1,$D42-1,0),MATCH(K$4,'Baseline NFPC'!$C$10:$U$10,0))</f>
        <v>-2.1366836012290995</v>
      </c>
      <c r="L42" s="269">
        <f ca="1">INDEX(OFFSET('Baseline NFPC'!$C$1:$U$1,$D42-1,0),MATCH(L$4,'Baseline NFPC'!$C$10:$U$10,0))</f>
        <v>-2.1548470756582612</v>
      </c>
      <c r="M42" s="269">
        <f ca="1">INDEX(OFFSET('Baseline NFPC'!$C$1:$U$1,$D42-1,0),MATCH(M$4,'Baseline NFPC'!$C$10:$U$10,0))</f>
        <v>-2.542448837917556</v>
      </c>
      <c r="N42" s="269">
        <f ca="1">INDEX(OFFSET('Baseline NFPC'!$C$1:$U$1,$D42-1,0),MATCH(N$4,'Baseline NFPC'!$C$10:$U$10,0))</f>
        <v>-2.844465742303397</v>
      </c>
      <c r="O42" s="269">
        <f ca="1">INDEX(OFFSET('Baseline NFPC'!$C$1:$U$1,$D42-1,0),MATCH(O$4,'Baseline NFPC'!$C$10:$U$10,0))</f>
        <v>-3.0581034338708482</v>
      </c>
      <c r="P42" s="269">
        <f ca="1">INDEX(OFFSET('Baseline NFPC'!$C$1:$U$1,$D42-1,0),MATCH(P$4,'Baseline NFPC'!$C$10:$U$10,0))</f>
        <v>-3.2799113804396263</v>
      </c>
      <c r="Q42" s="269">
        <f ca="1">INDEX(OFFSET('Baseline NFPC'!$C$1:$U$1,$D42-1,0),MATCH(Q$4,'Baseline NFPC'!$C$10:$U$10,0))</f>
        <v>-3.5100702306050637</v>
      </c>
      <c r="R42" s="269">
        <f ca="1">INDEX(OFFSET('Baseline NFPC'!$C$1:$U$1,$D42-1,0),MATCH(R$4,'Baseline NFPC'!$C$10:$U$10,0))</f>
        <v>-3.8308703282312471</v>
      </c>
      <c r="S42" s="269">
        <f ca="1">INDEX(OFFSET('Baseline NFPC'!$C$1:$U$1,$D42-1,0),MATCH(S$4,'Baseline NFPC'!$C$10:$U$10,0))</f>
        <v>-4.1539605766660745</v>
      </c>
      <c r="T42" s="269">
        <f ca="1">INDEX(OFFSET('Baseline NFPC'!$C$1:$U$1,$D42-1,0),MATCH(T$4,'Baseline NFPC'!$C$10:$U$10,0))</f>
        <v>-4.2796923610740301</v>
      </c>
      <c r="U42" s="269">
        <f ca="1">INDEX(OFFSET('Baseline NFPC'!$C$1:$U$1,$D42-1,0),MATCH(U$4,'Baseline NFPC'!$C$10:$U$10,0))</f>
        <v>-4.4992349635410402</v>
      </c>
      <c r="V42" s="269">
        <f ca="1">INDEX(OFFSET('Baseline NFPC'!$C$1:$U$1,$D42-1,0),MATCH(V$4,'Baseline NFPC'!$C$10:$U$10,0))</f>
        <v>-4.7163660122695079</v>
      </c>
      <c r="W42" s="269">
        <f ca="1">INDEX(OFFSET('Baseline NFPC'!$C$1:$U$1,$D42-1,0),MATCH(W$4,'Baseline NFPC'!$C$10:$U$10,0))</f>
        <v>-5.0335729697636022</v>
      </c>
      <c r="X42" s="269">
        <f ca="1">INDEX(OFFSET('Baseline NFPC'!$C$1:$U$1,$D42-1,0),MATCH(X$4,'Baseline NFPC'!$C$10:$U$10,0))</f>
        <v>-5.1547959275733994</v>
      </c>
      <c r="Y42" s="186"/>
    </row>
    <row r="43" spans="1:25" x14ac:dyDescent="0.2">
      <c r="A43" s="186"/>
      <c r="B43" s="276">
        <v>3</v>
      </c>
      <c r="C43" s="280" t="s">
        <v>18</v>
      </c>
      <c r="D43" s="281">
        <v>12</v>
      </c>
      <c r="E43" s="282" t="s">
        <v>146</v>
      </c>
      <c r="F43" s="269">
        <f ca="1">INDEX(OFFSET('Baseline NFPC'!$C$1:$U$1,$D43-1,0),MATCH(F$4,'Baseline NFPC'!$C$10:$U$10,0))</f>
        <v>0.386237</v>
      </c>
      <c r="G43" s="269">
        <f ca="1">INDEX(OFFSET('Baseline NFPC'!$C$1:$U$1,$D43-1,0),MATCH(G$4,'Baseline NFPC'!$C$10:$U$10,0))</f>
        <v>-0.55773950000000005</v>
      </c>
      <c r="H43" s="269">
        <f ca="1">INDEX(OFFSET('Baseline NFPC'!$C$1:$U$1,$D43-1,0),MATCH(H$4,'Baseline NFPC'!$C$10:$U$10,0))</f>
        <v>-0.55773950000000005</v>
      </c>
      <c r="I43" s="269">
        <f ca="1">INDEX(OFFSET('Baseline NFPC'!$C$1:$U$1,$D43-1,0),MATCH(I$4,'Baseline NFPC'!$C$10:$U$10,0))</f>
        <v>-0.55773950000000005</v>
      </c>
      <c r="J43" s="269">
        <f ca="1">INDEX(OFFSET('Baseline NFPC'!$C$1:$U$1,$D43-1,0),MATCH(J$4,'Baseline NFPC'!$C$10:$U$10,0))</f>
        <v>-0.55773950000000005</v>
      </c>
      <c r="K43" s="269">
        <f ca="1">INDEX(OFFSET('Baseline NFPC'!$C$1:$U$1,$D43-1,0),MATCH(K$4,'Baseline NFPC'!$C$10:$U$10,0))</f>
        <v>-0.55773950000000005</v>
      </c>
      <c r="L43" s="269">
        <f ca="1">INDEX(OFFSET('Baseline NFPC'!$C$1:$U$1,$D43-1,0),MATCH(L$4,'Baseline NFPC'!$C$10:$U$10,0))</f>
        <v>-0.55773950000000005</v>
      </c>
      <c r="M43" s="269">
        <f ca="1">INDEX(OFFSET('Baseline NFPC'!$C$1:$U$1,$D43-1,0),MATCH(M$4,'Baseline NFPC'!$C$10:$U$10,0))</f>
        <v>-0.55773950000000005</v>
      </c>
      <c r="N43" s="269">
        <f ca="1">INDEX(OFFSET('Baseline NFPC'!$C$1:$U$1,$D43-1,0),MATCH(N$4,'Baseline NFPC'!$C$10:$U$10,0))</f>
        <v>-0.55773950000000005</v>
      </c>
      <c r="O43" s="269">
        <f ca="1">INDEX(OFFSET('Baseline NFPC'!$C$1:$U$1,$D43-1,0),MATCH(O$4,'Baseline NFPC'!$C$10:$U$10,0))</f>
        <v>-0.55773950000000005</v>
      </c>
      <c r="P43" s="269">
        <f ca="1">INDEX(OFFSET('Baseline NFPC'!$C$1:$U$1,$D43-1,0),MATCH(P$4,'Baseline NFPC'!$C$10:$U$10,0))</f>
        <v>-0.55773950000000005</v>
      </c>
      <c r="Q43" s="269">
        <f ca="1">INDEX(OFFSET('Baseline NFPC'!$C$1:$U$1,$D43-1,0),MATCH(Q$4,'Baseline NFPC'!$C$10:$U$10,0))</f>
        <v>-0.55773950000000005</v>
      </c>
      <c r="R43" s="269">
        <f ca="1">INDEX(OFFSET('Baseline NFPC'!$C$1:$U$1,$D43-1,0),MATCH(R$4,'Baseline NFPC'!$C$10:$U$10,0))</f>
        <v>-0.55773950000000005</v>
      </c>
      <c r="S43" s="269">
        <f ca="1">INDEX(OFFSET('Baseline NFPC'!$C$1:$U$1,$D43-1,0),MATCH(S$4,'Baseline NFPC'!$C$10:$U$10,0))</f>
        <v>-0.55773950000000005</v>
      </c>
      <c r="T43" s="269">
        <f ca="1">INDEX(OFFSET('Baseline NFPC'!$C$1:$U$1,$D43-1,0),MATCH(T$4,'Baseline NFPC'!$C$10:$U$10,0))</f>
        <v>-0.55773950000000005</v>
      </c>
      <c r="U43" s="269">
        <f ca="1">INDEX(OFFSET('Baseline NFPC'!$C$1:$U$1,$D43-1,0),MATCH(U$4,'Baseline NFPC'!$C$10:$U$10,0))</f>
        <v>-0.55773950000000005</v>
      </c>
      <c r="V43" s="269">
        <f ca="1">INDEX(OFFSET('Baseline NFPC'!$C$1:$U$1,$D43-1,0),MATCH(V$4,'Baseline NFPC'!$C$10:$U$10,0))</f>
        <v>-0.55773950000000005</v>
      </c>
      <c r="W43" s="269">
        <f ca="1">INDEX(OFFSET('Baseline NFPC'!$C$1:$U$1,$D43-1,0),MATCH(W$4,'Baseline NFPC'!$C$10:$U$10,0))</f>
        <v>-0.55773950000000005</v>
      </c>
      <c r="X43" s="269">
        <f ca="1">INDEX(OFFSET('Baseline NFPC'!$C$1:$U$1,$D43-1,0),MATCH(X$4,'Baseline NFPC'!$C$10:$U$10,0))</f>
        <v>-0.55773950000000005</v>
      </c>
      <c r="Y43" s="186"/>
    </row>
    <row r="44" spans="1:25" x14ac:dyDescent="0.2">
      <c r="A44" s="186"/>
      <c r="B44" s="276">
        <v>4</v>
      </c>
      <c r="C44" s="280" t="s">
        <v>147</v>
      </c>
      <c r="D44" s="281">
        <v>61</v>
      </c>
      <c r="E44" s="282" t="s">
        <v>146</v>
      </c>
      <c r="F44" s="269">
        <f ca="1">INDEX(OFFSET('Baseline NFPC'!$C$1:$U$1,$D44-1,0),MATCH(F$4,'Baseline NFPC'!$C$10:$U$10,0))</f>
        <v>0</v>
      </c>
      <c r="G44" s="269">
        <f ca="1">INDEX(OFFSET('Baseline NFPC'!$C$1:$U$1,$D44-1,0),MATCH(G$4,'Baseline NFPC'!$C$10:$U$10,0))</f>
        <v>0.57430420917396185</v>
      </c>
      <c r="H44" s="269">
        <f ca="1">INDEX(OFFSET('Baseline NFPC'!$C$1:$U$1,$D44-1,0),MATCH(H$4,'Baseline NFPC'!$C$10:$U$10,0))</f>
        <v>0.66441172309966023</v>
      </c>
      <c r="I44" s="269">
        <f ca="1">INDEX(OFFSET('Baseline NFPC'!$C$1:$U$1,$D44-1,0),MATCH(I$4,'Baseline NFPC'!$C$10:$U$10,0))</f>
        <v>0.49370468565226816</v>
      </c>
      <c r="J44" s="269">
        <f ca="1">INDEX(OFFSET('Baseline NFPC'!$C$1:$U$1,$D44-1,0),MATCH(J$4,'Baseline NFPC'!$C$10:$U$10,0))</f>
        <v>0.32913858062013429</v>
      </c>
      <c r="K44" s="269">
        <f ca="1">INDEX(OFFSET('Baseline NFPC'!$C$1:$U$1,$D44-1,0),MATCH(K$4,'Baseline NFPC'!$C$10:$U$10,0))</f>
        <v>0.16456822422782991</v>
      </c>
      <c r="L44" s="269">
        <f ca="1">INDEX(OFFSET('Baseline NFPC'!$C$1:$U$1,$D44-1,0),MATCH(L$4,'Baseline NFPC'!$C$10:$U$10,0))</f>
        <v>6.0044019600802301E-7</v>
      </c>
      <c r="M44" s="269">
        <f ca="1">INDEX(OFFSET('Baseline NFPC'!$C$1:$U$1,$D44-1,0),MATCH(M$4,'Baseline NFPC'!$C$10:$U$10,0))</f>
        <v>1.7976405874975399E-6</v>
      </c>
      <c r="N44" s="269">
        <f ca="1">INDEX(OFFSET('Baseline NFPC'!$C$1:$U$1,$D44-1,0),MATCH(N$4,'Baseline NFPC'!$C$10:$U$10,0))</f>
        <v>1.7976405874975399E-6</v>
      </c>
      <c r="O44" s="269">
        <f ca="1">INDEX(OFFSET('Baseline NFPC'!$C$1:$U$1,$D44-1,0),MATCH(O$4,'Baseline NFPC'!$C$10:$U$10,0))</f>
        <v>1.1987049993167354E-6</v>
      </c>
      <c r="P44" s="269">
        <f ca="1">INDEX(OFFSET('Baseline NFPC'!$C$1:$U$1,$D44-1,0),MATCH(P$4,'Baseline NFPC'!$C$10:$U$10,0))</f>
        <v>2.3964094164607985E-6</v>
      </c>
      <c r="Q44" s="269">
        <f ca="1">INDEX(OFFSET('Baseline NFPC'!$C$1:$U$1,$D44-1,0),MATCH(Q$4,'Baseline NFPC'!$C$10:$U$10,0))</f>
        <v>-1.1956956963432575E-6</v>
      </c>
      <c r="R44" s="269">
        <f ca="1">INDEX(OFFSET('Baseline NFPC'!$C$1:$U$1,$D44-1,0),MATCH(R$4,'Baseline NFPC'!$C$10:$U$10,0))</f>
        <v>-2.3921365062129496E-6</v>
      </c>
      <c r="S44" s="269">
        <f ca="1">INDEX(OFFSET('Baseline NFPC'!$C$1:$U$1,$D44-1,0),MATCH(S$4,'Baseline NFPC'!$C$10:$U$10,0))</f>
        <v>-5.9786803633388175E-6</v>
      </c>
      <c r="T44" s="269">
        <f ca="1">INDEX(OFFSET('Baseline NFPC'!$C$1:$U$1,$D44-1,0),MATCH(T$4,'Baseline NFPC'!$C$10:$U$10,0))</f>
        <v>-6.5759753409277977E-6</v>
      </c>
      <c r="U44" s="269">
        <f ca="1">INDEX(OFFSET('Baseline NFPC'!$C$1:$U$1,$D44-1,0),MATCH(U$4,'Baseline NFPC'!$C$10:$U$10,0))</f>
        <v>-7.1723282804025956E-6</v>
      </c>
      <c r="V44" s="269">
        <f ca="1">INDEX(OFFSET('Baseline NFPC'!$C$1:$U$1,$D44-1,0),MATCH(V$4,'Baseline NFPC'!$C$10:$U$10,0))</f>
        <v>-4.7906726517998877E-6</v>
      </c>
      <c r="W44" s="269">
        <f ca="1">INDEX(OFFSET('Baseline NFPC'!$C$1:$U$1,$D44-1,0),MATCH(W$4,'Baseline NFPC'!$C$10:$U$10,0))</f>
        <v>-1.8150674530037492E-6</v>
      </c>
      <c r="X44" s="269">
        <f ca="1">INDEX(OFFSET('Baseline NFPC'!$C$1:$U$1,$D44-1,0),MATCH(X$4,'Baseline NFPC'!$C$10:$U$10,0))</f>
        <v>-4.1943812789657642E-6</v>
      </c>
      <c r="Y44" s="186"/>
    </row>
    <row r="45" spans="1:25" x14ac:dyDescent="0.2">
      <c r="A45" s="186"/>
      <c r="B45" s="276">
        <v>5</v>
      </c>
      <c r="C45" s="280" t="s">
        <v>149</v>
      </c>
      <c r="D45" s="281">
        <v>67</v>
      </c>
      <c r="E45" s="282" t="s">
        <v>144</v>
      </c>
      <c r="F45" s="269">
        <f ca="1">INDEX(OFFSET('Baseline NFPC'!$C$1:$U$1,$D45-1,0),MATCH(F$4,'Baseline NFPC'!$C$10:$U$10,0))</f>
        <v>0</v>
      </c>
      <c r="G45" s="269">
        <f ca="1">INDEX(OFFSET('Baseline NFPC'!$C$1:$U$1,$D45-1,0),MATCH(G$4,'Baseline NFPC'!$C$10:$U$10,0))</f>
        <v>0.71728822977332674</v>
      </c>
      <c r="H45" s="269">
        <f ca="1">INDEX(OFFSET('Baseline NFPC'!$C$1:$U$1,$D45-1,0),MATCH(H$4,'Baseline NFPC'!$C$10:$U$10,0))</f>
        <v>0.74801828719034313</v>
      </c>
      <c r="I45" s="269">
        <f ca="1">INDEX(OFFSET('Baseline NFPC'!$C$1:$U$1,$D45-1,0),MATCH(I$4,'Baseline NFPC'!$C$10:$U$10,0))</f>
        <v>0.8427024455576394</v>
      </c>
      <c r="J45" s="269">
        <f ca="1">INDEX(OFFSET('Baseline NFPC'!$C$1:$U$1,$D45-1,0),MATCH(J$4,'Baseline NFPC'!$C$10:$U$10,0))</f>
        <v>0.91590137250698755</v>
      </c>
      <c r="K45" s="269">
        <f ca="1">INDEX(OFFSET('Baseline NFPC'!$C$1:$U$1,$D45-1,0),MATCH(K$4,'Baseline NFPC'!$C$10:$U$10,0))</f>
        <v>0.99141467700127472</v>
      </c>
      <c r="L45" s="269">
        <f ca="1">INDEX(OFFSET('Baseline NFPC'!$C$1:$U$1,$D45-1,0),MATCH(L$4,'Baseline NFPC'!$C$10:$U$10,0))</f>
        <v>1.0684053752180684</v>
      </c>
      <c r="M45" s="269">
        <f ca="1">INDEX(OFFSET('Baseline NFPC'!$C$1:$U$1,$D45-1,0),MATCH(M$4,'Baseline NFPC'!$C$10:$U$10,0))</f>
        <v>1.1502656402769718</v>
      </c>
      <c r="N45" s="269">
        <f ca="1">INDEX(OFFSET('Baseline NFPC'!$C$1:$U$1,$D45-1,0),MATCH(N$4,'Baseline NFPC'!$C$10:$U$10,0))</f>
        <v>1.2465422446628132</v>
      </c>
      <c r="O45" s="269">
        <f ca="1">INDEX(OFFSET('Baseline NFPC'!$C$1:$U$1,$D45-1,0),MATCH(O$4,'Baseline NFPC'!$C$10:$U$10,0))</f>
        <v>1.3544402351658511</v>
      </c>
      <c r="P45" s="269">
        <f ca="1">INDEX(OFFSET('Baseline NFPC'!$C$1:$U$1,$D45-1,0),MATCH(P$4,'Baseline NFPC'!$C$10:$U$10,0))</f>
        <v>1.4705066840302141</v>
      </c>
      <c r="Q45" s="269">
        <f ca="1">INDEX(OFFSET('Baseline NFPC'!$C$1:$U$1,$D45-1,0),MATCH(Q$4,'Baseline NFPC'!$C$10:$U$10,0))</f>
        <v>1.5949287263007628</v>
      </c>
      <c r="R45" s="269">
        <f ca="1">INDEX(OFFSET('Baseline NFPC'!$C$1:$U$1,$D45-1,0),MATCH(R$4,'Baseline NFPC'!$C$10:$U$10,0))</f>
        <v>1.7099897203677572</v>
      </c>
      <c r="S45" s="269">
        <f ca="1">INDEX(OFFSET('Baseline NFPC'!$C$1:$U$1,$D45-1,0),MATCH(S$4,'Baseline NFPC'!$C$10:$U$10,0))</f>
        <v>1.8273433553464422</v>
      </c>
      <c r="T45" s="269">
        <f ca="1">INDEX(OFFSET('Baseline NFPC'!$C$1:$U$1,$D45-1,0),MATCH(T$4,'Baseline NFPC'!$C$10:$U$10,0))</f>
        <v>1.9473353370493749</v>
      </c>
      <c r="U45" s="269">
        <f ca="1">INDEX(OFFSET('Baseline NFPC'!$C$1:$U$1,$D45-1,0),MATCH(U$4,'Baseline NFPC'!$C$10:$U$10,0))</f>
        <v>2.0611382358693238</v>
      </c>
      <c r="V45" s="269">
        <f ca="1">INDEX(OFFSET('Baseline NFPC'!$C$1:$U$1,$D45-1,0),MATCH(V$4,'Baseline NFPC'!$C$10:$U$10,0))</f>
        <v>2.1725266029421646</v>
      </c>
      <c r="W45" s="269">
        <f ca="1">INDEX(OFFSET('Baseline NFPC'!$C$1:$U$1,$D45-1,0),MATCH(W$4,'Baseline NFPC'!$C$10:$U$10,0))</f>
        <v>2.2839902848310576</v>
      </c>
      <c r="X45" s="269">
        <f ca="1">INDEX(OFFSET('Baseline NFPC'!$C$1:$U$1,$D45-1,0),MATCH(X$4,'Baseline NFPC'!$C$10:$U$10,0))</f>
        <v>2.3994753219546809</v>
      </c>
      <c r="Y45" s="186"/>
    </row>
    <row r="46" spans="1:25" x14ac:dyDescent="0.2">
      <c r="A46" s="186"/>
      <c r="B46" s="276">
        <v>6</v>
      </c>
      <c r="C46" s="283" t="s">
        <v>61</v>
      </c>
      <c r="D46" s="281">
        <v>36</v>
      </c>
      <c r="E46" s="282" t="s">
        <v>150</v>
      </c>
      <c r="F46" s="269">
        <f ca="1">INDEX(OFFSET('Baseline NFPC'!$C$1:$U$1,$D46-1,0),MATCH(F$4,'Baseline NFPC'!$C$10:$U$10,0))</f>
        <v>2.6204999999999998</v>
      </c>
      <c r="G46" s="269">
        <f ca="1">INDEX(OFFSET('Baseline NFPC'!$C$1:$U$1,$D46-1,0),MATCH(G$4,'Baseline NFPC'!$C$10:$U$10,0))</f>
        <v>2.78965</v>
      </c>
      <c r="H46" s="269">
        <f ca="1">INDEX(OFFSET('Baseline NFPC'!$C$1:$U$1,$D46-1,0),MATCH(H$4,'Baseline NFPC'!$C$10:$U$10,0))</f>
        <v>2.8949530000000001</v>
      </c>
      <c r="I46" s="269">
        <f ca="1">INDEX(OFFSET('Baseline NFPC'!$C$1:$U$1,$D46-1,0),MATCH(I$4,'Baseline NFPC'!$C$10:$U$10,0))</f>
        <v>3.0816759999999999</v>
      </c>
      <c r="J46" s="269">
        <f ca="1">INDEX(OFFSET('Baseline NFPC'!$C$1:$U$1,$D46-1,0),MATCH(J$4,'Baseline NFPC'!$C$10:$U$10,0))</f>
        <v>3.188669</v>
      </c>
      <c r="K46" s="269">
        <f ca="1">INDEX(OFFSET('Baseline NFPC'!$C$1:$U$1,$D46-1,0),MATCH(K$4,'Baseline NFPC'!$C$10:$U$10,0))</f>
        <v>3.2956620000000001</v>
      </c>
      <c r="L46" s="269">
        <f ca="1">INDEX(OFFSET('Baseline NFPC'!$C$1:$U$1,$D46-1,0),MATCH(L$4,'Baseline NFPC'!$C$10:$U$10,0))</f>
        <v>3.4026550000000002</v>
      </c>
      <c r="M46" s="269">
        <f ca="1">INDEX(OFFSET('Baseline NFPC'!$C$1:$U$1,$D46-1,0),MATCH(M$4,'Baseline NFPC'!$C$10:$U$10,0))</f>
        <v>3.5096480000000003</v>
      </c>
      <c r="N46" s="269">
        <f ca="1">INDEX(OFFSET('Baseline NFPC'!$C$1:$U$1,$D46-1,0),MATCH(N$4,'Baseline NFPC'!$C$10:$U$10,0))</f>
        <v>3.6166410000000004</v>
      </c>
      <c r="O46" s="269">
        <f ca="1">INDEX(OFFSET('Baseline NFPC'!$C$1:$U$1,$D46-1,0),MATCH(O$4,'Baseline NFPC'!$C$10:$U$10,0))</f>
        <v>3.7236340000000006</v>
      </c>
      <c r="P46" s="269">
        <f ca="1">INDEX(OFFSET('Baseline NFPC'!$C$1:$U$1,$D46-1,0),MATCH(P$4,'Baseline NFPC'!$C$10:$U$10,0))</f>
        <v>3.8306270000000007</v>
      </c>
      <c r="Q46" s="269">
        <f ca="1">INDEX(OFFSET('Baseline NFPC'!$C$1:$U$1,$D46-1,0),MATCH(Q$4,'Baseline NFPC'!$C$10:$U$10,0))</f>
        <v>3.9376199999999999</v>
      </c>
      <c r="R46" s="269">
        <f ca="1">INDEX(OFFSET('Baseline NFPC'!$C$1:$U$1,$D46-1,0),MATCH(R$4,'Baseline NFPC'!$C$10:$U$10,0))</f>
        <v>3.9407389999999998</v>
      </c>
      <c r="S46" s="269">
        <f ca="1">INDEX(OFFSET('Baseline NFPC'!$C$1:$U$1,$D46-1,0),MATCH(S$4,'Baseline NFPC'!$C$10:$U$10,0))</f>
        <v>3.9438580000000001</v>
      </c>
      <c r="T46" s="269">
        <f ca="1">INDEX(OFFSET('Baseline NFPC'!$C$1:$U$1,$D46-1,0),MATCH(T$4,'Baseline NFPC'!$C$10:$U$10,0))</f>
        <v>3.946977</v>
      </c>
      <c r="U46" s="269">
        <f ca="1">INDEX(OFFSET('Baseline NFPC'!$C$1:$U$1,$D46-1,0),MATCH(U$4,'Baseline NFPC'!$C$10:$U$10,0))</f>
        <v>3.9500959999999998</v>
      </c>
      <c r="V46" s="269">
        <f ca="1">INDEX(OFFSET('Baseline NFPC'!$C$1:$U$1,$D46-1,0),MATCH(V$4,'Baseline NFPC'!$C$10:$U$10,0))</f>
        <v>3.9532150000000001</v>
      </c>
      <c r="W46" s="269">
        <f ca="1">INDEX(OFFSET('Baseline NFPC'!$C$1:$U$1,$D46-1,0),MATCH(W$4,'Baseline NFPC'!$C$10:$U$10,0))</f>
        <v>3.956334</v>
      </c>
      <c r="X46" s="269">
        <f ca="1">INDEX(OFFSET('Baseline NFPC'!$C$1:$U$1,$D46-1,0),MATCH(X$4,'Baseline NFPC'!$C$10:$U$10,0))</f>
        <v>3.9594529999999999</v>
      </c>
      <c r="Y46" s="186"/>
    </row>
    <row r="47" spans="1:25" x14ac:dyDescent="0.2">
      <c r="A47" s="186"/>
      <c r="B47" s="276">
        <v>7</v>
      </c>
      <c r="C47" s="283" t="s">
        <v>62</v>
      </c>
      <c r="D47" s="281">
        <v>37</v>
      </c>
      <c r="E47" s="282" t="s">
        <v>150</v>
      </c>
      <c r="F47" s="269">
        <f ca="1">INDEX(OFFSET('Baseline NFPC'!$C$1:$U$1,$D47-1,0),MATCH(F$4,'Baseline NFPC'!$C$10:$U$10,0))</f>
        <v>3.5708329999999999</v>
      </c>
      <c r="G47" s="269">
        <f ca="1">INDEX(OFFSET('Baseline NFPC'!$C$1:$U$1,$D47-1,0),MATCH(G$4,'Baseline NFPC'!$C$10:$U$10,0))</f>
        <v>2.1725829999999999</v>
      </c>
      <c r="H47" s="269">
        <f ca="1">INDEX(OFFSET('Baseline NFPC'!$C$1:$U$1,$D47-1,0),MATCH(H$4,'Baseline NFPC'!$C$10:$U$10,0))</f>
        <v>1.91225</v>
      </c>
      <c r="I47" s="269">
        <f ca="1">INDEX(OFFSET('Baseline NFPC'!$C$1:$U$1,$D47-1,0),MATCH(I$4,'Baseline NFPC'!$C$10:$U$10,0))</f>
        <v>2.024375</v>
      </c>
      <c r="J47" s="269">
        <f ca="1">INDEX(OFFSET('Baseline NFPC'!$C$1:$U$1,$D47-1,0),MATCH(J$4,'Baseline NFPC'!$C$10:$U$10,0))</f>
        <v>2.1784318750000002</v>
      </c>
      <c r="K47" s="269">
        <f ca="1">INDEX(OFFSET('Baseline NFPC'!$C$1:$U$1,$D47-1,0),MATCH(K$4,'Baseline NFPC'!$C$10:$U$10,0))</f>
        <v>2.3324887500000004</v>
      </c>
      <c r="L47" s="269">
        <f ca="1">INDEX(OFFSET('Baseline NFPC'!$C$1:$U$1,$D47-1,0),MATCH(L$4,'Baseline NFPC'!$C$10:$U$10,0))</f>
        <v>2.4865456250000006</v>
      </c>
      <c r="M47" s="269">
        <f ca="1">INDEX(OFFSET('Baseline NFPC'!$C$1:$U$1,$D47-1,0),MATCH(M$4,'Baseline NFPC'!$C$10:$U$10,0))</f>
        <v>2.6406025000000009</v>
      </c>
      <c r="N47" s="269">
        <f ca="1">INDEX(OFFSET('Baseline NFPC'!$C$1:$U$1,$D47-1,0),MATCH(N$4,'Baseline NFPC'!$C$10:$U$10,0))</f>
        <v>2.7946593750000011</v>
      </c>
      <c r="O47" s="269">
        <f ca="1">INDEX(OFFSET('Baseline NFPC'!$C$1:$U$1,$D47-1,0),MATCH(O$4,'Baseline NFPC'!$C$10:$U$10,0))</f>
        <v>2.9487162500000013</v>
      </c>
      <c r="P47" s="269">
        <f ca="1">INDEX(OFFSET('Baseline NFPC'!$C$1:$U$1,$D47-1,0),MATCH(P$4,'Baseline NFPC'!$C$10:$U$10,0))</f>
        <v>3.1027731250000015</v>
      </c>
      <c r="Q47" s="269">
        <f ca="1">INDEX(OFFSET('Baseline NFPC'!$C$1:$U$1,$D47-1,0),MATCH(Q$4,'Baseline NFPC'!$C$10:$U$10,0))</f>
        <v>3.2568299999999999</v>
      </c>
      <c r="R47" s="269">
        <f ca="1">INDEX(OFFSET('Baseline NFPC'!$C$1:$U$1,$D47-1,0),MATCH(R$4,'Baseline NFPC'!$C$10:$U$10,0))</f>
        <v>3.1939884999999997</v>
      </c>
      <c r="S47" s="269">
        <f ca="1">INDEX(OFFSET('Baseline NFPC'!$C$1:$U$1,$D47-1,0),MATCH(S$4,'Baseline NFPC'!$C$10:$U$10,0))</f>
        <v>3.1311469999999999</v>
      </c>
      <c r="T47" s="269">
        <f ca="1">INDEX(OFFSET('Baseline NFPC'!$C$1:$U$1,$D47-1,0),MATCH(T$4,'Baseline NFPC'!$C$10:$U$10,0))</f>
        <v>3.0683055000000001</v>
      </c>
      <c r="U47" s="269">
        <f ca="1">INDEX(OFFSET('Baseline NFPC'!$C$1:$U$1,$D47-1,0),MATCH(U$4,'Baseline NFPC'!$C$10:$U$10,0))</f>
        <v>3.0054639999999999</v>
      </c>
      <c r="V47" s="269">
        <f ca="1">INDEX(OFFSET('Baseline NFPC'!$C$1:$U$1,$D47-1,0),MATCH(V$4,'Baseline NFPC'!$C$10:$U$10,0))</f>
        <v>2.9426224999999997</v>
      </c>
      <c r="W47" s="269">
        <f ca="1">INDEX(OFFSET('Baseline NFPC'!$C$1:$U$1,$D47-1,0),MATCH(W$4,'Baseline NFPC'!$C$10:$U$10,0))</f>
        <v>2.8797809999999999</v>
      </c>
      <c r="X47" s="269">
        <f ca="1">INDEX(OFFSET('Baseline NFPC'!$C$1:$U$1,$D47-1,0),MATCH(X$4,'Baseline NFPC'!$C$10:$U$10,0))</f>
        <v>2.8169395000000002</v>
      </c>
      <c r="Y47" s="186"/>
    </row>
    <row r="48" spans="1:25" x14ac:dyDescent="0.2">
      <c r="A48" s="186"/>
      <c r="B48" s="276">
        <v>8</v>
      </c>
      <c r="C48" s="280" t="s">
        <v>151</v>
      </c>
      <c r="D48" s="281">
        <v>35</v>
      </c>
      <c r="E48" s="282" t="s">
        <v>150</v>
      </c>
      <c r="F48" s="269">
        <f ca="1">INDEX(OFFSET('Baseline NFPC'!$C$1:$U$1,$D48-1,0),MATCH(F$4,'Baseline NFPC'!$C$10:$U$10,0))</f>
        <v>1.6465860000000001</v>
      </c>
      <c r="G48" s="269">
        <f ca="1">INDEX(OFFSET('Baseline NFPC'!$C$1:$U$1,$D48-1,0),MATCH(G$4,'Baseline NFPC'!$C$10:$U$10,0))</f>
        <v>1.72</v>
      </c>
      <c r="H48" s="269">
        <f ca="1">INDEX(OFFSET('Baseline NFPC'!$C$1:$U$1,$D48-1,0),MATCH(H$4,'Baseline NFPC'!$C$10:$U$10,0))</f>
        <v>1.7322979999999999</v>
      </c>
      <c r="I48" s="269">
        <f ca="1">INDEX(OFFSET('Baseline NFPC'!$C$1:$U$1,$D48-1,0),MATCH(I$4,'Baseline NFPC'!$C$10:$U$10,0))</f>
        <v>1.8261860000000001</v>
      </c>
      <c r="J48" s="269">
        <f ca="1">INDEX(OFFSET('Baseline NFPC'!$C$1:$U$1,$D48-1,0),MATCH(J$4,'Baseline NFPC'!$C$10:$U$10,0))</f>
        <v>1.9680345885373955</v>
      </c>
      <c r="K48" s="269">
        <f ca="1">INDEX(OFFSET('Baseline NFPC'!$C$1:$U$1,$D48-1,0),MATCH(K$4,'Baseline NFPC'!$C$10:$U$10,0))</f>
        <v>2.1106557186027199</v>
      </c>
      <c r="L48" s="269">
        <f ca="1">INDEX(OFFSET('Baseline NFPC'!$C$1:$U$1,$D48-1,0),MATCH(L$4,'Baseline NFPC'!$C$10:$U$10,0))</f>
        <v>2.253782130637568</v>
      </c>
      <c r="M48" s="269">
        <f ca="1">INDEX(OFFSET('Baseline NFPC'!$C$1:$U$1,$D48-1,0),MATCH(M$4,'Baseline NFPC'!$C$10:$U$10,0))</f>
        <v>2.3971883348548015</v>
      </c>
      <c r="N48" s="269">
        <f ca="1">INDEX(OFFSET('Baseline NFPC'!$C$1:$U$1,$D48-1,0),MATCH(N$4,'Baseline NFPC'!$C$10:$U$10,0))</f>
        <v>2.5478087731950136</v>
      </c>
      <c r="O48" s="269">
        <f ca="1">INDEX(OFFSET('Baseline NFPC'!$C$1:$U$1,$D48-1,0),MATCH(O$4,'Baseline NFPC'!$C$10:$U$10,0))</f>
        <v>2.7018156390287609</v>
      </c>
      <c r="P48" s="269">
        <f ca="1">INDEX(OFFSET('Baseline NFPC'!$C$1:$U$1,$D48-1,0),MATCH(P$4,'Baseline NFPC'!$C$10:$U$10,0))</f>
        <v>2.8561372267264309</v>
      </c>
      <c r="Q48" s="269">
        <f ca="1">INDEX(OFFSET('Baseline NFPC'!$C$1:$U$1,$D48-1,0),MATCH(Q$4,'Baseline NFPC'!$C$10:$U$10,0))</f>
        <v>3.0100965247570057</v>
      </c>
      <c r="R48" s="269">
        <f ca="1">INDEX(OFFSET('Baseline NFPC'!$C$1:$U$1,$D48-1,0),MATCH(R$4,'Baseline NFPC'!$C$10:$U$10,0))</f>
        <v>3.1304081336594631</v>
      </c>
      <c r="S48" s="269">
        <f ca="1">INDEX(OFFSET('Baseline NFPC'!$C$1:$U$1,$D48-1,0),MATCH(S$4,'Baseline NFPC'!$C$10:$U$10,0))</f>
        <v>3.2351419841690765</v>
      </c>
      <c r="T48" s="269">
        <f ca="1">INDEX(OFFSET('Baseline NFPC'!$C$1:$U$1,$D48-1,0),MATCH(T$4,'Baseline NFPC'!$C$10:$U$10,0))</f>
        <v>3.3256290449846797</v>
      </c>
      <c r="U48" s="269">
        <f ca="1">INDEX(OFFSET('Baseline NFPC'!$C$1:$U$1,$D48-1,0),MATCH(U$4,'Baseline NFPC'!$C$10:$U$10,0))</f>
        <v>3.4018080108266293</v>
      </c>
      <c r="V48" s="269">
        <f ca="1">INDEX(OFFSET('Baseline NFPC'!$C$1:$U$1,$D48-1,0),MATCH(V$4,'Baseline NFPC'!$C$10:$U$10,0))</f>
        <v>3.4664835190126508</v>
      </c>
      <c r="W48" s="269">
        <f ca="1">INDEX(OFFSET('Baseline NFPC'!$C$1:$U$1,$D48-1,0),MATCH(W$4,'Baseline NFPC'!$C$10:$U$10,0))</f>
        <v>3.5212030331876818</v>
      </c>
      <c r="X48" s="269">
        <f ca="1">INDEX(OFFSET('Baseline NFPC'!$C$1:$U$1,$D48-1,0),MATCH(X$4,'Baseline NFPC'!$C$10:$U$10,0))</f>
        <v>3.5677364448055031</v>
      </c>
      <c r="Y48" s="186"/>
    </row>
    <row r="49" spans="1:25" x14ac:dyDescent="0.2">
      <c r="A49" s="186"/>
      <c r="B49" s="276">
        <v>9</v>
      </c>
      <c r="C49" s="284" t="s">
        <v>40</v>
      </c>
      <c r="D49" s="281">
        <v>26</v>
      </c>
      <c r="E49" s="282" t="s">
        <v>153</v>
      </c>
      <c r="F49" s="269">
        <f>'Input data'!C33</f>
        <v>1.8242259999999999</v>
      </c>
      <c r="G49" s="269">
        <f ca="1">(INDEX(OFFSET('Baseline NFPC'!$C$1:$U$1,$D49-1,0),MATCH(G$4,'Baseline NFPC'!$C$10:$U$10,0))/INDEX(OFFSET('Baseline NFPC'!$C$1:$U$1,$D49-1,0),MATCH(F$4,'Baseline NFPC'!$C$10:$U$10,0))-1)*100</f>
        <v>1.6562940000000026</v>
      </c>
      <c r="H49" s="269">
        <f ca="1">(INDEX(OFFSET('Baseline NFPC'!$C$1:$U$1,$D49-1,0),MATCH(H$4,'Baseline NFPC'!$C$10:$U$10,0))/INDEX(OFFSET('Baseline NFPC'!$C$1:$U$1,$D49-1,0),MATCH(G$4,'Baseline NFPC'!$C$10:$U$10,0))-1)*100</f>
        <v>1.4262570000000085</v>
      </c>
      <c r="I49" s="269">
        <f ca="1">(INDEX(OFFSET('Baseline NFPC'!$C$1:$U$1,$D49-1,0),MATCH(I$4,'Baseline NFPC'!$C$10:$U$10,0))/INDEX(OFFSET('Baseline NFPC'!$C$1:$U$1,$D49-1,0),MATCH(H$4,'Baseline NFPC'!$C$10:$U$10,0))-1)*100</f>
        <v>1.2928829999999891</v>
      </c>
      <c r="J49" s="269">
        <f ca="1">(INDEX(OFFSET('Baseline NFPC'!$C$1:$U$1,$D49-1,0),MATCH(J$4,'Baseline NFPC'!$C$10:$U$10,0))/INDEX(OFFSET('Baseline NFPC'!$C$1:$U$1,$D49-1,0),MATCH(I$4,'Baseline NFPC'!$C$10:$U$10,0))-1)*100</f>
        <v>1.2437400000000043</v>
      </c>
      <c r="K49" s="269">
        <f ca="1">(INDEX(OFFSET('Baseline NFPC'!$C$1:$U$1,$D49-1,0),MATCH(K$4,'Baseline NFPC'!$C$10:$U$10,0))/INDEX(OFFSET('Baseline NFPC'!$C$1:$U$1,$D49-1,0),MATCH(J$4,'Baseline NFPC'!$C$10:$U$10,0))-1)*100</f>
        <v>1.1370649999999927</v>
      </c>
      <c r="L49" s="269">
        <f ca="1">(INDEX(OFFSET('Baseline NFPC'!$C$1:$U$1,$D49-1,0),MATCH(L$4,'Baseline NFPC'!$C$10:$U$10,0))/INDEX(OFFSET('Baseline NFPC'!$C$1:$U$1,$D49-1,0),MATCH(K$4,'Baseline NFPC'!$C$10:$U$10,0))-1)*100</f>
        <v>1.1180270000000103</v>
      </c>
      <c r="M49" s="269">
        <f ca="1">(INDEX(OFFSET('Baseline NFPC'!$C$1:$U$1,$D49-1,0),MATCH(M$4,'Baseline NFPC'!$C$10:$U$10,0))/INDEX(OFFSET('Baseline NFPC'!$C$1:$U$1,$D49-1,0),MATCH(L$4,'Baseline NFPC'!$C$10:$U$10,0))-1)*100</f>
        <v>1.0691280000000081</v>
      </c>
      <c r="N49" s="269">
        <f ca="1">(INDEX(OFFSET('Baseline NFPC'!$C$1:$U$1,$D49-1,0),MATCH(N$4,'Baseline NFPC'!$C$10:$U$10,0))/INDEX(OFFSET('Baseline NFPC'!$C$1:$U$1,$D49-1,0),MATCH(M$4,'Baseline NFPC'!$C$10:$U$10,0))-1)*100</f>
        <v>1.0343100000000049</v>
      </c>
      <c r="O49" s="269">
        <f ca="1">(INDEX(OFFSET('Baseline NFPC'!$C$1:$U$1,$D49-1,0),MATCH(O$4,'Baseline NFPC'!$C$10:$U$10,0))/INDEX(OFFSET('Baseline NFPC'!$C$1:$U$1,$D49-1,0),MATCH(N$4,'Baseline NFPC'!$C$10:$U$10,0))-1)*100</f>
        <v>1.0125299999999893</v>
      </c>
      <c r="P49" s="269">
        <f ca="1">(INDEX(OFFSET('Baseline NFPC'!$C$1:$U$1,$D49-1,0),MATCH(P$4,'Baseline NFPC'!$C$10:$U$10,0))/INDEX(OFFSET('Baseline NFPC'!$C$1:$U$1,$D49-1,0),MATCH(O$4,'Baseline NFPC'!$C$10:$U$10,0))-1)*100</f>
        <v>1.0265940000000029</v>
      </c>
      <c r="Q49" s="269">
        <f ca="1">(INDEX(OFFSET('Baseline NFPC'!$C$1:$U$1,$D49-1,0),MATCH(Q$4,'Baseline NFPC'!$C$10:$U$10,0))/INDEX(OFFSET('Baseline NFPC'!$C$1:$U$1,$D49-1,0),MATCH(P$4,'Baseline NFPC'!$C$10:$U$10,0))-1)*100</f>
        <v>1.0549450000000071</v>
      </c>
      <c r="R49" s="269">
        <f ca="1">(INDEX(OFFSET('Baseline NFPC'!$C$1:$U$1,$D49-1,0),MATCH(R$4,'Baseline NFPC'!$C$10:$U$10,0))/INDEX(OFFSET('Baseline NFPC'!$C$1:$U$1,$D49-1,0),MATCH(Q$4,'Baseline NFPC'!$C$10:$U$10,0))-1)*100</f>
        <v>1.1332969999999998</v>
      </c>
      <c r="S49" s="269">
        <f ca="1">(INDEX(OFFSET('Baseline NFPC'!$C$1:$U$1,$D49-1,0),MATCH(S$4,'Baseline NFPC'!$C$10:$U$10,0))/INDEX(OFFSET('Baseline NFPC'!$C$1:$U$1,$D49-1,0),MATCH(R$4,'Baseline NFPC'!$C$10:$U$10,0))-1)*100</f>
        <v>1.2116479999999985</v>
      </c>
      <c r="T49" s="269">
        <f ca="1">(INDEX(OFFSET('Baseline NFPC'!$C$1:$U$1,$D49-1,0),MATCH(T$4,'Baseline NFPC'!$C$10:$U$10,0))/INDEX(OFFSET('Baseline NFPC'!$C$1:$U$1,$D49-1,0),MATCH(S$4,'Baseline NFPC'!$C$10:$U$10,0))-1)*100</f>
        <v>1.2899999999999912</v>
      </c>
      <c r="U49" s="269">
        <f ca="1">(INDEX(OFFSET('Baseline NFPC'!$C$1:$U$1,$D49-1,0),MATCH(U$4,'Baseline NFPC'!$C$10:$U$10,0))/INDEX(OFFSET('Baseline NFPC'!$C$1:$U$1,$D49-1,0),MATCH(T$4,'Baseline NFPC'!$C$10:$U$10,0))-1)*100</f>
        <v>1.4499999999999957</v>
      </c>
      <c r="V49" s="269">
        <f ca="1">(INDEX(OFFSET('Baseline NFPC'!$C$1:$U$1,$D49-1,0),MATCH(V$4,'Baseline NFPC'!$C$10:$U$10,0))/INDEX(OFFSET('Baseline NFPC'!$C$1:$U$1,$D49-1,0),MATCH(U$4,'Baseline NFPC'!$C$10:$U$10,0))-1)*100</f>
        <v>1.6100000000000003</v>
      </c>
      <c r="W49" s="269">
        <f ca="1">(INDEX(OFFSET('Baseline NFPC'!$C$1:$U$1,$D49-1,0),MATCH(W$4,'Baseline NFPC'!$C$10:$U$10,0))/INDEX(OFFSET('Baseline NFPC'!$C$1:$U$1,$D49-1,0),MATCH(V$4,'Baseline NFPC'!$C$10:$U$10,0))-1)*100</f>
        <v>1.6599999999999948</v>
      </c>
      <c r="X49" s="269">
        <f ca="1">(INDEX(OFFSET('Baseline NFPC'!$C$1:$U$1,$D49-1,0),MATCH(X$4,'Baseline NFPC'!$C$10:$U$10,0))/INDEX(OFFSET('Baseline NFPC'!$C$1:$U$1,$D49-1,0),MATCH(W$4,'Baseline NFPC'!$C$10:$U$10,0))-1)*100</f>
        <v>1.7099999999999893</v>
      </c>
      <c r="Y49" s="186"/>
    </row>
    <row r="50" spans="1:25" x14ac:dyDescent="0.2">
      <c r="A50" s="186"/>
      <c r="B50" s="276">
        <v>10</v>
      </c>
      <c r="C50" s="272" t="s">
        <v>154</v>
      </c>
      <c r="D50" s="281">
        <v>23</v>
      </c>
      <c r="E50" s="282" t="s">
        <v>153</v>
      </c>
      <c r="F50" s="269">
        <f ca="1">INDEX(OFFSET('Baseline NFPC'!$C$1:$U$1,$D50-1,0),MATCH(F$4,'Baseline NFPC'!$C$10:$U$10,0))</f>
        <v>1.081005</v>
      </c>
      <c r="G50" s="269">
        <f ca="1">INDEX(OFFSET('Baseline NFPC'!$C$1:$U$1,$D50-1,0),MATCH(G$4,'Baseline NFPC'!$C$10:$U$10,0))</f>
        <v>1.6966699999999999</v>
      </c>
      <c r="H50" s="269">
        <f ca="1">INDEX(OFFSET('Baseline NFPC'!$C$1:$U$1,$D50-1,0),MATCH(H$4,'Baseline NFPC'!$C$10:$U$10,0))</f>
        <v>1.273747</v>
      </c>
      <c r="I50" s="269">
        <f ca="1">INDEX(OFFSET('Baseline NFPC'!$C$1:$U$1,$D50-1,0),MATCH(I$4,'Baseline NFPC'!$C$10:$U$10,0))</f>
        <v>1.5818650000000001</v>
      </c>
      <c r="J50" s="269">
        <f ca="1">INDEX(OFFSET('Baseline NFPC'!$C$1:$U$1,$D50-1,0),MATCH(J$4,'Baseline NFPC'!$C$10:$U$10,0))</f>
        <v>1.5213989999999999</v>
      </c>
      <c r="K50" s="269">
        <f ca="1">INDEX(OFFSET('Baseline NFPC'!$C$1:$U$1,$D50-1,0),MATCH(K$4,'Baseline NFPC'!$C$10:$U$10,0))</f>
        <v>1.41368</v>
      </c>
      <c r="L50" s="269">
        <f ca="1">INDEX(OFFSET('Baseline NFPC'!$C$1:$U$1,$D50-1,0),MATCH(L$4,'Baseline NFPC'!$C$10:$U$10,0))</f>
        <v>1.393831</v>
      </c>
      <c r="M50" s="269">
        <f ca="1">INDEX(OFFSET('Baseline NFPC'!$C$1:$U$1,$D50-1,0),MATCH(M$4,'Baseline NFPC'!$C$10:$U$10,0))</f>
        <v>1.069126</v>
      </c>
      <c r="N50" s="269">
        <f ca="1">INDEX(OFFSET('Baseline NFPC'!$C$1:$U$1,$D50-1,0),MATCH(N$4,'Baseline NFPC'!$C$10:$U$10,0))</f>
        <v>1.0343100000000001</v>
      </c>
      <c r="O50" s="269">
        <f ca="1">INDEX(OFFSET('Baseline NFPC'!$C$1:$U$1,$D50-1,0),MATCH(O$4,'Baseline NFPC'!$C$10:$U$10,0))</f>
        <v>1.0125310000000001</v>
      </c>
      <c r="P50" s="269">
        <f ca="1">INDEX(OFFSET('Baseline NFPC'!$C$1:$U$1,$D50-1,0),MATCH(P$4,'Baseline NFPC'!$C$10:$U$10,0))</f>
        <v>1.0265919999999999</v>
      </c>
      <c r="Q50" s="269">
        <f ca="1">INDEX(OFFSET('Baseline NFPC'!$C$1:$U$1,$D50-1,0),MATCH(Q$4,'Baseline NFPC'!$C$10:$U$10,0))</f>
        <v>1.054951</v>
      </c>
      <c r="R50" s="269">
        <f ca="1">INDEX(OFFSET('Baseline NFPC'!$C$1:$U$1,$D50-1,0),MATCH(R$4,'Baseline NFPC'!$C$10:$U$10,0))</f>
        <v>1.1332990000000001</v>
      </c>
      <c r="S50" s="269">
        <f ca="1">INDEX(OFFSET('Baseline NFPC'!$C$1:$U$1,$D50-1,0),MATCH(S$4,'Baseline NFPC'!$C$10:$U$10,0))</f>
        <v>1.211654</v>
      </c>
      <c r="T50" s="269">
        <f ca="1">INDEX(OFFSET('Baseline NFPC'!$C$1:$U$1,$D50-1,0),MATCH(T$4,'Baseline NFPC'!$C$10:$U$10,0))</f>
        <v>1.290001</v>
      </c>
      <c r="U50" s="269">
        <f ca="1">INDEX(OFFSET('Baseline NFPC'!$C$1:$U$1,$D50-1,0),MATCH(U$4,'Baseline NFPC'!$C$10:$U$10,0))</f>
        <v>1.4500010000000001</v>
      </c>
      <c r="V50" s="269">
        <f ca="1">INDEX(OFFSET('Baseline NFPC'!$C$1:$U$1,$D50-1,0),MATCH(V$4,'Baseline NFPC'!$C$10:$U$10,0))</f>
        <v>1.609996</v>
      </c>
      <c r="W50" s="269">
        <f ca="1">INDEX(OFFSET('Baseline NFPC'!$C$1:$U$1,$D50-1,0),MATCH(W$4,'Baseline NFPC'!$C$10:$U$10,0))</f>
        <v>1.6599950000000001</v>
      </c>
      <c r="X50" s="269">
        <f ca="1">INDEX(OFFSET('Baseline NFPC'!$C$1:$U$1,$D50-1,0),MATCH(X$4,'Baseline NFPC'!$C$10:$U$10,0))</f>
        <v>1.7100040000000001</v>
      </c>
      <c r="Y50" s="186"/>
    </row>
    <row r="51" spans="1:25" x14ac:dyDescent="0.2">
      <c r="A51" s="186"/>
      <c r="B51" s="276">
        <v>11</v>
      </c>
      <c r="C51" s="285" t="s">
        <v>155</v>
      </c>
      <c r="D51" s="281">
        <v>41</v>
      </c>
      <c r="E51" s="282" t="s">
        <v>153</v>
      </c>
      <c r="F51" s="269">
        <f ca="1">INDEX(OFFSET('Baseline NFPC'!$C$1:$U$1,$D51-1,0),MATCH(F$4,'Baseline NFPC'!$C$10:$U$10,0))</f>
        <v>5.7442140000000004</v>
      </c>
      <c r="G51" s="269">
        <f ca="1">INDEX(OFFSET('Baseline NFPC'!$C$1:$U$1,$D51-1,0),MATCH(G$4,'Baseline NFPC'!$C$10:$U$10,0))</f>
        <v>3.1543869999999998</v>
      </c>
      <c r="H51" s="269">
        <f ca="1">INDEX(OFFSET('Baseline NFPC'!$C$1:$U$1,$D51-1,0),MATCH(H$4,'Baseline NFPC'!$C$10:$U$10,0))</f>
        <v>3.262934</v>
      </c>
      <c r="I51" s="269">
        <f ca="1">INDEX(OFFSET('Baseline NFPC'!$C$1:$U$1,$D51-1,0),MATCH(I$4,'Baseline NFPC'!$C$10:$U$10,0))</f>
        <v>2.103313</v>
      </c>
      <c r="J51" s="269">
        <f ca="1">INDEX(OFFSET('Baseline NFPC'!$C$1:$U$1,$D51-1,0),MATCH(J$4,'Baseline NFPC'!$C$10:$U$10,0))</f>
        <v>2.1253988750000001</v>
      </c>
      <c r="K51" s="269">
        <f ca="1">INDEX(OFFSET('Baseline NFPC'!$C$1:$U$1,$D51-1,0),MATCH(K$4,'Baseline NFPC'!$C$10:$U$10,0))</f>
        <v>2.1474847499999998</v>
      </c>
      <c r="L51" s="269">
        <f ca="1">INDEX(OFFSET('Baseline NFPC'!$C$1:$U$1,$D51-1,0),MATCH(L$4,'Baseline NFPC'!$C$10:$U$10,0))</f>
        <v>2.169570625</v>
      </c>
      <c r="M51" s="269">
        <f ca="1">INDEX(OFFSET('Baseline NFPC'!$C$1:$U$1,$D51-1,0),MATCH(M$4,'Baseline NFPC'!$C$10:$U$10,0))</f>
        <v>2.1916564999999997</v>
      </c>
      <c r="N51" s="269">
        <f ca="1">INDEX(OFFSET('Baseline NFPC'!$C$1:$U$1,$D51-1,0),MATCH(N$4,'Baseline NFPC'!$C$10:$U$10,0))</f>
        <v>2.2137423749999998</v>
      </c>
      <c r="O51" s="269">
        <f ca="1">INDEX(OFFSET('Baseline NFPC'!$C$1:$U$1,$D51-1,0),MATCH(O$4,'Baseline NFPC'!$C$10:$U$10,0))</f>
        <v>2.23582825</v>
      </c>
      <c r="P51" s="269">
        <f ca="1">INDEX(OFFSET('Baseline NFPC'!$C$1:$U$1,$D51-1,0),MATCH(P$4,'Baseline NFPC'!$C$10:$U$10,0))</f>
        <v>2.2579141249999997</v>
      </c>
      <c r="Q51" s="269">
        <f ca="1">INDEX(OFFSET('Baseline NFPC'!$C$1:$U$1,$D51-1,0),MATCH(Q$4,'Baseline NFPC'!$C$10:$U$10,0))</f>
        <v>2.2799999999999998</v>
      </c>
      <c r="R51" s="269">
        <f ca="1">INDEX(OFFSET('Baseline NFPC'!$C$1:$U$1,$D51-1,0),MATCH(R$4,'Baseline NFPC'!$C$10:$U$10,0))</f>
        <v>2.266</v>
      </c>
      <c r="S51" s="269">
        <f ca="1">INDEX(OFFSET('Baseline NFPC'!$C$1:$U$1,$D51-1,0),MATCH(S$4,'Baseline NFPC'!$C$10:$U$10,0))</f>
        <v>2.2519999999999998</v>
      </c>
      <c r="T51" s="269">
        <f ca="1">INDEX(OFFSET('Baseline NFPC'!$C$1:$U$1,$D51-1,0),MATCH(T$4,'Baseline NFPC'!$C$10:$U$10,0))</f>
        <v>2.238</v>
      </c>
      <c r="U51" s="269">
        <f ca="1">INDEX(OFFSET('Baseline NFPC'!$C$1:$U$1,$D51-1,0),MATCH(U$4,'Baseline NFPC'!$C$10:$U$10,0))</f>
        <v>2.2239999999999998</v>
      </c>
      <c r="V51" s="269">
        <f ca="1">INDEX(OFFSET('Baseline NFPC'!$C$1:$U$1,$D51-1,0),MATCH(V$4,'Baseline NFPC'!$C$10:$U$10,0))</f>
        <v>2.21</v>
      </c>
      <c r="W51" s="269">
        <f ca="1">INDEX(OFFSET('Baseline NFPC'!$C$1:$U$1,$D51-1,0),MATCH(W$4,'Baseline NFPC'!$C$10:$U$10,0))</f>
        <v>2.1959999999999997</v>
      </c>
      <c r="X51" s="269">
        <f ca="1">INDEX(OFFSET('Baseline NFPC'!$C$1:$U$1,$D51-1,0),MATCH(X$4,'Baseline NFPC'!$C$10:$U$10,0))</f>
        <v>2.1819999999999999</v>
      </c>
      <c r="Y51" s="186"/>
    </row>
    <row r="52" spans="1:25" x14ac:dyDescent="0.2">
      <c r="A52" s="186"/>
      <c r="B52" s="276">
        <v>12</v>
      </c>
      <c r="C52" s="272" t="s">
        <v>156</v>
      </c>
      <c r="D52" s="281">
        <v>32</v>
      </c>
      <c r="E52" s="282" t="s">
        <v>153</v>
      </c>
      <c r="F52" s="269">
        <f ca="1">INDEX(OFFSET('Baseline NFPC'!$C$1:$U$1,$D52-1,0),MATCH(F$4,'Baseline NFPC'!$C$10:$U$10,0))</f>
        <v>6.8873142405506904</v>
      </c>
      <c r="G52" s="269">
        <f ca="1">INDEX(OFFSET('Baseline NFPC'!$C$1:$U$1,$D52-1,0),MATCH(G$4,'Baseline NFPC'!$C$10:$U$10,0))</f>
        <v>4.9045765379128969</v>
      </c>
      <c r="H52" s="269">
        <f ca="1">INDEX(OFFSET('Baseline NFPC'!$C$1:$U$1,$D52-1,0),MATCH(H$4,'Baseline NFPC'!$C$10:$U$10,0))</f>
        <v>4.5782425239369706</v>
      </c>
      <c r="I52" s="269">
        <f ca="1">INDEX(OFFSET('Baseline NFPC'!$C$1:$U$1,$D52-1,0),MATCH(I$4,'Baseline NFPC'!$C$10:$U$10,0))</f>
        <v>3.7184495721874322</v>
      </c>
      <c r="J52" s="269">
        <f ca="1">INDEX(OFFSET('Baseline NFPC'!$C$1:$U$1,$D52-1,0),MATCH(J$4,'Baseline NFPC'!$C$10:$U$10,0))</f>
        <v>3.6791336722302503</v>
      </c>
      <c r="K52" s="269">
        <f ca="1">INDEX(OFFSET('Baseline NFPC'!$C$1:$U$1,$D52-1,0),MATCH(K$4,'Baseline NFPC'!$C$10:$U$10,0))</f>
        <v>3.5915233124137913</v>
      </c>
      <c r="L52" s="269">
        <f ca="1">INDEX(OFFSET('Baseline NFPC'!$C$1:$U$1,$D52-1,0),MATCH(L$4,'Baseline NFPC'!$C$10:$U$10,0))</f>
        <v>3.5936417729381498</v>
      </c>
      <c r="M52" s="269">
        <f ca="1">INDEX(OFFSET('Baseline NFPC'!$C$1:$U$1,$D52-1,0),MATCH(M$4,'Baseline NFPC'!$C$10:$U$10,0))</f>
        <v>3.2842140694721911</v>
      </c>
      <c r="N52" s="269">
        <f ca="1">INDEX(OFFSET('Baseline NFPC'!$C$1:$U$1,$D52-1,0),MATCH(N$4,'Baseline NFPC'!$C$10:$U$10,0))</f>
        <v>3.2709493337588658</v>
      </c>
      <c r="O52" s="269">
        <f ca="1">INDEX(OFFSET('Baseline NFPC'!$C$1:$U$1,$D52-1,0),MATCH(O$4,'Baseline NFPC'!$C$10:$U$10,0))</f>
        <v>3.2709977041380123</v>
      </c>
      <c r="P52" s="269">
        <f ca="1">INDEX(OFFSET('Baseline NFPC'!$C$1:$U$1,$D52-1,0),MATCH(P$4,'Baseline NFPC'!$C$10:$U$10,0))</f>
        <v>3.3076856907741092</v>
      </c>
      <c r="Q52" s="269">
        <f ca="1">INDEX(OFFSET('Baseline NFPC'!$C$1:$U$1,$D52-1,0),MATCH(Q$4,'Baseline NFPC'!$C$10:$U$10,0))</f>
        <v>3.3590038827999935</v>
      </c>
      <c r="R52" s="269">
        <f ca="1">INDEX(OFFSET('Baseline NFPC'!$C$1:$U$1,$D52-1,0),MATCH(R$4,'Baseline NFPC'!$C$10:$U$10,0))</f>
        <v>3.424979555340002</v>
      </c>
      <c r="S52" s="269">
        <f ca="1">INDEX(OFFSET('Baseline NFPC'!$C$1:$U$1,$D52-1,0),MATCH(S$4,'Baseline NFPC'!$C$10:$U$10,0))</f>
        <v>3.4909404480800266</v>
      </c>
      <c r="T52" s="269">
        <f ca="1">INDEX(OFFSET('Baseline NFPC'!$C$1:$U$1,$D52-1,0),MATCH(T$4,'Baseline NFPC'!$C$10:$U$10,0))</f>
        <v>3.5568712223800203</v>
      </c>
      <c r="U52" s="269">
        <f ca="1">INDEX(OFFSET('Baseline NFPC'!$C$1:$U$1,$D52-1,0),MATCH(U$4,'Baseline NFPC'!$C$10:$U$10,0))</f>
        <v>3.7062490222399935</v>
      </c>
      <c r="V52" s="269">
        <f ca="1">INDEX(OFFSET('Baseline NFPC'!$C$1:$U$1,$D52-1,0),MATCH(V$4,'Baseline NFPC'!$C$10:$U$10,0))</f>
        <v>3.8555769116000116</v>
      </c>
      <c r="W52" s="269">
        <f ca="1">INDEX(OFFSET('Baseline NFPC'!$C$1:$U$1,$D52-1,0),MATCH(W$4,'Baseline NFPC'!$C$10:$U$10,0))</f>
        <v>3.8924484902000067</v>
      </c>
      <c r="X52" s="269">
        <f ca="1">INDEX(OFFSET('Baseline NFPC'!$C$1:$U$1,$D52-1,0),MATCH(X$4,'Baseline NFPC'!$C$10:$U$10,0))</f>
        <v>3.9293162872799936</v>
      </c>
      <c r="Y52" s="186"/>
    </row>
    <row r="53" spans="1:25" x14ac:dyDescent="0.2">
      <c r="A53" s="186"/>
      <c r="B53" s="276">
        <v>13</v>
      </c>
      <c r="C53" s="272" t="s">
        <v>46</v>
      </c>
      <c r="D53" s="271"/>
      <c r="E53" s="282" t="s">
        <v>150</v>
      </c>
      <c r="F53" s="288">
        <f>'Input data'!$C$49</f>
        <v>0.6</v>
      </c>
      <c r="G53" s="186"/>
      <c r="H53" s="186"/>
      <c r="I53" s="186"/>
      <c r="J53" s="186"/>
      <c r="K53" s="186"/>
      <c r="L53" s="186"/>
      <c r="M53" s="186"/>
      <c r="N53" s="186"/>
      <c r="O53" s="186"/>
      <c r="P53" s="186"/>
      <c r="Q53" s="186"/>
      <c r="R53" s="186"/>
      <c r="S53" s="186"/>
      <c r="T53" s="186"/>
      <c r="U53" s="186"/>
      <c r="V53" s="186"/>
      <c r="W53" s="186"/>
      <c r="X53" s="186"/>
      <c r="Y53" s="186"/>
    </row>
    <row r="54" spans="1:25" x14ac:dyDescent="0.2">
      <c r="A54" s="186"/>
      <c r="B54" s="270"/>
      <c r="C54" s="291"/>
      <c r="D54" s="291"/>
      <c r="E54" s="291"/>
      <c r="F54" s="291"/>
      <c r="G54" s="291"/>
      <c r="H54" s="291"/>
      <c r="I54" s="291"/>
      <c r="J54" s="291"/>
      <c r="K54" s="186"/>
      <c r="L54" s="186"/>
      <c r="M54" s="186"/>
      <c r="N54" s="186"/>
      <c r="O54" s="186"/>
      <c r="P54" s="186"/>
      <c r="Q54" s="186"/>
      <c r="R54" s="186"/>
      <c r="S54" s="186"/>
      <c r="T54" s="186"/>
      <c r="U54" s="186"/>
      <c r="V54" s="186"/>
      <c r="W54" s="186"/>
      <c r="X54" s="186"/>
      <c r="Y54" s="186"/>
    </row>
    <row r="55" spans="1:25" x14ac:dyDescent="0.2">
      <c r="A55" s="186"/>
      <c r="B55" s="292"/>
      <c r="C55" s="274" t="s">
        <v>162</v>
      </c>
      <c r="D55" s="275"/>
      <c r="E55" s="275"/>
      <c r="F55" s="275"/>
      <c r="G55" s="291"/>
      <c r="H55" s="291"/>
      <c r="I55" s="291"/>
      <c r="J55" s="291"/>
      <c r="K55" s="186"/>
      <c r="L55" s="186"/>
      <c r="M55" s="186"/>
      <c r="N55" s="186"/>
      <c r="O55" s="186"/>
      <c r="P55" s="186"/>
      <c r="Q55" s="186"/>
      <c r="R55" s="186"/>
      <c r="S55" s="186"/>
      <c r="T55" s="186"/>
      <c r="U55" s="186"/>
      <c r="V55" s="186"/>
      <c r="W55" s="186"/>
      <c r="X55" s="186"/>
      <c r="Y55" s="186"/>
    </row>
    <row r="56" spans="1:25" x14ac:dyDescent="0.2">
      <c r="A56" s="186"/>
      <c r="B56" s="270"/>
      <c r="C56" s="291"/>
      <c r="D56" s="291"/>
      <c r="E56" s="291"/>
      <c r="F56" s="291"/>
      <c r="G56" s="291"/>
      <c r="H56" s="291"/>
      <c r="I56" s="291"/>
      <c r="J56" s="291"/>
      <c r="K56" s="186"/>
      <c r="L56" s="186"/>
      <c r="M56" s="186"/>
      <c r="N56" s="186"/>
      <c r="O56" s="186"/>
      <c r="P56" s="186"/>
      <c r="Q56" s="186"/>
      <c r="R56" s="186"/>
      <c r="S56" s="186"/>
      <c r="T56" s="186"/>
      <c r="U56" s="186"/>
      <c r="V56" s="186"/>
      <c r="W56" s="186"/>
      <c r="X56" s="186"/>
      <c r="Y56" s="186"/>
    </row>
    <row r="57" spans="1:25" x14ac:dyDescent="0.2">
      <c r="A57" s="186"/>
      <c r="B57" s="276"/>
      <c r="C57" s="274"/>
      <c r="D57" s="274"/>
      <c r="E57" s="279"/>
      <c r="F57" s="279">
        <f>'Input data'!$C$5-1</f>
        <v>2024</v>
      </c>
      <c r="G57" s="279">
        <f>F57+1</f>
        <v>2025</v>
      </c>
      <c r="H57" s="279">
        <f t="shared" ref="H57:X57" si="2">G57+1</f>
        <v>2026</v>
      </c>
      <c r="I57" s="279">
        <f t="shared" si="2"/>
        <v>2027</v>
      </c>
      <c r="J57" s="279">
        <f t="shared" si="2"/>
        <v>2028</v>
      </c>
      <c r="K57" s="279">
        <f t="shared" si="2"/>
        <v>2029</v>
      </c>
      <c r="L57" s="279">
        <f t="shared" si="2"/>
        <v>2030</v>
      </c>
      <c r="M57" s="279">
        <f t="shared" si="2"/>
        <v>2031</v>
      </c>
      <c r="N57" s="279">
        <f t="shared" si="2"/>
        <v>2032</v>
      </c>
      <c r="O57" s="279">
        <f t="shared" si="2"/>
        <v>2033</v>
      </c>
      <c r="P57" s="279">
        <f t="shared" si="2"/>
        <v>2034</v>
      </c>
      <c r="Q57" s="279">
        <f t="shared" si="2"/>
        <v>2035</v>
      </c>
      <c r="R57" s="279">
        <f t="shared" si="2"/>
        <v>2036</v>
      </c>
      <c r="S57" s="279">
        <f t="shared" si="2"/>
        <v>2037</v>
      </c>
      <c r="T57" s="279">
        <f t="shared" si="2"/>
        <v>2038</v>
      </c>
      <c r="U57" s="279">
        <f t="shared" si="2"/>
        <v>2039</v>
      </c>
      <c r="V57" s="279">
        <f t="shared" si="2"/>
        <v>2040</v>
      </c>
      <c r="W57" s="279">
        <f t="shared" si="2"/>
        <v>2041</v>
      </c>
      <c r="X57" s="279">
        <f t="shared" si="2"/>
        <v>2042</v>
      </c>
      <c r="Y57" s="186"/>
    </row>
    <row r="58" spans="1:25" x14ac:dyDescent="0.2">
      <c r="A58" s="186"/>
      <c r="B58" s="276">
        <v>1</v>
      </c>
      <c r="C58" s="280" t="s">
        <v>143</v>
      </c>
      <c r="D58" s="281">
        <v>92</v>
      </c>
      <c r="E58" s="282" t="s">
        <v>144</v>
      </c>
      <c r="F58" s="269">
        <f ca="1">INDEX(OFFSET('Adjust. no safeguard'!$C$1:$U$1,$D58-1,0),MATCH(F$4,'Adjust. no safeguard'!$C$10:$U$10,0))</f>
        <v>43.748150000000003</v>
      </c>
      <c r="G58" s="269">
        <f ca="1">INDEX(OFFSET('Adjust. no safeguard'!$C$1:$U$1,$D58-1,0),MATCH(G$4,'Adjust. no safeguard'!$C$10:$U$10,0))</f>
        <v>45.157610209173967</v>
      </c>
      <c r="H58" s="269">
        <f ca="1">INDEX(OFFSET('Adjust. no safeguard'!$C$1:$U$1,$D58-1,0),MATCH(H$4,'Adjust. no safeguard'!$C$10:$U$10,0))</f>
        <v>47.855642054642026</v>
      </c>
      <c r="I58" s="269">
        <f ca="1">INDEX(OFFSET('Adjust. no safeguard'!$C$1:$U$1,$D58-1,0),MATCH(I$4,'Adjust. no safeguard'!$C$10:$U$10,0))</f>
        <v>48.033965608153046</v>
      </c>
      <c r="J58" s="269">
        <f ca="1">INDEX(OFFSET('Adjust. no safeguard'!$C$1:$U$1,$D58-1,0),MATCH(J$4,'Adjust. no safeguard'!$C$10:$U$10,0))</f>
        <v>48.12578226681989</v>
      </c>
      <c r="K58" s="269">
        <f ca="1">INDEX(OFFSET('Adjust. no safeguard'!$C$1:$U$1,$D58-1,0),MATCH(K$4,'Adjust. no safeguard'!$C$10:$U$10,0))</f>
        <v>48.154705551272073</v>
      </c>
      <c r="L58" s="269">
        <f ca="1">INDEX(OFFSET('Adjust. no safeguard'!$C$1:$U$1,$D58-1,0),MATCH(L$4,'Adjust. no safeguard'!$C$10:$U$10,0))</f>
        <v>48.18622235109752</v>
      </c>
      <c r="M58" s="269">
        <f ca="1">INDEX(OFFSET('Adjust. no safeguard'!$C$1:$U$1,$D58-1,0),MATCH(M$4,'Adjust. no safeguard'!$C$10:$U$10,0))</f>
        <v>48.729285298066223</v>
      </c>
      <c r="N58" s="269">
        <f ca="1">INDEX(OFFSET('Adjust. no safeguard'!$C$1:$U$1,$D58-1,0),MATCH(N$4,'Adjust. no safeguard'!$C$10:$U$10,0))</f>
        <v>49.548166196568637</v>
      </c>
      <c r="O58" s="269">
        <f ca="1">INDEX(OFFSET('Adjust. no safeguard'!$C$1:$U$1,$D58-1,0),MATCH(O$4,'Adjust. no safeguard'!$C$10:$U$10,0))</f>
        <v>50.539002871263342</v>
      </c>
      <c r="P58" s="269">
        <f ca="1">INDEX(OFFSET('Adjust. no safeguard'!$C$1:$U$1,$D58-1,0),MATCH(P$4,'Adjust. no safeguard'!$C$10:$U$10,0))</f>
        <v>51.686398089832345</v>
      </c>
      <c r="Q58" s="269">
        <f ca="1">INDEX(OFFSET('Adjust. no safeguard'!$C$1:$U$1,$D58-1,0),MATCH(Q$4,'Adjust. no safeguard'!$C$10:$U$10,0))</f>
        <v>52.985086338873032</v>
      </c>
      <c r="R58" s="269">
        <f ca="1">INDEX(OFFSET('Adjust. no safeguard'!$C$1:$U$1,$D58-1,0),MATCH(R$4,'Adjust. no safeguard'!$C$10:$U$10,0))</f>
        <v>54.512962000816763</v>
      </c>
      <c r="S58" s="269">
        <f ca="1">INDEX(OFFSET('Adjust. no safeguard'!$C$1:$U$1,$D58-1,0),MATCH(S$4,'Adjust. no safeguard'!$C$10:$U$10,0))</f>
        <v>56.263150499881888</v>
      </c>
      <c r="T58" s="269">
        <f ca="1">INDEX(OFFSET('Adjust. no safeguard'!$C$1:$U$1,$D58-1,0),MATCH(T$4,'Adjust. no safeguard'!$C$10:$U$10,0))</f>
        <v>58.028967813281085</v>
      </c>
      <c r="U58" s="269">
        <f ca="1">INDEX(OFFSET('Adjust. no safeguard'!$C$1:$U$1,$D58-1,0),MATCH(U$4,'Adjust. no safeguard'!$C$10:$U$10,0))</f>
        <v>59.856799381305358</v>
      </c>
      <c r="V58" s="269">
        <f ca="1">INDEX(OFFSET('Adjust. no safeguard'!$C$1:$U$1,$D58-1,0),MATCH(V$4,'Adjust. no safeguard'!$C$10:$U$10,0))</f>
        <v>61.737616779284551</v>
      </c>
      <c r="W58" s="269">
        <f ca="1">INDEX(OFFSET('Adjust. no safeguard'!$C$1:$U$1,$D58-1,0),MATCH(W$4,'Adjust. no safeguard'!$C$10:$U$10,0))</f>
        <v>63.829034273843504</v>
      </c>
      <c r="X58" s="269">
        <f ca="1">INDEX(OFFSET('Adjust. no safeguard'!$C$1:$U$1,$D58-1,0),MATCH(X$4,'Adjust. no safeguard'!$C$10:$U$10,0))</f>
        <v>65.925992759855731</v>
      </c>
      <c r="Y58" s="186"/>
    </row>
    <row r="59" spans="1:25" x14ac:dyDescent="0.2">
      <c r="A59" s="186"/>
      <c r="B59" s="276">
        <f>B58+1</f>
        <v>2</v>
      </c>
      <c r="C59" s="283" t="s">
        <v>95</v>
      </c>
      <c r="D59" s="281">
        <v>94</v>
      </c>
      <c r="E59" s="282" t="s">
        <v>144</v>
      </c>
      <c r="F59" s="269">
        <f ca="1">INDEX(OFFSET('Adjust. no safeguard'!$C$1:$U$1,$D59-1,0),MATCH(F$4,'Adjust. no safeguard'!$C$10:$U$10,0))</f>
        <v>0</v>
      </c>
      <c r="G59" s="269">
        <f ca="1">INDEX(OFFSET('Adjust. no safeguard'!$C$1:$U$1,$D59-1,0),MATCH(G$4,'Adjust. no safeguard'!$C$10:$U$10,0))</f>
        <v>3.5884993103512319</v>
      </c>
      <c r="H59" s="269">
        <f ca="1">INDEX(OFFSET('Adjust. no safeguard'!$C$1:$U$1,$D59-1,0),MATCH(H$4,'Adjust. no safeguard'!$C$10:$U$10,0))</f>
        <v>2.2949334919658271</v>
      </c>
      <c r="I59" s="269">
        <f ca="1">INDEX(OFFSET('Adjust. no safeguard'!$C$1:$U$1,$D59-1,0),MATCH(I$4,'Adjust. no safeguard'!$C$10:$U$10,0))</f>
        <v>2.5911314173359576</v>
      </c>
      <c r="J59" s="269">
        <f ca="1">INDEX(OFFSET('Adjust. no safeguard'!$C$1:$U$1,$D59-1,0),MATCH(J$4,'Adjust. no safeguard'!$C$10:$U$10,0))</f>
        <v>2.742982522501987</v>
      </c>
      <c r="K59" s="269">
        <f ca="1">INDEX(OFFSET('Adjust. no safeguard'!$C$1:$U$1,$D59-1,0),MATCH(K$4,'Adjust. no safeguard'!$C$10:$U$10,0))</f>
        <v>2.8921390202263879</v>
      </c>
      <c r="L59" s="269">
        <f ca="1">INDEX(OFFSET('Adjust. no safeguard'!$C$1:$U$1,$D59-1,0),MATCH(L$4,'Adjust. no safeguard'!$C$10:$U$10,0))</f>
        <v>3.035485517810192</v>
      </c>
      <c r="M59" s="269">
        <f ca="1">INDEX(OFFSET('Adjust. no safeguard'!$C$1:$U$1,$D59-1,0),MATCH(M$4,'Adjust. no safeguard'!$C$10:$U$10,0))</f>
        <v>3.1886931881849239</v>
      </c>
      <c r="N59" s="269">
        <f ca="1">INDEX(OFFSET('Adjust. no safeguard'!$C$1:$U$1,$D59-1,0),MATCH(N$4,'Adjust. no safeguard'!$C$10:$U$10,0))</f>
        <v>3.3684977259599238</v>
      </c>
      <c r="O59" s="269">
        <f ca="1">INDEX(OFFSET('Adjust. no safeguard'!$C$1:$U$1,$D59-1,0),MATCH(O$4,'Adjust. no safeguard'!$C$10:$U$10,0))</f>
        <v>3.5707470835050517</v>
      </c>
      <c r="P59" s="269">
        <f ca="1">INDEX(OFFSET('Adjust. no safeguard'!$C$1:$U$1,$D59-1,0),MATCH(P$4,'Adjust. no safeguard'!$C$10:$U$10,0))</f>
        <v>3.7892160183701251</v>
      </c>
      <c r="Q59" s="269">
        <f ca="1">INDEX(OFFSET('Adjust. no safeguard'!$C$1:$U$1,$D59-1,0),MATCH(Q$4,'Adjust. no safeguard'!$C$10:$U$10,0))</f>
        <v>4.0248310892392336</v>
      </c>
      <c r="R59" s="269">
        <f ca="1">INDEX(OFFSET('Adjust. no safeguard'!$C$1:$U$1,$D59-1,0),MATCH(R$4,'Adjust. no safeguard'!$C$10:$U$10,0))</f>
        <v>4.1215473992846539</v>
      </c>
      <c r="S59" s="269">
        <f ca="1">INDEX(OFFSET('Adjust. no safeguard'!$C$1:$U$1,$D59-1,0),MATCH(S$4,'Adjust. no safeguard'!$C$10:$U$10,0))</f>
        <v>4.235842348886897</v>
      </c>
      <c r="T59" s="269">
        <f ca="1">INDEX(OFFSET('Adjust. no safeguard'!$C$1:$U$1,$D59-1,0),MATCH(T$4,'Adjust. no safeguard'!$C$10:$U$10,0))</f>
        <v>4.3671536338371943</v>
      </c>
      <c r="U59" s="269">
        <f ca="1">INDEX(OFFSET('Adjust. no safeguard'!$C$1:$U$1,$D59-1,0),MATCH(U$4,'Adjust. no safeguard'!$C$10:$U$10,0))</f>
        <v>4.4958975686518468</v>
      </c>
      <c r="V59" s="269">
        <f ca="1">INDEX(OFFSET('Adjust. no safeguard'!$C$1:$U$1,$D59-1,0),MATCH(V$4,'Adjust. no safeguard'!$C$10:$U$10,0))</f>
        <v>4.6290378774100462</v>
      </c>
      <c r="W59" s="269">
        <f ca="1">INDEX(OFFSET('Adjust. no safeguard'!$C$1:$U$1,$D59-1,0),MATCH(W$4,'Adjust. no safeguard'!$C$10:$U$10,0))</f>
        <v>4.7710218684241363</v>
      </c>
      <c r="X59" s="269">
        <f ca="1">INDEX(OFFSET('Adjust. no safeguard'!$C$1:$U$1,$D59-1,0),MATCH(X$4,'Adjust. no safeguard'!$C$10:$U$10,0))</f>
        <v>4.9291166242598647</v>
      </c>
      <c r="Y59" s="186"/>
    </row>
    <row r="60" spans="1:25" x14ac:dyDescent="0.2">
      <c r="A60" s="186"/>
      <c r="B60" s="276">
        <f t="shared" ref="B60:B62" si="3">B59+1</f>
        <v>3</v>
      </c>
      <c r="C60" s="283" t="s">
        <v>96</v>
      </c>
      <c r="D60" s="281">
        <v>95</v>
      </c>
      <c r="E60" s="282" t="s">
        <v>144</v>
      </c>
      <c r="F60" s="269">
        <f ca="1">INDEX(OFFSET('Adjust. no safeguard'!$C$1:$U$1,$D60-1,0),MATCH(F$4,'Adjust. no safeguard'!$C$10:$U$10,0))</f>
        <v>0</v>
      </c>
      <c r="G60" s="269">
        <f ca="1">INDEX(OFFSET('Adjust. no safeguard'!$C$1:$U$1,$D60-1,0),MATCH(G$4,'Adjust. no safeguard'!$C$10:$U$10,0))</f>
        <v>3.6736521009082228</v>
      </c>
      <c r="H60" s="269">
        <f ca="1">INDEX(OFFSET('Adjust. no safeguard'!$C$1:$U$1,$D60-1,0),MATCH(H$4,'Adjust. no safeguard'!$C$10:$U$10,0))</f>
        <v>3.5826776167406504</v>
      </c>
      <c r="I60" s="269">
        <f ca="1">INDEX(OFFSET('Adjust. no safeguard'!$C$1:$U$1,$D60-1,0),MATCH(I$4,'Adjust. no safeguard'!$C$10:$U$10,0))</f>
        <v>3.8779057246737025</v>
      </c>
      <c r="J60" s="269">
        <f ca="1">INDEX(OFFSET('Adjust. no safeguard'!$C$1:$U$1,$D60-1,0),MATCH(J$4,'Adjust. no safeguard'!$C$10:$U$10,0))</f>
        <v>3.9120079322629686</v>
      </c>
      <c r="K60" s="269">
        <f ca="1">INDEX(OFFSET('Adjust. no safeguard'!$C$1:$U$1,$D60-1,0),MATCH(K$4,'Adjust. no safeguard'!$C$10:$U$10,0))</f>
        <v>3.9393730923489869</v>
      </c>
      <c r="L60" s="269">
        <f ca="1">INDEX(OFFSET('Adjust. no safeguard'!$C$1:$U$1,$D60-1,0),MATCH(L$4,'Adjust. no safeguard'!$C$10:$U$10,0))</f>
        <v>3.9567353846139603</v>
      </c>
      <c r="M60" s="269">
        <f ca="1">INDEX(OFFSET('Adjust. no safeguard'!$C$1:$U$1,$D60-1,0),MATCH(M$4,'Adjust. no safeguard'!$C$10:$U$10,0))</f>
        <v>3.9858133206627948</v>
      </c>
      <c r="N60" s="269">
        <f ca="1">INDEX(OFFSET('Adjust. no safeguard'!$C$1:$U$1,$D60-1,0),MATCH(N$4,'Adjust. no safeguard'!$C$10:$U$10,0))</f>
        <v>4.048458350228552</v>
      </c>
      <c r="O60" s="269">
        <f ca="1">INDEX(OFFSET('Adjust. no safeguard'!$C$1:$U$1,$D60-1,0),MATCH(O$4,'Adjust. no safeguard'!$C$10:$U$10,0))</f>
        <v>4.1352420364593874</v>
      </c>
      <c r="P60" s="269">
        <f ca="1">INDEX(OFFSET('Adjust. no safeguard'!$C$1:$U$1,$D60-1,0),MATCH(P$4,'Adjust. no safeguard'!$C$10:$U$10,0))</f>
        <v>4.2357861260657534</v>
      </c>
      <c r="Q60" s="269">
        <f ca="1">INDEX(OFFSET('Adjust. no safeguard'!$C$1:$U$1,$D60-1,0),MATCH(Q$4,'Adjust. no safeguard'!$C$10:$U$10,0))</f>
        <v>4.3496318348087426</v>
      </c>
      <c r="R60" s="269">
        <f ca="1">INDEX(OFFSET('Adjust. no safeguard'!$C$1:$U$1,$D60-1,0),MATCH(R$4,'Adjust. no safeguard'!$C$10:$U$10,0))</f>
        <v>4.4762792177128565</v>
      </c>
      <c r="S60" s="269">
        <f ca="1">INDEX(OFFSET('Adjust. no safeguard'!$C$1:$U$1,$D60-1,0),MATCH(S$4,'Adjust. no safeguard'!$C$10:$U$10,0))</f>
        <v>4.6234209879205279</v>
      </c>
      <c r="T60" s="269">
        <f ca="1">INDEX(OFFSET('Adjust. no safeguard'!$C$1:$U$1,$D60-1,0),MATCH(T$4,'Adjust. no safeguard'!$C$10:$U$10,0))</f>
        <v>4.790385841373813</v>
      </c>
      <c r="U60" s="269">
        <f ca="1">INDEX(OFFSET('Adjust. no safeguard'!$C$1:$U$1,$D60-1,0),MATCH(U$4,'Adjust. no safeguard'!$C$10:$U$10,0))</f>
        <v>4.954388300114922</v>
      </c>
      <c r="V60" s="269">
        <f ca="1">INDEX(OFFSET('Adjust. no safeguard'!$C$1:$U$1,$D60-1,0),MATCH(V$4,'Adjust. no safeguard'!$C$10:$U$10,0))</f>
        <v>5.1235857050007043</v>
      </c>
      <c r="W60" s="269">
        <f ca="1">INDEX(OFFSET('Adjust. no safeguard'!$C$1:$U$1,$D60-1,0),MATCH(W$4,'Adjust. no safeguard'!$C$10:$U$10,0))</f>
        <v>5.3028378374230059</v>
      </c>
      <c r="X60" s="269">
        <f ca="1">INDEX(OFFSET('Adjust. no safeguard'!$C$1:$U$1,$D60-1,0),MATCH(X$4,'Adjust. no safeguard'!$C$10:$U$10,0))</f>
        <v>5.5007020509516362</v>
      </c>
      <c r="Y60" s="186"/>
    </row>
    <row r="61" spans="1:25" x14ac:dyDescent="0.2">
      <c r="A61" s="186"/>
      <c r="B61" s="276">
        <f t="shared" si="3"/>
        <v>4</v>
      </c>
      <c r="C61" s="283" t="s">
        <v>97</v>
      </c>
      <c r="D61" s="281">
        <v>96</v>
      </c>
      <c r="E61" s="282" t="s">
        <v>144</v>
      </c>
      <c r="F61" s="269">
        <f ca="1">INDEX(OFFSET('Adjust. no safeguard'!$C$1:$U$1,$D61-1,0),MATCH(F$4,'Adjust. no safeguard'!$C$10:$U$10,0))</f>
        <v>0</v>
      </c>
      <c r="G61" s="269">
        <f ca="1">INDEX(OFFSET('Adjust. no safeguard'!$C$1:$U$1,$D61-1,0),MATCH(G$4,'Adjust. no safeguard'!$C$10:$U$10,0))</f>
        <v>0.80738171377187484</v>
      </c>
      <c r="H61" s="269">
        <f ca="1">INDEX(OFFSET('Adjust. no safeguard'!$C$1:$U$1,$D61-1,0),MATCH(H$4,'Adjust. no safeguard'!$C$10:$U$10,0))</f>
        <v>4.2355222313175842</v>
      </c>
      <c r="I61" s="269">
        <f ca="1">INDEX(OFFSET('Adjust. no safeguard'!$C$1:$U$1,$D61-1,0),MATCH(I$4,'Adjust. no safeguard'!$C$10:$U$10,0))</f>
        <v>1.7159887781380934</v>
      </c>
      <c r="J61" s="269">
        <f ca="1">INDEX(OFFSET('Adjust. no safeguard'!$C$1:$U$1,$D61-1,0),MATCH(J$4,'Adjust. no safeguard'!$C$10:$U$10,0))</f>
        <v>1.6274901498748815</v>
      </c>
      <c r="K61" s="269">
        <f ca="1">INDEX(OFFSET('Adjust. no safeguard'!$C$1:$U$1,$D61-1,0),MATCH(K$4,'Adjust. no safeguard'!$C$10:$U$10,0))</f>
        <v>1.5378933831447361</v>
      </c>
      <c r="L61" s="269">
        <f ca="1">INDEX(OFFSET('Adjust. no safeguard'!$C$1:$U$1,$D61-1,0),MATCH(L$4,'Adjust. no safeguard'!$C$10:$U$10,0))</f>
        <v>1.5420128889294278</v>
      </c>
      <c r="M61" s="269">
        <f ca="1">INDEX(OFFSET('Adjust. no safeguard'!$C$1:$U$1,$D61-1,0),MATCH(M$4,'Adjust. no safeguard'!$C$10:$U$10,0))</f>
        <v>1.8802122907173011</v>
      </c>
      <c r="N61" s="269">
        <f ca="1">INDEX(OFFSET('Adjust. no safeguard'!$C$1:$U$1,$D61-1,0),MATCH(N$4,'Adjust. no safeguard'!$C$10:$U$10,0))</f>
        <v>2.1402591047792772</v>
      </c>
      <c r="O61" s="269">
        <f ca="1">INDEX(OFFSET('Adjust. no safeguard'!$C$1:$U$1,$D61-1,0),MATCH(O$4,'Adjust. no safeguard'!$C$10:$U$10,0))</f>
        <v>2.3195709302576368</v>
      </c>
      <c r="P61" s="269">
        <f ca="1">INDEX(OFFSET('Adjust. no safeguard'!$C$1:$U$1,$D61-1,0),MATCH(P$4,'Adjust. no safeguard'!$C$10:$U$10,0))</f>
        <v>2.5055933202621614</v>
      </c>
      <c r="Q61" s="269">
        <f ca="1">INDEX(OFFSET('Adjust. no safeguard'!$C$1:$U$1,$D61-1,0),MATCH(Q$4,'Adjust. no safeguard'!$C$10:$U$10,0))</f>
        <v>2.6984552733890057</v>
      </c>
      <c r="R61" s="269">
        <f ca="1">INDEX(OFFSET('Adjust. no safeguard'!$C$1:$U$1,$D61-1,0),MATCH(R$4,'Adjust. no safeguard'!$C$10:$U$10,0))</f>
        <v>2.973965586151972</v>
      </c>
      <c r="S61" s="269">
        <f ca="1">INDEX(OFFSET('Adjust. no safeguard'!$C$1:$U$1,$D61-1,0),MATCH(S$4,'Adjust. no safeguard'!$C$10:$U$10,0))</f>
        <v>3.25165862017132</v>
      </c>
      <c r="T61" s="269">
        <f ca="1">INDEX(OFFSET('Adjust. no safeguard'!$C$1:$U$1,$D61-1,0),MATCH(T$4,'Adjust. no safeguard'!$C$10:$U$10,0))</f>
        <v>3.3506651459915164</v>
      </c>
      <c r="U61" s="269">
        <f ca="1">INDEX(OFFSET('Adjust. no safeguard'!$C$1:$U$1,$D61-1,0),MATCH(U$4,'Adjust. no safeguard'!$C$10:$U$10,0))</f>
        <v>3.5349268825850104</v>
      </c>
      <c r="V61" s="269">
        <f ca="1">INDEX(OFFSET('Adjust. no safeguard'!$C$1:$U$1,$D61-1,0),MATCH(V$4,'Adjust. no safeguard'!$C$10:$U$10,0))</f>
        <v>3.7173033343820201</v>
      </c>
      <c r="W61" s="269">
        <f ca="1">INDEX(OFFSET('Adjust. no safeguard'!$C$1:$U$1,$D61-1,0),MATCH(W$4,'Adjust. no safeguard'!$C$10:$U$10,0))</f>
        <v>3.9904831780697796</v>
      </c>
      <c r="X61" s="269">
        <f ca="1">INDEX(OFFSET('Adjust. no safeguard'!$C$1:$U$1,$D61-1,0),MATCH(X$4,'Adjust. no safeguard'!$C$10:$U$10,0))</f>
        <v>4.0862411379376073</v>
      </c>
      <c r="Y61" s="186"/>
    </row>
    <row r="62" spans="1:25" x14ac:dyDescent="0.2">
      <c r="A62" s="186"/>
      <c r="B62" s="276">
        <f t="shared" si="3"/>
        <v>5</v>
      </c>
      <c r="C62" s="283" t="s">
        <v>98</v>
      </c>
      <c r="D62" s="281">
        <v>97</v>
      </c>
      <c r="E62" s="282" t="s">
        <v>144</v>
      </c>
      <c r="F62" s="269">
        <f ca="1">INDEX(OFFSET('Adjust. no safeguard'!$C$1:$U$1,$D62-1,0),MATCH(F$4,'Adjust. no safeguard'!$C$10:$U$10,0))</f>
        <v>0</v>
      </c>
      <c r="G62" s="269">
        <f ca="1">INDEX(OFFSET('Adjust. no safeguard'!$C$1:$U$1,$D62-1,0),MATCH(G$4,'Adjust. no safeguard'!$C$10:$U$10,0))</f>
        <v>7.3048800586333146E-2</v>
      </c>
      <c r="H62" s="269">
        <f ca="1">INDEX(OFFSET('Adjust. no safeguard'!$C$1:$U$1,$D62-1,0),MATCH(H$4,'Adjust. no safeguard'!$C$10:$U$10,0))</f>
        <v>0.43942647897241915</v>
      </c>
      <c r="I62" s="269">
        <f ca="1">INDEX(OFFSET('Adjust. no safeguard'!$C$1:$U$1,$D62-1,0),MATCH(I$4,'Adjust. no safeguard'!$C$10:$U$10,0))</f>
        <v>0.1780302086854674</v>
      </c>
      <c r="J62" s="269">
        <f ca="1">INDEX(OFFSET('Adjust. no safeguard'!$C$1:$U$1,$D62-1,0),MATCH(J$4,'Adjust. no safeguard'!$C$10:$U$10,0))</f>
        <v>0.16884866306069216</v>
      </c>
      <c r="K62" s="269">
        <f ca="1">INDEX(OFFSET('Adjust. no safeguard'!$C$1:$U$1,$D62-1,0),MATCH(K$4,'Adjust. no safeguard'!$C$10:$U$10,0))</f>
        <v>0.15955318789108283</v>
      </c>
      <c r="L62" s="269">
        <f ca="1">INDEX(OFFSET('Adjust. no safeguard'!$C$1:$U$1,$D62-1,0),MATCH(L$4,'Adjust. no safeguard'!$C$10:$U$10,0))</f>
        <v>0.15998057790893913</v>
      </c>
      <c r="M62" s="269">
        <f ca="1">INDEX(OFFSET('Adjust. no safeguard'!$C$1:$U$1,$D62-1,0),MATCH(M$4,'Adjust. no safeguard'!$C$10:$U$10,0))</f>
        <v>0.19506805100006558</v>
      </c>
      <c r="N62" s="269">
        <f ca="1">INDEX(OFFSET('Adjust. no safeguard'!$C$1:$U$1,$D62-1,0),MATCH(N$4,'Adjust. no safeguard'!$C$10:$U$10,0))</f>
        <v>0.22204735830397318</v>
      </c>
      <c r="O62" s="269">
        <f ca="1">INDEX(OFFSET('Adjust. no safeguard'!$C$1:$U$1,$D62-1,0),MATCH(O$4,'Adjust. no safeguard'!$C$10:$U$10,0))</f>
        <v>0.24065058119003538</v>
      </c>
      <c r="P62" s="269">
        <f ca="1">INDEX(OFFSET('Adjust. no safeguard'!$C$1:$U$1,$D62-1,0),MATCH(P$4,'Adjust. no safeguard'!$C$10:$U$10,0))</f>
        <v>0.25995001096171994</v>
      </c>
      <c r="Q62" s="269">
        <f ca="1">INDEX(OFFSET('Adjust. no safeguard'!$C$1:$U$1,$D62-1,0),MATCH(Q$4,'Adjust. no safeguard'!$C$10:$U$10,0))</f>
        <v>0.2799590309507165</v>
      </c>
      <c r="R62" s="269">
        <f ca="1">INDEX(OFFSET('Adjust. no safeguard'!$C$1:$U$1,$D62-1,0),MATCH(R$4,'Adjust. no safeguard'!$C$10:$U$10,0))</f>
        <v>0.30854264356000716</v>
      </c>
      <c r="S62" s="269">
        <f ca="1">INDEX(OFFSET('Adjust. no safeguard'!$C$1:$U$1,$D62-1,0),MATCH(S$4,'Adjust. no safeguard'!$C$10:$U$10,0))</f>
        <v>0.33735270888607927</v>
      </c>
      <c r="T62" s="269">
        <f ca="1">INDEX(OFFSET('Adjust. no safeguard'!$C$1:$U$1,$D62-1,0),MATCH(T$4,'Adjust. no safeguard'!$C$10:$U$10,0))</f>
        <v>0.34762442667208815</v>
      </c>
      <c r="U62" s="269">
        <f ca="1">INDEX(OFFSET('Adjust. no safeguard'!$C$1:$U$1,$D62-1,0),MATCH(U$4,'Adjust. no safeguard'!$C$10:$U$10,0))</f>
        <v>0.36674119237383129</v>
      </c>
      <c r="V62" s="269">
        <f ca="1">INDEX(OFFSET('Adjust. no safeguard'!$C$1:$U$1,$D62-1,0),MATCH(V$4,'Adjust. no safeguard'!$C$10:$U$10,0))</f>
        <v>0.38566236376282259</v>
      </c>
      <c r="W62" s="269">
        <f ca="1">INDEX(OFFSET('Adjust. no safeguard'!$C$1:$U$1,$D62-1,0),MATCH(W$4,'Adjust. no safeguard'!$C$10:$U$10,0))</f>
        <v>0.41400419513141989</v>
      </c>
      <c r="X62" s="269">
        <f ca="1">INDEX(OFFSET('Adjust. no safeguard'!$C$1:$U$1,$D62-1,0),MATCH(X$4,'Adjust. no safeguard'!$C$10:$U$10,0))</f>
        <v>0.4239388810662903</v>
      </c>
      <c r="Y62" s="186"/>
    </row>
    <row r="63" spans="1:25" x14ac:dyDescent="0.2">
      <c r="A63" s="186"/>
      <c r="B63" s="186"/>
      <c r="C63" s="186"/>
      <c r="D63" s="186"/>
      <c r="E63" s="186"/>
      <c r="F63" s="186"/>
      <c r="G63" s="186"/>
      <c r="H63" s="186"/>
      <c r="I63" s="186"/>
      <c r="J63" s="186"/>
      <c r="K63" s="186"/>
      <c r="L63" s="186"/>
      <c r="M63" s="186"/>
      <c r="N63" s="186"/>
      <c r="O63" s="186"/>
      <c r="P63" s="186"/>
      <c r="Q63" s="186"/>
      <c r="R63" s="186"/>
      <c r="S63" s="186"/>
      <c r="T63" s="186"/>
      <c r="U63" s="186"/>
      <c r="V63" s="186"/>
      <c r="W63" s="186"/>
      <c r="X63" s="186"/>
      <c r="Y63" s="186"/>
    </row>
  </sheetData>
  <conditionalFormatting sqref="V4:X63">
    <cfRule type="expression" dxfId="1" priority="1">
      <formula>#REF!=4</formula>
    </cfRule>
  </conditionalFormatting>
  <pageMargins left="0.7" right="0.7" top="0.75" bottom="0.75" header="0.3" footer="0.3"/>
  <pageSetup paperSize="9" orientation="portrait" verticalDpi="0" r:id="rId1"/>
  <ignoredErrors>
    <ignoredError sqref="F15:X21 F37:X59" formula="1"/>
  </ignoredErrors>
  <extLst>
    <ext xmlns:x14="http://schemas.microsoft.com/office/spreadsheetml/2009/9/main" uri="{78C0D931-6437-407d-A8EE-F0AAD7539E65}">
      <x14:conditionalFormattings>
        <x14:conditionalFormatting xmlns:xm="http://schemas.microsoft.com/office/excel/2006/main">
          <x14:cfRule type="expression" priority="2" id="{453C3D5C-4594-4EBA-A371-1F9FAC65D259}">
            <xm:f>'Criteria results'!$F$5=4</xm:f>
            <x14:dxf>
              <font>
                <color theme="0"/>
              </font>
              <fill>
                <patternFill>
                  <bgColor theme="0"/>
                </patternFill>
              </fill>
            </x14:dxf>
          </x14:cfRule>
          <xm:sqref>V4:X63</xm:sqref>
        </x14:conditionalFormatting>
      </x14:conditionalFormatting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21D7CDCA61137D46922835CA98C0641D" ma:contentTypeVersion="8" ma:contentTypeDescription="Create a new document." ma:contentTypeScope="" ma:versionID="6659297bf1036fa7eae64cf0e7c2fac9">
  <xsd:schema xmlns:xsd="http://www.w3.org/2001/XMLSchema" xmlns:xs="http://www.w3.org/2001/XMLSchema" xmlns:p="http://schemas.microsoft.com/office/2006/metadata/properties" xmlns:ns2="b29b9b01-a41b-4cdd-ba34-21bb9c415350" xmlns:ns3="150bf796-665d-42d8-bec5-8541ade97521" targetNamespace="http://schemas.microsoft.com/office/2006/metadata/properties" ma:root="true" ma:fieldsID="9a4b96746bcdbed031cdc5f86c6e749b" ns2:_="" ns3:_="">
    <xsd:import namespace="b29b9b01-a41b-4cdd-ba34-21bb9c415350"/>
    <xsd:import namespace="150bf796-665d-42d8-bec5-8541ade97521"/>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29b9b01-a41b-4cdd-ba34-21bb9c41535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ObjectDetectorVersions" ma:index="14" nillable="true" ma:displayName="MediaServiceObjectDetectorVersions" ma:hidden="true" ma:indexed="true" ma:internalName="MediaServiceObjectDetectorVersions" ma:readOnly="true">
      <xsd:simpleType>
        <xsd:restriction base="dms:Text"/>
      </xsd:simpleType>
    </xsd:element>
    <xsd:element name="MediaServiceSearchProperties" ma:index="1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50bf796-665d-42d8-bec5-8541ade97521"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69BE971-F562-4B09-A9E1-668BAAF5447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29b9b01-a41b-4cdd-ba34-21bb9c415350"/>
    <ds:schemaRef ds:uri="150bf796-665d-42d8-bec5-8541ade9752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DDE1AD19-26CE-486A-AEF9-44A7210D2685}">
  <ds:schemaRefs>
    <ds:schemaRef ds:uri="http://schemas.microsoft.com/office/2006/metadata/properties"/>
    <ds:schemaRef ds:uri="b29b9b01-a41b-4cdd-ba34-21bb9c415350"/>
    <ds:schemaRef ds:uri="http://purl.org/dc/terms/"/>
    <ds:schemaRef ds:uri="http://purl.org/dc/elements/1.1/"/>
    <ds:schemaRef ds:uri="http://schemas.openxmlformats.org/package/2006/metadata/core-properties"/>
    <ds:schemaRef ds:uri="http://purl.org/dc/dcmitype/"/>
    <ds:schemaRef ds:uri="http://schemas.microsoft.com/office/2006/documentManagement/types"/>
    <ds:schemaRef ds:uri="http://schemas.microsoft.com/office/infopath/2007/PartnerControls"/>
    <ds:schemaRef ds:uri="150bf796-665d-42d8-bec5-8541ade97521"/>
    <ds:schemaRef ds:uri="http://www.w3.org/XML/1998/namespace"/>
  </ds:schemaRefs>
</ds:datastoreItem>
</file>

<file path=customXml/itemProps3.xml><?xml version="1.0" encoding="utf-8"?>
<ds:datastoreItem xmlns:ds="http://schemas.openxmlformats.org/officeDocument/2006/customXml" ds:itemID="{7D5379F7-D4E7-4A0C-87B7-761C7833B493}">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Read me</vt:lpstr>
      <vt:lpstr>Criteria results</vt:lpstr>
      <vt:lpstr>Input data</vt:lpstr>
      <vt:lpstr>Baseline NFPC</vt:lpstr>
      <vt:lpstr>Adjustment scenario</vt:lpstr>
      <vt:lpstr>Adjust. no safeguard</vt:lpstr>
      <vt:lpstr>FASTOP reporting</vt:lpstr>
      <vt:lpstr>FASTOP rep. no safeguard</vt:lpstr>
    </vt:vector>
  </TitlesOfParts>
  <Manager/>
  <Company>European Commission</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SAIL Etienne (ECFIN)</dc:creator>
  <cp:keywords/>
  <dc:description/>
  <cp:lastModifiedBy>HUDECZ Andras (ECFIN)</cp:lastModifiedBy>
  <cp:revision/>
  <dcterms:created xsi:type="dcterms:W3CDTF">2013-04-12T08:50:12Z</dcterms:created>
  <dcterms:modified xsi:type="dcterms:W3CDTF">2026-02-11T08:32:34Z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6bd9ddd1-4d20-43f6-abfa-fc3c07406f94_Enabled">
    <vt:lpwstr>true</vt:lpwstr>
  </property>
  <property fmtid="{D5CDD505-2E9C-101B-9397-08002B2CF9AE}" pid="3" name="MSIP_Label_6bd9ddd1-4d20-43f6-abfa-fc3c07406f94_SetDate">
    <vt:lpwstr>2023-01-31T12:59:42Z</vt:lpwstr>
  </property>
  <property fmtid="{D5CDD505-2E9C-101B-9397-08002B2CF9AE}" pid="4" name="MSIP_Label_6bd9ddd1-4d20-43f6-abfa-fc3c07406f94_Method">
    <vt:lpwstr>Privileged</vt:lpwstr>
  </property>
  <property fmtid="{D5CDD505-2E9C-101B-9397-08002B2CF9AE}" pid="5" name="MSIP_Label_6bd9ddd1-4d20-43f6-abfa-fc3c07406f94_Name">
    <vt:lpwstr>Commission Use</vt:lpwstr>
  </property>
  <property fmtid="{D5CDD505-2E9C-101B-9397-08002B2CF9AE}" pid="6" name="MSIP_Label_6bd9ddd1-4d20-43f6-abfa-fc3c07406f94_SiteId">
    <vt:lpwstr>b24c8b06-522c-46fe-9080-70926f8dddb1</vt:lpwstr>
  </property>
  <property fmtid="{D5CDD505-2E9C-101B-9397-08002B2CF9AE}" pid="7" name="MSIP_Label_6bd9ddd1-4d20-43f6-abfa-fc3c07406f94_ActionId">
    <vt:lpwstr>b0fa60c5-7b78-4404-9a0b-188770adde17</vt:lpwstr>
  </property>
  <property fmtid="{D5CDD505-2E9C-101B-9397-08002B2CF9AE}" pid="8" name="MSIP_Label_6bd9ddd1-4d20-43f6-abfa-fc3c07406f94_ContentBits">
    <vt:lpwstr>0</vt:lpwstr>
  </property>
  <property fmtid="{D5CDD505-2E9C-101B-9397-08002B2CF9AE}" pid="9" name="ContentTypeId">
    <vt:lpwstr>0x01010021D7CDCA61137D46922835CA98C0641D</vt:lpwstr>
  </property>
</Properties>
</file>