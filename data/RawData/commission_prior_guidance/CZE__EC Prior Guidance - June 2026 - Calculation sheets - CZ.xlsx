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U:\SUSTAINABILITY\EU Fiscal Framework - Production\Outputs\SF26 - ALL\SF26_finalstorage\prior guidance\"/>
    </mc:Choice>
  </mc:AlternateContent>
  <xr:revisionPtr revIDLastSave="0" documentId="13_ncr:1_{94719657-F9B7-46FA-97D6-B9BF83F413F3}" xr6:coauthVersionLast="47" xr6:coauthVersionMax="47" xr10:uidLastSave="{00000000-0000-0000-0000-000000000000}"/>
  <bookViews>
    <workbookView xWindow="-120" yWindow="-120" windowWidth="29040" windowHeight="15720" tabRatio="788" firstSheet="1" activeTab="3" xr2:uid="{00000000-000D-0000-FFFF-FFFF00000000}"/>
  </bookViews>
  <sheets>
    <sheet name="Read me" sheetId="37" r:id="rId1"/>
    <sheet name="Criteria results" sheetId="35" r:id="rId2"/>
    <sheet name="Prior guidance" sheetId="45" r:id="rId3"/>
    <sheet name="Input data" sheetId="8" r:id="rId4"/>
    <sheet name="Baseline NFPC" sheetId="9" r:id="rId5"/>
    <sheet name="Adjustment scenario" sheetId="21" r:id="rId6"/>
    <sheet name="Adjust. no safeguard" sheetId="40" r:id="rId7"/>
    <sheet name="FASTOP reporting" sheetId="44" r:id="rId8"/>
    <sheet name="FASTOP rep. no safeguard" sheetId="4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40" l="1"/>
  <c r="E104" i="40"/>
  <c r="F104" i="40"/>
  <c r="G104" i="40"/>
  <c r="H104" i="40"/>
  <c r="I104" i="40"/>
  <c r="J104" i="40"/>
  <c r="K104" i="40"/>
  <c r="L104" i="40"/>
  <c r="M104" i="40"/>
  <c r="N104" i="40"/>
  <c r="O104" i="40"/>
  <c r="P104" i="40"/>
  <c r="Q104" i="40"/>
  <c r="R104" i="40"/>
  <c r="S104" i="40"/>
  <c r="T104" i="40"/>
  <c r="U104" i="40"/>
  <c r="C7" i="40"/>
  <c r="C6" i="40"/>
  <c r="C6" i="8"/>
  <c r="C6" i="9"/>
  <c r="C91" i="40" l="1"/>
  <c r="D91" i="40" s="1"/>
  <c r="E91" i="40" s="1"/>
  <c r="F91" i="40" s="1"/>
  <c r="G91" i="40" s="1"/>
  <c r="H91" i="40" s="1"/>
  <c r="I91" i="40" s="1"/>
  <c r="J91" i="40" s="1"/>
  <c r="K91" i="40" s="1"/>
  <c r="L91" i="40" s="1"/>
  <c r="M91" i="40" s="1"/>
  <c r="N91" i="40" s="1"/>
  <c r="O91" i="40" s="1"/>
  <c r="P91" i="40" s="1"/>
  <c r="Q91" i="40" s="1"/>
  <c r="R91" i="40" s="1"/>
  <c r="S91" i="40" s="1"/>
  <c r="T91" i="40" s="1"/>
  <c r="U91" i="40" s="1"/>
  <c r="C56" i="40"/>
  <c r="D56" i="40" s="1"/>
  <c r="E56" i="40" s="1"/>
  <c r="F56" i="40" s="1"/>
  <c r="G56" i="40" s="1"/>
  <c r="H56" i="40" s="1"/>
  <c r="I56" i="40" s="1"/>
  <c r="J56" i="40" s="1"/>
  <c r="K56" i="40" s="1"/>
  <c r="L56" i="40" s="1"/>
  <c r="M56" i="40" s="1"/>
  <c r="N56" i="40" s="1"/>
  <c r="O56" i="40" s="1"/>
  <c r="P56" i="40" s="1"/>
  <c r="Q56" i="40" s="1"/>
  <c r="R56" i="40" s="1"/>
  <c r="S56" i="40" s="1"/>
  <c r="T56" i="40" s="1"/>
  <c r="U56" i="40" s="1"/>
  <c r="C10" i="40"/>
  <c r="D10" i="40" s="1"/>
  <c r="E10" i="40" s="1"/>
  <c r="F10" i="40" s="1"/>
  <c r="G10" i="40" s="1"/>
  <c r="H10" i="40" s="1"/>
  <c r="I10" i="40" s="1"/>
  <c r="J10" i="40" s="1"/>
  <c r="K10" i="40" s="1"/>
  <c r="L10" i="40" s="1"/>
  <c r="M10" i="40" s="1"/>
  <c r="N10" i="40" s="1"/>
  <c r="O10" i="40" s="1"/>
  <c r="P10" i="40" s="1"/>
  <c r="Q10" i="40" s="1"/>
  <c r="R10" i="40" s="1"/>
  <c r="S10" i="40" s="1"/>
  <c r="T10" i="40" s="1"/>
  <c r="U10" i="40" s="1"/>
  <c r="C89" i="21"/>
  <c r="D89" i="21" s="1"/>
  <c r="E89" i="21" s="1"/>
  <c r="F89" i="21" s="1"/>
  <c r="G89" i="21" s="1"/>
  <c r="H89" i="21" s="1"/>
  <c r="I89" i="21" s="1"/>
  <c r="J89" i="21" s="1"/>
  <c r="K89" i="21" s="1"/>
  <c r="L89" i="21" s="1"/>
  <c r="M89" i="21" s="1"/>
  <c r="N89" i="21" s="1"/>
  <c r="O89" i="21" s="1"/>
  <c r="P89" i="21" s="1"/>
  <c r="Q89" i="21" s="1"/>
  <c r="R89" i="21" s="1"/>
  <c r="S89" i="21" s="1"/>
  <c r="T89" i="21" s="1"/>
  <c r="U89" i="21" s="1"/>
  <c r="C56" i="21"/>
  <c r="D56" i="21" s="1"/>
  <c r="E56" i="21" s="1"/>
  <c r="F56" i="21" s="1"/>
  <c r="G56" i="21" s="1"/>
  <c r="H56" i="21" s="1"/>
  <c r="I56" i="21" s="1"/>
  <c r="J56" i="21" s="1"/>
  <c r="K56" i="21" s="1"/>
  <c r="L56" i="21" s="1"/>
  <c r="M56" i="21" s="1"/>
  <c r="N56" i="21" s="1"/>
  <c r="O56" i="21" s="1"/>
  <c r="P56" i="21" s="1"/>
  <c r="Q56" i="21" s="1"/>
  <c r="R56" i="21" s="1"/>
  <c r="S56" i="21" s="1"/>
  <c r="T56" i="21" s="1"/>
  <c r="U56" i="21" s="1"/>
  <c r="C10" i="21"/>
  <c r="D10" i="21" s="1"/>
  <c r="E10" i="21" s="1"/>
  <c r="C86" i="9"/>
  <c r="D86" i="9" s="1"/>
  <c r="E86" i="9" s="1"/>
  <c r="F86" i="9" s="1"/>
  <c r="G86" i="9" s="1"/>
  <c r="H86" i="9" s="1"/>
  <c r="I86" i="9" s="1"/>
  <c r="J86" i="9" s="1"/>
  <c r="K86" i="9" s="1"/>
  <c r="L86" i="9" s="1"/>
  <c r="M86" i="9" s="1"/>
  <c r="N86" i="9" s="1"/>
  <c r="O86" i="9" s="1"/>
  <c r="P86" i="9" s="1"/>
  <c r="Q86" i="9" s="1"/>
  <c r="R86" i="9" s="1"/>
  <c r="S86" i="9" s="1"/>
  <c r="T86" i="9" s="1"/>
  <c r="U86" i="9" s="1"/>
  <c r="C55" i="9"/>
  <c r="D55" i="9" s="1"/>
  <c r="E55" i="9" s="1"/>
  <c r="F55" i="9" s="1"/>
  <c r="G55" i="9" s="1"/>
  <c r="H55" i="9" s="1"/>
  <c r="I55" i="9" s="1"/>
  <c r="J55" i="9" s="1"/>
  <c r="K55" i="9" s="1"/>
  <c r="L55" i="9" s="1"/>
  <c r="M55" i="9" s="1"/>
  <c r="N55" i="9" s="1"/>
  <c r="O55" i="9" s="1"/>
  <c r="P55" i="9" s="1"/>
  <c r="Q55" i="9" s="1"/>
  <c r="R55" i="9" s="1"/>
  <c r="S55" i="9" s="1"/>
  <c r="T55" i="9" s="1"/>
  <c r="U55" i="9" s="1"/>
  <c r="C10" i="9"/>
  <c r="G24" i="35"/>
  <c r="H24" i="35" s="1"/>
  <c r="I24" i="35" s="1"/>
  <c r="J24" i="35" s="1"/>
  <c r="K24" i="35" s="1"/>
  <c r="L24" i="35" s="1"/>
  <c r="M24" i="35" s="1"/>
  <c r="G17" i="35"/>
  <c r="H17" i="35" s="1"/>
  <c r="I17" i="35" s="1"/>
  <c r="J17" i="35" s="1"/>
  <c r="K17" i="35" s="1"/>
  <c r="L17" i="35" s="1"/>
  <c r="M17" i="35" s="1"/>
  <c r="F10" i="21" l="1"/>
  <c r="D10" i="9"/>
  <c r="E10" i="9"/>
  <c r="F10" i="9" s="1"/>
  <c r="G10" i="9" s="1"/>
  <c r="H10" i="9" s="1"/>
  <c r="I10" i="9" s="1"/>
  <c r="J10" i="9" s="1"/>
  <c r="K10" i="9" s="1"/>
  <c r="L10" i="9" s="1"/>
  <c r="M10" i="9" s="1"/>
  <c r="N10" i="9" s="1"/>
  <c r="O10" i="9" s="1"/>
  <c r="P10" i="9" s="1"/>
  <c r="Q10" i="9" s="1"/>
  <c r="R10" i="9" s="1"/>
  <c r="S10" i="9" s="1"/>
  <c r="T10" i="9" s="1"/>
  <c r="U10" i="9" s="1"/>
  <c r="G10" i="21" l="1"/>
  <c r="H10" i="21" l="1"/>
  <c r="B59" i="49"/>
  <c r="B60" i="49" s="1"/>
  <c r="B61" i="49" s="1"/>
  <c r="B62" i="49" s="1"/>
  <c r="F57" i="49"/>
  <c r="G57" i="49" s="1"/>
  <c r="H57" i="49" s="1"/>
  <c r="I57" i="49" s="1"/>
  <c r="J57" i="49" s="1"/>
  <c r="K57" i="49" s="1"/>
  <c r="L57" i="49" s="1"/>
  <c r="M57" i="49" s="1"/>
  <c r="N57" i="49" s="1"/>
  <c r="O57" i="49" s="1"/>
  <c r="P57" i="49" s="1"/>
  <c r="Q57" i="49" s="1"/>
  <c r="R57" i="49" s="1"/>
  <c r="S57" i="49" s="1"/>
  <c r="T57" i="49" s="1"/>
  <c r="U57" i="49" s="1"/>
  <c r="V57" i="49" s="1"/>
  <c r="W57" i="49" s="1"/>
  <c r="X57" i="49" s="1"/>
  <c r="F53" i="49"/>
  <c r="F40" i="49"/>
  <c r="G40" i="49" s="1"/>
  <c r="H40" i="49" s="1"/>
  <c r="I40" i="49" s="1"/>
  <c r="J40" i="49" s="1"/>
  <c r="K40" i="49" s="1"/>
  <c r="L40" i="49" s="1"/>
  <c r="M40" i="49" s="1"/>
  <c r="N40" i="49" s="1"/>
  <c r="O40" i="49" s="1"/>
  <c r="P40" i="49" s="1"/>
  <c r="Q40" i="49" s="1"/>
  <c r="R40" i="49" s="1"/>
  <c r="S40" i="49" s="1"/>
  <c r="T40" i="49" s="1"/>
  <c r="U40" i="49" s="1"/>
  <c r="V40" i="49" s="1"/>
  <c r="W40" i="49" s="1"/>
  <c r="X40" i="49" s="1"/>
  <c r="E29" i="49"/>
  <c r="F4" i="49"/>
  <c r="I10" i="21" l="1"/>
  <c r="F14" i="49"/>
  <c r="F45" i="49"/>
  <c r="F44" i="49"/>
  <c r="F8" i="49"/>
  <c r="F10" i="49"/>
  <c r="E26" i="49"/>
  <c r="E4" i="49"/>
  <c r="E22" i="49"/>
  <c r="G4" i="49"/>
  <c r="J10" i="21" l="1"/>
  <c r="H4" i="49"/>
  <c r="K10" i="21" l="1"/>
  <c r="I4" i="49"/>
  <c r="L10" i="21" l="1"/>
  <c r="M10" i="21" s="1"/>
  <c r="N10" i="21" s="1"/>
  <c r="O10" i="21" s="1"/>
  <c r="P10" i="21" s="1"/>
  <c r="Q10" i="21" s="1"/>
  <c r="R10" i="21" s="1"/>
  <c r="S10" i="21" s="1"/>
  <c r="T10" i="21" s="1"/>
  <c r="U10" i="21" s="1"/>
  <c r="J4" i="49"/>
  <c r="K4" i="49" l="1"/>
  <c r="L4" i="49" l="1"/>
  <c r="M4" i="49" l="1"/>
  <c r="N4" i="49" l="1"/>
  <c r="O4" i="49" l="1"/>
  <c r="P4" i="49" l="1"/>
  <c r="Q4" i="49" l="1"/>
  <c r="R4" i="49" l="1"/>
  <c r="S4" i="49" l="1"/>
  <c r="T4" i="49" l="1"/>
  <c r="U4" i="49" l="1"/>
  <c r="V4" i="49" l="1"/>
  <c r="W4" i="49" l="1"/>
  <c r="X4" i="49" l="1"/>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B59" i="44"/>
  <c r="B60" i="44" s="1"/>
  <c r="B61" i="44" s="1"/>
  <c r="B62" i="44" s="1"/>
  <c r="G4" i="44" l="1"/>
  <c r="H4" i="44" s="1"/>
  <c r="I4" i="44" s="1"/>
  <c r="J4" i="44" s="1"/>
  <c r="K4" i="44" s="1"/>
  <c r="L4" i="44" s="1"/>
  <c r="M4" i="44" s="1"/>
  <c r="N4" i="44" s="1"/>
  <c r="O4" i="44" s="1"/>
  <c r="P4" i="44" s="1"/>
  <c r="Q4" i="44" s="1"/>
  <c r="R4" i="44" s="1"/>
  <c r="S4" i="44" s="1"/>
  <c r="T4" i="44" s="1"/>
  <c r="U4" i="44" s="1"/>
  <c r="V4" i="44" s="1"/>
  <c r="W4" i="44" s="1"/>
  <c r="X4" i="44" s="1"/>
  <c r="F14" i="44"/>
  <c r="F10" i="44"/>
  <c r="F45" i="44"/>
  <c r="F8" i="44"/>
  <c r="F44" i="44"/>
  <c r="E4" i="44"/>
  <c r="E22" i="44"/>
  <c r="E26" i="44"/>
  <c r="E29" i="44"/>
  <c r="E35" i="49" l="1"/>
  <c r="E35" i="44" l="1"/>
  <c r="C47" i="40"/>
  <c r="B17" i="40"/>
  <c r="C5" i="40"/>
  <c r="B5" i="40"/>
  <c r="O102" i="21" l="1"/>
  <c r="S102" i="21"/>
  <c r="H102" i="21"/>
  <c r="T102" i="21"/>
  <c r="G102" i="21"/>
  <c r="I102" i="21"/>
  <c r="J102" i="21"/>
  <c r="L102" i="21"/>
  <c r="M102" i="21"/>
  <c r="N102" i="21"/>
  <c r="P102" i="21"/>
  <c r="U102" i="21"/>
  <c r="K102" i="21"/>
  <c r="Q102" i="21"/>
  <c r="R102" i="21"/>
  <c r="E102" i="21"/>
  <c r="F102" i="21"/>
  <c r="H64" i="40"/>
  <c r="D65" i="40"/>
  <c r="H65" i="40" l="1"/>
  <c r="G65" i="40"/>
  <c r="F65" i="40"/>
  <c r="E65" i="40"/>
  <c r="G64" i="40"/>
  <c r="F64" i="40"/>
  <c r="E64" i="40"/>
  <c r="D64" i="40"/>
  <c r="I11" i="35" l="1"/>
  <c r="B5" i="21" l="1"/>
  <c r="B5" i="9"/>
  <c r="G99" i="9" l="1"/>
  <c r="H99" i="9"/>
  <c r="I99" i="9"/>
  <c r="J99" i="9"/>
  <c r="K99" i="9"/>
  <c r="L99" i="9"/>
  <c r="M99" i="9"/>
  <c r="N99" i="9"/>
  <c r="O99" i="9"/>
  <c r="P99" i="9"/>
  <c r="Q99" i="9"/>
  <c r="R99" i="9"/>
  <c r="S99" i="9"/>
  <c r="T99" i="9"/>
  <c r="U99" i="9"/>
  <c r="F99" i="9"/>
  <c r="E99" i="9" l="1"/>
  <c r="B17" i="21" l="1"/>
  <c r="B16" i="9"/>
  <c r="C48" i="40" l="1"/>
  <c r="O23" i="9"/>
  <c r="P23" i="9"/>
  <c r="Q23" i="9"/>
  <c r="R23" i="9"/>
  <c r="S23" i="9"/>
  <c r="T23" i="9"/>
  <c r="U23" i="9"/>
  <c r="G23" i="9"/>
  <c r="H23" i="9"/>
  <c r="I23" i="9"/>
  <c r="J23" i="9"/>
  <c r="L23" i="9"/>
  <c r="N23" i="9"/>
  <c r="K23" i="9"/>
  <c r="M23" i="9"/>
  <c r="C42" i="40"/>
  <c r="F17" i="49" s="1"/>
  <c r="O72" i="40"/>
  <c r="R14" i="49" s="1"/>
  <c r="D15" i="40"/>
  <c r="D73" i="40" s="1"/>
  <c r="N72" i="40"/>
  <c r="Q14" i="49" s="1"/>
  <c r="S15" i="40"/>
  <c r="S73" i="40" s="1"/>
  <c r="C15" i="40"/>
  <c r="M72" i="40"/>
  <c r="P14" i="49" s="1"/>
  <c r="L72" i="40"/>
  <c r="O14" i="49" s="1"/>
  <c r="K72" i="40"/>
  <c r="N14" i="49" s="1"/>
  <c r="O15" i="40"/>
  <c r="O73" i="40" s="1"/>
  <c r="D14" i="40"/>
  <c r="G9" i="49" s="1"/>
  <c r="M15" i="40"/>
  <c r="M73" i="40" s="1"/>
  <c r="L15" i="40"/>
  <c r="L73" i="40" s="1"/>
  <c r="G19" i="40"/>
  <c r="D36" i="40"/>
  <c r="G13" i="49" s="1"/>
  <c r="S72" i="40"/>
  <c r="V14" i="49" s="1"/>
  <c r="C36" i="40"/>
  <c r="F13" i="49" s="1"/>
  <c r="R15" i="40"/>
  <c r="R73" i="40" s="1"/>
  <c r="Q15" i="40"/>
  <c r="Q73" i="40" s="1"/>
  <c r="D37" i="40"/>
  <c r="G11" i="49" s="1"/>
  <c r="P15" i="40"/>
  <c r="P73" i="40" s="1"/>
  <c r="E14" i="40"/>
  <c r="H9" i="49" s="1"/>
  <c r="C37" i="40"/>
  <c r="F11" i="49" s="1"/>
  <c r="J72" i="40"/>
  <c r="M14" i="49" s="1"/>
  <c r="H19" i="40"/>
  <c r="K15" i="40"/>
  <c r="K73" i="40" s="1"/>
  <c r="J15" i="40"/>
  <c r="J73" i="40" s="1"/>
  <c r="T72" i="40"/>
  <c r="W14" i="49" s="1"/>
  <c r="E19" i="40"/>
  <c r="H15" i="40"/>
  <c r="H73" i="40" s="1"/>
  <c r="D19" i="40"/>
  <c r="I72" i="40"/>
  <c r="L14" i="49" s="1"/>
  <c r="N15" i="40"/>
  <c r="N73" i="40" s="1"/>
  <c r="C14" i="40"/>
  <c r="F9" i="49" s="1"/>
  <c r="H72" i="40"/>
  <c r="K14" i="49" s="1"/>
  <c r="G72" i="40"/>
  <c r="J14" i="49" s="1"/>
  <c r="F72" i="40"/>
  <c r="I14" i="49" s="1"/>
  <c r="U72" i="40"/>
  <c r="X14" i="49" s="1"/>
  <c r="I15" i="40"/>
  <c r="I73" i="40" s="1"/>
  <c r="D42" i="40"/>
  <c r="G17" i="49" s="1"/>
  <c r="C19" i="40"/>
  <c r="P72" i="40"/>
  <c r="S14" i="49" s="1"/>
  <c r="U15" i="40"/>
  <c r="U73" i="40" s="1"/>
  <c r="G15" i="40"/>
  <c r="G73" i="40" s="1"/>
  <c r="R72" i="40"/>
  <c r="U14" i="49" s="1"/>
  <c r="Q72" i="40"/>
  <c r="T14" i="49" s="1"/>
  <c r="F15" i="40"/>
  <c r="F73" i="40" s="1"/>
  <c r="C3" i="40"/>
  <c r="F36" i="9" l="1"/>
  <c r="E36" i="40"/>
  <c r="H13" i="49" s="1"/>
  <c r="E35" i="9"/>
  <c r="E98" i="9" s="1"/>
  <c r="E36" i="21"/>
  <c r="U38" i="9"/>
  <c r="Q38" i="9"/>
  <c r="O38" i="9"/>
  <c r="N38" i="9"/>
  <c r="T38" i="9"/>
  <c r="P38" i="9"/>
  <c r="S38" i="9"/>
  <c r="R38" i="9"/>
  <c r="U41" i="9"/>
  <c r="S41" i="9"/>
  <c r="R41" i="9"/>
  <c r="Q41" i="9"/>
  <c r="P41" i="9"/>
  <c r="T41" i="9"/>
  <c r="M41" i="9"/>
  <c r="O41" i="9"/>
  <c r="N41" i="9"/>
  <c r="E41" i="9"/>
  <c r="L41" i="9"/>
  <c r="I41" i="9"/>
  <c r="F41" i="9"/>
  <c r="J41" i="9"/>
  <c r="H41" i="9"/>
  <c r="G41" i="9"/>
  <c r="K41" i="9"/>
  <c r="K36" i="9"/>
  <c r="L36" i="9"/>
  <c r="J36" i="9"/>
  <c r="I36" i="9"/>
  <c r="G36" i="9"/>
  <c r="H36" i="9"/>
  <c r="E36" i="9"/>
  <c r="P36" i="9"/>
  <c r="M36" i="9"/>
  <c r="O36" i="9"/>
  <c r="N36" i="9"/>
  <c r="R36" i="9"/>
  <c r="U36" i="9"/>
  <c r="S36" i="9"/>
  <c r="T36" i="9"/>
  <c r="Q36" i="9"/>
  <c r="O37" i="9"/>
  <c r="R37" i="9"/>
  <c r="N37" i="9"/>
  <c r="M37" i="9"/>
  <c r="Q37" i="9"/>
  <c r="P37" i="9"/>
  <c r="S37" i="9"/>
  <c r="T37" i="9"/>
  <c r="U37" i="9"/>
  <c r="L37" i="9"/>
  <c r="K37" i="9"/>
  <c r="J37" i="9"/>
  <c r="I37" i="9"/>
  <c r="G37" i="9"/>
  <c r="E37" i="9"/>
  <c r="H37" i="9"/>
  <c r="F37" i="9"/>
  <c r="W50" i="49"/>
  <c r="W50" i="44"/>
  <c r="V50" i="49"/>
  <c r="V50" i="44"/>
  <c r="U50" i="49"/>
  <c r="U50" i="44"/>
  <c r="T50" i="49"/>
  <c r="T50" i="44"/>
  <c r="S50" i="49"/>
  <c r="S50" i="44"/>
  <c r="P50" i="44"/>
  <c r="P50" i="49"/>
  <c r="R50" i="49"/>
  <c r="R50" i="44"/>
  <c r="N50" i="44"/>
  <c r="N50" i="49"/>
  <c r="Q50" i="44"/>
  <c r="Q50" i="49"/>
  <c r="O50" i="44"/>
  <c r="O50" i="49"/>
  <c r="M50" i="44"/>
  <c r="M50" i="49"/>
  <c r="L50" i="49"/>
  <c r="L50" i="44"/>
  <c r="K50" i="49"/>
  <c r="K50" i="44"/>
  <c r="J50" i="49"/>
  <c r="J50" i="44"/>
  <c r="X50" i="49"/>
  <c r="X50" i="44"/>
  <c r="F19" i="40"/>
  <c r="F15" i="49"/>
  <c r="F49" i="49"/>
  <c r="F49" i="44"/>
  <c r="F15" i="44"/>
  <c r="C56" i="9"/>
  <c r="C57" i="21"/>
  <c r="F5" i="44" s="1"/>
  <c r="C57" i="40"/>
  <c r="C22" i="9"/>
  <c r="C27" i="21"/>
  <c r="C27" i="40"/>
  <c r="C26" i="9"/>
  <c r="N13" i="9"/>
  <c r="N14" i="40"/>
  <c r="Q9" i="49" s="1"/>
  <c r="N14" i="21"/>
  <c r="Q9" i="44" s="1"/>
  <c r="U13" i="9"/>
  <c r="U14" i="40"/>
  <c r="X9" i="49" s="1"/>
  <c r="U14" i="21"/>
  <c r="X9" i="44" s="1"/>
  <c r="R13" i="9"/>
  <c r="R14" i="40"/>
  <c r="U9" i="49" s="1"/>
  <c r="R14" i="21"/>
  <c r="U9" i="44" s="1"/>
  <c r="F13" i="9"/>
  <c r="F62" i="9" s="1"/>
  <c r="F14" i="40"/>
  <c r="I9" i="49" s="1"/>
  <c r="F14" i="21"/>
  <c r="I9" i="44" s="1"/>
  <c r="H13" i="9"/>
  <c r="H14" i="21"/>
  <c r="K9" i="44" s="1"/>
  <c r="H14" i="40"/>
  <c r="K9" i="49" s="1"/>
  <c r="I13" i="9"/>
  <c r="I14" i="40"/>
  <c r="L9" i="49" s="1"/>
  <c r="I14" i="21"/>
  <c r="L9" i="44" s="1"/>
  <c r="O13" i="9"/>
  <c r="O14" i="21"/>
  <c r="R9" i="44" s="1"/>
  <c r="O14" i="40"/>
  <c r="R9" i="49" s="1"/>
  <c r="T13" i="9"/>
  <c r="T14" i="21"/>
  <c r="W9" i="44" s="1"/>
  <c r="T14" i="40"/>
  <c r="W9" i="49" s="1"/>
  <c r="P13" i="9"/>
  <c r="P14" i="21"/>
  <c r="S9" i="44" s="1"/>
  <c r="P14" i="40"/>
  <c r="S9" i="49" s="1"/>
  <c r="M13" i="9"/>
  <c r="M14" i="40"/>
  <c r="P9" i="49" s="1"/>
  <c r="M14" i="21"/>
  <c r="P9" i="44" s="1"/>
  <c r="J13" i="9"/>
  <c r="J14" i="40"/>
  <c r="M9" i="49" s="1"/>
  <c r="J14" i="21"/>
  <c r="M9" i="44" s="1"/>
  <c r="S13" i="9"/>
  <c r="S14" i="40"/>
  <c r="V9" i="49" s="1"/>
  <c r="S14" i="21"/>
  <c r="V9" i="44" s="1"/>
  <c r="G13" i="9"/>
  <c r="G14" i="21"/>
  <c r="J9" i="44" s="1"/>
  <c r="G14" i="40"/>
  <c r="J9" i="49" s="1"/>
  <c r="K13" i="9"/>
  <c r="K14" i="21"/>
  <c r="N9" i="44" s="1"/>
  <c r="K14" i="40"/>
  <c r="N9" i="49" s="1"/>
  <c r="Q13" i="9"/>
  <c r="Q14" i="40"/>
  <c r="T9" i="49" s="1"/>
  <c r="Q14" i="21"/>
  <c r="T9" i="44" s="1"/>
  <c r="L13" i="9"/>
  <c r="L14" i="40"/>
  <c r="O9" i="49" s="1"/>
  <c r="L14" i="21"/>
  <c r="O9" i="44" s="1"/>
  <c r="F23" i="9"/>
  <c r="D63" i="40"/>
  <c r="E63" i="40"/>
  <c r="D79" i="40"/>
  <c r="C79" i="40"/>
  <c r="T15" i="40"/>
  <c r="T73" i="40" s="1"/>
  <c r="T74" i="40" s="1"/>
  <c r="C12" i="40"/>
  <c r="F7" i="49" s="1"/>
  <c r="J74" i="40"/>
  <c r="D79" i="21"/>
  <c r="D78" i="9"/>
  <c r="C79" i="21"/>
  <c r="C78" i="9"/>
  <c r="U74" i="40"/>
  <c r="I19" i="40"/>
  <c r="I65" i="40"/>
  <c r="J19" i="40"/>
  <c r="J65" i="40"/>
  <c r="K19" i="40"/>
  <c r="K65" i="40"/>
  <c r="P74" i="40"/>
  <c r="S74" i="40"/>
  <c r="F74" i="40"/>
  <c r="G74" i="40"/>
  <c r="Q74" i="40"/>
  <c r="N19" i="40"/>
  <c r="N65" i="40"/>
  <c r="E14" i="9"/>
  <c r="E15" i="40"/>
  <c r="E73" i="40" s="1"/>
  <c r="K74" i="40"/>
  <c r="D12" i="21"/>
  <c r="D12" i="40"/>
  <c r="P19" i="40"/>
  <c r="P65" i="40"/>
  <c r="U19" i="40"/>
  <c r="U65" i="40"/>
  <c r="D71" i="9"/>
  <c r="D72" i="40"/>
  <c r="G14" i="49" s="1"/>
  <c r="I74" i="40"/>
  <c r="Q19" i="40"/>
  <c r="Q65" i="40"/>
  <c r="E23" i="9"/>
  <c r="L19" i="40"/>
  <c r="L65" i="40"/>
  <c r="S19" i="40"/>
  <c r="S65" i="40"/>
  <c r="N74" i="40"/>
  <c r="T19" i="40"/>
  <c r="T65" i="40"/>
  <c r="C37" i="9"/>
  <c r="C38" i="40"/>
  <c r="F12" i="49" s="1"/>
  <c r="D37" i="9"/>
  <c r="D38" i="40"/>
  <c r="G12" i="49" s="1"/>
  <c r="O19" i="40"/>
  <c r="O65" i="40"/>
  <c r="E71" i="9"/>
  <c r="E72" i="40"/>
  <c r="O74" i="40"/>
  <c r="H74" i="40"/>
  <c r="R19" i="40"/>
  <c r="R65" i="40"/>
  <c r="M19" i="40"/>
  <c r="M65" i="40"/>
  <c r="R74" i="40"/>
  <c r="M74" i="40"/>
  <c r="L74" i="40"/>
  <c r="C58" i="8"/>
  <c r="T14" i="9"/>
  <c r="T15" i="21"/>
  <c r="J14" i="9"/>
  <c r="J15" i="21"/>
  <c r="U14" i="9"/>
  <c r="U15" i="21"/>
  <c r="K14" i="9"/>
  <c r="K15" i="21"/>
  <c r="L14" i="9"/>
  <c r="L15" i="21"/>
  <c r="O14" i="9"/>
  <c r="O15" i="21"/>
  <c r="R14" i="9"/>
  <c r="R15" i="21"/>
  <c r="I14" i="9"/>
  <c r="I15" i="21"/>
  <c r="H14" i="9"/>
  <c r="H15" i="21"/>
  <c r="Q14" i="9"/>
  <c r="Q15" i="21"/>
  <c r="S14" i="9"/>
  <c r="S15" i="21"/>
  <c r="P14" i="9"/>
  <c r="P15" i="21"/>
  <c r="F14" i="9"/>
  <c r="F72" i="9" s="1"/>
  <c r="F15" i="21"/>
  <c r="N14" i="9"/>
  <c r="N15" i="21"/>
  <c r="G14" i="9"/>
  <c r="G15" i="21"/>
  <c r="M14" i="9"/>
  <c r="M15" i="21"/>
  <c r="D37" i="21"/>
  <c r="G11" i="44" s="1"/>
  <c r="D36" i="9"/>
  <c r="C37" i="21"/>
  <c r="F11" i="44" s="1"/>
  <c r="C36" i="9"/>
  <c r="C38" i="21"/>
  <c r="F12" i="44" s="1"/>
  <c r="D38" i="21"/>
  <c r="G12" i="44" s="1"/>
  <c r="E15" i="21"/>
  <c r="E14" i="21"/>
  <c r="H9" i="44" s="1"/>
  <c r="E13" i="9"/>
  <c r="C5" i="9"/>
  <c r="G7" i="49" l="1"/>
  <c r="E12" i="40"/>
  <c r="F12" i="40" s="1"/>
  <c r="G12" i="40" s="1"/>
  <c r="H12" i="40" s="1"/>
  <c r="I12" i="40" s="1"/>
  <c r="J12" i="40" s="1"/>
  <c r="K12" i="40" s="1"/>
  <c r="T42" i="21"/>
  <c r="T42" i="40"/>
  <c r="P42" i="21"/>
  <c r="P42" i="40"/>
  <c r="Q42" i="21"/>
  <c r="Q42" i="40"/>
  <c r="R42" i="21"/>
  <c r="R42" i="40"/>
  <c r="S42" i="21"/>
  <c r="S42" i="40"/>
  <c r="K42" i="21"/>
  <c r="K42" i="40"/>
  <c r="U42" i="21"/>
  <c r="U42" i="40"/>
  <c r="H42" i="21"/>
  <c r="H42" i="40"/>
  <c r="J42" i="21"/>
  <c r="J42" i="40"/>
  <c r="F42" i="21"/>
  <c r="F42" i="40"/>
  <c r="I42" i="21"/>
  <c r="I42" i="40"/>
  <c r="L42" i="21"/>
  <c r="L42" i="40"/>
  <c r="E42" i="21"/>
  <c r="E42" i="40"/>
  <c r="N42" i="21"/>
  <c r="Q17" i="44" s="1"/>
  <c r="N42" i="40"/>
  <c r="O42" i="21"/>
  <c r="O42" i="40"/>
  <c r="M42" i="21"/>
  <c r="M42" i="40"/>
  <c r="F38" i="21"/>
  <c r="I12" i="44" s="1"/>
  <c r="F38" i="40"/>
  <c r="I12" i="49" s="1"/>
  <c r="O38" i="21"/>
  <c r="O38" i="40"/>
  <c r="I37" i="21"/>
  <c r="I37" i="40"/>
  <c r="H38" i="21"/>
  <c r="H38" i="40"/>
  <c r="J37" i="21"/>
  <c r="J37" i="40"/>
  <c r="E38" i="21"/>
  <c r="H12" i="44" s="1"/>
  <c r="E38" i="40"/>
  <c r="H12" i="49" s="1"/>
  <c r="Q37" i="21"/>
  <c r="Q37" i="40"/>
  <c r="L37" i="21"/>
  <c r="L37" i="40"/>
  <c r="T37" i="21"/>
  <c r="T37" i="40"/>
  <c r="K37" i="21"/>
  <c r="K37" i="40"/>
  <c r="I38" i="21"/>
  <c r="I38" i="40"/>
  <c r="S37" i="21"/>
  <c r="S37" i="40"/>
  <c r="J38" i="21"/>
  <c r="J38" i="40"/>
  <c r="U37" i="21"/>
  <c r="U37" i="40"/>
  <c r="K38" i="21"/>
  <c r="K38" i="40"/>
  <c r="R37" i="21"/>
  <c r="R37" i="40"/>
  <c r="L38" i="21"/>
  <c r="L38" i="40"/>
  <c r="N37" i="21"/>
  <c r="N37" i="40"/>
  <c r="U38" i="21"/>
  <c r="U38" i="40"/>
  <c r="O37" i="21"/>
  <c r="O37" i="40"/>
  <c r="T38" i="21"/>
  <c r="T38" i="40"/>
  <c r="M37" i="21"/>
  <c r="M37" i="40"/>
  <c r="S38" i="21"/>
  <c r="S38" i="40"/>
  <c r="P37" i="21"/>
  <c r="P37" i="40"/>
  <c r="P38" i="21"/>
  <c r="P38" i="40"/>
  <c r="Q38" i="21"/>
  <c r="Q38" i="40"/>
  <c r="E37" i="21"/>
  <c r="H11" i="44" s="1"/>
  <c r="E37" i="40"/>
  <c r="H11" i="49" s="1"/>
  <c r="M38" i="21"/>
  <c r="M38" i="40"/>
  <c r="H37" i="21"/>
  <c r="H37" i="40"/>
  <c r="N38" i="21"/>
  <c r="N38" i="40"/>
  <c r="F37" i="21"/>
  <c r="I11" i="44" s="1"/>
  <c r="F37" i="40"/>
  <c r="I11" i="49" s="1"/>
  <c r="R38" i="21"/>
  <c r="R38" i="40"/>
  <c r="F64" i="9"/>
  <c r="H14" i="49"/>
  <c r="G7" i="44"/>
  <c r="I47" i="44"/>
  <c r="I47" i="49"/>
  <c r="F41" i="49"/>
  <c r="F41" i="44"/>
  <c r="I51" i="49"/>
  <c r="I51" i="44"/>
  <c r="H47" i="44"/>
  <c r="H47" i="49"/>
  <c r="H50" i="49"/>
  <c r="H50" i="44"/>
  <c r="F46" i="49"/>
  <c r="F46" i="44"/>
  <c r="I50" i="49"/>
  <c r="I50" i="44"/>
  <c r="G46" i="49"/>
  <c r="G46" i="44"/>
  <c r="H13" i="44"/>
  <c r="Q46" i="49"/>
  <c r="Q46" i="44"/>
  <c r="H46" i="44"/>
  <c r="H46" i="49"/>
  <c r="Q51" i="49"/>
  <c r="Q51" i="44"/>
  <c r="F47" i="44"/>
  <c r="F47" i="49"/>
  <c r="F5" i="49"/>
  <c r="G47" i="44"/>
  <c r="G47" i="49"/>
  <c r="H51" i="49"/>
  <c r="H51" i="44"/>
  <c r="I46" i="44"/>
  <c r="I46" i="49"/>
  <c r="Q47" i="49"/>
  <c r="Q47" i="44"/>
  <c r="J63" i="40"/>
  <c r="T63" i="40"/>
  <c r="I63" i="40"/>
  <c r="G63" i="40"/>
  <c r="H63" i="40"/>
  <c r="L63" i="40"/>
  <c r="U63" i="40"/>
  <c r="Q63" i="40"/>
  <c r="M63" i="40"/>
  <c r="O63" i="40"/>
  <c r="S63" i="40"/>
  <c r="F63" i="40"/>
  <c r="P63" i="40"/>
  <c r="N63" i="40"/>
  <c r="K63" i="40"/>
  <c r="R63" i="40"/>
  <c r="F32" i="9"/>
  <c r="D27" i="40"/>
  <c r="G15" i="49" s="1"/>
  <c r="D74" i="40"/>
  <c r="D60" i="40"/>
  <c r="D52" i="40"/>
  <c r="E74" i="40"/>
  <c r="D63" i="9"/>
  <c r="D64" i="9"/>
  <c r="E32" i="9"/>
  <c r="C23" i="9"/>
  <c r="D23" i="9"/>
  <c r="C3" i="9"/>
  <c r="H17" i="44" l="1"/>
  <c r="I17" i="49"/>
  <c r="I17" i="44"/>
  <c r="Q17" i="49"/>
  <c r="H17" i="49"/>
  <c r="O51" i="49"/>
  <c r="O51" i="44"/>
  <c r="X47" i="44"/>
  <c r="X47" i="49"/>
  <c r="T51" i="49"/>
  <c r="T51" i="44"/>
  <c r="V51" i="49"/>
  <c r="V51" i="44"/>
  <c r="R46" i="49"/>
  <c r="R46" i="44"/>
  <c r="T46" i="49"/>
  <c r="T46" i="44"/>
  <c r="W51" i="44"/>
  <c r="W51" i="49"/>
  <c r="S46" i="49"/>
  <c r="S46" i="44"/>
  <c r="M51" i="44"/>
  <c r="M51" i="49"/>
  <c r="R47" i="49"/>
  <c r="R47" i="44"/>
  <c r="P51" i="49"/>
  <c r="P51" i="44"/>
  <c r="U46" i="49"/>
  <c r="U46" i="44"/>
  <c r="X51" i="49"/>
  <c r="X51" i="44"/>
  <c r="U51" i="49"/>
  <c r="U51" i="44"/>
  <c r="H52" i="44"/>
  <c r="H52" i="49"/>
  <c r="N51" i="44"/>
  <c r="N51" i="49"/>
  <c r="V46" i="49"/>
  <c r="V46" i="44"/>
  <c r="R51" i="49"/>
  <c r="R51" i="44"/>
  <c r="K51" i="44"/>
  <c r="K51" i="49"/>
  <c r="W46" i="49"/>
  <c r="W46" i="44"/>
  <c r="L51" i="44"/>
  <c r="L51" i="49"/>
  <c r="S51" i="49"/>
  <c r="S51" i="44"/>
  <c r="X46" i="44"/>
  <c r="X46" i="49"/>
  <c r="J47" i="49"/>
  <c r="J47" i="44"/>
  <c r="W47" i="44"/>
  <c r="W47" i="49"/>
  <c r="S47" i="49"/>
  <c r="S47" i="44"/>
  <c r="G50" i="49"/>
  <c r="G50" i="44"/>
  <c r="T47" i="49"/>
  <c r="T47" i="44"/>
  <c r="F50" i="49"/>
  <c r="F50" i="44"/>
  <c r="U47" i="44"/>
  <c r="U47" i="49"/>
  <c r="J51" i="44"/>
  <c r="J51" i="49"/>
  <c r="V47" i="44"/>
  <c r="V47" i="49"/>
  <c r="I52" i="44"/>
  <c r="I52" i="49"/>
  <c r="R17" i="49"/>
  <c r="G38" i="21"/>
  <c r="J12" i="44" s="1"/>
  <c r="G38" i="40"/>
  <c r="J12" i="49" s="1"/>
  <c r="E27" i="40"/>
  <c r="H15" i="49" s="1"/>
  <c r="D50" i="40"/>
  <c r="E51" i="40" s="1"/>
  <c r="P17" i="49"/>
  <c r="N39" i="40"/>
  <c r="E43" i="40"/>
  <c r="C43" i="40"/>
  <c r="D43" i="40"/>
  <c r="Q11" i="49"/>
  <c r="Q12" i="49"/>
  <c r="R12" i="49"/>
  <c r="G42" i="40"/>
  <c r="D24" i="40"/>
  <c r="G16" i="49" s="1"/>
  <c r="N17" i="49"/>
  <c r="M17" i="49"/>
  <c r="L17" i="49"/>
  <c r="C24" i="40"/>
  <c r="F16" i="49" s="1"/>
  <c r="K17" i="49"/>
  <c r="O17" i="49"/>
  <c r="R11" i="44"/>
  <c r="R11" i="49"/>
  <c r="T39" i="40"/>
  <c r="U39" i="40"/>
  <c r="Q11" i="44"/>
  <c r="O17" i="44"/>
  <c r="C24" i="21"/>
  <c r="F16" i="44" s="1"/>
  <c r="D24" i="21"/>
  <c r="F38" i="9" l="1"/>
  <c r="F39" i="40" s="1"/>
  <c r="M38" i="9"/>
  <c r="H38" i="9"/>
  <c r="I38" i="9"/>
  <c r="I39" i="40" s="1"/>
  <c r="K38" i="9"/>
  <c r="K39" i="40" s="1"/>
  <c r="J38" i="9"/>
  <c r="J39" i="40" s="1"/>
  <c r="L38" i="9"/>
  <c r="G38" i="9"/>
  <c r="G39" i="40" s="1"/>
  <c r="J17" i="49"/>
  <c r="K12" i="44"/>
  <c r="K47" i="49"/>
  <c r="K47" i="44"/>
  <c r="C77" i="21"/>
  <c r="C77" i="40"/>
  <c r="F6" i="49" s="1"/>
  <c r="F42" i="44"/>
  <c r="F42" i="49"/>
  <c r="L47" i="49"/>
  <c r="L47" i="44"/>
  <c r="C78" i="21"/>
  <c r="C78" i="40"/>
  <c r="G16" i="44"/>
  <c r="P17" i="44"/>
  <c r="K12" i="49"/>
  <c r="C33" i="40"/>
  <c r="F18" i="49" s="1"/>
  <c r="D33" i="40"/>
  <c r="G18" i="49" s="1"/>
  <c r="L12" i="49"/>
  <c r="F27" i="40"/>
  <c r="I15" i="49" s="1"/>
  <c r="L12" i="44"/>
  <c r="X17" i="49"/>
  <c r="T17" i="49"/>
  <c r="S17" i="49"/>
  <c r="V17" i="49"/>
  <c r="U17" i="49"/>
  <c r="W17" i="49"/>
  <c r="E39" i="40"/>
  <c r="F43" i="21"/>
  <c r="F43" i="40"/>
  <c r="C39" i="40"/>
  <c r="S39" i="21"/>
  <c r="S39" i="40"/>
  <c r="S43" i="21"/>
  <c r="S43" i="40"/>
  <c r="G43" i="21"/>
  <c r="G43" i="40"/>
  <c r="P43" i="21"/>
  <c r="P43" i="40"/>
  <c r="O43" i="21"/>
  <c r="O43" i="40"/>
  <c r="T43" i="21"/>
  <c r="T43" i="40"/>
  <c r="I43" i="21"/>
  <c r="I43" i="40"/>
  <c r="Q43" i="21"/>
  <c r="Q43" i="40"/>
  <c r="J43" i="21"/>
  <c r="J43" i="40"/>
  <c r="H43" i="21"/>
  <c r="H43" i="40"/>
  <c r="K43" i="21"/>
  <c r="K43" i="40"/>
  <c r="L43" i="21"/>
  <c r="L43" i="40"/>
  <c r="R43" i="21"/>
  <c r="R43" i="40"/>
  <c r="U43" i="21"/>
  <c r="U43" i="40"/>
  <c r="M43" i="21"/>
  <c r="M43" i="40"/>
  <c r="N43" i="21"/>
  <c r="N43" i="40"/>
  <c r="D39" i="40"/>
  <c r="D43" i="21"/>
  <c r="E43" i="21"/>
  <c r="C43" i="21"/>
  <c r="F6" i="44" l="1"/>
  <c r="M47" i="49"/>
  <c r="M47" i="44"/>
  <c r="L39" i="40"/>
  <c r="M39" i="40"/>
  <c r="M12" i="49"/>
  <c r="G27" i="40"/>
  <c r="J15" i="49" s="1"/>
  <c r="M12" i="44"/>
  <c r="H39" i="21"/>
  <c r="H39" i="40"/>
  <c r="N47" i="49" l="1"/>
  <c r="N47" i="44"/>
  <c r="N12" i="49"/>
  <c r="H27" i="40"/>
  <c r="K15" i="49" s="1"/>
  <c r="N12" i="44"/>
  <c r="Q39" i="40"/>
  <c r="O39" i="40"/>
  <c r="P39" i="40"/>
  <c r="C36" i="21"/>
  <c r="F13" i="44" s="1"/>
  <c r="D36" i="21"/>
  <c r="G13" i="44" s="1"/>
  <c r="C12" i="21"/>
  <c r="F7" i="44" s="1"/>
  <c r="C12" i="9"/>
  <c r="D12" i="9"/>
  <c r="F43" i="49" l="1"/>
  <c r="F43" i="44"/>
  <c r="G43" i="49"/>
  <c r="G43" i="44"/>
  <c r="O47" i="49"/>
  <c r="O47" i="44"/>
  <c r="I27" i="40"/>
  <c r="L15" i="49" s="1"/>
  <c r="O12" i="44"/>
  <c r="D49" i="9"/>
  <c r="R39" i="21"/>
  <c r="R39" i="40"/>
  <c r="E12" i="9"/>
  <c r="O12" i="49" l="1"/>
  <c r="P47" i="49"/>
  <c r="P47" i="44"/>
  <c r="H43" i="49"/>
  <c r="H43" i="44"/>
  <c r="P12" i="49"/>
  <c r="J27" i="40"/>
  <c r="M15" i="49" s="1"/>
  <c r="P12" i="44"/>
  <c r="E49" i="9"/>
  <c r="F12" i="9"/>
  <c r="I43" i="49" l="1"/>
  <c r="I43" i="44"/>
  <c r="K27" i="40"/>
  <c r="N15" i="49" s="1"/>
  <c r="S12" i="49"/>
  <c r="U12" i="49"/>
  <c r="T12" i="49"/>
  <c r="V12" i="49"/>
  <c r="X12" i="49"/>
  <c r="W12" i="49"/>
  <c r="F49" i="9"/>
  <c r="F59" i="9"/>
  <c r="G12" i="9"/>
  <c r="C47" i="21"/>
  <c r="C46" i="9"/>
  <c r="J43" i="49" l="1"/>
  <c r="J43" i="44"/>
  <c r="L27" i="40"/>
  <c r="O15" i="49" s="1"/>
  <c r="G49" i="9"/>
  <c r="H12" i="9"/>
  <c r="D51" i="9"/>
  <c r="E51" i="9"/>
  <c r="F51" i="9"/>
  <c r="B18" i="9"/>
  <c r="K43" i="49" l="1"/>
  <c r="K43" i="44"/>
  <c r="M27" i="40"/>
  <c r="P15" i="49" s="1"/>
  <c r="H49" i="9"/>
  <c r="I12" i="9"/>
  <c r="L43" i="49" l="1"/>
  <c r="L43" i="44"/>
  <c r="N27" i="40"/>
  <c r="Q15" i="49" s="1"/>
  <c r="I49" i="9"/>
  <c r="J12" i="9"/>
  <c r="C5" i="21"/>
  <c r="C7" i="21" l="1"/>
  <c r="C6" i="21"/>
  <c r="M43" i="49"/>
  <c r="M43" i="44"/>
  <c r="O27" i="40"/>
  <c r="R15" i="49" s="1"/>
  <c r="J49" i="9"/>
  <c r="K12" i="9"/>
  <c r="D65" i="21"/>
  <c r="N43" i="49" l="1"/>
  <c r="N43" i="44"/>
  <c r="P27" i="40"/>
  <c r="S15" i="49" s="1"/>
  <c r="K49" i="9"/>
  <c r="L12" i="9"/>
  <c r="G64" i="21"/>
  <c r="E64" i="21"/>
  <c r="F64" i="21"/>
  <c r="H64" i="21"/>
  <c r="D64" i="21"/>
  <c r="O43" i="49" l="1"/>
  <c r="O43" i="44"/>
  <c r="Q27" i="40"/>
  <c r="T15" i="49" s="1"/>
  <c r="D50" i="21"/>
  <c r="E51" i="21" s="1"/>
  <c r="L49" i="9"/>
  <c r="M12" i="9"/>
  <c r="C48" i="21"/>
  <c r="C47" i="9"/>
  <c r="C35" i="9"/>
  <c r="D35" i="9"/>
  <c r="C3" i="21"/>
  <c r="D98" i="9" l="1"/>
  <c r="D96" i="9"/>
  <c r="F48" i="44"/>
  <c r="F48" i="49"/>
  <c r="G48" i="49"/>
  <c r="G48" i="44"/>
  <c r="P43" i="49"/>
  <c r="P43" i="44"/>
  <c r="C96" i="9"/>
  <c r="R27" i="40"/>
  <c r="U15" i="49" s="1"/>
  <c r="M49" i="9"/>
  <c r="N12" i="9"/>
  <c r="E59" i="9"/>
  <c r="M51" i="9"/>
  <c r="H59" i="9"/>
  <c r="G59" i="9"/>
  <c r="J51" i="9"/>
  <c r="J59" i="9"/>
  <c r="L59" i="9"/>
  <c r="D59" i="9"/>
  <c r="K59" i="9"/>
  <c r="H51" i="9"/>
  <c r="I51" i="9"/>
  <c r="K51" i="9"/>
  <c r="M59" i="9"/>
  <c r="I59" i="9"/>
  <c r="G51" i="9"/>
  <c r="L51" i="9"/>
  <c r="Q43" i="44" l="1"/>
  <c r="Q43" i="49"/>
  <c r="S27" i="40"/>
  <c r="V15" i="49" s="1"/>
  <c r="N49" i="9"/>
  <c r="N51" i="9"/>
  <c r="N59" i="9"/>
  <c r="O12" i="9"/>
  <c r="D27" i="21"/>
  <c r="G15" i="44" s="1"/>
  <c r="C101" i="40"/>
  <c r="C106" i="40" s="1"/>
  <c r="C23" i="40"/>
  <c r="C30" i="40" s="1"/>
  <c r="K39" i="21"/>
  <c r="D52" i="21"/>
  <c r="D50" i="9"/>
  <c r="E50" i="9"/>
  <c r="D60" i="21"/>
  <c r="R43" i="44" l="1"/>
  <c r="R43" i="49"/>
  <c r="T27" i="40"/>
  <c r="W15" i="49" s="1"/>
  <c r="O49" i="9"/>
  <c r="D26" i="9"/>
  <c r="P12" i="9"/>
  <c r="O51" i="9"/>
  <c r="O59" i="9"/>
  <c r="E27" i="21"/>
  <c r="H15" i="44" s="1"/>
  <c r="D101" i="40"/>
  <c r="D106" i="40" s="1"/>
  <c r="D22" i="9"/>
  <c r="D23" i="40" s="1"/>
  <c r="C23" i="21"/>
  <c r="F39" i="21"/>
  <c r="T39" i="21"/>
  <c r="Q39" i="21"/>
  <c r="J39" i="21"/>
  <c r="U39" i="21"/>
  <c r="C39" i="21"/>
  <c r="P39" i="21"/>
  <c r="O39" i="21"/>
  <c r="N39" i="21"/>
  <c r="L39" i="21"/>
  <c r="E39" i="21"/>
  <c r="D39" i="21"/>
  <c r="I39" i="21"/>
  <c r="G39" i="21"/>
  <c r="M39" i="21"/>
  <c r="F65" i="21"/>
  <c r="G65" i="21"/>
  <c r="E65" i="21"/>
  <c r="H65" i="21"/>
  <c r="C29" i="9"/>
  <c r="F50" i="9"/>
  <c r="S43" i="44" l="1"/>
  <c r="S43" i="49"/>
  <c r="G49" i="49"/>
  <c r="G49" i="44"/>
  <c r="U27" i="40"/>
  <c r="X15" i="49" s="1"/>
  <c r="P49" i="9"/>
  <c r="Q12" i="9"/>
  <c r="P59" i="9"/>
  <c r="P51" i="9"/>
  <c r="E26" i="9"/>
  <c r="F27" i="21"/>
  <c r="I15" i="44" s="1"/>
  <c r="D30" i="40"/>
  <c r="D62" i="40" s="1"/>
  <c r="G8" i="49" s="1"/>
  <c r="E22" i="9"/>
  <c r="F22" i="9" s="1"/>
  <c r="D23" i="21"/>
  <c r="G50" i="9"/>
  <c r="D29" i="9"/>
  <c r="D61" i="9" s="1"/>
  <c r="C30" i="21"/>
  <c r="H49" i="49" l="1"/>
  <c r="H49" i="44"/>
  <c r="T43" i="44"/>
  <c r="T43" i="49"/>
  <c r="G44" i="49"/>
  <c r="G44" i="44"/>
  <c r="F26" i="9"/>
  <c r="G22" i="9"/>
  <c r="H22" i="9" s="1"/>
  <c r="I22" i="9" s="1"/>
  <c r="J22" i="9" s="1"/>
  <c r="K22" i="9" s="1"/>
  <c r="L22" i="9" s="1"/>
  <c r="M22" i="9" s="1"/>
  <c r="N22" i="9" s="1"/>
  <c r="O22" i="9" s="1"/>
  <c r="P22" i="9" s="1"/>
  <c r="Q22" i="9" s="1"/>
  <c r="R22" i="9" s="1"/>
  <c r="S22" i="9" s="1"/>
  <c r="T22" i="9" s="1"/>
  <c r="U22" i="9" s="1"/>
  <c r="Q49" i="9"/>
  <c r="R12" i="9"/>
  <c r="Q59" i="9"/>
  <c r="Q51" i="9"/>
  <c r="G27" i="21"/>
  <c r="J15" i="44" s="1"/>
  <c r="D59" i="40"/>
  <c r="E29" i="9"/>
  <c r="H50" i="9"/>
  <c r="D30" i="21"/>
  <c r="D62" i="21" s="1"/>
  <c r="G8" i="44" s="1"/>
  <c r="I49" i="49" l="1"/>
  <c r="I49" i="44"/>
  <c r="U43" i="44"/>
  <c r="U43" i="49"/>
  <c r="F29" i="9"/>
  <c r="R49" i="9"/>
  <c r="E61" i="9"/>
  <c r="S12" i="9"/>
  <c r="R51" i="9"/>
  <c r="R59" i="9"/>
  <c r="G26" i="9"/>
  <c r="H27" i="21"/>
  <c r="K15" i="44" s="1"/>
  <c r="I50" i="9"/>
  <c r="V43" i="49" l="1"/>
  <c r="V43" i="44"/>
  <c r="H44" i="49"/>
  <c r="H44" i="44"/>
  <c r="J49" i="49"/>
  <c r="J49" i="44"/>
  <c r="S49" i="9"/>
  <c r="T12" i="9"/>
  <c r="S59" i="9"/>
  <c r="S51" i="9"/>
  <c r="H26" i="9"/>
  <c r="I27" i="21"/>
  <c r="L15" i="44" s="1"/>
  <c r="J50" i="9"/>
  <c r="K49" i="49" l="1"/>
  <c r="K49" i="44"/>
  <c r="W43" i="49"/>
  <c r="W43" i="44"/>
  <c r="T49" i="9"/>
  <c r="I26" i="9"/>
  <c r="T51" i="9"/>
  <c r="U12" i="9"/>
  <c r="T59" i="9"/>
  <c r="J27" i="21"/>
  <c r="M15" i="44" s="1"/>
  <c r="K50" i="9"/>
  <c r="L49" i="49" l="1"/>
  <c r="L49" i="44"/>
  <c r="X43" i="49"/>
  <c r="X43" i="44"/>
  <c r="U49" i="9"/>
  <c r="U51" i="9"/>
  <c r="U59" i="9"/>
  <c r="J26" i="9"/>
  <c r="K27" i="21"/>
  <c r="N15" i="44" s="1"/>
  <c r="L50" i="9"/>
  <c r="M49" i="44" l="1"/>
  <c r="M49" i="49"/>
  <c r="K26" i="9"/>
  <c r="L27" i="21"/>
  <c r="O15" i="44" s="1"/>
  <c r="M50" i="9"/>
  <c r="N49" i="49" l="1"/>
  <c r="N49" i="44"/>
  <c r="L26" i="9"/>
  <c r="M27" i="21"/>
  <c r="P15" i="44" s="1"/>
  <c r="N50" i="9"/>
  <c r="O49" i="49" l="1"/>
  <c r="O49" i="44"/>
  <c r="M26" i="9"/>
  <c r="N27" i="21"/>
  <c r="Q15" i="44" s="1"/>
  <c r="O50" i="9"/>
  <c r="P49" i="44" l="1"/>
  <c r="P49" i="49"/>
  <c r="N26" i="9"/>
  <c r="O27" i="21"/>
  <c r="R15" i="44" s="1"/>
  <c r="P50" i="9"/>
  <c r="Q49" i="44" l="1"/>
  <c r="Q49" i="49"/>
  <c r="O26" i="9"/>
  <c r="P27" i="21"/>
  <c r="S15" i="44" s="1"/>
  <c r="Q50" i="9"/>
  <c r="R49" i="44" l="1"/>
  <c r="R49" i="49"/>
  <c r="P26" i="9"/>
  <c r="Q27" i="21"/>
  <c r="T15" i="44" s="1"/>
  <c r="R50" i="9"/>
  <c r="S49" i="44" l="1"/>
  <c r="S49" i="49"/>
  <c r="Q26" i="9"/>
  <c r="R27" i="21"/>
  <c r="U15" i="44" s="1"/>
  <c r="S50" i="9"/>
  <c r="T49" i="44" l="1"/>
  <c r="T49" i="49"/>
  <c r="R26" i="9"/>
  <c r="S27" i="21"/>
  <c r="V15" i="44" s="1"/>
  <c r="T50" i="9"/>
  <c r="U49" i="49" l="1"/>
  <c r="U49" i="44"/>
  <c r="S26" i="9"/>
  <c r="T27" i="21"/>
  <c r="W15" i="44" s="1"/>
  <c r="U50" i="9"/>
  <c r="V49" i="49" l="1"/>
  <c r="V49" i="44"/>
  <c r="T26" i="9"/>
  <c r="U27" i="21"/>
  <c r="X15" i="44" s="1"/>
  <c r="W49" i="49" l="1"/>
  <c r="W49" i="44"/>
  <c r="U26" i="9"/>
  <c r="X49" i="49" l="1"/>
  <c r="X49" i="44"/>
  <c r="K72" i="21"/>
  <c r="N14" i="44" s="1"/>
  <c r="K71" i="9"/>
  <c r="P71" i="9"/>
  <c r="P72" i="21"/>
  <c r="S14" i="44" s="1"/>
  <c r="O72" i="21"/>
  <c r="R14" i="44" s="1"/>
  <c r="O71" i="9"/>
  <c r="H72" i="21"/>
  <c r="K14" i="44" s="1"/>
  <c r="H71" i="9"/>
  <c r="Q72" i="21"/>
  <c r="T14" i="44" s="1"/>
  <c r="Q71" i="9"/>
  <c r="N71" i="9"/>
  <c r="N72" i="21"/>
  <c r="Q14" i="44" s="1"/>
  <c r="E72" i="21"/>
  <c r="H14" i="44" s="1"/>
  <c r="I71" i="9"/>
  <c r="I72" i="21"/>
  <c r="L14" i="44" s="1"/>
  <c r="F71" i="9"/>
  <c r="F72" i="21"/>
  <c r="I14" i="44" s="1"/>
  <c r="S71" i="9"/>
  <c r="S72" i="21"/>
  <c r="V14" i="44" s="1"/>
  <c r="T71" i="9"/>
  <c r="T72" i="21"/>
  <c r="W14" i="44" s="1"/>
  <c r="G71" i="9"/>
  <c r="G72" i="21"/>
  <c r="J14" i="44" s="1"/>
  <c r="R72" i="21"/>
  <c r="U14" i="44" s="1"/>
  <c r="R71" i="9"/>
  <c r="L71" i="9"/>
  <c r="L72" i="21"/>
  <c r="O14" i="44" s="1"/>
  <c r="U72" i="21"/>
  <c r="X14" i="44" s="1"/>
  <c r="U71" i="9"/>
  <c r="M72" i="21"/>
  <c r="P14" i="44" s="1"/>
  <c r="M71" i="9"/>
  <c r="J72" i="21"/>
  <c r="M14" i="44" s="1"/>
  <c r="J71" i="9"/>
  <c r="O73" i="21" l="1"/>
  <c r="O74" i="21" s="1"/>
  <c r="O72" i="9"/>
  <c r="O73" i="9" s="1"/>
  <c r="J73" i="21"/>
  <c r="J74" i="21" s="1"/>
  <c r="J72" i="9"/>
  <c r="J73" i="9" s="1"/>
  <c r="G63" i="21"/>
  <c r="G62" i="9"/>
  <c r="I73" i="21"/>
  <c r="I74" i="21" s="1"/>
  <c r="I72" i="9"/>
  <c r="I73" i="9" s="1"/>
  <c r="E72" i="9"/>
  <c r="E73" i="9" s="1"/>
  <c r="E73" i="21"/>
  <c r="E74" i="21" s="1"/>
  <c r="M72" i="9"/>
  <c r="M73" i="9" s="1"/>
  <c r="M73" i="21"/>
  <c r="M74" i="21" s="1"/>
  <c r="O63" i="21"/>
  <c r="O62" i="9"/>
  <c r="I63" i="21"/>
  <c r="I62" i="9"/>
  <c r="U63" i="21"/>
  <c r="U62" i="9"/>
  <c r="L62" i="9"/>
  <c r="L63" i="21"/>
  <c r="H72" i="9"/>
  <c r="H73" i="9" s="1"/>
  <c r="H73" i="21"/>
  <c r="H74" i="21" s="1"/>
  <c r="U73" i="21"/>
  <c r="U74" i="21" s="1"/>
  <c r="U72" i="9"/>
  <c r="U73" i="9" s="1"/>
  <c r="N72" i="9"/>
  <c r="N73" i="9" s="1"/>
  <c r="N73" i="21"/>
  <c r="N74" i="21" s="1"/>
  <c r="K72" i="9"/>
  <c r="K73" i="9" s="1"/>
  <c r="K73" i="21"/>
  <c r="K74" i="21" s="1"/>
  <c r="S62" i="9"/>
  <c r="S63" i="21"/>
  <c r="M63" i="21"/>
  <c r="M62" i="9"/>
  <c r="J62" i="9"/>
  <c r="J63" i="21"/>
  <c r="L72" i="9"/>
  <c r="L73" i="9" s="1"/>
  <c r="L73" i="21"/>
  <c r="L74" i="21" s="1"/>
  <c r="Q72" i="9"/>
  <c r="Q73" i="9" s="1"/>
  <c r="Q73" i="21"/>
  <c r="Q74" i="21" s="1"/>
  <c r="T73" i="21"/>
  <c r="T74" i="21" s="1"/>
  <c r="T72" i="9"/>
  <c r="T73" i="9" s="1"/>
  <c r="Q63" i="21"/>
  <c r="Q62" i="9"/>
  <c r="K63" i="21"/>
  <c r="K62" i="9"/>
  <c r="R72" i="9"/>
  <c r="R73" i="9" s="1"/>
  <c r="R73" i="21"/>
  <c r="R74" i="21" s="1"/>
  <c r="P63" i="21"/>
  <c r="P62" i="9"/>
  <c r="H62" i="9"/>
  <c r="H63" i="21"/>
  <c r="F63" i="21"/>
  <c r="E62" i="9"/>
  <c r="E63" i="21"/>
  <c r="S72" i="9"/>
  <c r="S73" i="9" s="1"/>
  <c r="S73" i="21"/>
  <c r="S74" i="21" s="1"/>
  <c r="R63" i="21"/>
  <c r="R62" i="9"/>
  <c r="T62" i="9"/>
  <c r="T63" i="21"/>
  <c r="F73" i="9"/>
  <c r="F73" i="21"/>
  <c r="F74" i="21" s="1"/>
  <c r="P72" i="9"/>
  <c r="P73" i="9" s="1"/>
  <c r="P73" i="21"/>
  <c r="P74" i="21" s="1"/>
  <c r="G73" i="21"/>
  <c r="G74" i="21" s="1"/>
  <c r="G72" i="9"/>
  <c r="G73" i="9" s="1"/>
  <c r="N62" i="9"/>
  <c r="N63" i="21"/>
  <c r="D72" i="21" l="1"/>
  <c r="G14" i="44" s="1"/>
  <c r="U20" i="8" l="1"/>
  <c r="S20" i="8"/>
  <c r="H20" i="8"/>
  <c r="R20" i="8"/>
  <c r="Q20" i="8"/>
  <c r="O20" i="8"/>
  <c r="H18" i="9"/>
  <c r="H64" i="9"/>
  <c r="H19" i="21"/>
  <c r="L20" i="8"/>
  <c r="K20" i="8"/>
  <c r="C20" i="8"/>
  <c r="C18" i="40" s="1"/>
  <c r="J18" i="9"/>
  <c r="J64" i="9"/>
  <c r="J19" i="21"/>
  <c r="J65" i="21"/>
  <c r="O65" i="21"/>
  <c r="O18" i="9"/>
  <c r="O19" i="21"/>
  <c r="O64" i="9"/>
  <c r="T20" i="8"/>
  <c r="I20" i="8"/>
  <c r="S18" i="9"/>
  <c r="S19" i="21"/>
  <c r="S64" i="9"/>
  <c r="S65" i="21"/>
  <c r="E20" i="8"/>
  <c r="E18" i="40" s="1"/>
  <c r="P20" i="8"/>
  <c r="F18" i="9"/>
  <c r="F19" i="21"/>
  <c r="P65" i="21"/>
  <c r="P64" i="9"/>
  <c r="P18" i="9"/>
  <c r="P19" i="21"/>
  <c r="E19" i="21"/>
  <c r="E64" i="9"/>
  <c r="E18" i="9"/>
  <c r="J20" i="8"/>
  <c r="N64" i="9"/>
  <c r="N19" i="21"/>
  <c r="N65" i="21"/>
  <c r="N18" i="9"/>
  <c r="Q18" i="9"/>
  <c r="Q19" i="21"/>
  <c r="Q64" i="9"/>
  <c r="Q65" i="21"/>
  <c r="I19" i="21"/>
  <c r="I65" i="21"/>
  <c r="I18" i="9"/>
  <c r="I64" i="9"/>
  <c r="F20" i="8"/>
  <c r="F18" i="40" s="1"/>
  <c r="G20" i="8"/>
  <c r="G18" i="9"/>
  <c r="G64" i="9"/>
  <c r="G19" i="21"/>
  <c r="K18" i="9"/>
  <c r="K64" i="9"/>
  <c r="K65" i="21"/>
  <c r="K19" i="21"/>
  <c r="L64" i="9"/>
  <c r="L65" i="21"/>
  <c r="L18" i="9"/>
  <c r="L19" i="21"/>
  <c r="D41" i="9"/>
  <c r="D42" i="21"/>
  <c r="G17" i="44" s="1"/>
  <c r="D14" i="21"/>
  <c r="G9" i="44" s="1"/>
  <c r="D13" i="9"/>
  <c r="D62" i="9" s="1"/>
  <c r="D58" i="9" s="1"/>
  <c r="U64" i="9"/>
  <c r="U19" i="21"/>
  <c r="U65" i="21"/>
  <c r="U18" i="9"/>
  <c r="C15" i="21"/>
  <c r="C14" i="9"/>
  <c r="D15" i="21"/>
  <c r="D73" i="21" s="1"/>
  <c r="D74" i="21" s="1"/>
  <c r="D14" i="9"/>
  <c r="D72" i="9" s="1"/>
  <c r="D73" i="9" s="1"/>
  <c r="N20" i="8"/>
  <c r="D20" i="8"/>
  <c r="D18" i="40" s="1"/>
  <c r="D18" i="9"/>
  <c r="D19" i="21"/>
  <c r="C14" i="21"/>
  <c r="F9" i="44" s="1"/>
  <c r="C13" i="9"/>
  <c r="R19" i="21"/>
  <c r="R65" i="21"/>
  <c r="R18" i="9"/>
  <c r="R64" i="9"/>
  <c r="C19" i="21"/>
  <c r="C18" i="9"/>
  <c r="M65" i="21"/>
  <c r="M19" i="21"/>
  <c r="M18" i="9"/>
  <c r="M64" i="9"/>
  <c r="C41" i="9"/>
  <c r="C42" i="21"/>
  <c r="F17" i="44" s="1"/>
  <c r="M20" i="8"/>
  <c r="T65" i="21"/>
  <c r="T64" i="9"/>
  <c r="T19" i="21"/>
  <c r="T18" i="9"/>
  <c r="G18" i="40" l="1"/>
  <c r="G63" i="9"/>
  <c r="F51" i="49"/>
  <c r="F51" i="44"/>
  <c r="G51" i="49"/>
  <c r="G51" i="44"/>
  <c r="D101" i="9"/>
  <c r="C101" i="9"/>
  <c r="D33" i="21"/>
  <c r="G18" i="44" s="1"/>
  <c r="D63" i="21"/>
  <c r="J18" i="40"/>
  <c r="J64" i="40"/>
  <c r="I18" i="40"/>
  <c r="I64" i="40"/>
  <c r="K18" i="40"/>
  <c r="K64" i="40"/>
  <c r="L18" i="40"/>
  <c r="L64" i="40"/>
  <c r="P18" i="40"/>
  <c r="P64" i="40"/>
  <c r="T18" i="40"/>
  <c r="T64" i="40"/>
  <c r="Q18" i="40"/>
  <c r="Q64" i="40"/>
  <c r="R18" i="40"/>
  <c r="R64" i="40"/>
  <c r="H18" i="21"/>
  <c r="H18" i="40"/>
  <c r="S18" i="40"/>
  <c r="S64" i="40"/>
  <c r="N18" i="40"/>
  <c r="N64" i="40"/>
  <c r="M18" i="40"/>
  <c r="M64" i="40"/>
  <c r="O18" i="40"/>
  <c r="O64" i="40"/>
  <c r="U18" i="40"/>
  <c r="U64" i="40"/>
  <c r="F63" i="9"/>
  <c r="I64" i="21"/>
  <c r="K64" i="21"/>
  <c r="L64" i="21"/>
  <c r="P64" i="21"/>
  <c r="J64" i="21"/>
  <c r="T64" i="21"/>
  <c r="Q18" i="21"/>
  <c r="Q64" i="21"/>
  <c r="R64" i="21"/>
  <c r="S64" i="21"/>
  <c r="N64" i="21"/>
  <c r="M64" i="21"/>
  <c r="O64" i="21"/>
  <c r="U64" i="21"/>
  <c r="S17" i="9"/>
  <c r="E63" i="9"/>
  <c r="E78" i="9" s="1"/>
  <c r="U17" i="9"/>
  <c r="R17" i="9"/>
  <c r="Q63" i="9"/>
  <c r="R18" i="21"/>
  <c r="Q17" i="9"/>
  <c r="H17" i="9"/>
  <c r="S18" i="21"/>
  <c r="U18" i="21"/>
  <c r="U63" i="9"/>
  <c r="R63" i="9"/>
  <c r="C32" i="9"/>
  <c r="M63" i="9"/>
  <c r="D17" i="9"/>
  <c r="D18" i="21"/>
  <c r="J18" i="21"/>
  <c r="J17" i="9"/>
  <c r="J63" i="9"/>
  <c r="W17" i="44"/>
  <c r="S17" i="44"/>
  <c r="T18" i="21"/>
  <c r="T17" i="9"/>
  <c r="T63" i="9"/>
  <c r="D32" i="9"/>
  <c r="T17" i="44"/>
  <c r="N18" i="21"/>
  <c r="N63" i="9"/>
  <c r="N17" i="9"/>
  <c r="G18" i="21"/>
  <c r="G17" i="9"/>
  <c r="V17" i="44"/>
  <c r="K17" i="9"/>
  <c r="K63" i="9"/>
  <c r="K18" i="21"/>
  <c r="H63" i="9"/>
  <c r="P18" i="21"/>
  <c r="P17" i="9"/>
  <c r="P63" i="9"/>
  <c r="L63" i="9"/>
  <c r="L17" i="9"/>
  <c r="L18" i="21"/>
  <c r="S63" i="9"/>
  <c r="O63" i="9"/>
  <c r="O17" i="9"/>
  <c r="O18" i="21"/>
  <c r="M17" i="9"/>
  <c r="M18" i="21"/>
  <c r="C33" i="21"/>
  <c r="F18" i="44" s="1"/>
  <c r="F17" i="9"/>
  <c r="F18" i="21"/>
  <c r="E17" i="9"/>
  <c r="E18" i="21"/>
  <c r="I63" i="9"/>
  <c r="I17" i="9"/>
  <c r="I18" i="21"/>
  <c r="C18" i="21"/>
  <c r="C17" i="9"/>
  <c r="U17" i="44"/>
  <c r="G78" i="9" l="1"/>
  <c r="S78" i="9"/>
  <c r="M78" i="9"/>
  <c r="N78" i="9"/>
  <c r="P78" i="9"/>
  <c r="Q78" i="9"/>
  <c r="I78" i="9"/>
  <c r="L78" i="9"/>
  <c r="F78" i="9"/>
  <c r="J78" i="9"/>
  <c r="R78" i="9"/>
  <c r="H78" i="9"/>
  <c r="O78" i="9"/>
  <c r="T78" i="9"/>
  <c r="U78" i="9"/>
  <c r="K78" i="9"/>
  <c r="E58" i="9"/>
  <c r="R17" i="44"/>
  <c r="F52" i="49"/>
  <c r="F52" i="44"/>
  <c r="G52" i="44"/>
  <c r="G52" i="49"/>
  <c r="X17" i="44"/>
  <c r="M17" i="44"/>
  <c r="R12" i="44"/>
  <c r="L17" i="44"/>
  <c r="X12" i="44"/>
  <c r="W12" i="44"/>
  <c r="V12" i="44"/>
  <c r="N17" i="44"/>
  <c r="U12" i="44"/>
  <c r="S12" i="44"/>
  <c r="G42" i="21"/>
  <c r="T12" i="44"/>
  <c r="Q12" i="44"/>
  <c r="J17" i="44" l="1"/>
  <c r="K17" i="44"/>
  <c r="C87" i="9" l="1"/>
  <c r="D67" i="9"/>
  <c r="D76" i="9" s="1"/>
  <c r="D68" i="9"/>
  <c r="D69" i="9"/>
  <c r="D68" i="40"/>
  <c r="D77" i="40" s="1"/>
  <c r="D69" i="40"/>
  <c r="D70" i="40"/>
  <c r="C92" i="40"/>
  <c r="F58" i="49" s="1"/>
  <c r="D68" i="21"/>
  <c r="D69" i="21"/>
  <c r="D70" i="21"/>
  <c r="C90" i="21"/>
  <c r="F58" i="44" s="1"/>
  <c r="C88" i="9" l="1"/>
  <c r="C89" i="9"/>
  <c r="C90" i="9"/>
  <c r="C91" i="9"/>
  <c r="C92" i="9"/>
  <c r="G45" i="49"/>
  <c r="G45" i="44"/>
  <c r="G10" i="49"/>
  <c r="G10" i="44"/>
  <c r="C97" i="40" l="1"/>
  <c r="F62" i="49" s="1"/>
  <c r="C94" i="21"/>
  <c r="F61" i="44" s="1"/>
  <c r="C96" i="40"/>
  <c r="F61" i="49" s="1"/>
  <c r="C93" i="21"/>
  <c r="F60" i="44" s="1"/>
  <c r="C95" i="40"/>
  <c r="F60" i="49" s="1"/>
  <c r="C92" i="21"/>
  <c r="F59" i="44" s="1"/>
  <c r="C94" i="40"/>
  <c r="F59" i="49" s="1"/>
  <c r="C93" i="40"/>
  <c r="D97" i="9"/>
  <c r="C91" i="21"/>
  <c r="C93" i="9"/>
  <c r="C95" i="21"/>
  <c r="F62" i="44" s="1"/>
  <c r="C94" i="9"/>
  <c r="D77" i="9"/>
  <c r="D71" i="40"/>
  <c r="D71" i="21"/>
  <c r="D66" i="9"/>
  <c r="D57" i="9" s="1"/>
  <c r="D56" i="9" s="1"/>
  <c r="D99" i="21"/>
  <c r="C97" i="21" l="1"/>
  <c r="C99" i="40"/>
  <c r="C96" i="21"/>
  <c r="C98" i="40"/>
  <c r="D67" i="40"/>
  <c r="D58" i="40" s="1"/>
  <c r="D57" i="40" s="1"/>
  <c r="D78" i="40"/>
  <c r="G6" i="49"/>
  <c r="D67" i="21"/>
  <c r="D78" i="21"/>
  <c r="E12" i="21" s="1"/>
  <c r="G41" i="44"/>
  <c r="G41" i="49"/>
  <c r="G42" i="44"/>
  <c r="G42" i="49"/>
  <c r="E69" i="9"/>
  <c r="E68" i="9"/>
  <c r="D87" i="9"/>
  <c r="D83" i="9" s="1"/>
  <c r="D84" i="9" s="1"/>
  <c r="D104" i="21"/>
  <c r="G5" i="49" l="1"/>
  <c r="D91" i="9"/>
  <c r="D90" i="9"/>
  <c r="D92" i="40"/>
  <c r="E70" i="40"/>
  <c r="G58" i="49" l="1"/>
  <c r="D93" i="21"/>
  <c r="D95" i="40"/>
  <c r="D94" i="21"/>
  <c r="D96" i="40"/>
  <c r="G61" i="49" s="1"/>
  <c r="D92" i="9"/>
  <c r="D89" i="9"/>
  <c r="D87" i="40"/>
  <c r="D88" i="40" s="1"/>
  <c r="G60" i="49"/>
  <c r="D94" i="40" l="1"/>
  <c r="G59" i="49" s="1"/>
  <c r="D95" i="21"/>
  <c r="D97" i="40"/>
  <c r="G62" i="49" s="1"/>
  <c r="D88" i="9"/>
  <c r="D92" i="21"/>
  <c r="D93" i="40" l="1"/>
  <c r="E102" i="40" s="1"/>
  <c r="E97" i="9"/>
  <c r="D91" i="21"/>
  <c r="E103" i="40" l="1"/>
  <c r="D94" i="9"/>
  <c r="D93" i="9"/>
  <c r="D96" i="21" l="1"/>
  <c r="D98" i="40"/>
  <c r="D97" i="21"/>
  <c r="D99" i="40"/>
  <c r="C99" i="21"/>
  <c r="C104" i="21" s="1"/>
  <c r="D59" i="21" l="1"/>
  <c r="D77" i="21" s="1"/>
  <c r="D58" i="21" l="1"/>
  <c r="D57" i="21" s="1"/>
  <c r="G5" i="44" s="1"/>
  <c r="G6" i="44" l="1"/>
  <c r="D90" i="21"/>
  <c r="E100" i="21" s="1"/>
  <c r="E70" i="21"/>
  <c r="G58" i="44" l="1"/>
  <c r="D85" i="21"/>
  <c r="D86" i="21" s="1"/>
  <c r="G59" i="44" l="1"/>
  <c r="G60" i="44"/>
  <c r="G62" i="44"/>
  <c r="G61" i="44"/>
  <c r="E101" i="21" l="1"/>
  <c r="E99" i="21" s="1"/>
  <c r="J46" i="44" l="1"/>
  <c r="J46" i="49"/>
  <c r="G37" i="40"/>
  <c r="G37" i="21"/>
  <c r="J11" i="44" s="1"/>
  <c r="J11" i="49" l="1"/>
  <c r="K46" i="44"/>
  <c r="K46" i="49"/>
  <c r="K11" i="44"/>
  <c r="K11" i="49" l="1"/>
  <c r="L46" i="44"/>
  <c r="L46" i="49"/>
  <c r="L11" i="44"/>
  <c r="M46" i="49" l="1"/>
  <c r="M46" i="44"/>
  <c r="L11" i="49"/>
  <c r="M11" i="44"/>
  <c r="M11" i="49" l="1"/>
  <c r="N46" i="49"/>
  <c r="N46" i="44"/>
  <c r="N11" i="44"/>
  <c r="N11" i="49" l="1"/>
  <c r="O46" i="49"/>
  <c r="O46" i="44"/>
  <c r="O11" i="44"/>
  <c r="P46" i="49" l="1"/>
  <c r="P46" i="44"/>
  <c r="O11" i="49"/>
  <c r="P11" i="49"/>
  <c r="P11" i="44"/>
  <c r="T11" i="49" l="1"/>
  <c r="T11" i="44"/>
  <c r="S11" i="44"/>
  <c r="S11" i="49"/>
  <c r="W11" i="44"/>
  <c r="W11" i="49"/>
  <c r="V11" i="49"/>
  <c r="V11" i="44"/>
  <c r="X11" i="49"/>
  <c r="X11" i="44"/>
  <c r="U11" i="44"/>
  <c r="U11" i="49"/>
  <c r="R29" i="9" l="1"/>
  <c r="R61" i="9" s="1"/>
  <c r="U29" i="9"/>
  <c r="U61" i="9" s="1"/>
  <c r="S32" i="9"/>
  <c r="R32" i="9"/>
  <c r="L32" i="9"/>
  <c r="I29" i="9"/>
  <c r="J29" i="9"/>
  <c r="H29" i="9"/>
  <c r="N32" i="9"/>
  <c r="S29" i="9"/>
  <c r="S61" i="9" s="1"/>
  <c r="G29" i="9"/>
  <c r="Q29" i="9"/>
  <c r="Q61" i="9" s="1"/>
  <c r="O29" i="9"/>
  <c r="O61" i="9" s="1"/>
  <c r="M29" i="9"/>
  <c r="M61" i="9" s="1"/>
  <c r="K32" i="9"/>
  <c r="Q32" i="9"/>
  <c r="P32" i="9"/>
  <c r="T29" i="9"/>
  <c r="T61" i="9" s="1"/>
  <c r="P29" i="9"/>
  <c r="P61" i="9" s="1"/>
  <c r="N29" i="9"/>
  <c r="N61" i="9" s="1"/>
  <c r="L29" i="9"/>
  <c r="L61" i="9" s="1"/>
  <c r="K29" i="9"/>
  <c r="K61" i="9" s="1"/>
  <c r="G32" i="9"/>
  <c r="I32" i="9"/>
  <c r="O32" i="9"/>
  <c r="O52" i="49" l="1"/>
  <c r="O52" i="44"/>
  <c r="T52" i="49"/>
  <c r="T52" i="44"/>
  <c r="R44" i="44"/>
  <c r="R44" i="49"/>
  <c r="V44" i="49"/>
  <c r="V44" i="44"/>
  <c r="U52" i="49"/>
  <c r="U52" i="44"/>
  <c r="T44" i="49"/>
  <c r="T44" i="44"/>
  <c r="L52" i="49"/>
  <c r="L52" i="44"/>
  <c r="V52" i="49"/>
  <c r="V52" i="44"/>
  <c r="N52" i="49"/>
  <c r="N52" i="44"/>
  <c r="R52" i="49"/>
  <c r="R52" i="44"/>
  <c r="J52" i="44"/>
  <c r="J52" i="49"/>
  <c r="N44" i="44"/>
  <c r="N44" i="49"/>
  <c r="Q44" i="44"/>
  <c r="Q44" i="49"/>
  <c r="X44" i="49"/>
  <c r="X44" i="44"/>
  <c r="P44" i="44"/>
  <c r="P44" i="49"/>
  <c r="Q52" i="49"/>
  <c r="Q52" i="44"/>
  <c r="O44" i="44"/>
  <c r="O44" i="49"/>
  <c r="S44" i="49"/>
  <c r="S44" i="44"/>
  <c r="W44" i="49"/>
  <c r="W44" i="44"/>
  <c r="S52" i="49"/>
  <c r="S52" i="44"/>
  <c r="U44" i="49"/>
  <c r="U44" i="44"/>
  <c r="L58" i="9"/>
  <c r="K58" i="9"/>
  <c r="S58" i="9"/>
  <c r="H61" i="9"/>
  <c r="J61" i="9"/>
  <c r="I61" i="9"/>
  <c r="G61" i="9"/>
  <c r="F61" i="9"/>
  <c r="T32" i="9"/>
  <c r="M32" i="9"/>
  <c r="U32" i="9"/>
  <c r="M58" i="9"/>
  <c r="P58" i="9"/>
  <c r="Q58" i="9"/>
  <c r="N58" i="9"/>
  <c r="T58" i="9"/>
  <c r="U58" i="9"/>
  <c r="H32" i="9"/>
  <c r="R58" i="9"/>
  <c r="O58" i="9"/>
  <c r="J32" i="9"/>
  <c r="K52" i="44" l="1"/>
  <c r="K52" i="49"/>
  <c r="K44" i="49"/>
  <c r="K44" i="44"/>
  <c r="L44" i="49"/>
  <c r="L44" i="44"/>
  <c r="M44" i="49"/>
  <c r="M44" i="44"/>
  <c r="X52" i="44"/>
  <c r="X52" i="49"/>
  <c r="P52" i="49"/>
  <c r="P52" i="44"/>
  <c r="W52" i="44"/>
  <c r="W52" i="49"/>
  <c r="I44" i="49"/>
  <c r="I44" i="44"/>
  <c r="M52" i="49"/>
  <c r="M52" i="44"/>
  <c r="J44" i="49"/>
  <c r="J44" i="44"/>
  <c r="F58" i="9"/>
  <c r="H58" i="9"/>
  <c r="I58" i="9"/>
  <c r="J58" i="9"/>
  <c r="G58" i="9"/>
  <c r="E79" i="21" l="1"/>
  <c r="E60" i="21" l="1"/>
  <c r="E79" i="40"/>
  <c r="H7" i="44"/>
  <c r="E13" i="21"/>
  <c r="G18" i="35"/>
  <c r="E52" i="21" l="1"/>
  <c r="E50" i="21"/>
  <c r="H7" i="49"/>
  <c r="E52" i="40"/>
  <c r="E13" i="40"/>
  <c r="G25" i="35"/>
  <c r="F79" i="40"/>
  <c r="E50" i="40"/>
  <c r="E60" i="40"/>
  <c r="E23" i="21" l="1"/>
  <c r="E24" i="21" s="1"/>
  <c r="E23" i="40"/>
  <c r="I7" i="49"/>
  <c r="F52" i="40"/>
  <c r="F60" i="40"/>
  <c r="H25" i="35"/>
  <c r="F13" i="40"/>
  <c r="F50" i="40"/>
  <c r="G79" i="40"/>
  <c r="E30" i="21" l="1"/>
  <c r="F51" i="21" s="1"/>
  <c r="E30" i="40"/>
  <c r="F51" i="40" s="1"/>
  <c r="E24" i="40"/>
  <c r="E33" i="21"/>
  <c r="E69" i="21" s="1"/>
  <c r="H16" i="44"/>
  <c r="J7" i="49"/>
  <c r="G50" i="40"/>
  <c r="G52" i="40"/>
  <c r="G13" i="40"/>
  <c r="I25" i="35"/>
  <c r="G60" i="40"/>
  <c r="H79" i="40"/>
  <c r="E62" i="21" l="1"/>
  <c r="E68" i="21"/>
  <c r="H18" i="44"/>
  <c r="J25" i="35"/>
  <c r="H50" i="40"/>
  <c r="K7" i="49"/>
  <c r="H13" i="40"/>
  <c r="H52" i="40"/>
  <c r="J27" i="35"/>
  <c r="H60" i="40"/>
  <c r="I79" i="40"/>
  <c r="E33" i="40"/>
  <c r="H16" i="49"/>
  <c r="H8" i="44"/>
  <c r="E59" i="21"/>
  <c r="E62" i="40"/>
  <c r="F23" i="40"/>
  <c r="E77" i="21" l="1"/>
  <c r="H8" i="49"/>
  <c r="E59" i="40"/>
  <c r="H18" i="49"/>
  <c r="E68" i="40"/>
  <c r="L7" i="49"/>
  <c r="I52" i="40"/>
  <c r="I13" i="40"/>
  <c r="K25" i="35"/>
  <c r="I60" i="40"/>
  <c r="I50" i="40"/>
  <c r="J79" i="40"/>
  <c r="H10" i="44"/>
  <c r="E69" i="40"/>
  <c r="F30" i="40"/>
  <c r="G51" i="40" s="1"/>
  <c r="F24" i="40"/>
  <c r="E77" i="40" l="1"/>
  <c r="H10" i="49"/>
  <c r="I16" i="49"/>
  <c r="F33" i="40"/>
  <c r="I18" i="49" s="1"/>
  <c r="M7" i="49"/>
  <c r="J13" i="40"/>
  <c r="L25" i="35"/>
  <c r="J52" i="40"/>
  <c r="J50" i="40"/>
  <c r="J60" i="40"/>
  <c r="F62" i="40"/>
  <c r="G23" i="40"/>
  <c r="K79" i="40" l="1"/>
  <c r="C81" i="40" s="1"/>
  <c r="M27" i="35"/>
  <c r="G30" i="40"/>
  <c r="H51" i="40" s="1"/>
  <c r="G24" i="40"/>
  <c r="I8" i="49"/>
  <c r="F59" i="40"/>
  <c r="N7" i="49"/>
  <c r="M25" i="35"/>
  <c r="K13" i="40"/>
  <c r="K52" i="40"/>
  <c r="K50" i="40"/>
  <c r="K60" i="40"/>
  <c r="L12" i="40"/>
  <c r="L79" i="40" s="1"/>
  <c r="J16" i="49" l="1"/>
  <c r="G33" i="40"/>
  <c r="J18" i="49" s="1"/>
  <c r="O7" i="49"/>
  <c r="L52" i="40"/>
  <c r="L13" i="40"/>
  <c r="L50" i="40"/>
  <c r="L60" i="40"/>
  <c r="M12" i="40"/>
  <c r="M79" i="40" s="1"/>
  <c r="G62" i="40"/>
  <c r="H23" i="40"/>
  <c r="J8" i="49" l="1"/>
  <c r="G59" i="40"/>
  <c r="P7" i="49"/>
  <c r="M13" i="40"/>
  <c r="M52" i="40"/>
  <c r="M50" i="40"/>
  <c r="N51" i="40" s="1"/>
  <c r="M60" i="40"/>
  <c r="N12" i="40"/>
  <c r="N79" i="40" s="1"/>
  <c r="H24" i="40"/>
  <c r="H30" i="40"/>
  <c r="I51" i="40" l="1"/>
  <c r="I23" i="40" s="1"/>
  <c r="K16" i="49"/>
  <c r="H33" i="40"/>
  <c r="K18" i="49" s="1"/>
  <c r="N13" i="40"/>
  <c r="N52" i="40"/>
  <c r="Q7" i="49"/>
  <c r="N50" i="40"/>
  <c r="O51" i="40" s="1"/>
  <c r="N60" i="40"/>
  <c r="O12" i="40"/>
  <c r="O79" i="40" s="1"/>
  <c r="H62" i="40"/>
  <c r="K8" i="49" l="1"/>
  <c r="H59" i="40"/>
  <c r="R7" i="49"/>
  <c r="O52" i="40"/>
  <c r="O13" i="40"/>
  <c r="O60" i="40"/>
  <c r="O50" i="40"/>
  <c r="P51" i="40" s="1"/>
  <c r="P12" i="40"/>
  <c r="P79" i="40" s="1"/>
  <c r="I30" i="40"/>
  <c r="J51" i="40" s="1"/>
  <c r="I24" i="40"/>
  <c r="I62" i="40" l="1"/>
  <c r="J23" i="40"/>
  <c r="L16" i="49"/>
  <c r="I33" i="40"/>
  <c r="L18" i="49" s="1"/>
  <c r="S7" i="49"/>
  <c r="P52" i="40"/>
  <c r="P13" i="40"/>
  <c r="P50" i="40"/>
  <c r="Q51" i="40" s="1"/>
  <c r="P60" i="40"/>
  <c r="Q12" i="40"/>
  <c r="Q79" i="40" s="1"/>
  <c r="T7" i="49" l="1"/>
  <c r="Q52" i="40"/>
  <c r="Q13" i="40"/>
  <c r="Q50" i="40"/>
  <c r="R51" i="40" s="1"/>
  <c r="Q60" i="40"/>
  <c r="R12" i="40"/>
  <c r="R79" i="40" s="1"/>
  <c r="J30" i="40"/>
  <c r="K51" i="40" s="1"/>
  <c r="K23" i="40" s="1"/>
  <c r="J24" i="40"/>
  <c r="L8" i="49"/>
  <c r="I59" i="40"/>
  <c r="M16" i="49" l="1"/>
  <c r="J33" i="40"/>
  <c r="M18" i="49" s="1"/>
  <c r="J62" i="40"/>
  <c r="U7" i="49"/>
  <c r="R13" i="40"/>
  <c r="R52" i="40"/>
  <c r="R50" i="40"/>
  <c r="S51" i="40" s="1"/>
  <c r="R60" i="40"/>
  <c r="S12" i="40"/>
  <c r="S79" i="40" s="1"/>
  <c r="M8" i="49" l="1"/>
  <c r="J59" i="40"/>
  <c r="S52" i="40"/>
  <c r="S13" i="40"/>
  <c r="V7" i="49"/>
  <c r="S50" i="40"/>
  <c r="T51" i="40" s="1"/>
  <c r="T12" i="40"/>
  <c r="T79" i="40" s="1"/>
  <c r="S60" i="40"/>
  <c r="K30" i="40"/>
  <c r="K24" i="40"/>
  <c r="L51" i="40" l="1"/>
  <c r="L23" i="40" s="1"/>
  <c r="M51" i="40"/>
  <c r="W7" i="49"/>
  <c r="T52" i="40"/>
  <c r="T13" i="40"/>
  <c r="T50" i="40"/>
  <c r="U51" i="40" s="1"/>
  <c r="U12" i="40"/>
  <c r="U79" i="40" s="1"/>
  <c r="T60" i="40"/>
  <c r="N16" i="49"/>
  <c r="K33" i="40"/>
  <c r="N18" i="49" s="1"/>
  <c r="K62" i="40"/>
  <c r="M23" i="40" l="1"/>
  <c r="N23" i="40" s="1"/>
  <c r="O23" i="40" s="1"/>
  <c r="P23" i="40" s="1"/>
  <c r="Q23" i="40" s="1"/>
  <c r="R23" i="40" s="1"/>
  <c r="S23" i="40" s="1"/>
  <c r="T23" i="40" s="1"/>
  <c r="X7" i="49"/>
  <c r="U52" i="40"/>
  <c r="U13" i="40"/>
  <c r="U50" i="40"/>
  <c r="U60" i="40"/>
  <c r="L30" i="40"/>
  <c r="L62" i="40" s="1"/>
  <c r="L24" i="40"/>
  <c r="N8" i="49"/>
  <c r="K59" i="40"/>
  <c r="U23" i="40" l="1"/>
  <c r="N30" i="40"/>
  <c r="N62" i="40" s="1"/>
  <c r="O16" i="49"/>
  <c r="L33" i="40"/>
  <c r="O18" i="49" s="1"/>
  <c r="O8" i="49"/>
  <c r="L59" i="40"/>
  <c r="M24" i="40"/>
  <c r="M30" i="40"/>
  <c r="M62" i="40" s="1"/>
  <c r="N24" i="40"/>
  <c r="Q8" i="49" l="1"/>
  <c r="N59" i="40"/>
  <c r="O30" i="40"/>
  <c r="O62" i="40" s="1"/>
  <c r="O24" i="40"/>
  <c r="P8" i="49"/>
  <c r="M59" i="40"/>
  <c r="N33" i="40"/>
  <c r="Q18" i="49" s="1"/>
  <c r="Q16" i="49"/>
  <c r="P16" i="49"/>
  <c r="M33" i="40"/>
  <c r="P18" i="49" s="1"/>
  <c r="P30" i="40" l="1"/>
  <c r="P62" i="40" s="1"/>
  <c r="P24" i="40"/>
  <c r="O33" i="40"/>
  <c r="R18" i="49" s="1"/>
  <c r="R16" i="49"/>
  <c r="R8" i="49"/>
  <c r="O59" i="40"/>
  <c r="Q30" i="40" l="1"/>
  <c r="Q62" i="40" s="1"/>
  <c r="Q24" i="40"/>
  <c r="S16" i="49"/>
  <c r="P33" i="40"/>
  <c r="S18" i="49" s="1"/>
  <c r="S8" i="49"/>
  <c r="P59" i="40"/>
  <c r="R30" i="40" l="1"/>
  <c r="R62" i="40" s="1"/>
  <c r="R24" i="40"/>
  <c r="T16" i="49"/>
  <c r="Q33" i="40"/>
  <c r="T18" i="49" s="1"/>
  <c r="Q59" i="40"/>
  <c r="T8" i="49"/>
  <c r="U8" i="49" l="1"/>
  <c r="R59" i="40"/>
  <c r="S24" i="40"/>
  <c r="S30" i="40"/>
  <c r="S62" i="40" s="1"/>
  <c r="R33" i="40"/>
  <c r="U18" i="49" s="1"/>
  <c r="U16" i="49"/>
  <c r="V8" i="49" l="1"/>
  <c r="S59" i="40"/>
  <c r="T24" i="40"/>
  <c r="T30" i="40"/>
  <c r="T62" i="40" s="1"/>
  <c r="S33" i="40"/>
  <c r="V18" i="49" s="1"/>
  <c r="V16" i="49"/>
  <c r="U30" i="40" l="1"/>
  <c r="U62" i="40" s="1"/>
  <c r="U24" i="40"/>
  <c r="W8" i="49"/>
  <c r="T59" i="40"/>
  <c r="W16" i="49"/>
  <c r="T33" i="40"/>
  <c r="W18" i="49" s="1"/>
  <c r="X16" i="49" l="1"/>
  <c r="U33" i="40"/>
  <c r="X18" i="49" s="1"/>
  <c r="X8" i="49"/>
  <c r="U59" i="40"/>
  <c r="H48" i="49" l="1"/>
  <c r="H48" i="44"/>
  <c r="E96" i="9"/>
  <c r="E101" i="40" s="1"/>
  <c r="E106" i="40" s="1"/>
  <c r="E92" i="40" s="1"/>
  <c r="E67" i="9"/>
  <c r="H58" i="49" l="1"/>
  <c r="E71" i="40"/>
  <c r="E78" i="40" s="1"/>
  <c r="G26" i="35" s="1"/>
  <c r="E76" i="9"/>
  <c r="H45" i="44"/>
  <c r="E87" i="40"/>
  <c r="E88" i="40" s="1"/>
  <c r="H6" i="49"/>
  <c r="H45" i="49"/>
  <c r="E101" i="9"/>
  <c r="E87" i="9" s="1"/>
  <c r="E67" i="40" l="1"/>
  <c r="E58" i="40" s="1"/>
  <c r="E57" i="40" s="1"/>
  <c r="F70" i="40" s="1"/>
  <c r="E77" i="9"/>
  <c r="E71" i="21"/>
  <c r="E67" i="21" s="1"/>
  <c r="E58" i="21" s="1"/>
  <c r="E57" i="21" s="1"/>
  <c r="E66" i="9"/>
  <c r="E57" i="9" s="1"/>
  <c r="E56" i="9" s="1"/>
  <c r="F69" i="9" s="1"/>
  <c r="E95" i="40"/>
  <c r="H60" i="49" s="1"/>
  <c r="E97" i="40"/>
  <c r="H62" i="49" s="1"/>
  <c r="E104" i="21"/>
  <c r="E90" i="21" s="1"/>
  <c r="E96" i="40"/>
  <c r="H61" i="49" s="1"/>
  <c r="H5" i="49"/>
  <c r="H42" i="49"/>
  <c r="H42" i="44"/>
  <c r="E83" i="9"/>
  <c r="E84" i="9" s="1"/>
  <c r="E94" i="40"/>
  <c r="H59" i="49" s="1"/>
  <c r="F69" i="40" l="1"/>
  <c r="E78" i="21"/>
  <c r="F12" i="21" s="1"/>
  <c r="H41" i="49"/>
  <c r="F68" i="9"/>
  <c r="H41" i="44"/>
  <c r="E93" i="40"/>
  <c r="E98" i="40" s="1"/>
  <c r="H58" i="44"/>
  <c r="E91" i="9"/>
  <c r="E92" i="9"/>
  <c r="E90" i="9"/>
  <c r="E89" i="9"/>
  <c r="E85" i="21"/>
  <c r="E86" i="21" s="1"/>
  <c r="E92" i="21" s="1"/>
  <c r="F70" i="21"/>
  <c r="H5" i="44"/>
  <c r="H6" i="44"/>
  <c r="G19" i="35" l="1"/>
  <c r="E99" i="40"/>
  <c r="E95" i="21"/>
  <c r="H62" i="44" s="1"/>
  <c r="E93" i="21"/>
  <c r="E91" i="21" s="1"/>
  <c r="E94" i="21"/>
  <c r="H61" i="44" s="1"/>
  <c r="E88" i="9"/>
  <c r="H59" i="44"/>
  <c r="H60" i="44" l="1"/>
  <c r="E96" i="21"/>
  <c r="E97" i="21"/>
  <c r="E93" i="9" l="1"/>
  <c r="E94" i="9" l="1"/>
  <c r="F97" i="9" l="1"/>
  <c r="F98" i="9" l="1"/>
  <c r="F96" i="9" s="1"/>
  <c r="F101" i="9" s="1"/>
  <c r="F87" i="9" s="1"/>
  <c r="F102" i="40"/>
  <c r="F35" i="9" l="1"/>
  <c r="F67" i="9" s="1"/>
  <c r="F76" i="9" s="1"/>
  <c r="F83" i="9"/>
  <c r="F103" i="40"/>
  <c r="I48" i="49" l="1"/>
  <c r="I48" i="44"/>
  <c r="F84" i="9"/>
  <c r="F89" i="9" s="1"/>
  <c r="F92" i="9"/>
  <c r="F91" i="9"/>
  <c r="I45" i="49"/>
  <c r="I45" i="44"/>
  <c r="F101" i="40"/>
  <c r="F36" i="40" s="1"/>
  <c r="F90" i="9" l="1"/>
  <c r="F88" i="9" s="1"/>
  <c r="F71" i="40"/>
  <c r="F77" i="9"/>
  <c r="F66" i="9"/>
  <c r="F57" i="9" s="1"/>
  <c r="F56" i="9" s="1"/>
  <c r="F71" i="21"/>
  <c r="F106" i="40"/>
  <c r="F92" i="40" s="1"/>
  <c r="I58" i="49" l="1"/>
  <c r="F94" i="9"/>
  <c r="G97" i="9"/>
  <c r="G98" i="9" s="1"/>
  <c r="G96" i="9" s="1"/>
  <c r="G35" i="9" s="1"/>
  <c r="F93" i="9"/>
  <c r="I41" i="44"/>
  <c r="G69" i="9"/>
  <c r="I41" i="49"/>
  <c r="G68" i="9"/>
  <c r="I42" i="44"/>
  <c r="I42" i="49"/>
  <c r="F87" i="40"/>
  <c r="F88" i="40" s="1"/>
  <c r="I13" i="49"/>
  <c r="F68" i="40"/>
  <c r="F77" i="40" s="1"/>
  <c r="G101" i="9" l="1"/>
  <c r="G87" i="9" s="1"/>
  <c r="F96" i="40"/>
  <c r="I61" i="49" s="1"/>
  <c r="F95" i="40"/>
  <c r="I60" i="49" s="1"/>
  <c r="G67" i="9"/>
  <c r="G76" i="9" s="1"/>
  <c r="J48" i="44"/>
  <c r="J48" i="49"/>
  <c r="G83" i="9"/>
  <c r="F94" i="40"/>
  <c r="I59" i="49" s="1"/>
  <c r="F97" i="40"/>
  <c r="I62" i="49" s="1"/>
  <c r="F78" i="40"/>
  <c r="H26" i="35" s="1"/>
  <c r="I6" i="49"/>
  <c r="F67" i="40"/>
  <c r="F58" i="40" s="1"/>
  <c r="F57" i="40" s="1"/>
  <c r="I10" i="49"/>
  <c r="F93" i="40" l="1"/>
  <c r="G102" i="40" s="1"/>
  <c r="G92" i="9"/>
  <c r="G84" i="9"/>
  <c r="G90" i="9" s="1"/>
  <c r="G91" i="9"/>
  <c r="J45" i="44"/>
  <c r="J45" i="49"/>
  <c r="I5" i="49"/>
  <c r="G70" i="40"/>
  <c r="G69" i="40"/>
  <c r="F98" i="40" l="1"/>
  <c r="F99" i="40"/>
  <c r="G89" i="9"/>
  <c r="G88" i="9" s="1"/>
  <c r="H97" i="9" s="1"/>
  <c r="H98" i="9" s="1"/>
  <c r="H96" i="9" s="1"/>
  <c r="G66" i="9"/>
  <c r="G57" i="9" s="1"/>
  <c r="G56" i="9" s="1"/>
  <c r="G77" i="9"/>
  <c r="J42" i="49"/>
  <c r="J42" i="44"/>
  <c r="G103" i="40"/>
  <c r="H68" i="9" l="1"/>
  <c r="J41" i="44"/>
  <c r="J41" i="49"/>
  <c r="H69" i="9"/>
  <c r="G94" i="9"/>
  <c r="G93" i="9"/>
  <c r="H101" i="9"/>
  <c r="H87" i="9" s="1"/>
  <c r="H35" i="9"/>
  <c r="G101" i="40"/>
  <c r="G36" i="40" s="1"/>
  <c r="K48" i="44" l="1"/>
  <c r="K48" i="49"/>
  <c r="H67" i="9"/>
  <c r="H76" i="9" s="1"/>
  <c r="H83" i="9"/>
  <c r="G106" i="40"/>
  <c r="G92" i="40" s="1"/>
  <c r="J58" i="49" l="1"/>
  <c r="H84" i="9"/>
  <c r="H89" i="9" s="1"/>
  <c r="H91" i="9"/>
  <c r="H92" i="9"/>
  <c r="K45" i="44"/>
  <c r="K45" i="49"/>
  <c r="H77" i="9"/>
  <c r="H66" i="9"/>
  <c r="H57" i="9" s="1"/>
  <c r="H56" i="9" s="1"/>
  <c r="G68" i="40"/>
  <c r="G77" i="40" s="1"/>
  <c r="J13" i="49"/>
  <c r="G87" i="40"/>
  <c r="G88" i="40" s="1"/>
  <c r="H90" i="9" l="1"/>
  <c r="G97" i="40"/>
  <c r="J62" i="49" s="1"/>
  <c r="H88" i="9"/>
  <c r="I97" i="9" s="1"/>
  <c r="I98" i="9" s="1"/>
  <c r="I96" i="9" s="1"/>
  <c r="G95" i="40"/>
  <c r="J60" i="49" s="1"/>
  <c r="G94" i="40"/>
  <c r="J59" i="49" s="1"/>
  <c r="G96" i="40"/>
  <c r="J61" i="49" s="1"/>
  <c r="K42" i="49"/>
  <c r="K42" i="44"/>
  <c r="K41" i="44"/>
  <c r="K41" i="49"/>
  <c r="I68" i="9"/>
  <c r="I69" i="9"/>
  <c r="G67" i="40"/>
  <c r="G58" i="40" s="1"/>
  <c r="G57" i="40" s="1"/>
  <c r="G78" i="40"/>
  <c r="I26" i="35" s="1"/>
  <c r="J6" i="49"/>
  <c r="J10" i="49"/>
  <c r="H94" i="9" l="1"/>
  <c r="H93" i="9"/>
  <c r="G93" i="40"/>
  <c r="H102" i="40" s="1"/>
  <c r="I35" i="9"/>
  <c r="I101" i="9"/>
  <c r="I87" i="9" s="1"/>
  <c r="H70" i="40"/>
  <c r="H69" i="40"/>
  <c r="J5" i="49"/>
  <c r="G98" i="40" l="1"/>
  <c r="G99" i="40"/>
  <c r="H103" i="40"/>
  <c r="I83" i="9"/>
  <c r="I91" i="9" s="1"/>
  <c r="L48" i="49"/>
  <c r="L48" i="44"/>
  <c r="I67" i="9"/>
  <c r="I76" i="9" s="1"/>
  <c r="H101" i="40" l="1"/>
  <c r="H36" i="40" s="1"/>
  <c r="I84" i="9"/>
  <c r="I90" i="9" s="1"/>
  <c r="I77" i="9"/>
  <c r="I66" i="9"/>
  <c r="I57" i="9" s="1"/>
  <c r="I56" i="9" s="1"/>
  <c r="L45" i="49"/>
  <c r="L45" i="44"/>
  <c r="I92" i="9"/>
  <c r="I89" i="9" l="1"/>
  <c r="I88" i="9"/>
  <c r="J97" i="9" s="1"/>
  <c r="J98" i="9" s="1"/>
  <c r="J96" i="9" s="1"/>
  <c r="H106" i="40"/>
  <c r="H92" i="40" s="1"/>
  <c r="L41" i="49"/>
  <c r="J68" i="9"/>
  <c r="L41" i="44"/>
  <c r="J69" i="9"/>
  <c r="L42" i="44"/>
  <c r="L42" i="49"/>
  <c r="K58" i="49" l="1"/>
  <c r="I93" i="9"/>
  <c r="I94" i="9"/>
  <c r="H87" i="40"/>
  <c r="H88" i="40" s="1"/>
  <c r="K13" i="49"/>
  <c r="H68" i="40"/>
  <c r="H77" i="40" s="1"/>
  <c r="J35" i="9"/>
  <c r="J101" i="9"/>
  <c r="J87" i="9" s="1"/>
  <c r="H95" i="40" l="1"/>
  <c r="K60" i="49" s="1"/>
  <c r="H96" i="40"/>
  <c r="K61" i="49" s="1"/>
  <c r="K10" i="49"/>
  <c r="H67" i="40"/>
  <c r="H58" i="40" s="1"/>
  <c r="H57" i="40" s="1"/>
  <c r="H78" i="40"/>
  <c r="J26" i="35" s="1"/>
  <c r="K6" i="49"/>
  <c r="H94" i="40"/>
  <c r="K59" i="49" s="1"/>
  <c r="H97" i="40"/>
  <c r="K62" i="49" s="1"/>
  <c r="J83" i="9"/>
  <c r="J92" i="9" s="1"/>
  <c r="M48" i="49"/>
  <c r="J67" i="9"/>
  <c r="J76" i="9" s="1"/>
  <c r="M48" i="44"/>
  <c r="J91" i="9" l="1"/>
  <c r="H93" i="40"/>
  <c r="I102" i="40" s="1"/>
  <c r="I103" i="40" s="1"/>
  <c r="K5" i="49"/>
  <c r="I70" i="40"/>
  <c r="I69" i="40"/>
  <c r="M45" i="44"/>
  <c r="M45" i="49"/>
  <c r="J66" i="9"/>
  <c r="J57" i="9" s="1"/>
  <c r="J56" i="9" s="1"/>
  <c r="J77" i="9"/>
  <c r="J84" i="9"/>
  <c r="J89" i="9" s="1"/>
  <c r="H99" i="40" l="1"/>
  <c r="H98" i="40"/>
  <c r="J90" i="9"/>
  <c r="J88" i="9" s="1"/>
  <c r="I101" i="40"/>
  <c r="I36" i="40" s="1"/>
  <c r="M42" i="44"/>
  <c r="M42" i="49"/>
  <c r="K68" i="9"/>
  <c r="K69" i="9"/>
  <c r="M41" i="44"/>
  <c r="M41" i="49"/>
  <c r="I106" i="40" l="1"/>
  <c r="I92" i="40" s="1"/>
  <c r="J94" i="9"/>
  <c r="K97" i="9"/>
  <c r="K98" i="9" s="1"/>
  <c r="K96" i="9" s="1"/>
  <c r="J93" i="9"/>
  <c r="L58" i="49" l="1"/>
  <c r="I87" i="40"/>
  <c r="L13" i="49"/>
  <c r="I68" i="40"/>
  <c r="I77" i="40" s="1"/>
  <c r="K101" i="9"/>
  <c r="K87" i="9" s="1"/>
  <c r="K35" i="9"/>
  <c r="I97" i="40" l="1"/>
  <c r="L62" i="49" s="1"/>
  <c r="L6" i="49"/>
  <c r="L10" i="49"/>
  <c r="I67" i="40"/>
  <c r="I58" i="40" s="1"/>
  <c r="I57" i="40" s="1"/>
  <c r="I78" i="40"/>
  <c r="K26" i="35" s="1"/>
  <c r="I96" i="40"/>
  <c r="L61" i="49" s="1"/>
  <c r="I88" i="40"/>
  <c r="I94" i="40" s="1"/>
  <c r="L59" i="49" s="1"/>
  <c r="K67" i="9"/>
  <c r="K76" i="9" s="1"/>
  <c r="N48" i="49"/>
  <c r="N48" i="44"/>
  <c r="K83" i="9"/>
  <c r="K84" i="9" s="1"/>
  <c r="K90" i="9" l="1"/>
  <c r="K91" i="9"/>
  <c r="I95" i="40"/>
  <c r="J70" i="40"/>
  <c r="L5" i="49"/>
  <c r="J69" i="40"/>
  <c r="I83" i="40"/>
  <c r="K92" i="9"/>
  <c r="K89" i="9"/>
  <c r="K66" i="9"/>
  <c r="K57" i="9" s="1"/>
  <c r="K56" i="9" s="1"/>
  <c r="K77" i="9"/>
  <c r="N45" i="49"/>
  <c r="N45" i="44"/>
  <c r="I93" i="40" l="1"/>
  <c r="J102" i="40" s="1"/>
  <c r="J103" i="40" s="1"/>
  <c r="L60" i="49"/>
  <c r="K88" i="9"/>
  <c r="L97" i="9" s="1"/>
  <c r="L98" i="9" s="1"/>
  <c r="L96" i="9" s="1"/>
  <c r="N42" i="44"/>
  <c r="N42" i="49"/>
  <c r="N41" i="49"/>
  <c r="L69" i="9"/>
  <c r="N41" i="44"/>
  <c r="L68" i="9"/>
  <c r="I99" i="40" l="1"/>
  <c r="I98" i="40"/>
  <c r="K94" i="9"/>
  <c r="K93" i="9"/>
  <c r="J101" i="40"/>
  <c r="J36" i="40" s="1"/>
  <c r="L35" i="9"/>
  <c r="L101" i="9"/>
  <c r="L87" i="9" s="1"/>
  <c r="J106" i="40" l="1"/>
  <c r="J92" i="40" s="1"/>
  <c r="L83" i="9"/>
  <c r="L92" i="9" s="1"/>
  <c r="O48" i="49"/>
  <c r="O48" i="44"/>
  <c r="L67" i="9"/>
  <c r="L76" i="9" s="1"/>
  <c r="M58" i="49" l="1"/>
  <c r="J68" i="40"/>
  <c r="J77" i="40" s="1"/>
  <c r="M13" i="49"/>
  <c r="J87" i="40"/>
  <c r="J97" i="40" s="1"/>
  <c r="M62" i="49" s="1"/>
  <c r="L84" i="9"/>
  <c r="L90" i="9" s="1"/>
  <c r="L77" i="9"/>
  <c r="O45" i="44"/>
  <c r="O45" i="49"/>
  <c r="L66" i="9"/>
  <c r="L57" i="9" s="1"/>
  <c r="L56" i="9" s="1"/>
  <c r="L91" i="9"/>
  <c r="L89" i="9" l="1"/>
  <c r="L88" i="9" s="1"/>
  <c r="L93" i="9" s="1"/>
  <c r="J96" i="40"/>
  <c r="M61" i="49" s="1"/>
  <c r="J88" i="40"/>
  <c r="J94" i="40" s="1"/>
  <c r="M59" i="49" s="1"/>
  <c r="J67" i="40"/>
  <c r="J58" i="40" s="1"/>
  <c r="J57" i="40" s="1"/>
  <c r="M10" i="49"/>
  <c r="M6" i="49"/>
  <c r="J78" i="40"/>
  <c r="L26" i="35" s="1"/>
  <c r="O42" i="44"/>
  <c r="O42" i="49"/>
  <c r="M68" i="9"/>
  <c r="O41" i="44"/>
  <c r="M69" i="9"/>
  <c r="O41" i="49"/>
  <c r="L94" i="9" l="1"/>
  <c r="M97" i="9"/>
  <c r="M98" i="9" s="1"/>
  <c r="M96" i="9" s="1"/>
  <c r="M101" i="9" s="1"/>
  <c r="M87" i="9" s="1"/>
  <c r="J95" i="40"/>
  <c r="K70" i="40"/>
  <c r="J83" i="40"/>
  <c r="K69" i="40"/>
  <c r="M5" i="49"/>
  <c r="J93" i="40" l="1"/>
  <c r="K102" i="40" s="1"/>
  <c r="K103" i="40" s="1"/>
  <c r="M60" i="49"/>
  <c r="M35" i="9"/>
  <c r="M83" i="9"/>
  <c r="M84" i="9" s="1"/>
  <c r="P48" i="49"/>
  <c r="M67" i="9"/>
  <c r="M76" i="9" s="1"/>
  <c r="P48" i="44"/>
  <c r="J99" i="40" l="1"/>
  <c r="J98" i="40"/>
  <c r="M91" i="9"/>
  <c r="M89" i="9"/>
  <c r="M90" i="9"/>
  <c r="M92" i="9"/>
  <c r="K101" i="40"/>
  <c r="K36" i="40" s="1"/>
  <c r="P45" i="49"/>
  <c r="M66" i="9"/>
  <c r="M57" i="9" s="1"/>
  <c r="M56" i="9" s="1"/>
  <c r="M77" i="9"/>
  <c r="P45" i="44"/>
  <c r="M88" i="9" l="1"/>
  <c r="K106" i="40"/>
  <c r="K92" i="40" s="1"/>
  <c r="N68" i="9"/>
  <c r="N69" i="9"/>
  <c r="P41" i="49"/>
  <c r="P41" i="44"/>
  <c r="P42" i="44"/>
  <c r="P42" i="49"/>
  <c r="N58" i="49" l="1"/>
  <c r="M94" i="9"/>
  <c r="N97" i="9"/>
  <c r="N98" i="9" s="1"/>
  <c r="N96" i="9" s="1"/>
  <c r="M93" i="9"/>
  <c r="K87" i="40"/>
  <c r="N13" i="49"/>
  <c r="K68" i="40"/>
  <c r="K77" i="40" s="1"/>
  <c r="N101" i="9" l="1"/>
  <c r="N87" i="9" s="1"/>
  <c r="N35" i="9"/>
  <c r="K67" i="40"/>
  <c r="K58" i="40" s="1"/>
  <c r="K57" i="40" s="1"/>
  <c r="K78" i="40"/>
  <c r="M26" i="35" s="1"/>
  <c r="N6" i="49"/>
  <c r="N10" i="49"/>
  <c r="K88" i="40"/>
  <c r="K95" i="40" s="1"/>
  <c r="N60" i="49" s="1"/>
  <c r="K96" i="40"/>
  <c r="N61" i="49" s="1"/>
  <c r="K97" i="40"/>
  <c r="N62" i="49" s="1"/>
  <c r="K94" i="40" l="1"/>
  <c r="Q48" i="49"/>
  <c r="Q48" i="44"/>
  <c r="N67" i="9"/>
  <c r="N76" i="9" s="1"/>
  <c r="N83" i="9"/>
  <c r="N91" i="9" s="1"/>
  <c r="N5" i="49"/>
  <c r="L70" i="40"/>
  <c r="K83" i="40"/>
  <c r="L69" i="40"/>
  <c r="K93" i="40" l="1"/>
  <c r="L102" i="40" s="1"/>
  <c r="N59" i="49"/>
  <c r="N92" i="9"/>
  <c r="N84" i="9"/>
  <c r="Q45" i="44"/>
  <c r="N66" i="9"/>
  <c r="N57" i="9" s="1"/>
  <c r="N56" i="9" s="1"/>
  <c r="N77" i="9"/>
  <c r="Q45" i="49"/>
  <c r="K99" i="40" l="1"/>
  <c r="K98" i="40"/>
  <c r="N89" i="9"/>
  <c r="N90" i="9"/>
  <c r="Q42" i="44"/>
  <c r="Q42" i="49"/>
  <c r="O68" i="9"/>
  <c r="O69" i="9"/>
  <c r="Q41" i="49"/>
  <c r="Q41" i="44"/>
  <c r="L103" i="40"/>
  <c r="N88" i="9" l="1"/>
  <c r="L101" i="40"/>
  <c r="L36" i="40" s="1"/>
  <c r="O97" i="9" l="1"/>
  <c r="O98" i="9" s="1"/>
  <c r="O96" i="9" s="1"/>
  <c r="N93" i="9"/>
  <c r="N94" i="9"/>
  <c r="L106" i="40"/>
  <c r="L92" i="40" s="1"/>
  <c r="O58" i="49" l="1"/>
  <c r="O35" i="9"/>
  <c r="O101" i="9"/>
  <c r="O87" i="9" s="1"/>
  <c r="L68" i="40"/>
  <c r="L77" i="40" s="1"/>
  <c r="O13" i="49"/>
  <c r="L87" i="40"/>
  <c r="L88" i="40" s="1"/>
  <c r="O83" i="9" l="1"/>
  <c r="R48" i="49"/>
  <c r="O67" i="9"/>
  <c r="O76" i="9" s="1"/>
  <c r="R48" i="44"/>
  <c r="L94" i="40"/>
  <c r="O59" i="49" s="1"/>
  <c r="L97" i="40"/>
  <c r="O62" i="49" s="1"/>
  <c r="L95" i="40"/>
  <c r="O60" i="49" s="1"/>
  <c r="L96" i="40"/>
  <c r="O61" i="49" s="1"/>
  <c r="O6" i="49"/>
  <c r="L78" i="40"/>
  <c r="L67" i="40"/>
  <c r="L58" i="40" s="1"/>
  <c r="L57" i="40" s="1"/>
  <c r="O10" i="49"/>
  <c r="L93" i="40" l="1"/>
  <c r="M102" i="40" s="1"/>
  <c r="O66" i="9"/>
  <c r="O57" i="9" s="1"/>
  <c r="O56" i="9" s="1"/>
  <c r="R45" i="49"/>
  <c r="O77" i="9"/>
  <c r="R45" i="44"/>
  <c r="O84" i="9"/>
  <c r="O89" i="9" s="1"/>
  <c r="O91" i="9"/>
  <c r="O92" i="9"/>
  <c r="O5" i="49"/>
  <c r="L83" i="40"/>
  <c r="M69" i="40"/>
  <c r="M70" i="40"/>
  <c r="O90" i="9" l="1"/>
  <c r="O88" i="9" s="1"/>
  <c r="O93" i="9" s="1"/>
  <c r="L98" i="40"/>
  <c r="L99" i="40"/>
  <c r="P68" i="9"/>
  <c r="R41" i="44"/>
  <c r="P69" i="9"/>
  <c r="R41" i="49"/>
  <c r="R42" i="49"/>
  <c r="R42" i="44"/>
  <c r="M103" i="40"/>
  <c r="M101" i="40" s="1"/>
  <c r="M36" i="40" s="1"/>
  <c r="O94" i="9" l="1"/>
  <c r="P97" i="9"/>
  <c r="P98" i="9" s="1"/>
  <c r="P96" i="9" s="1"/>
  <c r="M106" i="40"/>
  <c r="M92" i="40" s="1"/>
  <c r="P58" i="49" l="1"/>
  <c r="P35" i="9"/>
  <c r="P101" i="9"/>
  <c r="P87" i="9" s="1"/>
  <c r="M87" i="40"/>
  <c r="M68" i="40"/>
  <c r="M77" i="40" s="1"/>
  <c r="P13" i="49"/>
  <c r="P83" i="9" l="1"/>
  <c r="P91" i="9" s="1"/>
  <c r="S48" i="44"/>
  <c r="P67" i="9"/>
  <c r="P76" i="9" s="1"/>
  <c r="S48" i="49"/>
  <c r="M96" i="40"/>
  <c r="P61" i="49" s="1"/>
  <c r="M97" i="40"/>
  <c r="P62" i="49" s="1"/>
  <c r="M88" i="40"/>
  <c r="M95" i="40" s="1"/>
  <c r="P60" i="49" s="1"/>
  <c r="M78" i="40"/>
  <c r="P6" i="49"/>
  <c r="M67" i="40"/>
  <c r="M58" i="40" s="1"/>
  <c r="M57" i="40" s="1"/>
  <c r="P10" i="49"/>
  <c r="S45" i="44" l="1"/>
  <c r="P66" i="9"/>
  <c r="P57" i="9" s="1"/>
  <c r="P56" i="9" s="1"/>
  <c r="P77" i="9"/>
  <c r="S45" i="49"/>
  <c r="P92" i="9"/>
  <c r="P84" i="9"/>
  <c r="M94" i="40"/>
  <c r="P5" i="49"/>
  <c r="M83" i="40"/>
  <c r="N70" i="40"/>
  <c r="N69" i="40"/>
  <c r="M93" i="40" l="1"/>
  <c r="M98" i="40" s="1"/>
  <c r="P59" i="49"/>
  <c r="P89" i="9"/>
  <c r="P90" i="9"/>
  <c r="S42" i="49"/>
  <c r="S42" i="44"/>
  <c r="Q69" i="9"/>
  <c r="Q68" i="9"/>
  <c r="S41" i="49"/>
  <c r="S41" i="44"/>
  <c r="M99" i="40" l="1"/>
  <c r="N102" i="40"/>
  <c r="N103" i="40" s="1"/>
  <c r="N101" i="40" s="1"/>
  <c r="N36" i="40" s="1"/>
  <c r="P88" i="9"/>
  <c r="Q97" i="9" l="1"/>
  <c r="Q98" i="9" s="1"/>
  <c r="Q96" i="9" s="1"/>
  <c r="P93" i="9"/>
  <c r="P94" i="9"/>
  <c r="N106" i="40"/>
  <c r="N92" i="40" s="1"/>
  <c r="N68" i="40"/>
  <c r="N77" i="40" s="1"/>
  <c r="Q13" i="49"/>
  <c r="N87" i="40" l="1"/>
  <c r="N97" i="40" s="1"/>
  <c r="Q62" i="49" s="1"/>
  <c r="Q58" i="49"/>
  <c r="Q101" i="9"/>
  <c r="Q87" i="9" s="1"/>
  <c r="Q35" i="9"/>
  <c r="N78" i="40"/>
  <c r="Q10" i="49"/>
  <c r="N67" i="40"/>
  <c r="N58" i="40" s="1"/>
  <c r="N57" i="40" s="1"/>
  <c r="Q6" i="49"/>
  <c r="N88" i="40" l="1"/>
  <c r="N95" i="40" s="1"/>
  <c r="Q60" i="49" s="1"/>
  <c r="N96" i="40"/>
  <c r="Q61" i="49" s="1"/>
  <c r="N94" i="40"/>
  <c r="T48" i="44"/>
  <c r="T48" i="49"/>
  <c r="Q67" i="9"/>
  <c r="Q76" i="9" s="1"/>
  <c r="Q83" i="9"/>
  <c r="O70" i="40"/>
  <c r="Q5" i="49"/>
  <c r="N83" i="40"/>
  <c r="O69" i="40"/>
  <c r="N93" i="40" l="1"/>
  <c r="O102" i="40" s="1"/>
  <c r="Q59" i="49"/>
  <c r="T45" i="44"/>
  <c r="Q66" i="9"/>
  <c r="Q57" i="9" s="1"/>
  <c r="Q56" i="9" s="1"/>
  <c r="Q77" i="9"/>
  <c r="T45" i="49"/>
  <c r="Q91" i="9"/>
  <c r="Q92" i="9"/>
  <c r="Q84" i="9"/>
  <c r="Q90" i="9" s="1"/>
  <c r="N99" i="40"/>
  <c r="N98" i="40"/>
  <c r="Q89" i="9" l="1"/>
  <c r="Q88" i="9" s="1"/>
  <c r="R69" i="9"/>
  <c r="R68" i="9"/>
  <c r="T41" i="49"/>
  <c r="T41" i="44"/>
  <c r="T42" i="44"/>
  <c r="T42" i="49"/>
  <c r="O103" i="40"/>
  <c r="R97" i="9" l="1"/>
  <c r="R98" i="9" s="1"/>
  <c r="R96" i="9" s="1"/>
  <c r="Q94" i="9"/>
  <c r="Q93" i="9"/>
  <c r="O101" i="40"/>
  <c r="O36" i="40" s="1"/>
  <c r="R35" i="9" l="1"/>
  <c r="R101" i="9"/>
  <c r="R87" i="9" s="1"/>
  <c r="O106" i="40"/>
  <c r="O92" i="40" s="1"/>
  <c r="R58" i="49" l="1"/>
  <c r="R83" i="9"/>
  <c r="R92" i="9" s="1"/>
  <c r="U48" i="44"/>
  <c r="U48" i="49"/>
  <c r="R67" i="9"/>
  <c r="R76" i="9" s="1"/>
  <c r="O87" i="40"/>
  <c r="R13" i="49"/>
  <c r="O68" i="40"/>
  <c r="O77" i="40" s="1"/>
  <c r="R84" i="9" l="1"/>
  <c r="R91" i="9"/>
  <c r="R66" i="9"/>
  <c r="R57" i="9" s="1"/>
  <c r="R56" i="9" s="1"/>
  <c r="U45" i="44"/>
  <c r="U45" i="49"/>
  <c r="R77" i="9"/>
  <c r="O78" i="40"/>
  <c r="R6" i="49"/>
  <c r="R10" i="49"/>
  <c r="O67" i="40"/>
  <c r="O58" i="40" s="1"/>
  <c r="O57" i="40" s="1"/>
  <c r="O97" i="40"/>
  <c r="R62" i="49" s="1"/>
  <c r="O88" i="40"/>
  <c r="O94" i="40" s="1"/>
  <c r="R59" i="49" s="1"/>
  <c r="O96" i="40"/>
  <c r="R61" i="49" s="1"/>
  <c r="U41" i="49" l="1"/>
  <c r="U41" i="44"/>
  <c r="S68" i="9"/>
  <c r="S69" i="9"/>
  <c r="U42" i="49"/>
  <c r="U42" i="44"/>
  <c r="R89" i="9"/>
  <c r="R90" i="9"/>
  <c r="O95" i="40"/>
  <c r="O83" i="40"/>
  <c r="P70" i="40"/>
  <c r="R5" i="49"/>
  <c r="P69" i="40"/>
  <c r="O93" i="40" l="1"/>
  <c r="P102" i="40" s="1"/>
  <c r="P103" i="40" s="1"/>
  <c r="R60" i="49"/>
  <c r="R88" i="9"/>
  <c r="S97" i="9" s="1"/>
  <c r="S98" i="9" s="1"/>
  <c r="S96" i="9" s="1"/>
  <c r="O99" i="40" l="1"/>
  <c r="O98" i="40"/>
  <c r="R94" i="9"/>
  <c r="R93" i="9"/>
  <c r="S101" i="9"/>
  <c r="S87" i="9" s="1"/>
  <c r="S83" i="9" s="1"/>
  <c r="S35" i="9"/>
  <c r="S67" i="9" s="1"/>
  <c r="S76" i="9" s="1"/>
  <c r="P101" i="40"/>
  <c r="P36" i="40" s="1"/>
  <c r="S84" i="9" l="1"/>
  <c r="S90" i="9" s="1"/>
  <c r="S92" i="9"/>
  <c r="V48" i="44"/>
  <c r="V48" i="49"/>
  <c r="S91" i="9"/>
  <c r="S89" i="9"/>
  <c r="P106" i="40"/>
  <c r="P92" i="40" s="1"/>
  <c r="S77" i="9"/>
  <c r="V45" i="44"/>
  <c r="S66" i="9"/>
  <c r="S57" i="9" s="1"/>
  <c r="S56" i="9" s="1"/>
  <c r="V45" i="49"/>
  <c r="P68" i="40"/>
  <c r="P77" i="40" s="1"/>
  <c r="S13" i="49"/>
  <c r="S58" i="49" l="1"/>
  <c r="S88" i="9"/>
  <c r="T97" i="9" s="1"/>
  <c r="T98" i="9" s="1"/>
  <c r="T96" i="9" s="1"/>
  <c r="T35" i="9" s="1"/>
  <c r="P87" i="40"/>
  <c r="P97" i="40" s="1"/>
  <c r="S62" i="49" s="1"/>
  <c r="V42" i="44"/>
  <c r="V42" i="49"/>
  <c r="T68" i="9"/>
  <c r="T69" i="9"/>
  <c r="V41" i="49"/>
  <c r="V41" i="44"/>
  <c r="P67" i="40"/>
  <c r="P58" i="40" s="1"/>
  <c r="P57" i="40" s="1"/>
  <c r="S10" i="49"/>
  <c r="S6" i="49"/>
  <c r="P78" i="40"/>
  <c r="P88" i="40" l="1"/>
  <c r="P95" i="40" s="1"/>
  <c r="S60" i="49" s="1"/>
  <c r="S93" i="9"/>
  <c r="S94" i="9"/>
  <c r="T101" i="9"/>
  <c r="T87" i="9" s="1"/>
  <c r="T83" i="9" s="1"/>
  <c r="T92" i="9" s="1"/>
  <c r="P96" i="40"/>
  <c r="S61" i="49" s="1"/>
  <c r="P94" i="40"/>
  <c r="W48" i="49"/>
  <c r="T67" i="9"/>
  <c r="T76" i="9" s="1"/>
  <c r="W48" i="44"/>
  <c r="Q69" i="40"/>
  <c r="P83" i="40"/>
  <c r="Q70" i="40"/>
  <c r="S5" i="49"/>
  <c r="P93" i="40" l="1"/>
  <c r="Q102" i="40" s="1"/>
  <c r="Q103" i="40" s="1"/>
  <c r="Q101" i="40" s="1"/>
  <c r="Q36" i="40" s="1"/>
  <c r="S59" i="49"/>
  <c r="T77" i="9"/>
  <c r="T66" i="9"/>
  <c r="T57" i="9" s="1"/>
  <c r="T56" i="9" s="1"/>
  <c r="W45" i="49"/>
  <c r="W45" i="44"/>
  <c r="T91" i="9"/>
  <c r="T84" i="9"/>
  <c r="P99" i="40"/>
  <c r="P98" i="40"/>
  <c r="U69" i="9" l="1"/>
  <c r="W41" i="44"/>
  <c r="U68" i="9"/>
  <c r="W41" i="49"/>
  <c r="T89" i="9"/>
  <c r="T90" i="9"/>
  <c r="W42" i="44"/>
  <c r="W42" i="49"/>
  <c r="Q106" i="40"/>
  <c r="Q92" i="40" s="1"/>
  <c r="T58" i="49" l="1"/>
  <c r="T88" i="9"/>
  <c r="T93" i="9" s="1"/>
  <c r="Q87" i="40"/>
  <c r="Q88" i="40" s="1"/>
  <c r="Q68" i="40"/>
  <c r="Q77" i="40" s="1"/>
  <c r="T13" i="49"/>
  <c r="T94" i="9" l="1"/>
  <c r="U97" i="9"/>
  <c r="U98" i="9" s="1"/>
  <c r="U96" i="9" s="1"/>
  <c r="U35" i="9" s="1"/>
  <c r="Q95" i="40"/>
  <c r="T60" i="49" s="1"/>
  <c r="Q94" i="40"/>
  <c r="T59" i="49" s="1"/>
  <c r="T6" i="49"/>
  <c r="Q78" i="40"/>
  <c r="T10" i="49"/>
  <c r="Q67" i="40"/>
  <c r="Q58" i="40" s="1"/>
  <c r="Q57" i="40" s="1"/>
  <c r="Q96" i="40"/>
  <c r="T61" i="49" s="1"/>
  <c r="Q97" i="40"/>
  <c r="T62" i="49" s="1"/>
  <c r="U101" i="9" l="1"/>
  <c r="U87" i="9" s="1"/>
  <c r="U83" i="9" s="1"/>
  <c r="U67" i="9"/>
  <c r="U76" i="9" s="1"/>
  <c r="X48" i="49"/>
  <c r="X48" i="44"/>
  <c r="Q93" i="40"/>
  <c r="R102" i="40" s="1"/>
  <c r="T5" i="49"/>
  <c r="R69" i="40"/>
  <c r="R70" i="40"/>
  <c r="Q83" i="40"/>
  <c r="X45" i="49" l="1"/>
  <c r="X45" i="44"/>
  <c r="U66" i="9"/>
  <c r="U57" i="9" s="1"/>
  <c r="U56" i="9" s="1"/>
  <c r="U77" i="9"/>
  <c r="U84" i="9"/>
  <c r="U91" i="9"/>
  <c r="U92" i="9"/>
  <c r="Q98" i="40"/>
  <c r="Q99" i="40"/>
  <c r="R103" i="40"/>
  <c r="R101" i="40" s="1"/>
  <c r="R36" i="40" s="1"/>
  <c r="U90" i="9" l="1"/>
  <c r="X41" i="49"/>
  <c r="X41" i="44"/>
  <c r="U89" i="9"/>
  <c r="X42" i="44"/>
  <c r="X42" i="49"/>
  <c r="R106" i="40"/>
  <c r="R92" i="40" s="1"/>
  <c r="U58" i="49" l="1"/>
  <c r="U88" i="9"/>
  <c r="U94" i="9" s="1"/>
  <c r="R68" i="40"/>
  <c r="R77" i="40" s="1"/>
  <c r="U13" i="49"/>
  <c r="R87" i="40"/>
  <c r="R88" i="40" s="1"/>
  <c r="U93" i="9" l="1"/>
  <c r="R96" i="40"/>
  <c r="U61" i="49" s="1"/>
  <c r="R95" i="40"/>
  <c r="U60" i="49" s="1"/>
  <c r="R97" i="40"/>
  <c r="U62" i="49" s="1"/>
  <c r="R94" i="40"/>
  <c r="U59" i="49" s="1"/>
  <c r="R67" i="40"/>
  <c r="R58" i="40" s="1"/>
  <c r="R57" i="40" s="1"/>
  <c r="U10" i="49"/>
  <c r="R78" i="40"/>
  <c r="R93" i="40" l="1"/>
  <c r="S102" i="40" s="1"/>
  <c r="U6" i="49"/>
  <c r="U5" i="49"/>
  <c r="R83" i="40"/>
  <c r="S70" i="40"/>
  <c r="S69" i="40"/>
  <c r="R98" i="40" l="1"/>
  <c r="R99" i="40"/>
  <c r="S103" i="40"/>
  <c r="S101" i="40" l="1"/>
  <c r="S36" i="40" s="1"/>
  <c r="S106" i="40" l="1"/>
  <c r="S92" i="40" s="1"/>
  <c r="V58" i="49" l="1"/>
  <c r="V13" i="49"/>
  <c r="S68" i="40"/>
  <c r="S77" i="40" s="1"/>
  <c r="S87" i="40"/>
  <c r="S88" i="40" s="1"/>
  <c r="S97" i="40" l="1"/>
  <c r="V62" i="49" s="1"/>
  <c r="S94" i="40"/>
  <c r="V59" i="49" s="1"/>
  <c r="S96" i="40"/>
  <c r="V61" i="49" s="1"/>
  <c r="S95" i="40"/>
  <c r="V60" i="49" s="1"/>
  <c r="S67" i="40"/>
  <c r="S58" i="40" s="1"/>
  <c r="S57" i="40" s="1"/>
  <c r="S78" i="40"/>
  <c r="V10" i="49"/>
  <c r="V6" i="49" l="1"/>
  <c r="T70" i="40"/>
  <c r="S83" i="40"/>
  <c r="T69" i="40"/>
  <c r="V5" i="49"/>
  <c r="S93" i="40"/>
  <c r="T102" i="40" s="1"/>
  <c r="S99" i="40" l="1"/>
  <c r="S98" i="40"/>
  <c r="T103" i="40" l="1"/>
  <c r="T101" i="40" l="1"/>
  <c r="T36" i="40" s="1"/>
  <c r="T106" i="40" l="1"/>
  <c r="T92" i="40" s="1"/>
  <c r="W58" i="49" l="1"/>
  <c r="W13" i="49"/>
  <c r="T68" i="40"/>
  <c r="T77" i="40" s="1"/>
  <c r="T87" i="40"/>
  <c r="T88" i="40" s="1"/>
  <c r="T94" i="40" l="1"/>
  <c r="W59" i="49" s="1"/>
  <c r="T97" i="40"/>
  <c r="W62" i="49" s="1"/>
  <c r="T78" i="40"/>
  <c r="T67" i="40"/>
  <c r="T58" i="40" s="1"/>
  <c r="T57" i="40" s="1"/>
  <c r="W10" i="49"/>
  <c r="T95" i="40"/>
  <c r="W60" i="49" s="1"/>
  <c r="T96" i="40"/>
  <c r="W61" i="49" s="1"/>
  <c r="W6" i="49" l="1"/>
  <c r="U70" i="40"/>
  <c r="U69" i="40"/>
  <c r="T83" i="40"/>
  <c r="W5" i="49"/>
  <c r="T93" i="40"/>
  <c r="U102" i="40" s="1"/>
  <c r="T99" i="40" l="1"/>
  <c r="T98" i="40"/>
  <c r="U103" i="40" l="1"/>
  <c r="U101" i="40" l="1"/>
  <c r="U36" i="40" s="1"/>
  <c r="U106" i="40" l="1"/>
  <c r="U92" i="40" s="1"/>
  <c r="X58" i="49" l="1"/>
  <c r="U68" i="40"/>
  <c r="U77" i="40" s="1"/>
  <c r="H13" i="35" s="1"/>
  <c r="X13" i="49"/>
  <c r="U87" i="40"/>
  <c r="U88" i="40" s="1"/>
  <c r="U94" i="40" l="1"/>
  <c r="X59" i="49" s="1"/>
  <c r="U97" i="40"/>
  <c r="X62" i="49" s="1"/>
  <c r="U95" i="40"/>
  <c r="X60" i="49" s="1"/>
  <c r="U96" i="40"/>
  <c r="X61" i="49" s="1"/>
  <c r="U78" i="40"/>
  <c r="X10" i="49"/>
  <c r="U67" i="40"/>
  <c r="U58" i="40" s="1"/>
  <c r="U57" i="40" s="1"/>
  <c r="I13" i="35" l="1"/>
  <c r="K13" i="35" s="1"/>
  <c r="X6" i="49"/>
  <c r="U93" i="40"/>
  <c r="U99" i="40" s="1"/>
  <c r="U83" i="40"/>
  <c r="X5" i="49"/>
  <c r="U98" i="40" l="1"/>
  <c r="F100" i="21"/>
  <c r="F101" i="21" s="1"/>
  <c r="F99" i="21" s="1"/>
  <c r="F36" i="21" l="1"/>
  <c r="I13" i="44" l="1"/>
  <c r="F79" i="21" l="1"/>
  <c r="I7" i="44" l="1"/>
  <c r="F60" i="21"/>
  <c r="F52" i="21"/>
  <c r="F50" i="21"/>
  <c r="F13" i="21"/>
  <c r="H18" i="35"/>
  <c r="F23" i="21" l="1"/>
  <c r="F30" i="21" s="1"/>
  <c r="G51" i="21" s="1"/>
  <c r="F24" i="21" l="1"/>
  <c r="F33" i="21" s="1"/>
  <c r="F69" i="21" s="1"/>
  <c r="F62" i="21"/>
  <c r="F104" i="21" l="1"/>
  <c r="F90" i="21" s="1"/>
  <c r="F85" i="21" s="1"/>
  <c r="F86" i="21" s="1"/>
  <c r="I16" i="44"/>
  <c r="I8" i="44"/>
  <c r="F59" i="21"/>
  <c r="I18" i="44"/>
  <c r="F68" i="21"/>
  <c r="F77" i="21" l="1"/>
  <c r="I58" i="44"/>
  <c r="F93" i="21"/>
  <c r="I60" i="44" s="1"/>
  <c r="F92" i="21"/>
  <c r="I59" i="44" s="1"/>
  <c r="F94" i="21"/>
  <c r="I61" i="44" s="1"/>
  <c r="F95" i="21"/>
  <c r="F67" i="21"/>
  <c r="F58" i="21" s="1"/>
  <c r="F57" i="21" s="1"/>
  <c r="I10" i="44"/>
  <c r="F78" i="21"/>
  <c r="G12" i="21" s="1"/>
  <c r="F91" i="21" l="1"/>
  <c r="G100" i="21" s="1"/>
  <c r="G101" i="21" s="1"/>
  <c r="G99" i="21" s="1"/>
  <c r="I62" i="44"/>
  <c r="H19" i="35"/>
  <c r="G70" i="21"/>
  <c r="I5" i="44"/>
  <c r="I6" i="44"/>
  <c r="F97" i="21" l="1"/>
  <c r="F96" i="21"/>
  <c r="G36" i="21"/>
  <c r="J13" i="44" l="1"/>
  <c r="G79" i="21" l="1"/>
  <c r="I18" i="35" l="1"/>
  <c r="J7" i="44"/>
  <c r="G50" i="21"/>
  <c r="G60" i="21"/>
  <c r="G13" i="21"/>
  <c r="G52" i="21"/>
  <c r="G23" i="21" l="1"/>
  <c r="G24" i="21" s="1"/>
  <c r="J16" i="44" l="1"/>
  <c r="G104" i="21"/>
  <c r="G30" i="21"/>
  <c r="H51" i="21" s="1"/>
  <c r="G33" i="21"/>
  <c r="G68" i="21" s="1"/>
  <c r="G62" i="21" l="1"/>
  <c r="G90" i="21" s="1"/>
  <c r="J58" i="44" s="1"/>
  <c r="J10" i="44"/>
  <c r="G69" i="21"/>
  <c r="G67" i="21" s="1"/>
  <c r="J18" i="44"/>
  <c r="G78" i="21"/>
  <c r="H12" i="21" s="1"/>
  <c r="J8" i="44"/>
  <c r="I19" i="35" l="1"/>
  <c r="G85" i="21"/>
  <c r="G95" i="21" s="1"/>
  <c r="J62" i="44" s="1"/>
  <c r="G59" i="21"/>
  <c r="G77" i="21" s="1"/>
  <c r="G86" i="21" l="1"/>
  <c r="G92" i="21" s="1"/>
  <c r="J59" i="44" s="1"/>
  <c r="G94" i="21"/>
  <c r="J61" i="44" s="1"/>
  <c r="G58" i="21"/>
  <c r="G57" i="21" s="1"/>
  <c r="J5" i="44" s="1"/>
  <c r="J6" i="44"/>
  <c r="G93" i="21"/>
  <c r="J60" i="44" s="1"/>
  <c r="H70" i="21" l="1"/>
  <c r="G91" i="21"/>
  <c r="H100" i="21" s="1"/>
  <c r="H101" i="21" s="1"/>
  <c r="H99" i="21" s="1"/>
  <c r="H36" i="21" s="1"/>
  <c r="G96" i="21" l="1"/>
  <c r="G97" i="21"/>
  <c r="K13" i="44" l="1"/>
  <c r="K7" i="44" l="1"/>
  <c r="J20" i="35" l="1"/>
  <c r="H50" i="21"/>
  <c r="J18" i="35"/>
  <c r="H52" i="21"/>
  <c r="H60" i="21"/>
  <c r="H13" i="21"/>
  <c r="H79" i="21"/>
  <c r="H23" i="21" l="1"/>
  <c r="H24" i="21" s="1"/>
  <c r="K16" i="44" s="1"/>
  <c r="H33" i="21" l="1"/>
  <c r="H69" i="21" s="1"/>
  <c r="H104" i="21"/>
  <c r="H30" i="21"/>
  <c r="I51" i="21" s="1"/>
  <c r="K18" i="44" l="1"/>
  <c r="H62" i="21"/>
  <c r="H90" i="21" s="1"/>
  <c r="H85" i="21" s="1"/>
  <c r="H86" i="21" s="1"/>
  <c r="H68" i="21"/>
  <c r="H67" i="21" s="1"/>
  <c r="H59" i="21" l="1"/>
  <c r="H77" i="21" s="1"/>
  <c r="K8" i="44"/>
  <c r="K58" i="44"/>
  <c r="K10" i="44"/>
  <c r="H78" i="21"/>
  <c r="I12" i="21" s="1"/>
  <c r="H93" i="21"/>
  <c r="K60" i="44" s="1"/>
  <c r="H94" i="21"/>
  <c r="K61" i="44" s="1"/>
  <c r="H95" i="21"/>
  <c r="K62" i="44" s="1"/>
  <c r="H92" i="21"/>
  <c r="K59" i="44" s="1"/>
  <c r="J19" i="35"/>
  <c r="H58" i="21" l="1"/>
  <c r="H57" i="21" s="1"/>
  <c r="I70" i="21" s="1"/>
  <c r="K6" i="44"/>
  <c r="K5" i="44"/>
  <c r="H91" i="21"/>
  <c r="H96" i="21" s="1"/>
  <c r="H97" i="21" l="1"/>
  <c r="I100" i="21"/>
  <c r="I101" i="21" s="1"/>
  <c r="I99" i="21" s="1"/>
  <c r="I36" i="21" s="1"/>
  <c r="L13" i="44" l="1"/>
  <c r="I52" i="21" l="1"/>
  <c r="I13" i="21" l="1"/>
  <c r="I50" i="21"/>
  <c r="I23" i="21" s="1"/>
  <c r="I60" i="21"/>
  <c r="K18" i="35"/>
  <c r="L7" i="44"/>
  <c r="I79" i="21"/>
  <c r="I24" i="21" l="1"/>
  <c r="I30" i="21"/>
  <c r="J51" i="21" s="1"/>
  <c r="I62" i="21" l="1"/>
  <c r="I33" i="21"/>
  <c r="I69" i="21" s="1"/>
  <c r="L16" i="44"/>
  <c r="I104" i="21"/>
  <c r="I90" i="21" l="1"/>
  <c r="I85" i="21" s="1"/>
  <c r="I86" i="21" s="1"/>
  <c r="L18" i="44"/>
  <c r="I68" i="21"/>
  <c r="L8" i="44"/>
  <c r="I59" i="21"/>
  <c r="L58" i="44" l="1"/>
  <c r="I77" i="21"/>
  <c r="I95" i="21"/>
  <c r="L62" i="44" s="1"/>
  <c r="I92" i="21"/>
  <c r="L59" i="44" s="1"/>
  <c r="I93" i="21"/>
  <c r="L60" i="44" s="1"/>
  <c r="I94" i="21"/>
  <c r="L61" i="44" s="1"/>
  <c r="L6" i="44"/>
  <c r="I67" i="21"/>
  <c r="I58" i="21" s="1"/>
  <c r="I57" i="21" s="1"/>
  <c r="L10" i="44"/>
  <c r="I78" i="21"/>
  <c r="J12" i="21" s="1"/>
  <c r="I91" i="21" l="1"/>
  <c r="J100" i="21" s="1"/>
  <c r="J101" i="21" s="1"/>
  <c r="J99" i="21" s="1"/>
  <c r="K19" i="35"/>
  <c r="L5" i="44"/>
  <c r="J70" i="21"/>
  <c r="I96" i="21" l="1"/>
  <c r="I97" i="21"/>
  <c r="J36" i="21"/>
  <c r="M13" i="44" l="1"/>
  <c r="J13" i="21" l="1"/>
  <c r="J52" i="21"/>
  <c r="M7" i="44"/>
  <c r="L18" i="35"/>
  <c r="J50" i="21"/>
  <c r="J23" i="21" s="1"/>
  <c r="J60" i="21"/>
  <c r="J79" i="21"/>
  <c r="J24" i="21" l="1"/>
  <c r="J30" i="21"/>
  <c r="J62" i="21" l="1"/>
  <c r="K51" i="21"/>
  <c r="M16" i="44"/>
  <c r="J104" i="21"/>
  <c r="J33" i="21"/>
  <c r="J90" i="21" l="1"/>
  <c r="M58" i="44" s="1"/>
  <c r="J59" i="21"/>
  <c r="M8" i="44"/>
  <c r="M18" i="44"/>
  <c r="J68" i="21"/>
  <c r="J69" i="21"/>
  <c r="J77" i="21" l="1"/>
  <c r="J85" i="21"/>
  <c r="J94" i="21" s="1"/>
  <c r="M61" i="44" s="1"/>
  <c r="J67" i="21"/>
  <c r="J58" i="21" s="1"/>
  <c r="J57" i="21" s="1"/>
  <c r="M10" i="44"/>
  <c r="J78" i="21"/>
  <c r="K12" i="21" s="1"/>
  <c r="J95" i="21" l="1"/>
  <c r="M62" i="44" s="1"/>
  <c r="J86" i="21"/>
  <c r="L19" i="35"/>
  <c r="M6" i="44"/>
  <c r="K70" i="21"/>
  <c r="M5" i="44"/>
  <c r="J92" i="21" l="1"/>
  <c r="M59" i="44" s="1"/>
  <c r="J93" i="21"/>
  <c r="M60" i="44" s="1"/>
  <c r="J91" i="21" l="1"/>
  <c r="K100" i="21" s="1"/>
  <c r="K101" i="21" s="1"/>
  <c r="K99" i="21" s="1"/>
  <c r="K36" i="21" s="1"/>
  <c r="N13" i="44" l="1"/>
  <c r="J96" i="21"/>
  <c r="K79" i="21"/>
  <c r="C81" i="21" s="1"/>
  <c r="M20" i="35"/>
  <c r="J97" i="21"/>
  <c r="K50" i="21"/>
  <c r="N7" i="44"/>
  <c r="M18" i="35"/>
  <c r="J12" i="35" s="1"/>
  <c r="K13" i="21"/>
  <c r="K52" i="21"/>
  <c r="K60" i="21"/>
  <c r="L12" i="21"/>
  <c r="L79" i="21" s="1"/>
  <c r="K23" i="21" l="1"/>
  <c r="L13" i="21"/>
  <c r="L60" i="21"/>
  <c r="M12" i="21"/>
  <c r="M79" i="21" s="1"/>
  <c r="L50" i="21"/>
  <c r="L52" i="21"/>
  <c r="O7" i="44"/>
  <c r="K24" i="21" l="1"/>
  <c r="K30" i="21"/>
  <c r="L51" i="21" s="1"/>
  <c r="L23" i="21" s="1"/>
  <c r="N12" i="21"/>
  <c r="N79" i="21" s="1"/>
  <c r="P7" i="44"/>
  <c r="M50" i="21"/>
  <c r="N51" i="21" s="1"/>
  <c r="M52" i="21"/>
  <c r="M60" i="21"/>
  <c r="M13" i="21"/>
  <c r="M51" i="21" l="1"/>
  <c r="M23" i="21" s="1"/>
  <c r="K62" i="21"/>
  <c r="Q7" i="44"/>
  <c r="O12" i="21"/>
  <c r="O79" i="21" s="1"/>
  <c r="N60" i="21"/>
  <c r="N52" i="21"/>
  <c r="N13" i="21"/>
  <c r="N50" i="21"/>
  <c r="O51" i="21" s="1"/>
  <c r="K33" i="21"/>
  <c r="K69" i="21" s="1"/>
  <c r="N16" i="44"/>
  <c r="K104" i="21"/>
  <c r="N23" i="21" l="1"/>
  <c r="K90" i="21"/>
  <c r="K85" i="21" s="1"/>
  <c r="K86" i="21" s="1"/>
  <c r="K92" i="21" s="1"/>
  <c r="N59" i="44" s="1"/>
  <c r="M24" i="21"/>
  <c r="M30" i="21"/>
  <c r="M62" i="21" s="1"/>
  <c r="N58" i="44"/>
  <c r="N8" i="44"/>
  <c r="K59" i="21"/>
  <c r="L30" i="21"/>
  <c r="L62" i="21" s="1"/>
  <c r="L24" i="21"/>
  <c r="O50" i="21"/>
  <c r="R7" i="44"/>
  <c r="O52" i="21"/>
  <c r="O60" i="21"/>
  <c r="O13" i="21"/>
  <c r="P12" i="21"/>
  <c r="P79" i="21" s="1"/>
  <c r="N18" i="44"/>
  <c r="K68" i="21"/>
  <c r="K77" i="21" l="1"/>
  <c r="K93" i="21"/>
  <c r="N60" i="44" s="1"/>
  <c r="K95" i="21"/>
  <c r="N62" i="44" s="1"/>
  <c r="K94" i="21"/>
  <c r="N61" i="44" s="1"/>
  <c r="O23" i="21"/>
  <c r="P51" i="21"/>
  <c r="P50" i="21"/>
  <c r="Q51" i="21" s="1"/>
  <c r="P13" i="21"/>
  <c r="Q12" i="21"/>
  <c r="Q79" i="21" s="1"/>
  <c r="P60" i="21"/>
  <c r="P52" i="21"/>
  <c r="S7" i="44"/>
  <c r="N30" i="21"/>
  <c r="N62" i="21" s="1"/>
  <c r="N24" i="21"/>
  <c r="N10" i="44"/>
  <c r="K67" i="21"/>
  <c r="K58" i="21" s="1"/>
  <c r="K57" i="21" s="1"/>
  <c r="K78" i="21"/>
  <c r="N6" i="44"/>
  <c r="P8" i="44"/>
  <c r="M59" i="21"/>
  <c r="L33" i="21"/>
  <c r="O18" i="44" s="1"/>
  <c r="O16" i="44"/>
  <c r="O8" i="44"/>
  <c r="L59" i="21"/>
  <c r="P16" i="44"/>
  <c r="M33" i="21"/>
  <c r="P18" i="44" s="1"/>
  <c r="K91" i="21" l="1"/>
  <c r="L100" i="21" s="1"/>
  <c r="L101" i="21" s="1"/>
  <c r="L99" i="21" s="1"/>
  <c r="L36" i="21" s="1"/>
  <c r="P23" i="21"/>
  <c r="N5" i="44"/>
  <c r="L69" i="21"/>
  <c r="L70" i="21"/>
  <c r="N33" i="21"/>
  <c r="Q18" i="44" s="1"/>
  <c r="Q16" i="44"/>
  <c r="Q8" i="44"/>
  <c r="N59" i="21"/>
  <c r="Q52" i="21"/>
  <c r="Q60" i="21"/>
  <c r="R12" i="21"/>
  <c r="R79" i="21" s="1"/>
  <c r="T7" i="44"/>
  <c r="Q50" i="21"/>
  <c r="Q13" i="21"/>
  <c r="M19" i="35"/>
  <c r="O30" i="21"/>
  <c r="O62" i="21" s="1"/>
  <c r="O24" i="21"/>
  <c r="K97" i="21" l="1"/>
  <c r="K96" i="21"/>
  <c r="Q23" i="21"/>
  <c r="R51" i="21"/>
  <c r="S12" i="21"/>
  <c r="S79" i="21" s="1"/>
  <c r="R52" i="21"/>
  <c r="R60" i="21"/>
  <c r="R50" i="21"/>
  <c r="U7" i="44"/>
  <c r="R13" i="21"/>
  <c r="P24" i="21"/>
  <c r="P30" i="21"/>
  <c r="P62" i="21" s="1"/>
  <c r="R16" i="44"/>
  <c r="O33" i="21"/>
  <c r="R18" i="44" s="1"/>
  <c r="R8" i="44"/>
  <c r="O59" i="21"/>
  <c r="L104" i="21"/>
  <c r="L90" i="21" s="1"/>
  <c r="R23" i="21" l="1"/>
  <c r="S51" i="21"/>
  <c r="S16" i="44"/>
  <c r="P33" i="21"/>
  <c r="S18" i="44" s="1"/>
  <c r="O58" i="44"/>
  <c r="L85" i="21"/>
  <c r="L94" i="21" s="1"/>
  <c r="O61" i="44" s="1"/>
  <c r="O13" i="44"/>
  <c r="L68" i="21"/>
  <c r="L77" i="21" s="1"/>
  <c r="Q24" i="21"/>
  <c r="Q30" i="21"/>
  <c r="Q62" i="21" s="1"/>
  <c r="S8" i="44"/>
  <c r="P59" i="21"/>
  <c r="V7" i="44"/>
  <c r="S13" i="21"/>
  <c r="S50" i="21"/>
  <c r="T51" i="21" s="1"/>
  <c r="S60" i="21"/>
  <c r="T12" i="21"/>
  <c r="T79" i="21" s="1"/>
  <c r="S52" i="21"/>
  <c r="S23" i="21" l="1"/>
  <c r="L86" i="21"/>
  <c r="L92" i="21" s="1"/>
  <c r="R30" i="21"/>
  <c r="R62" i="21" s="1"/>
  <c r="R24" i="21"/>
  <c r="L95" i="21"/>
  <c r="O62" i="44" s="1"/>
  <c r="T8" i="44"/>
  <c r="Q59" i="21"/>
  <c r="L93" i="21"/>
  <c r="Q33" i="21"/>
  <c r="T18" i="44" s="1"/>
  <c r="T16" i="44"/>
  <c r="T50" i="21"/>
  <c r="T13" i="21"/>
  <c r="T52" i="21"/>
  <c r="T60" i="21"/>
  <c r="W7" i="44"/>
  <c r="U12" i="21"/>
  <c r="U79" i="21" s="1"/>
  <c r="O10" i="44"/>
  <c r="L67" i="21"/>
  <c r="L58" i="21" s="1"/>
  <c r="L57" i="21" s="1"/>
  <c r="L78" i="21"/>
  <c r="T23" i="21" l="1"/>
  <c r="U51" i="21"/>
  <c r="U16" i="44"/>
  <c r="R33" i="21"/>
  <c r="U18" i="44" s="1"/>
  <c r="O6" i="44"/>
  <c r="O5" i="44"/>
  <c r="M70" i="21"/>
  <c r="M69" i="21"/>
  <c r="S24" i="21"/>
  <c r="S30" i="21"/>
  <c r="S62" i="21" s="1"/>
  <c r="O60" i="44"/>
  <c r="U60" i="21"/>
  <c r="U50" i="21"/>
  <c r="U13" i="21"/>
  <c r="U52" i="21"/>
  <c r="X7" i="44"/>
  <c r="U8" i="44"/>
  <c r="R59" i="21"/>
  <c r="O59" i="44"/>
  <c r="L91" i="21"/>
  <c r="M100" i="21" s="1"/>
  <c r="L96" i="21" l="1"/>
  <c r="U23" i="21"/>
  <c r="L97" i="21"/>
  <c r="M101" i="21"/>
  <c r="M99" i="21" s="1"/>
  <c r="M36" i="21" s="1"/>
  <c r="V8" i="44"/>
  <c r="S59" i="21"/>
  <c r="T30" i="21"/>
  <c r="T62" i="21" s="1"/>
  <c r="T24" i="21"/>
  <c r="S33" i="21"/>
  <c r="V18" i="44" s="1"/>
  <c r="V16" i="44"/>
  <c r="T33" i="21" l="1"/>
  <c r="W18" i="44" s="1"/>
  <c r="W16" i="44"/>
  <c r="W8" i="44"/>
  <c r="T59" i="21"/>
  <c r="M104" i="21"/>
  <c r="M90" i="21" s="1"/>
  <c r="U30" i="21"/>
  <c r="U62" i="21" s="1"/>
  <c r="U24" i="21"/>
  <c r="P58" i="44" l="1"/>
  <c r="M85" i="21"/>
  <c r="M86" i="21" s="1"/>
  <c r="M93" i="21" s="1"/>
  <c r="P60" i="44" s="1"/>
  <c r="X8" i="44"/>
  <c r="U59" i="21"/>
  <c r="U33" i="21"/>
  <c r="X18" i="44" s="1"/>
  <c r="X16" i="44"/>
  <c r="P13" i="44"/>
  <c r="M68" i="21"/>
  <c r="M77" i="21" s="1"/>
  <c r="M92" i="21" l="1"/>
  <c r="P59" i="44" s="1"/>
  <c r="M94" i="21"/>
  <c r="P61" i="44" s="1"/>
  <c r="M67" i="21"/>
  <c r="M58" i="21" s="1"/>
  <c r="M57" i="21" s="1"/>
  <c r="P10" i="44"/>
  <c r="M78" i="21"/>
  <c r="M95" i="21"/>
  <c r="M91" i="21" l="1"/>
  <c r="N100" i="21" s="1"/>
  <c r="N101" i="21" s="1"/>
  <c r="N99" i="21" s="1"/>
  <c r="N36" i="21" s="1"/>
  <c r="P62" i="44"/>
  <c r="P6" i="44"/>
  <c r="N69" i="21"/>
  <c r="P5" i="44"/>
  <c r="N70" i="21"/>
  <c r="M97" i="21" l="1"/>
  <c r="M96" i="21"/>
  <c r="N104" i="21"/>
  <c r="N90" i="21" s="1"/>
  <c r="Q13" i="44" l="1"/>
  <c r="N68" i="21"/>
  <c r="N77" i="21" s="1"/>
  <c r="N85" i="21"/>
  <c r="N86" i="21" s="1"/>
  <c r="Q58" i="44"/>
  <c r="N95" i="21" l="1"/>
  <c r="Q62" i="44" s="1"/>
  <c r="N94" i="21"/>
  <c r="Q61" i="44" s="1"/>
  <c r="N93" i="21"/>
  <c r="Q60" i="44" s="1"/>
  <c r="N92" i="21"/>
  <c r="N67" i="21"/>
  <c r="N58" i="21" s="1"/>
  <c r="N57" i="21" s="1"/>
  <c r="N78" i="21"/>
  <c r="Q10" i="44"/>
  <c r="O69" i="21" l="1"/>
  <c r="O70" i="21"/>
  <c r="Q5" i="44"/>
  <c r="Q59" i="44"/>
  <c r="N91" i="21"/>
  <c r="O100" i="21" s="1"/>
  <c r="Q6" i="44"/>
  <c r="N96" i="21" l="1"/>
  <c r="O101" i="21"/>
  <c r="O99" i="21" s="1"/>
  <c r="O36" i="21" s="1"/>
  <c r="N97" i="21"/>
  <c r="O104" i="21" l="1"/>
  <c r="O90" i="21" s="1"/>
  <c r="R58" i="44" l="1"/>
  <c r="O85" i="21"/>
  <c r="O86" i="21" s="1"/>
  <c r="R13" i="44"/>
  <c r="O68" i="21"/>
  <c r="O77" i="21" s="1"/>
  <c r="O94" i="21" l="1"/>
  <c r="R61" i="44" s="1"/>
  <c r="O92" i="21"/>
  <c r="R59" i="44" s="1"/>
  <c r="O78" i="21"/>
  <c r="R10" i="44"/>
  <c r="O67" i="21"/>
  <c r="O58" i="21" s="1"/>
  <c r="O57" i="21" s="1"/>
  <c r="O95" i="21"/>
  <c r="R62" i="44" s="1"/>
  <c r="O93" i="21"/>
  <c r="R60" i="44" l="1"/>
  <c r="O91" i="21"/>
  <c r="P69" i="21"/>
  <c r="P70" i="21"/>
  <c r="R5" i="44"/>
  <c r="R6" i="44"/>
  <c r="O96" i="21" l="1"/>
  <c r="P100" i="21"/>
  <c r="P101" i="21" s="1"/>
  <c r="P99" i="21" s="1"/>
  <c r="P36" i="21" s="1"/>
  <c r="O97" i="21"/>
  <c r="P104" i="21" l="1"/>
  <c r="P90" i="21" s="1"/>
  <c r="S13" i="44" l="1"/>
  <c r="P68" i="21"/>
  <c r="P77" i="21" s="1"/>
  <c r="P85" i="21"/>
  <c r="P86" i="21" s="1"/>
  <c r="S58" i="44"/>
  <c r="P94" i="21" l="1"/>
  <c r="S61" i="44" s="1"/>
  <c r="P92" i="21"/>
  <c r="P95" i="21"/>
  <c r="S62" i="44" s="1"/>
  <c r="P93" i="21"/>
  <c r="S60" i="44" s="1"/>
  <c r="P78" i="21"/>
  <c r="S10" i="44"/>
  <c r="P67" i="21"/>
  <c r="P58" i="21" s="1"/>
  <c r="P57" i="21" s="1"/>
  <c r="Q70" i="21" l="1"/>
  <c r="S5" i="44"/>
  <c r="Q69" i="21"/>
  <c r="S6" i="44"/>
  <c r="S59" i="44"/>
  <c r="P91" i="21"/>
  <c r="Q100" i="21" s="1"/>
  <c r="P96" i="21" l="1"/>
  <c r="Q101" i="21"/>
  <c r="Q99" i="21" s="1"/>
  <c r="Q36" i="21" s="1"/>
  <c r="P97" i="21"/>
  <c r="Q104" i="21" l="1"/>
  <c r="Q90" i="21" s="1"/>
  <c r="Q85" i="21" l="1"/>
  <c r="Q86" i="21" s="1"/>
  <c r="T58" i="44"/>
  <c r="T13" i="44"/>
  <c r="Q68" i="21"/>
  <c r="Q77" i="21" s="1"/>
  <c r="Q94" i="21" l="1"/>
  <c r="T61" i="44" s="1"/>
  <c r="Q93" i="21"/>
  <c r="T60" i="44" s="1"/>
  <c r="Q95" i="21"/>
  <c r="T62" i="44" s="1"/>
  <c r="Q92" i="21"/>
  <c r="T59" i="44" s="1"/>
  <c r="T10" i="44"/>
  <c r="Q67" i="21"/>
  <c r="Q58" i="21" s="1"/>
  <c r="Q57" i="21" s="1"/>
  <c r="Q78" i="21"/>
  <c r="Q91" i="21" l="1"/>
  <c r="R100" i="21" s="1"/>
  <c r="R101" i="21" s="1"/>
  <c r="R99" i="21" s="1"/>
  <c r="R36" i="21" s="1"/>
  <c r="T6" i="44"/>
  <c r="T5" i="44"/>
  <c r="R70" i="21"/>
  <c r="R69" i="21"/>
  <c r="Q97" i="21" l="1"/>
  <c r="Q96" i="21"/>
  <c r="R104" i="21"/>
  <c r="R90" i="21" s="1"/>
  <c r="U13" i="44" l="1"/>
  <c r="R68" i="21"/>
  <c r="R77" i="21" s="1"/>
  <c r="U58" i="44"/>
  <c r="R85" i="21"/>
  <c r="R86" i="21" s="1"/>
  <c r="R94" i="21" l="1"/>
  <c r="U61" i="44" s="1"/>
  <c r="R95" i="21"/>
  <c r="U62" i="44" s="1"/>
  <c r="R92" i="21"/>
  <c r="R93" i="21"/>
  <c r="R78" i="21"/>
  <c r="R67" i="21"/>
  <c r="R58" i="21" s="1"/>
  <c r="R57" i="21" s="1"/>
  <c r="U10" i="44"/>
  <c r="U60" i="44" l="1"/>
  <c r="U59" i="44"/>
  <c r="R91" i="21"/>
  <c r="S100" i="21" s="1"/>
  <c r="S70" i="21"/>
  <c r="U5" i="44"/>
  <c r="S69" i="21"/>
  <c r="U6" i="44"/>
  <c r="R97" i="21" l="1"/>
  <c r="S101" i="21"/>
  <c r="S99" i="21" s="1"/>
  <c r="S36" i="21" s="1"/>
  <c r="R96" i="21"/>
  <c r="S104" i="21" l="1"/>
  <c r="S90" i="21" s="1"/>
  <c r="S85" i="21" l="1"/>
  <c r="S86" i="21" s="1"/>
  <c r="V58" i="44"/>
  <c r="V13" i="44"/>
  <c r="S68" i="21"/>
  <c r="S77" i="21" s="1"/>
  <c r="S78" i="21" l="1"/>
  <c r="V10" i="44"/>
  <c r="S67" i="21"/>
  <c r="S58" i="21" s="1"/>
  <c r="S57" i="21" s="1"/>
  <c r="S93" i="21"/>
  <c r="S95" i="21"/>
  <c r="V62" i="44" s="1"/>
  <c r="S94" i="21"/>
  <c r="V61" i="44" s="1"/>
  <c r="S92" i="21"/>
  <c r="V59" i="44" s="1"/>
  <c r="V60" i="44" l="1"/>
  <c r="T70" i="21"/>
  <c r="T69" i="21"/>
  <c r="V5" i="44"/>
  <c r="S91" i="21"/>
  <c r="T100" i="21" s="1"/>
  <c r="V6" i="44"/>
  <c r="S97" i="21" l="1"/>
  <c r="T101" i="21"/>
  <c r="T99" i="21" s="1"/>
  <c r="T36" i="21" s="1"/>
  <c r="S96" i="21"/>
  <c r="T104" i="21" l="1"/>
  <c r="T90" i="21" s="1"/>
  <c r="W13" i="44" l="1"/>
  <c r="T68" i="21"/>
  <c r="T77" i="21" s="1"/>
  <c r="T85" i="21"/>
  <c r="T86" i="21" s="1"/>
  <c r="W58" i="44"/>
  <c r="T94" i="21" l="1"/>
  <c r="W61" i="44" s="1"/>
  <c r="T93" i="21"/>
  <c r="W60" i="44" s="1"/>
  <c r="T95" i="21"/>
  <c r="W62" i="44" s="1"/>
  <c r="T92" i="21"/>
  <c r="W59" i="44" s="1"/>
  <c r="W10" i="44"/>
  <c r="T78" i="21"/>
  <c r="T67" i="21"/>
  <c r="T58" i="21" s="1"/>
  <c r="T57" i="21" s="1"/>
  <c r="T91" i="21" l="1"/>
  <c r="U100" i="21" s="1"/>
  <c r="U101" i="21" s="1"/>
  <c r="U99" i="21" s="1"/>
  <c r="U36" i="21" s="1"/>
  <c r="U69" i="21"/>
  <c r="U70" i="21"/>
  <c r="W5" i="44"/>
  <c r="W6" i="44"/>
  <c r="T96" i="21" l="1"/>
  <c r="T97" i="21"/>
  <c r="U104" i="21"/>
  <c r="U90" i="21" s="1"/>
  <c r="U85" i="21" l="1"/>
  <c r="U86" i="21" s="1"/>
  <c r="U92" i="21" s="1"/>
  <c r="X59" i="44" s="1"/>
  <c r="X58" i="44"/>
  <c r="X13" i="44"/>
  <c r="U68" i="21"/>
  <c r="U77" i="21" s="1"/>
  <c r="H12" i="35" s="1"/>
  <c r="U93" i="21" l="1"/>
  <c r="X60" i="44" s="1"/>
  <c r="U94" i="21"/>
  <c r="X61" i="44" s="1"/>
  <c r="U95" i="21"/>
  <c r="X62" i="44" s="1"/>
  <c r="X10" i="44"/>
  <c r="U67" i="21"/>
  <c r="U58" i="21" s="1"/>
  <c r="U57" i="21" s="1"/>
  <c r="I12" i="35" s="1"/>
  <c r="K12" i="35" s="1"/>
  <c r="U78" i="21"/>
  <c r="U91" i="21" l="1"/>
  <c r="U97" i="21" s="1"/>
  <c r="X5" i="44"/>
  <c r="X6" i="44"/>
  <c r="U96" i="21" l="1"/>
</calcChain>
</file>

<file path=xl/sharedStrings.xml><?xml version="1.0" encoding="utf-8"?>
<sst xmlns="http://schemas.openxmlformats.org/spreadsheetml/2006/main" count="638" uniqueCount="247">
  <si>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</si>
  <si>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</si>
  <si>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</si>
  <si>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</si>
  <si>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</si>
  <si>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</si>
  <si>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</si>
  <si>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</si>
  <si>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</si>
  <si>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</si>
  <si>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</si>
  <si>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</si>
  <si>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</si>
  <si>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</si>
  <si>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</si>
  <si>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</si>
  <si>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</si>
  <si>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</si>
  <si>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</si>
  <si>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</si>
  <si>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</si>
  <si>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</si>
  <si>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</si>
  <si>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</si>
  <si>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</si>
  <si>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</si>
  <si>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</si>
  <si>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</si>
  <si>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</si>
  <si>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</si>
  <si>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</si>
  <si>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</si>
  <si>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</si>
  <si>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</si>
  <si>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</si>
  <si>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</si>
  <si>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</si>
  <si>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</si>
  <si>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</si>
  <si>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</si>
  <si>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</si>
  <si>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</si>
  <si>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</si>
  <si>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</si>
  <si>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</si>
  <si>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</si>
  <si>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</si>
  <si>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Mourre, G. et al. (2019), "The Semi-Elasticities Underlying the Cyclically-Adjusted Budget Balance: An Update and Further Analysis", European Economy, Discussion Paper, No. 098.</t>
  </si>
  <si>
    <t>Bloomberg data, country-specific forward market rates.</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</si>
  <si>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</si>
  <si>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</si>
  <si>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</si>
  <si>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</si>
  <si>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</si>
  <si>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</si>
  <si>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</si>
  <si>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</si>
  <si>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</si>
  <si>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</si>
  <si>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</si>
  <si>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</si>
  <si>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</si>
  <si>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</si>
  <si>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</si>
  <si>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</si>
  <si>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</si>
  <si>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</si>
  <si>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</si>
  <si>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</si>
  <si>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</si>
  <si>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</si>
  <si>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</si>
  <si>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</si>
  <si>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</si>
  <si>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</si>
  <si>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</si>
  <si>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</si>
  <si>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</si>
  <si>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</si>
  <si>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</si>
  <si>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</si>
  <si>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</si>
  <si>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</si>
  <si>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</si>
  <si>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</si>
  <si>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</si>
  <si>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</si>
  <si>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</si>
  <si>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</si>
  <si>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</si>
  <si>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</si>
  <si>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</si>
  <si>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</si>
  <si>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</si>
  <si>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</si>
  <si>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</si>
  <si>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</si>
  <si>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</si>
  <si>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</si>
  <si>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</si>
  <si>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</si>
  <si>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</si>
  <si>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</si>
  <si>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</si>
  <si>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</si>
  <si>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</si>
  <si>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</si>
  <si>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</si>
  <si>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</si>
  <si>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</si>
  <si>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CZ</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</si>
  <si>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</si>
  <si>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</si>
  <si>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</si>
  <si>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</si>
  <si>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</si>
  <si>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</si>
  <si>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</si>
  <si>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</si>
  <si>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</si>
  <si>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Without extension</t>
  </si>
  <si>
    <t>With extension</t>
  </si>
  <si>
    <t>Annual adjustment (with safeguard)</t>
  </si>
  <si>
    <t>Annual adjustment (without safeguard)</t>
  </si>
  <si>
    <t>Table 5 - Technical information*</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</si>
  <si>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</si>
  <si>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</si>
  <si>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</si>
  <si>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</si>
  <si>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</si>
  <si>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</si>
  <si>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</si>
  <si>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</si>
  <si>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</si>
  <si>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</si>
  <si>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</si>
  <si>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</si>
  <si>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</si>
  <si>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</si>
  <si>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Deficit resilience 
safeguard</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</si>
  <si>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</si>
  <si>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</si>
  <si>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</si>
  <si>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</si>
  <si>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</si>
  <si>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</si>
  <si>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</si>
  <si>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</si>
  <si>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</si>
  <si>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</si>
  <si>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</si>
  <si>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</si>
  <si>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</si>
  <si>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</si>
  <si>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</si>
  <si>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</si>
  <si>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</si>
  <si>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</si>
  <si>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</si>
  <si>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</si>
  <si>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</si>
  <si>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</si>
  <si>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</si>
  <si>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</si>
  <si>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Net expenditure growth (%)</t>
  </si>
  <si>
    <t>Structural primary balance (% of GDP)</t>
  </si>
  <si>
    <t>Main budgetary, macroeconomic and financial variables</t>
  </si>
  <si>
    <t>Budgetary variables: initial conditions</t>
  </si>
  <si>
    <t>Government budget balance (% of GDP)</t>
  </si>
  <si>
    <t>Government debt (% of GDP)</t>
  </si>
  <si>
    <t>Main assumptions for a plan without extension (4 years)</t>
  </si>
  <si>
    <t>Stock-flow adjustment (% of GDP)</t>
  </si>
  <si>
    <t>Real GDP growth (%)</t>
  </si>
  <si>
    <t>Inflation (change in the GDP deflator, %)</t>
  </si>
  <si>
    <t>Main assumptions for a plan with extension (7 years)</t>
  </si>
  <si>
    <t>Technical information</t>
  </si>
  <si>
    <t>With the deficit resilience safeguard</t>
  </si>
  <si>
    <t>Without the deficit resilience safeguard</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</si>
  <si>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</si>
  <si>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</si>
  <si>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</si>
  <si>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Czechia</t>
  </si>
  <si>
    <t>Nominal implicit interest rate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</si>
  <si>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</si>
  <si>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</si>
  <si>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</si>
  <si>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</si>
  <si>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</si>
  <si>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</si>
  <si>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</si>
  <si>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1.</t>
  </si>
  <si>
    <t>2.</t>
  </si>
  <si>
    <t>Budget balance semi-elasticity</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</si>
  <si>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</si>
  <si>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</si>
  <si>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</si>
  <si>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</si>
  <si>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</si>
  <si>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</si>
  <si>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</si>
  <si>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</si>
  <si>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</si>
  <si>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</si>
  <si>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</si>
  <si>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</si>
  <si>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</si>
  <si>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t>Table 5 "Technical information" reports the SPB level at the end of the adjustment period that fulfils the DSA-based criteria and takes into account the deficit resilience safeguard, both without and with extension.</t>
  </si>
  <si>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</si>
  <si>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</si>
  <si>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</si>
  <si>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</si>
  <si>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The sheet in blue provides, as a reference, the baseline no-fiscal-policy-change scenario. The background colour coding is the same as in the sheet "Input data".</t>
  </si>
  <si>
    <t>Assumption</t>
  </si>
  <si>
    <t>Period</t>
  </si>
  <si>
    <r>
      <t xml:space="preserve">Data reported in this file are based on the </t>
    </r>
    <r>
      <rPr>
        <i/>
        <sz val="11"/>
        <color rgb="FF0070C0"/>
        <rFont val="Calibri"/>
        <family val="2"/>
        <scheme val="minor"/>
      </rPr>
      <t>European Commission (EC) 2026 spring forecast</t>
    </r>
    <r>
      <rPr>
        <sz val="11"/>
        <color rgb="FF0070C0"/>
        <rFont val="Calibri"/>
        <family val="2"/>
        <scheme val="minor"/>
      </rPr>
      <t xml:space="preserve"> </t>
    </r>
    <r>
      <rPr>
        <i/>
        <sz val="11"/>
        <color rgb="FF0070C0"/>
        <rFont val="Calibri"/>
        <family val="2"/>
        <scheme val="minor"/>
      </rPr>
      <t>(SF 2026)</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 as well as from updated projections endorsed by the EPC in case of Czechia</t>
    </r>
    <r>
      <rPr>
        <sz val="11"/>
        <color rgb="FF0070C0"/>
        <rFont val="Calibri"/>
        <family val="2"/>
        <scheme val="minor"/>
      </rPr>
      <t xml:space="preserve">. </t>
    </r>
    <r>
      <rPr>
        <b/>
        <sz val="11"/>
        <color rgb="FF0070C0"/>
        <rFont val="Calibri"/>
        <family val="2"/>
        <scheme val="minor"/>
      </rPr>
      <t xml:space="preserve">
</t>
    </r>
  </si>
  <si>
    <t>* Under a plan without (with) extension, an adjustment of 0.40 pps (0.25 pps) of GDP in SPB terms is applied if the structural deficit in the previous year exceeds 1.5% of GDP.</t>
  </si>
  <si>
    <t>* The technical information provides the structural primary balance necessary to ensure that the deficit remains below 3% of GDP and debt remains below 60% of GDP over the medium term in the absence of additional fiscal measures beyond the adjustment period.  In line with the deficit resilience safeguard, and when necessary, an adjustment of 0.4 pps (0.25 pps in case of extension) in structural primary terms is applied until the structural balance is at least equal to -1.5% of GDP. Note that the SPB at the end of the adjustment period may be lower than the SPB at the beginning of the plan, indicating that the Member State does not need to adjust.</t>
  </si>
  <si>
    <t>DSM 2025</t>
  </si>
  <si>
    <t>SF26</t>
  </si>
  <si>
    <t>Share of primary expenditure in GDP in 2025</t>
  </si>
  <si>
    <t>Share of outstanding debt in total debt in 2025</t>
  </si>
  <si>
    <t>Share of rolled-over long-term debt in 2025</t>
  </si>
  <si>
    <t>Share of rolled-over short-term debt in 2025</t>
  </si>
  <si>
    <t>Share of new long-term debt in 2025</t>
  </si>
  <si>
    <t>Share of new short-term debt in 2025</t>
  </si>
  <si>
    <t>Key fiscal variables (based on the Commission 2026 spring forecast ("SF 2026")</t>
  </si>
  <si>
    <t>Real GDP growth assumptions (based on SF 2026 T+10 projections and AR 2024 projections)</t>
  </si>
  <si>
    <t>Interest rates (SF 2026, %)</t>
  </si>
  <si>
    <t>Inflation (SF 2026, %)</t>
  </si>
  <si>
    <t>Net primary expenditure growth (SF 2026, %)</t>
  </si>
  <si>
    <t>Change in the cost of ageing (pps)</t>
  </si>
  <si>
    <t>Base for last forecast and T+10, T+30 years</t>
  </si>
  <si>
    <t>Average net expenditure growth over the adjustment period:</t>
  </si>
  <si>
    <t xml:space="preserve">The next spreadsheets present the no-fiscal-policy-change baseline and the adjustment scenario, with and without the impact of the deficit resilience safeguard. Each deterministic projection provides a single path for debt until 10 years after the end of the adjustment period under certain assumptions for budgetary, macroeconomic and financial variables. 
</t>
  </si>
  <si>
    <t>(2) Snowball effect (2.1 + 2.2 + 2.3 + 2.4)</t>
  </si>
  <si>
    <t>No extension (annual adjustment of 0.46)</t>
  </si>
  <si>
    <t>Extension (annual adjustment of 0.32)</t>
  </si>
  <si>
    <t>2030-2040</t>
  </si>
  <si>
    <t>2027-2040 average</t>
  </si>
  <si>
    <t>2033-2043</t>
  </si>
  <si>
    <t>2027-2043 average</t>
  </si>
  <si>
    <t>For a plan without extension (4 years)
Czechia</t>
  </si>
  <si>
    <t>Minimum level for the structural primary balance in 2030 (% of GDP)</t>
  </si>
  <si>
    <t>Difference with 2026 structural primary balance (pps)</t>
  </si>
  <si>
    <t>For a plan with extension (7 years)
Czechia</t>
  </si>
  <si>
    <t>Minimum level for the structural primary balance in 2033 (% of GDP)</t>
  </si>
  <si>
    <t>Level (CZK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</si>
</sst>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8"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1"/>
      <color theme="1"/>
      <name val="Calibri"/>
      <family val="2"/>
      <scheme val="minor"/>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i/>
      <sz val="11"/>
      <color theme="1"/>
      <name val="Calibri"/>
      <family val="2"/>
      <scheme val="minor"/>
    </font>
    <font>
      <sz val="11"/>
      <name val="Calibri"/>
      <family val="2"/>
    </font>
    <font>
      <b/>
      <sz val="12"/>
      <color theme="1"/>
      <name val="Arial"/>
      <family val="2"/>
    </font>
    <font>
      <i/>
      <sz val="10"/>
      <color theme="1"/>
      <name val="Calibri"/>
      <family val="2"/>
      <scheme val="minor"/>
    </font>
    <font>
      <b/>
      <sz val="12"/>
      <color rgb="FFFF0000"/>
      <name val="Arial"/>
      <family val="2"/>
    </font>
    <font>
      <sz val="8"/>
      <color theme="0" tint="-0.14999847407452621"/>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8"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3" fillId="0" borderId="0"/>
  </cellStyleXfs>
  <cellXfs count="399">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0" fillId="2" borderId="6" xfId="0"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9"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20"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165" fontId="8" fillId="2" borderId="11" xfId="0" applyNumberFormat="1" applyFont="1" applyFill="1" applyBorder="1" applyAlignment="1">
      <alignment horizontal="center"/>
    </xf>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1" fillId="10" borderId="0" xfId="0" applyFont="1" applyFill="1"/>
    <xf numFmtId="0" fontId="21" fillId="10" borderId="0" xfId="0" applyFont="1" applyFill="1" applyAlignment="1">
      <alignment horizontal="center"/>
    </xf>
    <xf numFmtId="0" fontId="21" fillId="10" borderId="0" xfId="0" applyFont="1" applyFill="1" applyAlignment="1">
      <alignment horizontal="right"/>
    </xf>
    <xf numFmtId="0" fontId="22" fillId="10" borderId="0" xfId="0" applyFont="1" applyFill="1" applyAlignment="1">
      <alignment vertical="center"/>
    </xf>
    <xf numFmtId="0" fontId="19" fillId="10" borderId="0" xfId="0" applyFont="1" applyFill="1" applyAlignment="1">
      <alignment horizontal="left" vertical="center"/>
    </xf>
    <xf numFmtId="0" fontId="22" fillId="10" borderId="0" xfId="0" applyFont="1" applyFill="1" applyAlignment="1">
      <alignment horizontal="center" vertical="center"/>
    </xf>
    <xf numFmtId="0" fontId="22" fillId="10" borderId="0" xfId="0" applyFont="1" applyFill="1" applyAlignment="1">
      <alignment horizontal="right" vertical="center"/>
    </xf>
    <xf numFmtId="0" fontId="19" fillId="10" borderId="0" xfId="0" applyFont="1" applyFill="1" applyAlignment="1">
      <alignment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165" fontId="0" fillId="2" borderId="0" xfId="0" applyNumberFormat="1" applyFill="1"/>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2" fillId="10" borderId="0" xfId="0" applyFont="1" applyFill="1"/>
    <xf numFmtId="0" fontId="19" fillId="10" borderId="0" xfId="0" applyFont="1" applyFill="1" applyAlignment="1">
      <alignment horizontal="left"/>
    </xf>
    <xf numFmtId="0" fontId="22" fillId="10" borderId="0" xfId="0" applyFont="1" applyFill="1" applyAlignment="1">
      <alignment horizontal="center"/>
    </xf>
    <xf numFmtId="0" fontId="22"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9"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2" fillId="2" borderId="0" xfId="0" applyFont="1" applyFill="1"/>
    <xf numFmtId="165" fontId="15" fillId="2" borderId="6" xfId="0" applyNumberFormat="1" applyFont="1" applyFill="1" applyBorder="1" applyAlignment="1">
      <alignment horizontal="center"/>
    </xf>
    <xf numFmtId="165" fontId="25" fillId="10" borderId="0" xfId="0" applyNumberFormat="1" applyFont="1" applyFill="1" applyAlignment="1">
      <alignment horizontal="center"/>
    </xf>
    <xf numFmtId="0" fontId="15" fillId="2" borderId="11" xfId="0" applyFont="1" applyFill="1" applyBorder="1"/>
    <xf numFmtId="165" fontId="15" fillId="2" borderId="11" xfId="0" applyNumberFormat="1" applyFont="1" applyFill="1" applyBorder="1" applyAlignment="1">
      <alignment horizontal="center"/>
    </xf>
    <xf numFmtId="0" fontId="24" fillId="2" borderId="0" xfId="0" applyFont="1" applyFill="1"/>
    <xf numFmtId="165" fontId="24"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5" fillId="2" borderId="0" xfId="0" applyNumberFormat="1" applyFont="1" applyFill="1" applyAlignment="1">
      <alignment horizontal="center"/>
    </xf>
    <xf numFmtId="165" fontId="25" fillId="2" borderId="6" xfId="0" applyNumberFormat="1" applyFont="1" applyFill="1" applyBorder="1" applyAlignment="1">
      <alignment horizontal="center"/>
    </xf>
    <xf numFmtId="165" fontId="24" fillId="2" borderId="6" xfId="0" applyNumberFormat="1" applyFont="1" applyFill="1" applyBorder="1" applyAlignment="1">
      <alignment horizontal="center"/>
    </xf>
    <xf numFmtId="0" fontId="20"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9"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9" fillId="2" borderId="0" xfId="0" applyFont="1" applyFill="1" applyProtection="1">
      <protection locked="0"/>
    </xf>
    <xf numFmtId="165" fontId="14" fillId="6" borderId="0" xfId="0" applyNumberFormat="1" applyFont="1" applyFill="1" applyAlignment="1" applyProtection="1">
      <alignment horizontal="center"/>
      <protection locked="0"/>
    </xf>
    <xf numFmtId="165" fontId="8"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9" fillId="2" borderId="0" xfId="4" applyFont="1" applyFill="1" applyBorder="1"/>
    <xf numFmtId="0" fontId="27" fillId="7" borderId="0" xfId="6" applyFont="1" applyFill="1" applyAlignment="1">
      <alignment horizontal="justify" wrapText="1"/>
    </xf>
    <xf numFmtId="0" fontId="27" fillId="2" borderId="0" xfId="6" applyFont="1" applyFill="1" applyAlignment="1">
      <alignment vertical="center" wrapText="1"/>
    </xf>
    <xf numFmtId="168" fontId="0" fillId="2" borderId="0" xfId="0" applyNumberFormat="1" applyFill="1" applyProtection="1">
      <protection locked="0"/>
    </xf>
    <xf numFmtId="0" fontId="0" fillId="5" borderId="10" xfId="0" applyFill="1" applyBorder="1" applyAlignment="1">
      <alignment horizontal="center"/>
    </xf>
    <xf numFmtId="0" fontId="0" fillId="5" borderId="1" xfId="0" applyFill="1" applyBorder="1" applyAlignment="1">
      <alignment horizontal="center"/>
    </xf>
    <xf numFmtId="0" fontId="0" fillId="5" borderId="3" xfId="0" applyFill="1" applyBorder="1"/>
    <xf numFmtId="0" fontId="0" fillId="5" borderId="4" xfId="0" applyFill="1" applyBorder="1"/>
    <xf numFmtId="0" fontId="0" fillId="5" borderId="0" xfId="0" applyFill="1"/>
    <xf numFmtId="0" fontId="23" fillId="2" borderId="5" xfId="0" applyFont="1" applyFill="1" applyBorder="1"/>
    <xf numFmtId="0" fontId="23" fillId="2" borderId="2" xfId="0" applyFont="1" applyFill="1" applyBorder="1"/>
    <xf numFmtId="0" fontId="27" fillId="2" borderId="0" xfId="6" applyFont="1" applyFill="1" applyAlignment="1">
      <alignment horizontal="justify" wrapText="1"/>
    </xf>
    <xf numFmtId="170" fontId="8" fillId="2" borderId="0" xfId="0" applyNumberFormat="1" applyFont="1" applyFill="1" applyAlignment="1">
      <alignment horizontal="center"/>
    </xf>
    <xf numFmtId="0" fontId="34" fillId="15" borderId="0" xfId="3" applyFont="1" applyFill="1" applyAlignment="1">
      <alignment horizontal="left" vertical="top"/>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5" fillId="2" borderId="0" xfId="0" applyFont="1" applyFill="1" applyAlignment="1">
      <alignment vertical="top" wrapText="1"/>
    </xf>
    <xf numFmtId="0" fontId="17" fillId="2" borderId="12" xfId="0" applyFont="1" applyFill="1" applyBorder="1" applyAlignment="1">
      <alignment horizontal="center" vertical="top" wrapText="1"/>
    </xf>
    <xf numFmtId="0" fontId="23" fillId="2" borderId="9" xfId="0" applyFont="1" applyFill="1" applyBorder="1"/>
    <xf numFmtId="0" fontId="0" fillId="2" borderId="17" xfId="0" applyFill="1" applyBorder="1"/>
    <xf numFmtId="0" fontId="23" fillId="5" borderId="2" xfId="0" applyFont="1" applyFill="1" applyBorder="1"/>
    <xf numFmtId="168" fontId="8" fillId="2" borderId="0" xfId="0" applyNumberFormat="1" applyFont="1" applyFill="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38"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5" borderId="14" xfId="0" quotePrefix="1" applyFill="1" applyBorder="1" applyAlignment="1">
      <alignment horizontal="center" vertical="center"/>
    </xf>
    <xf numFmtId="0" fontId="23" fillId="5" borderId="9" xfId="0" applyFont="1" applyFill="1" applyBorder="1"/>
    <xf numFmtId="165" fontId="0" fillId="5" borderId="9" xfId="0" applyNumberFormat="1" applyFill="1" applyBorder="1" applyAlignment="1">
      <alignment horizontal="center" vertical="center"/>
    </xf>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7" fillId="2" borderId="0" xfId="12" applyFont="1" applyFill="1" applyAlignment="1">
      <alignment vertical="center" wrapText="1"/>
    </xf>
    <xf numFmtId="0" fontId="27" fillId="2" borderId="0" xfId="12" applyFont="1" applyFill="1" applyAlignment="1">
      <alignment horizontal="justify" wrapText="1"/>
    </xf>
    <xf numFmtId="0" fontId="27" fillId="2" borderId="0" xfId="12" applyFont="1" applyFill="1" applyAlignment="1">
      <alignment horizontal="justify" vertical="top" wrapText="1"/>
    </xf>
    <xf numFmtId="165" fontId="33" fillId="2" borderId="0" xfId="12" applyNumberFormat="1" applyFont="1" applyFill="1" applyAlignment="1">
      <alignment horizontal="center"/>
    </xf>
    <xf numFmtId="0" fontId="27" fillId="2" borderId="0" xfId="12" applyFont="1" applyFill="1" applyAlignment="1">
      <alignment horizontal="justify" vertical="justify" wrapText="1"/>
    </xf>
    <xf numFmtId="165" fontId="33" fillId="4" borderId="0" xfId="12" applyNumberFormat="1" applyFont="1" applyFill="1" applyAlignment="1">
      <alignment horizontal="center"/>
    </xf>
    <xf numFmtId="165" fontId="33" fillId="13" borderId="0" xfId="12" applyNumberFormat="1" applyFont="1" applyFill="1" applyAlignment="1">
      <alignment horizontal="center"/>
    </xf>
    <xf numFmtId="165" fontId="33" fillId="3" borderId="0" xfId="12" applyNumberFormat="1" applyFont="1" applyFill="1" applyAlignment="1">
      <alignment horizontal="center"/>
    </xf>
    <xf numFmtId="0" fontId="27" fillId="8" borderId="0" xfId="12" applyFont="1" applyFill="1"/>
    <xf numFmtId="0" fontId="27" fillId="9" borderId="0" xfId="12" applyFont="1" applyFill="1" applyAlignment="1">
      <alignment horizontal="justify" wrapText="1"/>
    </xf>
    <xf numFmtId="165" fontId="33" fillId="6" borderId="0" xfId="12" applyNumberFormat="1" applyFont="1" applyFill="1" applyAlignment="1">
      <alignment horizontal="center"/>
    </xf>
    <xf numFmtId="0" fontId="27" fillId="2" borderId="0" xfId="12" applyFont="1" applyFill="1" applyAlignment="1">
      <alignment horizontal="left" vertical="center" wrapText="1"/>
    </xf>
    <xf numFmtId="165" fontId="33" fillId="11" borderId="0" xfId="12" applyNumberFormat="1" applyFont="1" applyFill="1" applyAlignment="1">
      <alignment horizontal="center"/>
    </xf>
    <xf numFmtId="165" fontId="33" fillId="5" borderId="0" xfId="12" applyNumberFormat="1" applyFont="1" applyFill="1" applyAlignment="1">
      <alignment horizontal="center"/>
    </xf>
    <xf numFmtId="0" fontId="27" fillId="2" borderId="0" xfId="12" applyFont="1" applyFill="1" applyAlignment="1">
      <alignment horizontal="left" wrapText="1"/>
    </xf>
    <xf numFmtId="0" fontId="2" fillId="5" borderId="0" xfId="12" applyFill="1" applyAlignment="1">
      <alignment vertical="top" wrapText="1"/>
    </xf>
    <xf numFmtId="0" fontId="27" fillId="7" borderId="0" xfId="12" applyFont="1" applyFill="1" applyAlignment="1">
      <alignment horizontal="justify" wrapText="1"/>
    </xf>
    <xf numFmtId="0" fontId="26" fillId="5" borderId="0" xfId="12" applyFont="1" applyFill="1"/>
    <xf numFmtId="0" fontId="27" fillId="2" borderId="0" xfId="12" applyFont="1" applyFill="1"/>
    <xf numFmtId="0" fontId="28"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7"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7"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3"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7" fillId="2" borderId="1" xfId="0" applyFont="1" applyFill="1" applyBorder="1" applyAlignment="1">
      <alignment horizontal="center" vertical="center" wrapText="1"/>
    </xf>
    <xf numFmtId="0" fontId="17" fillId="2" borderId="5" xfId="0" applyFont="1" applyFill="1" applyBorder="1" applyAlignment="1">
      <alignment vertical="center"/>
    </xf>
    <xf numFmtId="0" fontId="17" fillId="2" borderId="5" xfId="0" applyFont="1" applyFill="1" applyBorder="1" applyAlignment="1">
      <alignment horizontal="center" vertical="center" wrapText="1"/>
    </xf>
    <xf numFmtId="0" fontId="27"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7" fillId="10" borderId="0" xfId="6" applyFont="1" applyFill="1" applyAlignment="1">
      <alignment horizontal="justify" wrapText="1"/>
    </xf>
    <xf numFmtId="0" fontId="27" fillId="16" borderId="0" xfId="6" applyFont="1" applyFill="1" applyAlignment="1">
      <alignment horizontal="justify" wrapText="1"/>
    </xf>
    <xf numFmtId="0" fontId="39" fillId="2" borderId="0" xfId="0" applyFont="1" applyFill="1" applyAlignment="1">
      <alignment horizontal="left" indent="1"/>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7" fillId="0" borderId="0" xfId="0" applyFont="1" applyFill="1" applyAlignment="1">
      <alignment horizontal="left" vertical="center"/>
    </xf>
    <xf numFmtId="0" fontId="40" fillId="17" borderId="0" xfId="0" applyFont="1" applyFill="1" applyAlignment="1">
      <alignment horizontal="left" vertical="center"/>
    </xf>
    <xf numFmtId="0" fontId="0" fillId="17" borderId="0" xfId="0" applyFont="1" applyFill="1" applyAlignment="1">
      <alignment vertical="top"/>
    </xf>
    <xf numFmtId="0" fontId="19" fillId="17" borderId="0" xfId="0" applyFont="1" applyFill="1" applyAlignment="1">
      <alignment horizontal="center" vertical="top"/>
    </xf>
    <xf numFmtId="0" fontId="19" fillId="17" borderId="0" xfId="0" applyFont="1" applyFill="1" applyAlignment="1">
      <alignment horizontal="center"/>
    </xf>
    <xf numFmtId="0" fontId="41" fillId="17" borderId="0" xfId="0" applyFont="1" applyFill="1" applyAlignment="1">
      <alignment horizontal="center" vertical="center" wrapText="1"/>
    </xf>
    <xf numFmtId="0" fontId="40" fillId="17" borderId="0" xfId="0" applyFont="1" applyFill="1" applyAlignment="1">
      <alignment horizontal="center" vertical="center" wrapText="1"/>
    </xf>
    <xf numFmtId="0" fontId="36" fillId="18" borderId="0" xfId="0" applyFont="1" applyFill="1" applyAlignment="1">
      <alignment horizontal="left" vertical="top" wrapText="1"/>
    </xf>
    <xf numFmtId="0" fontId="22" fillId="18" borderId="0" xfId="0" applyFont="1" applyFill="1" applyAlignment="1">
      <alignment horizontal="center"/>
    </xf>
    <xf numFmtId="0" fontId="0" fillId="18" borderId="0" xfId="0" applyFont="1" applyFill="1" applyAlignment="1">
      <alignment horizontal="left"/>
    </xf>
    <xf numFmtId="0" fontId="36" fillId="18" borderId="0" xfId="0" applyFont="1" applyFill="1" applyAlignment="1">
      <alignment horizontal="left" vertical="top" wrapText="1" indent="1"/>
    </xf>
    <xf numFmtId="0" fontId="36" fillId="18" borderId="0" xfId="0" applyFont="1" applyFill="1" applyAlignment="1">
      <alignment vertical="top"/>
    </xf>
    <xf numFmtId="0" fontId="36" fillId="18" borderId="0" xfId="0" applyFont="1" applyFill="1" applyAlignment="1">
      <alignment horizontal="left" wrapText="1"/>
    </xf>
    <xf numFmtId="0" fontId="0" fillId="17" borderId="0" xfId="0" applyFont="1" applyFill="1"/>
    <xf numFmtId="1" fontId="40"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2" fillId="2" borderId="0" xfId="0" applyNumberFormat="1" applyFont="1" applyFill="1" applyAlignment="1">
      <alignment horizontal="center" vertical="center"/>
    </xf>
    <xf numFmtId="0" fontId="22"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8" borderId="0" xfId="0" applyFont="1" applyFill="1" applyAlignment="1">
      <alignment horizontal="center"/>
    </xf>
    <xf numFmtId="0" fontId="0" fillId="2" borderId="0" xfId="0" applyFill="1" applyAlignment="1">
      <alignment vertical="top"/>
    </xf>
    <xf numFmtId="0" fontId="0" fillId="2" borderId="6" xfId="0" applyFill="1" applyBorder="1" applyAlignment="1">
      <alignment horizontal="center"/>
    </xf>
    <xf numFmtId="0" fontId="0" fillId="2" borderId="0" xfId="0" applyFill="1" applyAlignment="1">
      <alignment horizontal="center"/>
    </xf>
    <xf numFmtId="0" fontId="42" fillId="2" borderId="0" xfId="0" applyFont="1" applyFill="1" applyAlignment="1">
      <alignment horizontal="left" indent="2"/>
    </xf>
    <xf numFmtId="0" fontId="16" fillId="2" borderId="0" xfId="0" applyFont="1" applyFill="1"/>
    <xf numFmtId="0" fontId="16" fillId="2" borderId="6" xfId="0" applyFont="1" applyFill="1" applyBorder="1"/>
    <xf numFmtId="0" fontId="16" fillId="2" borderId="6" xfId="0" applyFont="1" applyFill="1" applyBorder="1" applyAlignment="1">
      <alignment horizontal="center"/>
    </xf>
    <xf numFmtId="165" fontId="0" fillId="2" borderId="0" xfId="0" applyNumberFormat="1" applyFill="1" applyAlignment="1">
      <alignment horizontal="center"/>
    </xf>
    <xf numFmtId="165" fontId="0" fillId="2" borderId="6" xfId="0" applyNumberFormat="1" applyFill="1" applyBorder="1" applyAlignment="1">
      <alignment horizontal="center"/>
    </xf>
    <xf numFmtId="165" fontId="0" fillId="5" borderId="0" xfId="0" applyNumberFormat="1" applyFill="1" applyAlignment="1">
      <alignment horizontal="center"/>
    </xf>
    <xf numFmtId="0" fontId="0" fillId="2" borderId="6" xfId="0" applyFill="1" applyBorder="1" applyAlignment="1">
      <alignment horizontal="center" wrapText="1"/>
    </xf>
    <xf numFmtId="0" fontId="42" fillId="2" borderId="6" xfId="0" applyFont="1" applyFill="1" applyBorder="1" applyAlignment="1">
      <alignment horizontal="left"/>
    </xf>
    <xf numFmtId="165" fontId="42" fillId="2" borderId="6" xfId="0" applyNumberFormat="1" applyFont="1" applyFill="1" applyBorder="1" applyAlignment="1">
      <alignment horizontal="center"/>
    </xf>
    <xf numFmtId="165" fontId="22" fillId="0" borderId="0" xfId="0" applyNumberFormat="1" applyFont="1" applyAlignment="1">
      <alignment horizontal="center" vertical="center"/>
    </xf>
    <xf numFmtId="0" fontId="44" fillId="2" borderId="0" xfId="0" applyFont="1" applyFill="1" applyAlignment="1">
      <alignment vertical="center" wrapText="1"/>
    </xf>
    <xf numFmtId="165" fontId="8" fillId="2" borderId="0" xfId="0" applyNumberFormat="1" applyFont="1" applyFill="1" applyAlignment="1">
      <alignment horizontal="center" vertical="center"/>
    </xf>
    <xf numFmtId="0" fontId="27" fillId="2" borderId="0" xfId="12" applyFont="1" applyFill="1" applyAlignment="1">
      <alignment horizontal="justify" vertical="top" wrapText="1"/>
    </xf>
    <xf numFmtId="0" fontId="27" fillId="19" borderId="0" xfId="6" applyFont="1" applyFill="1" applyAlignment="1">
      <alignment horizontal="justify" wrapText="1"/>
    </xf>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0" fontId="26" fillId="10" borderId="6" xfId="0" applyFont="1" applyFill="1" applyBorder="1" applyAlignment="1">
      <alignment vertical="top" wrapText="1"/>
    </xf>
    <xf numFmtId="0" fontId="46" fillId="2" borderId="0" xfId="0" applyFont="1" applyFill="1" applyAlignment="1">
      <alignment vertical="center" wrapText="1"/>
    </xf>
    <xf numFmtId="0" fontId="36" fillId="2" borderId="0" xfId="0" applyFont="1" applyFill="1"/>
    <xf numFmtId="0" fontId="22" fillId="2" borderId="0" xfId="0" applyFont="1" applyFill="1" applyAlignment="1">
      <alignment horizontal="center"/>
    </xf>
    <xf numFmtId="165" fontId="22" fillId="2" borderId="0" xfId="0" applyNumberFormat="1" applyFont="1" applyFill="1" applyAlignment="1">
      <alignment horizontal="center"/>
    </xf>
    <xf numFmtId="0" fontId="35"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7" fillId="2" borderId="0" xfId="12" applyFont="1" applyFill="1" applyAlignment="1">
      <alignment horizontal="justify" vertical="top" wrapText="1"/>
    </xf>
    <xf numFmtId="0" fontId="4" fillId="2" borderId="5" xfId="6" applyFill="1" applyBorder="1" applyAlignment="1">
      <alignment vertical="center"/>
    </xf>
    <xf numFmtId="0" fontId="27" fillId="7" borderId="0" xfId="6" applyFont="1" applyFill="1" applyAlignment="1">
      <alignment horizontal="justify" vertical="center" wrapText="1"/>
    </xf>
    <xf numFmtId="0" fontId="27" fillId="12" borderId="19" xfId="6" applyFont="1" applyFill="1" applyBorder="1" applyAlignment="1">
      <alignment vertical="center" wrapText="1"/>
    </xf>
    <xf numFmtId="0" fontId="4" fillId="2" borderId="8" xfId="6" applyFill="1" applyBorder="1" applyAlignment="1">
      <alignment vertical="center"/>
    </xf>
    <xf numFmtId="0" fontId="27" fillId="2" borderId="13" xfId="6" applyFont="1" applyFill="1" applyBorder="1" applyAlignment="1">
      <alignment vertical="center" wrapText="1"/>
    </xf>
    <xf numFmtId="0" fontId="27" fillId="5" borderId="0" xfId="6" applyFont="1" applyFill="1" applyBorder="1" applyAlignment="1">
      <alignment vertical="center" wrapText="1"/>
    </xf>
    <xf numFmtId="0" fontId="27"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7" fillId="21" borderId="3" xfId="6" applyFont="1" applyFill="1" applyBorder="1" applyAlignment="1">
      <alignment vertical="center" wrapText="1"/>
    </xf>
    <xf numFmtId="2" fontId="14" fillId="11" borderId="0" xfId="0" applyNumberFormat="1" applyFont="1" applyFill="1" applyAlignment="1">
      <alignment horizontal="center"/>
    </xf>
    <xf numFmtId="165" fontId="14" fillId="11" borderId="3" xfId="0" applyNumberFormat="1" applyFont="1" applyFill="1" applyBorder="1" applyAlignment="1" applyProtection="1">
      <alignment horizontal="center"/>
      <protection locked="0"/>
    </xf>
    <xf numFmtId="165" fontId="14" fillId="11" borderId="6" xfId="0" applyNumberFormat="1" applyFont="1" applyFill="1" applyBorder="1" applyAlignment="1" applyProtection="1">
      <alignment horizontal="center"/>
      <protection locked="0"/>
    </xf>
    <xf numFmtId="165" fontId="8" fillId="2" borderId="0" xfId="0" applyNumberFormat="1" applyFont="1" applyFill="1" applyBorder="1" applyAlignment="1">
      <alignment horizontal="center"/>
    </xf>
    <xf numFmtId="0" fontId="45" fillId="2" borderId="0" xfId="0" applyFont="1" applyFill="1" applyBorder="1"/>
    <xf numFmtId="165" fontId="0" fillId="2" borderId="12" xfId="0" applyNumberFormat="1" applyFill="1" applyBorder="1" applyAlignment="1">
      <alignment horizontal="center" vertical="top" wrapText="1"/>
    </xf>
    <xf numFmtId="0" fontId="8" fillId="2" borderId="0" xfId="0" quotePrefix="1" applyFont="1" applyFill="1" applyAlignment="1">
      <alignment wrapText="1"/>
    </xf>
    <xf numFmtId="0" fontId="47" fillId="2" borderId="5" xfId="0" applyFont="1" applyFill="1" applyBorder="1" applyAlignment="1" applyProtection="1">
      <alignment horizontal="center" vertical="center"/>
      <protection locked="0"/>
    </xf>
    <xf numFmtId="0" fontId="47" fillId="2" borderId="8" xfId="0" applyFont="1" applyFill="1" applyBorder="1" applyAlignment="1" applyProtection="1">
      <alignment horizontal="center"/>
      <protection locked="0"/>
    </xf>
    <xf numFmtId="165" fontId="14" fillId="22" borderId="0" xfId="0" applyNumberFormat="1" applyFont="1" applyFill="1" applyAlignment="1" applyProtection="1">
      <alignment horizontal="center"/>
      <protection locked="0"/>
    </xf>
    <xf numFmtId="0" fontId="0" fillId="22" borderId="0" xfId="0" applyFill="1" applyProtection="1">
      <protection locked="0"/>
    </xf>
    <xf numFmtId="165" fontId="8" fillId="22" borderId="0" xfId="0" applyNumberFormat="1" applyFont="1" applyFill="1" applyAlignment="1" applyProtection="1">
      <alignment horizontal="center"/>
      <protection locked="0"/>
    </xf>
    <xf numFmtId="0" fontId="8" fillId="22" borderId="0" xfId="0" applyFont="1" applyFill="1" applyProtection="1">
      <protection locked="0"/>
    </xf>
    <xf numFmtId="0" fontId="8" fillId="22" borderId="0" xfId="0" applyFont="1" applyFill="1"/>
    <xf numFmtId="2" fontId="8" fillId="22" borderId="0" xfId="0" applyNumberFormat="1" applyFont="1" applyFill="1" applyAlignment="1">
      <alignment horizontal="center"/>
    </xf>
    <xf numFmtId="165" fontId="8" fillId="22" borderId="0" xfId="0" applyNumberFormat="1" applyFont="1" applyFill="1" applyAlignment="1">
      <alignment horizontal="center"/>
    </xf>
    <xf numFmtId="2" fontId="38" fillId="22" borderId="0" xfId="0" applyNumberFormat="1" applyFont="1" applyFill="1" applyAlignment="1">
      <alignment horizontal="center"/>
    </xf>
    <xf numFmtId="2" fontId="14" fillId="22" borderId="0" xfId="0" applyNumberFormat="1" applyFont="1" applyFill="1" applyAlignment="1">
      <alignment horizontal="center"/>
    </xf>
    <xf numFmtId="168" fontId="8" fillId="22" borderId="0" xfId="0" applyNumberFormat="1" applyFont="1" applyFill="1" applyAlignment="1">
      <alignment horizontal="center"/>
    </xf>
    <xf numFmtId="2" fontId="22" fillId="2" borderId="0" xfId="0" applyNumberFormat="1" applyFont="1" applyFill="1"/>
    <xf numFmtId="0" fontId="27" fillId="2" borderId="0" xfId="6" applyFont="1" applyFill="1" applyAlignment="1">
      <alignment horizontal="justify" vertical="top" wrapText="1"/>
    </xf>
    <xf numFmtId="0" fontId="28" fillId="2" borderId="0" xfId="12" applyFont="1" applyFill="1" applyAlignment="1">
      <alignment horizontal="justify" vertical="justify" wrapText="1"/>
    </xf>
    <xf numFmtId="0" fontId="27" fillId="2" borderId="0" xfId="12" applyFont="1" applyFill="1" applyAlignment="1">
      <alignment horizontal="justify" vertical="top" wrapText="1"/>
    </xf>
    <xf numFmtId="0" fontId="27" fillId="2" borderId="6" xfId="12" applyFont="1" applyFill="1" applyBorder="1" applyAlignment="1">
      <alignment horizontal="justify" vertical="top" wrapText="1"/>
    </xf>
    <xf numFmtId="0" fontId="27" fillId="2" borderId="0" xfId="12" applyFont="1" applyFill="1" applyAlignment="1">
      <alignment horizontal="justify" vertical="center" wrapText="1"/>
    </xf>
    <xf numFmtId="0" fontId="27" fillId="2" borderId="0" xfId="12" applyFont="1" applyFill="1" applyAlignment="1">
      <alignment horizontal="left" vertical="center" wrapText="1"/>
    </xf>
    <xf numFmtId="0" fontId="27" fillId="2" borderId="0" xfId="6" applyFont="1" applyFill="1" applyAlignment="1">
      <alignment horizontal="justify" vertical="center" wrapText="1"/>
    </xf>
    <xf numFmtId="0" fontId="27" fillId="2" borderId="0" xfId="12" applyFont="1" applyFill="1" applyAlignment="1">
      <alignment horizontal="left" vertical="top" wrapText="1"/>
    </xf>
    <xf numFmtId="0" fontId="27" fillId="2" borderId="0" xfId="12" applyFont="1" applyFill="1" applyAlignment="1">
      <alignment horizontal="justify" vertical="justify" wrapText="1"/>
    </xf>
    <xf numFmtId="0" fontId="27" fillId="2" borderId="20" xfId="6" applyFont="1" applyFill="1" applyBorder="1" applyAlignment="1">
      <alignment horizontal="left" vertical="center" wrapText="1"/>
    </xf>
    <xf numFmtId="0" fontId="27" fillId="2" borderId="0" xfId="6" applyFont="1" applyFill="1" applyAlignment="1">
      <alignment horizontal="left" vertical="center" wrapText="1"/>
    </xf>
    <xf numFmtId="0" fontId="27" fillId="2" borderId="0" xfId="6" applyFont="1" applyFill="1" applyBorder="1" applyAlignment="1">
      <alignment horizontal="left" vertical="center" wrapText="1"/>
    </xf>
    <xf numFmtId="0" fontId="37" fillId="2" borderId="0" xfId="0" applyFont="1" applyFill="1" applyAlignment="1">
      <alignment horizontal="center" vertical="center" wrapText="1"/>
    </xf>
    <xf numFmtId="0" fontId="0" fillId="2" borderId="3" xfId="0" applyFill="1" applyBorder="1" applyAlignment="1">
      <alignment horizontal="justify" vertical="top"/>
    </xf>
    <xf numFmtId="0" fontId="46" fillId="2" borderId="5" xfId="0" applyFont="1" applyFill="1" applyBorder="1" applyAlignment="1">
      <alignment horizontal="left" vertical="center" wrapText="1" indent="1"/>
    </xf>
    <xf numFmtId="0" fontId="46" fillId="2" borderId="0" xfId="0" applyFont="1" applyFill="1" applyAlignment="1">
      <alignment horizontal="left" vertical="center" wrapText="1" indent="1"/>
    </xf>
    <xf numFmtId="0" fontId="17" fillId="2" borderId="5"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17" fillId="2" borderId="9" xfId="0" applyFont="1" applyFill="1" applyBorder="1" applyAlignment="1">
      <alignment horizontal="center" vertical="center"/>
    </xf>
    <xf numFmtId="0" fontId="17" fillId="2" borderId="7" xfId="0" applyFont="1" applyFill="1" applyBorder="1" applyAlignment="1">
      <alignment horizontal="center"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6" fillId="2" borderId="3" xfId="0" applyFont="1" applyFill="1" applyBorder="1" applyAlignment="1">
      <alignment horizontal="justify" vertical="top"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7" fillId="2" borderId="10" xfId="0" applyFont="1" applyFill="1" applyBorder="1" applyAlignment="1">
      <alignment horizontal="center" vertical="center" wrapText="1"/>
    </xf>
    <xf numFmtId="0" fontId="37" fillId="2" borderId="11"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7" fillId="2" borderId="14"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10" xfId="0" applyFont="1" applyFill="1" applyBorder="1" applyAlignment="1">
      <alignment horizontal="center" vertical="center"/>
    </xf>
    <xf numFmtId="166" fontId="0" fillId="5" borderId="13" xfId="0" applyNumberFormat="1" applyFill="1" applyBorder="1" applyAlignment="1">
      <alignment horizontal="center" vertical="center"/>
    </xf>
    <xf numFmtId="168" fontId="0" fillId="2" borderId="12" xfId="0" applyNumberFormat="1" applyFill="1" applyBorder="1" applyAlignment="1">
      <alignment horizontal="center" vertical="top"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38">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solid">
          <bgColor theme="0"/>
        </patternFill>
      </fill>
      <border>
        <left/>
        <right/>
        <top/>
        <bottom/>
        <vertical/>
        <horizontal/>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ont>
        <color theme="0"/>
      </font>
      <fill>
        <patternFill patternType="solid">
          <bgColor theme="0"/>
        </patternFill>
      </fill>
      <border>
        <left/>
        <right/>
        <top/>
        <bottom/>
        <vertical/>
        <horizontal/>
      </border>
    </dxf>
    <dxf>
      <fill>
        <patternFill>
          <bgColor theme="9" tint="0.39994506668294322"/>
        </patternFill>
      </fill>
    </dxf>
    <dxf>
      <fill>
        <patternFill>
          <bgColor theme="9" tint="0.39994506668294322"/>
        </patternFill>
      </fill>
    </dxf>
    <dxf>
      <fill>
        <patternFill>
          <bgColor theme="0" tint="-0.14996795556505021"/>
        </patternFill>
      </fill>
    </dxf>
    <dxf>
      <fill>
        <patternFill>
          <bgColor theme="0"/>
        </patternFill>
      </fill>
    </dxf>
    <dxf>
      <fill>
        <patternFill>
          <bgColor theme="9" tint="0.79998168889431442"/>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theme="9" tint="0.39994506668294322"/>
        </patternFill>
      </fill>
    </dxf>
    <dxf>
      <fill>
        <patternFill>
          <bgColor theme="0" tint="-0.14996795556505021"/>
        </patternFill>
      </fill>
    </dxf>
    <dxf>
      <fill>
        <patternFill>
          <bgColor theme="0" tint="-0.14996795556505021"/>
        </patternFill>
      </fill>
    </dxf>
    <dxf>
      <fill>
        <patternFill>
          <bgColor theme="0"/>
        </patternFill>
      </fill>
    </dxf>
    <dxf>
      <fill>
        <patternFill>
          <bgColor theme="9" tint="0.79998168889431442"/>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ill>
        <patternFill>
          <bgColor theme="9" tint="0.39994506668294322"/>
        </patternFill>
      </fill>
    </dxf>
    <dxf>
      <fill>
        <patternFill>
          <bgColor theme="0" tint="-0.14996795556505021"/>
        </patternFill>
      </fill>
    </dxf>
    <dxf>
      <fill>
        <patternFill>
          <bgColor theme="0"/>
        </patternFill>
      </fill>
    </dxf>
    <dxf>
      <fill>
        <patternFill>
          <bgColor theme="0" tint="-0.14996795556505021"/>
        </patternFill>
      </fill>
    </dxf>
    <dxf>
      <fill>
        <patternFill>
          <bgColor theme="9" tint="0.79998168889431442"/>
        </patternFill>
      </fill>
    </dxf>
    <dxf>
      <fill>
        <patternFill>
          <bgColor theme="0"/>
        </patternFill>
      </fill>
      <border>
        <left style="thin">
          <color auto="1"/>
        </left>
        <right/>
        <top/>
        <bottom/>
        <vertical/>
        <horizontal/>
      </border>
    </dxf>
    <dxf>
      <fill>
        <patternFill>
          <bgColor theme="0"/>
        </patternFill>
      </fill>
      <border>
        <left/>
        <right/>
        <top style="thin">
          <color auto="1"/>
        </top>
        <bottom/>
        <vertical/>
        <horizontal/>
      </border>
    </dxf>
    <dxf>
      <fill>
        <patternFill>
          <bgColor theme="0"/>
        </patternFill>
      </fill>
    </dxf>
    <dxf>
      <border>
        <left/>
        <right/>
        <top/>
        <bottom/>
        <vertical/>
        <horizontal/>
      </border>
    </dxf>
    <dxf>
      <font>
        <strike val="0"/>
        <color theme="0"/>
      </font>
      <fill>
        <patternFill>
          <bgColor theme="0"/>
        </patternFill>
      </fill>
    </dxf>
    <dxf>
      <font>
        <color theme="5" tint="-0.499984740745262"/>
      </font>
      <fill>
        <patternFill>
          <bgColor rgb="FFFFC7CE"/>
        </patternFill>
      </fill>
    </dxf>
    <dxf>
      <border>
        <left style="thin">
          <color auto="1"/>
        </left>
        <right/>
        <top/>
        <bottom/>
        <vertical/>
        <horizontal/>
      </border>
    </dxf>
    <dxf>
      <font>
        <color rgb="FF9C0006"/>
      </font>
      <fill>
        <patternFill>
          <bgColor rgb="FFFFC7CE"/>
        </patternFill>
      </fill>
    </dxf>
    <dxf>
      <font>
        <b/>
        <i val="0"/>
        <color rgb="FF00B050"/>
      </font>
    </dxf>
    <dxf>
      <font>
        <b/>
        <i val="0"/>
        <color rgb="FF00B050"/>
      </font>
    </dxf>
  </dxfs>
  <tableStyles count="0" defaultTableStyle="TableStyleMedium2" defaultPivotStyle="PivotStyleLight16"/>
  <colors>
    <mruColors>
      <color rgb="FFF2DCDB"/>
      <color rgb="FFFFC7CE"/>
      <color rgb="FFFFFFCC"/>
      <color rgb="FFF8A8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2"/>
  <sheetViews>
    <sheetView zoomScaleNormal="100" workbookViewId="0"/>
  </sheetViews>
  <sheetFormatPr defaultColWidth="9.28515625" defaultRowHeight="15" x14ac:dyDescent="0.25"/>
  <cols>
    <col min="1" max="3" width="9.28515625" style="198"/>
    <col min="4" max="4" width="7.28515625" style="198" customWidth="1"/>
    <col min="5" max="5" width="6.140625" style="198" customWidth="1"/>
    <col min="6" max="6" width="3.140625" style="198" customWidth="1"/>
    <col min="7" max="13" width="9.28515625" style="198"/>
    <col min="14" max="14" width="18.140625" style="198" customWidth="1"/>
    <col min="15" max="16384" width="9.28515625" style="198"/>
  </cols>
  <sheetData>
    <row r="2" spans="2:12" x14ac:dyDescent="0.25">
      <c r="B2" s="226"/>
      <c r="C2" s="225"/>
      <c r="D2" s="225"/>
      <c r="E2" s="225"/>
      <c r="F2" s="225"/>
      <c r="G2" s="229"/>
      <c r="H2" s="225"/>
      <c r="I2" s="225"/>
      <c r="J2" s="225"/>
      <c r="K2" s="225"/>
      <c r="L2" s="224"/>
    </row>
    <row r="3" spans="2:12" x14ac:dyDescent="0.25">
      <c r="B3" s="203"/>
      <c r="C3" s="228"/>
      <c r="D3" s="228"/>
      <c r="E3" s="228"/>
      <c r="F3" s="228"/>
      <c r="G3" s="222"/>
      <c r="H3" s="228"/>
      <c r="I3" s="228"/>
      <c r="J3" s="228"/>
      <c r="K3" s="228"/>
      <c r="L3" s="202"/>
    </row>
    <row r="4" spans="2:12" x14ac:dyDescent="0.25">
      <c r="B4" s="203"/>
      <c r="C4" s="228"/>
      <c r="D4" s="228"/>
      <c r="E4" s="228"/>
      <c r="F4" s="228"/>
      <c r="G4" s="223" t="s">
        <v>0</v>
      </c>
      <c r="H4" s="228"/>
      <c r="I4" s="228"/>
      <c r="J4" s="228"/>
      <c r="K4" s="228"/>
      <c r="L4" s="202"/>
    </row>
    <row r="5" spans="2:12" x14ac:dyDescent="0.25">
      <c r="B5" s="203"/>
      <c r="C5" s="228"/>
      <c r="D5" s="228"/>
      <c r="E5" s="228"/>
      <c r="F5" s="228"/>
      <c r="G5" s="222"/>
      <c r="H5" s="228"/>
      <c r="I5" s="228"/>
      <c r="J5" s="228"/>
      <c r="K5" s="228"/>
      <c r="L5" s="202"/>
    </row>
    <row r="6" spans="2:12" x14ac:dyDescent="0.25">
      <c r="B6" s="203"/>
      <c r="C6" s="228"/>
      <c r="D6" s="228"/>
      <c r="E6" s="228"/>
      <c r="F6" s="228"/>
      <c r="G6" s="222" t="s">
        <v>1</v>
      </c>
      <c r="H6" s="228"/>
      <c r="I6" s="228"/>
      <c r="J6" s="228"/>
      <c r="K6" s="228"/>
      <c r="L6" s="202"/>
    </row>
    <row r="7" spans="2:12" x14ac:dyDescent="0.25">
      <c r="B7" s="203"/>
      <c r="C7" s="228"/>
      <c r="D7" s="228"/>
      <c r="E7" s="228"/>
      <c r="F7" s="228"/>
      <c r="G7" s="222" t="s">
        <v>2</v>
      </c>
      <c r="H7" s="228"/>
      <c r="I7" s="228"/>
      <c r="J7" s="228"/>
      <c r="K7" s="228"/>
      <c r="L7" s="202"/>
    </row>
    <row r="8" spans="2:12" x14ac:dyDescent="0.25">
      <c r="B8" s="203"/>
      <c r="C8" s="228"/>
      <c r="D8" s="228"/>
      <c r="E8" s="228"/>
      <c r="F8" s="228"/>
      <c r="G8" s="143" t="s">
        <v>3</v>
      </c>
      <c r="H8" s="228"/>
      <c r="I8" s="228"/>
      <c r="J8" s="228"/>
      <c r="K8" s="228"/>
      <c r="L8" s="202"/>
    </row>
    <row r="9" spans="2:12" x14ac:dyDescent="0.25">
      <c r="B9" s="203"/>
      <c r="C9" s="228"/>
      <c r="D9" s="228"/>
      <c r="E9" s="228"/>
      <c r="F9" s="228"/>
      <c r="G9" s="222"/>
      <c r="H9" s="228"/>
      <c r="I9" s="228"/>
      <c r="J9" s="228"/>
      <c r="K9" s="228"/>
      <c r="L9" s="202"/>
    </row>
    <row r="10" spans="2:12" x14ac:dyDescent="0.25">
      <c r="B10" s="203"/>
      <c r="C10" s="228"/>
      <c r="D10" s="228"/>
      <c r="E10" s="228"/>
      <c r="F10" s="228"/>
      <c r="G10" s="222"/>
      <c r="H10" s="228"/>
      <c r="I10" s="228"/>
      <c r="J10" s="228"/>
      <c r="K10" s="228"/>
      <c r="L10" s="202"/>
    </row>
    <row r="11" spans="2:12" x14ac:dyDescent="0.25">
      <c r="B11" s="200"/>
      <c r="C11" s="227"/>
      <c r="D11" s="227"/>
      <c r="E11" s="227"/>
      <c r="F11" s="227"/>
      <c r="G11" s="227"/>
      <c r="H11" s="227"/>
      <c r="I11" s="227"/>
      <c r="J11" s="227"/>
      <c r="K11" s="227"/>
      <c r="L11" s="199"/>
    </row>
    <row r="15" spans="2:12" x14ac:dyDescent="0.25">
      <c r="B15" s="226"/>
      <c r="C15" s="225"/>
      <c r="D15" s="225"/>
      <c r="E15" s="225"/>
      <c r="F15" s="225"/>
      <c r="G15" s="225"/>
      <c r="H15" s="225"/>
      <c r="I15" s="225"/>
      <c r="J15" s="225"/>
      <c r="K15" s="225"/>
      <c r="L15" s="224"/>
    </row>
    <row r="16" spans="2:12" x14ac:dyDescent="0.25">
      <c r="B16" s="203"/>
      <c r="C16" s="223" t="s">
        <v>4</v>
      </c>
      <c r="D16" s="222"/>
      <c r="E16" s="222"/>
      <c r="F16" s="222"/>
      <c r="G16" s="222"/>
      <c r="H16" s="222"/>
      <c r="I16" s="222"/>
      <c r="J16" s="222"/>
      <c r="K16" s="222"/>
      <c r="L16" s="202"/>
    </row>
    <row r="17" spans="2:14" x14ac:dyDescent="0.25">
      <c r="B17" s="203"/>
      <c r="C17" s="222"/>
      <c r="D17" s="222"/>
      <c r="E17" s="222"/>
      <c r="F17" s="222"/>
      <c r="G17" s="223"/>
      <c r="H17" s="222"/>
      <c r="I17" s="222"/>
      <c r="J17" s="222"/>
      <c r="K17" s="222"/>
      <c r="L17" s="202"/>
    </row>
    <row r="18" spans="2:14" ht="15" customHeight="1" x14ac:dyDescent="0.25">
      <c r="B18" s="203"/>
      <c r="C18" s="355" t="s">
        <v>214</v>
      </c>
      <c r="D18" s="355"/>
      <c r="E18" s="355"/>
      <c r="F18" s="355"/>
      <c r="G18" s="355"/>
      <c r="H18" s="355"/>
      <c r="I18" s="355"/>
      <c r="J18" s="355"/>
      <c r="K18" s="355"/>
      <c r="L18" s="202"/>
    </row>
    <row r="19" spans="2:14" x14ac:dyDescent="0.25">
      <c r="B19" s="203"/>
      <c r="C19" s="355"/>
      <c r="D19" s="355"/>
      <c r="E19" s="355"/>
      <c r="F19" s="355"/>
      <c r="G19" s="355"/>
      <c r="H19" s="355"/>
      <c r="I19" s="355"/>
      <c r="J19" s="355"/>
      <c r="K19" s="355"/>
      <c r="L19" s="202"/>
    </row>
    <row r="20" spans="2:14" ht="30" customHeight="1" x14ac:dyDescent="0.25">
      <c r="B20" s="203"/>
      <c r="C20" s="355"/>
      <c r="D20" s="355"/>
      <c r="E20" s="355"/>
      <c r="F20" s="355"/>
      <c r="G20" s="355"/>
      <c r="H20" s="355"/>
      <c r="I20" s="355"/>
      <c r="J20" s="355"/>
      <c r="K20" s="355"/>
      <c r="L20" s="202"/>
    </row>
    <row r="21" spans="2:14" ht="9" customHeight="1" x14ac:dyDescent="0.25">
      <c r="B21" s="203"/>
      <c r="C21" s="222"/>
      <c r="D21" s="222"/>
      <c r="E21" s="222"/>
      <c r="F21" s="222"/>
      <c r="G21" s="222"/>
      <c r="H21" s="222"/>
      <c r="I21" s="222"/>
      <c r="J21" s="222"/>
      <c r="K21" s="222"/>
      <c r="L21" s="202"/>
    </row>
    <row r="22" spans="2:14" ht="15" customHeight="1" x14ac:dyDescent="0.25">
      <c r="B22" s="203"/>
      <c r="C22" s="355" t="s">
        <v>178</v>
      </c>
      <c r="D22" s="355"/>
      <c r="E22" s="355"/>
      <c r="F22" s="355"/>
      <c r="G22" s="355"/>
      <c r="H22" s="355"/>
      <c r="I22" s="355"/>
      <c r="J22" s="355"/>
      <c r="K22" s="355"/>
      <c r="L22" s="202"/>
    </row>
    <row r="23" spans="2:14" x14ac:dyDescent="0.25">
      <c r="B23" s="203"/>
      <c r="C23" s="355"/>
      <c r="D23" s="355"/>
      <c r="E23" s="355"/>
      <c r="F23" s="355"/>
      <c r="G23" s="355"/>
      <c r="H23" s="355"/>
      <c r="I23" s="355"/>
      <c r="J23" s="355"/>
      <c r="K23" s="355"/>
      <c r="L23" s="202"/>
    </row>
    <row r="24" spans="2:14" x14ac:dyDescent="0.25">
      <c r="B24" s="203"/>
      <c r="C24" s="355"/>
      <c r="D24" s="355"/>
      <c r="E24" s="355"/>
      <c r="F24" s="355"/>
      <c r="G24" s="355"/>
      <c r="H24" s="355"/>
      <c r="I24" s="355"/>
      <c r="J24" s="355"/>
      <c r="K24" s="355"/>
      <c r="L24" s="202"/>
    </row>
    <row r="25" spans="2:14" ht="37.9" customHeight="1" x14ac:dyDescent="0.25">
      <c r="B25" s="203"/>
      <c r="C25" s="355"/>
      <c r="D25" s="355"/>
      <c r="E25" s="355"/>
      <c r="F25" s="355"/>
      <c r="G25" s="355"/>
      <c r="H25" s="355"/>
      <c r="I25" s="355"/>
      <c r="J25" s="355"/>
      <c r="K25" s="355"/>
      <c r="L25" s="202"/>
      <c r="N25" s="201"/>
    </row>
    <row r="26" spans="2:14" x14ac:dyDescent="0.25">
      <c r="B26" s="203"/>
      <c r="C26" s="205"/>
      <c r="D26" s="205"/>
      <c r="E26" s="205"/>
      <c r="F26" s="205"/>
      <c r="G26" s="205"/>
      <c r="H26" s="205"/>
      <c r="I26" s="205"/>
      <c r="J26" s="205"/>
      <c r="K26" s="205"/>
      <c r="L26" s="202"/>
    </row>
    <row r="27" spans="2:14" x14ac:dyDescent="0.25">
      <c r="B27" s="203"/>
      <c r="C27" s="354" t="s">
        <v>5</v>
      </c>
      <c r="D27" s="354"/>
      <c r="E27" s="354"/>
      <c r="F27" s="354"/>
      <c r="G27" s="354"/>
      <c r="H27" s="354"/>
      <c r="I27" s="354"/>
      <c r="J27" s="354"/>
      <c r="K27" s="354"/>
      <c r="L27" s="202"/>
    </row>
    <row r="28" spans="2:14" x14ac:dyDescent="0.25">
      <c r="B28" s="203"/>
      <c r="C28" s="208"/>
      <c r="D28" s="208"/>
      <c r="E28" s="208"/>
      <c r="F28" s="208"/>
      <c r="G28" s="208"/>
      <c r="H28" s="208"/>
      <c r="I28" s="208"/>
      <c r="J28" s="208"/>
      <c r="K28" s="208"/>
      <c r="L28" s="202"/>
    </row>
    <row r="29" spans="2:14" ht="230.1" customHeight="1" x14ac:dyDescent="0.25">
      <c r="B29" s="203"/>
      <c r="C29" s="355" t="s">
        <v>199</v>
      </c>
      <c r="D29" s="355"/>
      <c r="E29" s="355"/>
      <c r="F29" s="355"/>
      <c r="G29" s="355"/>
      <c r="H29" s="355"/>
      <c r="I29" s="355"/>
      <c r="J29" s="355"/>
      <c r="K29" s="355"/>
      <c r="L29" s="202"/>
    </row>
    <row r="30" spans="2:14" x14ac:dyDescent="0.25">
      <c r="B30" s="203"/>
      <c r="C30" s="208"/>
      <c r="D30" s="208"/>
      <c r="E30" s="208"/>
      <c r="F30" s="208"/>
      <c r="G30" s="208"/>
      <c r="H30" s="208"/>
      <c r="I30" s="208"/>
      <c r="J30" s="208"/>
      <c r="K30" s="208"/>
      <c r="L30" s="202"/>
      <c r="N30" s="221"/>
    </row>
    <row r="31" spans="2:14" x14ac:dyDescent="0.25">
      <c r="B31" s="203"/>
      <c r="C31" s="361" t="s">
        <v>6</v>
      </c>
      <c r="D31" s="361"/>
      <c r="E31" s="361"/>
      <c r="F31" s="361"/>
      <c r="G31" s="361"/>
      <c r="H31" s="361"/>
      <c r="I31" s="361"/>
      <c r="J31" s="361"/>
      <c r="K31" s="361"/>
      <c r="L31" s="202"/>
    </row>
    <row r="32" spans="2:14" x14ac:dyDescent="0.25">
      <c r="B32" s="203"/>
      <c r="C32" s="205"/>
      <c r="D32" s="218"/>
      <c r="E32" s="218"/>
      <c r="F32" s="218"/>
      <c r="G32" s="218"/>
      <c r="H32" s="218"/>
      <c r="I32" s="218"/>
      <c r="J32" s="218"/>
      <c r="K32" s="218"/>
      <c r="L32" s="202"/>
    </row>
    <row r="33" spans="2:14" ht="33" customHeight="1" thickBot="1" x14ac:dyDescent="0.3">
      <c r="B33" s="141"/>
      <c r="C33" s="144"/>
      <c r="D33" s="353" t="s">
        <v>193</v>
      </c>
      <c r="E33" s="353"/>
      <c r="F33" s="353"/>
      <c r="G33" s="353"/>
      <c r="H33" s="353"/>
      <c r="I33" s="353"/>
      <c r="J33" s="353"/>
      <c r="K33" s="353"/>
      <c r="L33" s="142"/>
      <c r="N33" s="219"/>
    </row>
    <row r="34" spans="2:14" ht="50.1" customHeight="1" thickTop="1" thickBot="1" x14ac:dyDescent="0.3">
      <c r="B34" s="321"/>
      <c r="C34" s="322"/>
      <c r="D34" s="145"/>
      <c r="E34" s="323"/>
      <c r="F34" s="362" t="s">
        <v>196</v>
      </c>
      <c r="G34" s="363"/>
      <c r="H34" s="363"/>
      <c r="I34" s="363"/>
      <c r="J34" s="363"/>
      <c r="K34" s="363"/>
      <c r="L34" s="324"/>
      <c r="N34" s="219"/>
    </row>
    <row r="35" spans="2:14" s="328" customFormat="1" ht="50.1" customHeight="1" thickTop="1" x14ac:dyDescent="0.2">
      <c r="B35" s="321"/>
      <c r="C35" s="322"/>
      <c r="D35" s="145"/>
      <c r="E35" s="325"/>
      <c r="F35" s="364" t="s">
        <v>200</v>
      </c>
      <c r="G35" s="364"/>
      <c r="H35" s="364"/>
      <c r="I35" s="364"/>
      <c r="J35" s="364"/>
      <c r="K35" s="364"/>
      <c r="L35" s="324"/>
      <c r="N35" s="329"/>
    </row>
    <row r="36" spans="2:14" s="328" customFormat="1" ht="50.1" customHeight="1" x14ac:dyDescent="0.2">
      <c r="B36" s="321"/>
      <c r="C36" s="322"/>
      <c r="D36" s="145"/>
      <c r="E36" s="332"/>
      <c r="F36" s="364"/>
      <c r="G36" s="364"/>
      <c r="H36" s="364"/>
      <c r="I36" s="364"/>
      <c r="J36" s="364"/>
      <c r="K36" s="364"/>
      <c r="L36" s="324"/>
      <c r="N36" s="329"/>
    </row>
    <row r="37" spans="2:14" ht="66" customHeight="1" x14ac:dyDescent="0.25">
      <c r="B37" s="321"/>
      <c r="C37" s="322"/>
      <c r="D37" s="145"/>
      <c r="E37" s="326"/>
      <c r="F37" s="364" t="s">
        <v>197</v>
      </c>
      <c r="G37" s="363"/>
      <c r="H37" s="363"/>
      <c r="I37" s="363"/>
      <c r="J37" s="363"/>
      <c r="K37" s="363"/>
      <c r="L37" s="324"/>
      <c r="N37" s="219"/>
    </row>
    <row r="38" spans="2:14" ht="15" customHeight="1" x14ac:dyDescent="0.25">
      <c r="B38" s="203"/>
      <c r="C38" s="220"/>
      <c r="D38" s="320"/>
      <c r="E38" s="320"/>
      <c r="F38" s="320"/>
      <c r="G38" s="320"/>
      <c r="H38" s="320"/>
      <c r="I38" s="320"/>
      <c r="J38" s="320"/>
      <c r="K38" s="320"/>
      <c r="L38" s="202"/>
      <c r="N38" s="219"/>
    </row>
    <row r="39" spans="2:14" ht="126" customHeight="1" x14ac:dyDescent="0.25">
      <c r="B39" s="203"/>
      <c r="C39" s="220"/>
      <c r="D39" s="355" t="s">
        <v>207</v>
      </c>
      <c r="E39" s="355"/>
      <c r="F39" s="355"/>
      <c r="G39" s="355"/>
      <c r="H39" s="355"/>
      <c r="I39" s="355"/>
      <c r="J39" s="355"/>
      <c r="K39" s="355"/>
      <c r="L39" s="202"/>
      <c r="N39" s="219"/>
    </row>
    <row r="40" spans="2:14" ht="85.5" customHeight="1" x14ac:dyDescent="0.25">
      <c r="B40" s="203"/>
      <c r="C40" s="220"/>
      <c r="D40" s="355" t="s">
        <v>208</v>
      </c>
      <c r="E40" s="355"/>
      <c r="F40" s="355"/>
      <c r="G40" s="355"/>
      <c r="H40" s="355"/>
      <c r="I40" s="355"/>
      <c r="J40" s="355"/>
      <c r="K40" s="355"/>
      <c r="L40" s="202"/>
      <c r="N40" s="219"/>
    </row>
    <row r="41" spans="2:14" ht="55.5" customHeight="1" x14ac:dyDescent="0.25">
      <c r="B41" s="203"/>
      <c r="C41" s="220"/>
      <c r="D41" s="355" t="s">
        <v>203</v>
      </c>
      <c r="E41" s="355"/>
      <c r="F41" s="355"/>
      <c r="G41" s="355"/>
      <c r="H41" s="355"/>
      <c r="I41" s="355"/>
      <c r="J41" s="355"/>
      <c r="K41" s="355"/>
      <c r="L41" s="202"/>
      <c r="N41" s="219"/>
    </row>
    <row r="42" spans="2:14" ht="113.25" customHeight="1" x14ac:dyDescent="0.25">
      <c r="B42" s="203"/>
      <c r="C42" s="220"/>
      <c r="D42" s="355" t="s">
        <v>204</v>
      </c>
      <c r="E42" s="355"/>
      <c r="F42" s="355"/>
      <c r="G42" s="355"/>
      <c r="H42" s="355"/>
      <c r="I42" s="355"/>
      <c r="J42" s="355"/>
      <c r="K42" s="355"/>
      <c r="L42" s="202"/>
      <c r="N42" s="219"/>
    </row>
    <row r="43" spans="2:14" ht="98.25" customHeight="1" x14ac:dyDescent="0.25">
      <c r="B43" s="203"/>
      <c r="C43" s="220"/>
      <c r="D43" s="355" t="s">
        <v>205</v>
      </c>
      <c r="E43" s="355"/>
      <c r="F43" s="355"/>
      <c r="G43" s="355"/>
      <c r="H43" s="355"/>
      <c r="I43" s="355"/>
      <c r="J43" s="355"/>
      <c r="K43" s="355"/>
      <c r="L43" s="202"/>
      <c r="N43" s="219"/>
    </row>
    <row r="44" spans="2:14" ht="71.25" customHeight="1" x14ac:dyDescent="0.25">
      <c r="B44" s="203"/>
      <c r="C44" s="220"/>
      <c r="D44" s="355" t="s">
        <v>206</v>
      </c>
      <c r="E44" s="355"/>
      <c r="F44" s="355"/>
      <c r="G44" s="355"/>
      <c r="H44" s="355"/>
      <c r="I44" s="355"/>
      <c r="J44" s="355"/>
      <c r="K44" s="355"/>
      <c r="L44" s="202"/>
      <c r="N44" s="219"/>
    </row>
    <row r="45" spans="2:14" x14ac:dyDescent="0.25">
      <c r="B45" s="203"/>
      <c r="C45" s="205"/>
      <c r="D45" s="218"/>
      <c r="E45" s="218"/>
      <c r="F45" s="218"/>
      <c r="G45" s="218"/>
      <c r="H45" s="218"/>
      <c r="I45" s="218"/>
      <c r="J45" s="218"/>
      <c r="K45" s="218"/>
      <c r="L45" s="202"/>
    </row>
    <row r="46" spans="2:14" ht="61.9" customHeight="1" x14ac:dyDescent="0.25">
      <c r="B46" s="203"/>
      <c r="C46" s="213"/>
      <c r="D46" s="355" t="s">
        <v>131</v>
      </c>
      <c r="E46" s="355"/>
      <c r="F46" s="355"/>
      <c r="G46" s="355"/>
      <c r="H46" s="355"/>
      <c r="I46" s="355"/>
      <c r="J46" s="355"/>
      <c r="K46" s="355"/>
      <c r="L46" s="202"/>
    </row>
    <row r="47" spans="2:14" ht="32.450000000000003" customHeight="1" x14ac:dyDescent="0.25">
      <c r="B47" s="203"/>
      <c r="C47" s="213"/>
      <c r="D47" s="355" t="s">
        <v>7</v>
      </c>
      <c r="E47" s="355"/>
      <c r="F47" s="355"/>
      <c r="G47" s="355"/>
      <c r="H47" s="355"/>
      <c r="I47" s="355"/>
      <c r="J47" s="355"/>
      <c r="K47" s="355"/>
      <c r="L47" s="202"/>
    </row>
    <row r="48" spans="2:14" ht="33.6" customHeight="1" x14ac:dyDescent="0.25">
      <c r="B48" s="203"/>
      <c r="C48" s="213"/>
      <c r="D48" s="215"/>
      <c r="E48" s="211"/>
      <c r="F48" s="357" t="s">
        <v>113</v>
      </c>
      <c r="G48" s="357"/>
      <c r="H48" s="357"/>
      <c r="I48" s="357"/>
      <c r="J48" s="357"/>
      <c r="K48" s="357"/>
      <c r="L48" s="202"/>
    </row>
    <row r="49" spans="2:22" ht="32.25" customHeight="1" x14ac:dyDescent="0.25">
      <c r="B49" s="203"/>
      <c r="C49" s="213"/>
      <c r="D49" s="215"/>
      <c r="E49" s="217"/>
      <c r="F49" s="357" t="s">
        <v>179</v>
      </c>
      <c r="G49" s="357"/>
      <c r="H49" s="357"/>
      <c r="I49" s="357"/>
      <c r="J49" s="357"/>
      <c r="K49" s="357"/>
      <c r="L49" s="202"/>
    </row>
    <row r="50" spans="2:22" ht="92.25" customHeight="1" x14ac:dyDescent="0.25">
      <c r="B50" s="203"/>
      <c r="C50" s="213"/>
      <c r="D50" s="215"/>
      <c r="E50" s="216"/>
      <c r="F50" s="357" t="s">
        <v>8</v>
      </c>
      <c r="G50" s="357"/>
      <c r="H50" s="357"/>
      <c r="I50" s="357"/>
      <c r="J50" s="357"/>
      <c r="K50" s="357"/>
      <c r="L50" s="202"/>
    </row>
    <row r="51" spans="2:22" ht="23.25" customHeight="1" x14ac:dyDescent="0.25">
      <c r="B51" s="203"/>
      <c r="C51" s="213"/>
      <c r="D51" s="215"/>
      <c r="E51" s="214"/>
      <c r="F51" s="357" t="s">
        <v>9</v>
      </c>
      <c r="G51" s="357"/>
      <c r="H51" s="357"/>
      <c r="I51" s="357"/>
      <c r="J51" s="357"/>
      <c r="K51" s="357"/>
      <c r="L51" s="202"/>
    </row>
    <row r="52" spans="2:22" ht="45.75" customHeight="1" x14ac:dyDescent="0.25">
      <c r="B52" s="203"/>
      <c r="C52" s="213"/>
      <c r="D52" s="355" t="s">
        <v>180</v>
      </c>
      <c r="E52" s="355"/>
      <c r="F52" s="355"/>
      <c r="G52" s="355"/>
      <c r="H52" s="355"/>
      <c r="I52" s="355"/>
      <c r="J52" s="355"/>
      <c r="K52" s="355"/>
      <c r="L52" s="202"/>
    </row>
    <row r="53" spans="2:22" x14ac:dyDescent="0.25">
      <c r="B53" s="203"/>
      <c r="C53" s="205"/>
      <c r="D53" s="205"/>
      <c r="E53" s="205"/>
      <c r="F53" s="205"/>
      <c r="G53" s="205"/>
      <c r="H53" s="205"/>
      <c r="I53" s="205"/>
      <c r="J53" s="205"/>
      <c r="K53" s="205"/>
      <c r="L53" s="202"/>
    </row>
    <row r="54" spans="2:22" s="140" customFormat="1" ht="82.5" customHeight="1" x14ac:dyDescent="0.25">
      <c r="B54" s="141"/>
      <c r="C54" s="353" t="s">
        <v>233</v>
      </c>
      <c r="D54" s="353"/>
      <c r="E54" s="353"/>
      <c r="F54" s="353"/>
      <c r="G54" s="353"/>
      <c r="H54" s="353"/>
      <c r="I54" s="353"/>
      <c r="J54" s="353"/>
      <c r="K54" s="353"/>
      <c r="L54" s="142"/>
      <c r="N54" s="198"/>
      <c r="O54" s="198"/>
      <c r="P54" s="198"/>
      <c r="Q54" s="198"/>
      <c r="R54" s="198"/>
      <c r="S54" s="198"/>
      <c r="T54" s="198"/>
      <c r="U54" s="198"/>
      <c r="V54" s="198"/>
    </row>
    <row r="55" spans="2:22" s="140" customFormat="1" x14ac:dyDescent="0.25">
      <c r="B55" s="141"/>
      <c r="C55" s="154"/>
      <c r="D55" s="259"/>
      <c r="E55" s="259"/>
      <c r="F55" s="259"/>
      <c r="G55" s="259"/>
      <c r="H55" s="259"/>
      <c r="I55" s="259"/>
      <c r="J55" s="259"/>
      <c r="K55" s="259"/>
      <c r="L55" s="142"/>
      <c r="N55" s="255"/>
    </row>
    <row r="56" spans="2:22" s="140" customFormat="1" ht="48" customHeight="1" x14ac:dyDescent="0.25">
      <c r="B56" s="141"/>
      <c r="C56" s="263"/>
      <c r="D56" s="359" t="s">
        <v>211</v>
      </c>
      <c r="E56" s="359"/>
      <c r="F56" s="359"/>
      <c r="G56" s="359"/>
      <c r="H56" s="359"/>
      <c r="I56" s="359"/>
      <c r="J56" s="359"/>
      <c r="K56" s="359"/>
      <c r="L56" s="142"/>
      <c r="N56" s="255"/>
    </row>
    <row r="57" spans="2:22" s="140" customFormat="1" x14ac:dyDescent="0.25">
      <c r="B57" s="141"/>
      <c r="C57" s="154"/>
      <c r="D57" s="327"/>
      <c r="E57" s="327"/>
      <c r="F57" s="327"/>
      <c r="G57" s="327"/>
      <c r="H57" s="327"/>
      <c r="I57" s="327"/>
      <c r="J57" s="327"/>
      <c r="K57" s="327"/>
      <c r="L57" s="142"/>
      <c r="N57" s="255"/>
    </row>
    <row r="58" spans="2:22" s="140" customFormat="1" ht="47.25" customHeight="1" x14ac:dyDescent="0.25">
      <c r="B58" s="141"/>
      <c r="C58" s="264"/>
      <c r="D58" s="359" t="s">
        <v>133</v>
      </c>
      <c r="E58" s="359"/>
      <c r="F58" s="359"/>
      <c r="G58" s="359"/>
      <c r="H58" s="359"/>
      <c r="I58" s="359"/>
      <c r="J58" s="359"/>
      <c r="K58" s="359"/>
      <c r="L58" s="142"/>
      <c r="N58" s="255"/>
    </row>
    <row r="59" spans="2:22" s="140" customFormat="1" x14ac:dyDescent="0.25">
      <c r="B59" s="141"/>
      <c r="C59" s="154"/>
      <c r="D59" s="327"/>
      <c r="E59" s="327"/>
      <c r="F59" s="327"/>
      <c r="G59" s="327"/>
      <c r="H59" s="327"/>
      <c r="I59" s="327"/>
      <c r="J59" s="327"/>
      <c r="K59" s="327"/>
      <c r="L59" s="142"/>
    </row>
    <row r="60" spans="2:22" ht="65.25" customHeight="1" x14ac:dyDescent="0.25">
      <c r="B60" s="203"/>
      <c r="C60" s="212"/>
      <c r="D60" s="357" t="s">
        <v>137</v>
      </c>
      <c r="E60" s="357"/>
      <c r="F60" s="357"/>
      <c r="G60" s="357"/>
      <c r="H60" s="357"/>
      <c r="I60" s="357"/>
      <c r="J60" s="357"/>
      <c r="K60" s="357"/>
      <c r="L60" s="202"/>
    </row>
    <row r="61" spans="2:22" s="140" customFormat="1" x14ac:dyDescent="0.25">
      <c r="B61" s="141"/>
      <c r="C61" s="154"/>
      <c r="D61" s="154"/>
      <c r="E61" s="154"/>
      <c r="F61" s="154"/>
      <c r="G61" s="154"/>
      <c r="H61" s="154"/>
      <c r="I61" s="154"/>
      <c r="J61" s="154"/>
      <c r="K61" s="154"/>
      <c r="L61" s="142"/>
    </row>
    <row r="62" spans="2:22" ht="46.15" customHeight="1" x14ac:dyDescent="0.25">
      <c r="B62" s="203"/>
      <c r="C62" s="360" t="s">
        <v>138</v>
      </c>
      <c r="D62" s="360"/>
      <c r="E62" s="360"/>
      <c r="F62" s="360"/>
      <c r="G62" s="360"/>
      <c r="H62" s="360"/>
      <c r="I62" s="360"/>
      <c r="J62" s="360"/>
      <c r="K62" s="360"/>
      <c r="L62" s="202"/>
    </row>
    <row r="63" spans="2:22" ht="46.15" customHeight="1" x14ac:dyDescent="0.25">
      <c r="B63" s="203"/>
      <c r="C63" s="205"/>
      <c r="D63" s="211"/>
      <c r="E63" s="358" t="s">
        <v>119</v>
      </c>
      <c r="F63" s="358"/>
      <c r="G63" s="358"/>
      <c r="H63" s="358"/>
      <c r="I63" s="358"/>
      <c r="J63" s="358"/>
      <c r="K63" s="358"/>
      <c r="L63" s="202"/>
    </row>
    <row r="64" spans="2:22" ht="45.6" customHeight="1" x14ac:dyDescent="0.25">
      <c r="B64" s="203"/>
      <c r="C64" s="205"/>
      <c r="D64" s="210"/>
      <c r="E64" s="358" t="s">
        <v>132</v>
      </c>
      <c r="F64" s="358"/>
      <c r="G64" s="358"/>
      <c r="H64" s="358"/>
      <c r="I64" s="358"/>
      <c r="J64" s="358"/>
      <c r="K64" s="358"/>
      <c r="L64" s="202"/>
    </row>
    <row r="65" spans="2:14" ht="45" customHeight="1" x14ac:dyDescent="0.25">
      <c r="B65" s="203"/>
      <c r="C65" s="205"/>
      <c r="D65" s="209"/>
      <c r="E65" s="358" t="s">
        <v>111</v>
      </c>
      <c r="F65" s="358"/>
      <c r="G65" s="358"/>
      <c r="H65" s="358"/>
      <c r="I65" s="358"/>
      <c r="J65" s="358"/>
      <c r="K65" s="358"/>
      <c r="L65" s="202"/>
    </row>
    <row r="66" spans="2:14" x14ac:dyDescent="0.25">
      <c r="B66" s="203"/>
      <c r="C66" s="205"/>
      <c r="D66" s="207"/>
      <c r="E66" s="207"/>
      <c r="F66" s="206"/>
      <c r="G66" s="206"/>
      <c r="H66" s="206"/>
      <c r="I66" s="206"/>
      <c r="J66" s="206"/>
      <c r="K66" s="206"/>
      <c r="L66" s="202"/>
    </row>
    <row r="67" spans="2:14" x14ac:dyDescent="0.25">
      <c r="B67" s="203"/>
      <c r="C67" s="205"/>
      <c r="D67" s="204"/>
      <c r="E67" s="204"/>
      <c r="F67" s="204"/>
      <c r="G67" s="204"/>
      <c r="H67" s="204"/>
      <c r="I67" s="204"/>
      <c r="J67" s="204"/>
      <c r="K67" s="204"/>
      <c r="L67" s="202"/>
    </row>
    <row r="68" spans="2:14" ht="17.45" customHeight="1" x14ac:dyDescent="0.25">
      <c r="B68" s="203"/>
      <c r="C68" s="354" t="s">
        <v>10</v>
      </c>
      <c r="D68" s="354"/>
      <c r="E68" s="354"/>
      <c r="F68" s="354"/>
      <c r="G68" s="354"/>
      <c r="H68" s="354"/>
      <c r="I68" s="354"/>
      <c r="J68" s="354"/>
      <c r="K68" s="354"/>
      <c r="L68" s="202"/>
    </row>
    <row r="69" spans="2:14" ht="30" customHeight="1" x14ac:dyDescent="0.25">
      <c r="B69" s="203"/>
      <c r="C69" s="355" t="s">
        <v>201</v>
      </c>
      <c r="D69" s="355"/>
      <c r="E69" s="355"/>
      <c r="F69" s="355"/>
      <c r="G69" s="355"/>
      <c r="H69" s="355"/>
      <c r="I69" s="355"/>
      <c r="J69" s="355"/>
      <c r="K69" s="355"/>
      <c r="L69" s="202"/>
      <c r="N69" s="201"/>
    </row>
    <row r="70" spans="2:14" ht="15" customHeight="1" x14ac:dyDescent="0.25">
      <c r="B70" s="203"/>
      <c r="C70" s="308"/>
      <c r="D70" s="308"/>
      <c r="E70" s="308"/>
      <c r="F70" s="308"/>
      <c r="G70" s="308"/>
      <c r="H70" s="308"/>
      <c r="I70" s="308"/>
      <c r="J70" s="308"/>
      <c r="K70" s="308"/>
      <c r="L70" s="202"/>
      <c r="N70" s="201"/>
    </row>
    <row r="71" spans="2:14" ht="105" customHeight="1" x14ac:dyDescent="0.25">
      <c r="B71" s="203"/>
      <c r="C71" s="309"/>
      <c r="D71" s="353" t="s">
        <v>202</v>
      </c>
      <c r="E71" s="353"/>
      <c r="F71" s="353"/>
      <c r="G71" s="353"/>
      <c r="H71" s="353"/>
      <c r="I71" s="353"/>
      <c r="J71" s="353"/>
      <c r="K71" s="353"/>
      <c r="L71" s="202"/>
      <c r="N71" s="201"/>
    </row>
    <row r="72" spans="2:14" x14ac:dyDescent="0.25">
      <c r="B72" s="200"/>
      <c r="C72" s="356"/>
      <c r="D72" s="356"/>
      <c r="E72" s="356"/>
      <c r="F72" s="356"/>
      <c r="G72" s="356"/>
      <c r="H72" s="356"/>
      <c r="I72" s="356"/>
      <c r="J72" s="356"/>
      <c r="K72" s="356"/>
      <c r="L72" s="199"/>
    </row>
  </sheetData>
  <mergeCells count="34">
    <mergeCell ref="D41:K41"/>
    <mergeCell ref="D44:K44"/>
    <mergeCell ref="D46:K46"/>
    <mergeCell ref="C18:K20"/>
    <mergeCell ref="C22:K25"/>
    <mergeCell ref="C27:K27"/>
    <mergeCell ref="C29:K29"/>
    <mergeCell ref="C31:K31"/>
    <mergeCell ref="D39:K39"/>
    <mergeCell ref="D42:K42"/>
    <mergeCell ref="D43:K43"/>
    <mergeCell ref="D33:K33"/>
    <mergeCell ref="F34:K34"/>
    <mergeCell ref="F35:K36"/>
    <mergeCell ref="F37:K37"/>
    <mergeCell ref="D40:K40"/>
    <mergeCell ref="D52:K52"/>
    <mergeCell ref="C54:K54"/>
    <mergeCell ref="D56:K56"/>
    <mergeCell ref="D58:K58"/>
    <mergeCell ref="C62:K62"/>
    <mergeCell ref="D47:K47"/>
    <mergeCell ref="F48:K48"/>
    <mergeCell ref="F49:K49"/>
    <mergeCell ref="F50:K50"/>
    <mergeCell ref="F51:K51"/>
    <mergeCell ref="D71:K71"/>
    <mergeCell ref="C68:K68"/>
    <mergeCell ref="C69:K69"/>
    <mergeCell ref="C72:K72"/>
    <mergeCell ref="D60:K60"/>
    <mergeCell ref="E63:K63"/>
    <mergeCell ref="E64:K64"/>
    <mergeCell ref="E65:K65"/>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52"/>
  <sheetViews>
    <sheetView zoomScale="80" zoomScaleNormal="80" workbookViewId="0">
      <selection activeCell="J20" sqref="J20"/>
    </sheetView>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8"/>
    <col min="22" max="22" width="8.7109375" style="352"/>
    <col min="23" max="16384" width="8.7109375" style="4"/>
  </cols>
  <sheetData>
    <row r="2" spans="3:22" x14ac:dyDescent="0.2">
      <c r="U2" s="88">
        <v>4</v>
      </c>
      <c r="V2" s="352">
        <v>-1.5</v>
      </c>
    </row>
    <row r="3" spans="3:22" ht="12.75" customHeight="1" x14ac:dyDescent="0.2">
      <c r="D3" s="371" t="s">
        <v>112</v>
      </c>
      <c r="E3" s="372"/>
      <c r="F3" s="373"/>
      <c r="H3" s="306"/>
      <c r="I3" s="306"/>
      <c r="J3" s="306"/>
      <c r="K3" s="306"/>
      <c r="U3" s="88">
        <v>7</v>
      </c>
      <c r="V3" s="352">
        <v>-1.48</v>
      </c>
    </row>
    <row r="4" spans="3:22" ht="13.5" customHeight="1" thickBot="1" x14ac:dyDescent="0.25">
      <c r="D4" s="153" t="s">
        <v>11</v>
      </c>
      <c r="E4" s="8"/>
      <c r="F4" s="30" t="s">
        <v>110</v>
      </c>
      <c r="H4" s="306"/>
      <c r="I4" s="306"/>
      <c r="J4" s="306"/>
      <c r="K4" s="306"/>
      <c r="V4" s="352">
        <v>-1.46</v>
      </c>
    </row>
    <row r="5" spans="3:22" ht="14.25" customHeight="1" thickTop="1" thickBot="1" x14ac:dyDescent="0.25">
      <c r="D5" s="152" t="s">
        <v>195</v>
      </c>
      <c r="E5" s="185"/>
      <c r="F5" s="138">
        <v>4</v>
      </c>
      <c r="H5" s="306"/>
      <c r="I5" s="306"/>
      <c r="J5" s="306"/>
      <c r="K5" s="306"/>
      <c r="V5" s="352">
        <v>-1.44</v>
      </c>
    </row>
    <row r="6" spans="3:22" ht="14.45" customHeight="1" thickTop="1" thickBot="1" x14ac:dyDescent="0.25">
      <c r="C6" s="317" t="s">
        <v>191</v>
      </c>
      <c r="D6" s="152" t="s">
        <v>122</v>
      </c>
      <c r="E6" s="193"/>
      <c r="F6" s="236">
        <v>0.45999999999999996</v>
      </c>
      <c r="H6" s="306"/>
      <c r="I6" s="306"/>
      <c r="J6" s="306"/>
      <c r="K6" s="306"/>
      <c r="V6" s="352">
        <v>-1.42</v>
      </c>
    </row>
    <row r="7" spans="3:22" ht="14.25" customHeight="1" thickTop="1" thickBot="1" x14ac:dyDescent="0.25">
      <c r="C7" s="317" t="s">
        <v>190</v>
      </c>
      <c r="D7" s="173" t="s">
        <v>123</v>
      </c>
      <c r="E7" s="174"/>
      <c r="F7" s="139">
        <v>0.45999999999999996</v>
      </c>
      <c r="H7" s="306"/>
      <c r="I7" s="306"/>
      <c r="J7" s="306"/>
      <c r="K7" s="306"/>
      <c r="V7" s="352">
        <v>-1.4</v>
      </c>
    </row>
    <row r="8" spans="3:22" ht="13.5" thickTop="1" x14ac:dyDescent="0.2">
      <c r="D8" s="6"/>
      <c r="F8" s="7"/>
      <c r="V8" s="352">
        <v>-1.38</v>
      </c>
    </row>
    <row r="9" spans="3:22" ht="18" customHeight="1" x14ac:dyDescent="0.2">
      <c r="D9" s="6"/>
      <c r="F9" s="7"/>
      <c r="H9" s="396" t="s">
        <v>118</v>
      </c>
      <c r="I9" s="389"/>
      <c r="J9" s="390"/>
      <c r="K9" s="257"/>
      <c r="V9" s="352">
        <v>-1.3599999999999999</v>
      </c>
    </row>
    <row r="10" spans="3:22" ht="29.45" customHeight="1" x14ac:dyDescent="0.2">
      <c r="F10" s="185"/>
      <c r="H10" s="374" t="s">
        <v>117</v>
      </c>
      <c r="I10" s="375"/>
      <c r="J10" s="394" t="s">
        <v>139</v>
      </c>
      <c r="K10" s="258"/>
      <c r="P10" s="234"/>
      <c r="V10" s="352">
        <v>-1.3399999999999999</v>
      </c>
    </row>
    <row r="11" spans="3:22" ht="49.5" customHeight="1" x14ac:dyDescent="0.2">
      <c r="D11" s="237"/>
      <c r="E11" s="237"/>
      <c r="F11" s="237"/>
      <c r="H11" s="256" t="s">
        <v>116</v>
      </c>
      <c r="I11" s="256" t="str">
        <f>"Debt below 60% of GDP in T+"&amp;10+F5</f>
        <v>Debt below 60% of GDP in T+14</v>
      </c>
      <c r="J11" s="395"/>
      <c r="K11" s="369"/>
      <c r="L11" s="370"/>
      <c r="M11" s="370"/>
      <c r="N11" s="370"/>
      <c r="O11" s="370"/>
      <c r="P11" s="370"/>
      <c r="V11" s="352">
        <v>-1.3199999999999998</v>
      </c>
    </row>
    <row r="12" spans="3:22" ht="45" customHeight="1" x14ac:dyDescent="0.2">
      <c r="C12" s="317" t="s">
        <v>191</v>
      </c>
      <c r="D12" s="388" t="s">
        <v>209</v>
      </c>
      <c r="E12" s="389"/>
      <c r="F12" s="389"/>
      <c r="G12" s="390"/>
      <c r="H12" s="197" t="str">
        <f ca="1">IF(MIN(OFFSET('Adjustment scenario'!$D$77,0,$F$5,1,11))&gt;-3,"ok","Not met")</f>
        <v>ok</v>
      </c>
      <c r="I12" s="197" t="str">
        <f ca="1">IF(OFFSET('Adjustment scenario'!$D$57,0,$F$5+10,1,1)&lt;60,"ok","Not met")</f>
        <v>ok</v>
      </c>
      <c r="J12" s="197" t="str">
        <f>IF(AND($F$5=4,COUNTIF(G18:J18,"&gt;" &amp; F6)=0),"Not binding",IF(AND($F$5=7,COUNTIF(G18:M18,"&gt;" &amp; F6)=0),"Not binding","Binding"))</f>
        <v>Not binding</v>
      </c>
      <c r="K12" s="367" t="str">
        <f ca="1">IF(OR($H$13="Not met",$I$13="Not met"),"Please adjust cell F7 so that both DSA-based criteria are met",
IF($F$6&lt;$F$7,"The adjustment in F6 cannot be lower than in F7",
IF(AND($H$12="ok",$I$12="ok",$H$13="ok",$I$13="ok",$F$6&gt;=$F$7,
OR(AND($F$5=4,$G$18&gt;=$H$18,$H$18&gt;=$I$18,$I$18&gt;=$J$18,OR($J$18&gt;=0.4,$J$19&gt;-1.5)),
AND($F$5=7,$G$18&gt;=$H$18,$H$18&gt;=$I$18,$I$18&gt;=$J$18,$J$18&gt;=$K$18,$K$18&gt;=$L$18,$L$18&gt;=$M$18,OR($M$18&gt;=0.25,$M$19&gt;-1.5)))),
"OK"&amp;CHAR(10)&amp;"The adjustment in F6 fulfills all requirements including the deficit resilience safeguard",
"NOT OK"&amp;CHAR(10)&amp;"The adjustment in F6 does not fulfill all requirements")))</f>
        <v>OK
The adjustment in F6 fulfills all requirements including the deficit resilience safeguard</v>
      </c>
      <c r="L12" s="368"/>
      <c r="M12" s="368"/>
      <c r="N12" s="368"/>
      <c r="O12" s="368"/>
      <c r="P12" s="368"/>
      <c r="Q12" s="313"/>
      <c r="V12" s="352">
        <v>-1.3</v>
      </c>
    </row>
    <row r="13" spans="3:22" ht="45" customHeight="1" x14ac:dyDescent="0.2">
      <c r="C13" s="317" t="s">
        <v>190</v>
      </c>
      <c r="D13" s="388" t="s">
        <v>210</v>
      </c>
      <c r="E13" s="389"/>
      <c r="F13" s="389"/>
      <c r="G13" s="390"/>
      <c r="H13" s="197" t="str">
        <f ca="1">IF(MIN(OFFSET('Adjust. no safeguard'!$D$77,0,$F$5,1,11))&gt;-3,"ok","Not met")</f>
        <v>ok</v>
      </c>
      <c r="I13" s="197" t="str">
        <f ca="1">IF(OFFSET('Adjust. no safeguard'!$D$57,0,$F$5+10,1,1)&lt;60,"ok","Not met")</f>
        <v>ok</v>
      </c>
      <c r="J13" s="248"/>
      <c r="K13" s="367"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OK
The adjustment in F7 ensures that the debt and deficit remain
below the Treaty reference values over the medium term</v>
      </c>
      <c r="L13" s="368"/>
      <c r="M13" s="368"/>
      <c r="N13" s="368"/>
      <c r="O13" s="368"/>
      <c r="P13" s="368"/>
      <c r="Q13" s="313"/>
      <c r="V13" s="352">
        <v>-1.28</v>
      </c>
    </row>
    <row r="14" spans="3:22" ht="34.5" customHeight="1" x14ac:dyDescent="0.2">
      <c r="D14" s="366" t="s">
        <v>215</v>
      </c>
      <c r="E14" s="366"/>
      <c r="F14" s="366"/>
      <c r="G14" s="366"/>
      <c r="H14" s="366"/>
      <c r="I14" s="366"/>
      <c r="J14" s="366"/>
      <c r="K14" s="249"/>
      <c r="L14" s="313"/>
      <c r="M14" s="313"/>
      <c r="V14" s="352">
        <v>-1.26</v>
      </c>
    </row>
    <row r="15" spans="3:22" ht="12.75" customHeight="1" x14ac:dyDescent="0.2">
      <c r="K15" s="249"/>
      <c r="L15" s="313"/>
      <c r="M15" s="313"/>
      <c r="V15" s="352">
        <v>-1.24</v>
      </c>
    </row>
    <row r="16" spans="3:22" ht="15.75" customHeight="1" x14ac:dyDescent="0.2">
      <c r="D16" s="230"/>
      <c r="E16" s="230"/>
      <c r="F16" s="230"/>
      <c r="G16" s="382" t="s">
        <v>135</v>
      </c>
      <c r="H16" s="383"/>
      <c r="I16" s="383"/>
      <c r="J16" s="384"/>
      <c r="K16" s="171"/>
      <c r="L16" s="313"/>
      <c r="M16" s="313"/>
      <c r="N16" s="171"/>
      <c r="O16" s="171"/>
      <c r="P16" s="162"/>
      <c r="V16" s="352">
        <v>-1.22</v>
      </c>
    </row>
    <row r="17" spans="4:22" ht="13.5" customHeight="1" x14ac:dyDescent="0.2">
      <c r="D17" s="230"/>
      <c r="E17" s="157"/>
      <c r="F17" s="163"/>
      <c r="G17" s="158">
        <f>'Input data'!$C$5+1</f>
        <v>2027</v>
      </c>
      <c r="H17" s="159">
        <f t="shared" ref="H17:M17" si="0">G17+1</f>
        <v>2028</v>
      </c>
      <c r="I17" s="159">
        <f t="shared" si="0"/>
        <v>2029</v>
      </c>
      <c r="J17" s="159">
        <f t="shared" si="0"/>
        <v>2030</v>
      </c>
      <c r="K17" s="159">
        <f t="shared" si="0"/>
        <v>2031</v>
      </c>
      <c r="L17" s="159">
        <f t="shared" si="0"/>
        <v>2032</v>
      </c>
      <c r="M17" s="172">
        <f t="shared" si="0"/>
        <v>2033</v>
      </c>
      <c r="N17" s="164"/>
      <c r="P17" s="164"/>
      <c r="V17" s="352">
        <v>-1.2</v>
      </c>
    </row>
    <row r="18" spans="4:22" ht="15" customHeight="1" x14ac:dyDescent="0.2">
      <c r="D18" s="385" t="s">
        <v>14</v>
      </c>
      <c r="E18" s="386"/>
      <c r="F18" s="387"/>
      <c r="G18" s="161">
        <f>'Adjustment scenario'!E12-'Adjustment scenario'!D12</f>
        <v>0.45999999999999996</v>
      </c>
      <c r="H18" s="168">
        <f>'Adjustment scenario'!F12-'Adjustment scenario'!E12</f>
        <v>0.45999999999999996</v>
      </c>
      <c r="I18" s="168">
        <f>'Adjustment scenario'!G12-'Adjustment scenario'!F12</f>
        <v>0.45999999999999996</v>
      </c>
      <c r="J18" s="168">
        <f>'Adjustment scenario'!H12-'Adjustment scenario'!G12</f>
        <v>0.45999999999999996</v>
      </c>
      <c r="K18" s="168">
        <f>'Adjustment scenario'!I12-'Adjustment scenario'!H12</f>
        <v>0</v>
      </c>
      <c r="L18" s="168">
        <f>'Adjustment scenario'!J12-'Adjustment scenario'!I12</f>
        <v>0</v>
      </c>
      <c r="M18" s="169">
        <f>'Adjustment scenario'!K12-'Adjustment scenario'!J12</f>
        <v>0</v>
      </c>
      <c r="N18" s="161"/>
      <c r="P18" s="161"/>
      <c r="V18" s="352">
        <v>-1.1800000000000002</v>
      </c>
    </row>
    <row r="19" spans="4:22" ht="15" customHeight="1" x14ac:dyDescent="0.2">
      <c r="D19" s="192" t="s">
        <v>20</v>
      </c>
      <c r="E19" s="186"/>
      <c r="F19" s="187"/>
      <c r="G19" s="188">
        <f>'Adjustment scenario'!E78</f>
        <v>-2.1823294915319669</v>
      </c>
      <c r="H19" s="189">
        <f>'Adjustment scenario'!F78</f>
        <v>-1.8742337612516078</v>
      </c>
      <c r="I19" s="189">
        <f>'Adjustment scenario'!G78</f>
        <v>-1.5129912134632264</v>
      </c>
      <c r="J19" s="189">
        <f>'Adjustment scenario'!H78</f>
        <v>-1.134606977512415</v>
      </c>
      <c r="K19" s="189">
        <f>'Adjustment scenario'!I78</f>
        <v>-1.3068405114594102</v>
      </c>
      <c r="L19" s="189">
        <f>'Adjustment scenario'!J78</f>
        <v>-1.383152161848114</v>
      </c>
      <c r="M19" s="191">
        <f>'Adjustment scenario'!K78</f>
        <v>-1.4587375919351544</v>
      </c>
      <c r="N19" s="177"/>
      <c r="P19" s="161"/>
      <c r="V19" s="352">
        <v>-1.1600000000000001</v>
      </c>
    </row>
    <row r="20" spans="4:22" ht="15" customHeight="1" x14ac:dyDescent="0.2">
      <c r="D20" s="379" t="s">
        <v>115</v>
      </c>
      <c r="E20" s="380"/>
      <c r="F20" s="381"/>
      <c r="G20" s="330"/>
      <c r="H20" s="331"/>
      <c r="I20" s="331"/>
      <c r="J20" s="331">
        <f>IF(F5=4,'Adjustment scenario'!H12,"")</f>
        <v>0.50724099999999983</v>
      </c>
      <c r="K20" s="331"/>
      <c r="L20" s="331"/>
      <c r="M20" s="398" t="str">
        <f>IF(F5=7,'Adjustment scenario'!K12,"")</f>
        <v/>
      </c>
      <c r="N20" s="177"/>
      <c r="P20" s="161"/>
      <c r="V20" s="352">
        <v>-1.1400000000000001</v>
      </c>
    </row>
    <row r="21" spans="4:22" ht="15" customHeight="1" x14ac:dyDescent="0.2">
      <c r="D21" s="366" t="s">
        <v>136</v>
      </c>
      <c r="E21" s="366"/>
      <c r="F21" s="366"/>
      <c r="G21" s="366"/>
      <c r="H21" s="366"/>
      <c r="I21" s="366"/>
      <c r="J21" s="366"/>
      <c r="K21" s="190"/>
      <c r="L21" s="190"/>
      <c r="M21" s="190"/>
      <c r="N21" s="177"/>
      <c r="P21" s="161"/>
      <c r="V21" s="352">
        <v>-1.1200000000000001</v>
      </c>
    </row>
    <row r="22" spans="4:22" ht="15" customHeight="1" x14ac:dyDescent="0.2">
      <c r="D22" s="240"/>
      <c r="E22" s="240"/>
      <c r="F22" s="240"/>
      <c r="G22" s="247"/>
      <c r="H22" s="167"/>
      <c r="I22" s="167"/>
      <c r="J22" s="167"/>
      <c r="K22" s="189"/>
      <c r="L22" s="189"/>
      <c r="M22" s="189"/>
      <c r="N22" s="177"/>
      <c r="P22" s="161"/>
      <c r="V22" s="352">
        <v>-1.1000000000000001</v>
      </c>
    </row>
    <row r="23" spans="4:22" ht="15" customHeight="1" x14ac:dyDescent="0.2">
      <c r="D23" s="240"/>
      <c r="E23" s="240"/>
      <c r="F23" s="241"/>
      <c r="G23" s="382" t="s">
        <v>125</v>
      </c>
      <c r="H23" s="383"/>
      <c r="I23" s="383"/>
      <c r="J23" s="384"/>
      <c r="K23" s="189"/>
      <c r="L23" s="189"/>
      <c r="M23" s="167"/>
      <c r="N23" s="177"/>
      <c r="P23" s="161"/>
      <c r="V23" s="352">
        <v>-1.08</v>
      </c>
    </row>
    <row r="24" spans="4:22" ht="15" customHeight="1" x14ac:dyDescent="0.2">
      <c r="D24" s="246"/>
      <c r="E24" s="240"/>
      <c r="F24" s="241"/>
      <c r="G24" s="158">
        <f>'Input data'!$C$5+1</f>
        <v>2027</v>
      </c>
      <c r="H24" s="159">
        <f t="shared" ref="H24:M24" si="1">G24+1</f>
        <v>2028</v>
      </c>
      <c r="I24" s="159">
        <f t="shared" si="1"/>
        <v>2029</v>
      </c>
      <c r="J24" s="159">
        <f t="shared" si="1"/>
        <v>2030</v>
      </c>
      <c r="K24" s="159">
        <f t="shared" si="1"/>
        <v>2031</v>
      </c>
      <c r="L24" s="159">
        <f t="shared" si="1"/>
        <v>2032</v>
      </c>
      <c r="M24" s="172">
        <f t="shared" si="1"/>
        <v>2033</v>
      </c>
      <c r="N24" s="177"/>
      <c r="P24" s="161"/>
      <c r="V24" s="352">
        <v>-1.06</v>
      </c>
    </row>
    <row r="25" spans="4:22" ht="15" customHeight="1" x14ac:dyDescent="0.2">
      <c r="D25" s="385" t="s">
        <v>14</v>
      </c>
      <c r="E25" s="386"/>
      <c r="F25" s="387"/>
      <c r="G25" s="238">
        <f>'Adjust. no safeguard'!E12-'Adjust. no safeguard'!D12</f>
        <v>0.45999999999999996</v>
      </c>
      <c r="H25" s="168">
        <f>'Adjust. no safeguard'!F12-'Adjust. no safeguard'!E12</f>
        <v>0.45999999999999996</v>
      </c>
      <c r="I25" s="168">
        <f>'Adjust. no safeguard'!G12-'Adjust. no safeguard'!F12</f>
        <v>0.45999999999999996</v>
      </c>
      <c r="J25" s="168">
        <f>'Adjust. no safeguard'!H12-'Adjust. no safeguard'!G12</f>
        <v>0.45999999999999996</v>
      </c>
      <c r="K25" s="168">
        <f>'Adjust. no safeguard'!I12-'Adjust. no safeguard'!H12</f>
        <v>0</v>
      </c>
      <c r="L25" s="168">
        <f>'Adjust. no safeguard'!J12-'Adjust. no safeguard'!I12</f>
        <v>0</v>
      </c>
      <c r="M25" s="169">
        <f>'Adjust. no safeguard'!K12-'Adjust. no safeguard'!J12</f>
        <v>0</v>
      </c>
      <c r="N25" s="177"/>
      <c r="P25" s="161"/>
      <c r="V25" s="352">
        <v>-1.04</v>
      </c>
    </row>
    <row r="26" spans="4:22" ht="15" customHeight="1" x14ac:dyDescent="0.2">
      <c r="D26" s="239" t="s">
        <v>20</v>
      </c>
      <c r="E26" s="232"/>
      <c r="F26" s="233"/>
      <c r="G26" s="166">
        <f>'Adjust. no safeguard'!E78</f>
        <v>-2.1823294915319669</v>
      </c>
      <c r="H26" s="167">
        <f>'Adjust. no safeguard'!F78</f>
        <v>-1.8742337612516078</v>
      </c>
      <c r="I26" s="167">
        <f>'Adjust. no safeguard'!G78</f>
        <v>-1.5129912134632264</v>
      </c>
      <c r="J26" s="167">
        <f>'Adjust. no safeguard'!H78</f>
        <v>-1.134606977512415</v>
      </c>
      <c r="K26" s="167">
        <f>'Adjust. no safeguard'!I78</f>
        <v>-1.3068405114594102</v>
      </c>
      <c r="L26" s="167">
        <f>'Adjust. no safeguard'!J78</f>
        <v>-1.383152161848114</v>
      </c>
      <c r="M26" s="170">
        <f>'Adjust. no safeguard'!K78</f>
        <v>-1.4587375919351544</v>
      </c>
      <c r="N26" s="177"/>
      <c r="P26" s="161"/>
      <c r="V26" s="352">
        <v>-1.02</v>
      </c>
    </row>
    <row r="27" spans="4:22" ht="15" customHeight="1" x14ac:dyDescent="0.2">
      <c r="D27" s="391" t="s">
        <v>115</v>
      </c>
      <c r="E27" s="392"/>
      <c r="F27" s="393"/>
      <c r="G27" s="330"/>
      <c r="H27" s="331"/>
      <c r="I27" s="331"/>
      <c r="J27" s="331">
        <f>IF(F5=4,'Adjust. no safeguard'!H12,"")</f>
        <v>0.50724099999999983</v>
      </c>
      <c r="K27" s="331"/>
      <c r="L27" s="331"/>
      <c r="M27" s="338" t="str">
        <f>IF(F5=7,'Adjust. no safeguard'!K12,"")</f>
        <v/>
      </c>
      <c r="N27" s="161"/>
      <c r="P27" s="165"/>
      <c r="V27" s="352">
        <v>-1</v>
      </c>
    </row>
    <row r="28" spans="4:22" x14ac:dyDescent="0.2">
      <c r="D28" s="242"/>
      <c r="E28" s="242"/>
      <c r="F28" s="242"/>
      <c r="G28" s="243"/>
      <c r="H28" s="161"/>
      <c r="Q28" s="160"/>
      <c r="V28" s="352">
        <v>-0.98</v>
      </c>
    </row>
    <row r="29" spans="4:22" x14ac:dyDescent="0.2">
      <c r="D29" s="244"/>
      <c r="E29" s="244"/>
      <c r="F29" s="244"/>
      <c r="G29" s="245"/>
      <c r="Q29" s="160"/>
      <c r="V29" s="352">
        <v>-0.96</v>
      </c>
    </row>
    <row r="30" spans="4:22" x14ac:dyDescent="0.2">
      <c r="J30" s="164"/>
      <c r="V30" s="352">
        <v>-0.94</v>
      </c>
    </row>
    <row r="31" spans="4:22" x14ac:dyDescent="0.2">
      <c r="G31" s="376" t="s">
        <v>124</v>
      </c>
      <c r="H31" s="377"/>
      <c r="J31" s="161"/>
      <c r="V31" s="352">
        <v>-0.91999999999999993</v>
      </c>
    </row>
    <row r="32" spans="4:22" x14ac:dyDescent="0.2">
      <c r="G32" s="147" t="s">
        <v>120</v>
      </c>
      <c r="H32" s="148" t="s">
        <v>121</v>
      </c>
      <c r="J32" s="161"/>
      <c r="V32" s="352">
        <v>-0.9</v>
      </c>
    </row>
    <row r="33" spans="4:22" x14ac:dyDescent="0.2">
      <c r="D33" s="175" t="s">
        <v>195</v>
      </c>
      <c r="E33" s="149"/>
      <c r="F33" s="150"/>
      <c r="G33" s="194">
        <v>4</v>
      </c>
      <c r="H33" s="194">
        <v>7</v>
      </c>
      <c r="J33" s="161"/>
      <c r="V33" s="352">
        <v>-0.88</v>
      </c>
    </row>
    <row r="34" spans="4:22" x14ac:dyDescent="0.2">
      <c r="D34" s="195" t="s">
        <v>115</v>
      </c>
      <c r="E34" s="151"/>
      <c r="F34" s="151"/>
      <c r="G34" s="196">
        <v>0.50724100000000005</v>
      </c>
      <c r="H34" s="397">
        <v>0.90724100000000019</v>
      </c>
      <c r="J34" s="161"/>
      <c r="V34" s="352">
        <v>-0.86</v>
      </c>
    </row>
    <row r="35" spans="4:22" ht="96" customHeight="1" x14ac:dyDescent="0.2">
      <c r="D35" s="378" t="s">
        <v>216</v>
      </c>
      <c r="E35" s="378"/>
      <c r="F35" s="378"/>
      <c r="G35" s="378"/>
      <c r="H35" s="378"/>
      <c r="J35" s="161"/>
      <c r="V35" s="352">
        <v>-0.84000000000000008</v>
      </c>
    </row>
    <row r="36" spans="4:22" ht="19.899999999999999" customHeight="1" x14ac:dyDescent="0.2">
      <c r="G36" s="365"/>
      <c r="H36" s="365"/>
      <c r="I36" s="365"/>
      <c r="J36" s="365"/>
      <c r="K36" s="365"/>
      <c r="L36" s="365"/>
      <c r="M36" s="365"/>
      <c r="N36" s="365"/>
      <c r="O36" s="365"/>
      <c r="V36" s="352">
        <v>-0.82</v>
      </c>
    </row>
    <row r="37" spans="4:22" x14ac:dyDescent="0.2">
      <c r="K37" s="160"/>
      <c r="V37" s="352">
        <v>-0.8</v>
      </c>
    </row>
    <row r="38" spans="4:22" x14ac:dyDescent="0.2">
      <c r="K38" s="160"/>
      <c r="V38" s="352">
        <v>-0.78</v>
      </c>
    </row>
    <row r="39" spans="4:22" ht="13.15" customHeight="1" x14ac:dyDescent="0.2">
      <c r="J39" s="161"/>
      <c r="V39" s="352">
        <v>-0.76</v>
      </c>
    </row>
    <row r="40" spans="4:22" x14ac:dyDescent="0.2">
      <c r="V40" s="352">
        <v>-0.74</v>
      </c>
    </row>
    <row r="41" spans="4:22" x14ac:dyDescent="0.2">
      <c r="V41" s="352">
        <v>-0.72</v>
      </c>
    </row>
    <row r="42" spans="4:22" x14ac:dyDescent="0.2">
      <c r="V42" s="352">
        <v>-0.7</v>
      </c>
    </row>
    <row r="43" spans="4:22" x14ac:dyDescent="0.2">
      <c r="V43" s="352">
        <v>-0.67999999999999994</v>
      </c>
    </row>
    <row r="44" spans="4:22" x14ac:dyDescent="0.2">
      <c r="V44" s="352">
        <v>-0.66</v>
      </c>
    </row>
    <row r="45" spans="4:22" x14ac:dyDescent="0.2">
      <c r="V45" s="352">
        <v>-0.64</v>
      </c>
    </row>
    <row r="46" spans="4:22" x14ac:dyDescent="0.2">
      <c r="V46" s="352">
        <v>-0.62</v>
      </c>
    </row>
    <row r="47" spans="4:22" x14ac:dyDescent="0.2">
      <c r="V47" s="352">
        <v>-0.6</v>
      </c>
    </row>
    <row r="48" spans="4:22" x14ac:dyDescent="0.2">
      <c r="V48" s="352">
        <v>-0.57999999999999996</v>
      </c>
    </row>
    <row r="49" spans="22:22" x14ac:dyDescent="0.2">
      <c r="V49" s="352">
        <v>-0.56000000000000005</v>
      </c>
    </row>
    <row r="50" spans="22:22" x14ac:dyDescent="0.2">
      <c r="V50" s="352">
        <v>-0.54</v>
      </c>
    </row>
    <row r="51" spans="22:22" x14ac:dyDescent="0.2">
      <c r="V51" s="352">
        <v>-0.52</v>
      </c>
    </row>
    <row r="52" spans="22:22" x14ac:dyDescent="0.2">
      <c r="V52" s="352">
        <v>-0.5</v>
      </c>
    </row>
    <row r="53" spans="22:22" x14ac:dyDescent="0.2">
      <c r="V53" s="352">
        <v>-0.48</v>
      </c>
    </row>
    <row r="54" spans="22:22" x14ac:dyDescent="0.2">
      <c r="V54" s="352">
        <v>-0.46</v>
      </c>
    </row>
    <row r="55" spans="22:22" x14ac:dyDescent="0.2">
      <c r="V55" s="352">
        <v>-0.44</v>
      </c>
    </row>
    <row r="56" spans="22:22" x14ac:dyDescent="0.2">
      <c r="V56" s="352">
        <v>-0.42</v>
      </c>
    </row>
    <row r="57" spans="22:22" x14ac:dyDescent="0.2">
      <c r="V57" s="352">
        <v>-0.4</v>
      </c>
    </row>
    <row r="58" spans="22:22" x14ac:dyDescent="0.2">
      <c r="V58" s="352">
        <v>-0.38</v>
      </c>
    </row>
    <row r="59" spans="22:22" x14ac:dyDescent="0.2">
      <c r="V59" s="352">
        <v>-0.36</v>
      </c>
    </row>
    <row r="60" spans="22:22" x14ac:dyDescent="0.2">
      <c r="V60" s="352">
        <v>-0.33999999999999997</v>
      </c>
    </row>
    <row r="61" spans="22:22" x14ac:dyDescent="0.2">
      <c r="V61" s="352">
        <v>-0.32</v>
      </c>
    </row>
    <row r="62" spans="22:22" x14ac:dyDescent="0.2">
      <c r="V62" s="352">
        <v>-0.3</v>
      </c>
    </row>
    <row r="63" spans="22:22" x14ac:dyDescent="0.2">
      <c r="V63" s="352">
        <v>-0.28000000000000003</v>
      </c>
    </row>
    <row r="64" spans="22:22" x14ac:dyDescent="0.2">
      <c r="V64" s="352">
        <v>-0.26</v>
      </c>
    </row>
    <row r="65" spans="22:22" x14ac:dyDescent="0.2">
      <c r="V65" s="352">
        <v>-0.24</v>
      </c>
    </row>
    <row r="66" spans="22:22" x14ac:dyDescent="0.2">
      <c r="V66" s="352">
        <v>-0.21999999999999997</v>
      </c>
    </row>
    <row r="67" spans="22:22" x14ac:dyDescent="0.2">
      <c r="V67" s="352">
        <v>-0.2</v>
      </c>
    </row>
    <row r="68" spans="22:22" x14ac:dyDescent="0.2">
      <c r="V68" s="352">
        <v>-0.18</v>
      </c>
    </row>
    <row r="69" spans="22:22" x14ac:dyDescent="0.2">
      <c r="V69" s="352">
        <v>-0.16</v>
      </c>
    </row>
    <row r="70" spans="22:22" x14ac:dyDescent="0.2">
      <c r="V70" s="352">
        <v>-0.14000000000000001</v>
      </c>
    </row>
    <row r="71" spans="22:22" x14ac:dyDescent="0.2">
      <c r="V71" s="352">
        <v>-0.12</v>
      </c>
    </row>
    <row r="72" spans="22:22" x14ac:dyDescent="0.2">
      <c r="V72" s="352">
        <v>-0.1</v>
      </c>
    </row>
    <row r="73" spans="22:22" x14ac:dyDescent="0.2">
      <c r="V73" s="352">
        <v>-8.0000000000000016E-2</v>
      </c>
    </row>
    <row r="74" spans="22:22" x14ac:dyDescent="0.2">
      <c r="V74" s="352">
        <v>-0.06</v>
      </c>
    </row>
    <row r="75" spans="22:22" x14ac:dyDescent="0.2">
      <c r="V75" s="352">
        <v>-3.999999999999998E-2</v>
      </c>
    </row>
    <row r="76" spans="22:22" x14ac:dyDescent="0.2">
      <c r="V76" s="352">
        <v>-2.0000000000000018E-2</v>
      </c>
    </row>
    <row r="77" spans="22:22" x14ac:dyDescent="0.2">
      <c r="V77" s="352">
        <v>0</v>
      </c>
    </row>
    <row r="78" spans="22:22" x14ac:dyDescent="0.2">
      <c r="V78" s="352">
        <v>0.02</v>
      </c>
    </row>
    <row r="79" spans="22:22" x14ac:dyDescent="0.2">
      <c r="V79" s="352">
        <v>0.04</v>
      </c>
    </row>
    <row r="80" spans="22:22" x14ac:dyDescent="0.2">
      <c r="V80" s="352">
        <v>0.06</v>
      </c>
    </row>
    <row r="81" spans="22:22" x14ac:dyDescent="0.2">
      <c r="V81" s="352">
        <v>0.08</v>
      </c>
    </row>
    <row r="82" spans="22:22" x14ac:dyDescent="0.2">
      <c r="V82" s="352">
        <v>0.1</v>
      </c>
    </row>
    <row r="83" spans="22:22" x14ac:dyDescent="0.2">
      <c r="V83" s="352">
        <v>0.12</v>
      </c>
    </row>
    <row r="84" spans="22:22" x14ac:dyDescent="0.2">
      <c r="V84" s="352">
        <v>0.14000000000000001</v>
      </c>
    </row>
    <row r="85" spans="22:22" x14ac:dyDescent="0.2">
      <c r="V85" s="352">
        <v>0.16000000000000003</v>
      </c>
    </row>
    <row r="86" spans="22:22" x14ac:dyDescent="0.2">
      <c r="V86" s="352">
        <v>0.18000000000000005</v>
      </c>
    </row>
    <row r="87" spans="22:22" x14ac:dyDescent="0.2">
      <c r="V87" s="352">
        <v>0.2</v>
      </c>
    </row>
    <row r="88" spans="22:22" x14ac:dyDescent="0.2">
      <c r="V88" s="352">
        <v>0.22</v>
      </c>
    </row>
    <row r="89" spans="22:22" x14ac:dyDescent="0.2">
      <c r="V89" s="352">
        <v>0.24</v>
      </c>
    </row>
    <row r="90" spans="22:22" x14ac:dyDescent="0.2">
      <c r="V90" s="352">
        <v>0.26</v>
      </c>
    </row>
    <row r="91" spans="22:22" x14ac:dyDescent="0.2">
      <c r="V91" s="352">
        <v>0.28000000000000003</v>
      </c>
    </row>
    <row r="92" spans="22:22" x14ac:dyDescent="0.2">
      <c r="V92" s="352">
        <v>0.3</v>
      </c>
    </row>
    <row r="93" spans="22:22" x14ac:dyDescent="0.2">
      <c r="V93" s="352">
        <v>0.31999999999999995</v>
      </c>
    </row>
    <row r="94" spans="22:22" x14ac:dyDescent="0.2">
      <c r="V94" s="352">
        <v>0.33999999999999997</v>
      </c>
    </row>
    <row r="95" spans="22:22" x14ac:dyDescent="0.2">
      <c r="V95" s="352">
        <v>0.36</v>
      </c>
    </row>
    <row r="96" spans="22:22" x14ac:dyDescent="0.2">
      <c r="V96" s="352">
        <v>0.38</v>
      </c>
    </row>
    <row r="97" spans="22:22" x14ac:dyDescent="0.2">
      <c r="V97" s="352">
        <v>0.4</v>
      </c>
    </row>
    <row r="98" spans="22:22" x14ac:dyDescent="0.2">
      <c r="V98" s="352">
        <v>0.42</v>
      </c>
    </row>
    <row r="99" spans="22:22" x14ac:dyDescent="0.2">
      <c r="V99" s="352">
        <v>0.43999999999999995</v>
      </c>
    </row>
    <row r="100" spans="22:22" x14ac:dyDescent="0.2">
      <c r="V100" s="352">
        <v>0.45999999999999996</v>
      </c>
    </row>
    <row r="101" spans="22:22" x14ac:dyDescent="0.2">
      <c r="V101" s="352">
        <v>0.48</v>
      </c>
    </row>
    <row r="102" spans="22:22" x14ac:dyDescent="0.2">
      <c r="V102" s="352">
        <v>0.5</v>
      </c>
    </row>
    <row r="103" spans="22:22" x14ac:dyDescent="0.2">
      <c r="V103" s="352">
        <v>0.52</v>
      </c>
    </row>
    <row r="104" spans="22:22" x14ac:dyDescent="0.2">
      <c r="V104" s="352">
        <v>0.54</v>
      </c>
    </row>
    <row r="105" spans="22:22" x14ac:dyDescent="0.2">
      <c r="V105" s="352">
        <v>0.56000000000000005</v>
      </c>
    </row>
    <row r="106" spans="22:22" x14ac:dyDescent="0.2">
      <c r="V106" s="352">
        <v>0.58000000000000007</v>
      </c>
    </row>
    <row r="107" spans="22:22" x14ac:dyDescent="0.2">
      <c r="V107" s="352">
        <v>0.60000000000000009</v>
      </c>
    </row>
    <row r="108" spans="22:22" x14ac:dyDescent="0.2">
      <c r="V108" s="352">
        <v>0.62000000000000011</v>
      </c>
    </row>
    <row r="109" spans="22:22" x14ac:dyDescent="0.2">
      <c r="V109" s="352">
        <v>0.6399999999999999</v>
      </c>
    </row>
    <row r="110" spans="22:22" x14ac:dyDescent="0.2">
      <c r="V110" s="352">
        <v>0.65999999999999992</v>
      </c>
    </row>
    <row r="111" spans="22:22" x14ac:dyDescent="0.2">
      <c r="V111" s="352">
        <v>0.67999999999999994</v>
      </c>
    </row>
    <row r="112" spans="22:22" x14ac:dyDescent="0.2">
      <c r="V112" s="352">
        <v>0.7</v>
      </c>
    </row>
    <row r="113" spans="22:22" x14ac:dyDescent="0.2">
      <c r="V113" s="352">
        <v>0.72</v>
      </c>
    </row>
    <row r="114" spans="22:22" x14ac:dyDescent="0.2">
      <c r="V114" s="352">
        <v>0.74</v>
      </c>
    </row>
    <row r="115" spans="22:22" x14ac:dyDescent="0.2">
      <c r="V115" s="352">
        <v>0.76</v>
      </c>
    </row>
    <row r="116" spans="22:22" x14ac:dyDescent="0.2">
      <c r="V116" s="352">
        <v>0.78</v>
      </c>
    </row>
    <row r="117" spans="22:22" x14ac:dyDescent="0.2">
      <c r="V117" s="352">
        <v>0.8</v>
      </c>
    </row>
    <row r="118" spans="22:22" x14ac:dyDescent="0.2">
      <c r="V118" s="352">
        <v>0.82000000000000006</v>
      </c>
    </row>
    <row r="119" spans="22:22" x14ac:dyDescent="0.2">
      <c r="V119" s="352">
        <v>0.84000000000000008</v>
      </c>
    </row>
    <row r="120" spans="22:22" x14ac:dyDescent="0.2">
      <c r="V120" s="352">
        <v>0.8600000000000001</v>
      </c>
    </row>
    <row r="121" spans="22:22" x14ac:dyDescent="0.2">
      <c r="V121" s="352">
        <v>0.87999999999999989</v>
      </c>
    </row>
    <row r="122" spans="22:22" x14ac:dyDescent="0.2">
      <c r="V122" s="352">
        <v>0.89999999999999991</v>
      </c>
    </row>
    <row r="123" spans="22:22" x14ac:dyDescent="0.2">
      <c r="V123" s="352">
        <v>0.91999999999999993</v>
      </c>
    </row>
    <row r="124" spans="22:22" x14ac:dyDescent="0.2">
      <c r="V124" s="352">
        <v>0.94</v>
      </c>
    </row>
    <row r="125" spans="22:22" x14ac:dyDescent="0.2">
      <c r="V125" s="352">
        <v>0.96</v>
      </c>
    </row>
    <row r="126" spans="22:22" x14ac:dyDescent="0.2">
      <c r="V126" s="352">
        <v>0.98</v>
      </c>
    </row>
    <row r="127" spans="22:22" x14ac:dyDescent="0.2">
      <c r="V127" s="352">
        <v>1</v>
      </c>
    </row>
    <row r="128" spans="22:22" x14ac:dyDescent="0.2">
      <c r="V128" s="352">
        <v>1.02</v>
      </c>
    </row>
    <row r="129" spans="22:22" x14ac:dyDescent="0.2">
      <c r="V129" s="352">
        <v>1.04</v>
      </c>
    </row>
    <row r="130" spans="22:22" x14ac:dyDescent="0.2">
      <c r="V130" s="352">
        <v>1.06</v>
      </c>
    </row>
    <row r="131" spans="22:22" x14ac:dyDescent="0.2">
      <c r="V131" s="352">
        <v>1.08</v>
      </c>
    </row>
    <row r="132" spans="22:22" x14ac:dyDescent="0.2">
      <c r="V132" s="352">
        <v>1.1000000000000001</v>
      </c>
    </row>
    <row r="133" spans="22:22" x14ac:dyDescent="0.2">
      <c r="V133" s="352">
        <v>1.1200000000000001</v>
      </c>
    </row>
    <row r="134" spans="22:22" x14ac:dyDescent="0.2">
      <c r="V134" s="352">
        <v>1.1399999999999999</v>
      </c>
    </row>
    <row r="135" spans="22:22" x14ac:dyDescent="0.2">
      <c r="V135" s="352">
        <v>1.1599999999999999</v>
      </c>
    </row>
    <row r="136" spans="22:22" x14ac:dyDescent="0.2">
      <c r="V136" s="352">
        <v>1.18</v>
      </c>
    </row>
    <row r="137" spans="22:22" x14ac:dyDescent="0.2">
      <c r="V137" s="352">
        <v>1.2</v>
      </c>
    </row>
    <row r="138" spans="22:22" x14ac:dyDescent="0.2">
      <c r="V138" s="352">
        <v>1.22</v>
      </c>
    </row>
    <row r="139" spans="22:22" x14ac:dyDescent="0.2">
      <c r="V139" s="352">
        <v>1.24</v>
      </c>
    </row>
    <row r="140" spans="22:22" x14ac:dyDescent="0.2">
      <c r="V140" s="352">
        <v>1.26</v>
      </c>
    </row>
    <row r="141" spans="22:22" x14ac:dyDescent="0.2">
      <c r="V141" s="352">
        <v>1.28</v>
      </c>
    </row>
    <row r="142" spans="22:22" x14ac:dyDescent="0.2">
      <c r="V142" s="352">
        <v>1.3</v>
      </c>
    </row>
    <row r="143" spans="22:22" x14ac:dyDescent="0.2">
      <c r="V143" s="352">
        <v>1.32</v>
      </c>
    </row>
    <row r="144" spans="22:22" x14ac:dyDescent="0.2">
      <c r="V144" s="352">
        <v>1.34</v>
      </c>
    </row>
    <row r="145" spans="22:22" x14ac:dyDescent="0.2">
      <c r="V145" s="352">
        <v>1.36</v>
      </c>
    </row>
    <row r="146" spans="22:22" x14ac:dyDescent="0.2">
      <c r="V146" s="352">
        <v>1.38</v>
      </c>
    </row>
    <row r="147" spans="22:22" x14ac:dyDescent="0.2">
      <c r="V147" s="352">
        <v>1.4</v>
      </c>
    </row>
    <row r="148" spans="22:22" x14ac:dyDescent="0.2">
      <c r="V148" s="352">
        <v>1.42</v>
      </c>
    </row>
    <row r="149" spans="22:22" x14ac:dyDescent="0.2">
      <c r="V149" s="352">
        <v>1.44</v>
      </c>
    </row>
    <row r="150" spans="22:22" x14ac:dyDescent="0.2">
      <c r="V150" s="352">
        <v>1.46</v>
      </c>
    </row>
    <row r="151" spans="22:22" x14ac:dyDescent="0.2">
      <c r="V151" s="352">
        <v>1.48</v>
      </c>
    </row>
    <row r="152" spans="22:22" x14ac:dyDescent="0.2">
      <c r="V152" s="352">
        <v>1.5</v>
      </c>
    </row>
  </sheetData>
  <mergeCells count="20">
    <mergeCell ref="D3:F3"/>
    <mergeCell ref="H10:I10"/>
    <mergeCell ref="G31:H31"/>
    <mergeCell ref="D35:H35"/>
    <mergeCell ref="D20:F20"/>
    <mergeCell ref="G16:J16"/>
    <mergeCell ref="D18:F18"/>
    <mergeCell ref="D12:G12"/>
    <mergeCell ref="D13:G13"/>
    <mergeCell ref="D25:F25"/>
    <mergeCell ref="D27:F27"/>
    <mergeCell ref="G23:J23"/>
    <mergeCell ref="J10:J11"/>
    <mergeCell ref="D21:J21"/>
    <mergeCell ref="H9:J9"/>
    <mergeCell ref="G36:O36"/>
    <mergeCell ref="D14:J14"/>
    <mergeCell ref="K12:P12"/>
    <mergeCell ref="K13:P13"/>
    <mergeCell ref="K11:P11"/>
  </mergeCells>
  <conditionalFormatting sqref="C6 C12 K12">
    <cfRule type="expression" dxfId="37" priority="1">
      <formula>AND($H$12="ok",$I$12="ok",$H$13="ok",$I$13="ok",$F$6&gt;=$F$7,OR(AND($F$5=4,$G$18&gt;=$H$18,$H$18&gt;=$I$18,$I$18&gt;=$J$18,OR($J$18&gt;=0.4,$J$19&gt;-1.55)), AND($F$5=7,$G$18&gt;=$H$18,$H$18&gt;=$I$18,$I$18&gt;=$J$18,$J$18&gt;=$K$18,$K$18&gt;=$L$18,$L$18&gt;=$M$18,OR($M$18&gt;=0.25,$M$19&gt;-1.5))))</formula>
    </cfRule>
  </conditionalFormatting>
  <conditionalFormatting sqref="C7 C13 K13">
    <cfRule type="expression" dxfId="36" priority="9">
      <formula>AND($H$13="ok",$I$13="ok")</formula>
    </cfRule>
  </conditionalFormatting>
  <conditionalFormatting sqref="G19:J19">
    <cfRule type="cellIs" dxfId="35" priority="20" operator="lessThanOrEqual">
      <formula>-1.5</formula>
    </cfRule>
  </conditionalFormatting>
  <conditionalFormatting sqref="K17:K20 K23:K27">
    <cfRule type="expression" dxfId="34" priority="26">
      <formula>$F$5=4</formula>
    </cfRule>
  </conditionalFormatting>
  <conditionalFormatting sqref="K19:M19">
    <cfRule type="expression" dxfId="33" priority="19">
      <formula>AND($F$5=7,K19&lt;-1.5)</formula>
    </cfRule>
  </conditionalFormatting>
  <conditionalFormatting sqref="K17:N27">
    <cfRule type="expression" dxfId="32" priority="24">
      <formula>$F$5=4</formula>
    </cfRule>
  </conditionalFormatting>
  <conditionalFormatting sqref="L17:N27">
    <cfRule type="expression" dxfId="31" priority="25">
      <formula>$F$5=4</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 F7" xr:uid="{03F2E2EB-ADBA-487F-B4FC-B58915B24D34}">
      <formula1>$V$2:$V$152</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B97E-51C8-4F84-958B-B0CA30D69C7E}">
  <sheetPr codeName="Sheet23"/>
  <dimension ref="B1:F40"/>
  <sheetViews>
    <sheetView topLeftCell="A3" zoomScale="90" zoomScaleNormal="90" workbookViewId="0">
      <selection activeCell="D19" sqref="D19"/>
    </sheetView>
  </sheetViews>
  <sheetFormatPr defaultColWidth="9.140625" defaultRowHeight="12.75" x14ac:dyDescent="0.2"/>
  <cols>
    <col min="1" max="1" width="9.140625" style="4"/>
    <col min="2" max="2" width="60.7109375" style="4" customWidth="1"/>
    <col min="3" max="3" width="0.7109375" style="4" customWidth="1"/>
    <col min="4" max="4" width="18.7109375" style="4" customWidth="1"/>
    <col min="5" max="5" width="0.7109375" style="4" customWidth="1"/>
    <col min="6" max="6" width="18.7109375" style="4" customWidth="1"/>
    <col min="7" max="16384" width="9.140625" style="4"/>
  </cols>
  <sheetData>
    <row r="1" spans="2:6" s="16" customFormat="1" ht="24.75" customHeight="1" x14ac:dyDescent="0.2">
      <c r="B1" s="29"/>
    </row>
    <row r="2" spans="2:6" s="16" customFormat="1" ht="11.25" customHeight="1" x14ac:dyDescent="0.2">
      <c r="B2" s="17"/>
    </row>
    <row r="3" spans="2:6" s="16" customFormat="1" ht="11.25" customHeight="1" x14ac:dyDescent="0.2">
      <c r="B3" s="310" t="s">
        <v>11</v>
      </c>
      <c r="C3" s="38"/>
      <c r="D3" s="311" t="s">
        <v>110</v>
      </c>
      <c r="F3" s="19" t="s">
        <v>181</v>
      </c>
    </row>
    <row r="4" spans="2:6" x14ac:dyDescent="0.2">
      <c r="B4" s="88"/>
    </row>
    <row r="5" spans="2:6" x14ac:dyDescent="0.2">
      <c r="B5" s="88"/>
    </row>
    <row r="6" spans="2:6" ht="15" x14ac:dyDescent="0.25">
      <c r="B6" s="296" t="s">
        <v>166</v>
      </c>
      <c r="C6" s="296"/>
      <c r="E6" s="296"/>
    </row>
    <row r="7" spans="2:6" ht="15" x14ac:dyDescent="0.25">
      <c r="C7" s="296"/>
      <c r="E7" s="296"/>
    </row>
    <row r="8" spans="2:6" ht="15" customHeight="1" x14ac:dyDescent="0.25">
      <c r="B8" s="297" t="s">
        <v>167</v>
      </c>
      <c r="D8" s="298">
        <v>2025</v>
      </c>
      <c r="F8" s="298">
        <v>2026</v>
      </c>
    </row>
    <row r="9" spans="2:6" ht="15" customHeight="1" x14ac:dyDescent="0.2">
      <c r="B9" s="4" t="s">
        <v>168</v>
      </c>
      <c r="D9" s="299">
        <v>-2.1474319999999998</v>
      </c>
      <c r="E9" s="65"/>
      <c r="F9" s="299">
        <v>-2.7944635100307016</v>
      </c>
    </row>
    <row r="10" spans="2:6" ht="15" customHeight="1" x14ac:dyDescent="0.2">
      <c r="B10" s="4" t="s">
        <v>169</v>
      </c>
      <c r="D10" s="299">
        <v>44.250230000000002</v>
      </c>
      <c r="E10" s="65"/>
      <c r="F10" s="299">
        <v>45.838496420963068</v>
      </c>
    </row>
    <row r="11" spans="2:6" ht="15" customHeight="1" x14ac:dyDescent="0.2">
      <c r="B11" s="4" t="s">
        <v>164</v>
      </c>
      <c r="D11" s="299">
        <v>4.9156094989605004</v>
      </c>
      <c r="E11" s="65"/>
      <c r="F11" s="299">
        <v>6.3502551275700831</v>
      </c>
    </row>
    <row r="12" spans="2:6" ht="15" customHeight="1" x14ac:dyDescent="0.2">
      <c r="B12" s="5" t="s">
        <v>165</v>
      </c>
      <c r="D12" s="300">
        <v>-0.51101569999999996</v>
      </c>
      <c r="E12" s="65"/>
      <c r="F12" s="300">
        <v>-1.332759</v>
      </c>
    </row>
    <row r="13" spans="2:6" ht="15" customHeight="1" x14ac:dyDescent="0.2">
      <c r="D13" s="294"/>
      <c r="F13" s="294"/>
    </row>
    <row r="14" spans="2:6" ht="15" customHeight="1" x14ac:dyDescent="0.25">
      <c r="B14" s="297" t="s">
        <v>170</v>
      </c>
      <c r="D14" s="298" t="s">
        <v>212</v>
      </c>
      <c r="F14" s="298" t="s">
        <v>213</v>
      </c>
    </row>
    <row r="15" spans="2:6" ht="15" customHeight="1" x14ac:dyDescent="0.2">
      <c r="B15" s="4" t="s">
        <v>230</v>
      </c>
      <c r="D15" s="299">
        <v>0.89999999999999858</v>
      </c>
      <c r="F15" s="294" t="s">
        <v>237</v>
      </c>
    </row>
    <row r="16" spans="2:6" ht="15" customHeight="1" x14ac:dyDescent="0.2">
      <c r="B16" s="4" t="s">
        <v>171</v>
      </c>
      <c r="D16" s="299">
        <v>6.071142142857143E-2</v>
      </c>
      <c r="F16" s="294" t="s">
        <v>238</v>
      </c>
    </row>
    <row r="17" spans="2:6" ht="15" customHeight="1" x14ac:dyDescent="0.25">
      <c r="B17" s="4" t="s">
        <v>172</v>
      </c>
      <c r="C17" s="295"/>
      <c r="D17" s="299">
        <v>1.3644180452974235</v>
      </c>
      <c r="E17" s="295"/>
      <c r="F17" s="294" t="s">
        <v>238</v>
      </c>
    </row>
    <row r="18" spans="2:6" ht="15" customHeight="1" x14ac:dyDescent="0.25">
      <c r="B18" s="4" t="s">
        <v>173</v>
      </c>
      <c r="C18" s="295"/>
      <c r="D18" s="299">
        <v>2.5559991428571429</v>
      </c>
      <c r="E18" s="295"/>
      <c r="F18" s="294" t="s">
        <v>238</v>
      </c>
    </row>
    <row r="19" spans="2:6" ht="15" customHeight="1" x14ac:dyDescent="0.25">
      <c r="B19" s="5" t="s">
        <v>182</v>
      </c>
      <c r="C19" s="295"/>
      <c r="D19" s="300">
        <v>2.5559991428571429</v>
      </c>
      <c r="E19" s="295"/>
      <c r="F19" s="293" t="s">
        <v>238</v>
      </c>
    </row>
    <row r="20" spans="2:6" ht="15" customHeight="1" x14ac:dyDescent="0.25">
      <c r="B20" s="337"/>
      <c r="C20" s="295"/>
      <c r="D20" s="294"/>
      <c r="F20" s="294"/>
    </row>
    <row r="21" spans="2:6" ht="15" customHeight="1" x14ac:dyDescent="0.25">
      <c r="B21" s="297" t="s">
        <v>174</v>
      </c>
      <c r="D21" s="298" t="s">
        <v>212</v>
      </c>
      <c r="F21" s="298" t="s">
        <v>213</v>
      </c>
    </row>
    <row r="22" spans="2:6" ht="15" customHeight="1" x14ac:dyDescent="0.2">
      <c r="B22" s="4" t="s">
        <v>230</v>
      </c>
      <c r="D22" s="299">
        <v>1.2000000000000028</v>
      </c>
      <c r="F22" s="294" t="s">
        <v>239</v>
      </c>
    </row>
    <row r="23" spans="2:6" ht="15" customHeight="1" x14ac:dyDescent="0.2">
      <c r="B23" s="4" t="s">
        <v>171</v>
      </c>
      <c r="D23" s="299">
        <v>4.9997641176470591E-2</v>
      </c>
      <c r="F23" s="294" t="s">
        <v>240</v>
      </c>
    </row>
    <row r="24" spans="2:6" ht="15" customHeight="1" x14ac:dyDescent="0.25">
      <c r="B24" s="4" t="s">
        <v>172</v>
      </c>
      <c r="C24" s="295"/>
      <c r="D24" s="299">
        <v>1.4065907735140304</v>
      </c>
      <c r="E24" s="295"/>
      <c r="F24" s="294" t="s">
        <v>240</v>
      </c>
    </row>
    <row r="25" spans="2:6" ht="15" customHeight="1" x14ac:dyDescent="0.25">
      <c r="B25" s="4" t="s">
        <v>173</v>
      </c>
      <c r="C25" s="295"/>
      <c r="D25" s="299">
        <v>2.4968816470588235</v>
      </c>
      <c r="E25" s="295"/>
      <c r="F25" s="294" t="s">
        <v>240</v>
      </c>
    </row>
    <row r="26" spans="2:6" ht="15" customHeight="1" x14ac:dyDescent="0.25">
      <c r="B26" s="5" t="s">
        <v>182</v>
      </c>
      <c r="C26" s="295"/>
      <c r="D26" s="300">
        <v>4.3128753979850414</v>
      </c>
      <c r="E26" s="295"/>
      <c r="F26" s="293" t="s">
        <v>240</v>
      </c>
    </row>
    <row r="27" spans="2:6" x14ac:dyDescent="0.2">
      <c r="B27" s="337"/>
    </row>
    <row r="31" spans="2:6" ht="15" x14ac:dyDescent="0.25">
      <c r="B31" s="296" t="s">
        <v>175</v>
      </c>
      <c r="C31" s="296"/>
      <c r="E31" s="296"/>
      <c r="F31" s="296"/>
    </row>
    <row r="33" spans="2:6" ht="30" customHeight="1" x14ac:dyDescent="0.2">
      <c r="B33" s="312" t="s">
        <v>241</v>
      </c>
      <c r="C33" s="292"/>
      <c r="D33" s="302" t="s">
        <v>176</v>
      </c>
      <c r="E33" s="292"/>
      <c r="F33" s="302" t="s">
        <v>177</v>
      </c>
    </row>
    <row r="34" spans="2:6" x14ac:dyDescent="0.2">
      <c r="B34" s="151" t="s">
        <v>242</v>
      </c>
      <c r="D34" s="301">
        <v>0.50724100000000005</v>
      </c>
      <c r="F34" s="301">
        <v>0.50724100000000005</v>
      </c>
    </row>
    <row r="35" spans="2:6" ht="15" x14ac:dyDescent="0.25">
      <c r="B35" s="303" t="s">
        <v>243</v>
      </c>
      <c r="C35" s="295"/>
      <c r="D35" s="304">
        <v>1.84</v>
      </c>
      <c r="E35" s="295"/>
      <c r="F35" s="304">
        <v>1.84</v>
      </c>
    </row>
    <row r="36" spans="2:6" x14ac:dyDescent="0.2">
      <c r="D36" s="294"/>
    </row>
    <row r="37" spans="2:6" ht="30" customHeight="1" x14ac:dyDescent="0.2">
      <c r="B37" s="312" t="s">
        <v>244</v>
      </c>
      <c r="C37" s="292"/>
      <c r="D37" s="302" t="s">
        <v>176</v>
      </c>
      <c r="E37" s="292"/>
      <c r="F37" s="302" t="s">
        <v>177</v>
      </c>
    </row>
    <row r="38" spans="2:6" x14ac:dyDescent="0.2">
      <c r="B38" s="151" t="s">
        <v>245</v>
      </c>
      <c r="D38" s="301">
        <v>0.90724100000000019</v>
      </c>
      <c r="F38" s="301">
        <v>0.90724100000000019</v>
      </c>
    </row>
    <row r="39" spans="2:6" ht="15" x14ac:dyDescent="0.25">
      <c r="B39" s="303" t="s">
        <v>243</v>
      </c>
      <c r="C39" s="295"/>
      <c r="D39" s="304">
        <v>2.2400000000000002</v>
      </c>
      <c r="E39" s="295"/>
      <c r="F39" s="304">
        <v>2.2400000000000002</v>
      </c>
    </row>
    <row r="40" spans="2:6" x14ac:dyDescent="0.2">
      <c r="D40" s="294"/>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tabSelected="1" zoomScaleNormal="100" workbookViewId="0">
      <selection activeCell="E50" sqref="E50"/>
    </sheetView>
  </sheetViews>
  <sheetFormatPr defaultColWidth="8.85546875" defaultRowHeight="12.75" x14ac:dyDescent="0.2"/>
  <cols>
    <col min="1" max="1" width="8.7109375" style="108" customWidth="1"/>
    <col min="2" max="2" width="58.42578125" style="108" customWidth="1"/>
    <col min="3" max="6" width="8.7109375" style="108" customWidth="1"/>
    <col min="7" max="16384" width="8.85546875" style="108"/>
  </cols>
  <sheetData>
    <row r="1" spans="1:54" s="47" customFormat="1" ht="24.75" customHeight="1" x14ac:dyDescent="0.2">
      <c r="B1" s="102"/>
    </row>
    <row r="2" spans="1:54" s="47" customFormat="1" ht="11.25" customHeight="1" x14ac:dyDescent="0.2">
      <c r="B2" s="103"/>
    </row>
    <row r="3" spans="1:54" s="47" customFormat="1" ht="11.25" customHeight="1" x14ac:dyDescent="0.2">
      <c r="B3" s="104" t="s">
        <v>11</v>
      </c>
      <c r="C3" s="105" t="s">
        <v>110</v>
      </c>
    </row>
    <row r="4" spans="1:54" s="47" customFormat="1" ht="11.25" customHeight="1" x14ac:dyDescent="0.2">
      <c r="B4" s="340" t="s">
        <v>231</v>
      </c>
      <c r="C4" s="341">
        <v>2025</v>
      </c>
    </row>
    <row r="5" spans="1:54" s="47" customFormat="1" ht="11.25" customHeight="1" x14ac:dyDescent="0.2">
      <c r="B5" s="106" t="s">
        <v>114</v>
      </c>
      <c r="C5" s="13">
        <v>2026</v>
      </c>
    </row>
    <row r="6" spans="1:54" x14ac:dyDescent="0.2">
      <c r="A6" s="47"/>
      <c r="B6" s="107" t="s">
        <v>22</v>
      </c>
      <c r="C6" s="235">
        <f>C5+'Criteria results'!$F$5</f>
        <v>2030</v>
      </c>
    </row>
    <row r="8" spans="1:54" s="109" customFormat="1" ht="12" customHeight="1" x14ac:dyDescent="0.2">
      <c r="B8" s="110" t="s">
        <v>23</v>
      </c>
      <c r="C8" s="111"/>
      <c r="D8" s="111"/>
      <c r="E8" s="111"/>
      <c r="F8" s="111"/>
      <c r="G8" s="111"/>
      <c r="H8" s="111"/>
      <c r="I8" s="111"/>
      <c r="J8" s="111"/>
      <c r="K8" s="111"/>
      <c r="L8" s="111"/>
      <c r="M8" s="111"/>
    </row>
    <row r="9" spans="1:54" x14ac:dyDescent="0.2">
      <c r="B9" s="47"/>
      <c r="C9" s="112">
        <v>2025</v>
      </c>
      <c r="D9" s="112">
        <v>2026</v>
      </c>
      <c r="E9" s="112">
        <v>2027</v>
      </c>
      <c r="F9" s="112">
        <v>2028</v>
      </c>
      <c r="G9" s="112">
        <v>2029</v>
      </c>
      <c r="H9" s="112">
        <v>2030</v>
      </c>
      <c r="I9" s="112">
        <v>2031</v>
      </c>
      <c r="J9" s="112">
        <v>2032</v>
      </c>
      <c r="K9" s="112">
        <v>2033</v>
      </c>
      <c r="L9" s="112">
        <v>2034</v>
      </c>
      <c r="M9" s="112">
        <v>2035</v>
      </c>
      <c r="N9" s="112">
        <v>2036</v>
      </c>
      <c r="O9" s="112">
        <v>2037</v>
      </c>
      <c r="P9" s="112">
        <v>2038</v>
      </c>
      <c r="Q9" s="112">
        <v>2039</v>
      </c>
      <c r="R9" s="112">
        <v>2040</v>
      </c>
      <c r="S9" s="112">
        <v>2041</v>
      </c>
      <c r="T9" s="112">
        <v>2042</v>
      </c>
      <c r="U9" s="112">
        <v>2043</v>
      </c>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row>
    <row r="10" spans="1:54" s="113" customFormat="1" x14ac:dyDescent="0.2">
      <c r="B10" s="114" t="s">
        <v>24</v>
      </c>
      <c r="C10" s="115"/>
      <c r="D10" s="115"/>
      <c r="E10" s="115"/>
      <c r="F10" s="115"/>
      <c r="G10" s="115"/>
      <c r="H10" s="115"/>
      <c r="I10" s="115"/>
      <c r="J10" s="115"/>
      <c r="K10" s="115"/>
      <c r="L10" s="115"/>
      <c r="M10" s="115"/>
    </row>
    <row r="11" spans="1:54" x14ac:dyDescent="0.2">
      <c r="B11" s="116" t="s">
        <v>225</v>
      </c>
      <c r="C11" s="117"/>
      <c r="D11" s="117"/>
      <c r="E11" s="117"/>
      <c r="F11" s="117"/>
      <c r="G11" s="117"/>
      <c r="H11" s="117"/>
      <c r="I11" s="117"/>
      <c r="J11" s="117"/>
      <c r="K11" s="117"/>
      <c r="L11" s="117"/>
      <c r="M11" s="117"/>
    </row>
    <row r="12" spans="1:54" x14ac:dyDescent="0.2">
      <c r="A12" s="47"/>
      <c r="B12" s="47" t="s">
        <v>21</v>
      </c>
      <c r="C12" s="118">
        <v>44.250230000000002</v>
      </c>
      <c r="D12" s="118">
        <v>45.838500000000003</v>
      </c>
      <c r="E12" s="46" t="s">
        <v>25</v>
      </c>
      <c r="F12" s="46" t="s">
        <v>25</v>
      </c>
      <c r="G12" s="46" t="s">
        <v>25</v>
      </c>
      <c r="H12" s="46" t="s">
        <v>25</v>
      </c>
      <c r="I12" s="46" t="s">
        <v>25</v>
      </c>
      <c r="J12" s="46" t="s">
        <v>25</v>
      </c>
      <c r="K12" s="46" t="s">
        <v>25</v>
      </c>
      <c r="L12" s="46" t="s">
        <v>25</v>
      </c>
      <c r="M12" s="46" t="s">
        <v>25</v>
      </c>
    </row>
    <row r="13" spans="1:54" x14ac:dyDescent="0.2">
      <c r="A13" s="47"/>
      <c r="B13" s="47" t="s">
        <v>26</v>
      </c>
      <c r="C13" s="118">
        <v>-0.51101569999999996</v>
      </c>
      <c r="D13" s="118">
        <v>-1.332759</v>
      </c>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3"/>
      <c r="BB13" s="343"/>
    </row>
    <row r="14" spans="1:54" x14ac:dyDescent="0.2">
      <c r="A14" s="47"/>
      <c r="B14" s="47" t="s">
        <v>27</v>
      </c>
      <c r="C14" s="118">
        <v>-0.1168709</v>
      </c>
      <c r="D14" s="118">
        <v>0</v>
      </c>
      <c r="E14" s="118">
        <v>0</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row>
    <row r="15" spans="1:54" x14ac:dyDescent="0.2">
      <c r="A15" s="47"/>
      <c r="B15" s="47" t="s">
        <v>28</v>
      </c>
      <c r="C15" s="118">
        <v>1.388104</v>
      </c>
      <c r="D15" s="118">
        <v>0.74747770000000002</v>
      </c>
      <c r="E15" s="118">
        <v>0.85</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row>
    <row r="16" spans="1:54" x14ac:dyDescent="0.2">
      <c r="A16" s="47"/>
      <c r="B16" s="47" t="s">
        <v>29</v>
      </c>
      <c r="C16" s="118">
        <v>1.3341190000000001</v>
      </c>
      <c r="D16" s="118">
        <v>0.70141940000000003</v>
      </c>
      <c r="E16" s="118">
        <v>0.84995989999999999</v>
      </c>
      <c r="F16" s="118">
        <v>0</v>
      </c>
      <c r="G16" s="118">
        <v>0</v>
      </c>
      <c r="H16" s="118">
        <v>0</v>
      </c>
      <c r="I16" s="118">
        <v>0</v>
      </c>
      <c r="J16" s="118">
        <v>0</v>
      </c>
      <c r="K16" s="118">
        <v>0</v>
      </c>
      <c r="L16" s="118">
        <v>0</v>
      </c>
      <c r="M16" s="118">
        <v>0</v>
      </c>
      <c r="N16" s="118">
        <v>0</v>
      </c>
      <c r="O16" s="118">
        <v>0</v>
      </c>
      <c r="P16" s="118">
        <v>0</v>
      </c>
      <c r="Q16" s="118">
        <v>0</v>
      </c>
      <c r="R16" s="118">
        <v>0</v>
      </c>
      <c r="S16" s="118">
        <v>0</v>
      </c>
      <c r="T16" s="118">
        <v>0</v>
      </c>
      <c r="U16" s="118">
        <v>0</v>
      </c>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row>
    <row r="17" spans="1:54" x14ac:dyDescent="0.2">
      <c r="A17" s="47"/>
      <c r="B17" s="318" t="s">
        <v>198</v>
      </c>
      <c r="C17" s="319">
        <v>0</v>
      </c>
      <c r="D17" s="319">
        <v>0</v>
      </c>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row>
    <row r="18" spans="1:54" x14ac:dyDescent="0.2">
      <c r="A18" s="47"/>
      <c r="B18" s="47"/>
      <c r="C18" s="46"/>
      <c r="D18" s="46"/>
      <c r="E18" s="46"/>
      <c r="F18" s="46"/>
      <c r="G18" s="46"/>
      <c r="H18" s="46"/>
      <c r="I18" s="46"/>
      <c r="J18" s="46"/>
      <c r="K18" s="46"/>
      <c r="L18" s="46"/>
      <c r="M18" s="46"/>
    </row>
    <row r="19" spans="1:54" x14ac:dyDescent="0.2">
      <c r="A19" s="47"/>
      <c r="B19" s="116" t="s">
        <v>194</v>
      </c>
      <c r="C19" s="46"/>
      <c r="D19" s="46"/>
      <c r="E19" s="46"/>
      <c r="F19" s="46"/>
      <c r="G19" s="46"/>
      <c r="H19" s="46"/>
      <c r="I19" s="46"/>
      <c r="J19" s="46"/>
      <c r="K19" s="46"/>
      <c r="L19" s="46"/>
      <c r="M19" s="46"/>
    </row>
    <row r="20" spans="1:54" x14ac:dyDescent="0.2">
      <c r="A20" s="47"/>
      <c r="B20" s="47" t="s">
        <v>30</v>
      </c>
      <c r="C20" s="119">
        <f t="shared" ref="C20:R20" si="0">(C21+C22+C23+C24-C25)</f>
        <v>19.8</v>
      </c>
      <c r="D20" s="119">
        <f t="shared" si="0"/>
        <v>19.7</v>
      </c>
      <c r="E20" s="119">
        <f t="shared" si="0"/>
        <v>19.8</v>
      </c>
      <c r="F20" s="119">
        <f t="shared" si="0"/>
        <v>19.899999999999999</v>
      </c>
      <c r="G20" s="119">
        <f t="shared" si="0"/>
        <v>20</v>
      </c>
      <c r="H20" s="119">
        <f t="shared" si="0"/>
        <v>20</v>
      </c>
      <c r="I20" s="119">
        <f t="shared" si="0"/>
        <v>20.100000000000001</v>
      </c>
      <c r="J20" s="119">
        <f t="shared" si="0"/>
        <v>20.099999999999998</v>
      </c>
      <c r="K20" s="119">
        <f t="shared" si="0"/>
        <v>20.099999999999998</v>
      </c>
      <c r="L20" s="119">
        <f t="shared" si="0"/>
        <v>20.399999999999999</v>
      </c>
      <c r="M20" s="119">
        <f t="shared" si="0"/>
        <v>20.399999999999999</v>
      </c>
      <c r="N20" s="119">
        <f t="shared" si="0"/>
        <v>20.5</v>
      </c>
      <c r="O20" s="119">
        <f t="shared" si="0"/>
        <v>20.6</v>
      </c>
      <c r="P20" s="119">
        <f t="shared" si="0"/>
        <v>20.8</v>
      </c>
      <c r="Q20" s="119">
        <f t="shared" si="0"/>
        <v>20.8</v>
      </c>
      <c r="R20" s="119">
        <f t="shared" si="0"/>
        <v>20.9</v>
      </c>
      <c r="S20" s="119">
        <f t="shared" ref="S20:U20" si="1">(S21+S22+S23+S24-S25)</f>
        <v>21.1</v>
      </c>
      <c r="T20" s="119">
        <f t="shared" si="1"/>
        <v>21.2</v>
      </c>
      <c r="U20" s="119">
        <f t="shared" si="1"/>
        <v>21.3</v>
      </c>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row>
    <row r="21" spans="1:54" x14ac:dyDescent="0.2">
      <c r="A21" s="47"/>
      <c r="B21" s="120" t="s">
        <v>31</v>
      </c>
      <c r="C21" s="119">
        <v>8.2000000000000011</v>
      </c>
      <c r="D21" s="119">
        <v>8</v>
      </c>
      <c r="E21" s="119">
        <v>7.9</v>
      </c>
      <c r="F21" s="119">
        <v>8</v>
      </c>
      <c r="G21" s="119">
        <v>8</v>
      </c>
      <c r="H21" s="119">
        <v>8</v>
      </c>
      <c r="I21" s="119">
        <v>8</v>
      </c>
      <c r="J21" s="119">
        <v>8</v>
      </c>
      <c r="K21" s="119">
        <v>8</v>
      </c>
      <c r="L21" s="119">
        <v>8.1</v>
      </c>
      <c r="M21" s="119">
        <v>8.1</v>
      </c>
      <c r="N21" s="119">
        <v>8.2000000000000011</v>
      </c>
      <c r="O21" s="119">
        <v>8.2000000000000011</v>
      </c>
      <c r="P21" s="119">
        <v>8.3000000000000007</v>
      </c>
      <c r="Q21" s="119">
        <v>8.3000000000000007</v>
      </c>
      <c r="R21" s="119">
        <v>8.4</v>
      </c>
      <c r="S21" s="119">
        <v>8.5</v>
      </c>
      <c r="T21" s="119">
        <v>8.5</v>
      </c>
      <c r="U21" s="119">
        <v>8.6</v>
      </c>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row>
    <row r="22" spans="1:54" x14ac:dyDescent="0.2">
      <c r="A22" s="47"/>
      <c r="B22" s="121" t="s">
        <v>32</v>
      </c>
      <c r="C22" s="119">
        <v>5.8999999999999995</v>
      </c>
      <c r="D22" s="119">
        <v>5.8999999999999995</v>
      </c>
      <c r="E22" s="119">
        <v>6</v>
      </c>
      <c r="F22" s="119">
        <v>6</v>
      </c>
      <c r="G22" s="119">
        <v>6</v>
      </c>
      <c r="H22" s="119">
        <v>6</v>
      </c>
      <c r="I22" s="119">
        <v>6.1</v>
      </c>
      <c r="J22" s="119">
        <v>6.1</v>
      </c>
      <c r="K22" s="119">
        <v>6.1</v>
      </c>
      <c r="L22" s="119">
        <v>6.2</v>
      </c>
      <c r="M22" s="119">
        <v>6.2</v>
      </c>
      <c r="N22" s="119">
        <v>6.2</v>
      </c>
      <c r="O22" s="119">
        <v>6.2</v>
      </c>
      <c r="P22" s="119">
        <v>6.3</v>
      </c>
      <c r="Q22" s="119">
        <v>6.3</v>
      </c>
      <c r="R22" s="119">
        <v>6.3</v>
      </c>
      <c r="S22" s="119">
        <v>6.3</v>
      </c>
      <c r="T22" s="119">
        <v>6.4</v>
      </c>
      <c r="U22" s="119">
        <v>6.4</v>
      </c>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row>
    <row r="23" spans="1:54" x14ac:dyDescent="0.2">
      <c r="A23" s="47"/>
      <c r="B23" s="121" t="s">
        <v>33</v>
      </c>
      <c r="C23" s="119">
        <v>1.5</v>
      </c>
      <c r="D23" s="119">
        <v>1.5</v>
      </c>
      <c r="E23" s="119">
        <v>1.6</v>
      </c>
      <c r="F23" s="119">
        <v>1.6</v>
      </c>
      <c r="G23" s="119">
        <v>1.7000000000000002</v>
      </c>
      <c r="H23" s="119">
        <v>1.7000000000000002</v>
      </c>
      <c r="I23" s="119">
        <v>1.7000000000000002</v>
      </c>
      <c r="J23" s="119">
        <v>1.7999999999999998</v>
      </c>
      <c r="K23" s="119">
        <v>1.7999999999999998</v>
      </c>
      <c r="L23" s="119">
        <v>1.9</v>
      </c>
      <c r="M23" s="119">
        <v>1.9</v>
      </c>
      <c r="N23" s="119">
        <v>1.9</v>
      </c>
      <c r="O23" s="119">
        <v>2</v>
      </c>
      <c r="P23" s="119">
        <v>2</v>
      </c>
      <c r="Q23" s="119">
        <v>2</v>
      </c>
      <c r="R23" s="119">
        <v>2</v>
      </c>
      <c r="S23" s="119">
        <v>2.1</v>
      </c>
      <c r="T23" s="119">
        <v>2.1</v>
      </c>
      <c r="U23" s="119">
        <v>2.1</v>
      </c>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row>
    <row r="24" spans="1:54" x14ac:dyDescent="0.2">
      <c r="A24" s="47"/>
      <c r="B24" s="121" t="s">
        <v>34</v>
      </c>
      <c r="C24" s="119">
        <v>4.2</v>
      </c>
      <c r="D24" s="119">
        <v>4.3</v>
      </c>
      <c r="E24" s="119">
        <v>4.3</v>
      </c>
      <c r="F24" s="119">
        <v>4.3</v>
      </c>
      <c r="G24" s="119">
        <v>4.3</v>
      </c>
      <c r="H24" s="119">
        <v>4.3</v>
      </c>
      <c r="I24" s="119">
        <v>4.3</v>
      </c>
      <c r="J24" s="119">
        <v>4.2</v>
      </c>
      <c r="K24" s="119">
        <v>4.2</v>
      </c>
      <c r="L24" s="119">
        <v>4.2</v>
      </c>
      <c r="M24" s="119">
        <v>4.2</v>
      </c>
      <c r="N24" s="119">
        <v>4.2</v>
      </c>
      <c r="O24" s="119">
        <v>4.2</v>
      </c>
      <c r="P24" s="119">
        <v>4.2</v>
      </c>
      <c r="Q24" s="119">
        <v>4.2</v>
      </c>
      <c r="R24" s="119">
        <v>4.2</v>
      </c>
      <c r="S24" s="119">
        <v>4.2</v>
      </c>
      <c r="T24" s="119">
        <v>4.2</v>
      </c>
      <c r="U24" s="119">
        <v>4.2</v>
      </c>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row>
    <row r="25" spans="1:54" x14ac:dyDescent="0.2">
      <c r="A25" s="47"/>
      <c r="B25" s="121" t="s">
        <v>35</v>
      </c>
      <c r="C25" s="119">
        <v>0</v>
      </c>
      <c r="D25" s="119">
        <v>0</v>
      </c>
      <c r="E25" s="119">
        <v>0</v>
      </c>
      <c r="F25" s="119">
        <v>0</v>
      </c>
      <c r="G25" s="119">
        <v>0</v>
      </c>
      <c r="H25" s="119">
        <v>0</v>
      </c>
      <c r="I25" s="119">
        <v>0</v>
      </c>
      <c r="J25" s="119">
        <v>0</v>
      </c>
      <c r="K25" s="119">
        <v>0</v>
      </c>
      <c r="L25" s="119">
        <v>0</v>
      </c>
      <c r="M25" s="119">
        <v>0</v>
      </c>
      <c r="N25" s="119">
        <v>0</v>
      </c>
      <c r="O25" s="119">
        <v>0</v>
      </c>
      <c r="P25" s="119">
        <v>0</v>
      </c>
      <c r="Q25" s="119">
        <v>0</v>
      </c>
      <c r="R25" s="119">
        <v>0</v>
      </c>
      <c r="S25" s="119">
        <v>0</v>
      </c>
      <c r="T25" s="119">
        <v>0</v>
      </c>
      <c r="U25" s="119">
        <v>0</v>
      </c>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row>
    <row r="26" spans="1:54" x14ac:dyDescent="0.2">
      <c r="A26" s="47"/>
      <c r="B26" s="120" t="s">
        <v>36</v>
      </c>
      <c r="C26" s="119">
        <v>1.037865</v>
      </c>
      <c r="D26" s="119">
        <v>1.0233570000000001</v>
      </c>
      <c r="E26" s="119">
        <v>1.008848</v>
      </c>
      <c r="F26" s="119">
        <v>0.99434009999999995</v>
      </c>
      <c r="G26" s="119">
        <v>0.97983180000000003</v>
      </c>
      <c r="H26" s="119">
        <v>0.9653235</v>
      </c>
      <c r="I26" s="119">
        <v>0.95081519999999997</v>
      </c>
      <c r="J26" s="119">
        <v>0.93630690000000005</v>
      </c>
      <c r="K26" s="119">
        <v>0.92179860000000002</v>
      </c>
      <c r="L26" s="119">
        <v>0.90729029999999999</v>
      </c>
      <c r="M26" s="119">
        <v>0.89278199999999996</v>
      </c>
      <c r="N26" s="119">
        <v>0.87827370000000005</v>
      </c>
      <c r="O26" s="119">
        <v>0.86376540000000002</v>
      </c>
      <c r="P26" s="119">
        <v>0.84925709999999999</v>
      </c>
      <c r="Q26" s="119">
        <v>0.83474870000000001</v>
      </c>
      <c r="R26" s="119">
        <v>0.82024039999999998</v>
      </c>
      <c r="S26" s="119">
        <v>0.80573209999999995</v>
      </c>
      <c r="T26" s="119">
        <v>0.79122380000000003</v>
      </c>
      <c r="U26" s="119">
        <v>0.7767155</v>
      </c>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row>
    <row r="27" spans="1:54" x14ac:dyDescent="0.2">
      <c r="A27" s="47"/>
      <c r="B27" s="47"/>
      <c r="C27" s="47"/>
      <c r="D27" s="47"/>
      <c r="E27" s="47"/>
      <c r="F27" s="47"/>
      <c r="G27" s="47"/>
      <c r="H27" s="47"/>
      <c r="I27" s="47"/>
      <c r="J27" s="47"/>
      <c r="K27" s="47"/>
      <c r="L27" s="47"/>
      <c r="M27" s="47"/>
    </row>
    <row r="28" spans="1:54" s="113" customFormat="1" x14ac:dyDescent="0.2">
      <c r="A28" s="122"/>
      <c r="B28" s="114" t="s">
        <v>226</v>
      </c>
      <c r="C28" s="122"/>
      <c r="D28" s="122"/>
      <c r="E28" s="122"/>
      <c r="F28" s="122"/>
      <c r="G28" s="122"/>
      <c r="H28" s="122"/>
      <c r="I28" s="122"/>
      <c r="J28" s="122"/>
      <c r="K28" s="122"/>
      <c r="L28" s="122"/>
      <c r="M28" s="122"/>
    </row>
    <row r="29" spans="1:54" x14ac:dyDescent="0.2">
      <c r="A29" s="47"/>
      <c r="B29" s="116" t="s">
        <v>37</v>
      </c>
      <c r="C29" s="47"/>
      <c r="D29" s="47"/>
      <c r="E29" s="344"/>
      <c r="F29" s="344"/>
      <c r="G29" s="344"/>
      <c r="H29" s="344"/>
      <c r="I29" s="344"/>
      <c r="J29" s="344"/>
      <c r="K29" s="344"/>
      <c r="L29" s="344"/>
      <c r="M29" s="344"/>
      <c r="N29" s="344"/>
      <c r="O29" s="344"/>
      <c r="P29" s="344"/>
      <c r="Q29" s="344"/>
      <c r="R29" s="344"/>
      <c r="S29" s="344"/>
      <c r="T29" s="344"/>
      <c r="U29" s="344"/>
      <c r="V29" s="343"/>
      <c r="W29" s="343"/>
      <c r="X29" s="343"/>
      <c r="Y29" s="343"/>
      <c r="Z29" s="343"/>
      <c r="AA29" s="343"/>
      <c r="AB29" s="343"/>
      <c r="AC29" s="343"/>
      <c r="AD29" s="343"/>
      <c r="AE29" s="343"/>
      <c r="AF29" s="343"/>
      <c r="AG29" s="343"/>
      <c r="AH29" s="343"/>
      <c r="AI29" s="343"/>
      <c r="AJ29" s="343"/>
      <c r="AK29" s="343"/>
      <c r="AL29" s="343"/>
      <c r="AM29" s="343"/>
      <c r="AN29" s="343"/>
      <c r="AO29" s="343"/>
      <c r="AP29" s="343"/>
      <c r="AQ29" s="343"/>
      <c r="AR29" s="343"/>
      <c r="AS29" s="343"/>
      <c r="AT29" s="343"/>
      <c r="AU29" s="343"/>
      <c r="AV29" s="343"/>
      <c r="AW29" s="343"/>
      <c r="AX29" s="343"/>
      <c r="AY29" s="343"/>
      <c r="AZ29" s="343"/>
      <c r="BA29" s="343"/>
      <c r="BB29" s="343"/>
    </row>
    <row r="30" spans="1:54" x14ac:dyDescent="0.2">
      <c r="A30" s="47"/>
      <c r="B30" s="47" t="s">
        <v>38</v>
      </c>
      <c r="C30" s="124">
        <v>2.5804670000000001</v>
      </c>
      <c r="D30" s="124">
        <v>1.7972699999999999</v>
      </c>
      <c r="E30" s="124">
        <v>2.151977</v>
      </c>
      <c r="F30" s="124">
        <v>1.373251</v>
      </c>
      <c r="G30" s="124">
        <v>1.1235379999999999</v>
      </c>
      <c r="H30" s="124">
        <v>1.157076</v>
      </c>
      <c r="I30" s="124">
        <v>1.2260850000000001</v>
      </c>
      <c r="J30" s="124">
        <v>1.2362679999999999</v>
      </c>
      <c r="K30" s="124">
        <v>1.2441960000000001</v>
      </c>
      <c r="L30" s="124">
        <v>1.209247</v>
      </c>
      <c r="M30" s="124">
        <v>1.140828</v>
      </c>
      <c r="N30" s="124">
        <v>1.2572179999999999</v>
      </c>
      <c r="O30" s="125">
        <v>1.3736109999999999</v>
      </c>
      <c r="P30" s="125">
        <v>1.490002</v>
      </c>
      <c r="Q30" s="125">
        <v>1.519997</v>
      </c>
      <c r="R30" s="125">
        <v>1.6000019999999999</v>
      </c>
      <c r="S30" s="125">
        <v>1.6000049999999999</v>
      </c>
      <c r="T30" s="125">
        <v>1.6</v>
      </c>
      <c r="U30" s="125">
        <v>1.61</v>
      </c>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3"/>
    </row>
    <row r="31" spans="1:54" x14ac:dyDescent="0.2">
      <c r="A31" s="47"/>
      <c r="B31" s="261" t="s">
        <v>246</v>
      </c>
      <c r="C31" s="123">
        <v>6479.8060073389106</v>
      </c>
      <c r="D31" s="344"/>
      <c r="E31" s="344"/>
      <c r="F31" s="344"/>
      <c r="G31" s="344"/>
      <c r="H31" s="344"/>
      <c r="I31" s="344"/>
      <c r="J31" s="344"/>
      <c r="K31" s="344"/>
      <c r="L31" s="344"/>
      <c r="M31" s="344"/>
      <c r="N31" s="344"/>
      <c r="O31" s="344"/>
      <c r="P31" s="344"/>
      <c r="Q31" s="344"/>
      <c r="R31" s="344"/>
      <c r="S31" s="344"/>
      <c r="T31" s="344"/>
      <c r="U31" s="344"/>
      <c r="V31" s="343"/>
      <c r="W31" s="343"/>
      <c r="X31" s="343"/>
      <c r="Y31" s="343"/>
      <c r="Z31" s="343"/>
      <c r="AA31" s="343"/>
      <c r="AB31" s="343"/>
      <c r="AC31" s="343"/>
      <c r="AD31" s="343"/>
      <c r="AE31" s="343"/>
      <c r="AF31" s="343"/>
      <c r="AG31" s="343"/>
      <c r="AH31" s="343"/>
      <c r="AI31" s="343"/>
      <c r="AJ31" s="343"/>
      <c r="AK31" s="343"/>
      <c r="AL31" s="343"/>
      <c r="AM31" s="343"/>
      <c r="AN31" s="343"/>
      <c r="AO31" s="343"/>
      <c r="AP31" s="343"/>
      <c r="AQ31" s="343"/>
      <c r="AR31" s="343"/>
      <c r="AS31" s="343"/>
      <c r="AT31" s="343"/>
      <c r="AU31" s="343"/>
      <c r="AV31" s="343"/>
      <c r="AW31" s="343"/>
      <c r="AX31" s="343"/>
      <c r="AY31" s="343"/>
      <c r="AZ31" s="343"/>
      <c r="BA31" s="343"/>
      <c r="BB31" s="343"/>
    </row>
    <row r="32" spans="1:54" x14ac:dyDescent="0.2">
      <c r="A32" s="47"/>
      <c r="B32" s="116" t="s">
        <v>40</v>
      </c>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row>
    <row r="33" spans="1:54" x14ac:dyDescent="0.2">
      <c r="A33" s="47"/>
      <c r="B33" s="47" t="s">
        <v>38</v>
      </c>
      <c r="C33" s="124">
        <v>1.560683</v>
      </c>
      <c r="D33" s="124">
        <v>1.6476599999999999</v>
      </c>
      <c r="E33" s="124">
        <v>1.4921040000000001</v>
      </c>
      <c r="F33" s="124">
        <v>1.456502</v>
      </c>
      <c r="G33" s="124">
        <v>1.234396</v>
      </c>
      <c r="H33" s="124">
        <v>1.2125440000000001</v>
      </c>
      <c r="I33" s="124">
        <v>1.2260880000000001</v>
      </c>
      <c r="J33" s="124">
        <v>1.2362660000000001</v>
      </c>
      <c r="K33" s="124">
        <v>1.2442</v>
      </c>
      <c r="L33" s="124">
        <v>1.209244</v>
      </c>
      <c r="M33" s="124">
        <v>1.140822</v>
      </c>
      <c r="N33" s="124">
        <v>1.257215</v>
      </c>
      <c r="O33" s="125">
        <v>1.373607</v>
      </c>
      <c r="P33" s="125">
        <v>1.49</v>
      </c>
      <c r="Q33" s="125">
        <v>1.52</v>
      </c>
      <c r="R33" s="125">
        <v>1.6</v>
      </c>
      <c r="S33" s="125">
        <v>1.6</v>
      </c>
      <c r="T33" s="125">
        <v>1.6</v>
      </c>
      <c r="U33" s="125">
        <v>1.61</v>
      </c>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row>
    <row r="34" spans="1:54" x14ac:dyDescent="0.2">
      <c r="A34" s="47"/>
      <c r="B34" s="261" t="s">
        <v>246</v>
      </c>
      <c r="C34" s="123">
        <v>6515.4565303615473</v>
      </c>
      <c r="D34" s="344"/>
      <c r="E34" s="344"/>
      <c r="F34" s="344"/>
      <c r="G34" s="344"/>
      <c r="H34" s="344"/>
      <c r="I34" s="344"/>
      <c r="J34" s="344"/>
      <c r="K34" s="344"/>
      <c r="L34" s="344"/>
      <c r="M34" s="344"/>
      <c r="N34" s="344"/>
      <c r="O34" s="344"/>
      <c r="P34" s="344"/>
      <c r="Q34" s="344"/>
      <c r="R34" s="344"/>
      <c r="S34" s="344"/>
      <c r="T34" s="344"/>
      <c r="U34" s="344"/>
      <c r="V34" s="345"/>
      <c r="W34" s="345"/>
      <c r="X34" s="345"/>
      <c r="Y34" s="345"/>
      <c r="Z34" s="345"/>
      <c r="AA34" s="345"/>
      <c r="AB34" s="345"/>
      <c r="AC34" s="345"/>
      <c r="AD34" s="345"/>
      <c r="AE34" s="345"/>
      <c r="AF34" s="345"/>
      <c r="AG34" s="345"/>
      <c r="AH34" s="345"/>
      <c r="AI34" s="345"/>
      <c r="AJ34" s="345"/>
      <c r="AK34" s="345"/>
      <c r="AL34" s="345"/>
      <c r="AM34" s="345"/>
      <c r="AN34" s="345"/>
      <c r="AO34" s="345"/>
      <c r="AP34" s="345"/>
      <c r="AQ34" s="345"/>
      <c r="AR34" s="345"/>
      <c r="AS34" s="345"/>
      <c r="AT34" s="345"/>
      <c r="AU34" s="345"/>
      <c r="AV34" s="345"/>
      <c r="AW34" s="345"/>
      <c r="AX34" s="345"/>
      <c r="AY34" s="345"/>
      <c r="AZ34" s="345"/>
      <c r="BA34" s="343"/>
      <c r="BB34" s="343"/>
    </row>
    <row r="35" spans="1:54" x14ac:dyDescent="0.2">
      <c r="A35" s="47"/>
      <c r="B35" s="261"/>
      <c r="C35" s="344"/>
      <c r="D35" s="344"/>
      <c r="E35" s="344"/>
      <c r="F35" s="344"/>
      <c r="G35" s="344"/>
      <c r="H35" s="344"/>
      <c r="I35" s="344"/>
      <c r="J35" s="344"/>
      <c r="K35" s="344"/>
      <c r="L35" s="344"/>
      <c r="M35" s="344"/>
      <c r="N35" s="344"/>
      <c r="O35" s="344"/>
      <c r="P35" s="344"/>
      <c r="Q35" s="344"/>
      <c r="R35" s="344"/>
      <c r="S35" s="344"/>
      <c r="T35" s="344"/>
      <c r="U35" s="344"/>
      <c r="V35" s="345"/>
      <c r="W35" s="345"/>
      <c r="X35" s="345"/>
      <c r="Y35" s="345"/>
      <c r="Z35" s="345"/>
      <c r="AA35" s="345"/>
      <c r="AB35" s="345"/>
      <c r="AC35" s="345"/>
      <c r="AD35" s="345"/>
      <c r="AE35" s="345"/>
      <c r="AF35" s="345"/>
      <c r="AG35" s="345"/>
      <c r="AH35" s="345"/>
      <c r="AI35" s="345"/>
      <c r="AJ35" s="345"/>
      <c r="AK35" s="345"/>
      <c r="AL35" s="345"/>
      <c r="AM35" s="345"/>
      <c r="AN35" s="345"/>
      <c r="AO35" s="345"/>
      <c r="AP35" s="345"/>
      <c r="AQ35" s="345"/>
      <c r="AR35" s="345"/>
      <c r="AS35" s="345"/>
      <c r="AT35" s="345"/>
      <c r="AU35" s="345"/>
      <c r="AV35" s="345"/>
      <c r="AW35" s="345"/>
      <c r="AX35" s="345"/>
      <c r="AY35" s="345"/>
      <c r="AZ35" s="345"/>
      <c r="BA35" s="343"/>
      <c r="BB35" s="343"/>
    </row>
    <row r="36" spans="1:54" s="113" customFormat="1" x14ac:dyDescent="0.2">
      <c r="A36" s="122"/>
      <c r="B36" s="114" t="s">
        <v>227</v>
      </c>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row>
    <row r="37" spans="1:54" x14ac:dyDescent="0.2">
      <c r="A37" s="47"/>
      <c r="B37" s="47" t="s">
        <v>41</v>
      </c>
      <c r="C37" s="118">
        <v>3.1969609999999999</v>
      </c>
      <c r="D37" s="118">
        <v>3.078103</v>
      </c>
      <c r="E37" s="118">
        <v>2.999835</v>
      </c>
      <c r="F37" s="118" t="s">
        <v>25</v>
      </c>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row>
    <row r="38" spans="1:54" x14ac:dyDescent="0.2">
      <c r="A38" s="47"/>
      <c r="B38" s="120" t="s">
        <v>42</v>
      </c>
      <c r="C38" s="118">
        <v>3.6</v>
      </c>
      <c r="D38" s="251">
        <v>3.6498529999999998</v>
      </c>
      <c r="E38" s="334">
        <v>4.2671910000000004</v>
      </c>
      <c r="F38" s="252" t="s">
        <v>25</v>
      </c>
    </row>
    <row r="39" spans="1:54" x14ac:dyDescent="0.2">
      <c r="A39" s="47"/>
      <c r="B39" s="120" t="s">
        <v>43</v>
      </c>
      <c r="C39" s="118">
        <v>4.29</v>
      </c>
      <c r="D39" s="253">
        <v>4.7019640000000003</v>
      </c>
      <c r="E39" s="335">
        <v>4.9156490000000002</v>
      </c>
      <c r="F39" s="254" t="s">
        <v>25</v>
      </c>
    </row>
    <row r="40" spans="1:54" x14ac:dyDescent="0.2">
      <c r="A40" s="47"/>
      <c r="B40" s="121"/>
      <c r="C40" s="126"/>
      <c r="D40" s="250" t="s">
        <v>48</v>
      </c>
      <c r="E40" s="126"/>
      <c r="F40" s="126"/>
      <c r="G40" s="126"/>
      <c r="H40" s="126"/>
      <c r="I40" s="126"/>
      <c r="J40" s="126"/>
      <c r="K40" s="126"/>
      <c r="L40" s="126"/>
      <c r="M40" s="126"/>
      <c r="N40" s="126"/>
      <c r="O40" s="126"/>
      <c r="P40" s="126"/>
      <c r="Q40" s="126"/>
      <c r="R40" s="126"/>
      <c r="S40" s="126"/>
      <c r="T40" s="126"/>
      <c r="U40" s="12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row>
    <row r="41" spans="1:54" s="113" customFormat="1" x14ac:dyDescent="0.2">
      <c r="A41" s="122"/>
      <c r="B41" s="127" t="s">
        <v>228</v>
      </c>
      <c r="C41" s="128"/>
      <c r="D41" s="128"/>
      <c r="E41" s="129"/>
      <c r="F41" s="129"/>
      <c r="G41" s="129"/>
      <c r="H41" s="129"/>
      <c r="I41" s="129"/>
      <c r="J41" s="129"/>
      <c r="K41" s="129"/>
      <c r="L41" s="129"/>
      <c r="M41" s="129"/>
      <c r="N41" s="129"/>
      <c r="O41" s="129"/>
      <c r="P41" s="129"/>
      <c r="Q41" s="129"/>
      <c r="R41" s="129"/>
      <c r="S41" s="129"/>
      <c r="T41" s="129"/>
      <c r="U41" s="129"/>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row>
    <row r="42" spans="1:54" x14ac:dyDescent="0.2">
      <c r="A42" s="47"/>
      <c r="B42" s="47" t="s">
        <v>44</v>
      </c>
      <c r="C42" s="118">
        <v>3.5126050000000002</v>
      </c>
      <c r="D42" s="118">
        <v>2.6566770000000002</v>
      </c>
      <c r="E42" s="118">
        <v>3.0686640000000001</v>
      </c>
      <c r="F42" s="118" t="s">
        <v>25</v>
      </c>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row>
    <row r="43" spans="1:54" x14ac:dyDescent="0.2">
      <c r="A43" s="47"/>
    </row>
    <row r="44" spans="1:54" s="113" customFormat="1" x14ac:dyDescent="0.2">
      <c r="A44" s="122"/>
      <c r="B44" s="127" t="s">
        <v>229</v>
      </c>
      <c r="C44" s="128"/>
      <c r="D44" s="128"/>
      <c r="E44" s="129"/>
      <c r="F44" s="129"/>
      <c r="G44" s="129"/>
      <c r="H44" s="129"/>
      <c r="I44" s="129"/>
      <c r="J44" s="129"/>
      <c r="K44" s="129"/>
      <c r="L44" s="129"/>
      <c r="M44" s="129"/>
      <c r="N44" s="129"/>
      <c r="O44" s="129"/>
      <c r="P44" s="129"/>
      <c r="Q44" s="129"/>
      <c r="R44" s="129"/>
      <c r="S44" s="129"/>
      <c r="T44" s="129"/>
      <c r="U44" s="129"/>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row>
    <row r="45" spans="1:54" x14ac:dyDescent="0.2">
      <c r="A45" s="47"/>
      <c r="B45" s="47" t="s">
        <v>15</v>
      </c>
      <c r="C45" s="118">
        <v>4.9156094989605004</v>
      </c>
      <c r="D45" s="118">
        <v>6.3502551275700831</v>
      </c>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row>
    <row r="46" spans="1:54" x14ac:dyDescent="0.2">
      <c r="A46" s="47"/>
    </row>
    <row r="47" spans="1:54" s="109" customFormat="1" x14ac:dyDescent="0.2">
      <c r="A47" s="111"/>
      <c r="B47" s="110" t="s">
        <v>45</v>
      </c>
    </row>
    <row r="48" spans="1:54" x14ac:dyDescent="0.2">
      <c r="A48" s="47"/>
      <c r="B48" s="131"/>
      <c r="C48" s="46"/>
      <c r="D48" s="46"/>
      <c r="E48" s="262" t="s">
        <v>126</v>
      </c>
    </row>
    <row r="49" spans="1:5" x14ac:dyDescent="0.2">
      <c r="A49" s="47"/>
      <c r="B49" s="47" t="s">
        <v>46</v>
      </c>
      <c r="C49" s="50">
        <v>0.6</v>
      </c>
      <c r="D49" s="46"/>
      <c r="E49" s="47" t="s">
        <v>217</v>
      </c>
    </row>
    <row r="50" spans="1:5" x14ac:dyDescent="0.2">
      <c r="A50" s="47"/>
      <c r="B50" s="47" t="s">
        <v>192</v>
      </c>
      <c r="C50" s="50">
        <v>0.39500000000000002</v>
      </c>
      <c r="D50" s="46"/>
      <c r="E50" s="47" t="s">
        <v>47</v>
      </c>
    </row>
    <row r="51" spans="1:5" x14ac:dyDescent="0.2">
      <c r="A51" s="47"/>
      <c r="B51" s="47"/>
      <c r="C51" s="46"/>
      <c r="D51" s="46"/>
    </row>
    <row r="52" spans="1:5" x14ac:dyDescent="0.2">
      <c r="A52" s="47"/>
      <c r="B52" s="120" t="s">
        <v>183</v>
      </c>
      <c r="C52" s="132">
        <v>5.8865100000000004</v>
      </c>
      <c r="D52" s="46"/>
      <c r="E52" s="47" t="s">
        <v>48</v>
      </c>
    </row>
    <row r="53" spans="1:5" x14ac:dyDescent="0.2">
      <c r="A53" s="47"/>
      <c r="B53" s="120" t="s">
        <v>184</v>
      </c>
      <c r="C53" s="132">
        <v>4.3909500000000001</v>
      </c>
      <c r="D53" s="46"/>
      <c r="E53" s="47" t="s">
        <v>48</v>
      </c>
    </row>
    <row r="54" spans="1:5" x14ac:dyDescent="0.2">
      <c r="A54" s="47"/>
      <c r="B54" s="120" t="s">
        <v>185</v>
      </c>
      <c r="C54" s="118">
        <v>4</v>
      </c>
      <c r="D54" s="46"/>
      <c r="E54" s="47" t="s">
        <v>217</v>
      </c>
    </row>
    <row r="55" spans="1:5" x14ac:dyDescent="0.2">
      <c r="A55" s="47"/>
      <c r="B55" s="120" t="s">
        <v>186</v>
      </c>
      <c r="C55" s="118">
        <v>2</v>
      </c>
      <c r="D55" s="46"/>
      <c r="E55" s="47" t="s">
        <v>217</v>
      </c>
    </row>
    <row r="56" spans="1:5" x14ac:dyDescent="0.2">
      <c r="A56" s="47"/>
      <c r="B56" s="120"/>
      <c r="C56" s="46"/>
      <c r="D56" s="46"/>
    </row>
    <row r="57" spans="1:5" x14ac:dyDescent="0.2">
      <c r="A57" s="47"/>
      <c r="B57" s="47" t="s">
        <v>49</v>
      </c>
      <c r="C57" s="45">
        <v>3.9027199999999998E-2</v>
      </c>
      <c r="D57" s="146"/>
      <c r="E57" s="261" t="s">
        <v>127</v>
      </c>
    </row>
    <row r="58" spans="1:5" x14ac:dyDescent="0.2">
      <c r="A58" s="47"/>
      <c r="B58" s="47" t="s">
        <v>50</v>
      </c>
      <c r="C58" s="26">
        <f>1-C57</f>
        <v>0.96097279999999996</v>
      </c>
      <c r="E58" s="261" t="s">
        <v>127</v>
      </c>
    </row>
    <row r="59" spans="1:5" x14ac:dyDescent="0.2">
      <c r="A59" s="47"/>
      <c r="B59" s="47" t="s">
        <v>187</v>
      </c>
      <c r="C59" s="45">
        <v>7.5647930000000002E-2</v>
      </c>
      <c r="E59" s="261" t="s">
        <v>128</v>
      </c>
    </row>
    <row r="60" spans="1:5" x14ac:dyDescent="0.2">
      <c r="A60" s="47"/>
      <c r="B60" s="47"/>
      <c r="C60" s="123"/>
    </row>
    <row r="61" spans="1:5" x14ac:dyDescent="0.2">
      <c r="A61" s="47"/>
      <c r="B61" s="47" t="s">
        <v>188</v>
      </c>
      <c r="C61" s="133">
        <v>2.34</v>
      </c>
      <c r="E61" s="47" t="s">
        <v>51</v>
      </c>
    </row>
    <row r="62" spans="1:5" x14ac:dyDescent="0.2">
      <c r="A62" s="47"/>
      <c r="B62" s="47" t="s">
        <v>189</v>
      </c>
      <c r="C62" s="123">
        <v>2</v>
      </c>
      <c r="E62" s="47" t="s">
        <v>52</v>
      </c>
    </row>
    <row r="63" spans="1:5" x14ac:dyDescent="0.2">
      <c r="A63" s="47"/>
      <c r="B63" s="47"/>
      <c r="C63" s="123"/>
      <c r="E63" s="47"/>
    </row>
    <row r="64" spans="1:5" x14ac:dyDescent="0.2">
      <c r="A64" s="47"/>
      <c r="B64" s="47" t="s">
        <v>219</v>
      </c>
      <c r="C64" s="118">
        <v>41.891709320638974</v>
      </c>
      <c r="E64" s="47" t="s">
        <v>218</v>
      </c>
    </row>
    <row r="65" spans="1:7" x14ac:dyDescent="0.2">
      <c r="A65" s="47"/>
      <c r="B65" s="47"/>
      <c r="C65" s="123"/>
      <c r="E65" s="47"/>
    </row>
    <row r="66" spans="1:7" x14ac:dyDescent="0.2">
      <c r="A66" s="47"/>
      <c r="B66" s="47" t="s">
        <v>220</v>
      </c>
      <c r="C66" s="333">
        <v>0.83727768194651175</v>
      </c>
      <c r="D66" s="1"/>
      <c r="E66" s="47" t="s">
        <v>53</v>
      </c>
    </row>
    <row r="67" spans="1:7" x14ac:dyDescent="0.2">
      <c r="A67" s="47"/>
      <c r="B67" s="260" t="s">
        <v>221</v>
      </c>
      <c r="C67" s="333">
        <v>6.1058349301235271E-2</v>
      </c>
      <c r="D67" s="1"/>
      <c r="E67" s="47" t="s">
        <v>53</v>
      </c>
    </row>
    <row r="68" spans="1:7" x14ac:dyDescent="0.2">
      <c r="A68" s="47"/>
      <c r="B68" s="260" t="s">
        <v>222</v>
      </c>
      <c r="C68" s="333">
        <v>2.1804273107732999E-2</v>
      </c>
      <c r="D68" s="1"/>
      <c r="E68" s="47" t="s">
        <v>53</v>
      </c>
    </row>
    <row r="69" spans="1:7" x14ac:dyDescent="0.2">
      <c r="A69" s="47"/>
      <c r="B69" s="120" t="s">
        <v>223</v>
      </c>
      <c r="C69" s="333">
        <v>7.6743036137891255E-2</v>
      </c>
      <c r="D69" s="1"/>
      <c r="E69" s="47" t="s">
        <v>53</v>
      </c>
    </row>
    <row r="70" spans="1:7" x14ac:dyDescent="0.2">
      <c r="A70" s="47"/>
      <c r="B70" s="120" t="s">
        <v>224</v>
      </c>
      <c r="C70" s="333">
        <v>3.1167024442584818E-3</v>
      </c>
      <c r="D70" s="1"/>
      <c r="E70" s="47" t="s">
        <v>53</v>
      </c>
    </row>
    <row r="71" spans="1:7" x14ac:dyDescent="0.2">
      <c r="A71" s="47"/>
      <c r="B71" s="120"/>
      <c r="C71" s="46"/>
      <c r="E71" s="47"/>
    </row>
    <row r="72" spans="1:7" s="109" customFormat="1" x14ac:dyDescent="0.2">
      <c r="B72" s="110"/>
      <c r="C72" s="130"/>
      <c r="D72" s="130"/>
    </row>
    <row r="73" spans="1:7" x14ac:dyDescent="0.2">
      <c r="B73" s="134"/>
      <c r="C73" s="135"/>
      <c r="D73" s="135"/>
      <c r="E73" s="136"/>
      <c r="F73" s="136"/>
      <c r="G73" s="136"/>
    </row>
    <row r="74" spans="1:7" x14ac:dyDescent="0.2">
      <c r="A74" s="47"/>
      <c r="B74" s="261"/>
      <c r="C74" s="24"/>
      <c r="D74" s="24"/>
      <c r="E74" s="24"/>
      <c r="F74" s="24"/>
      <c r="G74" s="24"/>
    </row>
    <row r="75" spans="1:7" x14ac:dyDescent="0.2">
      <c r="A75" s="47"/>
      <c r="B75" s="261"/>
      <c r="C75" s="24"/>
      <c r="D75" s="24"/>
      <c r="E75" s="24"/>
      <c r="F75" s="24"/>
      <c r="G75" s="24"/>
    </row>
    <row r="76" spans="1:7" x14ac:dyDescent="0.2">
      <c r="A76" s="47"/>
      <c r="B76" s="261"/>
      <c r="C76" s="24"/>
      <c r="D76" s="24"/>
      <c r="E76" s="24"/>
      <c r="F76" s="24"/>
      <c r="G76" s="24"/>
    </row>
    <row r="77" spans="1:7" x14ac:dyDescent="0.2">
      <c r="A77" s="47"/>
      <c r="B77" s="261"/>
      <c r="C77" s="24"/>
      <c r="D77" s="24"/>
      <c r="E77" s="24"/>
      <c r="F77" s="24"/>
      <c r="G77" s="24"/>
    </row>
  </sheetData>
  <phoneticPr fontId="14" type="noConversion"/>
  <conditionalFormatting sqref="E42:F42">
    <cfRule type="expression" dxfId="30" priority="1">
      <formula>E$9&gt;$C$4+2</formula>
    </cfRule>
  </conditionalFormatting>
  <conditionalFormatting sqref="F37">
    <cfRule type="expression" dxfId="29" priority="2">
      <formula>F$9&gt;$C$4+2</formula>
    </cfRule>
  </conditionalFormatting>
  <conditionalFormatting sqref="F38:F39">
    <cfRule type="expression" dxfId="28" priority="3">
      <formula>F$9&gt;$C$4+2</formula>
    </cfRule>
  </conditionalFormatting>
  <pageMargins left="0.7" right="0.7" top="0.75" bottom="0.75" header="0.3" footer="0.3"/>
  <pageSetup paperSize="9" orientation="portrait" r:id="rId1"/>
  <ignoredErrors>
    <ignoredError sqref="F58:W58 C18:W20 C58:D58 X58:Y5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W123"/>
  <sheetViews>
    <sheetView topLeftCell="A11" zoomScaleNormal="100" workbookViewId="0">
      <selection activeCell="D56" sqref="D56"/>
    </sheetView>
  </sheetViews>
  <sheetFormatPr defaultColWidth="9.28515625" defaultRowHeight="11.25" outlineLevelRow="1" x14ac:dyDescent="0.2"/>
  <cols>
    <col min="1" max="1" width="9.28515625" style="16" customWidth="1"/>
    <col min="2" max="2" width="57.42578125" style="16" customWidth="1"/>
    <col min="3" max="38" width="9.28515625" style="16" customWidth="1"/>
    <col min="39" max="48" width="11.42578125" style="16" bestFit="1" customWidth="1"/>
    <col min="49" max="16384" width="9.28515625" style="16"/>
  </cols>
  <sheetData>
    <row r="1" spans="1:49" ht="24.75" customHeight="1" x14ac:dyDescent="0.2">
      <c r="B1" s="29"/>
    </row>
    <row r="2" spans="1:49" ht="11.25" customHeight="1" x14ac:dyDescent="0.2">
      <c r="B2" s="17"/>
    </row>
    <row r="3" spans="1:49" ht="11.25" customHeight="1" x14ac:dyDescent="0.2">
      <c r="B3" s="9" t="s">
        <v>11</v>
      </c>
      <c r="C3" s="10" t="str">
        <f>'Input data'!C3</f>
        <v>CZ</v>
      </c>
    </row>
    <row r="4" spans="1:49" x14ac:dyDescent="0.2">
      <c r="B4" s="51" t="s">
        <v>16</v>
      </c>
      <c r="C4" s="11"/>
    </row>
    <row r="5" spans="1:49" x14ac:dyDescent="0.2">
      <c r="A5" s="19"/>
      <c r="B5" s="12" t="str">
        <f>'Input data'!B5</f>
        <v>Last year before the adjustment</v>
      </c>
      <c r="C5" s="13">
        <f>+'Input data'!C5</f>
        <v>2026</v>
      </c>
    </row>
    <row r="6" spans="1:49" x14ac:dyDescent="0.2">
      <c r="A6" s="19"/>
      <c r="B6" s="52" t="s">
        <v>22</v>
      </c>
      <c r="C6" s="13">
        <f>+C5+'Criteria results'!$F$5</f>
        <v>2030</v>
      </c>
      <c r="E6" s="31"/>
      <c r="F6" s="19"/>
    </row>
    <row r="7" spans="1:49" x14ac:dyDescent="0.2">
      <c r="A7" s="19"/>
      <c r="B7" s="14"/>
      <c r="C7" s="53"/>
      <c r="E7" s="31"/>
      <c r="F7" s="19"/>
    </row>
    <row r="8" spans="1:49" x14ac:dyDescent="0.2">
      <c r="A8" s="19"/>
      <c r="C8" s="19"/>
      <c r="E8" s="31"/>
      <c r="F8" s="19"/>
    </row>
    <row r="9" spans="1:49" s="57" customFormat="1" ht="12.75" x14ac:dyDescent="0.2">
      <c r="B9" s="15" t="s">
        <v>23</v>
      </c>
    </row>
    <row r="10" spans="1:49" x14ac:dyDescent="0.2">
      <c r="C10" s="21">
        <f>'Input data'!$C$5-1</f>
        <v>2025</v>
      </c>
      <c r="D10" s="21">
        <f>C10+1</f>
        <v>2026</v>
      </c>
      <c r="E10" s="21">
        <f t="shared" ref="E10:U10" si="0">D10+1</f>
        <v>2027</v>
      </c>
      <c r="F10" s="21">
        <f t="shared" si="0"/>
        <v>2028</v>
      </c>
      <c r="G10" s="21">
        <f t="shared" si="0"/>
        <v>2029</v>
      </c>
      <c r="H10" s="21">
        <f t="shared" si="0"/>
        <v>2030</v>
      </c>
      <c r="I10" s="21">
        <f t="shared" si="0"/>
        <v>2031</v>
      </c>
      <c r="J10" s="21">
        <f t="shared" si="0"/>
        <v>2032</v>
      </c>
      <c r="K10" s="21">
        <f t="shared" si="0"/>
        <v>2033</v>
      </c>
      <c r="L10" s="21">
        <f t="shared" si="0"/>
        <v>2034</v>
      </c>
      <c r="M10" s="21">
        <f t="shared" si="0"/>
        <v>2035</v>
      </c>
      <c r="N10" s="21">
        <f t="shared" si="0"/>
        <v>2036</v>
      </c>
      <c r="O10" s="21">
        <f t="shared" si="0"/>
        <v>2037</v>
      </c>
      <c r="P10" s="21">
        <f t="shared" si="0"/>
        <v>2038</v>
      </c>
      <c r="Q10" s="21">
        <f t="shared" si="0"/>
        <v>2039</v>
      </c>
      <c r="R10" s="21">
        <f t="shared" si="0"/>
        <v>2040</v>
      </c>
      <c r="S10" s="21">
        <f t="shared" si="0"/>
        <v>2041</v>
      </c>
      <c r="T10" s="21">
        <f t="shared" si="0"/>
        <v>2042</v>
      </c>
      <c r="U10" s="21">
        <f t="shared" si="0"/>
        <v>2043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row>
    <row r="11" spans="1:49" x14ac:dyDescent="0.2">
      <c r="B11" s="18" t="s">
        <v>24</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row>
    <row r="12" spans="1:49" x14ac:dyDescent="0.2">
      <c r="B12" s="16" t="s">
        <v>26</v>
      </c>
      <c r="C12" s="2">
        <f>'Input data'!C13</f>
        <v>-0.51101569999999996</v>
      </c>
      <c r="D12" s="2">
        <f>'Input data'!D13</f>
        <v>-1.332759</v>
      </c>
      <c r="E12" s="1">
        <f>D12</f>
        <v>-1.332759</v>
      </c>
      <c r="F12" s="1">
        <f t="shared" ref="F12:U12" si="1">E12</f>
        <v>-1.332759</v>
      </c>
      <c r="G12" s="1">
        <f t="shared" si="1"/>
        <v>-1.332759</v>
      </c>
      <c r="H12" s="1">
        <f t="shared" si="1"/>
        <v>-1.332759</v>
      </c>
      <c r="I12" s="1">
        <f t="shared" si="1"/>
        <v>-1.332759</v>
      </c>
      <c r="J12" s="1">
        <f t="shared" si="1"/>
        <v>-1.332759</v>
      </c>
      <c r="K12" s="1">
        <f t="shared" si="1"/>
        <v>-1.332759</v>
      </c>
      <c r="L12" s="1">
        <f t="shared" si="1"/>
        <v>-1.332759</v>
      </c>
      <c r="M12" s="1">
        <f t="shared" si="1"/>
        <v>-1.332759</v>
      </c>
      <c r="N12" s="1">
        <f t="shared" si="1"/>
        <v>-1.332759</v>
      </c>
      <c r="O12" s="1">
        <f t="shared" si="1"/>
        <v>-1.332759</v>
      </c>
      <c r="P12" s="1">
        <f t="shared" si="1"/>
        <v>-1.332759</v>
      </c>
      <c r="Q12" s="1">
        <f t="shared" si="1"/>
        <v>-1.332759</v>
      </c>
      <c r="R12" s="1">
        <f t="shared" si="1"/>
        <v>-1.332759</v>
      </c>
      <c r="S12" s="1">
        <f t="shared" si="1"/>
        <v>-1.332759</v>
      </c>
      <c r="T12" s="1">
        <f t="shared" si="1"/>
        <v>-1.332759</v>
      </c>
      <c r="U12" s="1">
        <f t="shared" si="1"/>
        <v>-1.332759</v>
      </c>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7"/>
    </row>
    <row r="13" spans="1:49" x14ac:dyDescent="0.2">
      <c r="B13" s="16" t="s">
        <v>27</v>
      </c>
      <c r="C13" s="2">
        <f>'Input data'!C14</f>
        <v>-0.1168709</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7"/>
    </row>
    <row r="14" spans="1:49" x14ac:dyDescent="0.2">
      <c r="B14" s="16" t="s">
        <v>54</v>
      </c>
      <c r="C14" s="2">
        <f>'Input data'!C15</f>
        <v>1.388104</v>
      </c>
      <c r="D14" s="2">
        <f>'Input data'!D15</f>
        <v>0.74747770000000002</v>
      </c>
      <c r="E14" s="2">
        <f>'Input data'!E15</f>
        <v>0.85</v>
      </c>
      <c r="F14" s="2">
        <f>'Input data'!F15</f>
        <v>0</v>
      </c>
      <c r="G14" s="2">
        <f>'Input data'!G15</f>
        <v>0</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7"/>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2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48"/>
      <c r="B17" s="16" t="s">
        <v>30</v>
      </c>
      <c r="C17" s="80">
        <f>'Input data'!C20</f>
        <v>19.8</v>
      </c>
      <c r="D17" s="80">
        <f>'Input data'!D20</f>
        <v>19.7</v>
      </c>
      <c r="E17" s="80">
        <f>'Input data'!E20</f>
        <v>19.8</v>
      </c>
      <c r="F17" s="80">
        <f>'Input data'!F20</f>
        <v>19.899999999999999</v>
      </c>
      <c r="G17" s="80">
        <f>'Input data'!G20</f>
        <v>20</v>
      </c>
      <c r="H17" s="80">
        <f>'Input data'!H20</f>
        <v>20</v>
      </c>
      <c r="I17" s="80">
        <f>'Input data'!I20</f>
        <v>20.100000000000001</v>
      </c>
      <c r="J17" s="80">
        <f>'Input data'!J20</f>
        <v>20.099999999999998</v>
      </c>
      <c r="K17" s="80">
        <f>'Input data'!K20</f>
        <v>20.099999999999998</v>
      </c>
      <c r="L17" s="80">
        <f>'Input data'!L20</f>
        <v>20.399999999999999</v>
      </c>
      <c r="M17" s="80">
        <f>'Input data'!M20</f>
        <v>20.399999999999999</v>
      </c>
      <c r="N17" s="80">
        <f>'Input data'!N20</f>
        <v>20.5</v>
      </c>
      <c r="O17" s="80">
        <f>'Input data'!O20</f>
        <v>20.6</v>
      </c>
      <c r="P17" s="80">
        <f>'Input data'!P20</f>
        <v>20.8</v>
      </c>
      <c r="Q17" s="80">
        <f>'Input data'!Q20</f>
        <v>20.8</v>
      </c>
      <c r="R17" s="80">
        <f>'Input data'!R20</f>
        <v>20.9</v>
      </c>
      <c r="S17" s="80">
        <f>'Input data'!S20</f>
        <v>21.1</v>
      </c>
      <c r="T17" s="80">
        <f>'Input data'!T20</f>
        <v>21.2</v>
      </c>
      <c r="U17" s="80">
        <f>'Input data'!U20</f>
        <v>21.3</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8"/>
      <c r="B18" s="16" t="str">
        <f>'Input data'!B26</f>
        <v>Property income</v>
      </c>
      <c r="C18" s="80">
        <f>'Input data'!C26</f>
        <v>1.037865</v>
      </c>
      <c r="D18" s="80">
        <f>'Input data'!D26</f>
        <v>1.0233570000000001</v>
      </c>
      <c r="E18" s="80">
        <f>'Input data'!E26</f>
        <v>1.008848</v>
      </c>
      <c r="F18" s="80">
        <f>'Input data'!F26</f>
        <v>0.99434009999999995</v>
      </c>
      <c r="G18" s="80">
        <f>'Input data'!G26</f>
        <v>0.97983180000000003</v>
      </c>
      <c r="H18" s="80">
        <f>'Input data'!H26</f>
        <v>0.9653235</v>
      </c>
      <c r="I18" s="80">
        <f>'Input data'!I26</f>
        <v>0.95081519999999997</v>
      </c>
      <c r="J18" s="80">
        <f>'Input data'!J26</f>
        <v>0.93630690000000005</v>
      </c>
      <c r="K18" s="80">
        <f>'Input data'!K26</f>
        <v>0.92179860000000002</v>
      </c>
      <c r="L18" s="80">
        <f>'Input data'!L26</f>
        <v>0.90729029999999999</v>
      </c>
      <c r="M18" s="80">
        <f>'Input data'!M26</f>
        <v>0.89278199999999996</v>
      </c>
      <c r="N18" s="80">
        <f>'Input data'!N26</f>
        <v>0.87827370000000005</v>
      </c>
      <c r="O18" s="80">
        <f>'Input data'!O26</f>
        <v>0.86376540000000002</v>
      </c>
      <c r="P18" s="80">
        <f>'Input data'!P26</f>
        <v>0.84925709999999999</v>
      </c>
      <c r="Q18" s="80">
        <f>'Input data'!Q26</f>
        <v>0.83474870000000001</v>
      </c>
      <c r="R18" s="80">
        <f>'Input data'!R26</f>
        <v>0.82024039999999998</v>
      </c>
      <c r="S18" s="80">
        <f>'Input data'!S26</f>
        <v>0.80573209999999995</v>
      </c>
      <c r="T18" s="80">
        <f>'Input data'!T26</f>
        <v>0.79122380000000003</v>
      </c>
      <c r="U18" s="80">
        <f>'Input data'!U26</f>
        <v>0.7767155</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18" t="s">
        <v>55</v>
      </c>
    </row>
    <row r="21" spans="1:48" ht="10.5" customHeight="1" x14ac:dyDescent="0.2">
      <c r="B21" s="20" t="s">
        <v>56</v>
      </c>
    </row>
    <row r="22" spans="1:48" x14ac:dyDescent="0.2">
      <c r="B22" s="16" t="s">
        <v>39</v>
      </c>
      <c r="C22" s="79">
        <f>'Input data'!C31</f>
        <v>6479.8060073389106</v>
      </c>
      <c r="D22" s="79">
        <f t="shared" ref="D22" si="2">C22*(D23/100+1)</f>
        <v>6596.2656167670111</v>
      </c>
      <c r="E22" s="79">
        <f>D22*(E23/100+1)</f>
        <v>6738.2157356987454</v>
      </c>
      <c r="F22" s="79">
        <f>E22*(F23/100+1)</f>
        <v>6830.7483506713861</v>
      </c>
      <c r="G22" s="24">
        <f t="shared" ref="G22:U22" si="3">F22*(G23/100+1)</f>
        <v>6907.4944040755527</v>
      </c>
      <c r="H22" s="24">
        <f t="shared" si="3"/>
        <v>6987.419364026453</v>
      </c>
      <c r="I22" s="24">
        <f t="shared" si="3"/>
        <v>7073.0910647358778</v>
      </c>
      <c r="J22" s="24">
        <f t="shared" si="3"/>
        <v>7160.5334261800672</v>
      </c>
      <c r="K22" s="24">
        <f t="shared" si="3"/>
        <v>7249.6244966472632</v>
      </c>
      <c r="L22" s="24">
        <f t="shared" si="3"/>
        <v>7337.2903633842352</v>
      </c>
      <c r="M22" s="24">
        <f t="shared" si="3"/>
        <v>7420.996226291024</v>
      </c>
      <c r="N22" s="24">
        <f t="shared" si="3"/>
        <v>7514.294326627276</v>
      </c>
      <c r="O22" s="24">
        <f t="shared" si="3"/>
        <v>7617.5115000702035</v>
      </c>
      <c r="P22" s="24">
        <f t="shared" si="3"/>
        <v>7731.0125737714798</v>
      </c>
      <c r="Q22" s="24">
        <f t="shared" si="3"/>
        <v>7848.5237329624297</v>
      </c>
      <c r="R22" s="24">
        <f t="shared" si="3"/>
        <v>7974.1002696603027</v>
      </c>
      <c r="S22" s="24">
        <f t="shared" si="3"/>
        <v>8101.6862726798809</v>
      </c>
      <c r="T22" s="24">
        <f t="shared" si="3"/>
        <v>8231.3132530427592</v>
      </c>
      <c r="U22" s="24">
        <f t="shared" si="3"/>
        <v>8363.8373964167477</v>
      </c>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row>
    <row r="23" spans="1:48" x14ac:dyDescent="0.2">
      <c r="A23" s="48"/>
      <c r="B23" s="49" t="s">
        <v>38</v>
      </c>
      <c r="C23" s="79">
        <f>+'Input data'!C30</f>
        <v>2.5804670000000001</v>
      </c>
      <c r="D23" s="79">
        <f>+'Input data'!D30</f>
        <v>1.7972699999999999</v>
      </c>
      <c r="E23" s="79">
        <f>+'Input data'!E30</f>
        <v>2.151977</v>
      </c>
      <c r="F23" s="79">
        <f>+'Input data'!F30</f>
        <v>1.373251</v>
      </c>
      <c r="G23" s="24">
        <f>+'Input data'!G30</f>
        <v>1.1235379999999999</v>
      </c>
      <c r="H23" s="24">
        <f>+'Input data'!H30</f>
        <v>1.157076</v>
      </c>
      <c r="I23" s="24">
        <f>+'Input data'!I30</f>
        <v>1.2260850000000001</v>
      </c>
      <c r="J23" s="24">
        <f>+'Input data'!J30</f>
        <v>1.2362679999999999</v>
      </c>
      <c r="K23" s="24">
        <f>+'Input data'!K30</f>
        <v>1.2441960000000001</v>
      </c>
      <c r="L23" s="24">
        <f>+'Input data'!L30</f>
        <v>1.209247</v>
      </c>
      <c r="M23" s="24">
        <f>+'Input data'!M30</f>
        <v>1.140828</v>
      </c>
      <c r="N23" s="24">
        <f>+'Input data'!N30</f>
        <v>1.2572179999999999</v>
      </c>
      <c r="O23" s="24">
        <f>+'Input data'!O30</f>
        <v>1.3736109999999999</v>
      </c>
      <c r="P23" s="24">
        <f>+'Input data'!P30</f>
        <v>1.490002</v>
      </c>
      <c r="Q23" s="24">
        <f>+'Input data'!Q30</f>
        <v>1.519997</v>
      </c>
      <c r="R23" s="24">
        <f>+'Input data'!R30</f>
        <v>1.6000019999999999</v>
      </c>
      <c r="S23" s="24">
        <f>+'Input data'!S30</f>
        <v>1.6000049999999999</v>
      </c>
      <c r="T23" s="24">
        <f>+'Input data'!T30</f>
        <v>1.6</v>
      </c>
      <c r="U23" s="24">
        <f>+'Input data'!U30</f>
        <v>1.61</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row>
    <row r="25" spans="1:48" ht="15" x14ac:dyDescent="0.2">
      <c r="A25" s="156"/>
      <c r="B25" s="20" t="s">
        <v>57</v>
      </c>
      <c r="C25" s="155"/>
      <c r="D25" s="155"/>
      <c r="F25" s="179"/>
      <c r="G25" s="179"/>
      <c r="H25" s="179"/>
      <c r="I25" s="179"/>
      <c r="J25" s="179"/>
      <c r="K25" s="179"/>
      <c r="L25" s="179"/>
      <c r="M25" s="179"/>
      <c r="N25" s="179"/>
      <c r="O25" s="179"/>
      <c r="P25" s="179"/>
      <c r="Q25" s="179"/>
      <c r="R25" s="179"/>
    </row>
    <row r="26" spans="1:48" x14ac:dyDescent="0.2">
      <c r="B26" s="16" t="s">
        <v>39</v>
      </c>
      <c r="C26" s="79">
        <f>'Input data'!C34</f>
        <v>6515.4565303615473</v>
      </c>
      <c r="D26" s="79">
        <f>+C26*(1+'Input data'!D33/100)</f>
        <v>6622.8091014297024</v>
      </c>
      <c r="E26" s="79">
        <f>+D26*(1+'Input data'!E33/100)</f>
        <v>6721.6283009444987</v>
      </c>
      <c r="F26" s="79">
        <f>+E26*(1+'Input data'!F33/100)</f>
        <v>6819.5289515803215</v>
      </c>
      <c r="G26" s="24">
        <f>+F26*(1+'Input data'!G33/100)</f>
        <v>6903.7089441774706</v>
      </c>
      <c r="H26" s="24">
        <f>+G26*(1+'Input data'!H33/100)</f>
        <v>6987.4194527575573</v>
      </c>
      <c r="I26" s="24">
        <f>+H26*(1+'Input data'!I33/100)</f>
        <v>7073.0913641774832</v>
      </c>
      <c r="J26" s="24">
        <f>+I26*(1+'Input data'!J33/100)</f>
        <v>7160.5335878617452</v>
      </c>
      <c r="K26" s="24">
        <f>+J26*(1+'Input data'!K33/100)</f>
        <v>7249.6249467619218</v>
      </c>
      <c r="L26" s="24">
        <f>+K26*(1+'Input data'!L33/100)</f>
        <v>7337.2906014531436</v>
      </c>
      <c r="M26" s="24">
        <f>+L26*(1+'Input data'!M33/100)</f>
        <v>7420.9960268384539</v>
      </c>
      <c r="N26" s="24">
        <f>+M26*(1+'Input data'!N33/100)</f>
        <v>7514.2939020372705</v>
      </c>
      <c r="O26" s="24">
        <f>+N26*(1+'Input data'!O33/100)</f>
        <v>7617.5107690762279</v>
      </c>
      <c r="P26" s="24">
        <f>+O26*(1+'Input data'!P33/100)</f>
        <v>7731.0116795354634</v>
      </c>
      <c r="Q26" s="24">
        <f>+P26*(1+'Input data'!Q33/100)</f>
        <v>7848.5230570644035</v>
      </c>
      <c r="R26" s="24">
        <f>+Q26*(1+'Input data'!R33/100)</f>
        <v>7974.0994259774343</v>
      </c>
      <c r="S26" s="24">
        <f>+R26*(1+'Input data'!S33/100)</f>
        <v>8101.6850167930734</v>
      </c>
      <c r="T26" s="24">
        <f>+S26*(1+'Input data'!T33/100)</f>
        <v>8231.3119770617632</v>
      </c>
      <c r="U26" s="24">
        <f>+T26*(1+'Input data'!U33/100)</f>
        <v>8363.8360998924582</v>
      </c>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row>
    <row r="27" spans="1:48" ht="5.25" customHeight="1" x14ac:dyDescent="0.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row>
    <row r="28" spans="1:48" x14ac:dyDescent="0.2">
      <c r="B28" s="20" t="s">
        <v>58</v>
      </c>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row>
    <row r="29" spans="1:48" x14ac:dyDescent="0.2">
      <c r="B29" s="16" t="s">
        <v>58</v>
      </c>
      <c r="C29" s="79">
        <f t="shared" ref="C29:R29" si="4">100*(C22/C26-1)</f>
        <v>-0.54716845790480084</v>
      </c>
      <c r="D29" s="79">
        <f t="shared" si="4"/>
        <v>-0.40078891383055204</v>
      </c>
      <c r="E29" s="79">
        <f t="shared" si="4"/>
        <v>0.24677703097499837</v>
      </c>
      <c r="F29" s="79">
        <f t="shared" si="4"/>
        <v>0.16451868113946944</v>
      </c>
      <c r="G29" s="24">
        <f t="shared" si="4"/>
        <v>5.4832263768522793E-2</v>
      </c>
      <c r="H29" s="24">
        <f t="shared" si="4"/>
        <v>-1.269869442932503E-6</v>
      </c>
      <c r="I29" s="24">
        <f t="shared" si="4"/>
        <v>-4.2335322691933186E-6</v>
      </c>
      <c r="J29" s="24">
        <f t="shared" si="4"/>
        <v>-2.2579557223956215E-6</v>
      </c>
      <c r="K29" s="24">
        <f t="shared" si="4"/>
        <v>-6.2087992414028292E-6</v>
      </c>
      <c r="L29" s="24">
        <f t="shared" si="4"/>
        <v>-3.2446433095856264E-6</v>
      </c>
      <c r="M29" s="24">
        <f t="shared" si="4"/>
        <v>2.6876792569296981E-6</v>
      </c>
      <c r="N29" s="24">
        <f t="shared" si="4"/>
        <v>5.6504311674032692E-6</v>
      </c>
      <c r="O29" s="24">
        <f t="shared" si="4"/>
        <v>9.5962316093434197E-6</v>
      </c>
      <c r="P29" s="24">
        <f t="shared" si="4"/>
        <v>1.1566869306811611E-5</v>
      </c>
      <c r="Q29" s="24">
        <f t="shared" si="4"/>
        <v>8.6117862174717175E-6</v>
      </c>
      <c r="R29" s="24">
        <f t="shared" si="4"/>
        <v>1.0580290310535645E-5</v>
      </c>
      <c r="S29" s="24">
        <f t="shared" ref="S29:U29" si="5">100*(S22/S26-1)</f>
        <v>1.5501550665319996E-5</v>
      </c>
      <c r="T29" s="24">
        <f t="shared" si="5"/>
        <v>1.5501550665319996E-5</v>
      </c>
      <c r="U29" s="24">
        <f t="shared" si="5"/>
        <v>1.5501550643115536E-5</v>
      </c>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row>
    <row r="30" spans="1:48" ht="5.25" customHeight="1" x14ac:dyDescent="0.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row>
    <row r="31" spans="1:48" x14ac:dyDescent="0.2">
      <c r="B31" s="20" t="s">
        <v>59</v>
      </c>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row>
    <row r="32" spans="1:48" x14ac:dyDescent="0.2">
      <c r="B32" s="16" t="s">
        <v>38</v>
      </c>
      <c r="C32" s="2">
        <f t="shared" ref="C32:U32" si="6">100*((1+C23/100)*(1+C41/100)-1)</f>
        <v>6.1837136128653603</v>
      </c>
      <c r="D32" s="2">
        <f t="shared" si="6"/>
        <v>4.501694658717903</v>
      </c>
      <c r="E32" s="2">
        <f>100*((1+E23/100)*(1+E41/100)-1)</f>
        <v>5.2866779434872946</v>
      </c>
      <c r="F32" s="2">
        <f>100*((1+F23/100)*(1+F41/100)-1)</f>
        <v>4.3917216608583276</v>
      </c>
      <c r="G32" s="1">
        <f t="shared" si="6"/>
        <v>4.0424669018992443</v>
      </c>
      <c r="H32" s="1">
        <f t="shared" si="6"/>
        <v>3.98483607606539</v>
      </c>
      <c r="I32" s="1">
        <f t="shared" si="6"/>
        <v>3.9635744090022129</v>
      </c>
      <c r="J32" s="1">
        <f t="shared" si="6"/>
        <v>3.8818237611473183</v>
      </c>
      <c r="K32" s="1">
        <f t="shared" si="6"/>
        <v>3.7977426884853616</v>
      </c>
      <c r="L32" s="1">
        <f t="shared" si="6"/>
        <v>3.6697277982449927</v>
      </c>
      <c r="M32" s="1">
        <f t="shared" si="6"/>
        <v>3.5075233751999946</v>
      </c>
      <c r="N32" s="1">
        <f t="shared" si="6"/>
        <v>3.609423174140014</v>
      </c>
      <c r="O32" s="1">
        <f t="shared" si="6"/>
        <v>3.7112864696600134</v>
      </c>
      <c r="P32" s="1">
        <f t="shared" si="6"/>
        <v>3.8131081457800198</v>
      </c>
      <c r="Q32" s="1">
        <f t="shared" si="6"/>
        <v>3.8265313318400107</v>
      </c>
      <c r="R32" s="1">
        <f t="shared" si="6"/>
        <v>3.8910820451000028</v>
      </c>
      <c r="S32" s="1">
        <f t="shared" si="6"/>
        <v>3.8738131119000041</v>
      </c>
      <c r="T32" s="1">
        <f t="shared" si="6"/>
        <v>3.8565359999999993</v>
      </c>
      <c r="U32" s="1">
        <f t="shared" si="6"/>
        <v>3.8494844000000139</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2:49" x14ac:dyDescent="0.2">
      <c r="G33" s="339"/>
    </row>
    <row r="34" spans="2:49" x14ac:dyDescent="0.2">
      <c r="B34" s="18" t="s">
        <v>60</v>
      </c>
    </row>
    <row r="35" spans="2:49" x14ac:dyDescent="0.2">
      <c r="B35" s="16" t="s">
        <v>41</v>
      </c>
      <c r="C35" s="2">
        <f>'Input data'!C37</f>
        <v>3.1969609999999999</v>
      </c>
      <c r="D35" s="2">
        <f>'Input data'!D37</f>
        <v>3.078103</v>
      </c>
      <c r="E35" s="2">
        <f>IF(E$10&lt;='Input data'!$C$4+2,'Input data'!E37,E96)</f>
        <v>2.999835</v>
      </c>
      <c r="F35" s="2">
        <f>IF(F$10&lt;='Input data'!$C$4+2,'Input data'!F37,F96)</f>
        <v>3.2787528704915645</v>
      </c>
      <c r="G35" s="1">
        <f>IF(G$10&lt;='Input data'!$C$4+2,'Input data'!G37,G96)</f>
        <v>3.5151139840819745</v>
      </c>
      <c r="H35" s="1">
        <f>IF(H$10&lt;='Input data'!$C$4+2,'Input data'!H37,H96)</f>
        <v>3.7446796592301297</v>
      </c>
      <c r="I35" s="1">
        <f>IF(I$10&lt;='Input data'!$C$4+2,'Input data'!I37,I96)</f>
        <v>3.9632939473917141</v>
      </c>
      <c r="J35" s="1">
        <f>IF(J$10&lt;='Input data'!$C$4+2,'Input data'!J37,J96)</f>
        <v>4.1735939793387811</v>
      </c>
      <c r="K35" s="1">
        <f>IF(K$10&lt;='Input data'!$C$4+2,'Input data'!K37,K96)</f>
        <v>4.3733956407985497</v>
      </c>
      <c r="L35" s="1">
        <f>IF(L$10&lt;='Input data'!$C$4+2,'Input data'!L37,L96)</f>
        <v>4.5637138131234884</v>
      </c>
      <c r="M35" s="1">
        <f>IF(M$10&lt;='Input data'!$C$4+2,'Input data'!M37,M96)</f>
        <v>4.7509546189564285</v>
      </c>
      <c r="N35" s="1">
        <f>IF(N$10&lt;='Input data'!$C$4+2,'Input data'!N37,N96)</f>
        <v>4.8939390082147254</v>
      </c>
      <c r="O35" s="1">
        <f>IF(O$10&lt;='Input data'!$C$4+2,'Input data'!O37,O96)</f>
        <v>5.0024720395914271</v>
      </c>
      <c r="P35" s="1">
        <f>IF(P$10&lt;='Input data'!$C$4+2,'Input data'!P37,P96)</f>
        <v>5.0809447242381953</v>
      </c>
      <c r="Q35" s="1">
        <f>IF(Q$10&lt;='Input data'!$C$4+2,'Input data'!Q37,Q96)</f>
        <v>5.1338570180010299</v>
      </c>
      <c r="R35" s="1">
        <f>IF(R$10&lt;='Input data'!$C$4+2,'Input data'!R37,R96)</f>
        <v>5.1639357395825947</v>
      </c>
      <c r="S35" s="1">
        <f>IF(S$10&lt;='Input data'!$C$4+2,'Input data'!S37,S96)</f>
        <v>5.1749791473873747</v>
      </c>
      <c r="T35" s="1">
        <f>IF(T$10&lt;='Input data'!$C$4+2,'Input data'!T37,T96)</f>
        <v>5.1698409793428644</v>
      </c>
      <c r="U35" s="1">
        <f>IF(U$10&lt;='Input data'!$C$4+2,'Input data'!U37,U96)</f>
        <v>5.1509376435721377</v>
      </c>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7"/>
    </row>
    <row r="36" spans="2:49" x14ac:dyDescent="0.2">
      <c r="B36" s="22" t="s">
        <v>61</v>
      </c>
      <c r="C36" s="2">
        <f>'Input data'!C39</f>
        <v>4.29</v>
      </c>
      <c r="D36" s="137">
        <f>'Input data'!D39</f>
        <v>4.7019640000000003</v>
      </c>
      <c r="E36" s="137">
        <f>_xlfn.LET(_xlpm.lastForecast,INDEX('Input data'!$E$39:$G$39,MATCH('Input data'!$C$4+2,'Input data'!$E$9:$G$9)),
_xlpm.Tplus10,'Input data'!$C$52,
_xlpm.Tplus30,'Input data'!$C$54,
IF(E$10&lt;='Input data'!$C$4+2,'Input data'!E$39,
IF(E$10&lt;'Input data'!$C$4+10,_xlpm.lastForecast+(_xlpm.Tplus10-_xlpm.lastForecast)/8*(E$10-('Input data'!$C$4+2)),
IF(E$10='Input data'!$C$4+10,_xlpm.Tplus10,
_xlpm.Tplus10+(_xlpm.Tplus30-_xlpm.Tplus10)/20*(E$10-('Input data'!$C$4+10))))))</f>
        <v>4.9156490000000002</v>
      </c>
      <c r="F36" s="137">
        <f>_xlfn.LET(_xlpm.lastForecast,INDEX('Input data'!$E$39:$G$39,MATCH('Input data'!$C$4+2,'Input data'!$E$9:$G$9)),
_xlpm.Tplus10,'Input data'!$C$52,
_xlpm.Tplus30,'Input data'!$C$54,
IF(F$10&lt;='Input data'!$C$4+2,'Input data'!F$39,
IF(F$10&lt;'Input data'!$C$4+10,_xlpm.lastForecast+(_xlpm.Tplus10-_xlpm.lastForecast)/8*(F$10-('Input data'!$C$4+2)),
IF(F$10='Input data'!$C$4+10,_xlpm.Tplus10,
_xlpm.Tplus10+(_xlpm.Tplus30-_xlpm.Tplus10)/20*(F$10-('Input data'!$C$4+10))))))</f>
        <v>5.0370066250000001</v>
      </c>
      <c r="G36" s="1">
        <f>_xlfn.LET(_xlpm.lastForecast,INDEX('Input data'!$E$39:$G$39,MATCH('Input data'!$C$4+2,'Input data'!$E$9:$G$9)),
_xlpm.Tplus10,'Input data'!$C$52,
_xlpm.Tplus30,'Input data'!$C$54,
IF(G$10&lt;='Input data'!$C$4+2,'Input data'!G$39,
IF(G$10&lt;'Input data'!$C$4+10,_xlpm.lastForecast+(_xlpm.Tplus10-_xlpm.lastForecast)/8*(G$10-('Input data'!$C$4+2)),
IF(G$10='Input data'!$C$4+10,_xlpm.Tplus10,
_xlpm.Tplus10+(_xlpm.Tplus30-_xlpm.Tplus10)/20*(G$10-('Input data'!$C$4+10))))))</f>
        <v>5.15836425</v>
      </c>
      <c r="H36" s="1">
        <f>_xlfn.LET(_xlpm.lastForecast,INDEX('Input data'!$E$39:$G$39,MATCH('Input data'!$C$4+2,'Input data'!$E$9:$G$9)),
_xlpm.Tplus10,'Input data'!$C$52,
_xlpm.Tplus30,'Input data'!$C$54,
IF(H$10&lt;='Input data'!$C$4+2,'Input data'!H$39,
IF(H$10&lt;'Input data'!$C$4+10,_xlpm.lastForecast+(_xlpm.Tplus10-_xlpm.lastForecast)/8*(H$10-('Input data'!$C$4+2)),
IF(H$10='Input data'!$C$4+10,_xlpm.Tplus10,
_xlpm.Tplus10+(_xlpm.Tplus30-_xlpm.Tplus10)/20*(H$10-('Input data'!$C$4+10))))))</f>
        <v>5.2797218749999999</v>
      </c>
      <c r="I36" s="1">
        <f>_xlfn.LET(_xlpm.lastForecast,INDEX('Input data'!$E$39:$G$39,MATCH('Input data'!$C$4+2,'Input data'!$E$9:$G$9)),
_xlpm.Tplus10,'Input data'!$C$52,
_xlpm.Tplus30,'Input data'!$C$54,
IF(I$10&lt;='Input data'!$C$4+2,'Input data'!I$39,
IF(I$10&lt;'Input data'!$C$4+10,_xlpm.lastForecast+(_xlpm.Tplus10-_xlpm.lastForecast)/8*(I$10-('Input data'!$C$4+2)),
IF(I$10='Input data'!$C$4+10,_xlpm.Tplus10,
_xlpm.Tplus10+(_xlpm.Tplus30-_xlpm.Tplus10)/20*(I$10-('Input data'!$C$4+10))))))</f>
        <v>5.4010794999999998</v>
      </c>
      <c r="J36" s="1">
        <f>_xlfn.LET(_xlpm.lastForecast,INDEX('Input data'!$E$39:$G$39,MATCH('Input data'!$C$4+2,'Input data'!$E$9:$G$9)),
_xlpm.Tplus10,'Input data'!$C$52,
_xlpm.Tplus30,'Input data'!$C$54,
IF(J$10&lt;='Input data'!$C$4+2,'Input data'!J$39,
IF(J$10&lt;'Input data'!$C$4+10,_xlpm.lastForecast+(_xlpm.Tplus10-_xlpm.lastForecast)/8*(J$10-('Input data'!$C$4+2)),
IF(J$10='Input data'!$C$4+10,_xlpm.Tplus10,
_xlpm.Tplus10+(_xlpm.Tplus30-_xlpm.Tplus10)/20*(J$10-('Input data'!$C$4+10))))))</f>
        <v>5.5224371250000006</v>
      </c>
      <c r="K36" s="1">
        <f>_xlfn.LET(_xlpm.lastForecast,INDEX('Input data'!$E$39:$G$39,MATCH('Input data'!$C$4+2,'Input data'!$E$9:$G$9)),
_xlpm.Tplus10,'Input data'!$C$52,
_xlpm.Tplus30,'Input data'!$C$54,
IF(K$10&lt;='Input data'!$C$4+2,'Input data'!K$39,
IF(K$10&lt;'Input data'!$C$4+10,_xlpm.lastForecast+(_xlpm.Tplus10-_xlpm.lastForecast)/8*(K$10-('Input data'!$C$4+2)),
IF(K$10='Input data'!$C$4+10,_xlpm.Tplus10,
_xlpm.Tplus10+(_xlpm.Tplus30-_xlpm.Tplus10)/20*(K$10-('Input data'!$C$4+10))))))</f>
        <v>5.6437947500000005</v>
      </c>
      <c r="L36" s="1">
        <f>_xlfn.LET(_xlpm.lastForecast,INDEX('Input data'!$E$39:$G$39,MATCH('Input data'!$C$4+2,'Input data'!$E$9:$G$9)),
_xlpm.Tplus10,'Input data'!$C$52,
_xlpm.Tplus30,'Input data'!$C$54,
IF(L$10&lt;='Input data'!$C$4+2,'Input data'!L$39,
IF(L$10&lt;'Input data'!$C$4+10,_xlpm.lastForecast+(_xlpm.Tplus10-_xlpm.lastForecast)/8*(L$10-('Input data'!$C$4+2)),
IF(L$10='Input data'!$C$4+10,_xlpm.Tplus10,
_xlpm.Tplus10+(_xlpm.Tplus30-_xlpm.Tplus10)/20*(L$10-('Input data'!$C$4+10))))))</f>
        <v>5.7651523750000004</v>
      </c>
      <c r="M36" s="1">
        <f>_xlfn.LET(_xlpm.lastForecast,INDEX('Input data'!$E$39:$G$39,MATCH('Input data'!$C$4+2,'Input data'!$E$9:$G$9)),
_xlpm.Tplus10,'Input data'!$C$52,
_xlpm.Tplus30,'Input data'!$C$54,
IF(M$10&lt;='Input data'!$C$4+2,'Input data'!M$39,
IF(M$10&lt;'Input data'!$C$4+10,_xlpm.lastForecast+(_xlpm.Tplus10-_xlpm.lastForecast)/8*(M$10-('Input data'!$C$4+2)),
IF(M$10='Input data'!$C$4+10,_xlpm.Tplus10,
_xlpm.Tplus10+(_xlpm.Tplus30-_xlpm.Tplus10)/20*(M$10-('Input data'!$C$4+10))))))</f>
        <v>5.8865100000000004</v>
      </c>
      <c r="N36" s="1">
        <f>_xlfn.LET(_xlpm.lastForecast,INDEX('Input data'!$E$39:$G$39,MATCH('Input data'!$C$4+2,'Input data'!$E$9:$G$9)),
_xlpm.Tplus10,'Input data'!$C$52,
_xlpm.Tplus30,'Input data'!$C$54,
IF(N$10&lt;='Input data'!$C$4+2,'Input data'!N$39,
IF(N$10&lt;'Input data'!$C$4+10,_xlpm.lastForecast+(_xlpm.Tplus10-_xlpm.lastForecast)/8*(N$10-('Input data'!$C$4+2)),
IF(N$10='Input data'!$C$4+10,_xlpm.Tplus10,
_xlpm.Tplus10+(_xlpm.Tplus30-_xlpm.Tplus10)/20*(N$10-('Input data'!$C$4+10))))))</f>
        <v>5.7921845000000003</v>
      </c>
      <c r="O36" s="1">
        <f>_xlfn.LET(_xlpm.lastForecast,INDEX('Input data'!$E$39:$G$39,MATCH('Input data'!$C$4+2,'Input data'!$E$9:$G$9)),
_xlpm.Tplus10,'Input data'!$C$52,
_xlpm.Tplus30,'Input data'!$C$54,
IF(O$10&lt;='Input data'!$C$4+2,'Input data'!O$39,
IF(O$10&lt;'Input data'!$C$4+10,_xlpm.lastForecast+(_xlpm.Tplus10-_xlpm.lastForecast)/8*(O$10-('Input data'!$C$4+2)),
IF(O$10='Input data'!$C$4+10,_xlpm.Tplus10,
_xlpm.Tplus10+(_xlpm.Tplus30-_xlpm.Tplus10)/20*(O$10-('Input data'!$C$4+10))))))</f>
        <v>5.6978590000000002</v>
      </c>
      <c r="P36" s="1">
        <f>_xlfn.LET(_xlpm.lastForecast,INDEX('Input data'!$E$39:$G$39,MATCH('Input data'!$C$4+2,'Input data'!$E$9:$G$9)),
_xlpm.Tplus10,'Input data'!$C$52,
_xlpm.Tplus30,'Input data'!$C$54,
IF(P$10&lt;='Input data'!$C$4+2,'Input data'!P$39,
IF(P$10&lt;'Input data'!$C$4+10,_xlpm.lastForecast+(_xlpm.Tplus10-_xlpm.lastForecast)/8*(P$10-('Input data'!$C$4+2)),
IF(P$10='Input data'!$C$4+10,_xlpm.Tplus10,
_xlpm.Tplus10+(_xlpm.Tplus30-_xlpm.Tplus10)/20*(P$10-('Input data'!$C$4+10))))))</f>
        <v>5.6035335000000002</v>
      </c>
      <c r="Q36" s="1">
        <f>_xlfn.LET(_xlpm.lastForecast,INDEX('Input data'!$E$39:$G$39,MATCH('Input data'!$C$4+2,'Input data'!$E$9:$G$9)),
_xlpm.Tplus10,'Input data'!$C$52,
_xlpm.Tplus30,'Input data'!$C$54,
IF(Q$10&lt;='Input data'!$C$4+2,'Input data'!Q$39,
IF(Q$10&lt;'Input data'!$C$4+10,_xlpm.lastForecast+(_xlpm.Tplus10-_xlpm.lastForecast)/8*(Q$10-('Input data'!$C$4+2)),
IF(Q$10='Input data'!$C$4+10,_xlpm.Tplus10,
_xlpm.Tplus10+(_xlpm.Tplus30-_xlpm.Tplus10)/20*(Q$10-('Input data'!$C$4+10))))))</f>
        <v>5.5092080000000001</v>
      </c>
      <c r="R36" s="1">
        <f>_xlfn.LET(_xlpm.lastForecast,INDEX('Input data'!$E$39:$G$39,MATCH('Input data'!$C$4+2,'Input data'!$E$9:$G$9)),
_xlpm.Tplus10,'Input data'!$C$52,
_xlpm.Tplus30,'Input data'!$C$54,
IF(R$10&lt;='Input data'!$C$4+2,'Input data'!R$39,
IF(R$10&lt;'Input data'!$C$4+10,_xlpm.lastForecast+(_xlpm.Tplus10-_xlpm.lastForecast)/8*(R$10-('Input data'!$C$4+2)),
IF(R$10='Input data'!$C$4+10,_xlpm.Tplus10,
_xlpm.Tplus10+(_xlpm.Tplus30-_xlpm.Tplus10)/20*(R$10-('Input data'!$C$4+10))))))</f>
        <v>5.4148825</v>
      </c>
      <c r="S36" s="1">
        <f>_xlfn.LET(_xlpm.lastForecast,INDEX('Input data'!$E$39:$G$39,MATCH('Input data'!$C$4+2,'Input data'!$E$9:$G$9)),
_xlpm.Tplus10,'Input data'!$C$52,
_xlpm.Tplus30,'Input data'!$C$54,
IF(S$10&lt;='Input data'!$C$4+2,'Input data'!S$39,
IF(S$10&lt;'Input data'!$C$4+10,_xlpm.lastForecast+(_xlpm.Tplus10-_xlpm.lastForecast)/8*(S$10-('Input data'!$C$4+2)),
IF(S$10='Input data'!$C$4+10,_xlpm.Tplus10,
_xlpm.Tplus10+(_xlpm.Tplus30-_xlpm.Tplus10)/20*(S$10-('Input data'!$C$4+10))))))</f>
        <v>5.320557</v>
      </c>
      <c r="T36" s="1">
        <f>_xlfn.LET(_xlpm.lastForecast,INDEX('Input data'!$E$39:$G$39,MATCH('Input data'!$C$4+2,'Input data'!$E$9:$G$9)),
_xlpm.Tplus10,'Input data'!$C$52,
_xlpm.Tplus30,'Input data'!$C$54,
IF(T$10&lt;='Input data'!$C$4+2,'Input data'!T$39,
IF(T$10&lt;'Input data'!$C$4+10,_xlpm.lastForecast+(_xlpm.Tplus10-_xlpm.lastForecast)/8*(T$10-('Input data'!$C$4+2)),
IF(T$10='Input data'!$C$4+10,_xlpm.Tplus10,
_xlpm.Tplus10+(_xlpm.Tplus30-_xlpm.Tplus10)/20*(T$10-('Input data'!$C$4+10))))))</f>
        <v>5.2262314999999999</v>
      </c>
      <c r="U36" s="1">
        <f>_xlfn.LET(_xlpm.lastForecast,INDEX('Input data'!$E$39:$G$39,MATCH('Input data'!$C$4+2,'Input data'!$E$9:$G$9)),
_xlpm.Tplus10,'Input data'!$C$52,
_xlpm.Tplus30,'Input data'!$C$54,
IF(U$10&lt;='Input data'!$C$4+2,'Input data'!U$39,
IF(U$10&lt;'Input data'!$C$4+10,_xlpm.lastForecast+(_xlpm.Tplus10-_xlpm.lastForecast)/8*(U$10-('Input data'!$C$4+2)),
IF(U$10='Input data'!$C$4+10,_xlpm.Tplus10,
_xlpm.Tplus10+(_xlpm.Tplus30-_xlpm.Tplus10)/20*(U$10-('Input data'!$C$4+10))))))</f>
        <v>5.1319059999999999</v>
      </c>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7"/>
    </row>
    <row r="37" spans="2:49" x14ac:dyDescent="0.2">
      <c r="B37" s="22" t="s">
        <v>62</v>
      </c>
      <c r="C37" s="2">
        <f>'Input data'!C$38</f>
        <v>3.6</v>
      </c>
      <c r="D37" s="137">
        <f>'Input data'!D$38</f>
        <v>3.6498529999999998</v>
      </c>
      <c r="E37" s="137">
        <f>_xlfn.LET(_xlpm.lastForecast,INDEX('Input data'!$E$38:$G$38,MATCH('Input data'!$C$4+2,'Input data'!$E$9:$G$9)),
_xlpm.Tplus10,'Input data'!$C$53,
_xlpm.Tplus30,'Input data'!$C$55,
IF(E$10&lt;='Input data'!$C$4+2,'Input data'!E$38,
IF(E$10&lt;'Input data'!$C$4+10,_xlpm.lastForecast+(_xlpm.Tplus10-_xlpm.lastForecast)/8*(E$10-('Input data'!$C$4+2)),
IF(E$10='Input data'!$C$4+10,_xlpm.Tplus10,
_xlpm.Tplus10+(_xlpm.Tplus30-_xlpm.Tplus10)/20*(E$10-('Input data'!$C$4+10))))))</f>
        <v>4.2671910000000004</v>
      </c>
      <c r="F37" s="137">
        <f>_xlfn.LET(_xlpm.lastForecast,INDEX('Input data'!$E$38:$G$38,MATCH('Input data'!$C$4+2,'Input data'!$E$9:$G$9)),
_xlpm.Tplus10,'Input data'!$C$53,
_xlpm.Tplus30,'Input data'!$C$55,
IF(F$10&lt;='Input data'!$C$4+2,'Input data'!F$38,
IF(F$10&lt;'Input data'!$C$4+10,_xlpm.lastForecast+(_xlpm.Tplus10-_xlpm.lastForecast)/8*(F$10-('Input data'!$C$4+2)),
IF(F$10='Input data'!$C$4+10,_xlpm.Tplus10,
_xlpm.Tplus10+(_xlpm.Tplus30-_xlpm.Tplus10)/20*(F$10-('Input data'!$C$4+10))))))</f>
        <v>4.2826608750000004</v>
      </c>
      <c r="G37" s="1">
        <f>_xlfn.LET(_xlpm.lastForecast,INDEX('Input data'!$E$38:$G$38,MATCH('Input data'!$C$4+2,'Input data'!$E$9:$G$9)),
_xlpm.Tplus10,'Input data'!$C$53,
_xlpm.Tplus30,'Input data'!$C$55,
IF(G$10&lt;='Input data'!$C$4+2,'Input data'!G$38,
IF(G$10&lt;'Input data'!$C$4+10,_xlpm.lastForecast+(_xlpm.Tplus10-_xlpm.lastForecast)/8*(G$10-('Input data'!$C$4+2)),
IF(G$10='Input data'!$C$4+10,_xlpm.Tplus10,
_xlpm.Tplus10+(_xlpm.Tplus30-_xlpm.Tplus10)/20*(G$10-('Input data'!$C$4+10))))))</f>
        <v>4.2981307500000003</v>
      </c>
      <c r="H37" s="1">
        <f>_xlfn.LET(_xlpm.lastForecast,INDEX('Input data'!$E$38:$G$38,MATCH('Input data'!$C$4+2,'Input data'!$E$9:$G$9)),
_xlpm.Tplus10,'Input data'!$C$53,
_xlpm.Tplus30,'Input data'!$C$55,
IF(H$10&lt;='Input data'!$C$4+2,'Input data'!H$38,
IF(H$10&lt;'Input data'!$C$4+10,_xlpm.lastForecast+(_xlpm.Tplus10-_xlpm.lastForecast)/8*(H$10-('Input data'!$C$4+2)),
IF(H$10='Input data'!$C$4+10,_xlpm.Tplus10,
_xlpm.Tplus10+(_xlpm.Tplus30-_xlpm.Tplus10)/20*(H$10-('Input data'!$C$4+10))))))</f>
        <v>4.3136006250000003</v>
      </c>
      <c r="I37" s="1">
        <f>_xlfn.LET(_xlpm.lastForecast,INDEX('Input data'!$E$38:$G$38,MATCH('Input data'!$C$4+2,'Input data'!$E$9:$G$9)),
_xlpm.Tplus10,'Input data'!$C$53,
_xlpm.Tplus30,'Input data'!$C$55,
IF(I$10&lt;='Input data'!$C$4+2,'Input data'!I$38,
IF(I$10&lt;'Input data'!$C$4+10,_xlpm.lastForecast+(_xlpm.Tplus10-_xlpm.lastForecast)/8*(I$10-('Input data'!$C$4+2)),
IF(I$10='Input data'!$C$4+10,_xlpm.Tplus10,
_xlpm.Tplus10+(_xlpm.Tplus30-_xlpm.Tplus10)/20*(I$10-('Input data'!$C$4+10))))))</f>
        <v>4.3290705000000003</v>
      </c>
      <c r="J37" s="1">
        <f>_xlfn.LET(_xlpm.lastForecast,INDEX('Input data'!$E$38:$G$38,MATCH('Input data'!$C$4+2,'Input data'!$E$9:$G$9)),
_xlpm.Tplus10,'Input data'!$C$53,
_xlpm.Tplus30,'Input data'!$C$55,
IF(J$10&lt;='Input data'!$C$4+2,'Input data'!J$38,
IF(J$10&lt;'Input data'!$C$4+10,_xlpm.lastForecast+(_xlpm.Tplus10-_xlpm.lastForecast)/8*(J$10-('Input data'!$C$4+2)),
IF(J$10='Input data'!$C$4+10,_xlpm.Tplus10,
_xlpm.Tplus10+(_xlpm.Tplus30-_xlpm.Tplus10)/20*(J$10-('Input data'!$C$4+10))))))</f>
        <v>4.3445403750000002</v>
      </c>
      <c r="K37" s="1">
        <f>_xlfn.LET(_xlpm.lastForecast,INDEX('Input data'!$E$38:$G$38,MATCH('Input data'!$C$4+2,'Input data'!$E$9:$G$9)),
_xlpm.Tplus10,'Input data'!$C$53,
_xlpm.Tplus30,'Input data'!$C$55,
IF(K$10&lt;='Input data'!$C$4+2,'Input data'!K$38,
IF(K$10&lt;'Input data'!$C$4+10,_xlpm.lastForecast+(_xlpm.Tplus10-_xlpm.lastForecast)/8*(K$10-('Input data'!$C$4+2)),
IF(K$10='Input data'!$C$4+10,_xlpm.Tplus10,
_xlpm.Tplus10+(_xlpm.Tplus30-_xlpm.Tplus10)/20*(K$10-('Input data'!$C$4+10))))))</f>
        <v>4.3600102500000002</v>
      </c>
      <c r="L37" s="1">
        <f>_xlfn.LET(_xlpm.lastForecast,INDEX('Input data'!$E$38:$G$38,MATCH('Input data'!$C$4+2,'Input data'!$E$9:$G$9)),
_xlpm.Tplus10,'Input data'!$C$53,
_xlpm.Tplus30,'Input data'!$C$55,
IF(L$10&lt;='Input data'!$C$4+2,'Input data'!L$38,
IF(L$10&lt;'Input data'!$C$4+10,_xlpm.lastForecast+(_xlpm.Tplus10-_xlpm.lastForecast)/8*(L$10-('Input data'!$C$4+2)),
IF(L$10='Input data'!$C$4+10,_xlpm.Tplus10,
_xlpm.Tplus10+(_xlpm.Tplus30-_xlpm.Tplus10)/20*(L$10-('Input data'!$C$4+10))))))</f>
        <v>4.3754801250000002</v>
      </c>
      <c r="M37" s="1">
        <f>_xlfn.LET(_xlpm.lastForecast,INDEX('Input data'!$E$38:$G$38,MATCH('Input data'!$C$4+2,'Input data'!$E$9:$G$9)),
_xlpm.Tplus10,'Input data'!$C$53,
_xlpm.Tplus30,'Input data'!$C$55,
IF(M$10&lt;='Input data'!$C$4+2,'Input data'!M$38,
IF(M$10&lt;'Input data'!$C$4+10,_xlpm.lastForecast+(_xlpm.Tplus10-_xlpm.lastForecast)/8*(M$10-('Input data'!$C$4+2)),
IF(M$10='Input data'!$C$4+10,_xlpm.Tplus10,
_xlpm.Tplus10+(_xlpm.Tplus30-_xlpm.Tplus10)/20*(M$10-('Input data'!$C$4+10))))))</f>
        <v>4.3909500000000001</v>
      </c>
      <c r="N37" s="1">
        <f>_xlfn.LET(_xlpm.lastForecast,INDEX('Input data'!$E$38:$G$38,MATCH('Input data'!$C$4+2,'Input data'!$E$9:$G$9)),
_xlpm.Tplus10,'Input data'!$C$53,
_xlpm.Tplus30,'Input data'!$C$55,
IF(N$10&lt;='Input data'!$C$4+2,'Input data'!N$38,
IF(N$10&lt;'Input data'!$C$4+10,_xlpm.lastForecast+(_xlpm.Tplus10-_xlpm.lastForecast)/8*(N$10-('Input data'!$C$4+2)),
IF(N$10='Input data'!$C$4+10,_xlpm.Tplus10,
_xlpm.Tplus10+(_xlpm.Tplus30-_xlpm.Tplus10)/20*(N$10-('Input data'!$C$4+10))))))</f>
        <v>4.2714024999999998</v>
      </c>
      <c r="O37" s="1">
        <f>_xlfn.LET(_xlpm.lastForecast,INDEX('Input data'!$E$38:$G$38,MATCH('Input data'!$C$4+2,'Input data'!$E$9:$G$9)),
_xlpm.Tplus10,'Input data'!$C$53,
_xlpm.Tplus30,'Input data'!$C$55,
IF(O$10&lt;='Input data'!$C$4+2,'Input data'!O$38,
IF(O$10&lt;'Input data'!$C$4+10,_xlpm.lastForecast+(_xlpm.Tplus10-_xlpm.lastForecast)/8*(O$10-('Input data'!$C$4+2)),
IF(O$10='Input data'!$C$4+10,_xlpm.Tplus10,
_xlpm.Tplus10+(_xlpm.Tplus30-_xlpm.Tplus10)/20*(O$10-('Input data'!$C$4+10))))))</f>
        <v>4.1518550000000003</v>
      </c>
      <c r="P37" s="1">
        <f>_xlfn.LET(_xlpm.lastForecast,INDEX('Input data'!$E$38:$G$38,MATCH('Input data'!$C$4+2,'Input data'!$E$9:$G$9)),
_xlpm.Tplus10,'Input data'!$C$53,
_xlpm.Tplus30,'Input data'!$C$55,
IF(P$10&lt;='Input data'!$C$4+2,'Input data'!P$38,
IF(P$10&lt;'Input data'!$C$4+10,_xlpm.lastForecast+(_xlpm.Tplus10-_xlpm.lastForecast)/8*(P$10-('Input data'!$C$4+2)),
IF(P$10='Input data'!$C$4+10,_xlpm.Tplus10,
_xlpm.Tplus10+(_xlpm.Tplus30-_xlpm.Tplus10)/20*(P$10-('Input data'!$C$4+10))))))</f>
        <v>4.0323074999999999</v>
      </c>
      <c r="Q37" s="1">
        <f>_xlfn.LET(_xlpm.lastForecast,INDEX('Input data'!$E$38:$G$38,MATCH('Input data'!$C$4+2,'Input data'!$E$9:$G$9)),
_xlpm.Tplus10,'Input data'!$C$53,
_xlpm.Tplus30,'Input data'!$C$55,
IF(Q$10&lt;='Input data'!$C$4+2,'Input data'!Q$38,
IF(Q$10&lt;'Input data'!$C$4+10,_xlpm.lastForecast+(_xlpm.Tplus10-_xlpm.lastForecast)/8*(Q$10-('Input data'!$C$4+2)),
IF(Q$10='Input data'!$C$4+10,_xlpm.Tplus10,
_xlpm.Tplus10+(_xlpm.Tplus30-_xlpm.Tplus10)/20*(Q$10-('Input data'!$C$4+10))))))</f>
        <v>3.91276</v>
      </c>
      <c r="R37" s="1">
        <f>_xlfn.LET(_xlpm.lastForecast,INDEX('Input data'!$E$38:$G$38,MATCH('Input data'!$C$4+2,'Input data'!$E$9:$G$9)),
_xlpm.Tplus10,'Input data'!$C$53,
_xlpm.Tplus30,'Input data'!$C$55,
IF(R$10&lt;='Input data'!$C$4+2,'Input data'!R$38,
IF(R$10&lt;'Input data'!$C$4+10,_xlpm.lastForecast+(_xlpm.Tplus10-_xlpm.lastForecast)/8*(R$10-('Input data'!$C$4+2)),
IF(R$10='Input data'!$C$4+10,_xlpm.Tplus10,
_xlpm.Tplus10+(_xlpm.Tplus30-_xlpm.Tplus10)/20*(R$10-('Input data'!$C$4+10))))))</f>
        <v>3.7932125000000001</v>
      </c>
      <c r="S37" s="1">
        <f>_xlfn.LET(_xlpm.lastForecast,INDEX('Input data'!$E$38:$G$38,MATCH('Input data'!$C$4+2,'Input data'!$E$9:$G$9)),
_xlpm.Tplus10,'Input data'!$C$53,
_xlpm.Tplus30,'Input data'!$C$55,
IF(S$10&lt;='Input data'!$C$4+2,'Input data'!S$38,
IF(S$10&lt;'Input data'!$C$4+10,_xlpm.lastForecast+(_xlpm.Tplus10-_xlpm.lastForecast)/8*(S$10-('Input data'!$C$4+2)),
IF(S$10='Input data'!$C$4+10,_xlpm.Tplus10,
_xlpm.Tplus10+(_xlpm.Tplus30-_xlpm.Tplus10)/20*(S$10-('Input data'!$C$4+10))))))</f>
        <v>3.6736650000000002</v>
      </c>
      <c r="T37" s="1">
        <f>_xlfn.LET(_xlpm.lastForecast,INDEX('Input data'!$E$38:$G$38,MATCH('Input data'!$C$4+2,'Input data'!$E$9:$G$9)),
_xlpm.Tplus10,'Input data'!$C$53,
_xlpm.Tplus30,'Input data'!$C$55,
IF(T$10&lt;='Input data'!$C$4+2,'Input data'!T$38,
IF(T$10&lt;'Input data'!$C$4+10,_xlpm.lastForecast+(_xlpm.Tplus10-_xlpm.lastForecast)/8*(T$10-('Input data'!$C$4+2)),
IF(T$10='Input data'!$C$4+10,_xlpm.Tplus10,
_xlpm.Tplus10+(_xlpm.Tplus30-_xlpm.Tplus10)/20*(T$10-('Input data'!$C$4+10))))))</f>
        <v>3.5541175000000003</v>
      </c>
      <c r="U37" s="1">
        <f>_xlfn.LET(_xlpm.lastForecast,INDEX('Input data'!$E$38:$G$38,MATCH('Input data'!$C$4+2,'Input data'!$E$9:$G$9)),
_xlpm.Tplus10,'Input data'!$C$53,
_xlpm.Tplus30,'Input data'!$C$55,
IF(U$10&lt;='Input data'!$C$4+2,'Input data'!U$38,
IF(U$10&lt;'Input data'!$C$4+10,_xlpm.lastForecast+(_xlpm.Tplus10-_xlpm.lastForecast)/8*(U$10-('Input data'!$C$4+2)),
IF(U$10='Input data'!$C$4+10,_xlpm.Tplus10,
_xlpm.Tplus10+(_xlpm.Tplus30-_xlpm.Tplus10)/20*(U$10-('Input data'!$C$4+10))))))</f>
        <v>3.4345699999999999</v>
      </c>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7"/>
    </row>
    <row r="38" spans="2:49" x14ac:dyDescent="0.2">
      <c r="B38" s="16" t="s">
        <v>63</v>
      </c>
      <c r="C38" s="1">
        <v>6.7968280000000006E-2</v>
      </c>
      <c r="D38" s="1">
        <v>6.8235180000000006E-2</v>
      </c>
      <c r="E38" s="1">
        <v>6.9058820000000007E-2</v>
      </c>
      <c r="F38" s="1">
        <f>IF(F$10&gt;='Input data'!$C$4+10,'Input data'!$C$59,
IF(OR($C$3="EL",$C$3="CY",$C$3="IE",$C$3="PT"),VLOOKUP($C$3,$B$110:$R$114,MATCH(F$10,$B$110:$R$110,0),0),$E$38+('Input data'!$C$59-$E$38)/('Input data'!$C$4+10-$E$10)*(F$10-$E$10)))</f>
        <v>6.9882458750000001E-2</v>
      </c>
      <c r="G38" s="1">
        <f>IF(G$10&gt;='Input data'!$C$4+10,'Input data'!$C$59,
IF(OR($C$3="EL",$C$3="CY",$C$3="IE",$C$3="PT"),VLOOKUP($C$3,$B$110:$R$114,MATCH(G$10,$B$110:$R$110,0),0),$E$38+('Input data'!$C$59-$E$38)/('Input data'!$C$4+10-$E$10)*(G$10-$E$10)))</f>
        <v>7.0706097500000009E-2</v>
      </c>
      <c r="H38" s="1">
        <f>IF(H$10&gt;='Input data'!$C$4+10,'Input data'!$C$59,
IF(OR($C$3="EL",$C$3="CY",$C$3="IE",$C$3="PT"),VLOOKUP($C$3,$B$110:$R$114,MATCH(H$10,$B$110:$R$110,0),0),$E$38+('Input data'!$C$59-$E$38)/('Input data'!$C$4+10-$E$10)*(H$10-$E$10)))</f>
        <v>7.1529736250000003E-2</v>
      </c>
      <c r="I38" s="1">
        <f>IF(I$10&gt;='Input data'!$C$4+10,'Input data'!$C$59,
IF(OR($C$3="EL",$C$3="CY",$C$3="IE",$C$3="PT"),VLOOKUP($C$3,$B$110:$R$114,MATCH(I$10,$B$110:$R$110,0),0),$E$38+('Input data'!$C$59-$E$38)/('Input data'!$C$4+10-$E$10)*(I$10-$E$10)))</f>
        <v>7.2353374999999998E-2</v>
      </c>
      <c r="J38" s="1">
        <f>IF(J$10&gt;='Input data'!$C$4+10,'Input data'!$C$59,
IF(OR($C$3="EL",$C$3="CY",$C$3="IE",$C$3="PT"),VLOOKUP($C$3,$B$110:$R$114,MATCH(J$10,$B$110:$R$110,0),0),$E$38+('Input data'!$C$59-$E$38)/('Input data'!$C$4+10-$E$10)*(J$10-$E$10)))</f>
        <v>7.3177013750000006E-2</v>
      </c>
      <c r="K38" s="1">
        <f>IF(K$10&gt;='Input data'!$C$4+10,'Input data'!$C$59,
IF(OR($C$3="EL",$C$3="CY",$C$3="IE",$C$3="PT"),VLOOKUP($C$3,$B$110:$R$114,MATCH(K$10,$B$110:$R$110,0),0),$E$38+('Input data'!$C$59-$E$38)/('Input data'!$C$4+10-$E$10)*(K$10-$E$10)))</f>
        <v>7.40006525E-2</v>
      </c>
      <c r="L38" s="1">
        <f>IF(L$10&gt;='Input data'!$C$4+10,'Input data'!$C$59,
IF(OR($C$3="EL",$C$3="CY",$C$3="IE",$C$3="PT"),VLOOKUP($C$3,$B$110:$R$114,MATCH(L$10,$B$110:$R$110,0),0),$E$38+('Input data'!$C$59-$E$38)/('Input data'!$C$4+10-$E$10)*(L$10-$E$10)))</f>
        <v>7.4824291250000008E-2</v>
      </c>
      <c r="M38" s="1">
        <f>IF(M$10&gt;='Input data'!$C$4+10,'Input data'!$C$59,
IF(OR($C$3="EL",$C$3="CY",$C$3="IE",$C$3="PT"),VLOOKUP($C$3,$B$110:$R$114,MATCH(M$10,$B$110:$R$110,0),0),$E$38+('Input data'!$C$59-$E$38)/('Input data'!$C$4+10-$E$10)*(M$10-$E$10)))</f>
        <v>7.5647930000000002E-2</v>
      </c>
      <c r="N38" s="1">
        <f>IF(N$10&gt;='Input data'!$C$4+10,'Input data'!$C$59,
IF(OR($C$3="EL",$C$3="CY",$C$3="IE",$C$3="PT"),VLOOKUP($C$3,$B$110:$R$114,MATCH(N$10,$B$110:$R$110,0),0),$E$38+('Input data'!$C$59-$E$38)/('Input data'!$C$4+10-$E$10)*(N$10-$E$10)))</f>
        <v>7.5647930000000002E-2</v>
      </c>
      <c r="O38" s="1">
        <f>IF(O$10&gt;='Input data'!$C$4+10,'Input data'!$C$59,
IF(OR($C$3="EL",$C$3="CY",$C$3="IE",$C$3="PT"),VLOOKUP($C$3,$B$110:$R$114,MATCH(O$10,$B$110:$R$110,0),0),$E$38+('Input data'!$C$59-$E$38)/('Input data'!$C$4+10-$E$10)*(O$10-$E$10)))</f>
        <v>7.5647930000000002E-2</v>
      </c>
      <c r="P38" s="1">
        <f>IF(P$10&gt;='Input data'!$C$4+10,'Input data'!$C$59,
IF(OR($C$3="EL",$C$3="CY",$C$3="IE",$C$3="PT"),VLOOKUP($C$3,$B$110:$R$114,MATCH(P$10,$B$110:$R$110,0),0),$E$38+('Input data'!$C$59-$E$38)/('Input data'!$C$4+10-$E$10)*(P$10-$E$10)))</f>
        <v>7.5647930000000002E-2</v>
      </c>
      <c r="Q38" s="1">
        <f>IF(Q$10&gt;='Input data'!$C$4+10,'Input data'!$C$59,
IF(OR($C$3="EL",$C$3="CY",$C$3="IE",$C$3="PT"),VLOOKUP($C$3,$B$110:$R$114,MATCH(Q$10,$B$110:$R$110,0),0),$E$38+('Input data'!$C$59-$E$38)/('Input data'!$C$4+10-$E$10)*(Q$10-$E$10)))</f>
        <v>7.5647930000000002E-2</v>
      </c>
      <c r="R38" s="1">
        <f>IF(R$10&gt;='Input data'!$C$4+10,'Input data'!$C$59,
IF(OR($C$3="EL",$C$3="CY",$C$3="IE",$C$3="PT"),VLOOKUP($C$3,$B$110:$R$114,MATCH(R$10,$B$110:$R$110,0),0),$E$38+('Input data'!$C$59-$E$38)/('Input data'!$C$4+10-$E$10)*(R$10-$E$10)))</f>
        <v>7.5647930000000002E-2</v>
      </c>
      <c r="S38" s="1">
        <f>IF(S$10&gt;='Input data'!$C$4+10,'Input data'!$C$59,
IF(OR($C$3="EL",$C$3="CY",$C$3="IE",$C$3="PT"),VLOOKUP($C$3,$B$110:$R$114,MATCH(S$10,$B$110:$R$110,0),0),$E$38+('Input data'!$C$59-$E$38)/('Input data'!$C$4+10-$E$10)*(S$10-$E$10)))</f>
        <v>7.5647930000000002E-2</v>
      </c>
      <c r="T38" s="1">
        <f>IF(T$10&gt;='Input data'!$C$4+10,'Input data'!$C$59,
IF(OR($C$3="EL",$C$3="CY",$C$3="IE",$C$3="PT"),VLOOKUP($C$3,$B$110:$R$114,MATCH(T$10,$B$110:$R$110,0),0),$E$38+('Input data'!$C$59-$E$38)/('Input data'!$C$4+10-$E$10)*(T$10-$E$10)))</f>
        <v>7.5647930000000002E-2</v>
      </c>
      <c r="U38" s="1">
        <f>IF(U$10&gt;='Input data'!$C$4+10,'Input data'!$C$59,
IF(OR($C$3="EL",$C$3="CY",$C$3="IE",$C$3="PT"),VLOOKUP($C$3,$B$110:$R$114,MATCH(U$10,$B$110:$R$110,0),0),$E$38+('Input data'!$C$59-$E$38)/('Input data'!$C$4+10-$E$10)*(U$10-$E$10)))</f>
        <v>7.5647930000000002E-2</v>
      </c>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7"/>
    </row>
    <row r="39" spans="2:49" x14ac:dyDescent="0.2">
      <c r="C39" s="1"/>
      <c r="D39" s="1"/>
      <c r="E39" s="1"/>
      <c r="F39" s="1"/>
      <c r="G39" s="1"/>
      <c r="H39" s="1"/>
      <c r="I39" s="1"/>
      <c r="J39" s="1"/>
      <c r="K39" s="1"/>
      <c r="L39" s="1"/>
      <c r="M39" s="1"/>
      <c r="N39" s="1"/>
      <c r="O39" s="1"/>
      <c r="P39" s="1"/>
      <c r="Q39" s="1"/>
      <c r="R39" s="1"/>
      <c r="S39" s="1"/>
      <c r="T39" s="1"/>
      <c r="U39" s="1"/>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7"/>
    </row>
    <row r="40" spans="2:49" x14ac:dyDescent="0.2">
      <c r="B40" s="18" t="s">
        <v>64</v>
      </c>
      <c r="C40" s="1"/>
      <c r="D40" s="1"/>
      <c r="E40" s="82"/>
      <c r="F40" s="82"/>
      <c r="G40" s="82"/>
      <c r="H40" s="82"/>
      <c r="I40" s="82"/>
      <c r="J40" s="82"/>
      <c r="K40" s="82"/>
      <c r="L40" s="1"/>
      <c r="M40" s="82"/>
      <c r="N40" s="82"/>
      <c r="O40" s="82"/>
      <c r="P40" s="1"/>
      <c r="Q40" s="1"/>
      <c r="R40" s="1"/>
      <c r="S40" s="1"/>
      <c r="T40" s="1"/>
      <c r="U40" s="1"/>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7"/>
    </row>
    <row r="41" spans="2:49" x14ac:dyDescent="0.2">
      <c r="B41" s="16" t="s">
        <v>44</v>
      </c>
      <c r="C41" s="2">
        <f>'Input data'!C42</f>
        <v>3.5126050000000002</v>
      </c>
      <c r="D41" s="2">
        <f>'Input data'!D42</f>
        <v>2.6566770000000002</v>
      </c>
      <c r="E41" s="2">
        <f>_xlfn.LET(_xlpm.lastForecast,INDEX('Input data'!$E$42:$G$42,MATCH('Input data'!$C$4+2,'Input data'!$E$9:$G$9)),
_xlpm.Tplus10,'Input data'!$C$61,
_xlpm.Tplus30,'Input data'!$C$62,
IF(E$10&lt;='Input data'!$C$4+2,'Input data'!E$42,
IF(E$10&lt;'Input data'!$C$4+10,_xlpm.lastForecast+(_xlpm.Tplus10-_xlpm.lastForecast)/8*(E$10-('Input data'!$C$4+2)),
IF(E$10='Input data'!$C$4+10,_xlpm.Tplus10,
_xlpm.Tplus10+(_xlpm.Tplus30-_xlpm.Tplus10)/20*(E$10-('Input data'!$C$4+10))))))</f>
        <v>3.0686640000000001</v>
      </c>
      <c r="F41" s="2">
        <f>_xlfn.LET(_xlpm.lastForecast,INDEX('Input data'!$E$42:$G$42,MATCH('Input data'!$C$4+2,'Input data'!$E$9:$G$9)),
_xlpm.Tplus10,'Input data'!$C$61,
_xlpm.Tplus30,'Input data'!$C$62,
IF(F$10&lt;='Input data'!$C$4+2,'Input data'!F$42,
IF(F$10&lt;'Input data'!$C$4+10,_xlpm.lastForecast+(_xlpm.Tplus10-_xlpm.lastForecast)/8*(F$10-('Input data'!$C$4+2)),
IF(F$10='Input data'!$C$4+10,_xlpm.Tplus10,
_xlpm.Tplus10+(_xlpm.Tplus30-_xlpm.Tplus10)/20*(F$10-('Input data'!$C$4+10))))))</f>
        <v>2.9775809999999998</v>
      </c>
      <c r="G41" s="1">
        <f>_xlfn.LET(_xlpm.lastForecast,INDEX('Input data'!$E$42:$G$42,MATCH('Input data'!$C$4+2,'Input data'!$E$9:$G$9)),
_xlpm.Tplus10,'Input data'!$C$61,
_xlpm.Tplus30,'Input data'!$C$62,
IF(G$10&lt;='Input data'!$C$4+2,'Input data'!G$42,
IF(G$10&lt;'Input data'!$C$4+10,_xlpm.lastForecast+(_xlpm.Tplus10-_xlpm.lastForecast)/8*(G$10-('Input data'!$C$4+2)),
IF(G$10='Input data'!$C$4+10,_xlpm.Tplus10,
_xlpm.Tplus10+(_xlpm.Tplus30-_xlpm.Tplus10)/20*(G$10-('Input data'!$C$4+10))))))</f>
        <v>2.886498</v>
      </c>
      <c r="H41" s="1">
        <f>_xlfn.LET(_xlpm.lastForecast,INDEX('Input data'!$E$42:$G$42,MATCH('Input data'!$C$4+2,'Input data'!$E$9:$G$9)),
_xlpm.Tplus10,'Input data'!$C$61,
_xlpm.Tplus30,'Input data'!$C$62,
IF(H$10&lt;='Input data'!$C$4+2,'Input data'!H$42,
IF(H$10&lt;'Input data'!$C$4+10,_xlpm.lastForecast+(_xlpm.Tplus10-_xlpm.lastForecast)/8*(H$10-('Input data'!$C$4+2)),
IF(H$10='Input data'!$C$4+10,_xlpm.Tplus10,
_xlpm.Tplus10+(_xlpm.Tplus30-_xlpm.Tplus10)/20*(H$10-('Input data'!$C$4+10))))))</f>
        <v>2.7954150000000002</v>
      </c>
      <c r="I41" s="1">
        <f>_xlfn.LET(_xlpm.lastForecast,INDEX('Input data'!$E$42:$G$42,MATCH('Input data'!$C$4+2,'Input data'!$E$9:$G$9)),
_xlpm.Tplus10,'Input data'!$C$61,
_xlpm.Tplus30,'Input data'!$C$62,
IF(I$10&lt;='Input data'!$C$4+2,'Input data'!I$42,
IF(I$10&lt;'Input data'!$C$4+10,_xlpm.lastForecast+(_xlpm.Tplus10-_xlpm.lastForecast)/8*(I$10-('Input data'!$C$4+2)),
IF(I$10='Input data'!$C$4+10,_xlpm.Tplus10,
_xlpm.Tplus10+(_xlpm.Tplus30-_xlpm.Tplus10)/20*(I$10-('Input data'!$C$4+10))))))</f>
        <v>2.704332</v>
      </c>
      <c r="J41" s="1">
        <f>_xlfn.LET(_xlpm.lastForecast,INDEX('Input data'!$E$42:$G$42,MATCH('Input data'!$C$4+2,'Input data'!$E$9:$G$9)),
_xlpm.Tplus10,'Input data'!$C$61,
_xlpm.Tplus30,'Input data'!$C$62,
IF(J$10&lt;='Input data'!$C$4+2,'Input data'!J$42,
IF(J$10&lt;'Input data'!$C$4+10,_xlpm.lastForecast+(_xlpm.Tplus10-_xlpm.lastForecast)/8*(J$10-('Input data'!$C$4+2)),
IF(J$10='Input data'!$C$4+10,_xlpm.Tplus10,
_xlpm.Tplus10+(_xlpm.Tplus30-_xlpm.Tplus10)/20*(J$10-('Input data'!$C$4+10))))))</f>
        <v>2.6132489999999997</v>
      </c>
      <c r="K41" s="1">
        <f>_xlfn.LET(_xlpm.lastForecast,INDEX('Input data'!$E$42:$G$42,MATCH('Input data'!$C$4+2,'Input data'!$E$9:$G$9)),
_xlpm.Tplus10,'Input data'!$C$61,
_xlpm.Tplus30,'Input data'!$C$62,
IF(K$10&lt;='Input data'!$C$4+2,'Input data'!K$42,
IF(K$10&lt;'Input data'!$C$4+10,_xlpm.lastForecast+(_xlpm.Tplus10-_xlpm.lastForecast)/8*(K$10-('Input data'!$C$4+2)),
IF(K$10='Input data'!$C$4+10,_xlpm.Tplus10,
_xlpm.Tplus10+(_xlpm.Tplus30-_xlpm.Tplus10)/20*(K$10-('Input data'!$C$4+10))))))</f>
        <v>2.5221659999999999</v>
      </c>
      <c r="L41" s="1">
        <f>_xlfn.LET(_xlpm.lastForecast,INDEX('Input data'!$E$42:$G$42,MATCH('Input data'!$C$4+2,'Input data'!$E$9:$G$9)),
_xlpm.Tplus10,'Input data'!$C$61,
_xlpm.Tplus30,'Input data'!$C$62,
IF(L$10&lt;='Input data'!$C$4+2,'Input data'!L$42,
IF(L$10&lt;'Input data'!$C$4+10,_xlpm.lastForecast+(_xlpm.Tplus10-_xlpm.lastForecast)/8*(L$10-('Input data'!$C$4+2)),
IF(L$10='Input data'!$C$4+10,_xlpm.Tplus10,
_xlpm.Tplus10+(_xlpm.Tplus30-_xlpm.Tplus10)/20*(L$10-('Input data'!$C$4+10))))))</f>
        <v>2.4310830000000001</v>
      </c>
      <c r="M41" s="1">
        <f>_xlfn.LET(_xlpm.lastForecast,INDEX('Input data'!$E$42:$G$42,MATCH('Input data'!$C$4+2,'Input data'!$E$9:$G$9)),
_xlpm.Tplus10,'Input data'!$C$61,
_xlpm.Tplus30,'Input data'!$C$62,
IF(M$10&lt;='Input data'!$C$4+2,'Input data'!M$42,
IF(M$10&lt;'Input data'!$C$4+10,_xlpm.lastForecast+(_xlpm.Tplus10-_xlpm.lastForecast)/8*(M$10-('Input data'!$C$4+2)),
IF(M$10='Input data'!$C$4+10,_xlpm.Tplus10,
_xlpm.Tplus10+(_xlpm.Tplus30-_xlpm.Tplus10)/20*(M$10-('Input data'!$C$4+10))))))</f>
        <v>2.34</v>
      </c>
      <c r="N41" s="1">
        <f>_xlfn.LET(_xlpm.lastForecast,INDEX('Input data'!$E$42:$G$42,MATCH('Input data'!$C$4+2,'Input data'!$E$9:$G$9)),
_xlpm.Tplus10,'Input data'!$C$61,
_xlpm.Tplus30,'Input data'!$C$62,
IF(N$10&lt;='Input data'!$C$4+2,'Input data'!N$42,
IF(N$10&lt;'Input data'!$C$4+10,_xlpm.lastForecast+(_xlpm.Tplus10-_xlpm.lastForecast)/8*(N$10-('Input data'!$C$4+2)),
IF(N$10='Input data'!$C$4+10,_xlpm.Tplus10,
_xlpm.Tplus10+(_xlpm.Tplus30-_xlpm.Tplus10)/20*(N$10-('Input data'!$C$4+10))))))</f>
        <v>2.323</v>
      </c>
      <c r="O41" s="1">
        <f>_xlfn.LET(_xlpm.lastForecast,INDEX('Input data'!$E$42:$G$42,MATCH('Input data'!$C$4+2,'Input data'!$E$9:$G$9)),
_xlpm.Tplus10,'Input data'!$C$61,
_xlpm.Tplus30,'Input data'!$C$62,
IF(O$10&lt;='Input data'!$C$4+2,'Input data'!O$42,
IF(O$10&lt;'Input data'!$C$4+10,_xlpm.lastForecast+(_xlpm.Tplus10-_xlpm.lastForecast)/8*(O$10-('Input data'!$C$4+2)),
IF(O$10='Input data'!$C$4+10,_xlpm.Tplus10,
_xlpm.Tplus10+(_xlpm.Tplus30-_xlpm.Tplus10)/20*(O$10-('Input data'!$C$4+10))))))</f>
        <v>2.306</v>
      </c>
      <c r="P41" s="1">
        <f>_xlfn.LET(_xlpm.lastForecast,INDEX('Input data'!$E$42:$G$42,MATCH('Input data'!$C$4+2,'Input data'!$E$9:$G$9)),
_xlpm.Tplus10,'Input data'!$C$61,
_xlpm.Tplus30,'Input data'!$C$62,
IF(P$10&lt;='Input data'!$C$4+2,'Input data'!P$42,
IF(P$10&lt;'Input data'!$C$4+10,_xlpm.lastForecast+(_xlpm.Tplus10-_xlpm.lastForecast)/8*(P$10-('Input data'!$C$4+2)),
IF(P$10='Input data'!$C$4+10,_xlpm.Tplus10,
_xlpm.Tplus10+(_xlpm.Tplus30-_xlpm.Tplus10)/20*(P$10-('Input data'!$C$4+10))))))</f>
        <v>2.2889999999999997</v>
      </c>
      <c r="Q41" s="1">
        <f>_xlfn.LET(_xlpm.lastForecast,INDEX('Input data'!$E$42:$G$42,MATCH('Input data'!$C$4+2,'Input data'!$E$9:$G$9)),
_xlpm.Tplus10,'Input data'!$C$61,
_xlpm.Tplus30,'Input data'!$C$62,
IF(Q$10&lt;='Input data'!$C$4+2,'Input data'!Q$42,
IF(Q$10&lt;'Input data'!$C$4+10,_xlpm.lastForecast+(_xlpm.Tplus10-_xlpm.lastForecast)/8*(Q$10-('Input data'!$C$4+2)),
IF(Q$10='Input data'!$C$4+10,_xlpm.Tplus10,
_xlpm.Tplus10+(_xlpm.Tplus30-_xlpm.Tplus10)/20*(Q$10-('Input data'!$C$4+10))))))</f>
        <v>2.2719999999999998</v>
      </c>
      <c r="R41" s="1">
        <f>_xlfn.LET(_xlpm.lastForecast,INDEX('Input data'!$E$42:$G$42,MATCH('Input data'!$C$4+2,'Input data'!$E$9:$G$9)),
_xlpm.Tplus10,'Input data'!$C$61,
_xlpm.Tplus30,'Input data'!$C$62,
IF(R$10&lt;='Input data'!$C$4+2,'Input data'!R$42,
IF(R$10&lt;'Input data'!$C$4+10,_xlpm.lastForecast+(_xlpm.Tplus10-_xlpm.lastForecast)/8*(R$10-('Input data'!$C$4+2)),
IF(R$10='Input data'!$C$4+10,_xlpm.Tplus10,
_xlpm.Tplus10+(_xlpm.Tplus30-_xlpm.Tplus10)/20*(R$10-('Input data'!$C$4+10))))))</f>
        <v>2.2549999999999999</v>
      </c>
      <c r="S41" s="1">
        <f>_xlfn.LET(_xlpm.lastForecast,INDEX('Input data'!$E$42:$G$42,MATCH('Input data'!$C$4+2,'Input data'!$E$9:$G$9)),
_xlpm.Tplus10,'Input data'!$C$61,
_xlpm.Tplus30,'Input data'!$C$62,
IF(S$10&lt;='Input data'!$C$4+2,'Input data'!S$42,
IF(S$10&lt;'Input data'!$C$4+10,_xlpm.lastForecast+(_xlpm.Tplus10-_xlpm.lastForecast)/8*(S$10-('Input data'!$C$4+2)),
IF(S$10='Input data'!$C$4+10,_xlpm.Tplus10,
_xlpm.Tplus10+(_xlpm.Tplus30-_xlpm.Tplus10)/20*(S$10-('Input data'!$C$4+10))))))</f>
        <v>2.238</v>
      </c>
      <c r="T41" s="1">
        <f>_xlfn.LET(_xlpm.lastForecast,INDEX('Input data'!$E$42:$G$42,MATCH('Input data'!$C$4+2,'Input data'!$E$9:$G$9)),
_xlpm.Tplus10,'Input data'!$C$61,
_xlpm.Tplus30,'Input data'!$C$62,
IF(T$10&lt;='Input data'!$C$4+2,'Input data'!T$42,
IF(T$10&lt;'Input data'!$C$4+10,_xlpm.lastForecast+(_xlpm.Tplus10-_xlpm.lastForecast)/8*(T$10-('Input data'!$C$4+2)),
IF(T$10='Input data'!$C$4+10,_xlpm.Tplus10,
_xlpm.Tplus10+(_xlpm.Tplus30-_xlpm.Tplus10)/20*(T$10-('Input data'!$C$4+10))))))</f>
        <v>2.2210000000000001</v>
      </c>
      <c r="U41" s="1">
        <f>_xlfn.LET(_xlpm.lastForecast,INDEX('Input data'!$E$42:$G$42,MATCH('Input data'!$C$4+2,'Input data'!$E$9:$G$9)),
_xlpm.Tplus10,'Input data'!$C$61,
_xlpm.Tplus30,'Input data'!$C$62,
IF(U$10&lt;='Input data'!$C$4+2,'Input data'!U$42,
IF(U$10&lt;'Input data'!$C$4+10,_xlpm.lastForecast+(_xlpm.Tplus10-_xlpm.lastForecast)/8*(U$10-('Input data'!$C$4+2)),
IF(U$10='Input data'!$C$4+10,_xlpm.Tplus10,
_xlpm.Tplus10+(_xlpm.Tplus30-_xlpm.Tplus10)/20*(U$10-('Input data'!$C$4+10))))))</f>
        <v>2.2039999999999997</v>
      </c>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7"/>
    </row>
    <row r="42" spans="2:49" x14ac:dyDescent="0.2">
      <c r="B42" s="16" t="s">
        <v>65</v>
      </c>
      <c r="C42" s="1">
        <v>0.99867589999999995</v>
      </c>
      <c r="D42" s="1">
        <v>0.99891229999999998</v>
      </c>
      <c r="E42" s="1">
        <v>0.99999910000000003</v>
      </c>
      <c r="F42" s="1">
        <v>1</v>
      </c>
      <c r="G42" s="1">
        <v>1</v>
      </c>
      <c r="H42" s="1">
        <v>1</v>
      </c>
      <c r="I42" s="1">
        <v>1</v>
      </c>
      <c r="J42" s="1">
        <v>1</v>
      </c>
      <c r="K42" s="1">
        <v>1</v>
      </c>
      <c r="L42" s="1">
        <v>1</v>
      </c>
      <c r="M42" s="1">
        <v>1</v>
      </c>
      <c r="N42" s="1">
        <v>1</v>
      </c>
      <c r="O42" s="1">
        <v>1</v>
      </c>
      <c r="P42" s="1">
        <v>1</v>
      </c>
      <c r="Q42" s="1">
        <v>1</v>
      </c>
      <c r="R42" s="1">
        <v>1</v>
      </c>
      <c r="S42" s="1">
        <v>1</v>
      </c>
      <c r="T42" s="1">
        <v>1</v>
      </c>
      <c r="U42" s="1">
        <v>1</v>
      </c>
      <c r="V42" s="1"/>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47"/>
    </row>
    <row r="44" spans="2:49" s="57" customFormat="1" ht="12.75" x14ac:dyDescent="0.2">
      <c r="B44" s="61" t="s">
        <v>66</v>
      </c>
    </row>
    <row r="45" spans="2:49" x14ac:dyDescent="0.2">
      <c r="C45" s="26"/>
    </row>
    <row r="46" spans="2:49" x14ac:dyDescent="0.2">
      <c r="B46" s="41" t="s">
        <v>46</v>
      </c>
      <c r="C46" s="42">
        <f>'Input data'!C49</f>
        <v>0.6</v>
      </c>
    </row>
    <row r="47" spans="2:49" x14ac:dyDescent="0.2">
      <c r="B47" s="43" t="s">
        <v>192</v>
      </c>
      <c r="C47" s="44">
        <f>'Input data'!C50</f>
        <v>0.39500000000000002</v>
      </c>
    </row>
    <row r="48" spans="2:49" x14ac:dyDescent="0.2">
      <c r="C48" s="45"/>
    </row>
    <row r="49" spans="2:46" outlineLevel="1" x14ac:dyDescent="0.2">
      <c r="B49" s="16" t="s">
        <v>67</v>
      </c>
      <c r="C49" s="24">
        <v>0</v>
      </c>
      <c r="D49" s="24">
        <f>IF(AND(ABS((D12-C12)-('Input data'!D13-'Input data'!C13))&gt;0.0001,ABS(D12-C12)&gt;0.0001,D$10&gt;$C$5),4,IF(C49=4,3,IF(C49=3,2,IF(C49=2,1,0))))</f>
        <v>0</v>
      </c>
      <c r="E49" s="24">
        <f t="shared" ref="E49:U49" si="7">IF(AND(ABS(E12-D12)&gt;0.0001,E$10&gt;$C$5),4,IF(D49=4,3,IF(D49=3,2,IF(D49=2,1,0))))</f>
        <v>0</v>
      </c>
      <c r="F49" s="24">
        <f t="shared" si="7"/>
        <v>0</v>
      </c>
      <c r="G49" s="24">
        <f t="shared" si="7"/>
        <v>0</v>
      </c>
      <c r="H49" s="24">
        <f t="shared" si="7"/>
        <v>0</v>
      </c>
      <c r="I49" s="24">
        <f t="shared" si="7"/>
        <v>0</v>
      </c>
      <c r="J49" s="24">
        <f t="shared" si="7"/>
        <v>0</v>
      </c>
      <c r="K49" s="24">
        <f t="shared" si="7"/>
        <v>0</v>
      </c>
      <c r="L49" s="24">
        <f t="shared" si="7"/>
        <v>0</v>
      </c>
      <c r="M49" s="24">
        <f t="shared" si="7"/>
        <v>0</v>
      </c>
      <c r="N49" s="24">
        <f t="shared" si="7"/>
        <v>0</v>
      </c>
      <c r="O49" s="24">
        <f t="shared" si="7"/>
        <v>0</v>
      </c>
      <c r="P49" s="24">
        <f t="shared" si="7"/>
        <v>0</v>
      </c>
      <c r="Q49" s="24">
        <f t="shared" si="7"/>
        <v>0</v>
      </c>
      <c r="R49" s="24">
        <f t="shared" si="7"/>
        <v>0</v>
      </c>
      <c r="S49" s="24">
        <f t="shared" si="7"/>
        <v>0</v>
      </c>
      <c r="T49" s="24">
        <f t="shared" si="7"/>
        <v>0</v>
      </c>
      <c r="U49" s="24">
        <f t="shared" si="7"/>
        <v>0</v>
      </c>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row>
    <row r="50" spans="2:46" outlineLevel="1" x14ac:dyDescent="0.2">
      <c r="B50" s="16" t="s">
        <v>68</v>
      </c>
      <c r="C50" s="24">
        <v>0</v>
      </c>
      <c r="D50" s="24">
        <f>IF(C49=4,2/3*C29,IF(C49=3,1/3*#REF!,0))</f>
        <v>0</v>
      </c>
      <c r="E50" s="24">
        <f t="shared" ref="E50:U50" si="8">IF(D49=4,2/3*D29,IF(D49=3,1/3*C29,0))</f>
        <v>0</v>
      </c>
      <c r="F50" s="24">
        <f t="shared" si="8"/>
        <v>0</v>
      </c>
      <c r="G50" s="24">
        <f t="shared" si="8"/>
        <v>0</v>
      </c>
      <c r="H50" s="24">
        <f t="shared" si="8"/>
        <v>0</v>
      </c>
      <c r="I50" s="24">
        <f t="shared" si="8"/>
        <v>0</v>
      </c>
      <c r="J50" s="24">
        <f t="shared" si="8"/>
        <v>0</v>
      </c>
      <c r="K50" s="24">
        <f t="shared" si="8"/>
        <v>0</v>
      </c>
      <c r="L50" s="24">
        <f t="shared" si="8"/>
        <v>0</v>
      </c>
      <c r="M50" s="24">
        <f t="shared" si="8"/>
        <v>0</v>
      </c>
      <c r="N50" s="24">
        <f t="shared" si="8"/>
        <v>0</v>
      </c>
      <c r="O50" s="24">
        <f t="shared" si="8"/>
        <v>0</v>
      </c>
      <c r="P50" s="24">
        <f t="shared" si="8"/>
        <v>0</v>
      </c>
      <c r="Q50" s="24">
        <f t="shared" si="8"/>
        <v>0</v>
      </c>
      <c r="R50" s="24">
        <f t="shared" si="8"/>
        <v>0</v>
      </c>
      <c r="S50" s="24">
        <f t="shared" si="8"/>
        <v>0</v>
      </c>
      <c r="T50" s="24">
        <f t="shared" si="8"/>
        <v>0</v>
      </c>
      <c r="U50" s="24">
        <f t="shared" si="8"/>
        <v>0</v>
      </c>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row>
    <row r="51" spans="2:46" outlineLevel="1" x14ac:dyDescent="0.2">
      <c r="B51" s="16" t="s">
        <v>69</v>
      </c>
      <c r="C51" s="24">
        <v>0</v>
      </c>
      <c r="D51" s="24">
        <f>'Input data'!D30-$C$46*((D12-C12)-('Input data'!D13-'Input data'!C13))</f>
        <v>1.7972699999999999</v>
      </c>
      <c r="E51" s="24">
        <f>'Input data'!E30-$C$46*((E12-D12)-('Input data'!E13-'Input data'!D13))</f>
        <v>2.9516324000000003</v>
      </c>
      <c r="F51" s="24">
        <f>'Input data'!F30-$C$46*((F12-E12))</f>
        <v>1.373251</v>
      </c>
      <c r="G51" s="24">
        <f>'Input data'!G30-$C$46*((G12-F12))</f>
        <v>1.1235379999999999</v>
      </c>
      <c r="H51" s="24">
        <f>'Input data'!H30-$C$46*((H12-G12))</f>
        <v>1.157076</v>
      </c>
      <c r="I51" s="24">
        <f>'Input data'!I30-$C$46*((I12-H12))</f>
        <v>1.2260850000000001</v>
      </c>
      <c r="J51" s="24">
        <f>'Input data'!J30-$C$46*((J12-I12))</f>
        <v>1.2362679999999999</v>
      </c>
      <c r="K51" s="24">
        <f>'Input data'!K30-$C$46*((K12-J12))</f>
        <v>1.2441960000000001</v>
      </c>
      <c r="L51" s="24">
        <f>'Input data'!L30-$C$46*((L12-K12))</f>
        <v>1.209247</v>
      </c>
      <c r="M51" s="24">
        <f>'Input data'!M30-$C$46*((M12-L12))</f>
        <v>1.140828</v>
      </c>
      <c r="N51" s="24">
        <f>'Input data'!N30-$C$46*((N12-M12))</f>
        <v>1.2572179999999999</v>
      </c>
      <c r="O51" s="24">
        <f>'Input data'!O30-$C$46*((O12-N12))</f>
        <v>1.3736109999999999</v>
      </c>
      <c r="P51" s="24">
        <f>'Input data'!P30-$C$46*((P12-O12))</f>
        <v>1.490002</v>
      </c>
      <c r="Q51" s="24">
        <f>'Input data'!Q30-$C$46*((Q12-P12))</f>
        <v>1.519997</v>
      </c>
      <c r="R51" s="24">
        <f>'Input data'!R30-$C$46*((R12-Q12))</f>
        <v>1.6000019999999999</v>
      </c>
      <c r="S51" s="24">
        <f>'Input data'!S30-$C$46*((S12-R12))</f>
        <v>1.6000049999999999</v>
      </c>
      <c r="T51" s="24">
        <f>'Input data'!T30-$C$46*((T12-S12))</f>
        <v>1.6</v>
      </c>
      <c r="U51" s="24">
        <f>'Input data'!U30-$C$46*((U12-T12))</f>
        <v>1.61</v>
      </c>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row>
    <row r="53" spans="2:46" s="57" customFormat="1" ht="12.75" outlineLevel="1" x14ac:dyDescent="0.2">
      <c r="B53" s="58" t="s">
        <v>70</v>
      </c>
      <c r="C53" s="60"/>
      <c r="D53" s="59"/>
    </row>
    <row r="54" spans="2:46" outlineLevel="1" x14ac:dyDescent="0.2">
      <c r="B54" s="31"/>
      <c r="C54" s="32"/>
      <c r="D54" s="19"/>
    </row>
    <row r="55" spans="2:46" outlineLevel="1" x14ac:dyDescent="0.2">
      <c r="B55" s="67"/>
      <c r="C55" s="68">
        <f>'Input data'!$C$5-1</f>
        <v>2025</v>
      </c>
      <c r="D55" s="68">
        <f>C55+1</f>
        <v>2026</v>
      </c>
      <c r="E55" s="68">
        <f t="shared" ref="E55:U55" si="9">D55+1</f>
        <v>2027</v>
      </c>
      <c r="F55" s="68">
        <f t="shared" si="9"/>
        <v>2028</v>
      </c>
      <c r="G55" s="68">
        <f t="shared" si="9"/>
        <v>2029</v>
      </c>
      <c r="H55" s="68">
        <f t="shared" si="9"/>
        <v>2030</v>
      </c>
      <c r="I55" s="68">
        <f t="shared" si="9"/>
        <v>2031</v>
      </c>
      <c r="J55" s="68">
        <f t="shared" si="9"/>
        <v>2032</v>
      </c>
      <c r="K55" s="68">
        <f t="shared" si="9"/>
        <v>2033</v>
      </c>
      <c r="L55" s="68">
        <f t="shared" si="9"/>
        <v>2034</v>
      </c>
      <c r="M55" s="68">
        <f t="shared" si="9"/>
        <v>2035</v>
      </c>
      <c r="N55" s="68">
        <f t="shared" si="9"/>
        <v>2036</v>
      </c>
      <c r="O55" s="68">
        <f t="shared" si="9"/>
        <v>2037</v>
      </c>
      <c r="P55" s="68">
        <f t="shared" si="9"/>
        <v>2038</v>
      </c>
      <c r="Q55" s="68">
        <f t="shared" si="9"/>
        <v>2039</v>
      </c>
      <c r="R55" s="68">
        <f t="shared" si="9"/>
        <v>2040</v>
      </c>
      <c r="S55" s="68">
        <f t="shared" si="9"/>
        <v>2041</v>
      </c>
      <c r="T55" s="68">
        <f t="shared" si="9"/>
        <v>2042</v>
      </c>
      <c r="U55" s="68">
        <f t="shared" si="9"/>
        <v>2043</v>
      </c>
    </row>
    <row r="56" spans="2:46" ht="10.5" customHeight="1" outlineLevel="1" x14ac:dyDescent="0.2">
      <c r="B56" s="69" t="s">
        <v>71</v>
      </c>
      <c r="C56" s="33">
        <f>+'Input data'!C12</f>
        <v>44.250230000000002</v>
      </c>
      <c r="D56" s="33">
        <f>+C56+D57</f>
        <v>45.838496420963068</v>
      </c>
      <c r="E56" s="33">
        <f>+D56+E57</f>
        <v>47.042626896526684</v>
      </c>
      <c r="F56" s="33">
        <f t="shared" ref="F56:R56" si="10">+E56+F57</f>
        <v>48.037874693796731</v>
      </c>
      <c r="G56" s="33">
        <f t="shared" si="10"/>
        <v>49.449013611695172</v>
      </c>
      <c r="H56" s="33">
        <f t="shared" si="10"/>
        <v>51.025602481487923</v>
      </c>
      <c r="I56" s="33">
        <f t="shared" si="10"/>
        <v>52.830767302418955</v>
      </c>
      <c r="J56" s="33">
        <f t="shared" si="10"/>
        <v>54.798961717543108</v>
      </c>
      <c r="K56" s="33">
        <f t="shared" si="10"/>
        <v>56.937191686745273</v>
      </c>
      <c r="L56" s="33">
        <f t="shared" si="10"/>
        <v>59.57701111309251</v>
      </c>
      <c r="M56" s="33">
        <f t="shared" si="10"/>
        <v>62.456040018399833</v>
      </c>
      <c r="N56" s="33">
        <f t="shared" si="10"/>
        <v>65.508189699249016</v>
      </c>
      <c r="O56" s="33">
        <f t="shared" si="10"/>
        <v>68.716100871414156</v>
      </c>
      <c r="P56" s="33">
        <f>+O56+P57</f>
        <v>72.162163157737638</v>
      </c>
      <c r="Q56" s="33">
        <f t="shared" si="10"/>
        <v>75.692152705565988</v>
      </c>
      <c r="R56" s="33">
        <f t="shared" si="10"/>
        <v>79.355389924435855</v>
      </c>
      <c r="S56" s="33">
        <f t="shared" ref="S56" si="11">+R56+S57</f>
        <v>83.299805900260935</v>
      </c>
      <c r="T56" s="33">
        <f t="shared" ref="T56" si="12">+S56+T57</f>
        <v>87.418049368801718</v>
      </c>
      <c r="U56" s="33">
        <f t="shared" ref="U56" si="13">+T56+U57</f>
        <v>91.692976425077035</v>
      </c>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row>
    <row r="57" spans="2:46" outlineLevel="1" x14ac:dyDescent="0.2">
      <c r="B57" s="70" t="s">
        <v>72</v>
      </c>
      <c r="C57" s="34"/>
      <c r="D57" s="34">
        <f>-D58+D66+D71</f>
        <v>1.5882664209630684</v>
      </c>
      <c r="E57" s="34">
        <f>-E58+E66+E71</f>
        <v>1.2041304755636149</v>
      </c>
      <c r="F57" s="34">
        <f t="shared" ref="F57:R57" si="14">-F58+F66+F71</f>
        <v>0.99524779727004786</v>
      </c>
      <c r="G57" s="34">
        <f t="shared" si="14"/>
        <v>1.4111389178984408</v>
      </c>
      <c r="H57" s="34">
        <f t="shared" si="14"/>
        <v>1.5765888697927488</v>
      </c>
      <c r="I57" s="34">
        <f t="shared" si="14"/>
        <v>1.8051648209310327</v>
      </c>
      <c r="J57" s="34">
        <f t="shared" si="14"/>
        <v>1.9681944151241524</v>
      </c>
      <c r="K57" s="34">
        <f t="shared" si="14"/>
        <v>2.1382299692021638</v>
      </c>
      <c r="L57" s="34">
        <f t="shared" si="14"/>
        <v>2.6398194263472412</v>
      </c>
      <c r="M57" s="34">
        <f t="shared" si="14"/>
        <v>2.8790289053073197</v>
      </c>
      <c r="N57" s="34">
        <f t="shared" si="14"/>
        <v>3.0521496808491868</v>
      </c>
      <c r="O57" s="34">
        <f t="shared" si="14"/>
        <v>3.2079111721651392</v>
      </c>
      <c r="P57" s="34">
        <f>-P58+P66+P71</f>
        <v>3.4460622863234747</v>
      </c>
      <c r="Q57" s="34">
        <f t="shared" si="14"/>
        <v>3.529989547828345</v>
      </c>
      <c r="R57" s="34">
        <f t="shared" si="14"/>
        <v>3.663237218869865</v>
      </c>
      <c r="S57" s="34">
        <f t="shared" ref="S57:U57" si="15">-S58+S66+S71</f>
        <v>3.9444159758250796</v>
      </c>
      <c r="T57" s="34">
        <f t="shared" si="15"/>
        <v>4.1182434685407836</v>
      </c>
      <c r="U57" s="34">
        <f t="shared" si="15"/>
        <v>4.274927056275323</v>
      </c>
    </row>
    <row r="58" spans="2:46" outlineLevel="1" x14ac:dyDescent="0.2">
      <c r="B58" s="66" t="s">
        <v>73</v>
      </c>
      <c r="C58" s="35"/>
      <c r="D58" s="35">
        <f>D59+D60-D61-D62-D63-D64-D65</f>
        <v>-1.4910706209630682</v>
      </c>
      <c r="E58" s="35">
        <f t="shared" ref="E58:R58" si="16">E59+E60-E61-E62-E63-E64-E65</f>
        <v>-1.3497910727648772</v>
      </c>
      <c r="F58" s="35">
        <f t="shared" si="16"/>
        <v>-1.4967910209499089</v>
      </c>
      <c r="G58" s="35">
        <f t="shared" si="16"/>
        <v>-1.6546254558114342</v>
      </c>
      <c r="H58" s="35">
        <f t="shared" si="16"/>
        <v>-1.6907930015984307</v>
      </c>
      <c r="I58" s="35">
        <f t="shared" si="16"/>
        <v>-1.8053024722452484</v>
      </c>
      <c r="J58" s="35">
        <f t="shared" si="16"/>
        <v>-1.8198099918925088</v>
      </c>
      <c r="K58" s="35">
        <f t="shared" si="16"/>
        <v>-1.834319852475699</v>
      </c>
      <c r="L58" s="35">
        <f t="shared" si="16"/>
        <v>-2.148826981634107</v>
      </c>
      <c r="M58" s="35">
        <f t="shared" si="16"/>
        <v>-2.1633329383666933</v>
      </c>
      <c r="N58" s="35">
        <f t="shared" si="16"/>
        <v>-2.2778400680796898</v>
      </c>
      <c r="O58" s="35">
        <f t="shared" si="16"/>
        <v>-2.3923468094885165</v>
      </c>
      <c r="P58" s="35">
        <f t="shared" si="16"/>
        <v>-2.606854331086625</v>
      </c>
      <c r="Q58" s="35">
        <f t="shared" si="16"/>
        <v>-2.6213638983444456</v>
      </c>
      <c r="R58" s="35">
        <f t="shared" si="16"/>
        <v>-2.7358714207853265</v>
      </c>
      <c r="S58" s="35">
        <f t="shared" ref="S58:U58" si="17">S59+S60-S61-S62-S63-S64-S65</f>
        <v>-2.9503777768874895</v>
      </c>
      <c r="T58" s="35">
        <f t="shared" si="17"/>
        <v>-3.064886076887487</v>
      </c>
      <c r="U58" s="35">
        <f t="shared" si="17"/>
        <v>-3.1793943768874975</v>
      </c>
    </row>
    <row r="59" spans="2:46" outlineLevel="1" x14ac:dyDescent="0.2">
      <c r="B59" s="64" t="s">
        <v>74</v>
      </c>
      <c r="C59" s="1"/>
      <c r="D59" s="1">
        <f>D12</f>
        <v>-1.332759</v>
      </c>
      <c r="E59" s="1">
        <f t="shared" ref="E59:U59" si="18">IF(E12="",D59,E12)</f>
        <v>-1.332759</v>
      </c>
      <c r="F59" s="1">
        <f t="shared" si="18"/>
        <v>-1.332759</v>
      </c>
      <c r="G59" s="1">
        <f t="shared" si="18"/>
        <v>-1.332759</v>
      </c>
      <c r="H59" s="1">
        <f t="shared" si="18"/>
        <v>-1.332759</v>
      </c>
      <c r="I59" s="1">
        <f t="shared" si="18"/>
        <v>-1.332759</v>
      </c>
      <c r="J59" s="1">
        <f t="shared" si="18"/>
        <v>-1.332759</v>
      </c>
      <c r="K59" s="1">
        <f t="shared" si="18"/>
        <v>-1.332759</v>
      </c>
      <c r="L59" s="1">
        <f t="shared" si="18"/>
        <v>-1.332759</v>
      </c>
      <c r="M59" s="1">
        <f t="shared" si="18"/>
        <v>-1.332759</v>
      </c>
      <c r="N59" s="1">
        <f t="shared" si="18"/>
        <v>-1.332759</v>
      </c>
      <c r="O59" s="1">
        <f t="shared" si="18"/>
        <v>-1.332759</v>
      </c>
      <c r="P59" s="1">
        <f t="shared" si="18"/>
        <v>-1.332759</v>
      </c>
      <c r="Q59" s="1">
        <f t="shared" si="18"/>
        <v>-1.332759</v>
      </c>
      <c r="R59" s="1">
        <f t="shared" si="18"/>
        <v>-1.332759</v>
      </c>
      <c r="S59" s="1">
        <f t="shared" si="18"/>
        <v>-1.332759</v>
      </c>
      <c r="T59" s="1">
        <f t="shared" si="18"/>
        <v>-1.332759</v>
      </c>
      <c r="U59" s="1">
        <f t="shared" si="18"/>
        <v>-1.332759</v>
      </c>
    </row>
    <row r="60" spans="2:46" outlineLevel="1" x14ac:dyDescent="0.2">
      <c r="B60" s="64" t="s">
        <v>75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64" t="s">
        <v>76</v>
      </c>
      <c r="C61" s="1"/>
      <c r="D61" s="1">
        <f t="shared" ref="D61:U61" si="19">-$C$47*D29</f>
        <v>0.15831162096306806</v>
      </c>
      <c r="E61" s="1">
        <f t="shared" si="19"/>
        <v>-9.7476927235124355E-2</v>
      </c>
      <c r="F61" s="1">
        <f t="shared" si="19"/>
        <v>-6.4984879050090427E-2</v>
      </c>
      <c r="G61" s="1">
        <f t="shared" si="19"/>
        <v>-2.1658744188566503E-2</v>
      </c>
      <c r="H61" s="1">
        <f t="shared" si="19"/>
        <v>5.015984299583387E-7</v>
      </c>
      <c r="I61" s="1">
        <f t="shared" si="19"/>
        <v>1.6722452463313608E-6</v>
      </c>
      <c r="J61" s="1">
        <f t="shared" si="19"/>
        <v>8.9189251034627048E-7</v>
      </c>
      <c r="K61" s="1">
        <f t="shared" si="19"/>
        <v>2.4524757003541175E-6</v>
      </c>
      <c r="L61" s="1">
        <f t="shared" si="19"/>
        <v>1.2816341072863224E-6</v>
      </c>
      <c r="M61" s="1">
        <f t="shared" si="19"/>
        <v>-1.0616333064872308E-6</v>
      </c>
      <c r="N61" s="1">
        <f t="shared" si="19"/>
        <v>-2.2319203111242913E-6</v>
      </c>
      <c r="O61" s="1">
        <f t="shared" si="19"/>
        <v>-3.7905114856906508E-6</v>
      </c>
      <c r="P61" s="1">
        <f t="shared" si="19"/>
        <v>-4.5689133761905865E-6</v>
      </c>
      <c r="Q61" s="1">
        <f t="shared" si="19"/>
        <v>-3.4016555559013284E-6</v>
      </c>
      <c r="R61" s="1">
        <f t="shared" si="19"/>
        <v>-4.1792146726615798E-6</v>
      </c>
      <c r="S61" s="1">
        <f t="shared" si="19"/>
        <v>-6.1231125128013986E-6</v>
      </c>
      <c r="T61" s="1">
        <f t="shared" si="19"/>
        <v>-6.1231125128013986E-6</v>
      </c>
      <c r="U61" s="1">
        <f t="shared" si="19"/>
        <v>-6.1231125040306367E-6</v>
      </c>
    </row>
    <row r="62" spans="2:46" outlineLevel="1" x14ac:dyDescent="0.2">
      <c r="B62" s="64" t="s">
        <v>77</v>
      </c>
      <c r="C62" s="1"/>
      <c r="D62" s="1">
        <f t="shared" ref="D62:U62" si="20">-D13</f>
        <v>0</v>
      </c>
      <c r="E62" s="1">
        <f t="shared" si="20"/>
        <v>0</v>
      </c>
      <c r="F62" s="1">
        <f t="shared" si="20"/>
        <v>0</v>
      </c>
      <c r="G62" s="1">
        <f t="shared" si="20"/>
        <v>0</v>
      </c>
      <c r="H62" s="1">
        <f t="shared" si="20"/>
        <v>0</v>
      </c>
      <c r="I62" s="1">
        <f t="shared" si="20"/>
        <v>0</v>
      </c>
      <c r="J62" s="1">
        <f t="shared" si="20"/>
        <v>0</v>
      </c>
      <c r="K62" s="1">
        <f t="shared" si="20"/>
        <v>0</v>
      </c>
      <c r="L62" s="1">
        <f t="shared" si="20"/>
        <v>0</v>
      </c>
      <c r="M62" s="1">
        <f t="shared" si="20"/>
        <v>0</v>
      </c>
      <c r="N62" s="1">
        <f t="shared" si="20"/>
        <v>0</v>
      </c>
      <c r="O62" s="1">
        <f t="shared" si="20"/>
        <v>0</v>
      </c>
      <c r="P62" s="1">
        <f t="shared" si="20"/>
        <v>0</v>
      </c>
      <c r="Q62" s="1">
        <f t="shared" si="20"/>
        <v>0</v>
      </c>
      <c r="R62" s="1">
        <f t="shared" si="20"/>
        <v>0</v>
      </c>
      <c r="S62" s="1">
        <f t="shared" si="20"/>
        <v>0</v>
      </c>
      <c r="T62" s="1">
        <f t="shared" si="20"/>
        <v>0</v>
      </c>
      <c r="U62" s="1">
        <f t="shared" si="20"/>
        <v>0</v>
      </c>
    </row>
    <row r="63" spans="2:46" outlineLevel="1" x14ac:dyDescent="0.2">
      <c r="B63" s="64" t="s">
        <v>78</v>
      </c>
      <c r="C63" s="1"/>
      <c r="D63" s="1">
        <f>IF(D$55&lt;=$C$5,0,HLOOKUP(D$55,'Input data'!$C$9:$AZ$26,12,FALSE)-HLOOKUP($C$5,'Input data'!$C$9:$AZ$26,12,FALSE))</f>
        <v>0</v>
      </c>
      <c r="E63" s="1">
        <f>IF(E$55&lt;=$C$5,0,HLOOKUP(E$55,'Input data'!$C$9:$AZ$26,12,FALSE)-HLOOKUP($C$5,'Input data'!$C$9:$AZ$26,12,FALSE))</f>
        <v>0.10000000000000142</v>
      </c>
      <c r="F63" s="1">
        <f>IF(F$55&lt;=$C$5,0,HLOOKUP(F$55,'Input data'!$C$9:$AZ$26,12,FALSE)-HLOOKUP($C$5,'Input data'!$C$9:$AZ$26,12,FALSE))</f>
        <v>0.19999999999999929</v>
      </c>
      <c r="G63" s="1">
        <f>IF(G$55&lt;=$C$5,0,HLOOKUP(G$55,'Input data'!$C$9:$AZ$26,12,FALSE)-HLOOKUP($C$5,'Input data'!$C$9:$AZ$26,12,FALSE))</f>
        <v>0.30000000000000071</v>
      </c>
      <c r="H63" s="1">
        <f>IF(H$55&lt;=$C$5,0,HLOOKUP(H$55,'Input data'!$C$9:$AZ$26,12,FALSE)-HLOOKUP($C$5,'Input data'!$C$9:$AZ$26,12,FALSE))</f>
        <v>0.30000000000000071</v>
      </c>
      <c r="I63" s="1">
        <f>IF(I$55&lt;=$C$5,0,HLOOKUP(I$55,'Input data'!$C$9:$AZ$26,12,FALSE)-HLOOKUP($C$5,'Input data'!$C$9:$AZ$26,12,FALSE))</f>
        <v>0.40000000000000213</v>
      </c>
      <c r="J63" s="1">
        <f>IF(J$55&lt;=$C$5,0,HLOOKUP(J$55,'Input data'!$C$9:$AZ$26,12,FALSE)-HLOOKUP($C$5,'Input data'!$C$9:$AZ$26,12,FALSE))</f>
        <v>0.39999999999999858</v>
      </c>
      <c r="K63" s="1">
        <f>IF(K$55&lt;=$C$5,0,HLOOKUP(K$55,'Input data'!$C$9:$AZ$26,12,FALSE)-HLOOKUP($C$5,'Input data'!$C$9:$AZ$26,12,FALSE))</f>
        <v>0.39999999999999858</v>
      </c>
      <c r="L63" s="1">
        <f>IF(L$55&lt;=$C$5,0,HLOOKUP(L$55,'Input data'!$C$9:$AZ$26,12,FALSE)-HLOOKUP($C$5,'Input data'!$C$9:$AZ$26,12,FALSE))</f>
        <v>0.69999999999999929</v>
      </c>
      <c r="M63" s="1">
        <f>IF(M$55&lt;=$C$5,0,HLOOKUP(M$55,'Input data'!$C$9:$AZ$26,12,FALSE)-HLOOKUP($C$5,'Input data'!$C$9:$AZ$26,12,FALSE))</f>
        <v>0.69999999999999929</v>
      </c>
      <c r="N63" s="1">
        <f>IF(N$55&lt;=$C$5,0,HLOOKUP(N$55,'Input data'!$C$9:$AZ$26,12,FALSE)-HLOOKUP($C$5,'Input data'!$C$9:$AZ$26,12,FALSE))</f>
        <v>0.80000000000000071</v>
      </c>
      <c r="O63" s="1">
        <f>IF(O$55&lt;=$C$5,0,HLOOKUP(O$55,'Input data'!$C$9:$AZ$26,12,FALSE)-HLOOKUP($C$5,'Input data'!$C$9:$AZ$26,12,FALSE))</f>
        <v>0.90000000000000213</v>
      </c>
      <c r="P63" s="1">
        <f>IF(P$55&lt;=$C$5,0,HLOOKUP(P$55,'Input data'!$C$9:$AZ$26,12,FALSE)-HLOOKUP($C$5,'Input data'!$C$9:$AZ$26,12,FALSE))</f>
        <v>1.1000000000000014</v>
      </c>
      <c r="Q63" s="1">
        <f>IF(Q$55&lt;=$C$5,0,HLOOKUP(Q$55,'Input data'!$C$9:$AZ$26,12,FALSE)-HLOOKUP($C$5,'Input data'!$C$9:$AZ$26,12,FALSE))</f>
        <v>1.1000000000000014</v>
      </c>
      <c r="R63" s="1">
        <f>IF(R$55&lt;=$C$5,0,HLOOKUP(R$55,'Input data'!$C$9:$AZ$26,12,FALSE)-HLOOKUP($C$5,'Input data'!$C$9:$AZ$26,12,FALSE))</f>
        <v>1.1999999999999993</v>
      </c>
      <c r="S63" s="1">
        <f>IF(S$55&lt;=$C$5,0,HLOOKUP(S$55,'Input data'!$C$9:$AZ$26,12,FALSE)-HLOOKUP($C$5,'Input data'!$C$9:$AZ$26,12,FALSE))</f>
        <v>1.4000000000000021</v>
      </c>
      <c r="T63" s="1">
        <f>IF(T$55&lt;=$C$5,0,HLOOKUP(T$55,'Input data'!$C$9:$AZ$26,12,FALSE)-HLOOKUP($C$5,'Input data'!$C$9:$AZ$26,12,FALSE))</f>
        <v>1.5</v>
      </c>
      <c r="U63" s="1">
        <f>IF(U$55&lt;=$C$5,0,HLOOKUP(U$55,'Input data'!$C$9:$AZ$26,12,FALSE)-HLOOKUP($C$5,'Input data'!$C$9:$AZ$26,12,FALSE))</f>
        <v>1.6000000000000014</v>
      </c>
    </row>
    <row r="64" spans="2:46" outlineLevel="1" x14ac:dyDescent="0.2">
      <c r="B64" s="64" t="s">
        <v>79</v>
      </c>
      <c r="C64" s="1"/>
      <c r="D64" s="1">
        <f>IF(D$55&lt;=$C$5,0,-HLOOKUP(D$55,'Input data'!$C$9:$AZ$26,18,FALSE)+HLOOKUP($C$5,'Input data'!$C$9:$AZ$26,18,FALSE))</f>
        <v>0</v>
      </c>
      <c r="E64" s="1">
        <f>IF(E$55&lt;=$C$5,0,-HLOOKUP(E$55,'Input data'!$C$9:$AZ$26,18,FALSE)+HLOOKUP($C$5,'Input data'!$C$9:$AZ$26,18,FALSE))</f>
        <v>1.4509000000000105E-2</v>
      </c>
      <c r="F64" s="1">
        <f>IF(F$55&lt;=$C$5,0,-HLOOKUP(F$55,'Input data'!$C$9:$AZ$26,18,FALSE)+HLOOKUP($C$5,'Input data'!$C$9:$AZ$26,18,FALSE))</f>
        <v>2.9016900000000123E-2</v>
      </c>
      <c r="G64" s="1">
        <f>IF(G$55&lt;=$C$5,0,-HLOOKUP(G$55,'Input data'!$C$9:$AZ$26,18,FALSE)+HLOOKUP($C$5,'Input data'!$C$9:$AZ$26,18,FALSE))</f>
        <v>4.3525200000000042E-2</v>
      </c>
      <c r="H64" s="1">
        <f>IF(H$55&lt;=$C$5,0,-HLOOKUP(H$55,'Input data'!$C$9:$AZ$26,18,FALSE)+HLOOKUP($C$5,'Input data'!$C$9:$AZ$26,18,FALSE))</f>
        <v>5.8033500000000071E-2</v>
      </c>
      <c r="I64" s="1">
        <f>IF(I$55&lt;=$C$5,0,-HLOOKUP(I$55,'Input data'!$C$9:$AZ$26,18,FALSE)+HLOOKUP($C$5,'Input data'!$C$9:$AZ$26,18,FALSE))</f>
        <v>7.2541800000000101E-2</v>
      </c>
      <c r="J64" s="1">
        <f>IF(J$55&lt;=$C$5,0,-HLOOKUP(J$55,'Input data'!$C$9:$AZ$26,18,FALSE)+HLOOKUP($C$5,'Input data'!$C$9:$AZ$26,18,FALSE))</f>
        <v>8.7050100000000019E-2</v>
      </c>
      <c r="K64" s="1">
        <f>IF(K$55&lt;=$C$5,0,-HLOOKUP(K$55,'Input data'!$C$9:$AZ$26,18,FALSE)+HLOOKUP($C$5,'Input data'!$C$9:$AZ$26,18,FALSE))</f>
        <v>0.10155840000000005</v>
      </c>
      <c r="L64" s="1">
        <f>IF(L$55&lt;=$C$5,0,-HLOOKUP(L$55,'Input data'!$C$9:$AZ$26,18,FALSE)+HLOOKUP($C$5,'Input data'!$C$9:$AZ$26,18,FALSE))</f>
        <v>0.11606670000000008</v>
      </c>
      <c r="M64" s="1">
        <f>IF(M$55&lt;=$C$5,0,-HLOOKUP(M$55,'Input data'!$C$9:$AZ$26,18,FALSE)+HLOOKUP($C$5,'Input data'!$C$9:$AZ$26,18,FALSE))</f>
        <v>0.13057500000000011</v>
      </c>
      <c r="N64" s="1">
        <f>IF(N$55&lt;=$C$5,0,-HLOOKUP(N$55,'Input data'!$C$9:$AZ$26,18,FALSE)+HLOOKUP($C$5,'Input data'!$C$9:$AZ$26,18,FALSE))</f>
        <v>0.14508330000000003</v>
      </c>
      <c r="O64" s="1">
        <f>IF(O$55&lt;=$C$5,0,-HLOOKUP(O$55,'Input data'!$C$9:$AZ$26,18,FALSE)+HLOOKUP($C$5,'Input data'!$C$9:$AZ$26,18,FALSE))</f>
        <v>0.15959160000000006</v>
      </c>
      <c r="P64" s="1">
        <f>IF(P$55&lt;=$C$5,0,-HLOOKUP(P$55,'Input data'!$C$9:$AZ$26,18,FALSE)+HLOOKUP($C$5,'Input data'!$C$9:$AZ$26,18,FALSE))</f>
        <v>0.17409990000000009</v>
      </c>
      <c r="Q64" s="1">
        <f>IF(Q$55&lt;=$C$5,0,-HLOOKUP(Q$55,'Input data'!$C$9:$AZ$26,18,FALSE)+HLOOKUP($C$5,'Input data'!$C$9:$AZ$26,18,FALSE))</f>
        <v>0.18860830000000006</v>
      </c>
      <c r="R64" s="1">
        <f>IF(R$55&lt;=$C$5,0,-HLOOKUP(R$55,'Input data'!$C$9:$AZ$26,18,FALSE)+HLOOKUP($C$5,'Input data'!$C$9:$AZ$26,18,FALSE))</f>
        <v>0.20311660000000009</v>
      </c>
      <c r="S64" s="1">
        <f>IF(S$55&lt;=$C$5,0,-HLOOKUP(S$55,'Input data'!$C$9:$AZ$26,18,FALSE)+HLOOKUP($C$5,'Input data'!$C$9:$AZ$26,18,FALSE))</f>
        <v>0.21762490000000012</v>
      </c>
      <c r="T64" s="1">
        <f>IF(T$55&lt;=$C$5,0,-HLOOKUP(T$55,'Input data'!$C$9:$AZ$26,18,FALSE)+HLOOKUP($C$5,'Input data'!$C$9:$AZ$26,18,FALSE))</f>
        <v>0.23213320000000004</v>
      </c>
      <c r="U64" s="1">
        <f>IF(U$55&lt;=$C$5,0,-HLOOKUP(U$55,'Input data'!$C$9:$AZ$26,18,FALSE)+HLOOKUP($C$5,'Input data'!$C$9:$AZ$26,18,FALSE))</f>
        <v>0.24664150000000007</v>
      </c>
    </row>
    <row r="65" spans="2:21" outlineLevel="1" x14ac:dyDescent="0.2">
      <c r="B65" s="64" t="s">
        <v>80</v>
      </c>
      <c r="C65" s="27"/>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row>
    <row r="66" spans="2:21" outlineLevel="1" x14ac:dyDescent="0.2">
      <c r="B66" s="66" t="s">
        <v>234</v>
      </c>
      <c r="C66" s="35"/>
      <c r="D66" s="35">
        <f t="shared" ref="D66:R66" si="21">SUM(D67:D70)</f>
        <v>-0.60422359999999997</v>
      </c>
      <c r="E66" s="35">
        <f>SUM(E67:E70)</f>
        <v>-0.99562049720126244</v>
      </c>
      <c r="F66" s="35">
        <f t="shared" si="21"/>
        <v>-0.50154322367986104</v>
      </c>
      <c r="G66" s="35">
        <f t="shared" si="21"/>
        <v>-0.24348653791299335</v>
      </c>
      <c r="H66" s="35">
        <f t="shared" si="21"/>
        <v>-0.1142041318056819</v>
      </c>
      <c r="I66" s="35">
        <f t="shared" si="21"/>
        <v>-1.3765131421572541E-4</v>
      </c>
      <c r="J66" s="35">
        <f t="shared" si="21"/>
        <v>0.14838442323164358</v>
      </c>
      <c r="K66" s="35">
        <f t="shared" si="21"/>
        <v>0.30391011672646484</v>
      </c>
      <c r="L66" s="35">
        <f t="shared" si="21"/>
        <v>0.49099244471313441</v>
      </c>
      <c r="M66" s="35">
        <f t="shared" si="21"/>
        <v>0.7156959669406262</v>
      </c>
      <c r="N66" s="35">
        <f t="shared" si="21"/>
        <v>0.77430961276949684</v>
      </c>
      <c r="O66" s="35">
        <f t="shared" si="21"/>
        <v>0.81556436267662247</v>
      </c>
      <c r="P66" s="35">
        <f t="shared" si="21"/>
        <v>0.83920795523684943</v>
      </c>
      <c r="Q66" s="35">
        <f t="shared" si="21"/>
        <v>0.90862564948389957</v>
      </c>
      <c r="R66" s="35">
        <f t="shared" si="21"/>
        <v>0.92736579808453845</v>
      </c>
      <c r="S66" s="35">
        <f t="shared" ref="S66:U66" si="22">SUM(S67:S70)</f>
        <v>0.99403819893759038</v>
      </c>
      <c r="T66" s="35">
        <f t="shared" si="22"/>
        <v>1.0533573916532968</v>
      </c>
      <c r="U66" s="35">
        <f t="shared" si="22"/>
        <v>1.0955326793878255</v>
      </c>
    </row>
    <row r="67" spans="2:21" outlineLevel="1" x14ac:dyDescent="0.2">
      <c r="B67" s="64" t="s">
        <v>82</v>
      </c>
      <c r="C67" s="24"/>
      <c r="D67" s="24">
        <f t="shared" ref="D67:U67" si="23">C56*D35/100*(1/(1+D32/100))</f>
        <v>1.3033928890676334</v>
      </c>
      <c r="E67" s="24">
        <f t="shared" si="23"/>
        <v>1.3060334754296952</v>
      </c>
      <c r="F67" s="24">
        <f t="shared" si="23"/>
        <v>1.4775227912567634</v>
      </c>
      <c r="G67" s="24">
        <f t="shared" si="23"/>
        <v>1.6229777140997419</v>
      </c>
      <c r="H67" s="24">
        <f t="shared" si="23"/>
        <v>1.7807472938194133</v>
      </c>
      <c r="I67" s="24">
        <f t="shared" si="23"/>
        <v>1.945195349683799</v>
      </c>
      <c r="J67" s="24">
        <f t="shared" si="23"/>
        <v>2.1225481451326864</v>
      </c>
      <c r="K67" s="24">
        <f t="shared" si="23"/>
        <v>2.3088897127083254</v>
      </c>
      <c r="L67" s="24">
        <f t="shared" si="23"/>
        <v>2.5064698605841054</v>
      </c>
      <c r="M67" s="24">
        <f t="shared" si="23"/>
        <v>2.7345613816433221</v>
      </c>
      <c r="N67" s="24">
        <f t="shared" si="23"/>
        <v>2.9500796470118358</v>
      </c>
      <c r="O67" s="24">
        <f t="shared" si="23"/>
        <v>3.1597610876286977</v>
      </c>
      <c r="P67" s="24">
        <f t="shared" si="23"/>
        <v>3.3631852126279296</v>
      </c>
      <c r="Q67" s="24">
        <f t="shared" si="23"/>
        <v>3.5681653139063916</v>
      </c>
      <c r="R67" s="24">
        <f t="shared" si="23"/>
        <v>3.7622999478678629</v>
      </c>
      <c r="S67" s="24">
        <f t="shared" si="23"/>
        <v>3.9534746611194094</v>
      </c>
      <c r="T67" s="24">
        <f t="shared" si="23"/>
        <v>4.146554147679983</v>
      </c>
      <c r="U67" s="24">
        <f t="shared" si="23"/>
        <v>4.3359379569669603</v>
      </c>
    </row>
    <row r="68" spans="2:21" outlineLevel="1" x14ac:dyDescent="0.2">
      <c r="B68" s="64" t="s">
        <v>83</v>
      </c>
      <c r="C68" s="24"/>
      <c r="D68" s="24">
        <f t="shared" ref="D68:U68" si="24">-C56*(D23/100)*(1/(1+D32/100))</f>
        <v>-0.76103656626649119</v>
      </c>
      <c r="E68" s="24">
        <f t="shared" si="24"/>
        <v>-0.93690286310906079</v>
      </c>
      <c r="F68" s="24">
        <f t="shared" si="24"/>
        <v>-0.61883579847600534</v>
      </c>
      <c r="G68" s="24">
        <f t="shared" si="24"/>
        <v>-0.5187533443301483</v>
      </c>
      <c r="H68" s="24">
        <f t="shared" si="24"/>
        <v>-0.55023664058009225</v>
      </c>
      <c r="I68" s="24">
        <f t="shared" si="24"/>
        <v>-0.60176582205986462</v>
      </c>
      <c r="J68" s="24">
        <f t="shared" si="24"/>
        <v>-0.62872391595279709</v>
      </c>
      <c r="K68" s="24">
        <f t="shared" si="24"/>
        <v>-0.65686061379718019</v>
      </c>
      <c r="L68" s="24">
        <f t="shared" si="24"/>
        <v>-0.66413918216911949</v>
      </c>
      <c r="M68" s="24">
        <f t="shared" si="24"/>
        <v>-0.65663944240802652</v>
      </c>
      <c r="N68" s="24">
        <f t="shared" si="24"/>
        <v>-0.757854404689425</v>
      </c>
      <c r="O68" s="24">
        <f t="shared" si="24"/>
        <v>-0.86762755553416993</v>
      </c>
      <c r="P68" s="24">
        <f t="shared" si="24"/>
        <v>-0.98626396569141583</v>
      </c>
      <c r="Q68" s="24">
        <f t="shared" si="24"/>
        <v>-1.0564377920196852</v>
      </c>
      <c r="R68" s="24">
        <f t="shared" si="24"/>
        <v>-1.1657169540368937</v>
      </c>
      <c r="S68" s="24">
        <f t="shared" si="24"/>
        <v>-1.2223390751937375</v>
      </c>
      <c r="T68" s="24">
        <f t="shared" si="24"/>
        <v>-1.2833057463077482</v>
      </c>
      <c r="U68" s="24">
        <f t="shared" si="24"/>
        <v>-1.3552600698686834</v>
      </c>
    </row>
    <row r="69" spans="2:21" outlineLevel="1" x14ac:dyDescent="0.2">
      <c r="B69" s="64" t="s">
        <v>84</v>
      </c>
      <c r="C69" s="24"/>
      <c r="D69" s="24">
        <f t="shared" ref="D69:U69" si="25">-C56*D41/100*(1/(1+D41/100))</f>
        <v>-1.1451624163298213</v>
      </c>
      <c r="E69" s="24">
        <f t="shared" si="25"/>
        <v>-1.3647498504602544</v>
      </c>
      <c r="F69" s="24">
        <f t="shared" si="25"/>
        <v>-1.3602303596273717</v>
      </c>
      <c r="G69" s="24">
        <f t="shared" si="25"/>
        <v>-1.347710651283853</v>
      </c>
      <c r="H69" s="24">
        <f t="shared" si="25"/>
        <v>-1.344714785045003</v>
      </c>
      <c r="I69" s="24">
        <f t="shared" si="25"/>
        <v>-1.34356717893815</v>
      </c>
      <c r="J69" s="24">
        <f t="shared" si="25"/>
        <v>-1.3454398059482457</v>
      </c>
      <c r="K69" s="24">
        <f t="shared" si="25"/>
        <v>-1.3481189821846804</v>
      </c>
      <c r="L69" s="24">
        <f t="shared" si="25"/>
        <v>-1.3513382337018516</v>
      </c>
      <c r="M69" s="24">
        <f t="shared" si="25"/>
        <v>-1.3622259722946695</v>
      </c>
      <c r="N69" s="24">
        <f t="shared" si="25"/>
        <v>-1.4179156295529138</v>
      </c>
      <c r="O69" s="24">
        <f t="shared" si="25"/>
        <v>-1.4765691694179053</v>
      </c>
      <c r="P69" s="24">
        <f t="shared" si="25"/>
        <v>-1.5377132916996643</v>
      </c>
      <c r="Q69" s="24">
        <f t="shared" si="25"/>
        <v>-1.6031018724028068</v>
      </c>
      <c r="R69" s="24">
        <f t="shared" si="25"/>
        <v>-1.6692171957464308</v>
      </c>
      <c r="S69" s="24">
        <f t="shared" si="25"/>
        <v>-1.7370973869880812</v>
      </c>
      <c r="T69" s="24">
        <f t="shared" si="25"/>
        <v>-1.8098910097189378</v>
      </c>
      <c r="U69" s="24">
        <f t="shared" si="25"/>
        <v>-1.8851452077104511</v>
      </c>
    </row>
    <row r="70" spans="2:21" outlineLevel="1" x14ac:dyDescent="0.2">
      <c r="B70" s="64" t="s">
        <v>85</v>
      </c>
      <c r="C70" s="36"/>
      <c r="D70" s="36">
        <v>-1.417506471320884E-3</v>
      </c>
      <c r="E70" s="36">
        <v>-1.2590616423890921E-6</v>
      </c>
      <c r="F70" s="36">
        <v>1.4316675256420552E-7</v>
      </c>
      <c r="G70" s="36">
        <v>-2.5639873380001177E-7</v>
      </c>
      <c r="H70" s="36">
        <v>0</v>
      </c>
      <c r="I70" s="36">
        <v>0</v>
      </c>
      <c r="J70" s="36">
        <v>0</v>
      </c>
      <c r="K70" s="36">
        <v>0</v>
      </c>
      <c r="L70" s="36">
        <v>0</v>
      </c>
      <c r="M70" s="36">
        <v>0</v>
      </c>
      <c r="N70" s="36">
        <v>0</v>
      </c>
      <c r="O70" s="36">
        <v>0</v>
      </c>
      <c r="P70" s="36">
        <v>0</v>
      </c>
      <c r="Q70" s="36">
        <v>0</v>
      </c>
      <c r="R70" s="36">
        <v>0</v>
      </c>
      <c r="S70" s="36">
        <v>0</v>
      </c>
      <c r="T70" s="36">
        <v>0</v>
      </c>
      <c r="U70" s="36">
        <v>0</v>
      </c>
    </row>
    <row r="71" spans="2:21" outlineLevel="1" x14ac:dyDescent="0.2">
      <c r="B71" s="66" t="s">
        <v>86</v>
      </c>
      <c r="C71" s="37"/>
      <c r="D71" s="37">
        <f>'Input data'!D16</f>
        <v>0.70141940000000003</v>
      </c>
      <c r="E71" s="37">
        <f>'Input data'!E16</f>
        <v>0.84995989999999999</v>
      </c>
      <c r="F71" s="37">
        <f>'Input data'!F16</f>
        <v>0</v>
      </c>
      <c r="G71" s="37">
        <f>'Input data'!G16</f>
        <v>0</v>
      </c>
      <c r="H71" s="37">
        <f>'Input data'!H16</f>
        <v>0</v>
      </c>
      <c r="I71" s="37">
        <f>'Input data'!I16</f>
        <v>0</v>
      </c>
      <c r="J71" s="37">
        <f>'Input data'!J16</f>
        <v>0</v>
      </c>
      <c r="K71" s="37">
        <f>'Input data'!K16</f>
        <v>0</v>
      </c>
      <c r="L71" s="37">
        <f>'Input data'!L16</f>
        <v>0</v>
      </c>
      <c r="M71" s="37">
        <f>'Input data'!M16</f>
        <v>0</v>
      </c>
      <c r="N71" s="37">
        <f>'Input data'!N16</f>
        <v>0</v>
      </c>
      <c r="O71" s="37">
        <f>'Input data'!O16</f>
        <v>0</v>
      </c>
      <c r="P71" s="37">
        <f>'Input data'!P16</f>
        <v>0</v>
      </c>
      <c r="Q71" s="37">
        <f>'Input data'!Q16</f>
        <v>0</v>
      </c>
      <c r="R71" s="37">
        <f>'Input data'!R16</f>
        <v>0</v>
      </c>
      <c r="S71" s="37">
        <f>'Input data'!S16</f>
        <v>0</v>
      </c>
      <c r="T71" s="37">
        <f>'Input data'!T16</f>
        <v>0</v>
      </c>
      <c r="U71" s="37">
        <f>'Input data'!U16</f>
        <v>0</v>
      </c>
    </row>
    <row r="72" spans="2:21" outlineLevel="1" x14ac:dyDescent="0.2">
      <c r="B72" s="64" t="s">
        <v>87</v>
      </c>
      <c r="C72" s="24"/>
      <c r="D72" s="24">
        <f t="shared" ref="D72:U72" si="26">D14</f>
        <v>0.74747770000000002</v>
      </c>
      <c r="E72" s="24">
        <f t="shared" si="26"/>
        <v>0.85</v>
      </c>
      <c r="F72" s="24">
        <f t="shared" si="26"/>
        <v>0</v>
      </c>
      <c r="G72" s="24">
        <f t="shared" si="26"/>
        <v>0</v>
      </c>
      <c r="H72" s="24">
        <f t="shared" si="26"/>
        <v>0</v>
      </c>
      <c r="I72" s="24">
        <f t="shared" si="26"/>
        <v>0</v>
      </c>
      <c r="J72" s="24">
        <f t="shared" si="26"/>
        <v>0</v>
      </c>
      <c r="K72" s="24">
        <f t="shared" si="26"/>
        <v>0</v>
      </c>
      <c r="L72" s="24">
        <f t="shared" si="26"/>
        <v>0</v>
      </c>
      <c r="M72" s="24">
        <f t="shared" si="26"/>
        <v>0</v>
      </c>
      <c r="N72" s="24">
        <f t="shared" si="26"/>
        <v>0</v>
      </c>
      <c r="O72" s="24">
        <f t="shared" si="26"/>
        <v>0</v>
      </c>
      <c r="P72" s="24">
        <f t="shared" si="26"/>
        <v>0</v>
      </c>
      <c r="Q72" s="24">
        <f t="shared" si="26"/>
        <v>0</v>
      </c>
      <c r="R72" s="24">
        <f t="shared" si="26"/>
        <v>0</v>
      </c>
      <c r="S72" s="24">
        <f t="shared" si="26"/>
        <v>0</v>
      </c>
      <c r="T72" s="24">
        <f t="shared" si="26"/>
        <v>0</v>
      </c>
      <c r="U72" s="24">
        <f t="shared" si="26"/>
        <v>0</v>
      </c>
    </row>
    <row r="73" spans="2:21" outlineLevel="1" x14ac:dyDescent="0.2">
      <c r="B73" s="71" t="s">
        <v>88</v>
      </c>
      <c r="C73" s="36"/>
      <c r="D73" s="36">
        <f>+D71-D72</f>
        <v>-4.6058299999999996E-2</v>
      </c>
      <c r="E73" s="36">
        <f t="shared" ref="E73:R73" si="27">+E71-E72</f>
        <v>-4.0099999999987368E-5</v>
      </c>
      <c r="F73" s="36">
        <f t="shared" si="27"/>
        <v>0</v>
      </c>
      <c r="G73" s="36">
        <f t="shared" si="27"/>
        <v>0</v>
      </c>
      <c r="H73" s="36">
        <f t="shared" si="27"/>
        <v>0</v>
      </c>
      <c r="I73" s="36">
        <f t="shared" si="27"/>
        <v>0</v>
      </c>
      <c r="J73" s="36">
        <f t="shared" si="27"/>
        <v>0</v>
      </c>
      <c r="K73" s="36">
        <f t="shared" si="27"/>
        <v>0</v>
      </c>
      <c r="L73" s="36">
        <f t="shared" si="27"/>
        <v>0</v>
      </c>
      <c r="M73" s="36">
        <f t="shared" si="27"/>
        <v>0</v>
      </c>
      <c r="N73" s="36">
        <f t="shared" si="27"/>
        <v>0</v>
      </c>
      <c r="O73" s="36">
        <f t="shared" si="27"/>
        <v>0</v>
      </c>
      <c r="P73" s="36">
        <f t="shared" si="27"/>
        <v>0</v>
      </c>
      <c r="Q73" s="36">
        <f t="shared" si="27"/>
        <v>0</v>
      </c>
      <c r="R73" s="36">
        <f t="shared" si="27"/>
        <v>0</v>
      </c>
      <c r="S73" s="36">
        <f t="shared" ref="S73:U73" si="28">+S71-S72</f>
        <v>0</v>
      </c>
      <c r="T73" s="36">
        <f t="shared" si="28"/>
        <v>0</v>
      </c>
      <c r="U73" s="36">
        <f t="shared" si="28"/>
        <v>0</v>
      </c>
    </row>
    <row r="74" spans="2:21" outlineLevel="1" x14ac:dyDescent="0.2">
      <c r="B74" s="64"/>
      <c r="C74" s="24"/>
      <c r="D74" s="24"/>
      <c r="E74" s="24"/>
      <c r="F74" s="24"/>
      <c r="G74" s="24"/>
      <c r="H74" s="24"/>
      <c r="I74" s="24"/>
      <c r="J74" s="24"/>
      <c r="K74" s="24"/>
      <c r="L74" s="24"/>
      <c r="M74" s="24"/>
      <c r="N74" s="24"/>
      <c r="O74" s="24"/>
      <c r="P74" s="24"/>
      <c r="Q74" s="24"/>
      <c r="R74" s="24"/>
      <c r="S74" s="24"/>
      <c r="T74" s="24"/>
      <c r="U74" s="24"/>
    </row>
    <row r="75" spans="2:21" ht="10.5" customHeight="1" outlineLevel="1" x14ac:dyDescent="0.2">
      <c r="B75" s="72" t="s">
        <v>89</v>
      </c>
    </row>
    <row r="76" spans="2:21" x14ac:dyDescent="0.2">
      <c r="B76" s="62" t="s">
        <v>19</v>
      </c>
      <c r="C76" s="63">
        <v>-2.1474319999999998</v>
      </c>
      <c r="D76" s="63">
        <f>D58-D67</f>
        <v>-2.7944635100307016</v>
      </c>
      <c r="E76" s="63">
        <f t="shared" ref="E76:U76" si="29">E58-E67</f>
        <v>-2.6558245481945724</v>
      </c>
      <c r="F76" s="63">
        <f t="shared" si="29"/>
        <v>-2.9743138122066721</v>
      </c>
      <c r="G76" s="63">
        <f t="shared" si="29"/>
        <v>-3.2776031699111758</v>
      </c>
      <c r="H76" s="63">
        <f t="shared" si="29"/>
        <v>-3.471540295417844</v>
      </c>
      <c r="I76" s="63">
        <f t="shared" si="29"/>
        <v>-3.7504978219290477</v>
      </c>
      <c r="J76" s="63">
        <f t="shared" si="29"/>
        <v>-3.9423581370251952</v>
      </c>
      <c r="K76" s="63">
        <f t="shared" si="29"/>
        <v>-4.1432095651840246</v>
      </c>
      <c r="L76" s="63">
        <f t="shared" si="29"/>
        <v>-4.6552968422182124</v>
      </c>
      <c r="M76" s="63">
        <f t="shared" si="29"/>
        <v>-4.8978943200100158</v>
      </c>
      <c r="N76" s="63">
        <f t="shared" si="29"/>
        <v>-5.2279197150915255</v>
      </c>
      <c r="O76" s="63">
        <f t="shared" si="29"/>
        <v>-5.5521078971172138</v>
      </c>
      <c r="P76" s="63">
        <f t="shared" si="29"/>
        <v>-5.9700395437145541</v>
      </c>
      <c r="Q76" s="63">
        <f t="shared" si="29"/>
        <v>-6.1895292122508376</v>
      </c>
      <c r="R76" s="63">
        <f t="shared" si="29"/>
        <v>-6.498171368653189</v>
      </c>
      <c r="S76" s="63">
        <f t="shared" si="29"/>
        <v>-6.9038524380068989</v>
      </c>
      <c r="T76" s="63">
        <f t="shared" si="29"/>
        <v>-7.21144022456747</v>
      </c>
      <c r="U76" s="63">
        <f t="shared" si="29"/>
        <v>-7.5153323338544578</v>
      </c>
    </row>
    <row r="77" spans="2:21" x14ac:dyDescent="0.2">
      <c r="B77" s="16" t="s">
        <v>20</v>
      </c>
      <c r="C77" s="24">
        <v>-1.81443</v>
      </c>
      <c r="D77" s="24">
        <f>D59-D67-D70-D63-D64-D65</f>
        <v>-2.6347343825963128</v>
      </c>
      <c r="E77" s="24">
        <f t="shared" ref="E77:U77" si="30">E59-E67-E70-E63-E64-E65</f>
        <v>-2.7533002163680544</v>
      </c>
      <c r="F77" s="24">
        <f t="shared" si="30"/>
        <v>-3.0392988344235157</v>
      </c>
      <c r="G77" s="24">
        <f t="shared" si="30"/>
        <v>-3.2992616577010088</v>
      </c>
      <c r="H77" s="24">
        <f t="shared" si="30"/>
        <v>-3.4715397938194141</v>
      </c>
      <c r="I77" s="24">
        <f t="shared" si="30"/>
        <v>-3.7504961496838014</v>
      </c>
      <c r="J77" s="24">
        <f t="shared" si="30"/>
        <v>-3.9423572451326852</v>
      </c>
      <c r="K77" s="24">
        <f t="shared" si="30"/>
        <v>-4.1432071127083239</v>
      </c>
      <c r="L77" s="24">
        <f t="shared" si="30"/>
        <v>-4.6552955605841051</v>
      </c>
      <c r="M77" s="24">
        <f t="shared" si="30"/>
        <v>-4.8978953816433215</v>
      </c>
      <c r="N77" s="24">
        <f t="shared" si="30"/>
        <v>-5.2279219470118363</v>
      </c>
      <c r="O77" s="24">
        <f t="shared" si="30"/>
        <v>-5.5521116876286998</v>
      </c>
      <c r="P77" s="24">
        <f t="shared" si="30"/>
        <v>-5.9700441126279307</v>
      </c>
      <c r="Q77" s="24">
        <f t="shared" si="30"/>
        <v>-6.1895326139063931</v>
      </c>
      <c r="R77" s="24">
        <f t="shared" si="30"/>
        <v>-6.4981755478678629</v>
      </c>
      <c r="S77" s="24">
        <f t="shared" si="30"/>
        <v>-6.9038585611194119</v>
      </c>
      <c r="T77" s="24">
        <f t="shared" si="30"/>
        <v>-7.211446347679983</v>
      </c>
      <c r="U77" s="24">
        <f t="shared" si="30"/>
        <v>-7.5153384569669619</v>
      </c>
    </row>
    <row r="78" spans="2:21" x14ac:dyDescent="0.2">
      <c r="B78" s="25" t="s">
        <v>90</v>
      </c>
      <c r="C78" s="231">
        <f>'Input data'!C45</f>
        <v>4.9156094989605004</v>
      </c>
      <c r="D78" s="231">
        <f>'Input data'!D45</f>
        <v>6.3502551275700831</v>
      </c>
      <c r="E78" s="36">
        <f>'Input data'!E33+E41-(E$12-D$12-(E$63-D63))/'Input data'!$C$64*100</f>
        <v>4.7994787177570677</v>
      </c>
      <c r="F78" s="36">
        <f>'Input data'!F33+F41-(F$12-E$12-(F$63-E63))/'Input data'!$C$64*100</f>
        <v>4.6727937177570578</v>
      </c>
      <c r="G78" s="36">
        <f>'Input data'!G33+G41-(G$12-F$12-(G$63-F63))/'Input data'!$C$64*100</f>
        <v>4.3596047177570671</v>
      </c>
      <c r="H78" s="36">
        <f>'Input data'!H33+H41-(H$12-G$12-(H$63-G63))/'Input data'!$C$64*100</f>
        <v>4.0079590000000005</v>
      </c>
      <c r="I78" s="36">
        <f>'Input data'!I33+I41-(I$12-H$12-(I$63-H63))/'Input data'!$C$64*100</f>
        <v>4.1691307177570671</v>
      </c>
      <c r="J78" s="36">
        <f>'Input data'!J33+J41-(J$12-I$12-(J$63-I63))/'Input data'!$C$64*100</f>
        <v>3.8495149999999914</v>
      </c>
      <c r="K78" s="36">
        <f>'Input data'!K33+K41-(K$12-J$12-(K$63-J63))/'Input data'!$C$64*100</f>
        <v>3.7663659999999997</v>
      </c>
      <c r="L78" s="36">
        <f>'Input data'!L33+L41-(L$12-K$12-(L$63-K63))/'Input data'!$C$64*100</f>
        <v>4.3564591532711923</v>
      </c>
      <c r="M78" s="36">
        <f>'Input data'!M33+M41-(M$12-L$12-(M$63-L63))/'Input data'!$C$64*100</f>
        <v>3.4808219999999999</v>
      </c>
      <c r="N78" s="36">
        <f>'Input data'!N33+N41-(N$12-M$12-(N$63-M63))/'Input data'!$C$64*100</f>
        <v>3.8189257177570668</v>
      </c>
      <c r="O78" s="36">
        <f>'Input data'!O33+O41-(O$12-N$12-(O$63-N63))/'Input data'!$C$64*100</f>
        <v>3.9183177177570667</v>
      </c>
      <c r="P78" s="36">
        <f>'Input data'!P33+P41-(P$12-O$12-(P$63-O63))/'Input data'!$C$64*100</f>
        <v>4.2564214355141257</v>
      </c>
      <c r="Q78" s="36">
        <f>'Input data'!Q33+Q41-(Q$12-P$12-(Q$63-P63))/'Input data'!$C$64*100</f>
        <v>3.7919999999999998</v>
      </c>
      <c r="R78" s="36">
        <f>'Input data'!R33+R41-(R$12-Q$12-(R$63-Q63))/'Input data'!$C$64*100</f>
        <v>4.0937107177570589</v>
      </c>
      <c r="S78" s="36">
        <f>'Input data'!S33+S41-(S$12-R$12-(S$63-R63))/'Input data'!$C$64*100</f>
        <v>4.3154214355141338</v>
      </c>
      <c r="T78" s="36">
        <f>'Input data'!T33+T41-(T$12-S$12-(T$63-S63))/'Input data'!$C$64*100</f>
        <v>4.0597107177570591</v>
      </c>
      <c r="U78" s="36">
        <f>'Input data'!U33+U41-(U$12-T$12-(U$63-T63))/'Input data'!$C$64*100</f>
        <v>4.0527107177570674</v>
      </c>
    </row>
    <row r="79" spans="2:21" x14ac:dyDescent="0.2">
      <c r="C79" s="24"/>
      <c r="D79" s="24"/>
      <c r="E79" s="24"/>
      <c r="F79" s="24"/>
      <c r="G79" s="24"/>
      <c r="H79" s="24"/>
      <c r="I79" s="24"/>
      <c r="J79" s="24"/>
      <c r="K79" s="24"/>
      <c r="L79" s="24"/>
      <c r="M79" s="24"/>
      <c r="N79" s="24"/>
      <c r="O79" s="24"/>
      <c r="P79" s="24"/>
      <c r="Q79" s="24"/>
      <c r="R79" s="24"/>
      <c r="S79" s="24"/>
      <c r="T79" s="24"/>
      <c r="U79" s="24"/>
    </row>
    <row r="81" spans="2:21" s="73" customFormat="1" ht="12.75" outlineLevel="1" x14ac:dyDescent="0.2">
      <c r="B81" s="74" t="s">
        <v>91</v>
      </c>
      <c r="C81" s="76"/>
      <c r="D81" s="75"/>
    </row>
    <row r="82" spans="2:21" x14ac:dyDescent="0.2">
      <c r="C82" s="24"/>
      <c r="D82" s="24"/>
      <c r="E82" s="24"/>
      <c r="F82" s="24"/>
      <c r="G82" s="24"/>
      <c r="H82" s="24"/>
      <c r="I82" s="24"/>
      <c r="J82" s="24"/>
      <c r="K82" s="24"/>
      <c r="L82" s="24"/>
      <c r="M82" s="24"/>
      <c r="N82" s="24"/>
      <c r="O82" s="24"/>
      <c r="P82" s="24"/>
      <c r="Q82" s="24"/>
      <c r="R82" s="24"/>
      <c r="S82" s="24"/>
      <c r="T82" s="24"/>
      <c r="U82" s="24"/>
    </row>
    <row r="83" spans="2:21" x14ac:dyDescent="0.2">
      <c r="B83" s="16" t="s">
        <v>92</v>
      </c>
      <c r="C83" s="19"/>
      <c r="D83" s="19">
        <f>IF(C$10&lt;_xlfn.NUMBERVALUE(RIGHT('Input data'!$B$66,4)),"",
IF((D87-C87*D42/((1+D23/100)*(1+D41/100)))&gt;0,1,0))</f>
        <v>1</v>
      </c>
      <c r="E83" s="19">
        <f t="shared" ref="E83:U83" si="31">IF((E87-D87*E42/((1+E23/100)*(1+E41/100)))&gt;0,1,0)</f>
        <v>1</v>
      </c>
      <c r="F83" s="19">
        <f t="shared" si="31"/>
        <v>1</v>
      </c>
      <c r="G83" s="19">
        <f t="shared" si="31"/>
        <v>1</v>
      </c>
      <c r="H83" s="19">
        <f t="shared" si="31"/>
        <v>1</v>
      </c>
      <c r="I83" s="19">
        <f t="shared" si="31"/>
        <v>1</v>
      </c>
      <c r="J83" s="19">
        <f t="shared" si="31"/>
        <v>1</v>
      </c>
      <c r="K83" s="19">
        <f t="shared" si="31"/>
        <v>1</v>
      </c>
      <c r="L83" s="19">
        <f t="shared" si="31"/>
        <v>1</v>
      </c>
      <c r="M83" s="19">
        <f t="shared" si="31"/>
        <v>1</v>
      </c>
      <c r="N83" s="19">
        <f t="shared" si="31"/>
        <v>1</v>
      </c>
      <c r="O83" s="19">
        <f t="shared" si="31"/>
        <v>1</v>
      </c>
      <c r="P83" s="19">
        <f t="shared" si="31"/>
        <v>1</v>
      </c>
      <c r="Q83" s="19">
        <f t="shared" si="31"/>
        <v>1</v>
      </c>
      <c r="R83" s="19">
        <f t="shared" si="31"/>
        <v>1</v>
      </c>
      <c r="S83" s="19">
        <f t="shared" si="31"/>
        <v>1</v>
      </c>
      <c r="T83" s="19">
        <f t="shared" si="31"/>
        <v>1</v>
      </c>
      <c r="U83" s="19">
        <f t="shared" si="31"/>
        <v>1</v>
      </c>
    </row>
    <row r="84" spans="2:21" x14ac:dyDescent="0.2">
      <c r="B84" s="16" t="s">
        <v>93</v>
      </c>
      <c r="C84" s="19"/>
      <c r="D84" s="19">
        <f>IF(C$10&lt;_xlfn.NUMBERVALUE(RIGHT('Input data'!$B$66,4)),"",
IF(AND(D83=0,ABS(D87-C87*D42/((1+D23/100)*(1+D41/100)))&lt;((C93*C87*D42/((1+D23/100)*(1+D41/100))+(D38*C87*C94*D42/((1+D23/100)*(1+D41/100)))))),1,0))</f>
        <v>0</v>
      </c>
      <c r="E84" s="19">
        <f t="shared" ref="E84:U84" si="32">IF(AND(E83=0,ABS(E87-D87*E42/((1+E23/100)*(1+E41/100)))&lt;((D93*D87*E42/((1+E23/100)*(1+E41/100))+(E38*D87*D94*E42/((1+E23/100)*(1+E41/100)))))),1,0)</f>
        <v>0</v>
      </c>
      <c r="F84" s="19">
        <f t="shared" si="32"/>
        <v>0</v>
      </c>
      <c r="G84" s="19">
        <f t="shared" si="32"/>
        <v>0</v>
      </c>
      <c r="H84" s="19">
        <f t="shared" si="32"/>
        <v>0</v>
      </c>
      <c r="I84" s="19">
        <f t="shared" si="32"/>
        <v>0</v>
      </c>
      <c r="J84" s="19">
        <f t="shared" si="32"/>
        <v>0</v>
      </c>
      <c r="K84" s="19">
        <f t="shared" si="32"/>
        <v>0</v>
      </c>
      <c r="L84" s="19">
        <f t="shared" si="32"/>
        <v>0</v>
      </c>
      <c r="M84" s="19">
        <f t="shared" si="32"/>
        <v>0</v>
      </c>
      <c r="N84" s="19">
        <f t="shared" si="32"/>
        <v>0</v>
      </c>
      <c r="O84" s="19">
        <f t="shared" si="32"/>
        <v>0</v>
      </c>
      <c r="P84" s="19">
        <f t="shared" si="32"/>
        <v>0</v>
      </c>
      <c r="Q84" s="19">
        <f t="shared" si="32"/>
        <v>0</v>
      </c>
      <c r="R84" s="19">
        <f t="shared" si="32"/>
        <v>0</v>
      </c>
      <c r="S84" s="19">
        <f t="shared" si="32"/>
        <v>0</v>
      </c>
      <c r="T84" s="19">
        <f t="shared" si="32"/>
        <v>0</v>
      </c>
      <c r="U84" s="19">
        <f t="shared" si="32"/>
        <v>0</v>
      </c>
    </row>
    <row r="86" spans="2:21" x14ac:dyDescent="0.2">
      <c r="B86" s="38"/>
      <c r="C86" s="68">
        <f>'Input data'!$C$5-1</f>
        <v>2025</v>
      </c>
      <c r="D86" s="68">
        <f>C86+1</f>
        <v>2026</v>
      </c>
      <c r="E86" s="68">
        <f t="shared" ref="E86:U86" si="33">D86+1</f>
        <v>2027</v>
      </c>
      <c r="F86" s="68">
        <f t="shared" si="33"/>
        <v>2028</v>
      </c>
      <c r="G86" s="68">
        <f t="shared" si="33"/>
        <v>2029</v>
      </c>
      <c r="H86" s="68">
        <f t="shared" si="33"/>
        <v>2030</v>
      </c>
      <c r="I86" s="68">
        <f t="shared" si="33"/>
        <v>2031</v>
      </c>
      <c r="J86" s="68">
        <f t="shared" si="33"/>
        <v>2032</v>
      </c>
      <c r="K86" s="68">
        <f t="shared" si="33"/>
        <v>2033</v>
      </c>
      <c r="L86" s="68">
        <f t="shared" si="33"/>
        <v>2034</v>
      </c>
      <c r="M86" s="68">
        <f t="shared" si="33"/>
        <v>2035</v>
      </c>
      <c r="N86" s="68">
        <f t="shared" si="33"/>
        <v>2036</v>
      </c>
      <c r="O86" s="68">
        <f t="shared" si="33"/>
        <v>2037</v>
      </c>
      <c r="P86" s="68">
        <f t="shared" si="33"/>
        <v>2038</v>
      </c>
      <c r="Q86" s="68">
        <f t="shared" si="33"/>
        <v>2039</v>
      </c>
      <c r="R86" s="68">
        <f t="shared" si="33"/>
        <v>2040</v>
      </c>
      <c r="S86" s="68">
        <f t="shared" si="33"/>
        <v>2041</v>
      </c>
      <c r="T86" s="68">
        <f t="shared" si="33"/>
        <v>2042</v>
      </c>
      <c r="U86" s="68">
        <f t="shared" si="33"/>
        <v>2043</v>
      </c>
    </row>
    <row r="87" spans="2:21" x14ac:dyDescent="0.2">
      <c r="B87" s="85" t="s">
        <v>71</v>
      </c>
      <c r="C87" s="89">
        <f>C56</f>
        <v>44.250230000000002</v>
      </c>
      <c r="D87" s="89">
        <f>D56</f>
        <v>45.838496420963068</v>
      </c>
      <c r="E87" s="89">
        <f t="shared" ref="E87:U87" si="34">D87*(1+E101/100)*E42-E59-E60+E61+E62+E63+E64+E65+E72</f>
        <v>47.042627896998859</v>
      </c>
      <c r="F87" s="89">
        <f t="shared" si="34"/>
        <v>48.037875540435664</v>
      </c>
      <c r="G87" s="89">
        <f t="shared" si="34"/>
        <v>49.449014710441539</v>
      </c>
      <c r="H87" s="89">
        <f t="shared" si="34"/>
        <v>51.025603577696707</v>
      </c>
      <c r="I87" s="89">
        <f t="shared" si="34"/>
        <v>52.830768398624791</v>
      </c>
      <c r="J87" s="89">
        <f t="shared" si="34"/>
        <v>54.798962816827839</v>
      </c>
      <c r="K87" s="89">
        <f t="shared" si="34"/>
        <v>56.937192792126538</v>
      </c>
      <c r="L87" s="89">
        <f t="shared" si="34"/>
        <v>59.577012228005934</v>
      </c>
      <c r="M87" s="89">
        <f t="shared" si="34"/>
        <v>62.45604114670666</v>
      </c>
      <c r="N87" s="89">
        <f t="shared" si="34"/>
        <v>65.50819084154422</v>
      </c>
      <c r="O87" s="89">
        <f t="shared" si="34"/>
        <v>68.716102027930717</v>
      </c>
      <c r="P87" s="89">
        <f t="shared" si="34"/>
        <v>72.162164328378324</v>
      </c>
      <c r="Q87" s="89">
        <f t="shared" si="34"/>
        <v>75.692153890946713</v>
      </c>
      <c r="R87" s="89">
        <f t="shared" si="34"/>
        <v>79.355391124339633</v>
      </c>
      <c r="S87" s="89">
        <f t="shared" si="34"/>
        <v>83.299807115195208</v>
      </c>
      <c r="T87" s="89">
        <f t="shared" si="34"/>
        <v>87.418050599099303</v>
      </c>
      <c r="U87" s="89">
        <f t="shared" si="34"/>
        <v>91.692977670792843</v>
      </c>
    </row>
    <row r="88" spans="2:21" x14ac:dyDescent="0.2">
      <c r="B88" s="16" t="s">
        <v>94</v>
      </c>
      <c r="C88" s="24">
        <f>IF(C$10&lt;_xlfn.NUMBERVALUE(RIGHT('Input data'!$B$66,4)),"",
IF(C$10=_xlfn.NUMBERVALUE(RIGHT('Input data'!$B$66,4)),'Input data'!$C66*C$87,
IF(C87=0,0,IF(C83=1,B87*C42/((1+C23/100)*(1+C41/100))-C89-C90,IF(AND(C83=0,C84=1),(1-B93-C38*B94)*B87*C42/((1+C23/100)*(1+C41/100)),C87)))))</f>
        <v>37.049729999999997</v>
      </c>
      <c r="D88" s="24">
        <f>IF(D$10&lt;_xlfn.NUMBERVALUE(RIGHT('Input data'!$B$66,4)),"",
IF(D$10=_xlfn.NUMBERVALUE(RIGHT('Input data'!$B$66,4)),'Input data'!$C66*D$87,
IF(D87=0,0,IF(D83=1,C87*D42/((1+D23/100)*(1+D41/100))-D89-D90,IF(AND(D83=0,D84=1),(1-C93-D38*C94)*C87*D42/((1+D23/100)*(1+D41/100)),D87)))))</f>
        <v>38.429584030670604</v>
      </c>
      <c r="E88" s="24">
        <f>IF(E$10&lt;_xlfn.NUMBERVALUE(RIGHT('Input data'!$B$66,4)),"",
IF(E$10=_xlfn.NUMBERVALUE(RIGHT('Input data'!$B$66,4)),'Input data'!$C66*E$87,
IF(E87=0,0,IF(E83=1,D87*E42/((1+E23/100)*(1+E41/100))-E89-E90,IF(AND(E83=0,E84=1),(1-D93-E38*D94)*D87*E42/((1+E23/100)*(1+E41/100)),E87)))))</f>
        <v>39.475992236529102</v>
      </c>
      <c r="F88" s="24">
        <f>IF(F$10&lt;_xlfn.NUMBERVALUE(RIGHT('Input data'!$B$66,4)),"",
IF(F$10=_xlfn.NUMBERVALUE(RIGHT('Input data'!$B$66,4)),'Input data'!$C66*F$87,
IF(F87=0,0,IF(F83=1,E87*F42/((1+F23/100)*(1+F41/100))-F89-F90,IF(AND(F83=0,F84=1),(1-E93-F38*E94)*E87*F42/((1+F23/100)*(1+F41/100)),F87)))))</f>
        <v>40.783533882920338</v>
      </c>
      <c r="G88" s="24">
        <f>IF(G$10&lt;_xlfn.NUMBERVALUE(RIGHT('Input data'!$B$66,4)),"",
IF(G$10=_xlfn.NUMBERVALUE(RIGHT('Input data'!$B$66,4)),'Input data'!$C66*G$87,
IF(G87=0,0,IF(G83=1,F87*G42/((1+G23/100)*(1+G41/100))-G89-G90,IF(AND(G83=0,G84=1),(1-F93-G38*F94)*F87*G42/((1+G23/100)*(1+G41/100)),G87)))))</f>
        <v>41.717157017312317</v>
      </c>
      <c r="H88" s="24">
        <f>IF(H$10&lt;_xlfn.NUMBERVALUE(RIGHT('Input data'!$B$66,4)),"",
IF(H$10=_xlfn.NUMBERVALUE(RIGHT('Input data'!$B$66,4)),'Input data'!$C66*H$87,
IF(H87=0,0,IF(H83=1,G87*H42/((1+H23/100)*(1+H41/100))-H89-H90,IF(AND(H83=0,H84=1),(1-G93-H38*G94)*G87*H42/((1+H23/100)*(1+H41/100)),H87)))))</f>
        <v>42.895267944465829</v>
      </c>
      <c r="I88" s="24">
        <f>IF(I$10&lt;_xlfn.NUMBERVALUE(RIGHT('Input data'!$B$66,4)),"",
IF(I$10=_xlfn.NUMBERVALUE(RIGHT('Input data'!$B$66,4)),'Input data'!$C66*I$87,
IF(I87=0,0,IF(I83=1,H87*I42/((1+I23/100)*(1+I41/100))-I89-I90,IF(AND(I83=0,I84=1),(1-H93-I38*H94)*H87*I42/((1+I23/100)*(1+I41/100)),I87)))))</f>
        <v>44.199997051083621</v>
      </c>
      <c r="J88" s="24">
        <f>IF(J$10&lt;_xlfn.NUMBERVALUE(RIGHT('Input data'!$B$66,4)),"",
IF(J$10=_xlfn.NUMBERVALUE(RIGHT('Input data'!$B$66,4)),'Input data'!$C66*J$87,
IF(J87=0,0,IF(J83=1,I87*J42/((1+J23/100)*(1+J41/100))-J89-J90,IF(AND(J83=0,J84=1),(1-I93-J38*I94)*I87*J42/((1+J23/100)*(1+J41/100)),J87)))))</f>
        <v>45.726132126138921</v>
      </c>
      <c r="K88" s="24">
        <f>IF(K$10&lt;_xlfn.NUMBERVALUE(RIGHT('Input data'!$B$66,4)),"",
IF(K$10=_xlfn.NUMBERVALUE(RIGHT('Input data'!$B$66,4)),'Input data'!$C66*K$87,
IF(K87=0,0,IF(K83=1,J87*K42/((1+K23/100)*(1+K41/100))-K89-K90,IF(AND(K83=0,K84=1),(1-J93-K38*J94)*J87*K42/((1+K23/100)*(1+K41/100)),K87)))))</f>
        <v>47.393751583087912</v>
      </c>
      <c r="L88" s="24">
        <f>IF(L$10&lt;_xlfn.NUMBERVALUE(RIGHT('Input data'!$B$66,4)),"",
IF(L$10=_xlfn.NUMBERVALUE(RIGHT('Input data'!$B$66,4)),'Input data'!$C66*L$87,
IF(L87=0,0,IF(L83=1,K87*L42/((1+L23/100)*(1+L41/100))-L89-L90,IF(AND(L83=0,L84=1),(1-K93-L38*K94)*K87*L42/((1+L23/100)*(1+L41/100)),L87)))))</f>
        <v>49.22863771336614</v>
      </c>
      <c r="M88" s="24">
        <f>IF(M$10&lt;_xlfn.NUMBERVALUE(RIGHT('Input data'!$B$66,4)),"",
IF(M$10=_xlfn.NUMBERVALUE(RIGHT('Input data'!$B$66,4)),'Input data'!$C66*M$87,
IF(M87=0,0,IF(M83=1,L87*M42/((1+M23/100)*(1+M41/100))-M89-M90,IF(AND(M83=0,M84=1),(1-L93-M38*L94)*L87*M42/((1+M23/100)*(1+M41/100)),M87)))))</f>
        <v>51.513169473765018</v>
      </c>
      <c r="N88" s="24">
        <f>IF(N$10&lt;_xlfn.NUMBERVALUE(RIGHT('Input data'!$B$66,4)),"",
IF(N$10=_xlfn.NUMBERVALUE(RIGHT('Input data'!$B$66,4)),'Input data'!$C66*N$87,
IF(N87=0,0,IF(N83=1,M87*N42/((1+N23/100)*(1+N41/100))-N89-N90,IF(AND(N83=0,N84=1),(1-M93-N38*M94)*M87*N42/((1+N23/100)*(1+N41/100)),N87)))))</f>
        <v>53.917738025227187</v>
      </c>
      <c r="O88" s="24">
        <f>IF(O$10&lt;_xlfn.NUMBERVALUE(RIGHT('Input data'!$B$66,4)),"",
IF(O$10=_xlfn.NUMBERVALUE(RIGHT('Input data'!$B$66,4)),'Input data'!$C66*O$87,
IF(O87=0,0,IF(O83=1,N87*O42/((1+O23/100)*(1+O41/100))-O89-O90,IF(AND(O83=0,O84=1),(1-N93-O38*N94)*N87*O42/((1+O23/100)*(1+O41/100)),O87)))))</f>
        <v>56.465966179878109</v>
      </c>
      <c r="P88" s="24">
        <f>IF(P$10&lt;_xlfn.NUMBERVALUE(RIGHT('Input data'!$B$66,4)),"",
IF(P$10=_xlfn.NUMBERVALUE(RIGHT('Input data'!$B$66,4)),'Input data'!$C66*P$87,
IF(P87=0,0,IF(P83=1,O87*P42/((1+P23/100)*(1+P41/100))-P89-P90,IF(AND(P83=0,P84=1),(1-O93-P38*O94)*O87*P42/((1+P23/100)*(1+P41/100)),P87)))))</f>
        <v>59.142605558351143</v>
      </c>
      <c r="Q88" s="24">
        <f>IF(Q$10&lt;_xlfn.NUMBERVALUE(RIGHT('Input data'!$B$66,4)),"",
IF(Q$10=_xlfn.NUMBERVALUE(RIGHT('Input data'!$B$66,4)),'Input data'!$C66*Q$87,
IF(Q87=0,0,IF(Q83=1,P87*Q42/((1+Q23/100)*(1+Q41/100))-Q89-Q90,IF(AND(Q83=0,Q84=1),(1-P93-Q38*P94)*P87*Q42/((1+Q23/100)*(1+Q41/100)),Q87)))))</f>
        <v>62.070508157391238</v>
      </c>
      <c r="R88" s="24">
        <f>IF(R$10&lt;_xlfn.NUMBERVALUE(RIGHT('Input data'!$B$66,4)),"",
IF(R$10=_xlfn.NUMBERVALUE(RIGHT('Input data'!$B$66,4)),'Input data'!$C66*R$87,
IF(R87=0,0,IF(R83=1,Q87*R42/((1+R23/100)*(1+R41/100))-R89-R90,IF(AND(R83=0,R84=1),(1-Q93-R38*Q94)*Q87*R42/((1+R23/100)*(1+R41/100)),R87)))))</f>
        <v>65.037849772539744</v>
      </c>
      <c r="S88" s="24">
        <f t="shared" ref="S88:U88" si="35">IF(S87=0,0,IF(S83=1,R87*S42/((1+S23/100)*(1+S41/100))-S89-S90,IF(AND(S83=0,S84=1),(1-R93-S38*R94)*R87*S42/((1+S23/100)*(1+S41/100)),S87)))</f>
        <v>68.169276886829465</v>
      </c>
      <c r="T88" s="24">
        <f t="shared" si="35"/>
        <v>71.542740103839307</v>
      </c>
      <c r="U88" s="24">
        <f t="shared" si="35"/>
        <v>75.059109360205554</v>
      </c>
    </row>
    <row r="89" spans="2:21" x14ac:dyDescent="0.2">
      <c r="B89" s="84" t="s">
        <v>95</v>
      </c>
      <c r="C89" s="26">
        <f>IF(C$10&lt;_xlfn.NUMBERVALUE(RIGHT('Input data'!$B$66,4)),"",
IF(C$10=_xlfn.NUMBERVALUE(RIGHT('Input data'!$B$66,4)),'Input data'!$C67*C$87,
IF(C87=0,0,IF(C83=1,C38*B87*B94*C42/((1+C23/100)*(1+C41/100)),IF(AND(C83=0,C84=1),(C38*B87*B94*C42/((1+C23/100)*(1+C41/100)))*(1-ABS(C87-B87*C42/((1+C23/100)*(1+C41/100)))/((C38*B87*B94*C42/((1+C23/100)*(1+C41/100)))+(B93*B87*C42/((1+C23/100)*(1+C41/100))))),0)))))</f>
        <v>2.7018460000000002</v>
      </c>
      <c r="D89" s="24">
        <f>IF(D$10&lt;_xlfn.NUMBERVALUE(RIGHT('Input data'!$B$66,4)),"",
IF(D$10=_xlfn.NUMBERVALUE(RIGHT('Input data'!$B$66,4)),'Input data'!$C67*D$87,
IF(D87=0,0,IF(D83=1,D38*C87*C94*D42/((1+D23/100)*(1+D41/100)),IF(AND(D83=0,D84=1),(D38*C87*C94*D42/((1+D23/100)*(1+D41/100)))*(1-ABS(D87-C87*D42/((1+D23/100)*(1+D41/100)))/((D38*C87*C94*D42/((1+D23/100)*(1+D41/100)))+(C93*C87*D42/((1+D23/100)*(1+D41/100))))),0)))))</f>
        <v>2.8142826680856383</v>
      </c>
      <c r="E89" s="24">
        <f>IF(E$10&lt;_xlfn.NUMBERVALUE(RIGHT('Input data'!$B$66,4)),"",
IF(E$10=_xlfn.NUMBERVALUE(RIGHT('Input data'!$B$66,4)),'Input data'!$C67*E$87,
IF(E87=0,0,IF(E83=1,E38*D87*D94*E42/((1+E23/100)*(1+E41/100)),IF(AND(E83=0,E84=1),(E38*D87*D94*E42/((1+E23/100)*(1+E41/100)))*(1-ABS(E87-D87*E42/((1+E23/100)*(1+E41/100)))/((E38*D87*D94*E42/((1+E23/100)*(1+E41/100)))+(D93*D87*E42/((1+E23/100)*(1+E41/100))))),0)))))</f>
        <v>2.9283970896892337</v>
      </c>
      <c r="F89" s="24">
        <f>IF(F$10&lt;_xlfn.NUMBERVALUE(RIGHT('Input data'!$B$66,4)),"",
IF(F$10=_xlfn.NUMBERVALUE(RIGHT('Input data'!$B$66,4)),'Input data'!$C67*F$87,
IF(F87=0,0,IF(F83=1,F38*E87*E94*F42/((1+F23/100)*(1+F41/100)),IF(AND(F83=0,F84=1),(F38*E87*E94*F42/((1+F23/100)*(1+F41/100)))*(1-ABS(F87-E87*F42/((1+F23/100)*(1+F41/100)))/((F38*E87*E94*F42/((1+F23/100)*(1+F41/100)))+(E93*E87*F42/((1+F23/100)*(1+F41/100))))),0)))))</f>
        <v>3.0641865117629914</v>
      </c>
      <c r="G89" s="24">
        <f>IF(G$10&lt;_xlfn.NUMBERVALUE(RIGHT('Input data'!$B$66,4)),"",
IF(G$10=_xlfn.NUMBERVALUE(RIGHT('Input data'!$B$66,4)),'Input data'!$C67*G$87,
IF(G87=0,0,IF(G83=1,G38*F87*F94*G42/((1+G23/100)*(1+G41/100)),IF(AND(G83=0,G84=1),(G38*F87*F94*G42/((1+G23/100)*(1+G41/100)))*(1-ABS(G87-F87*G42/((1+G23/100)*(1+G41/100)))/((G38*F87*F94*G42/((1+G23/100)*(1+G41/100)))+(F93*F87*G42/((1+G23/100)*(1+G41/100))))),0)))))</f>
        <v>3.1740844995901547</v>
      </c>
      <c r="H89" s="24">
        <f>IF(H$10&lt;_xlfn.NUMBERVALUE(RIGHT('Input data'!$B$66,4)),"",
IF(H$10=_xlfn.NUMBERVALUE(RIGHT('Input data'!$B$66,4)),'Input data'!$C67*H$87,
IF(H87=0,0,IF(H83=1,H38*G87*G94*H42/((1+H23/100)*(1+H41/100)),IF(AND(H83=0,H84=1),(H38*G87*G94*H42/((1+H23/100)*(1+H41/100)))*(1-ABS(H87-G87*H42/((1+H23/100)*(1+H41/100)))/((H38*G87*G94*H42/((1+H23/100)*(1+H41/100)))+(G93*G87*H42/((1+H23/100)*(1+H41/100))))),0)))))</f>
        <v>3.3046693278557036</v>
      </c>
      <c r="I89" s="24">
        <f>IF(I$10&lt;_xlfn.NUMBERVALUE(RIGHT('Input data'!$B$66,4)),"",
IF(I$10=_xlfn.NUMBERVALUE(RIGHT('Input data'!$B$66,4)),'Input data'!$C67*I$87,
IF(I87=0,0,IF(I83=1,I38*H87*H94*I42/((1+I23/100)*(1+I41/100)),IF(AND(I83=0,I84=1),(I38*H87*H94*I42/((1+I23/100)*(1+I41/100)))*(1-ABS(I87-H87*I42/((1+I23/100)*(1+I41/100)))/((I38*H87*H94*I42/((1+I23/100)*(1+I41/100)))+(H93*H87*I42/((1+I23/100)*(1+I41/100))))),0)))))</f>
        <v>3.4474538854016177</v>
      </c>
      <c r="J89" s="24">
        <f>IF(J$10&lt;_xlfn.NUMBERVALUE(RIGHT('Input data'!$B$66,4)),"",
IF(J$10=_xlfn.NUMBERVALUE(RIGHT('Input data'!$B$66,4)),'Input data'!$C67*J$87,
IF(J87=0,0,IF(J83=1,J38*I87*I94*J42/((1+J23/100)*(1+J41/100)),IF(AND(J83=0,J84=1),(J38*I87*I94*J42/((1+J23/100)*(1+J41/100)))*(1-ABS(J87-I87*J42/((1+J23/100)*(1+J41/100)))/((J38*I87*I94*J42/((1+J23/100)*(1+J41/100)))+(I93*I87*J42/((1+J23/100)*(1+J41/100))))),0)))))</f>
        <v>3.6102922013915304</v>
      </c>
      <c r="K89" s="24">
        <f>IF(K$10&lt;_xlfn.NUMBERVALUE(RIGHT('Input data'!$B$66,4)),"",
IF(K$10=_xlfn.NUMBERVALUE(RIGHT('Input data'!$B$66,4)),'Input data'!$C67*K$87,
IF(K87=0,0,IF(K83=1,K38*J87*J94*K42/((1+K23/100)*(1+K41/100)),IF(AND(K83=0,K84=1),(K38*J87*J94*K42/((1+K23/100)*(1+K41/100)))*(1-ABS(K87-J87*K42/((1+K23/100)*(1+K41/100)))/((K38*J87*J94*K42/((1+K23/100)*(1+K41/100)))+(J93*J87*K42/((1+K23/100)*(1+K41/100))))),0)))))</f>
        <v>3.7874416985714059</v>
      </c>
      <c r="L89" s="24">
        <f>IF(L$10&lt;_xlfn.NUMBERVALUE(RIGHT('Input data'!$B$66,4)),"",
IF(L$10=_xlfn.NUMBERVALUE(RIGHT('Input data'!$B$66,4)),'Input data'!$C67*L$87,
IF(L87=0,0,IF(L83=1,L38*K87*K94*L42/((1+L23/100)*(1+L41/100)),IF(AND(L83=0,L84=1),(L38*K87*K94*L42/((1+L23/100)*(1+L41/100)))*(1-ABS(L87-K87*L42/((1+L23/100)*(1+L41/100)))/((L38*K87*K94*L42/((1+L23/100)*(1+L41/100)))+(K93*K87*L42/((1+L23/100)*(1+L41/100))))),0)))))</f>
        <v>3.981403630973404</v>
      </c>
      <c r="M89" s="24">
        <f>IF(M$10&lt;_xlfn.NUMBERVALUE(RIGHT('Input data'!$B$66,4)),"",
IF(M$10=_xlfn.NUMBERVALUE(RIGHT('Input data'!$B$66,4)),'Input data'!$C67*M$87,
IF(M87=0,0,IF(M83=1,M38*L87*L94*M42/((1+M23/100)*(1+M41/100)),IF(AND(M83=0,M84=1),(M38*L87*L94*M42/((1+M23/100)*(1+M41/100)))*(1-ABS(M87-L87*M42/((1+M23/100)*(1+M41/100)))/((M38*L87*L94*M42/((1+M23/100)*(1+M41/100)))+(L93*L87*M42/((1+M23/100)*(1+M41/100))))),0)))))</f>
        <v>4.215779641657007</v>
      </c>
      <c r="N89" s="24">
        <f>IF(N$10&lt;_xlfn.NUMBERVALUE(RIGHT('Input data'!$B$66,4)),"",
IF(N$10=_xlfn.NUMBERVALUE(RIGHT('Input data'!$B$66,4)),'Input data'!$C67*N$87,
IF(N87=0,0,IF(N83=1,N38*M87*M94*N42/((1+N23/100)*(1+N41/100)),IF(AND(N83=0,N84=1),(N38*M87*M94*N42/((1+N23/100)*(1+N41/100)))*(1-ABS(N87-M87*N42/((1+N23/100)*(1+N41/100)))/((N38*M87*M94*N42/((1+N23/100)*(1+N41/100)))+(M93*M87*N42/((1+N23/100)*(1+N41/100))))),0)))))</f>
        <v>4.4125668176312134</v>
      </c>
      <c r="O89" s="24">
        <f>IF(O$10&lt;_xlfn.NUMBERVALUE(RIGHT('Input data'!$B$66,4)),"",
IF(O$10=_xlfn.NUMBERVALUE(RIGHT('Input data'!$B$66,4)),'Input data'!$C67*O$87,
IF(O87=0,0,IF(O83=1,O38*N87*N94*O42/((1+O23/100)*(1+O41/100)),IF(AND(O83=0,O84=1),(O38*N87*N94*O42/((1+O23/100)*(1+O41/100)))*(1-ABS(O87-N87*O42/((1+O23/100)*(1+O41/100)))/((O38*N87*N94*O42/((1+O23/100)*(1+O41/100)))+(N93*N87*O42/((1+O23/100)*(1+O41/100))))),0)))))</f>
        <v>4.6211109333673983</v>
      </c>
      <c r="P89" s="24">
        <f>IF(P$10&lt;_xlfn.NUMBERVALUE(RIGHT('Input data'!$B$66,4)),"",
IF(P$10=_xlfn.NUMBERVALUE(RIGHT('Input data'!$B$66,4)),'Input data'!$C67*P$87,
IF(P87=0,0,IF(P83=1,P38*O87*O94*P42/((1+P23/100)*(1+P41/100)),IF(AND(P83=0,P84=1),(P38*O87*O94*P42/((1+P23/100)*(1+P41/100)))*(1-ABS(P87-O87*P42/((1+P23/100)*(1+P41/100)))/((P38*O87*O94*P42/((1+P23/100)*(1+P41/100)))+(O93*O87*P42/((1+P23/100)*(1+P41/100))))),0)))))</f>
        <v>4.8401640787105711</v>
      </c>
      <c r="Q89" s="24">
        <f>IF(Q$10&lt;_xlfn.NUMBERVALUE(RIGHT('Input data'!$B$66,4)),"",
IF(Q$10=_xlfn.NUMBERVALUE(RIGHT('Input data'!$B$66,4)),'Input data'!$C67*Q$87,
IF(Q87=0,0,IF(Q83=1,Q38*P87*P94*Q42/((1+Q23/100)*(1+Q41/100)),IF(AND(Q83=0,Q84=1),(Q38*P87*P94*Q42/((1+Q23/100)*(1+Q41/100)))*(1-ABS(Q87-P87*Q42/((1+Q23/100)*(1+Q41/100)))/((Q38*P87*P94*Q42/((1+Q23/100)*(1+Q41/100)))+(P93*P87*Q42/((1+Q23/100)*(1+Q41/100))))),0)))))</f>
        <v>5.0797803223989755</v>
      </c>
      <c r="R89" s="24">
        <f>IF(R$10&lt;_xlfn.NUMBERVALUE(RIGHT('Input data'!$B$66,4)),"",
IF(R$10=_xlfn.NUMBERVALUE(RIGHT('Input data'!$B$66,4)),'Input data'!$C67*R$87,
IF(R87=0,0,IF(R83=1,R38*Q87*Q94*R42/((1+R23/100)*(1+R41/100)),IF(AND(R83=0,R84=1),(R38*Q87*Q94*R42/((1+R23/100)*(1+R41/100)))*(1-ABS(R87-Q87*R42/((1+R23/100)*(1+R41/100)))/((R38*Q87*Q94*R42/((1+R23/100)*(1+R41/100)))+(Q93*Q87*R42/((1+R23/100)*(1+R41/100))))),0)))))</f>
        <v>5.3226242106469259</v>
      </c>
      <c r="S89" s="24">
        <f t="shared" ref="S89:U89" si="36">IF(S87=0,0,IF(S83=1,S38*R87*R94*S42/((1+S23/100)*(1+S41/100)),IF(AND(S83=0,S84=1),(S38*R87*R94*S42/((1+S23/100)*(1+S41/100)))*(1-ABS(S87-R87*S42/((1+S23/100)*(1+S41/100)))/((S38*R87*R94*S42/((1+S23/100)*(1+S41/100)))+(R93*R87*S42/((1+S23/100)*(1+S41/100))))),0)))</f>
        <v>5.5788966709248493</v>
      </c>
      <c r="T89" s="24">
        <f t="shared" si="36"/>
        <v>5.8549770926389861</v>
      </c>
      <c r="U89" s="24">
        <f t="shared" si="36"/>
        <v>6.1427527833016873</v>
      </c>
    </row>
    <row r="90" spans="2:21" x14ac:dyDescent="0.2">
      <c r="B90" s="84" t="s">
        <v>96</v>
      </c>
      <c r="C90" s="26">
        <f>IF(C$10&lt;_xlfn.NUMBERVALUE(RIGHT('Input data'!$B$66,4)),"",
IF(C$10=_xlfn.NUMBERVALUE(RIGHT('Input data'!$B$66,4)),'Input data'!$C68*C$87,
IF(C87=0,0,IF(C83=1,(1-B94)*B87*C42/((1+C23/100)*(1+C41/100)),IF(AND(C83=0,C84=1),(B93*B87*C42/((1+C23/100)*(1+C41/100)))*(1-ABS(C87-B87*C42/((1+C23/100)*(1+C41/100)))/((C38*B87*B94*C42/((1+C23/100)*(1+C41/100)))+(B93*B87*C42/((1+C23/100)*(1+C41/100))))),0)))))</f>
        <v>0.96484409999999998</v>
      </c>
      <c r="D90" s="24">
        <f>IF(D$10&lt;_xlfn.NUMBERVALUE(RIGHT('Input data'!$B$66,4)),"",
IF(D$10=_xlfn.NUMBERVALUE(RIGHT('Input data'!$B$66,4)),'Input data'!$C68*D$87,
IF(D87=0,0,IF(D83=1,(1-C94)*C87*D42/((1+D23/100)*(1+D41/100)),IF(AND(D83=0,D84=1),(C93*C87*D42/((1+D23/100)*(1+D41/100)))*(1-ABS(D87-C87*D42/((1+D23/100)*(1+D41/100)))/((D38*C87*C94*D42/((1+D23/100)*(1+D41/100)))+(C93*C87*D42/((1+D23/100)*(1+D41/100))))),0)))))</f>
        <v>1.0541067161098168</v>
      </c>
      <c r="E90" s="24">
        <f>IF(E$10&lt;_xlfn.NUMBERVALUE(RIGHT('Input data'!$B$66,4)),"",
IF(E$10=_xlfn.NUMBERVALUE(RIGHT('Input data'!$B$66,4)),'Input data'!$C68*E$87,
IF(E87=0,0,IF(E83=1,(1-D94)*D87*E42/((1+E23/100)*(1+E41/100)),IF(AND(E83=0,E84=1),(D93*D87*E42/((1+E23/100)*(1+E41/100)))*(1-ABS(E87-D87*E42/((1+E23/100)*(1+E41/100)))/((E38*D87*D94*E42/((1+E23/100)*(1+E41/100)))+(D93*D87*E42/((1+E23/100)*(1+E41/100))))),0)))))</f>
        <v>1.1324151980160753</v>
      </c>
      <c r="F90" s="24">
        <f>IF(F$10&lt;_xlfn.NUMBERVALUE(RIGHT('Input data'!$B$66,4)),"",
IF(F$10=_xlfn.NUMBERVALUE(RIGHT('Input data'!$B$66,4)),'Input data'!$C68*F$87,
IF(F87=0,0,IF(F83=1,(1-E94)*E87*F42/((1+F23/100)*(1+F41/100)),IF(AND(F83=0,F84=1),(E93*E87*F42/((1+F23/100)*(1+F41/100)))*(1-ABS(F87-E87*F42/((1+F23/100)*(1+F41/100)))/((F38*E87*E94*F42/((1+F23/100)*(1+F41/100)))+(E93*E87*F42/((1+F23/100)*(1+F41/100))))),0)))))</f>
        <v>1.2158413021226493</v>
      </c>
      <c r="G90" s="24">
        <f>IF(G$10&lt;_xlfn.NUMBERVALUE(RIGHT('Input data'!$B$66,4)),"",
IF(G$10=_xlfn.NUMBERVALUE(RIGHT('Input data'!$B$66,4)),'Input data'!$C68*G$87,
IF(G87=0,0,IF(G83=1,(1-F94)*F87*G42/((1+G23/100)*(1+G41/100)),IF(AND(G83=0,G84=1),(F93*F87*G42/((1+G23/100)*(1+G41/100)))*(1-ABS(G87-F87*G42/((1+G23/100)*(1+G41/100)))/((G38*F87*F94*G42/((1+G23/100)*(1+G41/100)))+(F93*F87*G42/((1+G23/100)*(1+G41/100))))),0)))))</f>
        <v>1.2801699950238661</v>
      </c>
      <c r="H90" s="24">
        <f>IF(H$10&lt;_xlfn.NUMBERVALUE(RIGHT('Input data'!$B$66,4)),"",
IF(H$10=_xlfn.NUMBERVALUE(RIGHT('Input data'!$B$66,4)),'Input data'!$C68*H$87,
IF(H87=0,0,IF(H83=1,(1-G94)*G87*H42/((1+H23/100)*(1+H41/100)),IF(AND(H83=0,H84=1),(G93*G87*H42/((1+H23/100)*(1+H41/100)))*(1-ABS(H87-G87*H42/((1+H23/100)*(1+H41/100)))/((H38*G87*G94*H42/((1+H23/100)*(1+H41/100)))+(G93*G87*H42/((1+H23/100)*(1+H41/100))))),0)))))</f>
        <v>1.3541259703895054</v>
      </c>
      <c r="I90" s="24">
        <f>IF(I$10&lt;_xlfn.NUMBERVALUE(RIGHT('Input data'!$B$66,4)),"",
IF(I$10=_xlfn.NUMBERVALUE(RIGHT('Input data'!$B$66,4)),'Input data'!$C68*I$87,
IF(I87=0,0,IF(I83=1,(1-H94)*H87*I42/((1+I23/100)*(1+I41/100)),IF(AND(I83=0,I84=1),(H93*H87*I42/((1+I23/100)*(1+I41/100)))*(1-ABS(I87-H87*I42/((1+I23/100)*(1+I41/100)))/((I38*H87*H94*I42/((1+I23/100)*(1+I41/100)))+(H93*H87*I42/((1+I23/100)*(1+I41/100))))),0)))))</f>
        <v>1.4328195984208771</v>
      </c>
      <c r="J90" s="24">
        <f>IF(J$10&lt;_xlfn.NUMBERVALUE(RIGHT('Input data'!$B$66,4)),"",
IF(J$10=_xlfn.NUMBERVALUE(RIGHT('Input data'!$B$66,4)),'Input data'!$C68*J$87,
IF(J87=0,0,IF(J83=1,(1-I94)*I87*J42/((1+J23/100)*(1+J41/100)),IF(AND(J83=0,J84=1),(I93*I87*J42/((1+J23/100)*(1+J41/100)))*(1-ABS(J87-I87*J42/((1+J23/100)*(1+J41/100)))/((J38*I87*I94*J42/((1+J23/100)*(1+J41/100)))+(I93*I87*J42/((1+J23/100)*(1+J41/100))))),0)))))</f>
        <v>1.5201803082306171</v>
      </c>
      <c r="K90" s="24">
        <f>IF(K$10&lt;_xlfn.NUMBERVALUE(RIGHT('Input data'!$B$66,4)),"",
IF(K$10=_xlfn.NUMBERVALUE(RIGHT('Input data'!$B$66,4)),'Input data'!$C68*K$87,
IF(K87=0,0,IF(K83=1,(1-J94)*J87*K42/((1+K23/100)*(1+K41/100)),IF(AND(K83=0,K84=1),(J93*J87*K42/((1+K23/100)*(1+K41/100)))*(1-ABS(K87-J87*K42/((1+K23/100)*(1+K41/100)))/((K38*J87*J94*K42/((1+K23/100)*(1+K41/100)))+(J93*J87*K42/((1+K23/100)*(1+K41/100))))),0)))))</f>
        <v>1.6127898989661282</v>
      </c>
      <c r="L90" s="24">
        <f>IF(L$10&lt;_xlfn.NUMBERVALUE(RIGHT('Input data'!$B$66,4)),"",
IF(L$10=_xlfn.NUMBERVALUE(RIGHT('Input data'!$B$66,4)),'Input data'!$C68*L$87,
IF(L87=0,0,IF(L83=1,(1-K94)*K87*L42/((1+L23/100)*(1+L41/100)),IF(AND(L83=0,L84=1),(K93*K87*L42/((1+L23/100)*(1+L41/100)))*(1-ABS(L87-K87*L42/((1+L23/100)*(1+L41/100)))/((L38*K87*K94*L42/((1+L23/100)*(1+L41/100)))+(K93*K87*L42/((1+L23/100)*(1+L41/100))))),0)))))</f>
        <v>1.7116739927874574</v>
      </c>
      <c r="M90" s="24">
        <f>IF(M$10&lt;_xlfn.NUMBERVALUE(RIGHT('Input data'!$B$66,4)),"",
IF(M$10=_xlfn.NUMBERVALUE(RIGHT('Input data'!$B$66,4)),'Input data'!$C68*M$87,
IF(M87=0,0,IF(M83=1,(1-L94)*L87*M42/((1+M23/100)*(1+M41/100)),IF(AND(M83=0,M84=1),(L93*L87*M42/((1+M23/100)*(1+M41/100)))*(1-ABS(M87-L87*M42/((1+M23/100)*(1+M41/100)))/((M38*L87*L94*M42/((1+M23/100)*(1+M41/100)))+(L93*L87*M42/((1+M23/100)*(1+M41/100))))),0)))))</f>
        <v>1.8291976601005349</v>
      </c>
      <c r="N90" s="24">
        <f>IF(N$10&lt;_xlfn.NUMBERVALUE(RIGHT('Input data'!$B$66,4)),"",
IF(N$10=_xlfn.NUMBERVALUE(RIGHT('Input data'!$B$66,4)),'Input data'!$C68*N$87,
IF(N87=0,0,IF(N83=1,(1-M94)*M87*N42/((1+N23/100)*(1+N41/100)),IF(AND(N83=0,N84=1),(M93*M87*N42/((1+N23/100)*(1+N41/100)))*(1-ABS(N87-M87*N42/((1+N23/100)*(1+N41/100)))/((N38*M87*M94*N42/((1+N23/100)*(1+N41/100)))+(M93*M87*N42/((1+N23/100)*(1+N41/100))))),0)))))</f>
        <v>1.9499662302992811</v>
      </c>
      <c r="O90" s="24">
        <f>IF(O$10&lt;_xlfn.NUMBERVALUE(RIGHT('Input data'!$B$66,4)),"",
IF(O$10=_xlfn.NUMBERVALUE(RIGHT('Input data'!$B$66,4)),'Input data'!$C68*O$87,
IF(O87=0,0,IF(O83=1,(1-N94)*N87*O42/((1+O23/100)*(1+O41/100)),IF(AND(O83=0,O84=1),(N93*N87*O42/((1+O23/100)*(1+O41/100)))*(1-ABS(O87-N87*O42/((1+O23/100)*(1+O41/100)))/((O38*N87*N94*O42/((1+O23/100)*(1+O41/100)))+(N93*N87*O42/((1+O23/100)*(1+O41/100))))),0)))))</f>
        <v>2.076916962469836</v>
      </c>
      <c r="P90" s="24">
        <f>IF(P$10&lt;_xlfn.NUMBERVALUE(RIGHT('Input data'!$B$66,4)),"",
IF(P$10=_xlfn.NUMBERVALUE(RIGHT('Input data'!$B$66,4)),'Input data'!$C68*P$87,
IF(P87=0,0,IF(P83=1,(1-O94)*O87*P42/((1+P23/100)*(1+P41/100)),IF(AND(P83=0,P84=1),(O93*O87*P42/((1+P23/100)*(1+P41/100)))*(1-ABS(P87-O87*P42/((1+P23/100)*(1+P41/100)))/((P38*O87*O94*P42/((1+P23/100)*(1+P41/100)))+(O93*O87*P42/((1+P23/100)*(1+P41/100))))),0)))))</f>
        <v>2.2093550909984665</v>
      </c>
      <c r="Q90" s="24">
        <f>IF(Q$10&lt;_xlfn.NUMBERVALUE(RIGHT('Input data'!$B$66,4)),"",
IF(Q$10=_xlfn.NUMBERVALUE(RIGHT('Input data'!$B$66,4)),'Input data'!$C68*Q$87,
IF(Q87=0,0,IF(Q83=1,(1-P94)*P87*Q42/((1+Q23/100)*(1+Q41/100)),IF(AND(Q83=0,Q84=1),(P93*P87*Q42/((1+Q23/100)*(1+Q41/100)))*(1-ABS(Q87-P87*Q42/((1+Q23/100)*(1+Q41/100)))/((Q38*P87*P94*Q42/((1+Q23/100)*(1+Q41/100)))+(P93*P87*Q42/((1+Q23/100)*(1+Q41/100))))),0)))))</f>
        <v>2.3523361410216048</v>
      </c>
      <c r="R90" s="24">
        <f>IF(R$10&lt;_xlfn.NUMBERVALUE(RIGHT('Input data'!$B$66,4)),"",
IF(R$10=_xlfn.NUMBERVALUE(RIGHT('Input data'!$B$66,4)),'Input data'!$C68*R$87,
IF(R87=0,0,IF(R83=1,(1-Q94)*Q87*R42/((1+R23/100)*(1+R41/100)),IF(AND(R83=0,R84=1),(Q93*Q87*R42/((1+R23/100)*(1+R41/100)))*(1-ABS(R87-Q87*R42/((1+R23/100)*(1+R41/100)))/((R38*Q87*Q94*R42/((1+R23/100)*(1+R41/100)))+(Q93*Q87*R42/((1+R23/100)*(1+R41/100))))),0)))))</f>
        <v>2.496745713580097</v>
      </c>
      <c r="S90" s="24">
        <f t="shared" ref="S90:U90" si="37">IF(S87=0,0,IF(S83=1,(1-R94)*R87*S42/((1+S23/100)*(1+S41/100)),IF(AND(S83=0,S84=1),(R93*R87*S42/((1+S23/100)*(1+S41/100)))*(1-ABS(S87-R87*S42/((1+S23/100)*(1+S41/100)))/((S38*R87*R94*S42/((1+S23/100)*(1+S41/100)))+(R93*R87*S42/((1+S23/100)*(1+S41/100))))),0)))</f>
        <v>2.6477810596549443</v>
      </c>
      <c r="T90" s="24">
        <f t="shared" si="37"/>
        <v>2.8088931175757117</v>
      </c>
      <c r="U90" s="24">
        <f t="shared" si="37"/>
        <v>2.9757831324083335</v>
      </c>
    </row>
    <row r="91" spans="2:21" x14ac:dyDescent="0.2">
      <c r="B91" s="84" t="s">
        <v>97</v>
      </c>
      <c r="C91" s="26">
        <f>IF(C$10&lt;_xlfn.NUMBERVALUE(RIGHT('Input data'!$B$66,4)),"",
IF(C$10=_xlfn.NUMBERVALUE(RIGHT('Input data'!$B$66,4)),'Input data'!$C69*C$87,
IF(C87=0,0,IF(C83=1,'Input data'!$C$58*(C87-B87*C42/((1+C23/100)*(1+C41/100))),0))))</f>
        <v>3.3958969999999997</v>
      </c>
      <c r="D91" s="24">
        <f>IF(D$10&lt;_xlfn.NUMBERVALUE(RIGHT('Input data'!$B$66,4)),"",
IF(D$10=_xlfn.NUMBERVALUE(RIGHT('Input data'!$B$66,4)),'Input data'!$C69*D$87,
IF(D87=0,0,IF(D83=1,'Input data'!$C$58*(D87-C87*D42/((1+D23/100)*(1+D41/100))),0))))</f>
        <v>3.4023463066334618</v>
      </c>
      <c r="E91" s="24">
        <f>IF(E$10&lt;_xlfn.NUMBERVALUE(RIGHT('Input data'!$B$66,4)),"",
IF(E$10=_xlfn.NUMBERVALUE(RIGHT('Input data'!$B$66,4)),'Input data'!$C69*E$87,
IF(E87=0,0,IF(E83=1,'Input data'!$C$58*(E87-D87*E42/((1+E23/100)*(1+E41/100))),0))))</f>
        <v>3.3690009028308934</v>
      </c>
      <c r="F91" s="24">
        <f>IF(F$10&lt;_xlfn.NUMBERVALUE(RIGHT('Input data'!$B$66,4)),"",
IF(F$10=_xlfn.NUMBERVALUE(RIGHT('Input data'!$B$66,4)),'Input data'!$C69*F$87,
IF(F87=0,0,IF(F83=1,'Input data'!$C$58*(F87-E87*F42/((1+F23/100)*(1+F41/100))),0))))</f>
        <v>2.8582347023915826</v>
      </c>
      <c r="G91" s="24">
        <f>IF(G$10&lt;_xlfn.NUMBERVALUE(RIGHT('Input data'!$B$66,4)),"",
IF(G$10=_xlfn.NUMBERVALUE(RIGHT('Input data'!$B$66,4)),'Input data'!$C69*G$87,
IF(G87=0,0,IF(G83=1,'Input data'!$C$58*(G87-F87*G42/((1+G23/100)*(1+G41/100))),0))))</f>
        <v>3.1496875229661021</v>
      </c>
      <c r="H91" s="24">
        <f>IF(H$10&lt;_xlfn.NUMBERVALUE(RIGHT('Input data'!$B$66,4)),"",
IF(H$10=_xlfn.NUMBERVALUE(RIGHT('Input data'!$B$66,4)),'Input data'!$C69*H$87,
IF(H87=0,0,IF(H83=1,'Input data'!$C$58*(H87-G87*H42/((1+H23/100)*(1+H41/100))),0))))</f>
        <v>3.3360558360241157</v>
      </c>
      <c r="I91" s="24">
        <f>IF(I$10&lt;_xlfn.NUMBERVALUE(RIGHT('Input data'!$B$66,4)),"",
IF(I$10=_xlfn.NUMBERVALUE(RIGHT('Input data'!$B$66,4)),'Input data'!$C69*I$87,
IF(I87=0,0,IF(I83=1,'Input data'!$C$58*(I87-H87*I42/((1+I23/100)*(1+I41/100))),0))))</f>
        <v>3.6041264334917562</v>
      </c>
      <c r="J91" s="24">
        <f>IF(J$10&lt;_xlfn.NUMBERVALUE(RIGHT('Input data'!$B$66,4)),"",
IF(J$10=_xlfn.NUMBERVALUE(RIGHT('Input data'!$B$66,4)),'Input data'!$C69*J$87,
IF(J87=0,0,IF(J83=1,'Input data'!$C$58*(J87-I87*J42/((1+J23/100)*(1+J41/100))),0))))</f>
        <v>3.7884989798626436</v>
      </c>
      <c r="K91" s="24">
        <f>IF(K$10&lt;_xlfn.NUMBERVALUE(RIGHT('Input data'!$B$66,4)),"",
IF(K$10=_xlfn.NUMBERVALUE(RIGHT('Input data'!$B$66,4)),'Input data'!$C69*K$87,
IF(K87=0,0,IF(K83=1,'Input data'!$C$58*(K87-J87*K42/((1+K23/100)*(1+K41/100))),0))))</f>
        <v>3.9815117413511167</v>
      </c>
      <c r="L91" s="24">
        <f>IF(L$10&lt;_xlfn.NUMBERVALUE(RIGHT('Input data'!$B$66,4)),"",
IF(L$10=_xlfn.NUMBERVALUE(RIGHT('Input data'!$B$66,4)),'Input data'!$C69*L$87,
IF(L87=0,0,IF(L83=1,'Input data'!$C$58*(L87-K87*L42/((1+L23/100)*(1+L41/100))),0))))</f>
        <v>4.4736136880592197</v>
      </c>
      <c r="M91" s="24">
        <f>IF(M$10&lt;_xlfn.NUMBERVALUE(RIGHT('Input data'!$B$66,4)),"",
IF(M$10=_xlfn.NUMBERVALUE(RIGHT('Input data'!$B$66,4)),'Input data'!$C69*M$87,
IF(M87=0,0,IF(M83=1,'Input data'!$C$58*(M87-L87*M42/((1+M23/100)*(1+M41/100))),0))))</f>
        <v>4.7067432679810253</v>
      </c>
      <c r="N91" s="24">
        <f>IF(N$10&lt;_xlfn.NUMBERVALUE(RIGHT('Input data'!$B$66,4)),"",
IF(N$10=_xlfn.NUMBERVALUE(RIGHT('Input data'!$B$66,4)),'Input data'!$C69*N$87,
IF(N87=0,0,IF(N83=1,'Input data'!$C$58*(N87-M87*N42/((1+N23/100)*(1+N41/100))),0))))</f>
        <v>5.0238886980017599</v>
      </c>
      <c r="O91" s="24">
        <f>IF(O$10&lt;_xlfn.NUMBERVALUE(RIGHT('Input data'!$B$66,4)),"",
IF(O$10=_xlfn.NUMBERVALUE(RIGHT('Input data'!$B$66,4)),'Input data'!$C69*O$87,
IF(O87=0,0,IF(O83=1,'Input data'!$C$58*(O87-N87*O42/((1+O23/100)*(1+O41/100))),0))))</f>
        <v>5.3354247247426727</v>
      </c>
      <c r="P91" s="24">
        <f>IF(P$10&lt;_xlfn.NUMBERVALUE(RIGHT('Input data'!$B$66,4)),"",
IF(P$10=_xlfn.NUMBERVALUE(RIGHT('Input data'!$B$66,4)),'Input data'!$C69*P$87,
IF(P87=0,0,IF(P83=1,'Input data'!$C$58*(P87-O87*P42/((1+P23/100)*(1+P41/100))),0))))</f>
        <v>5.7370456708286088</v>
      </c>
      <c r="Q91" s="24">
        <f>IF(Q$10&lt;_xlfn.NUMBERVALUE(RIGHT('Input data'!$B$66,4)),"",
IF(Q$10=_xlfn.NUMBERVALUE(RIGHT('Input data'!$B$66,4)),'Input data'!$C69*Q$87,
IF(Q87=0,0,IF(Q83=1,'Input data'!$C$58*(Q87-P87*Q42/((1+Q23/100)*(1+Q41/100))),0))))</f>
        <v>5.9479692734034888</v>
      </c>
      <c r="R91" s="24">
        <f>IF(R$10&lt;_xlfn.NUMBERVALUE(RIGHT('Input data'!$B$66,4)),"",
IF(R$10=_xlfn.NUMBERVALUE(RIGHT('Input data'!$B$66,4)),'Input data'!$C69*R$87,
IF(R87=0,0,IF(R83=1,'Input data'!$C$58*(R87-Q87*R42/((1+R23/100)*(1+R41/100))),0))))</f>
        <v>6.2445659916346985</v>
      </c>
      <c r="S91" s="24">
        <f>IF(S87=0,0,IF(S83=1,'Input data'!$C$58*(S87-R87*S42/((1+S23/100)*(1+S41/100))),0))</f>
        <v>6.6344144655843564</v>
      </c>
      <c r="T91" s="24">
        <f>IF(T87=0,0,IF(T83=1,'Input data'!$C$58*(T87-S87*T42/((1+T23/100)*(1+T41/100))),0))</f>
        <v>6.929997962752779</v>
      </c>
      <c r="U91" s="24">
        <f>IF(U87=0,0,IF(U83=1,'Input data'!$C$58*(U87-T87*U42/((1+U23/100)*(1+U41/100))),0))</f>
        <v>7.2220300144359078</v>
      </c>
    </row>
    <row r="92" spans="2:21" x14ac:dyDescent="0.2">
      <c r="B92" s="86" t="s">
        <v>98</v>
      </c>
      <c r="C92" s="36">
        <f>IF(C$10&lt;_xlfn.NUMBERVALUE(RIGHT('Input data'!$B$66,4)),"",
IF(C$10=_xlfn.NUMBERVALUE(RIGHT('Input data'!$B$66,4)),'Input data'!$C70*C$87,
IF(C87=0,0,IF(C83=1,'Input data'!$C$57*(C87-B87*C42/((1+C23/100)*(1+C41/100))),0))))</f>
        <v>0.1379148</v>
      </c>
      <c r="D92" s="36">
        <f>IF(D$10&lt;_xlfn.NUMBERVALUE(RIGHT('Input data'!$B$66,4)),"",
IF(D$10=_xlfn.NUMBERVALUE(RIGHT('Input data'!$B$66,4)),'Input data'!$C70*D$87,
IF(D87=0,0,IF(D83=1,'Input data'!$C$57*(D87-C87*D42/((1+D23/100)*(1+D41/100))),0))))</f>
        <v>0.13817669946354927</v>
      </c>
      <c r="E92" s="36">
        <f>IF(E$10&lt;_xlfn.NUMBERVALUE(RIGHT('Input data'!$B$66,4)),"",
IF(E$10=_xlfn.NUMBERVALUE(RIGHT('Input data'!$B$66,4)),'Input data'!$C70*E$87,
IF(E87=0,0,IF(E83=1,'Input data'!$C$57*(E87-D87*E42/((1+E23/100)*(1+E41/100))),0))))</f>
        <v>0.1368224699335526</v>
      </c>
      <c r="F92" s="36">
        <f>IF(F$10&lt;_xlfn.NUMBERVALUE(RIGHT('Input data'!$B$66,4)),"",
IF(F$10=_xlfn.NUMBERVALUE(RIGHT('Input data'!$B$66,4)),'Input data'!$C70*F$87,
IF(F87=0,0,IF(F83=1,'Input data'!$C$57*(F87-E87*F42/((1+F23/100)*(1+F41/100))),0))))</f>
        <v>0.11607914123810453</v>
      </c>
      <c r="G92" s="36">
        <f>IF(G$10&lt;_xlfn.NUMBERVALUE(RIGHT('Input data'!$B$66,4)),"",
IF(G$10=_xlfn.NUMBERVALUE(RIGHT('Input data'!$B$66,4)),'Input data'!$C70*G$87,
IF(G87=0,0,IF(G83=1,'Input data'!$C$57*(G87-F87*G42/((1+G23/100)*(1+G41/100))),0))))</f>
        <v>0.12791567554909219</v>
      </c>
      <c r="H92" s="36">
        <f>IF(H$10&lt;_xlfn.NUMBERVALUE(RIGHT('Input data'!$B$66,4)),"",
IF(H$10=_xlfn.NUMBERVALUE(RIGHT('Input data'!$B$66,4)),'Input data'!$C70*H$87,
IF(H87=0,0,IF(H83=1,'Input data'!$C$57*(H87-G87*H42/((1+H23/100)*(1+H41/100))),0))))</f>
        <v>0.13548449896155268</v>
      </c>
      <c r="I92" s="36">
        <f>IF(I$10&lt;_xlfn.NUMBERVALUE(RIGHT('Input data'!$B$66,4)),"",
IF(I$10=_xlfn.NUMBERVALUE(RIGHT('Input data'!$B$66,4)),'Input data'!$C70*I$87,
IF(I87=0,0,IF(I83=1,'Input data'!$C$57*(I87-H87*I42/((1+I23/100)*(1+I41/100))),0))))</f>
        <v>0.14637143022692159</v>
      </c>
      <c r="J92" s="36">
        <f>IF(J$10&lt;_xlfn.NUMBERVALUE(RIGHT('Input data'!$B$66,4)),"",
IF(J$10=_xlfn.NUMBERVALUE(RIGHT('Input data'!$B$66,4)),'Input data'!$C70*J$87,
IF(J87=0,0,IF(J83=1,'Input data'!$C$57*(J87-I87*J42/((1+J23/100)*(1+J41/100))),0))))</f>
        <v>0.15385920120412913</v>
      </c>
      <c r="K92" s="36">
        <f>IF(K$10&lt;_xlfn.NUMBERVALUE(RIGHT('Input data'!$B$66,4)),"",
IF(K$10=_xlfn.NUMBERVALUE(RIGHT('Input data'!$B$66,4)),'Input data'!$C70*K$87,
IF(K87=0,0,IF(K83=1,'Input data'!$C$57*(K87-J87*K42/((1+K23/100)*(1+K41/100))),0))))</f>
        <v>0.16169787014997541</v>
      </c>
      <c r="L92" s="36">
        <f>IF(L$10&lt;_xlfn.NUMBERVALUE(RIGHT('Input data'!$B$66,4)),"",
IF(L$10=_xlfn.NUMBERVALUE(RIGHT('Input data'!$B$66,4)),'Input data'!$C70*L$87,
IF(L87=0,0,IF(L83=1,'Input data'!$C$57*(L87-K87*L42/((1+L23/100)*(1+L41/100))),0))))</f>
        <v>0.18168320281971015</v>
      </c>
      <c r="M92" s="36">
        <f>IF(M$10&lt;_xlfn.NUMBERVALUE(RIGHT('Input data'!$B$66,4)),"",
IF(M$10=_xlfn.NUMBERVALUE(RIGHT('Input data'!$B$66,4)),'Input data'!$C70*M$87,
IF(M87=0,0,IF(M83=1,'Input data'!$C$57*(M87-L87*M42/((1+M23/100)*(1+M41/100))),0))))</f>
        <v>0.19115110320307616</v>
      </c>
      <c r="N92" s="36">
        <f>IF(N$10&lt;_xlfn.NUMBERVALUE(RIGHT('Input data'!$B$66,4)),"",
IF(N$10=_xlfn.NUMBERVALUE(RIGHT('Input data'!$B$66,4)),'Input data'!$C70*N$87,
IF(N87=0,0,IF(N83=1,'Input data'!$C$57*(N87-M87*N42/((1+N23/100)*(1+N41/100))),0))))</f>
        <v>0.20403107038477497</v>
      </c>
      <c r="O92" s="36">
        <f>IF(O$10&lt;_xlfn.NUMBERVALUE(RIGHT('Input data'!$B$66,4)),"",
IF(O$10=_xlfn.NUMBERVALUE(RIGHT('Input data'!$B$66,4)),'Input data'!$C70*O$87,
IF(O87=0,0,IF(O83=1,'Input data'!$C$57*(O87-N87*O42/((1+O23/100)*(1+O41/100))),0))))</f>
        <v>0.21668322747269977</v>
      </c>
      <c r="P92" s="36">
        <f>IF(P$10&lt;_xlfn.NUMBERVALUE(RIGHT('Input data'!$B$66,4)),"",
IF(P$10=_xlfn.NUMBERVALUE(RIGHT('Input data'!$B$66,4)),'Input data'!$C70*P$87,
IF(P87=0,0,IF(P83=1,'Input data'!$C$57*(P87-O87*P42/((1+P23/100)*(1+P41/100))),0))))</f>
        <v>0.23299392948953632</v>
      </c>
      <c r="Q92" s="36">
        <f>IF(Q$10&lt;_xlfn.NUMBERVALUE(RIGHT('Input data'!$B$66,4)),"",
IF(Q$10=_xlfn.NUMBERVALUE(RIGHT('Input data'!$B$66,4)),'Input data'!$C70*Q$87,
IF(Q87=0,0,IF(Q83=1,'Input data'!$C$57*(Q87-P87*Q42/((1+Q23/100)*(1+Q41/100))),0))))</f>
        <v>0.24155999673140868</v>
      </c>
      <c r="R92" s="36">
        <f>IF(R$10&lt;_xlfn.NUMBERVALUE(RIGHT('Input data'!$B$66,4)),"",
IF(R$10=_xlfn.NUMBERVALUE(RIGHT('Input data'!$B$66,4)),'Input data'!$C70*R$87,
IF(R87=0,0,IF(R83=1,'Input data'!$C$57*(R87-Q87*R42/((1+R23/100)*(1+R41/100))),0))))</f>
        <v>0.25360543593817192</v>
      </c>
      <c r="S92" s="36">
        <f>IF(S87=0,0,IF(S83=1,'Input data'!$C$57*(S87-R87*S42/((1+S23/100)*(1+S41/100))),0))</f>
        <v>0.26943803220159174</v>
      </c>
      <c r="T92" s="36">
        <f>IF(T87=0,0,IF(T83=1,'Input data'!$C$57*(T87-S87*T42/((1+T23/100)*(1+T41/100))),0))</f>
        <v>0.28144232229251986</v>
      </c>
      <c r="U92" s="36">
        <f>IF(U87=0,0,IF(U83=1,'Input data'!$C$57*(U87-T87*U42/((1+U23/100)*(1+U41/100))),0))</f>
        <v>0.29330238044135387</v>
      </c>
    </row>
    <row r="93" spans="2:21" x14ac:dyDescent="0.2">
      <c r="B93" s="16" t="s">
        <v>49</v>
      </c>
      <c r="C93" s="26">
        <f>IF(C$10&lt;_xlfn.NUMBERVALUE(RIGHT('Input data'!$B$66,4)),"",IF(C87&lt;&gt;0,(C90+C92)/(C88+C89+C90+C91+C92),0))</f>
        <v>2.4920974481943903E-2</v>
      </c>
      <c r="D93" s="26">
        <f t="shared" ref="D93" si="38">IF(D87&lt;&gt;0,(D90+D92)/(D88+D89+D90+D91+D92),0)</f>
        <v>2.6010526275205347E-2</v>
      </c>
      <c r="E93" s="26">
        <f>IF(E87&lt;&gt;0,(E90+E92)/(E88+E89+E90+E91+E92),0)</f>
        <v>2.6980586006561089E-2</v>
      </c>
      <c r="F93" s="26">
        <f>IF(F87&lt;&gt;0,(F90+F92)/(F88+F89+F90+F91+F92),0)</f>
        <v>2.7726464344569442E-2</v>
      </c>
      <c r="G93" s="26">
        <f t="shared" ref="G93:U93" si="39">IF(G87&lt;&gt;0,(G90+G92)/(G88+G89+G90+G91+G92),0)</f>
        <v>2.8475505099915175E-2</v>
      </c>
      <c r="H93" s="26">
        <f t="shared" si="39"/>
        <v>2.9193392432542768E-2</v>
      </c>
      <c r="I93" s="26">
        <f t="shared" si="39"/>
        <v>2.9891502177903321E-2</v>
      </c>
      <c r="J93" s="26">
        <f t="shared" si="39"/>
        <v>3.0548744417488807E-2</v>
      </c>
      <c r="K93" s="26">
        <f>IF(K87&lt;&gt;0,(K90+K92)/(K88+K89+K90+K91+K92),0)</f>
        <v>3.1165705263949815E-2</v>
      </c>
      <c r="L93" s="26">
        <f t="shared" si="39"/>
        <v>3.1779995753414753E-2</v>
      </c>
      <c r="M93" s="26">
        <f t="shared" si="39"/>
        <v>3.2348332142248581E-2</v>
      </c>
      <c r="N93" s="26">
        <f t="shared" si="39"/>
        <v>3.2881343126912092E-2</v>
      </c>
      <c r="O93" s="26">
        <f t="shared" si="39"/>
        <v>3.3377914669989094E-2</v>
      </c>
      <c r="P93" s="26">
        <f t="shared" si="39"/>
        <v>3.3845285035714073E-2</v>
      </c>
      <c r="Q93" s="26">
        <f t="shared" si="39"/>
        <v>3.4269022671625418E-2</v>
      </c>
      <c r="R93" s="26">
        <f t="shared" si="39"/>
        <v>3.4658655329526694E-2</v>
      </c>
      <c r="S93" s="26">
        <f t="shared" si="39"/>
        <v>3.5020718449231422E-2</v>
      </c>
      <c r="T93" s="26">
        <f t="shared" si="39"/>
        <v>3.5351228020864517E-2</v>
      </c>
      <c r="U93" s="26">
        <f t="shared" si="39"/>
        <v>3.5652517737909561E-2</v>
      </c>
    </row>
    <row r="94" spans="2:21" x14ac:dyDescent="0.2">
      <c r="B94" s="25" t="s">
        <v>50</v>
      </c>
      <c r="C94" s="87">
        <f>IF(C$10&lt;_xlfn.NUMBERVALUE(RIGHT('Input data'!$B$66,4)),"",IF(C87&lt;&gt;0,(C88+C89+C91)/(C88+C89+C90+C91+C92),1))</f>
        <v>0.97507902551805614</v>
      </c>
      <c r="D94" s="87">
        <f t="shared" ref="D94" si="40">IF(D87&lt;&gt;0,(D88+D89+D91)/(D88+D89+D90+D91+D92),1)</f>
        <v>0.97398947372479472</v>
      </c>
      <c r="E94" s="87">
        <f>IF(E87&lt;&gt;0,(E88+E89+E91)/(E88+E89+E90+E91+E92),1)</f>
        <v>0.97301941399343883</v>
      </c>
      <c r="F94" s="87">
        <f>IF(F87&lt;&gt;0,(F88+F89+F91)/(F88+F89+F90+F91+F92),1)</f>
        <v>0.97227353565543062</v>
      </c>
      <c r="G94" s="87">
        <f t="shared" ref="G94:U94" si="41">IF(G87&lt;&gt;0,(G88+G89+G91)/(G88+G89+G90+G91+G92),1)</f>
        <v>0.97152449490008486</v>
      </c>
      <c r="H94" s="87">
        <f t="shared" si="41"/>
        <v>0.97080660756745729</v>
      </c>
      <c r="I94" s="87">
        <f t="shared" si="41"/>
        <v>0.97010849782209674</v>
      </c>
      <c r="J94" s="87">
        <f t="shared" si="41"/>
        <v>0.96945125558251122</v>
      </c>
      <c r="K94" s="87">
        <f t="shared" si="41"/>
        <v>0.96883429473605009</v>
      </c>
      <c r="L94" s="87">
        <f t="shared" si="41"/>
        <v>0.96822000424658516</v>
      </c>
      <c r="M94" s="87">
        <f t="shared" si="41"/>
        <v>0.96765166785775147</v>
      </c>
      <c r="N94" s="87">
        <f t="shared" si="41"/>
        <v>0.96711865687308796</v>
      </c>
      <c r="O94" s="87">
        <f t="shared" si="41"/>
        <v>0.96662208533001093</v>
      </c>
      <c r="P94" s="87">
        <f t="shared" si="41"/>
        <v>0.96615471496428607</v>
      </c>
      <c r="Q94" s="87">
        <f t="shared" si="41"/>
        <v>0.96573097732837454</v>
      </c>
      <c r="R94" s="87">
        <f t="shared" si="41"/>
        <v>0.96534134467047339</v>
      </c>
      <c r="S94" s="87">
        <f t="shared" si="41"/>
        <v>0.96497928155076851</v>
      </c>
      <c r="T94" s="87">
        <f t="shared" si="41"/>
        <v>0.96464877197913557</v>
      </c>
      <c r="U94" s="87">
        <f t="shared" si="41"/>
        <v>0.96434748226209033</v>
      </c>
    </row>
    <row r="95" spans="2:21" x14ac:dyDescent="0.2">
      <c r="C95" s="176"/>
      <c r="D95" s="176"/>
      <c r="E95" s="176"/>
      <c r="F95" s="26"/>
      <c r="G95" s="26"/>
      <c r="H95" s="26"/>
      <c r="I95" s="26"/>
      <c r="J95" s="26"/>
      <c r="K95" s="26"/>
      <c r="L95" s="26"/>
      <c r="M95" s="26"/>
      <c r="N95" s="26"/>
      <c r="O95" s="26"/>
      <c r="P95" s="26"/>
      <c r="Q95" s="26"/>
      <c r="R95" s="26"/>
      <c r="S95" s="26"/>
      <c r="T95" s="26"/>
      <c r="U95" s="26"/>
    </row>
    <row r="96" spans="2:21" x14ac:dyDescent="0.2">
      <c r="B96" s="91" t="s">
        <v>99</v>
      </c>
      <c r="C96" s="92">
        <f>C35</f>
        <v>3.1969609999999999</v>
      </c>
      <c r="D96" s="92">
        <f>D35</f>
        <v>3.078103</v>
      </c>
      <c r="E96" s="92">
        <f>E98+E99</f>
        <v>2.999835</v>
      </c>
      <c r="F96" s="92">
        <f>F98+F99</f>
        <v>3.2787528704915645</v>
      </c>
      <c r="G96" s="92">
        <f t="shared" ref="G96:U96" si="42">G98+G99</f>
        <v>3.5151139840819745</v>
      </c>
      <c r="H96" s="92">
        <f t="shared" si="42"/>
        <v>3.7446796592301297</v>
      </c>
      <c r="I96" s="92">
        <f t="shared" si="42"/>
        <v>3.9632939473917141</v>
      </c>
      <c r="J96" s="92">
        <f t="shared" si="42"/>
        <v>4.1735939793387811</v>
      </c>
      <c r="K96" s="92">
        <f t="shared" si="42"/>
        <v>4.3733956407985497</v>
      </c>
      <c r="L96" s="92">
        <f t="shared" si="42"/>
        <v>4.5637138131234884</v>
      </c>
      <c r="M96" s="92">
        <f t="shared" si="42"/>
        <v>4.7509546189564285</v>
      </c>
      <c r="N96" s="92">
        <f t="shared" si="42"/>
        <v>4.8939390082147254</v>
      </c>
      <c r="O96" s="92">
        <f t="shared" si="42"/>
        <v>5.0024720395914271</v>
      </c>
      <c r="P96" s="92">
        <f t="shared" si="42"/>
        <v>5.0809447242381953</v>
      </c>
      <c r="Q96" s="92">
        <f t="shared" si="42"/>
        <v>5.1338570180010299</v>
      </c>
      <c r="R96" s="92">
        <f t="shared" si="42"/>
        <v>5.1639357395825947</v>
      </c>
      <c r="S96" s="92">
        <f t="shared" si="42"/>
        <v>5.1749791473873747</v>
      </c>
      <c r="T96" s="92">
        <f t="shared" si="42"/>
        <v>5.1698409793428644</v>
      </c>
      <c r="U96" s="92">
        <f t="shared" si="42"/>
        <v>5.1509376435721377</v>
      </c>
    </row>
    <row r="97" spans="2:23" x14ac:dyDescent="0.2">
      <c r="B97" s="23" t="s">
        <v>100</v>
      </c>
      <c r="C97" s="24"/>
      <c r="D97" s="24">
        <f>IF(C$10&lt;_xlfn.NUMBERVALUE(RIGHT('Input data'!$B$66,4)),"",
((D35*C87)-(D37*(C90+C92)))/(C88+C89+C91))</f>
        <v>3.0634901338080285</v>
      </c>
      <c r="E97" s="24">
        <f>IF(E$10&lt;='Input data'!$C$4+2,((E35*D87)-(E37*(D90+D92)))/(D88+D89+D91),IF(D87&gt;0,(D97*D88+E36*(D91+D89))/(D88+D89+D91),E36))</f>
        <v>2.9659900792618181</v>
      </c>
      <c r="F97" s="24">
        <f>IF(F$10&lt;='Input data'!$C$4+2,((F35*E87)-(F37*(E90+E92)))/(E88+E89+E91),IF(E87&gt;0,(E97*E88+F36*(E91+E89))/(E88+E89+E91),F36))</f>
        <v>3.2509157833083306</v>
      </c>
      <c r="G97" s="24">
        <f>IF(G$10&lt;='Input data'!$C$4+2,((G35*F87)-(G37*(F90+F92)))/(F88+F89+F91),IF(F87&gt;0,(F97*F88+G36*(F91+F89))/(F88+F89+F91),G36))</f>
        <v>3.4927845822775834</v>
      </c>
      <c r="H97" s="24">
        <f>IF(H$10&lt;='Input data'!$C$4+2,((H35*G87)-(H37*(G90+G92)))/(G88+G89+G91),IF(G87&gt;0,(G97*G88+H36*(G91+G89))/(G88+G89+G91),H36))</f>
        <v>3.7280045141902773</v>
      </c>
      <c r="I97" s="24">
        <f>IF(I$10&lt;='Input data'!$C$4+2,((I35*H87)-(I37*(H90+H92)))/(H88+H89+H91),IF(H87&gt;0,(H97*H88+I36*(H91+H89))/(H88+H89+H91),I36))</f>
        <v>3.9522945801030298</v>
      </c>
      <c r="J97" s="24">
        <f>IF(J$10&lt;='Input data'!$C$4+2,((J35*I87)-(J37*(I90+I92)))/(I88+I89+I91),IF(I87&gt;0,(I97*I88+J36*(I91+I89))/(I88+I89+I91),J36))</f>
        <v>4.1683266875155631</v>
      </c>
      <c r="K97" s="24">
        <f>IF(K$10&lt;='Input data'!$C$4+2,((K35*J87)-(K37*(J90+J92)))/(J88+J89+J91),IF(J87&gt;0,(J97*J88+K36*(J91+J89))/(J88+J89+J91),K36))</f>
        <v>4.3738174329000898</v>
      </c>
      <c r="L97" s="24">
        <f>IF(L$10&lt;='Input data'!$C$4+2,((L35*K87)-(L37*(K90+K92)))/(K88+K89+K91),IF(K87&gt;0,(K97*K88+L36*(K91+K89))/(K88+K89+K91),L36))</f>
        <v>4.5697689617455772</v>
      </c>
      <c r="M97" s="24">
        <f>IF(M$10&lt;='Input data'!$C$4+2,((M35*L87)-(M37*(L90+L92)))/(L88+L89+L91),IF(L87&gt;0,(L97*L88+M36*(L91+L89))/(L88+L89+L91),M36))</f>
        <v>4.7627710916707544</v>
      </c>
      <c r="N97" s="24">
        <f>IF(N$10&lt;='Input data'!$C$4+2,((N35*M87)-(N37*(M90+M92)))/(M88+M89+M91),IF(M87&gt;0,(M97*M88+N36*(M91+M89))/(M88+M89+M91),N36))</f>
        <v>4.9147502344103957</v>
      </c>
      <c r="O97" s="24">
        <f>IF(O$10&lt;='Input data'!$C$4+2,((O35*N87)-(O37*(N90+N92)))/(N88+N89+N91),IF(N87&gt;0,(N97*N88+O36*(N91+N89))/(N88+N89+N91),O36))</f>
        <v>5.0313924109953199</v>
      </c>
      <c r="P97" s="24">
        <f>IF(P$10&lt;='Input data'!$C$4+2,((P35*O87)-(P37*(O90+O92)))/(O88+O89+O91),IF(O87&gt;0,(O97*O88+P36*(O91+O89))/(O88+O89+O91),P36))</f>
        <v>5.1171546601806872</v>
      </c>
      <c r="Q97" s="24">
        <f>IF(Q$10&lt;='Input data'!$C$4+2,((Q35*P87)-(Q37*(P90+P92)))/(P88+P89+P91),IF(P87&gt;0,(P97*P88+Q36*(P91+P89))/(P88+P89+P91),Q36))</f>
        <v>5.1766331655376412</v>
      </c>
      <c r="R97" s="24">
        <f>IF(R$10&lt;='Input data'!$C$4+2,((R35*Q87)-(R37*(Q90+Q92)))/(Q88+Q89+Q91),IF(Q87&gt;0,(Q97*Q88+R36*(Q91+Q89))/(Q88+Q89+Q91),R36))</f>
        <v>5.2125759373980642</v>
      </c>
      <c r="S97" s="24">
        <f>IF(S$10&lt;='Input data'!$C$4+2,((S35*R87)-(S37*(R90+R92)))/(R88+R89+R91),IF(R87&gt;0,(R97*R88+S36*(R91+R89))/(R88+R89+R91),S36))</f>
        <v>5.228880837046594</v>
      </c>
      <c r="T97" s="24">
        <f>IF(T$10&lt;='Input data'!$C$4+2,((T35*S87)-(T37*(S90+S92)))/(S88+S89+S91),IF(S87&gt;0,(S97*S88+T36*(S91+S89))/(S88+S89+S91),T36))</f>
        <v>5.2284782974114412</v>
      </c>
      <c r="U97" s="24">
        <f>IF(U$10&lt;='Input data'!$C$4+2,((U35*T87)-(U37*(T90+T92)))/(T88+T89+T91),IF(T87&gt;0,(T97*T88+U36*(T91+T89))/(T88+T89+T91),U36))</f>
        <v>5.2138369139574268</v>
      </c>
    </row>
    <row r="98" spans="2:23" x14ac:dyDescent="0.2">
      <c r="B98" s="16" t="s">
        <v>101</v>
      </c>
      <c r="C98" s="24"/>
      <c r="D98" s="24">
        <f>IF(C$10&lt;_xlfn.NUMBERVALUE(RIGHT('Input data'!$B$66,4)),"",
D35)</f>
        <v>3.078103</v>
      </c>
      <c r="E98" s="24">
        <f>IF(E$10&lt;='Input data'!$C$4+2,E35,(E97*(D88+D89+D91)+E37*(D90+D92))/D87)</f>
        <v>2.999835</v>
      </c>
      <c r="F98" s="24">
        <f>IF(F$10&lt;='Input data'!$C$4+2,F35,(F97*(E88+E89+E91)+F37*(E90+E92))/E87)</f>
        <v>3.2787528704915645</v>
      </c>
      <c r="G98" s="24">
        <f>IF(G$10&lt;='Input data'!$C$4+2,G35,(G97*(F88+F89+F91)+G37*(F90+F92))/F87)</f>
        <v>3.5151139840819745</v>
      </c>
      <c r="H98" s="24">
        <f>IF(H$10&lt;='Input data'!$C$4+2,H35,(H97*(G88+G89+G91)+H37*(G90+G92))/G87)</f>
        <v>3.7446796592301297</v>
      </c>
      <c r="I98" s="24">
        <f>IF(I$10&lt;='Input data'!$C$4+2,I35,(I97*(H88+H89+H91)+I37*(H90+H92))/H87)</f>
        <v>3.9632939473917141</v>
      </c>
      <c r="J98" s="24">
        <f>IF(J$10&lt;='Input data'!$C$4+2,J35,(J97*(I88+I89+I91)+J37*(I90+I92))/I87)</f>
        <v>4.1735939793387811</v>
      </c>
      <c r="K98" s="24">
        <f>IF(K$10&lt;='Input data'!$C$4+2,K35,(K97*(J88+J89+J91)+K37*(J90+J92))/J87)</f>
        <v>4.3733956407985497</v>
      </c>
      <c r="L98" s="24">
        <f>IF(L$10&lt;='Input data'!$C$4+2,L35,(L97*(K88+K89+K91)+L37*(K90+K92))/K87)</f>
        <v>4.5637138131234884</v>
      </c>
      <c r="M98" s="24">
        <f>IF(M$10&lt;='Input data'!$C$4+2,M35,(M97*(L88+L89+L91)+M37*(L90+L92))/L87)</f>
        <v>4.7509546189564285</v>
      </c>
      <c r="N98" s="24">
        <f>IF(N$10&lt;='Input data'!$C$4+2,N35,(N97*(M88+M89+M91)+N37*(M90+M92))/M87)</f>
        <v>4.8939390082147254</v>
      </c>
      <c r="O98" s="24">
        <f>IF(O$10&lt;='Input data'!$C$4+2,O35,(O97*(N88+N89+N91)+O37*(N90+N92))/N87)</f>
        <v>5.0024720395914271</v>
      </c>
      <c r="P98" s="24">
        <f>IF(P$10&lt;='Input data'!$C$4+2,P35,(P97*(O88+O89+O91)+P37*(O90+O92))/O87)</f>
        <v>5.0809447242381953</v>
      </c>
      <c r="Q98" s="24">
        <f>IF(Q$10&lt;='Input data'!$C$4+2,Q35,(Q97*(P88+P89+P91)+Q37*(P90+P92))/P87)</f>
        <v>5.1338570180010299</v>
      </c>
      <c r="R98" s="24">
        <f>IF(R$10&lt;='Input data'!$C$4+2,R35,(R97*(Q88+Q89+Q91)+R37*(Q90+Q92))/Q87)</f>
        <v>5.1639357395825947</v>
      </c>
      <c r="S98" s="24">
        <f>IF(S$10&lt;='Input data'!$C$4+2,S35,(S97*(R88+R89+R91)+S37*(R90+R92))/R87)</f>
        <v>5.1749791473873747</v>
      </c>
      <c r="T98" s="24">
        <f>IF(T$10&lt;='Input data'!$C$4+2,T35,(T97*(S88+S89+S91)+T37*(S90+S92))/S87)</f>
        <v>5.1698409793428644</v>
      </c>
      <c r="U98" s="24">
        <f>IF(U$10&lt;='Input data'!$C$4+2,U35,(U97*(T88+T89+T91)+U37*(T90+T92))/T87)</f>
        <v>5.1509376435721377</v>
      </c>
    </row>
    <row r="99" spans="2:23" x14ac:dyDescent="0.2">
      <c r="B99" s="25" t="s">
        <v>102</v>
      </c>
      <c r="C99" s="36"/>
      <c r="D99" s="36"/>
      <c r="E99" s="36">
        <f t="shared" ref="E99" si="43">E108</f>
        <v>0</v>
      </c>
      <c r="F99" s="36">
        <f>F108</f>
        <v>0</v>
      </c>
      <c r="G99" s="36">
        <f t="shared" ref="G99:U99" si="44">G108</f>
        <v>0</v>
      </c>
      <c r="H99" s="36">
        <f t="shared" si="44"/>
        <v>0</v>
      </c>
      <c r="I99" s="36">
        <f t="shared" si="44"/>
        <v>0</v>
      </c>
      <c r="J99" s="36">
        <f t="shared" si="44"/>
        <v>0</v>
      </c>
      <c r="K99" s="36">
        <f t="shared" si="44"/>
        <v>0</v>
      </c>
      <c r="L99" s="36">
        <f t="shared" si="44"/>
        <v>0</v>
      </c>
      <c r="M99" s="36">
        <f t="shared" si="44"/>
        <v>0</v>
      </c>
      <c r="N99" s="36">
        <f t="shared" si="44"/>
        <v>0</v>
      </c>
      <c r="O99" s="36">
        <f t="shared" si="44"/>
        <v>0</v>
      </c>
      <c r="P99" s="36">
        <f t="shared" si="44"/>
        <v>0</v>
      </c>
      <c r="Q99" s="36">
        <f t="shared" si="44"/>
        <v>0</v>
      </c>
      <c r="R99" s="36">
        <f t="shared" si="44"/>
        <v>0</v>
      </c>
      <c r="S99" s="36">
        <f t="shared" si="44"/>
        <v>0</v>
      </c>
      <c r="T99" s="36">
        <f t="shared" si="44"/>
        <v>0</v>
      </c>
      <c r="U99" s="36">
        <f t="shared" si="44"/>
        <v>0</v>
      </c>
    </row>
    <row r="100" spans="2:23" x14ac:dyDescent="0.2">
      <c r="E100" s="77"/>
      <c r="F100" s="77"/>
      <c r="G100" s="77"/>
      <c r="H100" s="77"/>
      <c r="I100" s="77"/>
      <c r="J100" s="77"/>
      <c r="K100" s="77"/>
      <c r="L100" s="77"/>
      <c r="M100" s="77"/>
      <c r="N100" s="77"/>
      <c r="O100" s="77"/>
      <c r="P100" s="77"/>
      <c r="Q100" s="77"/>
      <c r="R100" s="77"/>
      <c r="S100" s="77"/>
      <c r="T100" s="77"/>
      <c r="U100" s="77"/>
    </row>
    <row r="101" spans="2:23" x14ac:dyDescent="0.2">
      <c r="B101" s="91" t="s">
        <v>130</v>
      </c>
      <c r="C101" s="92">
        <f t="shared" ref="C101:U101" si="45">((1+C96/100)/((1+C23/100)*(1+C41/100))-1)*100</f>
        <v>-2.8128161195743684</v>
      </c>
      <c r="D101" s="92">
        <f t="shared" si="45"/>
        <v>-1.3622665769843056</v>
      </c>
      <c r="E101" s="92">
        <f t="shared" si="45"/>
        <v>-2.1720154801681102</v>
      </c>
      <c r="F101" s="92">
        <f t="shared" si="45"/>
        <v>-1.0661465992317876</v>
      </c>
      <c r="G101" s="92">
        <f t="shared" si="45"/>
        <v>-0.50686314302265112</v>
      </c>
      <c r="H101" s="92">
        <f t="shared" si="45"/>
        <v>-0.23095330617204368</v>
      </c>
      <c r="I101" s="92">
        <f t="shared" si="45"/>
        <v>-2.6976911103870904E-4</v>
      </c>
      <c r="J101" s="92">
        <f t="shared" si="45"/>
        <v>0.28086743919930601</v>
      </c>
      <c r="K101" s="92">
        <f t="shared" si="45"/>
        <v>0.55459101267820721</v>
      </c>
      <c r="L101" s="92">
        <f t="shared" si="45"/>
        <v>0.86234046704387612</v>
      </c>
      <c r="M101" s="92">
        <f t="shared" si="45"/>
        <v>1.2012955224995236</v>
      </c>
      <c r="N101" s="92">
        <f t="shared" si="45"/>
        <v>1.2397673828526079</v>
      </c>
      <c r="O101" s="92">
        <f t="shared" si="45"/>
        <v>1.2449807671695901</v>
      </c>
      <c r="P101" s="92">
        <f t="shared" si="45"/>
        <v>1.2212682975234701</v>
      </c>
      <c r="Q101" s="92">
        <f t="shared" si="45"/>
        <v>1.2591441410892079</v>
      </c>
      <c r="R101" s="92">
        <f t="shared" si="45"/>
        <v>1.2251809004453662</v>
      </c>
      <c r="S101" s="92">
        <f t="shared" si="45"/>
        <v>1.2526410617906825</v>
      </c>
      <c r="T101" s="92">
        <f t="shared" si="45"/>
        <v>1.2645376303932032</v>
      </c>
      <c r="U101" s="92">
        <f t="shared" si="45"/>
        <v>1.2532110786022566</v>
      </c>
    </row>
    <row r="102" spans="2:23" x14ac:dyDescent="0.2">
      <c r="D102" s="24"/>
      <c r="E102" s="24"/>
      <c r="F102" s="24"/>
      <c r="G102" s="24"/>
      <c r="H102" s="24"/>
      <c r="I102" s="24"/>
      <c r="J102" s="24"/>
      <c r="K102" s="24"/>
      <c r="L102" s="24"/>
      <c r="M102" s="24"/>
      <c r="N102" s="24"/>
      <c r="O102" s="24"/>
      <c r="P102" s="24"/>
      <c r="Q102" s="24"/>
      <c r="R102" s="24"/>
      <c r="S102" s="24"/>
      <c r="T102" s="24"/>
      <c r="U102" s="24"/>
    </row>
    <row r="104" spans="2:23" s="73" customFormat="1" ht="12.75" x14ac:dyDescent="0.2">
      <c r="B104" s="15" t="s">
        <v>103</v>
      </c>
    </row>
    <row r="105" spans="2:23" s="88" customFormat="1" ht="12.75" x14ac:dyDescent="0.2">
      <c r="C105" s="82"/>
      <c r="D105" s="82"/>
      <c r="E105" s="82"/>
      <c r="F105" s="82"/>
      <c r="G105" s="82"/>
      <c r="H105" s="82"/>
      <c r="I105" s="82"/>
      <c r="J105" s="82"/>
      <c r="K105" s="82"/>
      <c r="L105" s="82"/>
      <c r="M105" s="82"/>
      <c r="N105" s="82"/>
      <c r="O105" s="82"/>
      <c r="P105" s="82"/>
      <c r="Q105" s="82"/>
      <c r="R105" s="82"/>
      <c r="S105" s="82"/>
      <c r="T105" s="82"/>
      <c r="U105" s="82"/>
    </row>
    <row r="106" spans="2:23" x14ac:dyDescent="0.2">
      <c r="B106" s="97" t="s">
        <v>21</v>
      </c>
      <c r="C106" s="24">
        <v>44.250230000000002</v>
      </c>
      <c r="D106" s="24">
        <v>45.838500000000003</v>
      </c>
      <c r="E106" s="24">
        <v>47.042630000000003</v>
      </c>
      <c r="F106" s="24">
        <v>48.037869999999998</v>
      </c>
      <c r="G106" s="24">
        <v>49.449010000000001</v>
      </c>
      <c r="H106" s="24">
        <v>51.025590000000001</v>
      </c>
      <c r="I106" s="24">
        <v>52.830759999999998</v>
      </c>
      <c r="J106" s="24">
        <v>54.798949999999998</v>
      </c>
      <c r="K106" s="24">
        <v>56.937179999999998</v>
      </c>
      <c r="L106" s="24">
        <v>59.576990000000002</v>
      </c>
      <c r="M106" s="24">
        <v>62.456020000000002</v>
      </c>
      <c r="N106" s="24">
        <v>65.508160000000004</v>
      </c>
      <c r="O106" s="24">
        <v>68.716080000000005</v>
      </c>
      <c r="P106" s="24">
        <v>72.162139999999994</v>
      </c>
      <c r="Q106" s="24">
        <v>75.692130000000006</v>
      </c>
      <c r="R106" s="24">
        <v>79.355379999999997</v>
      </c>
      <c r="S106" s="24">
        <v>83.299800000000005</v>
      </c>
      <c r="T106" s="24">
        <v>87.418049999999994</v>
      </c>
      <c r="U106" s="24">
        <v>91.692980000000006</v>
      </c>
    </row>
    <row r="107" spans="2:23" x14ac:dyDescent="0.2">
      <c r="B107" s="16" t="s">
        <v>99</v>
      </c>
      <c r="C107" s="24">
        <v>3.1969609999999999</v>
      </c>
      <c r="D107" s="24">
        <v>3.078103</v>
      </c>
      <c r="E107" s="24">
        <v>2.999835</v>
      </c>
      <c r="F107" s="24">
        <v>3.278753</v>
      </c>
      <c r="G107" s="24">
        <v>3.5151140000000001</v>
      </c>
      <c r="H107" s="24">
        <v>3.7446790000000001</v>
      </c>
      <c r="I107" s="24">
        <v>3.9632939999999999</v>
      </c>
      <c r="J107" s="24">
        <v>4.1735939999999996</v>
      </c>
      <c r="K107" s="24">
        <v>4.3733950000000004</v>
      </c>
      <c r="L107" s="24">
        <v>4.563714</v>
      </c>
      <c r="M107" s="24">
        <v>4.7509540000000001</v>
      </c>
      <c r="N107" s="24">
        <v>4.8939389999999996</v>
      </c>
      <c r="O107" s="24">
        <v>5.0024709999999999</v>
      </c>
      <c r="P107" s="24">
        <v>5.0809439999999997</v>
      </c>
      <c r="Q107" s="24">
        <v>5.1338569999999999</v>
      </c>
      <c r="R107" s="24">
        <v>5.1639350000000004</v>
      </c>
      <c r="S107" s="24">
        <v>5.1749790000000004</v>
      </c>
      <c r="T107" s="24">
        <v>5.1698409999999999</v>
      </c>
      <c r="U107" s="24">
        <v>5.150938</v>
      </c>
    </row>
    <row r="108" spans="2:23" x14ac:dyDescent="0.2">
      <c r="B108" s="16" t="s">
        <v>129</v>
      </c>
      <c r="C108" s="24">
        <v>0</v>
      </c>
      <c r="D108" s="24">
        <v>0</v>
      </c>
      <c r="E108" s="24">
        <v>0</v>
      </c>
      <c r="F108" s="24">
        <v>0</v>
      </c>
      <c r="G108" s="24">
        <v>0</v>
      </c>
      <c r="H108" s="24">
        <v>0</v>
      </c>
      <c r="I108" s="24">
        <v>0</v>
      </c>
      <c r="J108" s="24">
        <v>0</v>
      </c>
      <c r="K108" s="24">
        <v>0</v>
      </c>
      <c r="L108" s="24">
        <v>0</v>
      </c>
      <c r="M108" s="24">
        <v>0</v>
      </c>
      <c r="N108" s="24">
        <v>0</v>
      </c>
      <c r="O108" s="24">
        <v>0</v>
      </c>
      <c r="P108" s="24">
        <v>0</v>
      </c>
      <c r="Q108" s="24">
        <v>0</v>
      </c>
      <c r="R108" s="24">
        <v>0</v>
      </c>
      <c r="S108" s="24">
        <v>0</v>
      </c>
      <c r="T108" s="24">
        <v>0</v>
      </c>
      <c r="U108" s="24">
        <v>0</v>
      </c>
    </row>
    <row r="109" spans="2:23" x14ac:dyDescent="0.2">
      <c r="C109" s="95"/>
      <c r="D109" s="95"/>
      <c r="E109" s="95"/>
      <c r="F109" s="95"/>
      <c r="G109" s="95"/>
      <c r="H109" s="95"/>
      <c r="I109" s="95"/>
      <c r="J109" s="95"/>
      <c r="K109" s="95"/>
      <c r="L109" s="95"/>
      <c r="M109" s="95"/>
      <c r="N109" s="95"/>
      <c r="O109" s="95"/>
      <c r="P109" s="95"/>
      <c r="Q109" s="95"/>
      <c r="R109" s="95"/>
      <c r="S109" s="95"/>
      <c r="T109" s="95"/>
      <c r="U109" s="95"/>
    </row>
    <row r="110" spans="2:23" x14ac:dyDescent="0.2">
      <c r="B110" s="16" t="s">
        <v>63</v>
      </c>
      <c r="C110" s="21">
        <v>2025</v>
      </c>
      <c r="D110" s="21">
        <v>2026</v>
      </c>
      <c r="E110" s="21">
        <v>2027</v>
      </c>
      <c r="F110" s="21">
        <v>2028</v>
      </c>
      <c r="G110" s="21">
        <v>2029</v>
      </c>
      <c r="H110" s="21">
        <v>2030</v>
      </c>
      <c r="I110" s="21">
        <v>2031</v>
      </c>
      <c r="J110" s="21">
        <v>2032</v>
      </c>
      <c r="K110" s="21">
        <v>2033</v>
      </c>
      <c r="L110" s="21">
        <v>2034</v>
      </c>
      <c r="M110" s="21">
        <v>2035</v>
      </c>
      <c r="N110" s="21">
        <v>2036</v>
      </c>
      <c r="O110" s="21">
        <v>2037</v>
      </c>
      <c r="P110" s="21">
        <v>2038</v>
      </c>
      <c r="Q110" s="21">
        <v>2039</v>
      </c>
      <c r="R110" s="21">
        <v>2040</v>
      </c>
      <c r="S110" s="21">
        <v>2041</v>
      </c>
      <c r="T110" s="21">
        <v>2042</v>
      </c>
      <c r="U110" s="21">
        <v>2043</v>
      </c>
    </row>
    <row r="111" spans="2:23" x14ac:dyDescent="0.2">
      <c r="B111" s="16" t="s">
        <v>104</v>
      </c>
      <c r="C111" s="24">
        <v>9.1596929999999993E-2</v>
      </c>
      <c r="D111" s="24">
        <v>8.9862070000000002E-2</v>
      </c>
      <c r="E111" s="24">
        <v>9.0735629999999998E-2</v>
      </c>
      <c r="F111" s="24">
        <v>9.1609179999999998E-2</v>
      </c>
      <c r="G111" s="24">
        <v>9.2482739999999994E-2</v>
      </c>
      <c r="H111" s="24">
        <v>9.3356300000000003E-2</v>
      </c>
      <c r="I111" s="24">
        <v>9.4229859999999999E-2</v>
      </c>
      <c r="J111" s="24">
        <v>9.5103419999999994E-2</v>
      </c>
      <c r="K111" s="24">
        <v>9.5976969999999995E-2</v>
      </c>
      <c r="L111" s="24">
        <v>9.6850530000000004E-2</v>
      </c>
      <c r="M111" s="24">
        <v>9.772409E-2</v>
      </c>
      <c r="N111" s="24">
        <v>9.772409E-2</v>
      </c>
      <c r="O111" s="24">
        <v>9.772409E-2</v>
      </c>
      <c r="P111" s="24">
        <v>9.772409E-2</v>
      </c>
      <c r="Q111" s="24">
        <v>9.772409E-2</v>
      </c>
      <c r="R111" s="24">
        <v>9.772409E-2</v>
      </c>
      <c r="S111" s="24">
        <v>9.772409E-2</v>
      </c>
      <c r="T111" s="24">
        <v>9.772409E-2</v>
      </c>
      <c r="U111" s="24">
        <v>9.772409E-2</v>
      </c>
      <c r="V111" s="28"/>
    </row>
    <row r="112" spans="2:23" x14ac:dyDescent="0.2">
      <c r="B112" s="16" t="s">
        <v>105</v>
      </c>
      <c r="C112" s="24">
        <v>2.404821E-2</v>
      </c>
      <c r="D112" s="24">
        <v>6.4598680000000006E-2</v>
      </c>
      <c r="E112" s="24">
        <v>6.184427E-2</v>
      </c>
      <c r="F112" s="24">
        <v>5.9089870000000003E-2</v>
      </c>
      <c r="G112" s="24">
        <v>5.6335459999999997E-2</v>
      </c>
      <c r="H112" s="24">
        <v>5.3581049999999998E-2</v>
      </c>
      <c r="I112" s="24">
        <v>5.0826650000000001E-2</v>
      </c>
      <c r="J112" s="24">
        <v>4.8072240000000002E-2</v>
      </c>
      <c r="K112" s="24">
        <v>4.5317839999999998E-2</v>
      </c>
      <c r="L112" s="24">
        <v>4.2563429999999999E-2</v>
      </c>
      <c r="M112" s="24">
        <v>3.9809020000000001E-2</v>
      </c>
      <c r="N112" s="24">
        <v>3.9809020000000001E-2</v>
      </c>
      <c r="O112" s="24">
        <v>3.9809020000000001E-2</v>
      </c>
      <c r="P112" s="24">
        <v>3.9809020000000001E-2</v>
      </c>
      <c r="Q112" s="24">
        <v>3.9809020000000001E-2</v>
      </c>
      <c r="R112" s="24">
        <v>3.9809020000000001E-2</v>
      </c>
      <c r="S112" s="24">
        <v>3.9809020000000001E-2</v>
      </c>
      <c r="T112" s="24">
        <v>3.9809020000000001E-2</v>
      </c>
      <c r="U112" s="24">
        <v>3.9809020000000001E-2</v>
      </c>
      <c r="V112" s="24"/>
      <c r="W112" s="77"/>
    </row>
    <row r="113" spans="2:24" x14ac:dyDescent="0.2">
      <c r="B113" s="16" t="s">
        <v>106</v>
      </c>
      <c r="C113" s="24">
        <v>7.8886010000000006E-2</v>
      </c>
      <c r="D113" s="24">
        <v>8.1275559999999997E-2</v>
      </c>
      <c r="E113" s="24">
        <v>7.8497380000000005E-2</v>
      </c>
      <c r="F113" s="24">
        <v>7.5719190000000006E-2</v>
      </c>
      <c r="G113" s="24">
        <v>7.2941010000000001E-2</v>
      </c>
      <c r="H113" s="24">
        <v>7.0162829999999995E-2</v>
      </c>
      <c r="I113" s="24">
        <v>6.7384639999999996E-2</v>
      </c>
      <c r="J113" s="24">
        <v>6.4606460000000004E-2</v>
      </c>
      <c r="K113" s="24">
        <v>6.1828269999999998E-2</v>
      </c>
      <c r="L113" s="24">
        <v>5.905009E-2</v>
      </c>
      <c r="M113" s="24">
        <v>5.62719E-2</v>
      </c>
      <c r="N113" s="24">
        <v>5.62719E-2</v>
      </c>
      <c r="O113" s="24">
        <v>5.62719E-2</v>
      </c>
      <c r="P113" s="24">
        <v>5.62719E-2</v>
      </c>
      <c r="Q113" s="24">
        <v>5.62719E-2</v>
      </c>
      <c r="R113" s="24">
        <v>5.62719E-2</v>
      </c>
      <c r="S113" s="24">
        <v>5.62719E-2</v>
      </c>
      <c r="T113" s="24">
        <v>5.62719E-2</v>
      </c>
      <c r="U113" s="24">
        <v>5.62719E-2</v>
      </c>
      <c r="V113" s="28"/>
    </row>
    <row r="114" spans="2:24" x14ac:dyDescent="0.2">
      <c r="B114" s="16" t="s">
        <v>107</v>
      </c>
      <c r="C114" s="24">
        <v>7.8686560000000003E-2</v>
      </c>
      <c r="D114" s="24">
        <v>6.579277E-2</v>
      </c>
      <c r="E114" s="24">
        <v>6.6041909999999995E-2</v>
      </c>
      <c r="F114" s="24">
        <v>6.6291050000000004E-2</v>
      </c>
      <c r="G114" s="24">
        <v>6.6540189999999999E-2</v>
      </c>
      <c r="H114" s="24">
        <v>6.6789329999999994E-2</v>
      </c>
      <c r="I114" s="24">
        <v>6.7038459999999994E-2</v>
      </c>
      <c r="J114" s="24">
        <v>6.7287600000000003E-2</v>
      </c>
      <c r="K114" s="24">
        <v>6.7536739999999998E-2</v>
      </c>
      <c r="L114" s="24">
        <v>6.7785880000000007E-2</v>
      </c>
      <c r="M114" s="24">
        <v>6.8035020000000002E-2</v>
      </c>
      <c r="N114" s="24">
        <v>6.8035020000000002E-2</v>
      </c>
      <c r="O114" s="24">
        <v>6.8035020000000002E-2</v>
      </c>
      <c r="P114" s="24">
        <v>6.8035020000000002E-2</v>
      </c>
      <c r="Q114" s="24">
        <v>6.8035020000000002E-2</v>
      </c>
      <c r="R114" s="24">
        <v>6.8035020000000002E-2</v>
      </c>
      <c r="S114" s="24">
        <v>6.8035020000000002E-2</v>
      </c>
      <c r="T114" s="24">
        <v>6.8035020000000002E-2</v>
      </c>
      <c r="U114" s="24">
        <v>6.8035020000000002E-2</v>
      </c>
      <c r="V114" s="28"/>
    </row>
    <row r="115" spans="2:24" x14ac:dyDescent="0.2">
      <c r="C115" s="28"/>
      <c r="D115" s="28"/>
      <c r="E115" s="24"/>
      <c r="F115" s="24"/>
      <c r="G115" s="28"/>
      <c r="H115" s="95"/>
      <c r="I115" s="95"/>
      <c r="J115" s="95"/>
      <c r="K115" s="95"/>
      <c r="L115" s="95"/>
      <c r="M115" s="95"/>
      <c r="N115" s="95"/>
      <c r="O115" s="95"/>
      <c r="P115" s="95"/>
      <c r="Q115" s="95"/>
      <c r="R115" s="95"/>
      <c r="S115" s="95"/>
      <c r="T115" s="95"/>
      <c r="U115" s="95"/>
      <c r="V115" s="95"/>
      <c r="W115" s="95"/>
      <c r="X115" s="28"/>
    </row>
    <row r="116" spans="2:24" x14ac:dyDescent="0.2">
      <c r="E116" s="24"/>
      <c r="F116" s="24"/>
      <c r="G116" s="98"/>
      <c r="H116" s="98"/>
      <c r="I116" s="98"/>
      <c r="J116" s="98"/>
      <c r="K116" s="98"/>
      <c r="L116" s="98"/>
      <c r="M116" s="98"/>
      <c r="N116" s="98"/>
      <c r="O116" s="98"/>
      <c r="P116" s="98"/>
      <c r="Q116" s="98"/>
      <c r="R116" s="98"/>
      <c r="S116" s="98"/>
      <c r="T116" s="98"/>
      <c r="U116" s="98"/>
      <c r="V116" s="98"/>
      <c r="W116" s="98"/>
    </row>
    <row r="117" spans="2:24" x14ac:dyDescent="0.2">
      <c r="D117" s="179"/>
      <c r="E117" s="179"/>
      <c r="F117" s="179"/>
      <c r="G117" s="179"/>
    </row>
    <row r="118" spans="2:24" x14ac:dyDescent="0.2">
      <c r="D118" s="179"/>
      <c r="E118" s="179"/>
      <c r="F118" s="179"/>
      <c r="G118" s="179"/>
      <c r="H118" s="179"/>
      <c r="I118" s="179"/>
      <c r="J118" s="179"/>
      <c r="K118" s="179"/>
      <c r="L118" s="179"/>
      <c r="M118" s="179"/>
      <c r="N118" s="179"/>
      <c r="O118" s="179"/>
      <c r="P118" s="179"/>
      <c r="Q118" s="179"/>
      <c r="R118" s="179"/>
      <c r="S118" s="179"/>
      <c r="T118" s="179"/>
      <c r="U118" s="98"/>
      <c r="V118" s="98"/>
      <c r="W118" s="98"/>
    </row>
    <row r="119" spans="2:24" x14ac:dyDescent="0.2">
      <c r="E119" s="24"/>
      <c r="F119" s="24"/>
      <c r="G119" s="98"/>
      <c r="H119" s="98"/>
      <c r="I119" s="98"/>
      <c r="J119" s="98"/>
      <c r="K119" s="98"/>
      <c r="L119" s="98"/>
      <c r="M119" s="98"/>
      <c r="N119" s="98"/>
      <c r="O119" s="98"/>
      <c r="P119" s="98"/>
      <c r="Q119" s="98"/>
      <c r="R119" s="98"/>
      <c r="S119" s="98"/>
      <c r="T119" s="98"/>
      <c r="U119" s="98"/>
      <c r="V119" s="98"/>
      <c r="W119" s="98"/>
      <c r="X119" s="98"/>
    </row>
    <row r="120" spans="2:24" x14ac:dyDescent="0.2">
      <c r="G120" s="98"/>
      <c r="H120" s="98"/>
      <c r="I120" s="98"/>
      <c r="J120" s="98"/>
      <c r="K120" s="98"/>
      <c r="L120" s="98"/>
      <c r="M120" s="98"/>
      <c r="N120" s="98"/>
      <c r="O120" s="98"/>
      <c r="P120" s="98"/>
      <c r="Q120" s="98"/>
      <c r="R120" s="98"/>
      <c r="S120" s="98"/>
      <c r="T120" s="98"/>
      <c r="U120" s="98"/>
      <c r="V120" s="98"/>
      <c r="W120" s="98"/>
      <c r="X120" s="98"/>
    </row>
    <row r="121" spans="2:24" x14ac:dyDescent="0.2">
      <c r="E121" s="24"/>
      <c r="F121" s="77"/>
      <c r="G121" s="77"/>
      <c r="H121" s="77"/>
      <c r="I121" s="77"/>
      <c r="J121" s="77"/>
      <c r="K121" s="77"/>
      <c r="L121" s="77"/>
      <c r="M121" s="77"/>
      <c r="N121" s="77"/>
      <c r="O121" s="77"/>
      <c r="P121" s="77"/>
      <c r="Q121" s="77"/>
      <c r="R121" s="77"/>
      <c r="S121" s="77"/>
      <c r="T121" s="77"/>
      <c r="U121" s="77"/>
      <c r="V121" s="77"/>
      <c r="W121" s="77"/>
      <c r="X121" s="98"/>
    </row>
    <row r="122" spans="2:24" x14ac:dyDescent="0.2">
      <c r="E122" s="24"/>
      <c r="F122" s="24"/>
      <c r="G122" s="98"/>
      <c r="H122" s="98"/>
      <c r="I122" s="98"/>
      <c r="J122" s="98"/>
      <c r="K122" s="98"/>
      <c r="L122" s="98"/>
      <c r="M122" s="98"/>
      <c r="N122" s="98"/>
      <c r="O122" s="98"/>
      <c r="P122" s="98"/>
      <c r="Q122" s="98"/>
      <c r="R122" s="98"/>
      <c r="S122" s="98"/>
      <c r="T122" s="98"/>
      <c r="U122" s="98"/>
      <c r="V122" s="98"/>
      <c r="W122" s="98"/>
      <c r="X122" s="98"/>
    </row>
    <row r="123" spans="2:24" x14ac:dyDescent="0.2">
      <c r="G123" s="98"/>
      <c r="H123" s="98"/>
      <c r="I123" s="98"/>
      <c r="J123" s="98"/>
      <c r="K123" s="98"/>
      <c r="L123" s="98"/>
      <c r="M123" s="98"/>
      <c r="N123" s="98"/>
      <c r="O123" s="98"/>
      <c r="P123" s="98"/>
      <c r="Q123" s="98"/>
      <c r="R123" s="98"/>
      <c r="S123" s="98"/>
      <c r="T123" s="98"/>
      <c r="U123" s="98"/>
      <c r="V123" s="98"/>
      <c r="W123" s="98"/>
      <c r="X123" s="98"/>
    </row>
  </sheetData>
  <conditionalFormatting sqref="S10:U43 S49:U52 S82:U103 S105:U114">
    <cfRule type="expression" dxfId="22" priority="7">
      <formula>S$10&gt;($C$6+10)</formula>
    </cfRule>
  </conditionalFormatting>
  <conditionalFormatting sqref="S54:U80">
    <cfRule type="expression" dxfId="21" priority="1">
      <formula>S$10&gt;($C$6+10)</formula>
    </cfRule>
  </conditionalFormatting>
  <conditionalFormatting sqref="U45:W48 U115:W130">
    <cfRule type="expression" dxfId="20" priority="133">
      <formula>S$10&gt;($C$6+10)</formula>
    </cfRule>
  </conditionalFormatting>
  <pageMargins left="0.7" right="0.7" top="0.75" bottom="0.75" header="0.3" footer="0.3"/>
  <pageSetup paperSize="9" orientation="portrait" r:id="rId1"/>
  <ignoredErrors>
    <ignoredError sqref="C5 C46:C47" unlockedFormula="1"/>
    <ignoredError sqref="T56:U57 T66:U69 S84:S85 T83:U85 T100:U100 S88:S94 T88:U96" evalError="1"/>
  </ignoredErrors>
  <extLst>
    <ext xmlns:x14="http://schemas.microsoft.com/office/spreadsheetml/2009/9/main" uri="{78C0D931-6437-407d-A8EE-F0AAD7539E65}">
      <x14:conditionalFormattings>
        <x14:conditionalFormatting xmlns:xm="http://schemas.microsoft.com/office/excel/2006/main">
          <x14:cfRule type="expression" priority="4" id="{96FF8072-8232-4D7E-A6FB-B72A75C40711}">
            <xm:f>C$10=_xlfn.NUMBERVALUE(RIGHT('Input data'!$B$66,4))</xm:f>
            <x14:dxf>
              <fill>
                <patternFill>
                  <bgColor theme="9" tint="0.79998168889431442"/>
                </patternFill>
              </fill>
            </x14:dxf>
          </x14:cfRule>
          <xm:sqref>C88:D92</xm:sqref>
        </x14:conditionalFormatting>
        <x14:conditionalFormatting xmlns:xm="http://schemas.microsoft.com/office/excel/2006/main">
          <x14:cfRule type="expression" priority="2" id="{198DA582-4BB3-4CFB-9F5C-1515F8DFCED7}">
            <xm:f>AND(D$10&lt;='Input data'!$C$4+2,D$10&gt;_xlfn.NUMBERVALUE(RIGHT('Input data'!$B$66,4)))</xm:f>
            <x14:dxf>
              <fill>
                <patternFill>
                  <bgColor theme="0" tint="-0.14996795556505021"/>
                </patternFill>
              </fill>
            </x14:dxf>
          </x14:cfRule>
          <xm:sqref>D97:D98</xm:sqref>
        </x14:conditionalFormatting>
        <x14:conditionalFormatting xmlns:xm="http://schemas.microsoft.com/office/excel/2006/main">
          <x14:cfRule type="expression" priority="6" id="{5FD42ADF-A359-4071-AE01-B447B20C0292}">
            <xm:f>E$10&gt;'Input data'!$C$4+2</xm:f>
            <x14:dxf>
              <fill>
                <patternFill>
                  <bgColor theme="0"/>
                </patternFill>
              </fill>
            </x14:dxf>
          </x14:cfRule>
          <xm:sqref>E22:G42</xm:sqref>
        </x14:conditionalFormatting>
        <x14:conditionalFormatting xmlns:xm="http://schemas.microsoft.com/office/excel/2006/main">
          <x14:cfRule type="expression" priority="3" id="{D3B28FD9-05E1-47DD-9504-A1C765DF74A3}">
            <xm:f>E$10&lt;='Input data'!$C$4+2</xm:f>
            <x14:dxf>
              <fill>
                <patternFill>
                  <bgColor theme="0" tint="-0.14996795556505021"/>
                </patternFill>
              </fill>
            </x14:dxf>
          </x14:cfRule>
          <xm:sqref>E97:G98</xm:sqref>
        </x14:conditionalFormatting>
        <x14:conditionalFormatting xmlns:xm="http://schemas.microsoft.com/office/excel/2006/main">
          <x14:cfRule type="expression" priority="5" id="{4557BA4E-5B49-4C5A-8613-EAD30C4B0F29}">
            <xm:f>H$10='Input data'!$C$4+10</xm:f>
            <x14:dxf>
              <fill>
                <patternFill>
                  <bgColor theme="9" tint="0.39994506668294322"/>
                </patternFill>
              </fill>
            </x14:dxf>
          </x14:cfRule>
          <xm:sqref>H36:R38 H41:R41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W126"/>
  <sheetViews>
    <sheetView topLeftCell="A8" zoomScaleNormal="100" workbookViewId="0">
      <selection activeCell="J33" sqref="J33"/>
    </sheetView>
  </sheetViews>
  <sheetFormatPr defaultColWidth="9.28515625" defaultRowHeight="11.25" outlineLevelRow="1" x14ac:dyDescent="0.2"/>
  <cols>
    <col min="1" max="1" width="9.28515625" style="16" customWidth="1"/>
    <col min="2" max="2" width="57.42578125" style="16" customWidth="1"/>
    <col min="3" max="38" width="9.28515625" style="16" customWidth="1"/>
    <col min="39" max="48" width="11.42578125" style="16" bestFit="1" customWidth="1"/>
    <col min="49" max="16384" width="9.28515625" style="16"/>
  </cols>
  <sheetData>
    <row r="1" spans="1:49" ht="24.75" customHeight="1" x14ac:dyDescent="0.2">
      <c r="B1" s="29"/>
    </row>
    <row r="2" spans="1:49" ht="11.25" customHeight="1" x14ac:dyDescent="0.2">
      <c r="B2" s="17"/>
    </row>
    <row r="3" spans="1:49" ht="11.25" customHeight="1" x14ac:dyDescent="0.2">
      <c r="B3" s="9" t="s">
        <v>11</v>
      </c>
      <c r="C3" s="10" t="str">
        <f>'Input data'!C3</f>
        <v>CZ</v>
      </c>
    </row>
    <row r="4" spans="1:49" x14ac:dyDescent="0.2">
      <c r="B4" s="51" t="s">
        <v>16</v>
      </c>
      <c r="C4" s="11"/>
    </row>
    <row r="5" spans="1:49" x14ac:dyDescent="0.2">
      <c r="A5" s="19"/>
      <c r="B5" s="12" t="str">
        <f>'Input data'!B5</f>
        <v>Last year before the adjustment</v>
      </c>
      <c r="C5" s="13">
        <f>+'Input data'!C5</f>
        <v>2026</v>
      </c>
      <c r="J5" s="40"/>
      <c r="M5" s="28"/>
    </row>
    <row r="6" spans="1:49" x14ac:dyDescent="0.2">
      <c r="A6" s="19"/>
      <c r="B6" s="52" t="s">
        <v>22</v>
      </c>
      <c r="C6" s="13">
        <f>+C5+'Criteria results'!$F$5</f>
        <v>2030</v>
      </c>
      <c r="E6" s="31"/>
      <c r="F6" s="19"/>
    </row>
    <row r="7" spans="1:49" x14ac:dyDescent="0.2">
      <c r="A7" s="19"/>
      <c r="B7" s="14" t="s">
        <v>17</v>
      </c>
      <c r="C7" s="53">
        <f>C5+'Criteria results'!$F$5+10</f>
        <v>2040</v>
      </c>
      <c r="E7" s="31"/>
      <c r="F7" s="19"/>
      <c r="G7" s="40"/>
      <c r="H7" s="40"/>
      <c r="I7" s="40"/>
      <c r="J7" s="40"/>
      <c r="K7" s="40"/>
      <c r="L7" s="40"/>
      <c r="M7" s="40"/>
    </row>
    <row r="8" spans="1:49" x14ac:dyDescent="0.2">
      <c r="A8" s="19"/>
      <c r="C8" s="19"/>
      <c r="E8" s="349"/>
      <c r="F8" s="349"/>
      <c r="G8" s="349"/>
      <c r="H8" s="349"/>
      <c r="I8" s="349"/>
      <c r="J8" s="349"/>
      <c r="K8" s="349"/>
      <c r="N8" s="19"/>
      <c r="O8" s="19"/>
      <c r="P8" s="19"/>
      <c r="Q8" s="19"/>
      <c r="R8" s="19"/>
      <c r="S8" s="19"/>
      <c r="T8" s="19"/>
      <c r="U8" s="19"/>
      <c r="V8" s="19"/>
      <c r="W8" s="19"/>
    </row>
    <row r="9" spans="1:49" s="54" customFormat="1" ht="12.75" x14ac:dyDescent="0.2">
      <c r="B9" s="15" t="s">
        <v>23</v>
      </c>
    </row>
    <row r="10" spans="1:49" x14ac:dyDescent="0.2">
      <c r="C10" s="21">
        <f>'Input data'!$C$5-1</f>
        <v>2025</v>
      </c>
      <c r="D10" s="21">
        <f>C10+1</f>
        <v>2026</v>
      </c>
      <c r="E10" s="21">
        <f t="shared" ref="E10:U10" si="0">D10+1</f>
        <v>2027</v>
      </c>
      <c r="F10" s="21">
        <f t="shared" si="0"/>
        <v>2028</v>
      </c>
      <c r="G10" s="21">
        <f t="shared" si="0"/>
        <v>2029</v>
      </c>
      <c r="H10" s="21">
        <f t="shared" si="0"/>
        <v>2030</v>
      </c>
      <c r="I10" s="21">
        <f t="shared" si="0"/>
        <v>2031</v>
      </c>
      <c r="J10" s="21">
        <f t="shared" si="0"/>
        <v>2032</v>
      </c>
      <c r="K10" s="21">
        <f t="shared" si="0"/>
        <v>2033</v>
      </c>
      <c r="L10" s="21">
        <f t="shared" si="0"/>
        <v>2034</v>
      </c>
      <c r="M10" s="21">
        <f t="shared" si="0"/>
        <v>2035</v>
      </c>
      <c r="N10" s="21">
        <f t="shared" si="0"/>
        <v>2036</v>
      </c>
      <c r="O10" s="21">
        <f t="shared" si="0"/>
        <v>2037</v>
      </c>
      <c r="P10" s="21">
        <f t="shared" si="0"/>
        <v>2038</v>
      </c>
      <c r="Q10" s="21">
        <f t="shared" si="0"/>
        <v>2039</v>
      </c>
      <c r="R10" s="21">
        <f t="shared" si="0"/>
        <v>2040</v>
      </c>
      <c r="S10" s="21">
        <f t="shared" si="0"/>
        <v>2041</v>
      </c>
      <c r="T10" s="21">
        <f t="shared" si="0"/>
        <v>2042</v>
      </c>
      <c r="U10" s="21">
        <f t="shared" si="0"/>
        <v>2043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row>
    <row r="11" spans="1:49" x14ac:dyDescent="0.2">
      <c r="B11" s="18" t="s">
        <v>24</v>
      </c>
      <c r="C11" s="19"/>
      <c r="D11" s="180"/>
      <c r="E11" s="350"/>
      <c r="F11" s="350"/>
      <c r="G11" s="350"/>
      <c r="H11" s="350"/>
      <c r="I11" s="350"/>
      <c r="J11" s="350"/>
      <c r="K11" s="350"/>
      <c r="L11" s="180"/>
      <c r="M11" s="180"/>
      <c r="N11" s="180"/>
      <c r="O11" s="180"/>
      <c r="P11" s="180"/>
      <c r="Q11" s="180"/>
      <c r="R11" s="180"/>
      <c r="S11" s="180"/>
      <c r="T11" s="180"/>
      <c r="U11" s="180"/>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row>
    <row r="12" spans="1:49" x14ac:dyDescent="0.2">
      <c r="B12" s="16" t="s">
        <v>26</v>
      </c>
      <c r="C12" s="2">
        <f>'Input data'!C13</f>
        <v>-0.51101569999999996</v>
      </c>
      <c r="D12" s="2">
        <f>'Input data'!D13</f>
        <v>-1.332759</v>
      </c>
      <c r="E12" s="3">
        <f>IF(E10&lt;=$C$6,
IF(AND(D78&lt;=-1.5,'Criteria results'!$F$5=4,'Criteria results'!$F$6&lt;0.4),D12+0.4,
IF(AND(D78&lt;=-1.5,'Criteria results'!$F$5=7,'Criteria results'!$F$6&lt;0.25),D12+0.25,
D12+'Criteria results'!$F$6)),D12)</f>
        <v>-0.87275900000000006</v>
      </c>
      <c r="F12" s="3">
        <f>IF(F10&lt;=$C$6,
IF(AND(E78&lt;=-1.5,'Criteria results'!$F$5=4,'Criteria results'!$F$6&lt;0.4),E12+0.4,
IF(AND(E78&lt;=-1.5,'Criteria results'!$F$5=7,'Criteria results'!$F$6&lt;0.25),E12+0.25,
E12+'Criteria results'!$F$6)),E12)</f>
        <v>-0.4127590000000001</v>
      </c>
      <c r="G12" s="3">
        <f>IF(G10&lt;=$C$6,
IF(AND(F78&lt;=-1.5,'Criteria results'!$F$5=4,'Criteria results'!$F$6&lt;0.4),F12+0.4,
IF(AND(F78&lt;=-1.5,'Criteria results'!$F$5=7,'Criteria results'!$F$6&lt;0.25),F12+0.25,
F12+'Criteria results'!$F$6)),F12)</f>
        <v>4.7240999999999866E-2</v>
      </c>
      <c r="H12" s="3">
        <f>IF(H10&lt;=$C$6,
IF(AND(G78&lt;=-1.5,'Criteria results'!$F$5=4,'Criteria results'!$F$6&lt;0.4),G12+0.4,
IF(AND(G78&lt;=-1.5,'Criteria results'!$F$5=7,'Criteria results'!$F$6&lt;0.25),G12+0.25,
G12+'Criteria results'!$F$6)),G12)</f>
        <v>0.50724099999999983</v>
      </c>
      <c r="I12" s="96">
        <f>IF(I10&lt;=$C$6,
IF(AND(H78&lt;=-1.5,'Criteria results'!$F$5=4,'Criteria results'!$F$6&lt;0.4),H12+0.4,
IF(AND(H78&lt;=-1.5,'Criteria results'!$F$5=7,'Criteria results'!$F$6&lt;0.25),H12+0.25,
H12+'Criteria results'!$F$6)),H12)</f>
        <v>0.50724099999999983</v>
      </c>
      <c r="J12" s="96">
        <f>IF(J10&lt;=$C$6,
IF(AND(I78&lt;=-1.5,'Criteria results'!$F$5=4,'Criteria results'!$F$6&lt;0.4),I12+0.4,
IF(AND(I78&lt;=-1.5,'Criteria results'!$F$5=7,'Criteria results'!$F$6&lt;0.25),I12+0.25,
I12+'Criteria results'!$F$6)),I12)</f>
        <v>0.50724099999999983</v>
      </c>
      <c r="K12" s="96">
        <f>IF(K10&lt;=$C$6,
IF(AND(J78&lt;=-1.5,'Criteria results'!$F$5=4,'Criteria results'!$F$6&lt;0.4),J12+0.4,
IF(AND(J78&lt;=-1.5,'Criteria results'!$F$5=7,'Criteria results'!$F$6&lt;0.25),J12+0.25,
J12+'Criteria results'!$F$6)),J12)</f>
        <v>0.50724099999999983</v>
      </c>
      <c r="L12" s="96">
        <f>K12</f>
        <v>0.50724099999999983</v>
      </c>
      <c r="M12" s="96">
        <f t="shared" ref="M12:U12" si="1">L12</f>
        <v>0.50724099999999983</v>
      </c>
      <c r="N12" s="96">
        <f t="shared" si="1"/>
        <v>0.50724099999999983</v>
      </c>
      <c r="O12" s="96">
        <f t="shared" si="1"/>
        <v>0.50724099999999983</v>
      </c>
      <c r="P12" s="96">
        <f t="shared" si="1"/>
        <v>0.50724099999999983</v>
      </c>
      <c r="Q12" s="96">
        <f t="shared" si="1"/>
        <v>0.50724099999999983</v>
      </c>
      <c r="R12" s="96">
        <f t="shared" si="1"/>
        <v>0.50724099999999983</v>
      </c>
      <c r="S12" s="96">
        <f t="shared" si="1"/>
        <v>0.50724099999999983</v>
      </c>
      <c r="T12" s="96">
        <f t="shared" si="1"/>
        <v>0.50724099999999983</v>
      </c>
      <c r="U12" s="96">
        <f t="shared" si="1"/>
        <v>0.50724099999999983</v>
      </c>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7"/>
    </row>
    <row r="13" spans="1:49" x14ac:dyDescent="0.2">
      <c r="B13" s="265" t="s">
        <v>134</v>
      </c>
      <c r="C13" s="19"/>
      <c r="D13" s="180"/>
      <c r="E13" s="180">
        <f>E12-D12</f>
        <v>0.45999999999999996</v>
      </c>
      <c r="F13" s="180">
        <f t="shared" ref="F13:U13" si="2">F12-E12</f>
        <v>0.45999999999999996</v>
      </c>
      <c r="G13" s="180">
        <f t="shared" si="2"/>
        <v>0.45999999999999996</v>
      </c>
      <c r="H13" s="180">
        <f t="shared" si="2"/>
        <v>0.45999999999999996</v>
      </c>
      <c r="I13" s="180">
        <f t="shared" si="2"/>
        <v>0</v>
      </c>
      <c r="J13" s="180">
        <f t="shared" si="2"/>
        <v>0</v>
      </c>
      <c r="K13" s="180">
        <f t="shared" si="2"/>
        <v>0</v>
      </c>
      <c r="L13" s="180">
        <f t="shared" si="2"/>
        <v>0</v>
      </c>
      <c r="M13" s="180">
        <f t="shared" si="2"/>
        <v>0</v>
      </c>
      <c r="N13" s="180">
        <f t="shared" si="2"/>
        <v>0</v>
      </c>
      <c r="O13" s="180">
        <f t="shared" si="2"/>
        <v>0</v>
      </c>
      <c r="P13" s="180">
        <f t="shared" si="2"/>
        <v>0</v>
      </c>
      <c r="Q13" s="180">
        <f t="shared" si="2"/>
        <v>0</v>
      </c>
      <c r="R13" s="180">
        <f t="shared" si="2"/>
        <v>0</v>
      </c>
      <c r="S13" s="180">
        <f t="shared" si="2"/>
        <v>0</v>
      </c>
      <c r="T13" s="180">
        <f t="shared" si="2"/>
        <v>0</v>
      </c>
      <c r="U13" s="180">
        <f t="shared" si="2"/>
        <v>0</v>
      </c>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row>
    <row r="14" spans="1:49" x14ac:dyDescent="0.2">
      <c r="B14" s="16" t="s">
        <v>27</v>
      </c>
      <c r="C14" s="2">
        <f>'Input data'!C14</f>
        <v>-0.1168709</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7"/>
    </row>
    <row r="15" spans="1:49" x14ac:dyDescent="0.2">
      <c r="B15" s="16" t="s">
        <v>54</v>
      </c>
      <c r="C15" s="2">
        <f>'Input data'!C15</f>
        <v>1.388104</v>
      </c>
      <c r="D15" s="2">
        <f>'Input data'!D15</f>
        <v>0.74747770000000002</v>
      </c>
      <c r="E15" s="2">
        <f>'Input data'!E15</f>
        <v>0.85</v>
      </c>
      <c r="F15" s="2">
        <f>'Input data'!F15</f>
        <v>0</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7"/>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2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8"/>
      <c r="B18" s="16" t="s">
        <v>30</v>
      </c>
      <c r="C18" s="80">
        <f>'Input data'!C20</f>
        <v>19.8</v>
      </c>
      <c r="D18" s="80">
        <f>'Input data'!D20</f>
        <v>19.7</v>
      </c>
      <c r="E18" s="80">
        <f>'Input data'!E20</f>
        <v>19.8</v>
      </c>
      <c r="F18" s="80">
        <f>'Input data'!F20</f>
        <v>19.899999999999999</v>
      </c>
      <c r="G18" s="80">
        <f>'Input data'!G20</f>
        <v>20</v>
      </c>
      <c r="H18" s="80">
        <f>'Input data'!H20</f>
        <v>20</v>
      </c>
      <c r="I18" s="80">
        <f>'Input data'!I20</f>
        <v>20.100000000000001</v>
      </c>
      <c r="J18" s="80">
        <f>'Input data'!J20</f>
        <v>20.099999999999998</v>
      </c>
      <c r="K18" s="80">
        <f>'Input data'!K20</f>
        <v>20.099999999999998</v>
      </c>
      <c r="L18" s="80">
        <f>'Input data'!L20</f>
        <v>20.399999999999999</v>
      </c>
      <c r="M18" s="80">
        <f>'Input data'!M20</f>
        <v>20.399999999999999</v>
      </c>
      <c r="N18" s="80">
        <f>'Input data'!N20</f>
        <v>20.5</v>
      </c>
      <c r="O18" s="80">
        <f>'Input data'!O20</f>
        <v>20.6</v>
      </c>
      <c r="P18" s="80">
        <f>'Input data'!P20</f>
        <v>20.8</v>
      </c>
      <c r="Q18" s="80">
        <f>'Input data'!Q20</f>
        <v>20.8</v>
      </c>
      <c r="R18" s="80">
        <f>'Input data'!R20</f>
        <v>20.9</v>
      </c>
      <c r="S18" s="80">
        <f>'Input data'!S20</f>
        <v>21.1</v>
      </c>
      <c r="T18" s="80">
        <f>'Input data'!T20</f>
        <v>21.2</v>
      </c>
      <c r="U18" s="80">
        <f>'Input data'!U20</f>
        <v>21.3</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8"/>
      <c r="B19" s="16" t="s">
        <v>36</v>
      </c>
      <c r="C19" s="80">
        <f>'Input data'!C26</f>
        <v>1.037865</v>
      </c>
      <c r="D19" s="80">
        <f>'Input data'!D26</f>
        <v>1.0233570000000001</v>
      </c>
      <c r="E19" s="80">
        <f>'Input data'!E26</f>
        <v>1.008848</v>
      </c>
      <c r="F19" s="80">
        <f>'Input data'!F26</f>
        <v>0.99434009999999995</v>
      </c>
      <c r="G19" s="80">
        <f>'Input data'!G26</f>
        <v>0.97983180000000003</v>
      </c>
      <c r="H19" s="80">
        <f>'Input data'!H26</f>
        <v>0.9653235</v>
      </c>
      <c r="I19" s="80">
        <f>'Input data'!I26</f>
        <v>0.95081519999999997</v>
      </c>
      <c r="J19" s="80">
        <f>'Input data'!J26</f>
        <v>0.93630690000000005</v>
      </c>
      <c r="K19" s="80">
        <f>'Input data'!K26</f>
        <v>0.92179860000000002</v>
      </c>
      <c r="L19" s="80">
        <f>'Input data'!L26</f>
        <v>0.90729029999999999</v>
      </c>
      <c r="M19" s="80">
        <f>'Input data'!M26</f>
        <v>0.89278199999999996</v>
      </c>
      <c r="N19" s="80">
        <f>'Input data'!N26</f>
        <v>0.87827370000000005</v>
      </c>
      <c r="O19" s="80">
        <f>'Input data'!O26</f>
        <v>0.86376540000000002</v>
      </c>
      <c r="P19" s="80">
        <f>'Input data'!P26</f>
        <v>0.84925709999999999</v>
      </c>
      <c r="Q19" s="80">
        <f>'Input data'!Q26</f>
        <v>0.83474870000000001</v>
      </c>
      <c r="R19" s="80">
        <f>'Input data'!R26</f>
        <v>0.82024039999999998</v>
      </c>
      <c r="S19" s="80">
        <f>'Input data'!S26</f>
        <v>0.80573209999999995</v>
      </c>
      <c r="T19" s="80">
        <f>'Input data'!T26</f>
        <v>0.79122380000000003</v>
      </c>
      <c r="U19" s="80">
        <f>'Input data'!U26</f>
        <v>0.7767155</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8" t="s">
        <v>55</v>
      </c>
    </row>
    <row r="22" spans="1:48" ht="10.5" customHeight="1" x14ac:dyDescent="0.2">
      <c r="B22" s="20" t="s">
        <v>56</v>
      </c>
    </row>
    <row r="23" spans="1:48" x14ac:dyDescent="0.2">
      <c r="B23" s="16" t="s">
        <v>39</v>
      </c>
      <c r="C23" s="79">
        <f>'Baseline NFPC'!C22</f>
        <v>6479.8060073389106</v>
      </c>
      <c r="D23" s="79">
        <f>'Baseline NFPC'!D22</f>
        <v>6596.2656167670111</v>
      </c>
      <c r="E23" s="24">
        <f>IF(AND(E50&gt;1,D50&gt;1),
IF(E$10&lt;='Input data'!$C$4+2,
E27*(1+('Baseline NFPC'!E$29+E51)/100)-D23*$C$47*(E12-D12)/100,
E27*(1+E51/100)-D23*$C$47*(E12-D12)/100),
IF(E50=1,E27,D23*(1+E52/100)))</f>
        <v>6720.0100425964683</v>
      </c>
      <c r="F23" s="24">
        <f>IF(AND(F50&gt;1,E50&gt;1),
IF(F$10&lt;='Input data'!$C$4+2,
F27*(1+('Baseline NFPC'!F$29+F51)/100)-E23*$C$47*(F12-E12)/100,
F27*(1+F51/100)-E23*$C$47*(F12-E12)/100),
IF(F50=1,F27,E23*(1+F52/100)))</f>
        <v>6799.8871716539325</v>
      </c>
      <c r="G23" s="24">
        <f>IF(AND(G50&gt;1,F50&gt;1),
IF(G$10&lt;='Input data'!$C$4+2,
G27*(1+('Baseline NFPC'!G$29+G51)/100)-F23*$C$47*(G12-F12)/100,
G27*(1+G51/100)-F23*$C$47*(G12-F12)/100),
IF(G50=1,G27,F23*(1+G52/100)))</f>
        <v>6871.6850974022864</v>
      </c>
      <c r="H23" s="24">
        <f>IF(AND(H50&gt;1,G50&gt;1),
H27*(1+H51/100)-G23*$C$47*(H12-G12)/100,
IF(H50=1,H27,G23*(1+H52/100)))</f>
        <v>6946.8455018835102</v>
      </c>
      <c r="I23" s="24">
        <f t="shared" ref="I23:U23" si="3">IF(AND(I50&gt;1,H50&gt;1),
I27*(1+I51/100)-H23*$C$47*(I12-H12)/100,
IF(I50=1,I27,H23*(1+I52/100)))</f>
        <v>7045.7104153662567</v>
      </c>
      <c r="J23" s="24">
        <f t="shared" si="3"/>
        <v>7146.6738627758168</v>
      </c>
      <c r="K23" s="24">
        <f t="shared" si="3"/>
        <v>7249.6249467619218</v>
      </c>
      <c r="L23" s="24">
        <f t="shared" si="3"/>
        <v>7337.2908189418922</v>
      </c>
      <c r="M23" s="24">
        <f t="shared" si="3"/>
        <v>7420.9966870458102</v>
      </c>
      <c r="N23" s="24">
        <f t="shared" si="3"/>
        <v>7514.294793174754</v>
      </c>
      <c r="O23" s="24">
        <f t="shared" si="3"/>
        <v>7617.5119730262295</v>
      </c>
      <c r="P23" s="24">
        <f t="shared" si="3"/>
        <v>7731.0130537745599</v>
      </c>
      <c r="Q23" s="24">
        <f t="shared" si="3"/>
        <v>7848.5242202615418</v>
      </c>
      <c r="R23" s="24">
        <f t="shared" si="3"/>
        <v>7974.1007647562101</v>
      </c>
      <c r="S23" s="24">
        <f t="shared" si="3"/>
        <v>8101.686775697347</v>
      </c>
      <c r="T23" s="24">
        <f t="shared" si="3"/>
        <v>8231.313764108505</v>
      </c>
      <c r="U23" s="24">
        <f t="shared" si="3"/>
        <v>8363.8379157106519</v>
      </c>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row>
    <row r="24" spans="1:48" x14ac:dyDescent="0.2">
      <c r="A24" s="48"/>
      <c r="B24" s="49" t="s">
        <v>38</v>
      </c>
      <c r="C24" s="79">
        <f>'Baseline NFPC'!C23</f>
        <v>2.5804670000000001</v>
      </c>
      <c r="D24" s="79">
        <f>'Baseline NFPC'!D23</f>
        <v>1.7972699999999999</v>
      </c>
      <c r="E24" s="24">
        <f t="shared" ref="E24:Q24" si="4">100*(E23/D23-1)</f>
        <v>1.8759769999999953</v>
      </c>
      <c r="F24" s="24">
        <f t="shared" si="4"/>
        <v>1.188645977478342</v>
      </c>
      <c r="G24" s="24">
        <f t="shared" si="4"/>
        <v>1.055869368651452</v>
      </c>
      <c r="H24" s="24">
        <f t="shared" si="4"/>
        <v>1.0937696273310982</v>
      </c>
      <c r="I24" s="24">
        <f t="shared" si="4"/>
        <v>1.4231626924183116</v>
      </c>
      <c r="J24" s="24">
        <f t="shared" si="4"/>
        <v>1.4329775346622942</v>
      </c>
      <c r="K24" s="24">
        <f t="shared" si="4"/>
        <v>1.4405454336224421</v>
      </c>
      <c r="L24" s="24">
        <f t="shared" si="4"/>
        <v>1.2092470000000022</v>
      </c>
      <c r="M24" s="24">
        <f t="shared" si="4"/>
        <v>1.1408279999999937</v>
      </c>
      <c r="N24" s="24">
        <f t="shared" si="4"/>
        <v>1.2572180000000044</v>
      </c>
      <c r="O24" s="24">
        <f t="shared" si="4"/>
        <v>1.3736109999999968</v>
      </c>
      <c r="P24" s="24">
        <f t="shared" si="4"/>
        <v>1.4900020000000014</v>
      </c>
      <c r="Q24" s="24">
        <f t="shared" si="4"/>
        <v>1.5199970000000063</v>
      </c>
      <c r="R24" s="24">
        <f>100*(R23/Q23-1)</f>
        <v>1.6000019999999893</v>
      </c>
      <c r="S24" s="24">
        <f t="shared" ref="S24" si="5">100*(S23/R23-1)</f>
        <v>1.6000049999999932</v>
      </c>
      <c r="T24" s="24">
        <f t="shared" ref="T24" si="6">100*(T23/S23-1)</f>
        <v>1.6000000000000014</v>
      </c>
      <c r="U24" s="24">
        <f t="shared" ref="U24" si="7">100*(U23/T23-1)</f>
        <v>1.6100000000000003</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row>
    <row r="26" spans="1:48" ht="15" x14ac:dyDescent="0.2">
      <c r="A26" s="156"/>
      <c r="B26" s="20" t="s">
        <v>57</v>
      </c>
      <c r="C26" s="155"/>
      <c r="D26" s="155"/>
    </row>
    <row r="27" spans="1:48" x14ac:dyDescent="0.2">
      <c r="B27" s="16" t="s">
        <v>39</v>
      </c>
      <c r="C27" s="79">
        <f>'Input data'!C34</f>
        <v>6515.4565303615473</v>
      </c>
      <c r="D27" s="79">
        <f>+C27*(1+'Input data'!D33/100)</f>
        <v>6622.8091014297024</v>
      </c>
      <c r="E27" s="79">
        <f>+D27*(1+'Input data'!E33/100)</f>
        <v>6721.6283009444987</v>
      </c>
      <c r="F27" s="79">
        <f>+E27*(1+'Input data'!F33/100)</f>
        <v>6819.5289515803215</v>
      </c>
      <c r="G27" s="79">
        <f>+F27*(1+'Input data'!G33/100)</f>
        <v>6903.7089441774706</v>
      </c>
      <c r="H27" s="24">
        <f>+G27*(1+'Input data'!H33/100)</f>
        <v>6987.4194527575573</v>
      </c>
      <c r="I27" s="24">
        <f>+H27*(1+'Input data'!I33/100)</f>
        <v>7073.0913641774832</v>
      </c>
      <c r="J27" s="24">
        <f>+I27*(1+'Input data'!J33/100)</f>
        <v>7160.5335878617452</v>
      </c>
      <c r="K27" s="24">
        <f>+J27*(1+'Input data'!K33/100)</f>
        <v>7249.6249467619218</v>
      </c>
      <c r="L27" s="24">
        <f>+K27*(1+'Input data'!L33/100)</f>
        <v>7337.2906014531436</v>
      </c>
      <c r="M27" s="24">
        <f>+L27*(1+'Input data'!M33/100)</f>
        <v>7420.9960268384539</v>
      </c>
      <c r="N27" s="24">
        <f>+M27*(1+'Input data'!N33/100)</f>
        <v>7514.2939020372705</v>
      </c>
      <c r="O27" s="24">
        <f>+N27*(1+'Input data'!O33/100)</f>
        <v>7617.5107690762279</v>
      </c>
      <c r="P27" s="24">
        <f>+O27*(1+'Input data'!P33/100)</f>
        <v>7731.0116795354634</v>
      </c>
      <c r="Q27" s="24">
        <f>+P27*(1+'Input data'!Q33/100)</f>
        <v>7848.5230570644035</v>
      </c>
      <c r="R27" s="24">
        <f>+Q27*(1+'Input data'!R33/100)</f>
        <v>7974.0994259774343</v>
      </c>
      <c r="S27" s="24">
        <f>+R27*(1+'Input data'!S33/100)</f>
        <v>8101.6850167930734</v>
      </c>
      <c r="T27" s="24">
        <f>+S27*(1+'Input data'!T33/100)</f>
        <v>8231.3119770617632</v>
      </c>
      <c r="U27" s="24">
        <f>+T27*(1+'Input data'!U33/100)</f>
        <v>8363.8360998924582</v>
      </c>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row>
    <row r="28" spans="1:48" ht="5.25" customHeight="1" x14ac:dyDescent="0.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row>
    <row r="29" spans="1:48" x14ac:dyDescent="0.2">
      <c r="B29" s="20" t="s">
        <v>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row>
    <row r="30" spans="1:48" x14ac:dyDescent="0.2">
      <c r="B30" s="16" t="s">
        <v>58</v>
      </c>
      <c r="C30" s="79">
        <f t="shared" ref="C30:R30" si="8">100*(C23/C27-1)</f>
        <v>-0.54716845790480084</v>
      </c>
      <c r="D30" s="79">
        <f t="shared" si="8"/>
        <v>-0.40078891383055204</v>
      </c>
      <c r="E30" s="24">
        <f t="shared" si="8"/>
        <v>-2.4075391788669354E-2</v>
      </c>
      <c r="F30" s="24">
        <f t="shared" si="8"/>
        <v>-0.28802253155384427</v>
      </c>
      <c r="G30" s="24">
        <f t="shared" si="8"/>
        <v>-0.46386438122065776</v>
      </c>
      <c r="H30" s="24">
        <f t="shared" si="8"/>
        <v>-0.58067146459963581</v>
      </c>
      <c r="I30" s="24">
        <f t="shared" si="8"/>
        <v>-0.38711430973309424</v>
      </c>
      <c r="J30" s="24">
        <f t="shared" si="8"/>
        <v>-0.19355715486654157</v>
      </c>
      <c r="K30" s="24">
        <f>100*(K23/K27-1)</f>
        <v>0</v>
      </c>
      <c r="L30" s="24">
        <f t="shared" si="8"/>
        <v>2.964156120555117E-6</v>
      </c>
      <c r="M30" s="24">
        <f t="shared" si="8"/>
        <v>8.8964790423418094E-6</v>
      </c>
      <c r="N30" s="24">
        <f t="shared" si="8"/>
        <v>1.1859231152655525E-5</v>
      </c>
      <c r="O30" s="24">
        <f t="shared" si="8"/>
        <v>1.5805031838844741E-5</v>
      </c>
      <c r="P30" s="24">
        <f t="shared" si="8"/>
        <v>1.7775669647335235E-5</v>
      </c>
      <c r="Q30" s="24">
        <f t="shared" si="8"/>
        <v>1.4820586358155197E-5</v>
      </c>
      <c r="R30" s="24">
        <f t="shared" si="8"/>
        <v>1.6789090584445887E-5</v>
      </c>
      <c r="S30" s="24">
        <f t="shared" ref="S30:U30" si="9">100*(S23/S27-1)</f>
        <v>2.1710351250092685E-5</v>
      </c>
      <c r="T30" s="24">
        <f t="shared" si="9"/>
        <v>2.1710351250092685E-5</v>
      </c>
      <c r="U30" s="24">
        <f t="shared" si="9"/>
        <v>2.1710351227888225E-5</v>
      </c>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row>
    <row r="31" spans="1:48" ht="4.9000000000000004" customHeight="1" x14ac:dyDescent="0.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row>
    <row r="32" spans="1:48" x14ac:dyDescent="0.2">
      <c r="B32" s="20" t="s">
        <v>59</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row>
    <row r="33" spans="2:49" x14ac:dyDescent="0.2">
      <c r="B33" s="16" t="s">
        <v>38</v>
      </c>
      <c r="C33" s="2">
        <f t="shared" ref="C33:U33" si="10">100*((1+C24/100)*(1+C42/100)-1)</f>
        <v>6.1837136128653603</v>
      </c>
      <c r="D33" s="2">
        <f>100*((1+D24/100)*(1+D42/100)-1)</f>
        <v>4.501694658717903</v>
      </c>
      <c r="E33" s="1">
        <f>100*((1+E24/100)*(1+E42/100)-1)</f>
        <v>5.0022084308472881</v>
      </c>
      <c r="F33" s="1">
        <f t="shared" si="10"/>
        <v>4.2016198742609978</v>
      </c>
      <c r="G33" s="1">
        <f t="shared" si="10"/>
        <v>3.9728450168601936</v>
      </c>
      <c r="H33" s="1">
        <f t="shared" si="10"/>
        <v>3.9197600275589606</v>
      </c>
      <c r="I33" s="1">
        <f t="shared" si="10"/>
        <v>4.1659817365214291</v>
      </c>
      <c r="J33" s="1">
        <f t="shared" si="10"/>
        <v>4.083673805757071</v>
      </c>
      <c r="K33" s="1">
        <f t="shared" si="10"/>
        <v>3.9990443807638165</v>
      </c>
      <c r="L33" s="1">
        <f t="shared" si="10"/>
        <v>3.6697277982449927</v>
      </c>
      <c r="M33" s="1">
        <f t="shared" si="10"/>
        <v>3.5075233751999946</v>
      </c>
      <c r="N33" s="1">
        <f t="shared" si="10"/>
        <v>3.609423174140014</v>
      </c>
      <c r="O33" s="1">
        <f t="shared" si="10"/>
        <v>3.7112864696600134</v>
      </c>
      <c r="P33" s="1">
        <f t="shared" si="10"/>
        <v>3.8131081457800198</v>
      </c>
      <c r="Q33" s="1">
        <f t="shared" si="10"/>
        <v>3.8265313318400107</v>
      </c>
      <c r="R33" s="1">
        <f t="shared" si="10"/>
        <v>3.8910820451000028</v>
      </c>
      <c r="S33" s="1">
        <f>100*((1+S24/100)*(1+S42/100)-1)</f>
        <v>3.8738131119000041</v>
      </c>
      <c r="T33" s="1">
        <f t="shared" si="10"/>
        <v>3.8565359999999993</v>
      </c>
      <c r="U33" s="1">
        <f t="shared" si="10"/>
        <v>3.8494844000000139</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8" t="s">
        <v>108</v>
      </c>
    </row>
    <row r="36" spans="2:49" x14ac:dyDescent="0.2">
      <c r="B36" s="16" t="s">
        <v>41</v>
      </c>
      <c r="C36" s="79">
        <f>'Input data'!C37</f>
        <v>3.1969609999999999</v>
      </c>
      <c r="D36" s="79">
        <f>'Input data'!D37</f>
        <v>3.078103</v>
      </c>
      <c r="E36" s="79">
        <f>IF(E$10&lt;='Input data'!$C$4+2,'Input data'!E37,E99)</f>
        <v>2.999835</v>
      </c>
      <c r="F36" s="24">
        <f>IF(F$10&lt;='Input data'!$C$4+2,'Input data'!F37,F99)</f>
        <v>3.2612234963345017</v>
      </c>
      <c r="G36" s="24">
        <f>IF(G$10&lt;='Input data'!$C$4+2,'Input data'!G37,G99)</f>
        <v>3.4661519633917419</v>
      </c>
      <c r="H36" s="24">
        <f>H99</f>
        <v>3.6527919364235872</v>
      </c>
      <c r="I36" s="24">
        <f t="shared" ref="I36:U36" si="11">I99</f>
        <v>3.8227404164057077</v>
      </c>
      <c r="J36" s="24">
        <f t="shared" si="11"/>
        <v>3.9924506315885533</v>
      </c>
      <c r="K36" s="24">
        <f t="shared" si="11"/>
        <v>4.1585065106652124</v>
      </c>
      <c r="L36" s="24">
        <f t="shared" si="11"/>
        <v>4.3211097800205742</v>
      </c>
      <c r="M36" s="24">
        <f t="shared" si="11"/>
        <v>4.491641677287797</v>
      </c>
      <c r="N36" s="24">
        <f t="shared" si="11"/>
        <v>4.631941317789745</v>
      </c>
      <c r="O36" s="24">
        <f t="shared" si="11"/>
        <v>4.7485430065068339</v>
      </c>
      <c r="P36" s="24">
        <f t="shared" si="11"/>
        <v>4.8425187478570608</v>
      </c>
      <c r="Q36" s="24">
        <f t="shared" si="11"/>
        <v>4.9163067262605171</v>
      </c>
      <c r="R36" s="24">
        <f t="shared" si="11"/>
        <v>4.9690506896741908</v>
      </c>
      <c r="S36" s="24">
        <f t="shared" si="11"/>
        <v>5.0036379295157527</v>
      </c>
      <c r="T36" s="24">
        <f t="shared" si="11"/>
        <v>5.0219997197073161</v>
      </c>
      <c r="U36" s="24">
        <f t="shared" si="11"/>
        <v>5.025283034969183</v>
      </c>
    </row>
    <row r="37" spans="2:49" x14ac:dyDescent="0.2">
      <c r="B37" s="22" t="s">
        <v>61</v>
      </c>
      <c r="C37" s="2">
        <f>'Input data'!C$39</f>
        <v>4.29</v>
      </c>
      <c r="D37" s="137">
        <f>'Input data'!D$39</f>
        <v>4.7019640000000003</v>
      </c>
      <c r="E37" s="137">
        <f>'Baseline NFPC'!E36</f>
        <v>4.9156490000000002</v>
      </c>
      <c r="F37" s="137">
        <f>'Baseline NFPC'!F36</f>
        <v>5.0370066250000001</v>
      </c>
      <c r="G37" s="137">
        <f>'Baseline NFPC'!G36</f>
        <v>5.15836425</v>
      </c>
      <c r="H37" s="1">
        <f>'Baseline NFPC'!H36</f>
        <v>5.2797218749999999</v>
      </c>
      <c r="I37" s="1">
        <f>'Baseline NFPC'!I36</f>
        <v>5.4010794999999998</v>
      </c>
      <c r="J37" s="1">
        <f>'Baseline NFPC'!J36</f>
        <v>5.5224371250000006</v>
      </c>
      <c r="K37" s="1">
        <f>'Baseline NFPC'!K36</f>
        <v>5.6437947500000005</v>
      </c>
      <c r="L37" s="1">
        <f>'Baseline NFPC'!L36</f>
        <v>5.7651523750000004</v>
      </c>
      <c r="M37" s="1">
        <f>'Baseline NFPC'!M36</f>
        <v>5.8865100000000004</v>
      </c>
      <c r="N37" s="1">
        <f>'Baseline NFPC'!N36</f>
        <v>5.7921845000000003</v>
      </c>
      <c r="O37" s="1">
        <f>'Baseline NFPC'!O36</f>
        <v>5.6978590000000002</v>
      </c>
      <c r="P37" s="1">
        <f>'Baseline NFPC'!P36</f>
        <v>5.6035335000000002</v>
      </c>
      <c r="Q37" s="1">
        <f>'Baseline NFPC'!Q36</f>
        <v>5.5092080000000001</v>
      </c>
      <c r="R37" s="1">
        <f>'Baseline NFPC'!R36</f>
        <v>5.4148825</v>
      </c>
      <c r="S37" s="1">
        <f>'Baseline NFPC'!S36</f>
        <v>5.320557</v>
      </c>
      <c r="T37" s="1">
        <f>'Baseline NFPC'!T36</f>
        <v>5.2262314999999999</v>
      </c>
      <c r="U37" s="1">
        <f>'Baseline NFPC'!U36</f>
        <v>5.1319059999999999</v>
      </c>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7"/>
    </row>
    <row r="38" spans="2:49" x14ac:dyDescent="0.2">
      <c r="B38" s="22" t="s">
        <v>62</v>
      </c>
      <c r="C38" s="2">
        <f>'Input data'!C$38</f>
        <v>3.6</v>
      </c>
      <c r="D38" s="137">
        <f>'Input data'!D$38</f>
        <v>3.6498529999999998</v>
      </c>
      <c r="E38" s="137">
        <f>'Baseline NFPC'!E37</f>
        <v>4.2671910000000004</v>
      </c>
      <c r="F38" s="137">
        <f>'Baseline NFPC'!F37</f>
        <v>4.2826608750000004</v>
      </c>
      <c r="G38" s="137">
        <f>'Baseline NFPC'!G37</f>
        <v>4.2981307500000003</v>
      </c>
      <c r="H38" s="1">
        <f>'Baseline NFPC'!H37</f>
        <v>4.3136006250000003</v>
      </c>
      <c r="I38" s="1">
        <f>'Baseline NFPC'!I37</f>
        <v>4.3290705000000003</v>
      </c>
      <c r="J38" s="1">
        <f>'Baseline NFPC'!J37</f>
        <v>4.3445403750000002</v>
      </c>
      <c r="K38" s="1">
        <f>'Baseline NFPC'!K37</f>
        <v>4.3600102500000002</v>
      </c>
      <c r="L38" s="1">
        <f>'Baseline NFPC'!L37</f>
        <v>4.3754801250000002</v>
      </c>
      <c r="M38" s="1">
        <f>'Baseline NFPC'!M37</f>
        <v>4.3909500000000001</v>
      </c>
      <c r="N38" s="1">
        <f>'Baseline NFPC'!N37</f>
        <v>4.2714024999999998</v>
      </c>
      <c r="O38" s="1">
        <f>'Baseline NFPC'!O37</f>
        <v>4.1518550000000003</v>
      </c>
      <c r="P38" s="1">
        <f>'Baseline NFPC'!P37</f>
        <v>4.0323074999999999</v>
      </c>
      <c r="Q38" s="1">
        <f>'Baseline NFPC'!Q37</f>
        <v>3.91276</v>
      </c>
      <c r="R38" s="1">
        <f>'Baseline NFPC'!R37</f>
        <v>3.7932125000000001</v>
      </c>
      <c r="S38" s="1">
        <f>'Baseline NFPC'!S37</f>
        <v>3.6736650000000002</v>
      </c>
      <c r="T38" s="1">
        <f>'Baseline NFPC'!T37</f>
        <v>3.5541175000000003</v>
      </c>
      <c r="U38" s="1">
        <f>'Baseline NFPC'!U37</f>
        <v>3.4345699999999999</v>
      </c>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7"/>
    </row>
    <row r="39" spans="2:49" s="4" customFormat="1" ht="12.75" x14ac:dyDescent="0.2">
      <c r="B39" s="16" t="s">
        <v>63</v>
      </c>
      <c r="C39" s="24">
        <f>'Baseline NFPC'!C38</f>
        <v>6.7968280000000006E-2</v>
      </c>
      <c r="D39" s="24">
        <f>'Baseline NFPC'!D38</f>
        <v>6.8235180000000006E-2</v>
      </c>
      <c r="E39" s="24">
        <f>'Baseline NFPC'!E38</f>
        <v>6.9058820000000007E-2</v>
      </c>
      <c r="F39" s="24">
        <f>'Baseline NFPC'!F38</f>
        <v>6.9882458750000001E-2</v>
      </c>
      <c r="G39" s="24">
        <f>'Baseline NFPC'!G38</f>
        <v>7.0706097500000009E-2</v>
      </c>
      <c r="H39" s="24">
        <f>'Baseline NFPC'!H38</f>
        <v>7.1529736250000003E-2</v>
      </c>
      <c r="I39" s="24">
        <f>'Baseline NFPC'!I38</f>
        <v>7.2353374999999998E-2</v>
      </c>
      <c r="J39" s="24">
        <f>'Baseline NFPC'!J38</f>
        <v>7.3177013750000006E-2</v>
      </c>
      <c r="K39" s="24">
        <f>'Baseline NFPC'!K38</f>
        <v>7.40006525E-2</v>
      </c>
      <c r="L39" s="24">
        <f>'Baseline NFPC'!L38</f>
        <v>7.4824291250000008E-2</v>
      </c>
      <c r="M39" s="24">
        <f>'Baseline NFPC'!M38</f>
        <v>7.5647930000000002E-2</v>
      </c>
      <c r="N39" s="24">
        <f>'Baseline NFPC'!N38</f>
        <v>7.5647930000000002E-2</v>
      </c>
      <c r="O39" s="24">
        <f>'Baseline NFPC'!O38</f>
        <v>7.5647930000000002E-2</v>
      </c>
      <c r="P39" s="24">
        <f>'Baseline NFPC'!P38</f>
        <v>7.5647930000000002E-2</v>
      </c>
      <c r="Q39" s="24">
        <f>'Baseline NFPC'!Q38</f>
        <v>7.5647930000000002E-2</v>
      </c>
      <c r="R39" s="24">
        <f>'Baseline NFPC'!R38</f>
        <v>7.5647930000000002E-2</v>
      </c>
      <c r="S39" s="24">
        <f>'Baseline NFPC'!S38</f>
        <v>7.5647930000000002E-2</v>
      </c>
      <c r="T39" s="24">
        <f>'Baseline NFPC'!T38</f>
        <v>7.5647930000000002E-2</v>
      </c>
      <c r="U39" s="24">
        <f>'Baseline NFPC'!U38</f>
        <v>7.5647930000000002E-2</v>
      </c>
    </row>
    <row r="40" spans="2:49" x14ac:dyDescent="0.2">
      <c r="C40" s="83"/>
      <c r="D40" s="83"/>
      <c r="E40" s="83"/>
      <c r="F40" s="83"/>
      <c r="G40" s="83"/>
      <c r="H40" s="83"/>
      <c r="I40" s="83"/>
      <c r="J40" s="83"/>
      <c r="K40" s="83"/>
      <c r="L40" s="83"/>
      <c r="M40" s="1"/>
      <c r="N40" s="1"/>
      <c r="O40" s="1"/>
      <c r="P40" s="1"/>
      <c r="Q40" s="1"/>
      <c r="R40" s="1"/>
      <c r="S40" s="1"/>
      <c r="T40" s="1"/>
      <c r="U40" s="1"/>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7"/>
    </row>
    <row r="41" spans="2:49" x14ac:dyDescent="0.2">
      <c r="B41" s="18" t="s">
        <v>64</v>
      </c>
      <c r="C41" s="1"/>
      <c r="D41" s="1"/>
      <c r="E41" s="1"/>
      <c r="F41" s="1"/>
      <c r="G41" s="1"/>
      <c r="H41" s="1"/>
      <c r="I41" s="1"/>
      <c r="J41" s="1"/>
      <c r="K41" s="1"/>
      <c r="L41" s="1"/>
      <c r="M41" s="1"/>
      <c r="N41" s="1"/>
      <c r="O41" s="1"/>
      <c r="P41" s="1"/>
      <c r="Q41" s="1"/>
      <c r="R41" s="1"/>
      <c r="S41" s="1"/>
      <c r="T41" s="1"/>
      <c r="U41" s="1"/>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7"/>
    </row>
    <row r="42" spans="2:49" x14ac:dyDescent="0.2">
      <c r="B42" s="16" t="s">
        <v>109</v>
      </c>
      <c r="C42" s="2">
        <f>'Input data'!C42</f>
        <v>3.5126050000000002</v>
      </c>
      <c r="D42" s="2">
        <f>'Input data'!D42</f>
        <v>2.6566770000000002</v>
      </c>
      <c r="E42" s="2">
        <f>'Baseline NFPC'!E41</f>
        <v>3.0686640000000001</v>
      </c>
      <c r="F42" s="2">
        <f>'Baseline NFPC'!F41</f>
        <v>2.9775809999999998</v>
      </c>
      <c r="G42" s="1">
        <f>'Baseline NFPC'!G41</f>
        <v>2.886498</v>
      </c>
      <c r="H42" s="1">
        <f>'Baseline NFPC'!H41</f>
        <v>2.7954150000000002</v>
      </c>
      <c r="I42" s="1">
        <f>'Baseline NFPC'!I41</f>
        <v>2.704332</v>
      </c>
      <c r="J42" s="1">
        <f>'Baseline NFPC'!J41</f>
        <v>2.6132489999999997</v>
      </c>
      <c r="K42" s="1">
        <f>'Baseline NFPC'!K41</f>
        <v>2.5221659999999999</v>
      </c>
      <c r="L42" s="1">
        <f>'Baseline NFPC'!L41</f>
        <v>2.4310830000000001</v>
      </c>
      <c r="M42" s="1">
        <f>'Baseline NFPC'!M41</f>
        <v>2.34</v>
      </c>
      <c r="N42" s="1">
        <f>'Baseline NFPC'!N41</f>
        <v>2.323</v>
      </c>
      <c r="O42" s="1">
        <f>'Baseline NFPC'!O41</f>
        <v>2.306</v>
      </c>
      <c r="P42" s="1">
        <f>'Baseline NFPC'!P41</f>
        <v>2.2889999999999997</v>
      </c>
      <c r="Q42" s="1">
        <f>'Baseline NFPC'!Q41</f>
        <v>2.2719999999999998</v>
      </c>
      <c r="R42" s="1">
        <f>'Baseline NFPC'!R41</f>
        <v>2.2549999999999999</v>
      </c>
      <c r="S42" s="1">
        <f>'Baseline NFPC'!S41</f>
        <v>2.238</v>
      </c>
      <c r="T42" s="1">
        <f>'Baseline NFPC'!T41</f>
        <v>2.2210000000000001</v>
      </c>
      <c r="U42" s="1">
        <f>'Baseline NFPC'!U41</f>
        <v>2.2039999999999997</v>
      </c>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7"/>
    </row>
    <row r="43" spans="2:49" x14ac:dyDescent="0.2">
      <c r="B43" s="16" t="s">
        <v>65</v>
      </c>
      <c r="C43" s="1">
        <f>'Baseline NFPC'!C42</f>
        <v>0.99867589999999995</v>
      </c>
      <c r="D43" s="1">
        <f>'Baseline NFPC'!D42</f>
        <v>0.99891229999999998</v>
      </c>
      <c r="E43" s="1">
        <f>'Baseline NFPC'!E42</f>
        <v>0.99999910000000003</v>
      </c>
      <c r="F43" s="1">
        <f>'Baseline NFPC'!F42</f>
        <v>1</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47"/>
    </row>
    <row r="44" spans="2:49" x14ac:dyDescent="0.2">
      <c r="C44" s="1"/>
      <c r="D44" s="1"/>
      <c r="E44" s="1"/>
      <c r="F44" s="1"/>
      <c r="G44" s="1"/>
      <c r="H44" s="1"/>
      <c r="I44" s="1"/>
      <c r="J44" s="1"/>
      <c r="K44" s="1"/>
      <c r="L44" s="1"/>
      <c r="M44" s="1"/>
      <c r="N44" s="1"/>
      <c r="O44" s="1"/>
      <c r="P44" s="1"/>
      <c r="Q44" s="1"/>
      <c r="R44" s="1"/>
      <c r="S44" s="1"/>
      <c r="T44" s="1"/>
      <c r="U44" s="1"/>
    </row>
    <row r="45" spans="2:49" s="54" customFormat="1" ht="12.75" x14ac:dyDescent="0.2">
      <c r="B45" s="61" t="s">
        <v>66</v>
      </c>
    </row>
    <row r="46" spans="2:49" x14ac:dyDescent="0.2">
      <c r="C46" s="26"/>
    </row>
    <row r="47" spans="2:49" x14ac:dyDescent="0.2">
      <c r="B47" s="41" t="s">
        <v>46</v>
      </c>
      <c r="C47" s="42">
        <f>'Input data'!C49</f>
        <v>0.6</v>
      </c>
    </row>
    <row r="48" spans="2:49" x14ac:dyDescent="0.2">
      <c r="B48" s="43" t="s">
        <v>192</v>
      </c>
      <c r="C48" s="44">
        <f>'Input data'!C50</f>
        <v>0.39500000000000002</v>
      </c>
    </row>
    <row r="49" spans="2:46" x14ac:dyDescent="0.2">
      <c r="C49" s="45"/>
    </row>
    <row r="50" spans="2:46" outlineLevel="1" x14ac:dyDescent="0.2">
      <c r="B50" s="16" t="s">
        <v>67</v>
      </c>
      <c r="C50" s="24">
        <v>0</v>
      </c>
      <c r="D50" s="24">
        <f>IF(AND(ABS((D12-C12)-('Input data'!D13-'Input data'!C13))&gt;0.0001,ABS(D12-C12)&gt;0.0001,D$10&gt;$C$5),4,IF(C50=4,3,IF(C50=3,2,IF(C50=2,1,0))))</f>
        <v>0</v>
      </c>
      <c r="E50" s="24">
        <f>IF(AND(ABS((E12-D12)-('Baseline NFPC'!E12-'Baseline NFPC'!D12))&gt;0.0001,ABS(E12-D12)&gt;0.0001,E$10&gt;$C$5),4,IF(D50=4,3,IF(D50=3,2,IF(D50=2,1,0))))</f>
        <v>4</v>
      </c>
      <c r="F50" s="24">
        <f>IF(AND(ABS((F12-E12)-('Baseline NFPC'!F12-'Baseline NFPC'!E12))&gt;0.0001,ABS(F12-E12)&gt;0.0001,F$10&gt;$C$5),4,IF(E50=4,3,IF(E50=3,2,IF(E50=2,1,0))))</f>
        <v>4</v>
      </c>
      <c r="G50" s="24">
        <f>IF(AND(ABS((G12-F12)-('Baseline NFPC'!G12-'Baseline NFPC'!F12))&gt;0.0001,ABS(G12-F12)&gt;0.0001,G$10&gt;$C$5),4,IF(F50=4,3,IF(F50=3,2,IF(F50=2,1,0))))</f>
        <v>4</v>
      </c>
      <c r="H50" s="24">
        <f>IF(AND(ABS((H12-G12)-('Baseline NFPC'!H12-'Baseline NFPC'!G12))&gt;0.0001,ABS(H12-G12)&gt;0.0001,H$10&gt;$C$5),4,IF(G50=4,3,IF(G50=3,2,IF(G50=2,1,0))))</f>
        <v>4</v>
      </c>
      <c r="I50" s="24">
        <f>IF(AND(ABS((I12-H12)-('Baseline NFPC'!I12-'Baseline NFPC'!H12))&gt;0.0001,ABS(I12-H12)&gt;0.0001,I$10&gt;$C$5),4,IF(H50=4,3,IF(H50=3,2,IF(H50=2,1,0))))</f>
        <v>3</v>
      </c>
      <c r="J50" s="24">
        <f>IF(AND(ABS((J12-I12)-('Baseline NFPC'!J12-'Baseline NFPC'!I12))&gt;0.0001,ABS(J12-I12)&gt;0.0001,J$10&gt;$C$5),4,IF(I50=4,3,IF(I50=3,2,IF(I50=2,1,0))))</f>
        <v>2</v>
      </c>
      <c r="K50" s="24">
        <f>IF(AND(ABS((K12-J12)-('Baseline NFPC'!K12-'Baseline NFPC'!J12))&gt;0.0001,ABS(K12-J12)&gt;0.0001,K$10&gt;$C$5),4,IF(J50=4,3,IF(J50=3,2,IF(J50=2,1,0))))</f>
        <v>1</v>
      </c>
      <c r="L50" s="24">
        <f>IF(AND(ABS((L12-K12)-('Baseline NFPC'!L12-'Baseline NFPC'!K12))&gt;0.0001,ABS(L12-K12)&gt;0.0001,L$10&gt;$C$5),4,IF(K50=4,3,IF(K50=3,2,IF(K50=2,1,0))))</f>
        <v>0</v>
      </c>
      <c r="M50" s="24">
        <f>IF(AND(ABS((M12-L12)-('Baseline NFPC'!M12-'Baseline NFPC'!L12))&gt;0.0001,ABS(M12-L12)&gt;0.0001,M$10&gt;$C$5),4,IF(L50=4,3,IF(L50=3,2,IF(L50=2,1,0))))</f>
        <v>0</v>
      </c>
      <c r="N50" s="24">
        <f>IF(AND(ABS((N12-M12)-('Baseline NFPC'!N12-'Baseline NFPC'!M12))&gt;0.0001,ABS(N12-M12)&gt;0.0001,N$10&gt;$C$5),4,IF(M50=4,3,IF(M50=3,2,IF(M50=2,1,0))))</f>
        <v>0</v>
      </c>
      <c r="O50" s="24">
        <f>IF(AND(ABS((O12-N12)-('Baseline NFPC'!O12-'Baseline NFPC'!N12))&gt;0.0001,ABS(O12-N12)&gt;0.0001,O$10&gt;$C$5),4,IF(N50=4,3,IF(N50=3,2,IF(N50=2,1,0))))</f>
        <v>0</v>
      </c>
      <c r="P50" s="24">
        <f>IF(AND(ABS((P12-O12)-('Baseline NFPC'!P12-'Baseline NFPC'!O12))&gt;0.0001,ABS(P12-O12)&gt;0.0001,P$10&gt;$C$5),4,IF(O50=4,3,IF(O50=3,2,IF(O50=2,1,0))))</f>
        <v>0</v>
      </c>
      <c r="Q50" s="24">
        <f>IF(AND(ABS((Q12-P12)-('Baseline NFPC'!Q12-'Baseline NFPC'!P12))&gt;0.0001,ABS(Q12-P12)&gt;0.0001,Q$10&gt;$C$5),4,IF(P50=4,3,IF(P50=3,2,IF(P50=2,1,0))))</f>
        <v>0</v>
      </c>
      <c r="R50" s="24">
        <f>IF(AND(ABS((R12-Q12)-('Baseline NFPC'!R12-'Baseline NFPC'!Q12))&gt;0.0001,ABS(R12-Q12)&gt;0.0001,R$10&gt;$C$5),4,IF(Q50=4,3,IF(Q50=3,2,IF(Q50=2,1,0))))</f>
        <v>0</v>
      </c>
      <c r="S50" s="24">
        <f>IF(AND(ABS((S12-R12)-('Baseline NFPC'!S12-'Baseline NFPC'!R12))&gt;0.0001,ABS(S12-R12)&gt;0.0001,S$10&gt;$C$5),4,IF(R50=4,3,IF(R50=3,2,IF(R50=2,1,0))))</f>
        <v>0</v>
      </c>
      <c r="T50" s="24">
        <f>IF(AND(ABS((T12-S12)-('Baseline NFPC'!T12-'Baseline NFPC'!S12))&gt;0.0001,ABS(T12-S12)&gt;0.0001,T$10&gt;$C$5),4,IF(S50=4,3,IF(S50=3,2,IF(S50=2,1,0))))</f>
        <v>0</v>
      </c>
      <c r="U50" s="24">
        <f>IF(AND(ABS((U12-T12)-('Baseline NFPC'!U12-'Baseline NFPC'!T12))&gt;0.0001,ABS(U12-T12)&gt;0.0001,U$10&gt;$C$5),4,IF(T50=4,3,IF(T50=3,2,IF(T50=2,1,0))))</f>
        <v>0</v>
      </c>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row>
    <row r="51" spans="2:46" outlineLevel="1" x14ac:dyDescent="0.2">
      <c r="B51" s="16" t="s">
        <v>68</v>
      </c>
      <c r="C51" s="24">
        <v>0</v>
      </c>
      <c r="D51" s="24">
        <v>0</v>
      </c>
      <c r="E51" s="24">
        <f>IF(D50=4,
IF(E$10&lt;='Input data'!$C$4+2,2/3*(D30-'Baseline NFPC'!D29),2/3*D30),
IF(D50=3,
IF(E$10&lt;='Input data'!$C$4+2,1/3*(C30-'Baseline NFPC'!C29),1/3*C30),
0))</f>
        <v>0</v>
      </c>
      <c r="F51" s="24">
        <f>IF(E50=4,
IF(F$10&lt;='Input data'!$C$4+2,2/3*(E30-'Baseline NFPC'!E29),2/3*E30),
IF(E50=3,
IF(F$10&lt;='Input data'!$C$4+2,1/3*(D30-'Baseline NFPC'!D29),1/3*D30),
0))</f>
        <v>-1.6050261192446236E-2</v>
      </c>
      <c r="G51" s="24">
        <f>IF(F50=4,
IF(G$10&lt;='Input data'!$C$4+2,2/3*(F30-'Baseline NFPC'!F29),2/3*F30),
IF(F50=3,
IF(G$10&lt;='Input data'!$C$4+2,1/3*(E30-'Baseline NFPC'!E29),1/3*E30),
0))</f>
        <v>-0.19201502103589618</v>
      </c>
      <c r="H51" s="24">
        <f>IF(G50=4,2/3*G30,IF(G50=3,1/3*F30,0))</f>
        <v>-0.3092429208137718</v>
      </c>
      <c r="I51" s="24">
        <f t="shared" ref="I51:U51" si="12">IF(H50=4,2/3*H30,IF(H50=3,1/3*G30,0))</f>
        <v>-0.38711430973309052</v>
      </c>
      <c r="J51" s="24">
        <f t="shared" si="12"/>
        <v>-0.19355715486654526</v>
      </c>
      <c r="K51" s="24">
        <f t="shared" si="12"/>
        <v>0</v>
      </c>
      <c r="L51" s="24">
        <f t="shared" si="12"/>
        <v>0</v>
      </c>
      <c r="M51" s="24">
        <f t="shared" si="12"/>
        <v>0</v>
      </c>
      <c r="N51" s="24">
        <f t="shared" si="12"/>
        <v>0</v>
      </c>
      <c r="O51" s="24">
        <f t="shared" si="12"/>
        <v>0</v>
      </c>
      <c r="P51" s="24">
        <f t="shared" si="12"/>
        <v>0</v>
      </c>
      <c r="Q51" s="24">
        <f t="shared" si="12"/>
        <v>0</v>
      </c>
      <c r="R51" s="24">
        <f t="shared" si="12"/>
        <v>0</v>
      </c>
      <c r="S51" s="24">
        <f t="shared" si="12"/>
        <v>0</v>
      </c>
      <c r="T51" s="24">
        <f t="shared" si="12"/>
        <v>0</v>
      </c>
      <c r="U51" s="24">
        <f t="shared" si="12"/>
        <v>0</v>
      </c>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row>
    <row r="52" spans="2:46" outlineLevel="1" x14ac:dyDescent="0.2">
      <c r="B52" s="16" t="s">
        <v>69</v>
      </c>
      <c r="C52" s="24">
        <v>0</v>
      </c>
      <c r="D52" s="24">
        <f>'Input data'!D30-$C$47*((D12-C12)-('Input data'!D13-'Input data'!C13))</f>
        <v>1.7972699999999999</v>
      </c>
      <c r="E52" s="24">
        <f>'Input data'!E30-$C$47*(E12-D12)</f>
        <v>1.875977</v>
      </c>
      <c r="F52" s="24">
        <f>'Input data'!F30-$C$47*(F12-E12)</f>
        <v>1.097251</v>
      </c>
      <c r="G52" s="24">
        <f>'Input data'!G30-$C$47*(G12-F12)</f>
        <v>0.8475379999999999</v>
      </c>
      <c r="H52" s="24">
        <f>'Input data'!H30-$C$47*(H12-G12)</f>
        <v>0.88107599999999997</v>
      </c>
      <c r="I52" s="24">
        <f>'Input data'!I30-$C$47*(I12-H12)</f>
        <v>1.2260850000000001</v>
      </c>
      <c r="J52" s="24">
        <f>'Input data'!J30-$C$47*(J12-I12)</f>
        <v>1.2362679999999999</v>
      </c>
      <c r="K52" s="24">
        <f>'Input data'!K30-$C$47*(K12-J12)</f>
        <v>1.2441960000000001</v>
      </c>
      <c r="L52" s="24">
        <f>'Input data'!L30-$C$47*(L12-K12)</f>
        <v>1.209247</v>
      </c>
      <c r="M52" s="24">
        <f>'Input data'!M30-$C$47*(M12-L12)</f>
        <v>1.140828</v>
      </c>
      <c r="N52" s="24">
        <f>'Input data'!N30-$C$47*(N12-M12)</f>
        <v>1.2572179999999999</v>
      </c>
      <c r="O52" s="24">
        <f>'Input data'!O30-$C$47*(O12-N12)</f>
        <v>1.3736109999999999</v>
      </c>
      <c r="P52" s="24">
        <f>'Input data'!P30-$C$47*(P12-O12)</f>
        <v>1.490002</v>
      </c>
      <c r="Q52" s="24">
        <f>'Input data'!Q30-$C$47*(Q12-P12)</f>
        <v>1.519997</v>
      </c>
      <c r="R52" s="24">
        <f>'Input data'!R30-$C$47*(R12-Q12)</f>
        <v>1.6000019999999999</v>
      </c>
      <c r="S52" s="24">
        <f>'Input data'!S30-$C$47*(S12-R12)</f>
        <v>1.6000049999999999</v>
      </c>
      <c r="T52" s="24">
        <f>'Input data'!T30-$C$47*(T12-S12)</f>
        <v>1.6</v>
      </c>
      <c r="U52" s="24">
        <f>'Input data'!U30-$C$47*(U12-T12)</f>
        <v>1.61</v>
      </c>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row>
    <row r="54" spans="2:46" s="54" customFormat="1" ht="12.75" outlineLevel="1" x14ac:dyDescent="0.2">
      <c r="B54" s="58" t="s">
        <v>70</v>
      </c>
      <c r="C54" s="56"/>
      <c r="D54" s="55"/>
    </row>
    <row r="55" spans="2:46" outlineLevel="1" x14ac:dyDescent="0.2">
      <c r="B55" s="31"/>
      <c r="C55" s="32"/>
      <c r="D55" s="19"/>
    </row>
    <row r="56" spans="2:46" outlineLevel="1" x14ac:dyDescent="0.2">
      <c r="B56" s="67"/>
      <c r="C56" s="68">
        <f>'Input data'!$C$5-1</f>
        <v>2025</v>
      </c>
      <c r="D56" s="68">
        <f>C56+1</f>
        <v>2026</v>
      </c>
      <c r="E56" s="68">
        <f t="shared" ref="E56:U56" si="13">D56+1</f>
        <v>2027</v>
      </c>
      <c r="F56" s="68">
        <f t="shared" si="13"/>
        <v>2028</v>
      </c>
      <c r="G56" s="68">
        <f t="shared" si="13"/>
        <v>2029</v>
      </c>
      <c r="H56" s="68">
        <f t="shared" si="13"/>
        <v>2030</v>
      </c>
      <c r="I56" s="68">
        <f t="shared" si="13"/>
        <v>2031</v>
      </c>
      <c r="J56" s="68">
        <f t="shared" si="13"/>
        <v>2032</v>
      </c>
      <c r="K56" s="68">
        <f t="shared" si="13"/>
        <v>2033</v>
      </c>
      <c r="L56" s="68">
        <f t="shared" si="13"/>
        <v>2034</v>
      </c>
      <c r="M56" s="68">
        <f t="shared" si="13"/>
        <v>2035</v>
      </c>
      <c r="N56" s="68">
        <f t="shared" si="13"/>
        <v>2036</v>
      </c>
      <c r="O56" s="68">
        <f t="shared" si="13"/>
        <v>2037</v>
      </c>
      <c r="P56" s="68">
        <f t="shared" si="13"/>
        <v>2038</v>
      </c>
      <c r="Q56" s="68">
        <f t="shared" si="13"/>
        <v>2039</v>
      </c>
      <c r="R56" s="68">
        <f t="shared" si="13"/>
        <v>2040</v>
      </c>
      <c r="S56" s="68">
        <f t="shared" si="13"/>
        <v>2041</v>
      </c>
      <c r="T56" s="68">
        <f t="shared" si="13"/>
        <v>2042</v>
      </c>
      <c r="U56" s="68">
        <f t="shared" si="13"/>
        <v>2043</v>
      </c>
    </row>
    <row r="57" spans="2:46" ht="10.5" customHeight="1" outlineLevel="1" x14ac:dyDescent="0.2">
      <c r="B57" s="69" t="s">
        <v>71</v>
      </c>
      <c r="C57" s="33">
        <f>+'Input data'!C12</f>
        <v>44.250230000000002</v>
      </c>
      <c r="D57" s="33">
        <f>+C57+D58</f>
        <v>45.838496420963068</v>
      </c>
      <c r="E57" s="33">
        <f>+D57+E58</f>
        <v>46.696591871340651</v>
      </c>
      <c r="F57" s="33">
        <f t="shared" ref="F57:Q57" si="14">+E57+F58</f>
        <v>46.801693588178829</v>
      </c>
      <c r="G57" s="33">
        <f t="shared" si="14"/>
        <v>46.70959934057344</v>
      </c>
      <c r="H57" s="33">
        <f t="shared" si="14"/>
        <v>46.311727405027334</v>
      </c>
      <c r="I57" s="33">
        <f t="shared" si="14"/>
        <v>45.91930130882043</v>
      </c>
      <c r="J57" s="33">
        <f t="shared" si="14"/>
        <v>45.577286437657314</v>
      </c>
      <c r="K57" s="33">
        <f t="shared" si="14"/>
        <v>45.283454164126574</v>
      </c>
      <c r="L57" s="33">
        <f t="shared" si="14"/>
        <v>45.518772091749192</v>
      </c>
      <c r="M57" s="33">
        <f t="shared" si="14"/>
        <v>45.916847828819968</v>
      </c>
      <c r="N57" s="33">
        <f t="shared" si="14"/>
        <v>46.449803873715467</v>
      </c>
      <c r="O57" s="33">
        <f t="shared" si="14"/>
        <v>47.108677116783724</v>
      </c>
      <c r="P57" s="33">
        <f t="shared" si="14"/>
        <v>47.984625056776231</v>
      </c>
      <c r="Q57" s="33">
        <f t="shared" si="14"/>
        <v>48.911605229359552</v>
      </c>
      <c r="R57" s="33">
        <f>+Q57+R58</f>
        <v>49.956945054685214</v>
      </c>
      <c r="S57" s="33">
        <f>+R57+S58</f>
        <v>51.252663449611376</v>
      </c>
      <c r="T57" s="33">
        <f t="shared" ref="T57" si="15">+S57+T58</f>
        <v>52.694663892813267</v>
      </c>
      <c r="U57" s="33">
        <f t="shared" ref="U57" si="16">+T57+U58</f>
        <v>54.272638797636539</v>
      </c>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row>
    <row r="58" spans="2:46" outlineLevel="1" x14ac:dyDescent="0.2">
      <c r="B58" s="70" t="s">
        <v>72</v>
      </c>
      <c r="C58" s="34"/>
      <c r="D58" s="34">
        <f>-D59+D67+D72</f>
        <v>1.5882664209630684</v>
      </c>
      <c r="E58" s="34">
        <f>-E59+E67+E72</f>
        <v>0.85809545037758161</v>
      </c>
      <c r="F58" s="34">
        <f t="shared" ref="F58:Q58" si="17">-F59+F67+F72</f>
        <v>0.10510171683818081</v>
      </c>
      <c r="G58" s="34">
        <f t="shared" si="17"/>
        <v>-9.2094247605384982E-2</v>
      </c>
      <c r="H58" s="34">
        <f t="shared" si="17"/>
        <v>-0.39787193554610711</v>
      </c>
      <c r="I58" s="34">
        <f t="shared" si="17"/>
        <v>-0.39242609620690355</v>
      </c>
      <c r="J58" s="34">
        <f t="shared" si="17"/>
        <v>-0.34201487116311519</v>
      </c>
      <c r="K58" s="34">
        <f t="shared" si="17"/>
        <v>-0.29383227353073726</v>
      </c>
      <c r="L58" s="34">
        <f t="shared" si="17"/>
        <v>0.23531792762261861</v>
      </c>
      <c r="M58" s="34">
        <f t="shared" si="17"/>
        <v>0.39807573707077892</v>
      </c>
      <c r="N58" s="34">
        <f t="shared" si="17"/>
        <v>0.53295604489550019</v>
      </c>
      <c r="O58" s="34">
        <f t="shared" si="17"/>
        <v>0.65887324306825468</v>
      </c>
      <c r="P58" s="34">
        <f t="shared" si="17"/>
        <v>0.8759479399925072</v>
      </c>
      <c r="Q58" s="34">
        <f t="shared" si="17"/>
        <v>0.92698017258331933</v>
      </c>
      <c r="R58" s="34">
        <f>-R59+R67+R72</f>
        <v>1.0453398253256623</v>
      </c>
      <c r="S58" s="34">
        <f t="shared" ref="S58:U58" si="18">-S59+S67+S72</f>
        <v>1.2957183949261613</v>
      </c>
      <c r="T58" s="34">
        <f t="shared" si="18"/>
        <v>1.442000443201892</v>
      </c>
      <c r="U58" s="34">
        <f t="shared" si="18"/>
        <v>1.5779749048232736</v>
      </c>
    </row>
    <row r="59" spans="2:46" outlineLevel="1" x14ac:dyDescent="0.2">
      <c r="B59" s="66" t="s">
        <v>73</v>
      </c>
      <c r="C59" s="35"/>
      <c r="D59" s="35">
        <f t="shared" ref="D59:P59" si="19">D60+D61-D62-D63-D64-D65-D66</f>
        <v>-1.4910706209630682</v>
      </c>
      <c r="E59" s="35">
        <f t="shared" si="19"/>
        <v>-0.88226877975652451</v>
      </c>
      <c r="F59" s="35">
        <f t="shared" si="19"/>
        <v>-0.52652789996376859</v>
      </c>
      <c r="G59" s="35">
        <f t="shared" si="19"/>
        <v>-0.13598543058215995</v>
      </c>
      <c r="H59" s="35">
        <f t="shared" si="19"/>
        <v>0.27787577148314369</v>
      </c>
      <c r="I59" s="35">
        <f t="shared" si="19"/>
        <v>0.23982254765542615</v>
      </c>
      <c r="J59" s="35">
        <f t="shared" si="19"/>
        <v>0.30176932382771809</v>
      </c>
      <c r="K59" s="35">
        <f t="shared" si="19"/>
        <v>0.36371610000000199</v>
      </c>
      <c r="L59" s="35">
        <f t="shared" si="19"/>
        <v>4.9208970841668864E-2</v>
      </c>
      <c r="M59" s="35">
        <f t="shared" si="19"/>
        <v>3.470301410922294E-2</v>
      </c>
      <c r="N59" s="35">
        <f t="shared" si="19"/>
        <v>-7.9804115603694825E-2</v>
      </c>
      <c r="O59" s="35">
        <f t="shared" si="19"/>
        <v>-0.19431085701242523</v>
      </c>
      <c r="P59" s="35">
        <f t="shared" si="19"/>
        <v>-0.4088183786104902</v>
      </c>
      <c r="Q59" s="35">
        <f>Q60+Q61-Q62-Q63-Q64-Q65-Q66</f>
        <v>-0.4233279458683894</v>
      </c>
      <c r="R59" s="35">
        <f>R60+R61-R62-R63-R64-R65-R66</f>
        <v>-0.53783546830921791</v>
      </c>
      <c r="S59" s="35">
        <f>S60+S61-S62-S63-S64-S65-S66</f>
        <v>-0.75234182441125785</v>
      </c>
      <c r="T59" s="35">
        <f t="shared" ref="T59:U59" si="20">T60+T61-T62-T63-T64-T65-T66</f>
        <v>-0.86685012441125564</v>
      </c>
      <c r="U59" s="35">
        <f t="shared" si="20"/>
        <v>-0.98135842441126586</v>
      </c>
    </row>
    <row r="60" spans="2:46" outlineLevel="1" x14ac:dyDescent="0.2">
      <c r="B60" s="64" t="s">
        <v>74</v>
      </c>
      <c r="C60" s="1"/>
      <c r="D60" s="1">
        <f>D12</f>
        <v>-1.332759</v>
      </c>
      <c r="E60" s="1">
        <f t="shared" ref="E60:U60" si="21">IF(E12="",D60,E12)</f>
        <v>-0.87275900000000006</v>
      </c>
      <c r="F60" s="1">
        <f t="shared" si="21"/>
        <v>-0.4127590000000001</v>
      </c>
      <c r="G60" s="1">
        <f t="shared" si="21"/>
        <v>4.7240999999999866E-2</v>
      </c>
      <c r="H60" s="1">
        <f t="shared" si="21"/>
        <v>0.50724099999999983</v>
      </c>
      <c r="I60" s="1">
        <f t="shared" si="21"/>
        <v>0.50724099999999983</v>
      </c>
      <c r="J60" s="1">
        <f t="shared" si="21"/>
        <v>0.50724099999999983</v>
      </c>
      <c r="K60" s="1">
        <f t="shared" si="21"/>
        <v>0.50724099999999983</v>
      </c>
      <c r="L60" s="1">
        <f t="shared" si="21"/>
        <v>0.50724099999999983</v>
      </c>
      <c r="M60" s="1">
        <f t="shared" si="21"/>
        <v>0.50724099999999983</v>
      </c>
      <c r="N60" s="1">
        <f t="shared" si="21"/>
        <v>0.50724099999999983</v>
      </c>
      <c r="O60" s="1">
        <f t="shared" si="21"/>
        <v>0.50724099999999983</v>
      </c>
      <c r="P60" s="1">
        <f t="shared" si="21"/>
        <v>0.50724099999999983</v>
      </c>
      <c r="Q60" s="1">
        <f t="shared" si="21"/>
        <v>0.50724099999999983</v>
      </c>
      <c r="R60" s="1">
        <f t="shared" si="21"/>
        <v>0.50724099999999983</v>
      </c>
      <c r="S60" s="1">
        <f t="shared" si="21"/>
        <v>0.50724099999999983</v>
      </c>
      <c r="T60" s="1">
        <f t="shared" si="21"/>
        <v>0.50724099999999983</v>
      </c>
      <c r="U60" s="1">
        <f t="shared" si="21"/>
        <v>0.50724099999999983</v>
      </c>
    </row>
    <row r="61" spans="2:46" outlineLevel="1" x14ac:dyDescent="0.2">
      <c r="B61" s="64"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4" t="s">
        <v>76</v>
      </c>
      <c r="C62" s="1"/>
      <c r="D62" s="1">
        <f t="shared" ref="D62:U62" si="22">-$C$48*D30</f>
        <v>0.15831162096306806</v>
      </c>
      <c r="E62" s="1">
        <f t="shared" si="22"/>
        <v>9.5097797565243947E-3</v>
      </c>
      <c r="F62" s="1">
        <f t="shared" si="22"/>
        <v>0.11376889996376849</v>
      </c>
      <c r="G62" s="1">
        <f t="shared" si="22"/>
        <v>0.18322643058215982</v>
      </c>
      <c r="H62" s="1">
        <f t="shared" si="22"/>
        <v>0.22936522851685615</v>
      </c>
      <c r="I62" s="1">
        <f t="shared" si="22"/>
        <v>0.15291015234457223</v>
      </c>
      <c r="J62" s="1">
        <f t="shared" si="22"/>
        <v>7.645507617228392E-2</v>
      </c>
      <c r="K62" s="1">
        <f t="shared" si="22"/>
        <v>0</v>
      </c>
      <c r="L62" s="1">
        <f t="shared" si="22"/>
        <v>-1.1708416676192712E-6</v>
      </c>
      <c r="M62" s="1">
        <f t="shared" si="22"/>
        <v>-3.5141092217250147E-6</v>
      </c>
      <c r="N62" s="1">
        <f t="shared" si="22"/>
        <v>-4.6843963052989324E-6</v>
      </c>
      <c r="O62" s="1">
        <f t="shared" si="22"/>
        <v>-6.2429875763436726E-6</v>
      </c>
      <c r="P62" s="1">
        <f t="shared" si="22"/>
        <v>-7.0213895106974178E-6</v>
      </c>
      <c r="Q62" s="1">
        <f t="shared" si="22"/>
        <v>-5.8541316114713027E-6</v>
      </c>
      <c r="R62" s="1">
        <f t="shared" si="22"/>
        <v>-6.6316907808561254E-6</v>
      </c>
      <c r="S62" s="1">
        <f t="shared" si="22"/>
        <v>-8.5755887437866107E-6</v>
      </c>
      <c r="T62" s="1">
        <f t="shared" si="22"/>
        <v>-8.5755887437866107E-6</v>
      </c>
      <c r="U62" s="1">
        <f t="shared" si="22"/>
        <v>-8.5755887350158488E-6</v>
      </c>
    </row>
    <row r="63" spans="2:46" outlineLevel="1" x14ac:dyDescent="0.2">
      <c r="B63" s="64" t="s">
        <v>77</v>
      </c>
      <c r="C63" s="1"/>
      <c r="D63" s="1">
        <f t="shared" ref="D63:U63" si="23">-D14</f>
        <v>0</v>
      </c>
      <c r="E63" s="1">
        <f t="shared" si="23"/>
        <v>0</v>
      </c>
      <c r="F63" s="1">
        <f t="shared" si="23"/>
        <v>0</v>
      </c>
      <c r="G63" s="1">
        <f t="shared" si="23"/>
        <v>0</v>
      </c>
      <c r="H63" s="1">
        <f t="shared" si="23"/>
        <v>0</v>
      </c>
      <c r="I63" s="1">
        <f t="shared" si="23"/>
        <v>0</v>
      </c>
      <c r="J63" s="1">
        <f t="shared" si="23"/>
        <v>0</v>
      </c>
      <c r="K63" s="1">
        <f t="shared" si="23"/>
        <v>0</v>
      </c>
      <c r="L63" s="1">
        <f t="shared" si="23"/>
        <v>0</v>
      </c>
      <c r="M63" s="1">
        <f t="shared" si="23"/>
        <v>0</v>
      </c>
      <c r="N63" s="1">
        <f t="shared" si="23"/>
        <v>0</v>
      </c>
      <c r="O63" s="1">
        <f t="shared" si="23"/>
        <v>0</v>
      </c>
      <c r="P63" s="1">
        <f t="shared" si="23"/>
        <v>0</v>
      </c>
      <c r="Q63" s="1">
        <f t="shared" si="23"/>
        <v>0</v>
      </c>
      <c r="R63" s="1">
        <f t="shared" si="23"/>
        <v>0</v>
      </c>
      <c r="S63" s="1">
        <f t="shared" si="23"/>
        <v>0</v>
      </c>
      <c r="T63" s="1">
        <f t="shared" si="23"/>
        <v>0</v>
      </c>
      <c r="U63" s="1">
        <f t="shared" si="23"/>
        <v>0</v>
      </c>
    </row>
    <row r="64" spans="2:46" outlineLevel="1" x14ac:dyDescent="0.2">
      <c r="B64" s="64"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0.10000000000000142</v>
      </c>
      <c r="J64" s="1">
        <f>IF(J$56&lt;=$C$6,0,HLOOKUP(J$56,'Input data'!$C$9:$AZ$26,12,FALSE)-HLOOKUP($C$6,'Input data'!$C$9:$AZ$26,12,FALSE))</f>
        <v>9.9999999999997868E-2</v>
      </c>
      <c r="K64" s="1">
        <f>IF(K$56&lt;=$C$6,0,HLOOKUP(K$56,'Input data'!$C$9:$AZ$26,12,FALSE)-HLOOKUP($C$6,'Input data'!$C$9:$AZ$26,12,FALSE))</f>
        <v>9.9999999999997868E-2</v>
      </c>
      <c r="L64" s="1">
        <f>IF(L$56&lt;=$C$6,0,HLOOKUP(L$56,'Input data'!$C$9:$AZ$26,12,FALSE)-HLOOKUP($C$6,'Input data'!$C$9:$AZ$26,12,FALSE))</f>
        <v>0.39999999999999858</v>
      </c>
      <c r="M64" s="1">
        <f>IF(M$56&lt;=$C$6,0,HLOOKUP(M$56,'Input data'!$C$9:$AZ$26,12,FALSE)-HLOOKUP($C$6,'Input data'!$C$9:$AZ$26,12,FALSE))</f>
        <v>0.39999999999999858</v>
      </c>
      <c r="N64" s="1">
        <f>IF(N$56&lt;=$C$6,0,HLOOKUP(N$56,'Input data'!$C$9:$AZ$26,12,FALSE)-HLOOKUP($C$6,'Input data'!$C$9:$AZ$26,12,FALSE))</f>
        <v>0.5</v>
      </c>
      <c r="O64" s="1">
        <f>IF(O$56&lt;=$C$6,0,HLOOKUP(O$56,'Input data'!$C$9:$AZ$26,12,FALSE)-HLOOKUP($C$6,'Input data'!$C$9:$AZ$26,12,FALSE))</f>
        <v>0.60000000000000142</v>
      </c>
      <c r="P64" s="1">
        <f>IF(P$56&lt;=$C$6,0,HLOOKUP(P$56,'Input data'!$C$9:$AZ$26,12,FALSE)-HLOOKUP($C$6,'Input data'!$C$9:$AZ$26,12,FALSE))</f>
        <v>0.80000000000000071</v>
      </c>
      <c r="Q64" s="1">
        <f>IF(Q$56&lt;=$C$6,0,HLOOKUP(Q$56,'Input data'!$C$9:$AZ$26,12,FALSE)-HLOOKUP($C$6,'Input data'!$C$9:$AZ$26,12,FALSE))</f>
        <v>0.80000000000000071</v>
      </c>
      <c r="R64" s="1">
        <f>IF(R$56&lt;=$C$6,0,HLOOKUP(R$56,'Input data'!$C$9:$AZ$26,12,FALSE)-HLOOKUP($C$6,'Input data'!$C$9:$AZ$26,12,FALSE))</f>
        <v>0.89999999999999858</v>
      </c>
      <c r="S64" s="1">
        <f>IF(S$56&lt;=$C$6,0,HLOOKUP(S$56,'Input data'!$C$9:$AZ$26,12,FALSE)-HLOOKUP($C$6,'Input data'!$C$9:$AZ$26,12,FALSE))</f>
        <v>1.1000000000000014</v>
      </c>
      <c r="T64" s="1">
        <f>IF(T$56&lt;=$C$6,0,HLOOKUP(T$56,'Input data'!$C$9:$AZ$26,12,FALSE)-HLOOKUP($C$6,'Input data'!$C$9:$AZ$26,12,FALSE))</f>
        <v>1.1999999999999993</v>
      </c>
      <c r="U64" s="1">
        <f>IF(U$56&lt;=$C$6,0,HLOOKUP(U$56,'Input data'!$C$9:$AZ$26,12,FALSE)-HLOOKUP($C$6,'Input data'!$C$9:$AZ$26,12,FALSE))</f>
        <v>1.3000000000000007</v>
      </c>
    </row>
    <row r="65" spans="2:21" outlineLevel="1" x14ac:dyDescent="0.2">
      <c r="B65" s="64"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1.450830000000003E-2</v>
      </c>
      <c r="J65" s="1">
        <f>IF(J$56&lt;=$C$6,0,-HLOOKUP(J$56,'Input data'!$C$9:$AZ$26,18,FALSE)+HLOOKUP($C$6,'Input data'!$C$9:$AZ$26,18,FALSE))</f>
        <v>2.9016599999999948E-2</v>
      </c>
      <c r="K65" s="1">
        <f>IF(K$56&lt;=$C$6,0,-HLOOKUP(K$56,'Input data'!$C$9:$AZ$26,18,FALSE)+HLOOKUP($C$6,'Input data'!$C$9:$AZ$26,18,FALSE))</f>
        <v>4.3524899999999977E-2</v>
      </c>
      <c r="L65" s="1">
        <f>IF(L$56&lt;=$C$6,0,-HLOOKUP(L$56,'Input data'!$C$9:$AZ$26,18,FALSE)+HLOOKUP($C$6,'Input data'!$C$9:$AZ$26,18,FALSE))</f>
        <v>5.8033200000000007E-2</v>
      </c>
      <c r="M65" s="1">
        <f>IF(M$56&lt;=$C$6,0,-HLOOKUP(M$56,'Input data'!$C$9:$AZ$26,18,FALSE)+HLOOKUP($C$6,'Input data'!$C$9:$AZ$26,18,FALSE))</f>
        <v>7.2541500000000037E-2</v>
      </c>
      <c r="N65" s="1">
        <f>IF(N$56&lt;=$C$6,0,-HLOOKUP(N$56,'Input data'!$C$9:$AZ$26,18,FALSE)+HLOOKUP($C$6,'Input data'!$C$9:$AZ$26,18,FALSE))</f>
        <v>8.7049799999999955E-2</v>
      </c>
      <c r="O65" s="1">
        <f>IF(O$56&lt;=$C$6,0,-HLOOKUP(O$56,'Input data'!$C$9:$AZ$26,18,FALSE)+HLOOKUP($C$6,'Input data'!$C$9:$AZ$26,18,FALSE))</f>
        <v>0.10155809999999998</v>
      </c>
      <c r="P65" s="1">
        <f>IF(P$56&lt;=$C$6,0,-HLOOKUP(P$56,'Input data'!$C$9:$AZ$26,18,FALSE)+HLOOKUP($C$6,'Input data'!$C$9:$AZ$26,18,FALSE))</f>
        <v>0.11606640000000001</v>
      </c>
      <c r="Q65" s="1">
        <f>IF(Q$56&lt;=$C$6,0,-HLOOKUP(Q$56,'Input data'!$C$9:$AZ$26,18,FALSE)+HLOOKUP($C$6,'Input data'!$C$9:$AZ$26,18,FALSE))</f>
        <v>0.13057479999999999</v>
      </c>
      <c r="R65" s="1">
        <f>IF(R$56&lt;=$C$6,0,-HLOOKUP(R$56,'Input data'!$C$9:$AZ$26,18,FALSE)+HLOOKUP($C$6,'Input data'!$C$9:$AZ$26,18,FALSE))</f>
        <v>0.14508310000000002</v>
      </c>
      <c r="S65" s="181">
        <f>IF(S$56&lt;=$C$6,0,-HLOOKUP(S$56,'Input data'!$C$9:$AZ$26,18,FALSE)+HLOOKUP($C$6,'Input data'!$C$9:$AZ$26,18,FALSE))</f>
        <v>0.15959140000000005</v>
      </c>
      <c r="T65" s="181">
        <f>IF(T$56&lt;=$C$6,0,-HLOOKUP(T$56,'Input data'!$C$9:$AZ$26,18,FALSE)+HLOOKUP($C$6,'Input data'!$C$9:$AZ$26,18,FALSE))</f>
        <v>0.17409969999999997</v>
      </c>
      <c r="U65" s="181">
        <f>IF(U$56&lt;=$C$6,0,-HLOOKUP(U$56,'Input data'!$C$9:$AZ$26,18,FALSE)+HLOOKUP($C$6,'Input data'!$C$9:$AZ$26,18,FALSE))</f>
        <v>0.188608</v>
      </c>
    </row>
    <row r="66" spans="2:21" outlineLevel="1" x14ac:dyDescent="0.2">
      <c r="B66" s="64" t="s">
        <v>80</v>
      </c>
      <c r="C66" s="27"/>
      <c r="D66" s="27">
        <v>0</v>
      </c>
      <c r="E66" s="27">
        <v>0</v>
      </c>
      <c r="F66" s="27">
        <v>0</v>
      </c>
      <c r="G66" s="27">
        <v>0</v>
      </c>
      <c r="H66" s="27">
        <v>0</v>
      </c>
      <c r="I66" s="27">
        <v>0</v>
      </c>
      <c r="J66" s="27">
        <v>0</v>
      </c>
      <c r="K66" s="27">
        <v>0</v>
      </c>
      <c r="L66" s="27">
        <v>0</v>
      </c>
      <c r="M66" s="27">
        <v>0</v>
      </c>
      <c r="N66" s="27">
        <v>0</v>
      </c>
      <c r="O66" s="27">
        <v>0</v>
      </c>
      <c r="P66" s="27">
        <v>0</v>
      </c>
      <c r="Q66" s="27">
        <v>0</v>
      </c>
      <c r="R66" s="27">
        <v>0</v>
      </c>
      <c r="S66" s="182">
        <v>0</v>
      </c>
      <c r="T66" s="182">
        <v>0</v>
      </c>
      <c r="U66" s="182">
        <v>0</v>
      </c>
    </row>
    <row r="67" spans="2:21" outlineLevel="1" x14ac:dyDescent="0.2">
      <c r="B67" s="66" t="s">
        <v>81</v>
      </c>
      <c r="C67" s="35"/>
      <c r="D67" s="35">
        <f t="shared" ref="D67:M67" si="24">SUM(D68:D71)</f>
        <v>-0.60422359999999997</v>
      </c>
      <c r="E67" s="35">
        <f t="shared" si="24"/>
        <v>-0.87413322937894289</v>
      </c>
      <c r="F67" s="35">
        <f t="shared" si="24"/>
        <v>-0.42142618312558777</v>
      </c>
      <c r="G67" s="35">
        <f t="shared" si="24"/>
        <v>-0.22807967818754493</v>
      </c>
      <c r="H67" s="35">
        <f t="shared" si="24"/>
        <v>-0.11999616406296343</v>
      </c>
      <c r="I67" s="35">
        <f t="shared" si="24"/>
        <v>-0.1526035485514774</v>
      </c>
      <c r="J67" s="35">
        <f t="shared" si="24"/>
        <v>-4.0245547335397092E-2</v>
      </c>
      <c r="K67" s="35">
        <f t="shared" si="24"/>
        <v>6.988382646926472E-2</v>
      </c>
      <c r="L67" s="35">
        <f t="shared" si="24"/>
        <v>0.28452689846428747</v>
      </c>
      <c r="M67" s="35">
        <f t="shared" si="24"/>
        <v>0.43277875118000186</v>
      </c>
      <c r="N67" s="35">
        <f t="shared" ref="N67:R67" si="25">SUM(N68:N71)</f>
        <v>0.45315192929180537</v>
      </c>
      <c r="O67" s="35">
        <f t="shared" si="25"/>
        <v>0.46456238605582945</v>
      </c>
      <c r="P67" s="35">
        <f t="shared" si="25"/>
        <v>0.467129561382017</v>
      </c>
      <c r="Q67" s="35">
        <f t="shared" si="25"/>
        <v>0.50365222671492993</v>
      </c>
      <c r="R67" s="35">
        <f t="shared" si="25"/>
        <v>0.50750435701644436</v>
      </c>
      <c r="S67" s="35">
        <f t="shared" ref="S67:U67" si="26">SUM(S68:S71)</f>
        <v>0.5433765705149034</v>
      </c>
      <c r="T67" s="35">
        <f t="shared" si="26"/>
        <v>0.57515031879063638</v>
      </c>
      <c r="U67" s="35">
        <f t="shared" si="26"/>
        <v>0.59661648041200777</v>
      </c>
    </row>
    <row r="68" spans="2:21" outlineLevel="1" x14ac:dyDescent="0.2">
      <c r="B68" s="64" t="s">
        <v>82</v>
      </c>
      <c r="C68" s="24"/>
      <c r="D68" s="24">
        <f t="shared" ref="D68:U68" si="27">C57*D36/100*(1/(1+D33/100))</f>
        <v>1.3033928890676334</v>
      </c>
      <c r="E68" s="24">
        <f t="shared" si="27"/>
        <v>1.3095717505936093</v>
      </c>
      <c r="F68" s="24">
        <f t="shared" si="27"/>
        <v>1.461474618084855</v>
      </c>
      <c r="G68" s="24">
        <f t="shared" si="27"/>
        <v>1.5602322134632263</v>
      </c>
      <c r="H68" s="24">
        <f t="shared" si="27"/>
        <v>1.6418479775124148</v>
      </c>
      <c r="I68" s="24">
        <f t="shared" si="27"/>
        <v>1.6995732114594087</v>
      </c>
      <c r="J68" s="24">
        <f t="shared" si="27"/>
        <v>1.7613765618481161</v>
      </c>
      <c r="K68" s="24">
        <f t="shared" si="27"/>
        <v>1.8224536919351564</v>
      </c>
      <c r="L68" s="24">
        <f t="shared" si="27"/>
        <v>1.887482303826723</v>
      </c>
      <c r="M68" s="24">
        <f t="shared" si="27"/>
        <v>1.9752575190611863</v>
      </c>
      <c r="N68" s="24">
        <f t="shared" si="27"/>
        <v>2.0527490466143203</v>
      </c>
      <c r="O68" s="24">
        <f t="shared" si="27"/>
        <v>2.1267588017305279</v>
      </c>
      <c r="P68" s="24">
        <f t="shared" si="27"/>
        <v>2.1974551788240944</v>
      </c>
      <c r="Q68" s="24">
        <f t="shared" si="27"/>
        <v>2.2721276719698462</v>
      </c>
      <c r="R68" s="24">
        <f t="shared" si="27"/>
        <v>2.3394139411553461</v>
      </c>
      <c r="S68" s="24">
        <f t="shared" si="27"/>
        <v>2.4064435263301278</v>
      </c>
      <c r="T68" s="24">
        <f t="shared" si="27"/>
        <v>2.4783308917428339</v>
      </c>
      <c r="U68" s="24">
        <f t="shared" si="27"/>
        <v>2.5498980762773784</v>
      </c>
    </row>
    <row r="69" spans="2:21" outlineLevel="1" x14ac:dyDescent="0.2">
      <c r="B69" s="64" t="s">
        <v>83</v>
      </c>
      <c r="C69" s="24"/>
      <c r="D69" s="24">
        <f t="shared" ref="D69:U69" si="28">-C57*(D24/100)*(1/(1+D33/100))</f>
        <v>-0.76103656626649119</v>
      </c>
      <c r="E69" s="24">
        <f t="shared" si="28"/>
        <v>-0.81895387045065537</v>
      </c>
      <c r="F69" s="24">
        <f t="shared" si="28"/>
        <v>-0.53267613456292784</v>
      </c>
      <c r="G69" s="24">
        <f t="shared" si="28"/>
        <v>-0.47528250912779901</v>
      </c>
      <c r="H69" s="24">
        <f t="shared" si="28"/>
        <v>-0.49162489453377539</v>
      </c>
      <c r="I69" s="24">
        <f t="shared" si="28"/>
        <v>-0.63273173799669902</v>
      </c>
      <c r="J69" s="24">
        <f t="shared" si="28"/>
        <v>-0.63219643174517692</v>
      </c>
      <c r="K69" s="24">
        <f t="shared" si="28"/>
        <v>-0.63131495337868127</v>
      </c>
      <c r="L69" s="24">
        <f t="shared" si="28"/>
        <v>-0.52820512082539361</v>
      </c>
      <c r="M69" s="24">
        <f t="shared" si="28"/>
        <v>-0.50169386760081414</v>
      </c>
      <c r="N69" s="24">
        <f t="shared" si="28"/>
        <v>-0.55716445305007589</v>
      </c>
      <c r="O69" s="24">
        <f t="shared" si="28"/>
        <v>-0.61520750268046687</v>
      </c>
      <c r="P69" s="24">
        <f t="shared" si="28"/>
        <v>-0.67613834490722102</v>
      </c>
      <c r="Q69" s="24">
        <f t="shared" si="28"/>
        <v>-0.70248408761063852</v>
      </c>
      <c r="R69" s="24">
        <f t="shared" si="28"/>
        <v>-0.75327607191743806</v>
      </c>
      <c r="S69" s="24">
        <f t="shared" si="28"/>
        <v>-0.76950445427582137</v>
      </c>
      <c r="T69" s="24">
        <f t="shared" si="28"/>
        <v>-0.78959172602654759</v>
      </c>
      <c r="U69" s="24">
        <f t="shared" si="28"/>
        <v>-0.8169362549808612</v>
      </c>
    </row>
    <row r="70" spans="2:21" outlineLevel="1" x14ac:dyDescent="0.2">
      <c r="B70" s="64" t="s">
        <v>84</v>
      </c>
      <c r="C70" s="24"/>
      <c r="D70" s="24">
        <f t="shared" ref="D70:U70" si="29">-C57*D42/100*(1/(1+D42/100))</f>
        <v>-1.1451624163298213</v>
      </c>
      <c r="E70" s="24">
        <f t="shared" si="29"/>
        <v>-1.3647498504602544</v>
      </c>
      <c r="F70" s="24">
        <f t="shared" si="29"/>
        <v>-1.3502248098142675</v>
      </c>
      <c r="G70" s="24">
        <f t="shared" si="29"/>
        <v>-1.3130293825229722</v>
      </c>
      <c r="H70" s="24">
        <f t="shared" si="29"/>
        <v>-1.2702192470416029</v>
      </c>
      <c r="I70" s="24">
        <f t="shared" si="29"/>
        <v>-1.219445022014187</v>
      </c>
      <c r="J70" s="24">
        <f t="shared" si="29"/>
        <v>-1.1694256774383363</v>
      </c>
      <c r="K70" s="24">
        <f t="shared" si="29"/>
        <v>-1.1212549120872104</v>
      </c>
      <c r="L70" s="24">
        <f t="shared" si="29"/>
        <v>-1.0747502845370418</v>
      </c>
      <c r="M70" s="24">
        <f t="shared" si="29"/>
        <v>-1.0407849002803704</v>
      </c>
      <c r="N70" s="24">
        <f t="shared" si="29"/>
        <v>-1.0424326642724391</v>
      </c>
      <c r="O70" s="24">
        <f t="shared" si="29"/>
        <v>-1.0469889129942316</v>
      </c>
      <c r="P70" s="24">
        <f t="shared" si="29"/>
        <v>-1.0541872725348564</v>
      </c>
      <c r="Q70" s="24">
        <f t="shared" si="29"/>
        <v>-1.0659913576442779</v>
      </c>
      <c r="R70" s="24">
        <f t="shared" si="29"/>
        <v>-1.0786335122214636</v>
      </c>
      <c r="S70" s="24">
        <f t="shared" si="29"/>
        <v>-1.093562501539403</v>
      </c>
      <c r="T70" s="24">
        <f t="shared" si="29"/>
        <v>-1.1135888469256501</v>
      </c>
      <c r="U70" s="24">
        <f t="shared" si="29"/>
        <v>-1.1363453408845094</v>
      </c>
    </row>
    <row r="71" spans="2:21" outlineLevel="1" x14ac:dyDescent="0.2">
      <c r="B71" s="64" t="s">
        <v>85</v>
      </c>
      <c r="C71" s="36"/>
      <c r="D71" s="36">
        <f>'Baseline NFPC'!D70</f>
        <v>-1.417506471320884E-3</v>
      </c>
      <c r="E71" s="36">
        <f>'Baseline NFPC'!E70</f>
        <v>-1.2590616423890921E-6</v>
      </c>
      <c r="F71" s="36">
        <f>'Baseline NFPC'!F70</f>
        <v>1.4316675256420552E-7</v>
      </c>
      <c r="G71" s="36">
        <v>0</v>
      </c>
      <c r="H71" s="36">
        <v>0</v>
      </c>
      <c r="I71" s="36">
        <v>0</v>
      </c>
      <c r="J71" s="36">
        <v>0</v>
      </c>
      <c r="K71" s="36">
        <v>0</v>
      </c>
      <c r="L71" s="36">
        <v>0</v>
      </c>
      <c r="M71" s="36">
        <v>0</v>
      </c>
      <c r="N71" s="36">
        <v>0</v>
      </c>
      <c r="O71" s="36">
        <v>0</v>
      </c>
      <c r="P71" s="36">
        <v>0</v>
      </c>
      <c r="Q71" s="36">
        <v>0</v>
      </c>
      <c r="R71" s="36">
        <v>0</v>
      </c>
      <c r="S71" s="36">
        <v>0</v>
      </c>
      <c r="T71" s="36">
        <v>0</v>
      </c>
      <c r="U71" s="36">
        <v>0</v>
      </c>
    </row>
    <row r="72" spans="2:21" outlineLevel="1" x14ac:dyDescent="0.2">
      <c r="B72" s="66" t="s">
        <v>86</v>
      </c>
      <c r="C72" s="37"/>
      <c r="D72" s="37">
        <f>'Input data'!D16</f>
        <v>0.70141940000000003</v>
      </c>
      <c r="E72" s="37">
        <f>'Input data'!E16</f>
        <v>0.84995989999999999</v>
      </c>
      <c r="F72" s="37">
        <f>'Input data'!F16</f>
        <v>0</v>
      </c>
      <c r="G72" s="37">
        <f>'Input data'!G16</f>
        <v>0</v>
      </c>
      <c r="H72" s="37">
        <f>'Input data'!H16</f>
        <v>0</v>
      </c>
      <c r="I72" s="37">
        <f>'Input data'!I16</f>
        <v>0</v>
      </c>
      <c r="J72" s="37">
        <f>'Input data'!J16</f>
        <v>0</v>
      </c>
      <c r="K72" s="37">
        <f>'Input data'!K16</f>
        <v>0</v>
      </c>
      <c r="L72" s="37">
        <f>'Input data'!L16</f>
        <v>0</v>
      </c>
      <c r="M72" s="37">
        <f>'Input data'!M16</f>
        <v>0</v>
      </c>
      <c r="N72" s="37">
        <f>'Input data'!N16</f>
        <v>0</v>
      </c>
      <c r="O72" s="37">
        <f>'Input data'!O16</f>
        <v>0</v>
      </c>
      <c r="P72" s="37">
        <f>'Input data'!P16</f>
        <v>0</v>
      </c>
      <c r="Q72" s="37">
        <f>'Input data'!Q16</f>
        <v>0</v>
      </c>
      <c r="R72" s="37">
        <f>'Input data'!R16</f>
        <v>0</v>
      </c>
      <c r="S72" s="37">
        <f>'Input data'!S16</f>
        <v>0</v>
      </c>
      <c r="T72" s="37">
        <f>'Input data'!T16</f>
        <v>0</v>
      </c>
      <c r="U72" s="37">
        <f>'Input data'!U16</f>
        <v>0</v>
      </c>
    </row>
    <row r="73" spans="2:21" outlineLevel="1" x14ac:dyDescent="0.2">
      <c r="B73" s="64" t="s">
        <v>87</v>
      </c>
      <c r="C73" s="24"/>
      <c r="D73" s="24">
        <f t="shared" ref="D73:U73" si="30">D15</f>
        <v>0.74747770000000002</v>
      </c>
      <c r="E73" s="24">
        <f t="shared" si="30"/>
        <v>0.85</v>
      </c>
      <c r="F73" s="24">
        <f t="shared" si="30"/>
        <v>0</v>
      </c>
      <c r="G73" s="24">
        <f t="shared" si="30"/>
        <v>0</v>
      </c>
      <c r="H73" s="24">
        <f t="shared" si="30"/>
        <v>0</v>
      </c>
      <c r="I73" s="24">
        <f t="shared" si="30"/>
        <v>0</v>
      </c>
      <c r="J73" s="24">
        <f t="shared" si="30"/>
        <v>0</v>
      </c>
      <c r="K73" s="24">
        <f t="shared" si="30"/>
        <v>0</v>
      </c>
      <c r="L73" s="24">
        <f t="shared" si="30"/>
        <v>0</v>
      </c>
      <c r="M73" s="24">
        <f t="shared" si="30"/>
        <v>0</v>
      </c>
      <c r="N73" s="24">
        <f t="shared" si="30"/>
        <v>0</v>
      </c>
      <c r="O73" s="24">
        <f t="shared" si="30"/>
        <v>0</v>
      </c>
      <c r="P73" s="24">
        <f t="shared" si="30"/>
        <v>0</v>
      </c>
      <c r="Q73" s="24">
        <f t="shared" si="30"/>
        <v>0</v>
      </c>
      <c r="R73" s="24">
        <f t="shared" si="30"/>
        <v>0</v>
      </c>
      <c r="S73" s="24">
        <f t="shared" si="30"/>
        <v>0</v>
      </c>
      <c r="T73" s="24">
        <f t="shared" si="30"/>
        <v>0</v>
      </c>
      <c r="U73" s="24">
        <f t="shared" si="30"/>
        <v>0</v>
      </c>
    </row>
    <row r="74" spans="2:21" outlineLevel="1" x14ac:dyDescent="0.2">
      <c r="B74" s="71" t="s">
        <v>88</v>
      </c>
      <c r="C74" s="36"/>
      <c r="D74" s="36">
        <f t="shared" ref="D74:R74" si="31">+D72-D73</f>
        <v>-4.6058299999999996E-2</v>
      </c>
      <c r="E74" s="36">
        <f t="shared" si="31"/>
        <v>-4.0099999999987368E-5</v>
      </c>
      <c r="F74" s="36">
        <f t="shared" si="31"/>
        <v>0</v>
      </c>
      <c r="G74" s="36">
        <f t="shared" si="31"/>
        <v>0</v>
      </c>
      <c r="H74" s="36">
        <f t="shared" si="31"/>
        <v>0</v>
      </c>
      <c r="I74" s="36">
        <f t="shared" si="31"/>
        <v>0</v>
      </c>
      <c r="J74" s="36">
        <f t="shared" si="31"/>
        <v>0</v>
      </c>
      <c r="K74" s="36">
        <f t="shared" si="31"/>
        <v>0</v>
      </c>
      <c r="L74" s="36">
        <f t="shared" si="31"/>
        <v>0</v>
      </c>
      <c r="M74" s="36">
        <f t="shared" si="31"/>
        <v>0</v>
      </c>
      <c r="N74" s="36">
        <f t="shared" si="31"/>
        <v>0</v>
      </c>
      <c r="O74" s="36">
        <f t="shared" si="31"/>
        <v>0</v>
      </c>
      <c r="P74" s="36">
        <f t="shared" si="31"/>
        <v>0</v>
      </c>
      <c r="Q74" s="36">
        <f t="shared" si="31"/>
        <v>0</v>
      </c>
      <c r="R74" s="36">
        <f t="shared" si="31"/>
        <v>0</v>
      </c>
      <c r="S74" s="36">
        <f t="shared" ref="S74:U74" si="32">+S72-S73</f>
        <v>0</v>
      </c>
      <c r="T74" s="36">
        <f t="shared" si="32"/>
        <v>0</v>
      </c>
      <c r="U74" s="36">
        <f t="shared" si="32"/>
        <v>0</v>
      </c>
    </row>
    <row r="75" spans="2:21" ht="10.5" customHeight="1" outlineLevel="1" x14ac:dyDescent="0.2"/>
    <row r="76" spans="2:21" ht="10.5" customHeight="1" outlineLevel="1" x14ac:dyDescent="0.2">
      <c r="B76" s="72" t="s">
        <v>89</v>
      </c>
    </row>
    <row r="77" spans="2:21" x14ac:dyDescent="0.2">
      <c r="B77" s="62" t="s">
        <v>19</v>
      </c>
      <c r="C77" s="63">
        <f>'Baseline NFPC'!C76</f>
        <v>-2.1474319999999998</v>
      </c>
      <c r="D77" s="63">
        <f>D59-D68</f>
        <v>-2.7944635100307016</v>
      </c>
      <c r="E77" s="63">
        <f t="shared" ref="E77:U77" si="33">E59-E68</f>
        <v>-2.1918405303501336</v>
      </c>
      <c r="F77" s="63">
        <f t="shared" si="33"/>
        <v>-1.9880025180486236</v>
      </c>
      <c r="G77" s="63">
        <f t="shared" si="33"/>
        <v>-1.6962176440453862</v>
      </c>
      <c r="H77" s="63">
        <f t="shared" si="33"/>
        <v>-1.3639722060292712</v>
      </c>
      <c r="I77" s="63">
        <f t="shared" si="33"/>
        <v>-1.4597506638039826</v>
      </c>
      <c r="J77" s="63">
        <f t="shared" si="33"/>
        <v>-1.4596072380203979</v>
      </c>
      <c r="K77" s="63">
        <f t="shared" si="33"/>
        <v>-1.4587375919351544</v>
      </c>
      <c r="L77" s="63">
        <f t="shared" si="33"/>
        <v>-1.8382733329850542</v>
      </c>
      <c r="M77" s="63">
        <f t="shared" si="33"/>
        <v>-1.9405545049519635</v>
      </c>
      <c r="N77" s="63">
        <f t="shared" si="33"/>
        <v>-2.1325531622180152</v>
      </c>
      <c r="O77" s="63">
        <f t="shared" si="33"/>
        <v>-2.3210696587429531</v>
      </c>
      <c r="P77" s="63">
        <f t="shared" si="33"/>
        <v>-2.6062735574345846</v>
      </c>
      <c r="Q77" s="63">
        <f t="shared" si="33"/>
        <v>-2.6954556178382356</v>
      </c>
      <c r="R77" s="63">
        <f t="shared" si="33"/>
        <v>-2.877249409464564</v>
      </c>
      <c r="S77" s="63">
        <f t="shared" si="33"/>
        <v>-3.1587853507413857</v>
      </c>
      <c r="T77" s="63">
        <f t="shared" si="33"/>
        <v>-3.3451810161540898</v>
      </c>
      <c r="U77" s="63">
        <f t="shared" si="33"/>
        <v>-3.5312565006886443</v>
      </c>
    </row>
    <row r="78" spans="2:21" x14ac:dyDescent="0.2">
      <c r="B78" s="16" t="s">
        <v>20</v>
      </c>
      <c r="C78" s="24">
        <f>'Baseline NFPC'!C77</f>
        <v>-1.81443</v>
      </c>
      <c r="D78" s="24">
        <f>D60-D68-D71-D64-D65-D66</f>
        <v>-2.6347343825963128</v>
      </c>
      <c r="E78" s="24">
        <f t="shared" ref="E78:U78" si="34">E60-E68-E71-E64-E65-E66</f>
        <v>-2.1823294915319669</v>
      </c>
      <c r="F78" s="24">
        <f t="shared" si="34"/>
        <v>-1.8742337612516078</v>
      </c>
      <c r="G78" s="24">
        <f t="shared" si="34"/>
        <v>-1.5129912134632264</v>
      </c>
      <c r="H78" s="24">
        <f t="shared" si="34"/>
        <v>-1.134606977512415</v>
      </c>
      <c r="I78" s="24">
        <f t="shared" si="34"/>
        <v>-1.3068405114594102</v>
      </c>
      <c r="J78" s="24">
        <f t="shared" si="34"/>
        <v>-1.383152161848114</v>
      </c>
      <c r="K78" s="24">
        <f t="shared" si="34"/>
        <v>-1.4587375919351544</v>
      </c>
      <c r="L78" s="24">
        <f t="shared" si="34"/>
        <v>-1.8382745038267219</v>
      </c>
      <c r="M78" s="24">
        <f t="shared" si="34"/>
        <v>-1.9405580190611851</v>
      </c>
      <c r="N78" s="24">
        <f t="shared" si="34"/>
        <v>-2.1325578466143202</v>
      </c>
      <c r="O78" s="24">
        <f t="shared" si="34"/>
        <v>-2.3210759017305298</v>
      </c>
      <c r="P78" s="24">
        <f t="shared" si="34"/>
        <v>-2.6062805788240953</v>
      </c>
      <c r="Q78" s="24">
        <f t="shared" si="34"/>
        <v>-2.6954614719698471</v>
      </c>
      <c r="R78" s="24">
        <f t="shared" si="34"/>
        <v>-2.8772560411553449</v>
      </c>
      <c r="S78" s="24">
        <f t="shared" si="34"/>
        <v>-3.1587939263301292</v>
      </c>
      <c r="T78" s="24">
        <f t="shared" si="34"/>
        <v>-3.3451895917428338</v>
      </c>
      <c r="U78" s="24">
        <f t="shared" si="34"/>
        <v>-3.531265076277379</v>
      </c>
    </row>
    <row r="79" spans="2:21" x14ac:dyDescent="0.2">
      <c r="B79" s="25" t="s">
        <v>90</v>
      </c>
      <c r="C79" s="231">
        <f>'Input data'!C45</f>
        <v>4.9156094989605004</v>
      </c>
      <c r="D79" s="231">
        <f>'Input data'!D45</f>
        <v>6.3502551275700831</v>
      </c>
      <c r="E79" s="36">
        <f>'Input data'!E33+E42-(E$12-D$12-(E$64-D64))/'Input data'!$C$64*100</f>
        <v>3.4626986983175079</v>
      </c>
      <c r="F79" s="36">
        <f>'Input data'!F33+F42-(F$12-E$12-(F$64-E64))/'Input data'!$C$64*100</f>
        <v>3.3360136983175068</v>
      </c>
      <c r="G79" s="36">
        <f>'Input data'!G33+G42-(G$12-F$12-(G$64-F64))/'Input data'!$C$64*100</f>
        <v>3.0228246983175073</v>
      </c>
      <c r="H79" s="36">
        <f>'Input data'!H33+H42-(H$12-G$12-(H$64-G64))/'Input data'!$C$64*100</f>
        <v>2.909889698317508</v>
      </c>
      <c r="I79" s="36">
        <f>'Input data'!I33+I42-(I$12-H$12-(I$64-H64))/'Input data'!$C$64*100</f>
        <v>4.1691307177570671</v>
      </c>
      <c r="J79" s="36">
        <f>'Input data'!J33+J42-(J$12-I$12-(J$64-I64))/'Input data'!$C$64*100</f>
        <v>3.8495149999999914</v>
      </c>
      <c r="K79" s="36">
        <f>'Input data'!K33+K42-(K$12-J$12-(K$64-J64))/'Input data'!$C$64*100</f>
        <v>3.7663659999999997</v>
      </c>
      <c r="L79" s="36">
        <f>'Input data'!L33+L42-(L$12-K$12-(L$64-K64))/'Input data'!$C$64*100</f>
        <v>4.3564591532711923</v>
      </c>
      <c r="M79" s="36">
        <f>'Input data'!M33+M42-(M$12-L$12-(M$64-L64))/'Input data'!$C$64*100</f>
        <v>3.4808219999999999</v>
      </c>
      <c r="N79" s="36">
        <f>'Input data'!N33+N42-(N$12-M$12-(N$64-M64))/'Input data'!$C$64*100</f>
        <v>3.8189257177570668</v>
      </c>
      <c r="O79" s="36">
        <f>'Input data'!O33+O42-(O$12-N$12-(O$64-N64))/'Input data'!$C$64*100</f>
        <v>3.9183177177570667</v>
      </c>
      <c r="P79" s="36">
        <f>'Input data'!P33+P42-(P$12-O$12-(P$64-O64))/'Input data'!$C$64*100</f>
        <v>4.2564214355141257</v>
      </c>
      <c r="Q79" s="36">
        <f>'Input data'!Q33+Q42-(Q$12-P$12-(Q$64-P64))/'Input data'!$C$64*100</f>
        <v>3.7919999999999998</v>
      </c>
      <c r="R79" s="36">
        <f>'Input data'!R33+R42-(R$12-Q$12-(R$64-Q64))/'Input data'!$C$64*100</f>
        <v>4.0937107177570589</v>
      </c>
      <c r="S79" s="36">
        <f>'Input data'!S33+S42-(S$12-R$12-(S$64-R64))/'Input data'!$C$64*100</f>
        <v>4.3154214355141338</v>
      </c>
      <c r="T79" s="36">
        <f>'Input data'!T33+T42-(T$12-S$12-(T$64-S64))/'Input data'!$C$64*100</f>
        <v>4.0597107177570591</v>
      </c>
      <c r="U79" s="36">
        <f>'Input data'!U33+U42-(U$12-T$12-(U$64-T64))/'Input data'!$C$64*100</f>
        <v>4.0527107177570674</v>
      </c>
    </row>
    <row r="80" spans="2:21" x14ac:dyDescent="0.2">
      <c r="C80" s="24"/>
      <c r="D80" s="348"/>
      <c r="E80" s="348"/>
      <c r="F80" s="348"/>
      <c r="G80" s="348"/>
      <c r="H80" s="348"/>
      <c r="I80" s="348"/>
      <c r="J80" s="348"/>
      <c r="K80" s="348"/>
      <c r="L80" s="24"/>
      <c r="M80" s="24"/>
      <c r="N80" s="24"/>
      <c r="O80" s="24"/>
      <c r="P80" s="24"/>
      <c r="Q80" s="24"/>
      <c r="R80" s="24"/>
      <c r="S80" s="24"/>
      <c r="T80" s="24"/>
      <c r="U80" s="24"/>
    </row>
    <row r="81" spans="2:21" x14ac:dyDescent="0.2">
      <c r="B81" s="91" t="s">
        <v>232</v>
      </c>
      <c r="C81" s="39">
        <f>IF('Criteria results'!$F$5=4,AVERAGE(E79:H79),AVERAGE(E79:K79))</f>
        <v>3.1828566983175075</v>
      </c>
      <c r="D81" s="24"/>
      <c r="E81" s="307"/>
      <c r="F81" s="307"/>
      <c r="G81" s="307"/>
      <c r="H81" s="307"/>
      <c r="I81" s="307"/>
      <c r="J81" s="307"/>
      <c r="K81" s="307"/>
      <c r="L81" s="307"/>
      <c r="M81" s="307"/>
      <c r="N81" s="307"/>
      <c r="O81" s="307"/>
      <c r="P81" s="307"/>
      <c r="Q81" s="307"/>
      <c r="R81" s="307"/>
      <c r="S81" s="24"/>
      <c r="T81" s="24"/>
      <c r="U81" s="24"/>
    </row>
    <row r="82" spans="2:21" x14ac:dyDescent="0.2">
      <c r="B82" s="62"/>
      <c r="C82" s="24"/>
      <c r="D82" s="24"/>
      <c r="E82" s="24"/>
      <c r="F82" s="24"/>
      <c r="G82" s="24"/>
      <c r="H82" s="24"/>
      <c r="I82" s="24"/>
      <c r="J82" s="24"/>
      <c r="K82" s="24"/>
      <c r="L82" s="24"/>
      <c r="M82" s="24"/>
      <c r="N82" s="24"/>
      <c r="O82" s="24"/>
      <c r="P82" s="24"/>
      <c r="Q82" s="24"/>
      <c r="R82" s="24"/>
      <c r="S82" s="24"/>
      <c r="T82" s="24"/>
      <c r="U82" s="24"/>
    </row>
    <row r="83" spans="2:21" s="73" customFormat="1" ht="12.75" outlineLevel="1" x14ac:dyDescent="0.2">
      <c r="B83" s="74" t="s">
        <v>91</v>
      </c>
      <c r="C83" s="76"/>
      <c r="D83" s="75"/>
    </row>
    <row r="84" spans="2:21" x14ac:dyDescent="0.2">
      <c r="C84" s="24"/>
      <c r="D84" s="24"/>
      <c r="E84" s="24"/>
      <c r="F84" s="24"/>
      <c r="G84" s="24"/>
      <c r="H84" s="24"/>
      <c r="I84" s="24"/>
      <c r="J84" s="24"/>
      <c r="K84" s="24"/>
      <c r="L84" s="24"/>
      <c r="M84" s="24"/>
      <c r="N84" s="24"/>
      <c r="O84" s="24"/>
      <c r="P84" s="24"/>
      <c r="Q84" s="24"/>
      <c r="R84" s="24"/>
      <c r="S84" s="24"/>
      <c r="T84" s="24"/>
      <c r="U84" s="24"/>
    </row>
    <row r="85" spans="2:21" x14ac:dyDescent="0.2">
      <c r="B85" s="16" t="s">
        <v>92</v>
      </c>
      <c r="C85" s="19"/>
      <c r="D85" s="19">
        <f t="shared" ref="D85:U85" si="35">IF((D90-C90*D43/((1+D24/100)*(1+D42/100)))&gt;0,1,0)</f>
        <v>1</v>
      </c>
      <c r="E85" s="19">
        <f t="shared" si="35"/>
        <v>1</v>
      </c>
      <c r="F85" s="19">
        <f t="shared" si="35"/>
        <v>1</v>
      </c>
      <c r="G85" s="19">
        <f t="shared" si="35"/>
        <v>1</v>
      </c>
      <c r="H85" s="19">
        <f t="shared" si="35"/>
        <v>1</v>
      </c>
      <c r="I85" s="19">
        <f t="shared" si="35"/>
        <v>1</v>
      </c>
      <c r="J85" s="19">
        <f t="shared" si="35"/>
        <v>1</v>
      </c>
      <c r="K85" s="19">
        <f t="shared" si="35"/>
        <v>1</v>
      </c>
      <c r="L85" s="19">
        <f t="shared" si="35"/>
        <v>1</v>
      </c>
      <c r="M85" s="19">
        <f t="shared" si="35"/>
        <v>1</v>
      </c>
      <c r="N85" s="19">
        <f t="shared" si="35"/>
        <v>1</v>
      </c>
      <c r="O85" s="19">
        <f t="shared" si="35"/>
        <v>1</v>
      </c>
      <c r="P85" s="19">
        <f t="shared" si="35"/>
        <v>1</v>
      </c>
      <c r="Q85" s="19">
        <f t="shared" si="35"/>
        <v>1</v>
      </c>
      <c r="R85" s="19">
        <f t="shared" si="35"/>
        <v>1</v>
      </c>
      <c r="S85" s="19">
        <f t="shared" si="35"/>
        <v>1</v>
      </c>
      <c r="T85" s="19">
        <f t="shared" si="35"/>
        <v>1</v>
      </c>
      <c r="U85" s="19">
        <f t="shared" si="35"/>
        <v>1</v>
      </c>
    </row>
    <row r="86" spans="2:21" x14ac:dyDescent="0.2">
      <c r="B86" s="16" t="s">
        <v>93</v>
      </c>
      <c r="C86" s="19"/>
      <c r="D86" s="19">
        <f t="shared" ref="D86:U86" si="36">IF(AND(D85=0,ABS(D90-C90*D43/((1+D24/100)*(1+D42/100)))&lt;((C96*C90*D43/((1+D24/100)*(1+D42/100))+(D39*C90*C97*D43/((1+D24/100)*(1+D42/100)))))),1,0)</f>
        <v>0</v>
      </c>
      <c r="E86" s="19">
        <f t="shared" si="36"/>
        <v>0</v>
      </c>
      <c r="F86" s="19">
        <f t="shared" si="36"/>
        <v>0</v>
      </c>
      <c r="G86" s="19">
        <f t="shared" si="36"/>
        <v>0</v>
      </c>
      <c r="H86" s="19">
        <f t="shared" si="36"/>
        <v>0</v>
      </c>
      <c r="I86" s="19">
        <f t="shared" si="36"/>
        <v>0</v>
      </c>
      <c r="J86" s="19">
        <f t="shared" si="36"/>
        <v>0</v>
      </c>
      <c r="K86" s="19">
        <f t="shared" si="36"/>
        <v>0</v>
      </c>
      <c r="L86" s="19">
        <f t="shared" si="36"/>
        <v>0</v>
      </c>
      <c r="M86" s="19">
        <f t="shared" si="36"/>
        <v>0</v>
      </c>
      <c r="N86" s="19">
        <f t="shared" si="36"/>
        <v>0</v>
      </c>
      <c r="O86" s="19">
        <f t="shared" si="36"/>
        <v>0</v>
      </c>
      <c r="P86" s="19">
        <f t="shared" si="36"/>
        <v>0</v>
      </c>
      <c r="Q86" s="19">
        <f t="shared" si="36"/>
        <v>0</v>
      </c>
      <c r="R86" s="19">
        <f t="shared" si="36"/>
        <v>0</v>
      </c>
      <c r="S86" s="19">
        <f t="shared" si="36"/>
        <v>0</v>
      </c>
      <c r="T86" s="19">
        <f t="shared" si="36"/>
        <v>0</v>
      </c>
      <c r="U86" s="19">
        <f t="shared" si="36"/>
        <v>0</v>
      </c>
    </row>
    <row r="88" spans="2:21" x14ac:dyDescent="0.2">
      <c r="F88" s="28"/>
      <c r="G88" s="28"/>
      <c r="H88" s="28"/>
      <c r="I88" s="28"/>
      <c r="J88" s="28"/>
      <c r="K88" s="28"/>
      <c r="L88" s="28"/>
      <c r="M88" s="28"/>
      <c r="N88" s="28"/>
      <c r="O88" s="28"/>
      <c r="P88" s="28"/>
      <c r="Q88" s="28"/>
      <c r="R88" s="28"/>
    </row>
    <row r="89" spans="2:21" x14ac:dyDescent="0.2">
      <c r="B89" s="38"/>
      <c r="C89" s="68">
        <f>'Input data'!$C$5-1</f>
        <v>2025</v>
      </c>
      <c r="D89" s="68">
        <f>C89+1</f>
        <v>2026</v>
      </c>
      <c r="E89" s="68">
        <f t="shared" ref="E89:U89" si="37">D89+1</f>
        <v>2027</v>
      </c>
      <c r="F89" s="68">
        <f t="shared" si="37"/>
        <v>2028</v>
      </c>
      <c r="G89" s="68">
        <f t="shared" si="37"/>
        <v>2029</v>
      </c>
      <c r="H89" s="68">
        <f t="shared" si="37"/>
        <v>2030</v>
      </c>
      <c r="I89" s="68">
        <f t="shared" si="37"/>
        <v>2031</v>
      </c>
      <c r="J89" s="68">
        <f t="shared" si="37"/>
        <v>2032</v>
      </c>
      <c r="K89" s="68">
        <f t="shared" si="37"/>
        <v>2033</v>
      </c>
      <c r="L89" s="68">
        <f t="shared" si="37"/>
        <v>2034</v>
      </c>
      <c r="M89" s="68">
        <f t="shared" si="37"/>
        <v>2035</v>
      </c>
      <c r="N89" s="68">
        <f t="shared" si="37"/>
        <v>2036</v>
      </c>
      <c r="O89" s="68">
        <f t="shared" si="37"/>
        <v>2037</v>
      </c>
      <c r="P89" s="68">
        <f t="shared" si="37"/>
        <v>2038</v>
      </c>
      <c r="Q89" s="68">
        <f t="shared" si="37"/>
        <v>2039</v>
      </c>
      <c r="R89" s="68">
        <f t="shared" si="37"/>
        <v>2040</v>
      </c>
      <c r="S89" s="68">
        <f t="shared" si="37"/>
        <v>2041</v>
      </c>
      <c r="T89" s="68">
        <f t="shared" si="37"/>
        <v>2042</v>
      </c>
      <c r="U89" s="68">
        <f t="shared" si="37"/>
        <v>2043</v>
      </c>
    </row>
    <row r="90" spans="2:21" x14ac:dyDescent="0.2">
      <c r="B90" s="85" t="s">
        <v>71</v>
      </c>
      <c r="C90" s="89">
        <f>C57</f>
        <v>44.250230000000002</v>
      </c>
      <c r="D90" s="89">
        <f>D57</f>
        <v>45.838496420963068</v>
      </c>
      <c r="E90" s="89">
        <f t="shared" ref="E90:U90" si="38">D90*(1+E104/100)*E43-E60-E61+E62+E63+E64+E65+E66+E73</f>
        <v>46.696592762474289</v>
      </c>
      <c r="F90" s="89">
        <f t="shared" si="38"/>
        <v>46.801694328103437</v>
      </c>
      <c r="G90" s="89">
        <f t="shared" si="38"/>
        <v>46.709600076892166</v>
      </c>
      <c r="H90" s="89">
        <f t="shared" si="38"/>
        <v>46.311728139454459</v>
      </c>
      <c r="I90" s="89">
        <f t="shared" si="38"/>
        <v>45.919302040827532</v>
      </c>
      <c r="J90" s="89">
        <f t="shared" si="38"/>
        <v>45.57728716902286</v>
      </c>
      <c r="K90" s="89">
        <f t="shared" si="38"/>
        <v>45.283454896613527</v>
      </c>
      <c r="L90" s="89">
        <f t="shared" si="38"/>
        <v>45.518772828838543</v>
      </c>
      <c r="M90" s="89">
        <f t="shared" si="38"/>
        <v>45.916848572917345</v>
      </c>
      <c r="N90" s="89">
        <f t="shared" si="38"/>
        <v>46.449804625156318</v>
      </c>
      <c r="O90" s="89">
        <f t="shared" si="38"/>
        <v>47.108677875740021</v>
      </c>
      <c r="P90" s="89">
        <f t="shared" si="38"/>
        <v>47.984625823258334</v>
      </c>
      <c r="Q90" s="89">
        <f t="shared" si="38"/>
        <v>48.911606003886725</v>
      </c>
      <c r="R90" s="89">
        <f t="shared" si="38"/>
        <v>49.956945837248838</v>
      </c>
      <c r="S90" s="89">
        <f t="shared" si="38"/>
        <v>51.252664240686855</v>
      </c>
      <c r="T90" s="89">
        <f t="shared" si="38"/>
        <v>52.694664692766096</v>
      </c>
      <c r="U90" s="89">
        <f t="shared" si="38"/>
        <v>54.272639606646536</v>
      </c>
    </row>
    <row r="91" spans="2:21" x14ac:dyDescent="0.2">
      <c r="B91" s="16" t="s">
        <v>94</v>
      </c>
      <c r="C91" s="24">
        <f>'Baseline NFPC'!C88</f>
        <v>37.049729999999997</v>
      </c>
      <c r="D91" s="24">
        <f>'Baseline NFPC'!D88</f>
        <v>38.429584030670604</v>
      </c>
      <c r="E91" s="24">
        <f t="shared" ref="E91:U91" si="39">IF(E90=0,0,IF(E85=1,D90*E43/((1+E24/100)*(1+E42/100))-E92-E93,IF(AND(E85=0,E86=1),(1-D96-E39*D97)*D90*E43/((1+E24/100)*(1+E42/100)),E90)))</f>
        <v>39.582939665924386</v>
      </c>
      <c r="F91" s="24">
        <f t="shared" si="39"/>
        <v>40.562487342804189</v>
      </c>
      <c r="G91" s="24">
        <f t="shared" si="39"/>
        <v>40.685533499018909</v>
      </c>
      <c r="H91" s="24">
        <f t="shared" si="39"/>
        <v>40.572551232035551</v>
      </c>
      <c r="I91" s="24">
        <f t="shared" si="39"/>
        <v>40.082628395440999</v>
      </c>
      <c r="J91" s="24">
        <f t="shared" si="39"/>
        <v>39.724932576603351</v>
      </c>
      <c r="K91" s="24">
        <f t="shared" si="39"/>
        <v>39.412358932781622</v>
      </c>
      <c r="L91" s="24">
        <f t="shared" si="39"/>
        <v>39.234424604467009</v>
      </c>
      <c r="M91" s="24">
        <f t="shared" si="39"/>
        <v>39.448719369721182</v>
      </c>
      <c r="N91" s="24">
        <f t="shared" si="39"/>
        <v>39.738151659247556</v>
      </c>
      <c r="O91" s="24">
        <f t="shared" si="39"/>
        <v>40.142641607418099</v>
      </c>
      <c r="P91" s="24">
        <f t="shared" si="39"/>
        <v>40.654206045904438</v>
      </c>
      <c r="Q91" s="24">
        <f t="shared" si="39"/>
        <v>41.385664045689609</v>
      </c>
      <c r="R91" s="24">
        <f t="shared" si="39"/>
        <v>42.140263607503897</v>
      </c>
      <c r="S91" s="24">
        <f t="shared" si="39"/>
        <v>43.029188340726321</v>
      </c>
      <c r="T91" s="24">
        <f t="shared" si="39"/>
        <v>44.133058097717182</v>
      </c>
      <c r="U91" s="24">
        <f t="shared" si="39"/>
        <v>45.358440073128989</v>
      </c>
    </row>
    <row r="92" spans="2:21" x14ac:dyDescent="0.2">
      <c r="B92" s="84" t="s">
        <v>95</v>
      </c>
      <c r="C92" s="24">
        <f>'Baseline NFPC'!C89</f>
        <v>2.7018460000000002</v>
      </c>
      <c r="D92" s="24">
        <f>'Baseline NFPC'!D89</f>
        <v>2.8142826680856383</v>
      </c>
      <c r="E92" s="24">
        <f t="shared" ref="E92:U92" si="40">IF(E90=0,0,IF(E85=1,E39*D90*D97*E43/((1+E24/100)*(1+E42/100)),IF(AND(E85=0,E86=1),(E39*D90*D97*E43/((1+E24/100)*(1+E42/100)))*(1-ABS(E90-D90*E43/((1+E24/100)*(1+E42/100)))/((E39*D90*D97*E43/((1+E24/100)*(1+E42/100)))+(D96*D90*E43/((1+E24/100)*(1+E42/100))))),0)))</f>
        <v>2.9363306341867186</v>
      </c>
      <c r="F92" s="24">
        <f t="shared" si="40"/>
        <v>3.0475786369123172</v>
      </c>
      <c r="G92" s="24">
        <f t="shared" si="40"/>
        <v>3.0955925683813983</v>
      </c>
      <c r="H92" s="24">
        <f t="shared" si="40"/>
        <v>3.1257262638607748</v>
      </c>
      <c r="I92" s="24">
        <f t="shared" si="40"/>
        <v>3.1263127198689382</v>
      </c>
      <c r="J92" s="24">
        <f t="shared" si="40"/>
        <v>3.1364694019272084</v>
      </c>
      <c r="K92" s="24">
        <f t="shared" si="40"/>
        <v>3.1496137502300381</v>
      </c>
      <c r="L92" s="24">
        <f t="shared" si="40"/>
        <v>3.1731140213324438</v>
      </c>
      <c r="M92" s="24">
        <f t="shared" si="40"/>
        <v>3.2284386634957305</v>
      </c>
      <c r="N92" s="24">
        <f t="shared" si="40"/>
        <v>3.2521254753593434</v>
      </c>
      <c r="O92" s="24">
        <f t="shared" si="40"/>
        <v>3.2852284761292867</v>
      </c>
      <c r="P92" s="24">
        <f t="shared" si="40"/>
        <v>3.3270943323209692</v>
      </c>
      <c r="Q92" s="24">
        <f t="shared" si="40"/>
        <v>3.3869560293534526</v>
      </c>
      <c r="R92" s="24">
        <f t="shared" si="40"/>
        <v>3.4487116057001983</v>
      </c>
      <c r="S92" s="24">
        <f t="shared" si="40"/>
        <v>3.5214602024487065</v>
      </c>
      <c r="T92" s="24">
        <f t="shared" si="40"/>
        <v>3.6117996573124378</v>
      </c>
      <c r="U92" s="24">
        <f t="shared" si="40"/>
        <v>3.7120835349687233</v>
      </c>
    </row>
    <row r="93" spans="2:21" x14ac:dyDescent="0.2">
      <c r="B93" s="84" t="s">
        <v>96</v>
      </c>
      <c r="C93" s="24">
        <f>'Baseline NFPC'!C90</f>
        <v>0.96484409999999998</v>
      </c>
      <c r="D93" s="24">
        <f>'Baseline NFPC'!D90</f>
        <v>1.0541067161098168</v>
      </c>
      <c r="E93" s="24">
        <f t="shared" ref="E93:U93" si="41">IF(E90=0,0,IF(E85=1,(1-D97)*D90*E43/((1+E24/100)*(1+E42/100)),IF(AND(E85=0,E86=1),(D96*D90*E43/((1+E24/100)*(1+E42/100)))*(1-ABS(E90-D90*E43/((1+E24/100)*(1+E42/100)))/((E39*D90*D97*E43/((1+E24/100)*(1+E42/100)))+(D96*D90*E43/((1+E24/100)*(1+E42/100))))),0)))</f>
        <v>1.1354831106276269</v>
      </c>
      <c r="F93" s="24">
        <f t="shared" si="41"/>
        <v>1.2036258024482782</v>
      </c>
      <c r="G93" s="24">
        <f t="shared" si="41"/>
        <v>1.2322563407795344</v>
      </c>
      <c r="H93" s="24">
        <f t="shared" si="41"/>
        <v>1.2494784116471769</v>
      </c>
      <c r="I93" s="24">
        <f t="shared" si="41"/>
        <v>1.2506102347611909</v>
      </c>
      <c r="J93" s="24">
        <f t="shared" si="41"/>
        <v>1.2562779243935118</v>
      </c>
      <c r="K93" s="24">
        <f t="shared" si="41"/>
        <v>1.2627445924223328</v>
      </c>
      <c r="L93" s="24">
        <f t="shared" si="41"/>
        <v>1.2729608395228815</v>
      </c>
      <c r="M93" s="24">
        <f t="shared" si="41"/>
        <v>1.2991360027629544</v>
      </c>
      <c r="N93" s="24">
        <f t="shared" si="41"/>
        <v>1.3269742950659367</v>
      </c>
      <c r="O93" s="24">
        <f t="shared" si="41"/>
        <v>1.359738099044081</v>
      </c>
      <c r="P93" s="24">
        <f t="shared" si="41"/>
        <v>1.397051852195683</v>
      </c>
      <c r="Q93" s="24">
        <f t="shared" si="41"/>
        <v>1.4435302747116221</v>
      </c>
      <c r="R93" s="24">
        <f t="shared" si="41"/>
        <v>1.4907211775349898</v>
      </c>
      <c r="S93" s="24">
        <f t="shared" si="41"/>
        <v>1.5432303090740866</v>
      </c>
      <c r="T93" s="24">
        <f t="shared" si="41"/>
        <v>1.6046258833297986</v>
      </c>
      <c r="U93" s="24">
        <f t="shared" si="41"/>
        <v>1.6708594591504198</v>
      </c>
    </row>
    <row r="94" spans="2:21" x14ac:dyDescent="0.2">
      <c r="B94" s="84" t="s">
        <v>97</v>
      </c>
      <c r="C94" s="24">
        <f>'Baseline NFPC'!C91</f>
        <v>3.3958969999999997</v>
      </c>
      <c r="D94" s="24">
        <f>'Baseline NFPC'!D91</f>
        <v>3.4023463066334618</v>
      </c>
      <c r="E94" s="24">
        <f>IF(E90=0,0,IF(E85=1,'Input data'!$C$58*(E90-D90*E43/((1+E24/100)*(1+E42/100))),0))</f>
        <v>2.9231248789875068</v>
      </c>
      <c r="F94" s="24">
        <f>IF(F90=0,0,IF(F85=1,'Input data'!$C$58*(F90-E90*F43/((1+F24/100)*(1+F42/100))),0))</f>
        <v>1.9104163729777919</v>
      </c>
      <c r="G94" s="24">
        <f>IF(G90=0,0,IF(G85=1,'Input data'!$C$58*(G90-F90*G43/((1+G24/100)*(1+G42/100))),0))</f>
        <v>1.6300190425119523</v>
      </c>
      <c r="H94" s="24">
        <f>IF(H90=0,0,IF(H85=1,'Input data'!$C$58*(H90-G90*H43/((1+H24/100)*(1+H42/100))),0))</f>
        <v>1.3107402148217213</v>
      </c>
      <c r="I94" s="24">
        <f>IF(I90=0,0,IF(I85=1,'Input data'!$C$58*(I90-H90*I43/((1+I24/100)*(1+I42/100))),0))</f>
        <v>1.4027807085981128</v>
      </c>
      <c r="J94" s="24">
        <f>IF(J90=0,0,IF(J85=1,'Input data'!$C$58*(J90-I90*J43/((1+J24/100)*(1+J42/100))),0))</f>
        <v>1.4026428814033021</v>
      </c>
      <c r="K94" s="24">
        <f>IF(K90=0,0,IF(K85=1,'Input data'!$C$58*(K90-J90*K43/((1+K24/100)*(1+K42/100))),0))</f>
        <v>1.4018071762902393</v>
      </c>
      <c r="L94" s="24">
        <f>IF(L90=0,0,IF(L85=1,'Input data'!$C$58*(L90-K90*L43/((1+L24/100)*(1+L42/100))),0))</f>
        <v>1.7665307013035885</v>
      </c>
      <c r="M94" s="24">
        <f>IF(M90=0,0,IF(M85=1,'Input data'!$C$58*(M90-L90*M43/((1+M24/100)*(1+M42/100))),0))</f>
        <v>1.8648201269135101</v>
      </c>
      <c r="N94" s="24">
        <f>IF(N90=0,0,IF(N85=1,'Input data'!$C$58*(N90-M90*N43/((1+N24/100)*(1+N42/100))),0))</f>
        <v>2.0493256154127084</v>
      </c>
      <c r="O94" s="24">
        <f>IF(O90=0,0,IF(O85=1,'Input data'!$C$58*(O90-N90*O43/((1+O24/100)*(1+O42/100))),0))</f>
        <v>2.2304848420201111</v>
      </c>
      <c r="P94" s="24">
        <f>IF(P90=0,0,IF(P85=1,'Input data'!$C$58*(P90-O90*P43/((1+P24/100)*(1+P42/100))),0))</f>
        <v>2.5045580320748697</v>
      </c>
      <c r="Q94" s="24">
        <f>IF(Q90=0,0,IF(Q85=1,'Input data'!$C$58*(Q90-P90*Q43/((1+Q24/100)*(1+Q42/100))),0))</f>
        <v>2.5902595672270978</v>
      </c>
      <c r="R94" s="24">
        <f>IF(R90=0,0,IF(R85=1,'Input data'!$C$58*(R90-Q90*R43/((1+R24/100)*(1+R42/100))),0))</f>
        <v>2.7649584569109322</v>
      </c>
      <c r="S94" s="24">
        <f>IF(S90=0,0,IF(S85=1,'Input data'!$C$58*(S90-R90*S43/((1+S24/100)*(1+S42/100))),0))</f>
        <v>3.0355068393261049</v>
      </c>
      <c r="T94" s="24">
        <f>IF(T90=0,0,IF(T85=1,'Input data'!$C$58*(T90-S90*T43/((1+T24/100)*(1+T42/100))),0))</f>
        <v>3.2146280043601396</v>
      </c>
      <c r="U94" s="24">
        <f>IF(U90=0,0,IF(U85=1,'Input data'!$C$58*(U90-T90*U43/((1+U24/100)*(1+U42/100))),0))</f>
        <v>3.3934414841839962</v>
      </c>
    </row>
    <row r="95" spans="2:21" x14ac:dyDescent="0.2">
      <c r="B95" s="86" t="s">
        <v>98</v>
      </c>
      <c r="C95" s="36">
        <f>'Baseline NFPC'!C92</f>
        <v>0.1379148</v>
      </c>
      <c r="D95" s="36">
        <f>'Baseline NFPC'!D92</f>
        <v>0.13817669946354927</v>
      </c>
      <c r="E95" s="36">
        <f>IF(E90=0,0,IF(E85=1,'Input data'!$C$57*(E90-D90*E43/((1+E24/100)*(1+E42/100))),0))</f>
        <v>0.11871447274805408</v>
      </c>
      <c r="F95" s="36">
        <f>IF(F90=0,0,IF(F85=1,'Input data'!$C$57*(F90-E90*F43/((1+F24/100)*(1+F42/100))),0))</f>
        <v>7.7586172960856833E-2</v>
      </c>
      <c r="G95" s="36">
        <f>IF(G90=0,0,IF(G85=1,'Input data'!$C$57*(G90-F90*G43/((1+G24/100)*(1+G42/100))),0))</f>
        <v>6.6198626200369523E-2</v>
      </c>
      <c r="H95" s="36">
        <f>IF(H90=0,0,IF(H85=1,'Input data'!$C$57*(H90-G90*H43/((1+H24/100)*(1+H42/100))),0))</f>
        <v>5.3232017089235285E-2</v>
      </c>
      <c r="I95" s="36">
        <f>IF(I90=0,0,IF(I85=1,'Input data'!$C$57*(I90-H90*I43/((1+I24/100)*(1+I42/100))),0))</f>
        <v>5.6969982158288211E-2</v>
      </c>
      <c r="J95" s="36">
        <f>IF(J90=0,0,IF(J85=1,'Input data'!$C$57*(J90-I90*J43/((1+J24/100)*(1+J42/100))),0))</f>
        <v>5.6964384695490804E-2</v>
      </c>
      <c r="K95" s="36">
        <f>IF(K90=0,0,IF(K85=1,'Input data'!$C$57*(K90-J90*K43/((1+K24/100)*(1+K42/100))),0))</f>
        <v>5.6930444889298035E-2</v>
      </c>
      <c r="L95" s="36">
        <f>IF(L90=0,0,IF(L85=1,'Input data'!$C$57*(L90-K90*L43/((1+L24/100)*(1+L42/100))),0))</f>
        <v>7.1742662212619754E-2</v>
      </c>
      <c r="M95" s="36">
        <f>IF(M90=0,0,IF(M85=1,'Input data'!$C$57*(M90-L90*M43/((1+M24/100)*(1+M42/100))),0))</f>
        <v>7.5734410023966275E-2</v>
      </c>
      <c r="N95" s="36">
        <f>IF(N90=0,0,IF(N85=1,'Input data'!$C$57*(N90-M90*N43/((1+N24/100)*(1+N42/100))),0))</f>
        <v>8.3227580070772925E-2</v>
      </c>
      <c r="O95" s="36">
        <f>IF(O90=0,0,IF(O85=1,'Input data'!$C$57*(O90-N90*O43/((1+O24/100)*(1+O42/100))),0))</f>
        <v>9.0584851128447427E-2</v>
      </c>
      <c r="P95" s="36">
        <f>IF(P90=0,0,IF(P85=1,'Input data'!$C$57*(P90-O90*P43/((1+P24/100)*(1+P42/100))),0))</f>
        <v>0.10171556076237782</v>
      </c>
      <c r="Q95" s="36">
        <f>IF(Q90=0,0,IF(Q85=1,'Input data'!$C$57*(Q90-P90*Q43/((1+Q24/100)*(1+Q42/100))),0))</f>
        <v>0.10519608690494195</v>
      </c>
      <c r="R95" s="36">
        <f>IF(R90=0,0,IF(R85=1,'Input data'!$C$57*(R90-Q90*R43/((1+R24/100)*(1+R42/100))),0))</f>
        <v>0.11229098959882562</v>
      </c>
      <c r="S95" s="36">
        <f>IF(S90=0,0,IF(S85=1,'Input data'!$C$57*(S90-R90*S43/((1+S24/100)*(1+S42/100))),0))</f>
        <v>0.12327854911163745</v>
      </c>
      <c r="T95" s="36">
        <f>IF(T90=0,0,IF(T85=1,'Input data'!$C$57*(T90-S90*T43/((1+T24/100)*(1+T42/100))),0))</f>
        <v>0.13055305004654039</v>
      </c>
      <c r="U95" s="36">
        <f>IF(U90=0,0,IF(U85=1,'Input data'!$C$57*(U90-T90*U43/((1+U24/100)*(1+U42/100))),0))</f>
        <v>0.13781505521440945</v>
      </c>
    </row>
    <row r="96" spans="2:21" x14ac:dyDescent="0.2">
      <c r="B96" s="16" t="s">
        <v>49</v>
      </c>
      <c r="C96" s="26">
        <f>'Baseline NFPC'!C93</f>
        <v>2.4920974481943903E-2</v>
      </c>
      <c r="D96" s="26">
        <f>'Baseline NFPC'!D93</f>
        <v>2.6010526275205347E-2</v>
      </c>
      <c r="E96" s="26">
        <f t="shared" ref="E96" si="42">IF(E90&lt;&gt;0,(E93+E95)/(E91+E92+E93+E94+E95),0)</f>
        <v>2.6858438896286304E-2</v>
      </c>
      <c r="F96" s="26">
        <f t="shared" ref="F96:U96" si="43">IF(F90&lt;&gt;0,(F93+F95)/(F91+F92+F93+F94+F95),0)</f>
        <v>2.7375333175487071E-2</v>
      </c>
      <c r="G96" s="26">
        <f t="shared" si="43"/>
        <v>2.779846037736183E-2</v>
      </c>
      <c r="H96" s="26">
        <f t="shared" si="43"/>
        <v>2.8129169026335492E-2</v>
      </c>
      <c r="I96" s="26">
        <f t="shared" si="43"/>
        <v>2.8475611753786899E-2</v>
      </c>
      <c r="J96" s="26">
        <f t="shared" si="43"/>
        <v>2.8813525127523675E-2</v>
      </c>
      <c r="K96" s="26">
        <f t="shared" si="43"/>
        <v>2.914254312804921E-2</v>
      </c>
      <c r="L96" s="26">
        <f t="shared" si="43"/>
        <v>2.9541734501321196E-2</v>
      </c>
      <c r="M96" s="26">
        <f t="shared" si="43"/>
        <v>2.9942612690493878E-2</v>
      </c>
      <c r="N96" s="26">
        <f t="shared" si="43"/>
        <v>3.0359694438261888E-2</v>
      </c>
      <c r="O96" s="26">
        <f t="shared" si="43"/>
        <v>3.0786747061721603E-2</v>
      </c>
      <c r="P96" s="26">
        <f t="shared" si="43"/>
        <v>3.1234325312412929E-2</v>
      </c>
      <c r="Q96" s="26">
        <f t="shared" si="43"/>
        <v>3.1663780606457609E-2</v>
      </c>
      <c r="R96" s="26">
        <f t="shared" si="43"/>
        <v>3.208787367338576E-2</v>
      </c>
      <c r="S96" s="26">
        <f>IF(S90&lt;&gt;0,(S93+S95)/(S91+S92+S93+S94+S95),0)</f>
        <v>3.2515555686230421E-2</v>
      </c>
      <c r="T96" s="26">
        <f t="shared" si="43"/>
        <v>3.2928930158171089E-2</v>
      </c>
      <c r="U96" s="24">
        <f t="shared" si="43"/>
        <v>3.3325714899323386E-2</v>
      </c>
    </row>
    <row r="97" spans="2:23" x14ac:dyDescent="0.2">
      <c r="B97" s="25" t="s">
        <v>50</v>
      </c>
      <c r="C97" s="87">
        <f>'Baseline NFPC'!C94</f>
        <v>0.97507902551805614</v>
      </c>
      <c r="D97" s="87">
        <f>'Baseline NFPC'!D94</f>
        <v>0.97398947372479472</v>
      </c>
      <c r="E97" s="87">
        <f t="shared" ref="E97" si="44">IF(E90&lt;&gt;0,(E91+E92+E94)/(E91+E92+E93+E94+E95),1)</f>
        <v>0.97314156110371375</v>
      </c>
      <c r="F97" s="87">
        <f t="shared" ref="F97:U97" si="45">IF(F90&lt;&gt;0,(F91+F92+F94)/(F91+F92+F93+F94+F95),1)</f>
        <v>0.97262466682451287</v>
      </c>
      <c r="G97" s="87">
        <f t="shared" si="45"/>
        <v>0.97220153962263822</v>
      </c>
      <c r="H97" s="87">
        <f t="shared" si="45"/>
        <v>0.97187083097366456</v>
      </c>
      <c r="I97" s="87">
        <f t="shared" si="45"/>
        <v>0.97152438824621312</v>
      </c>
      <c r="J97" s="87">
        <f t="shared" si="45"/>
        <v>0.97118647487247645</v>
      </c>
      <c r="K97" s="87">
        <f t="shared" si="45"/>
        <v>0.97085745687195091</v>
      </c>
      <c r="L97" s="87">
        <f t="shared" si="45"/>
        <v>0.97045826549867875</v>
      </c>
      <c r="M97" s="87">
        <f t="shared" si="45"/>
        <v>0.97005738730950597</v>
      </c>
      <c r="N97" s="87">
        <f t="shared" si="45"/>
        <v>0.96964030556173797</v>
      </c>
      <c r="O97" s="87">
        <f t="shared" si="45"/>
        <v>0.96921325293827842</v>
      </c>
      <c r="P97" s="87">
        <f t="shared" si="45"/>
        <v>0.96876567468758712</v>
      </c>
      <c r="Q97" s="87">
        <f t="shared" si="45"/>
        <v>0.96833621939354253</v>
      </c>
      <c r="R97" s="87">
        <f t="shared" si="45"/>
        <v>0.96791212632661427</v>
      </c>
      <c r="S97" s="87">
        <f t="shared" si="45"/>
        <v>0.96748444431376945</v>
      </c>
      <c r="T97" s="87">
        <f t="shared" si="45"/>
        <v>0.96707106984182889</v>
      </c>
      <c r="U97" s="36">
        <f t="shared" si="45"/>
        <v>0.96667428510067654</v>
      </c>
      <c r="V97" s="49"/>
      <c r="W97" s="49"/>
    </row>
    <row r="98" spans="2:23" x14ac:dyDescent="0.2">
      <c r="C98" s="28"/>
      <c r="D98" s="28"/>
      <c r="E98" s="28"/>
      <c r="F98" s="28"/>
      <c r="G98" s="28"/>
      <c r="H98" s="28"/>
      <c r="I98" s="28"/>
      <c r="J98" s="28"/>
      <c r="K98" s="28"/>
      <c r="L98" s="28"/>
      <c r="M98" s="28"/>
      <c r="N98" s="28"/>
      <c r="O98" s="28"/>
      <c r="P98" s="28"/>
      <c r="Q98" s="28"/>
      <c r="R98" s="28"/>
      <c r="S98" s="28"/>
      <c r="T98" s="28"/>
      <c r="U98" s="28"/>
      <c r="V98" s="49"/>
      <c r="W98" s="49"/>
    </row>
    <row r="99" spans="2:23" x14ac:dyDescent="0.2">
      <c r="B99" s="91" t="s">
        <v>99</v>
      </c>
      <c r="C99" s="92">
        <f>'Baseline NFPC'!C96</f>
        <v>3.1969609999999999</v>
      </c>
      <c r="D99" s="92">
        <f>'Baseline NFPC'!D96</f>
        <v>3.078103</v>
      </c>
      <c r="E99" s="92">
        <f>E101+E102</f>
        <v>2.9998349999999996</v>
      </c>
      <c r="F99" s="92">
        <f>F101+F102</f>
        <v>3.2612234963345017</v>
      </c>
      <c r="G99" s="92">
        <f t="shared" ref="G99:U99" si="46">G101+G102</f>
        <v>3.4661519633917419</v>
      </c>
      <c r="H99" s="92">
        <f t="shared" si="46"/>
        <v>3.6527919364235872</v>
      </c>
      <c r="I99" s="92">
        <f t="shared" si="46"/>
        <v>3.8227404164057077</v>
      </c>
      <c r="J99" s="92">
        <f t="shared" si="46"/>
        <v>3.9924506315885533</v>
      </c>
      <c r="K99" s="92">
        <f t="shared" si="46"/>
        <v>4.1585065106652124</v>
      </c>
      <c r="L99" s="92">
        <f t="shared" si="46"/>
        <v>4.3211097800205742</v>
      </c>
      <c r="M99" s="92">
        <f t="shared" si="46"/>
        <v>4.491641677287797</v>
      </c>
      <c r="N99" s="92">
        <f t="shared" si="46"/>
        <v>4.631941317789745</v>
      </c>
      <c r="O99" s="92">
        <f t="shared" si="46"/>
        <v>4.7485430065068339</v>
      </c>
      <c r="P99" s="92">
        <f t="shared" si="46"/>
        <v>4.8425187478570608</v>
      </c>
      <c r="Q99" s="92">
        <f t="shared" si="46"/>
        <v>4.9163067262605171</v>
      </c>
      <c r="R99" s="92">
        <f t="shared" si="46"/>
        <v>4.9690506896741908</v>
      </c>
      <c r="S99" s="92">
        <f t="shared" si="46"/>
        <v>5.0036379295157527</v>
      </c>
      <c r="T99" s="92">
        <f t="shared" si="46"/>
        <v>5.0219997197073161</v>
      </c>
      <c r="U99" s="92">
        <f t="shared" si="46"/>
        <v>5.025283034969183</v>
      </c>
      <c r="V99" s="49"/>
      <c r="W99" s="49"/>
    </row>
    <row r="100" spans="2:23" x14ac:dyDescent="0.2">
      <c r="B100" s="23" t="s">
        <v>100</v>
      </c>
      <c r="C100" s="24"/>
      <c r="D100" s="24"/>
      <c r="E100" s="24">
        <f>IF(D$10&lt;'Input data'!$C$4+2,((E36*D90)-(E38*(D93+D95)))/(D91+D92+D94),
IF(D$10&gt;'Input data'!$C$4+2,IF(D90&gt;0,(D100*D91+E37*(D94+D92))/(D91+D92+D94),E37),
IF(D90&gt;0,(D100*D91+
('Baseline NFPC'!E97*('Baseline NFPC'!D88+'Baseline NFPC'!D89+'Baseline NFPC'!D91)-'Baseline NFPC'!D97*'Baseline NFPC'!D88)/('Baseline NFPC'!D89+'Baseline NFPC'!D91)
*(D94+D92))/(D91+D92+D94),E37)))</f>
        <v>2.9659900792618181</v>
      </c>
      <c r="F100" s="24">
        <f>IF(E$10&lt;'Input data'!$C$4+2,((F36*E90)-(F38*(E93+E95)))/(E91+E92+E94),
IF(E$10&gt;'Input data'!$C$4+2,IF(E90&gt;0,(E100*E91+F37*(E94+E92))/(E91+E92+E94),F37),
IF(E90&gt;0,(E100*E91+
('Baseline NFPC'!F97*('Baseline NFPC'!E88+'Baseline NFPC'!E89+'Baseline NFPC'!E91)-'Baseline NFPC'!E97*'Baseline NFPC'!E88)/('Baseline NFPC'!E89+'Baseline NFPC'!E91)
*(E94+E92))/(E91+E92+E94),F37)))</f>
        <v>3.2330321061834582</v>
      </c>
      <c r="G100" s="24">
        <f>IF(F$10&lt;'Input data'!$C$4+2,((G36*F90)-(G38*(F93+F95)))/(F91+F92+F94),
IF(F$10&gt;'Input data'!$C$4+2,IF(F90&gt;0,(F100*F91+G37*(F94+F92))/(F91+F92+F94),G37),
IF(F90&gt;0,(F100*F91+
('Baseline NFPC'!G97*('Baseline NFPC'!F88+'Baseline NFPC'!F89+'Baseline NFPC'!F91)-'Baseline NFPC'!F97*'Baseline NFPC'!F88)/('Baseline NFPC'!F89+'Baseline NFPC'!F91)
*(F94+F92))/(F91+F92+F94),G37)))</f>
        <v>3.4427352259233226</v>
      </c>
      <c r="H100" s="24">
        <f t="shared" ref="H100:U100" si="47">IF(G90&gt;0,(G100*G91+H37*(G94+G92))/(G91+G92+G94),H37)</f>
        <v>3.6338972284872693</v>
      </c>
      <c r="I100" s="24">
        <f t="shared" si="47"/>
        <v>3.8080855424753177</v>
      </c>
      <c r="J100" s="24">
        <f t="shared" si="47"/>
        <v>3.982130797153955</v>
      </c>
      <c r="K100" s="24">
        <f t="shared" si="47"/>
        <v>4.1525282220390496</v>
      </c>
      <c r="L100" s="24">
        <f t="shared" si="47"/>
        <v>4.3194777277432443</v>
      </c>
      <c r="M100" s="24">
        <f t="shared" si="47"/>
        <v>4.4947068341344956</v>
      </c>
      <c r="N100" s="24">
        <f t="shared" si="47"/>
        <v>4.6430700142176011</v>
      </c>
      <c r="O100" s="24">
        <f t="shared" si="47"/>
        <v>4.7672254658153177</v>
      </c>
      <c r="P100" s="24">
        <f t="shared" si="47"/>
        <v>4.8682548473983305</v>
      </c>
      <c r="Q100" s="24">
        <f t="shared" si="47"/>
        <v>4.9486624400654433</v>
      </c>
      <c r="R100" s="24">
        <f t="shared" si="47"/>
        <v>5.0074996103288933</v>
      </c>
      <c r="S100" s="24">
        <f t="shared" si="47"/>
        <v>5.0477287123363856</v>
      </c>
      <c r="T100" s="24">
        <f t="shared" si="47"/>
        <v>5.0713328188969102</v>
      </c>
      <c r="U100" s="24">
        <f t="shared" si="47"/>
        <v>5.0794470773686307</v>
      </c>
      <c r="V100" s="49"/>
      <c r="W100" s="49"/>
    </row>
    <row r="101" spans="2:23" x14ac:dyDescent="0.2">
      <c r="B101" s="16" t="s">
        <v>101</v>
      </c>
      <c r="C101" s="336"/>
      <c r="D101" s="336"/>
      <c r="E101" s="336">
        <f t="shared" ref="E101:U101" si="48">(E100*(D91+D92+D94)+E38*(D93+D95))/D90</f>
        <v>2.9998349999999996</v>
      </c>
      <c r="F101" s="336">
        <f t="shared" si="48"/>
        <v>3.2612234963345017</v>
      </c>
      <c r="G101" s="336">
        <f t="shared" si="48"/>
        <v>3.4661519633917419</v>
      </c>
      <c r="H101" s="336">
        <f t="shared" si="48"/>
        <v>3.6527919364235872</v>
      </c>
      <c r="I101" s="336">
        <f t="shared" si="48"/>
        <v>3.8227404164057077</v>
      </c>
      <c r="J101" s="336">
        <f t="shared" si="48"/>
        <v>3.9924506315885533</v>
      </c>
      <c r="K101" s="336">
        <f t="shared" si="48"/>
        <v>4.1585065106652124</v>
      </c>
      <c r="L101" s="336">
        <f t="shared" si="48"/>
        <v>4.3211097800205742</v>
      </c>
      <c r="M101" s="336">
        <f t="shared" si="48"/>
        <v>4.491641677287797</v>
      </c>
      <c r="N101" s="336">
        <f t="shared" si="48"/>
        <v>4.631941317789745</v>
      </c>
      <c r="O101" s="336">
        <f t="shared" si="48"/>
        <v>4.7485430065068339</v>
      </c>
      <c r="P101" s="336">
        <f t="shared" si="48"/>
        <v>4.8425187478570608</v>
      </c>
      <c r="Q101" s="336">
        <f t="shared" si="48"/>
        <v>4.9163067262605171</v>
      </c>
      <c r="R101" s="336">
        <f t="shared" si="48"/>
        <v>4.9690506896741908</v>
      </c>
      <c r="S101" s="336">
        <f t="shared" si="48"/>
        <v>5.0036379295157527</v>
      </c>
      <c r="T101" s="336">
        <f t="shared" si="48"/>
        <v>5.0219997197073161</v>
      </c>
      <c r="U101" s="336">
        <f t="shared" si="48"/>
        <v>5.025283034969183</v>
      </c>
      <c r="V101" s="49"/>
      <c r="W101" s="49"/>
    </row>
    <row r="102" spans="2:23" x14ac:dyDescent="0.2">
      <c r="B102" s="25" t="s">
        <v>102</v>
      </c>
      <c r="C102" s="36"/>
      <c r="D102" s="36"/>
      <c r="E102" s="36">
        <f>'Adjust. no safeguard'!E104</f>
        <v>0</v>
      </c>
      <c r="F102" s="36">
        <f>'Adjust. no safeguard'!F104</f>
        <v>0</v>
      </c>
      <c r="G102" s="36">
        <f>'Adjust. no safeguard'!G104</f>
        <v>0</v>
      </c>
      <c r="H102" s="36">
        <f>'Adjust. no safeguard'!H104</f>
        <v>0</v>
      </c>
      <c r="I102" s="36">
        <f>'Adjust. no safeguard'!I104</f>
        <v>0</v>
      </c>
      <c r="J102" s="36">
        <f>'Adjust. no safeguard'!J104</f>
        <v>0</v>
      </c>
      <c r="K102" s="36">
        <f>'Adjust. no safeguard'!K104</f>
        <v>0</v>
      </c>
      <c r="L102" s="36">
        <f>'Adjust. no safeguard'!L104</f>
        <v>0</v>
      </c>
      <c r="M102" s="36">
        <f>'Adjust. no safeguard'!M104</f>
        <v>0</v>
      </c>
      <c r="N102" s="36">
        <f>'Adjust. no safeguard'!N104</f>
        <v>0</v>
      </c>
      <c r="O102" s="36">
        <f>'Adjust. no safeguard'!O104</f>
        <v>0</v>
      </c>
      <c r="P102" s="36">
        <f>'Adjust. no safeguard'!P104</f>
        <v>0</v>
      </c>
      <c r="Q102" s="36">
        <f>'Adjust. no safeguard'!Q104</f>
        <v>0</v>
      </c>
      <c r="R102" s="36">
        <f>'Adjust. no safeguard'!R104</f>
        <v>0</v>
      </c>
      <c r="S102" s="36">
        <f>'Adjust. no safeguard'!S104</f>
        <v>0</v>
      </c>
      <c r="T102" s="36">
        <f>'Adjust. no safeguard'!T104</f>
        <v>0</v>
      </c>
      <c r="U102" s="36">
        <f>'Adjust. no safeguard'!U104</f>
        <v>0</v>
      </c>
      <c r="V102" s="49"/>
      <c r="W102" s="49"/>
    </row>
    <row r="103" spans="2:23" x14ac:dyDescent="0.2">
      <c r="C103" s="28"/>
      <c r="D103" s="28"/>
      <c r="E103" s="24"/>
      <c r="F103" s="24"/>
      <c r="G103" s="24"/>
      <c r="H103" s="24"/>
      <c r="I103" s="24"/>
      <c r="J103" s="24"/>
      <c r="K103" s="24"/>
      <c r="L103" s="24"/>
      <c r="M103" s="24"/>
      <c r="N103" s="24"/>
      <c r="O103" s="24"/>
      <c r="P103" s="24"/>
      <c r="Q103" s="24"/>
      <c r="R103" s="24"/>
      <c r="S103" s="24"/>
      <c r="T103" s="24"/>
      <c r="U103" s="24"/>
      <c r="V103" s="49"/>
      <c r="W103" s="49"/>
    </row>
    <row r="104" spans="2:23" x14ac:dyDescent="0.2">
      <c r="B104" s="91" t="s">
        <v>130</v>
      </c>
      <c r="C104" s="92">
        <f t="shared" ref="C104:U104" si="49">((1+C99/100)/((1+C24/100)*(1+C42/100))-1)*100</f>
        <v>-2.8128161195743684</v>
      </c>
      <c r="D104" s="92">
        <f t="shared" si="49"/>
        <v>-1.3622665769843056</v>
      </c>
      <c r="E104" s="92">
        <f t="shared" si="49"/>
        <v>-1.9069822061561825</v>
      </c>
      <c r="F104" s="92">
        <f t="shared" si="49"/>
        <v>-0.90247769570305225</v>
      </c>
      <c r="G104" s="92">
        <f t="shared" si="49"/>
        <v>-0.48733210424921625</v>
      </c>
      <c r="H104" s="92">
        <f t="shared" si="49"/>
        <v>-0.25689829447699264</v>
      </c>
      <c r="I104" s="92">
        <f t="shared" si="49"/>
        <v>-0.32951383397308298</v>
      </c>
      <c r="J104" s="92">
        <f t="shared" si="49"/>
        <v>-8.7644075994819381E-2</v>
      </c>
      <c r="K104" s="92">
        <f t="shared" si="49"/>
        <v>0.1533303799576835</v>
      </c>
      <c r="L104" s="92">
        <f t="shared" si="49"/>
        <v>0.6283241941594131</v>
      </c>
      <c r="M104" s="92">
        <f t="shared" si="49"/>
        <v>0.95076982812207778</v>
      </c>
      <c r="N104" s="92">
        <f t="shared" si="49"/>
        <v>0.98689685969117757</v>
      </c>
      <c r="O104" s="92">
        <f t="shared" si="49"/>
        <v>1.0001385308727073</v>
      </c>
      <c r="P104" s="92">
        <f t="shared" si="49"/>
        <v>0.99159982825240967</v>
      </c>
      <c r="Q104" s="92">
        <f t="shared" si="49"/>
        <v>1.0496116748208273</v>
      </c>
      <c r="R104" s="92">
        <f t="shared" si="49"/>
        <v>1.037594972883471</v>
      </c>
      <c r="S104" s="92">
        <f t="shared" si="49"/>
        <v>1.0876897494834559</v>
      </c>
      <c r="T104" s="92">
        <f t="shared" si="49"/>
        <v>1.1221862047346987</v>
      </c>
      <c r="U104" s="92">
        <f t="shared" si="49"/>
        <v>1.132214225003092</v>
      </c>
      <c r="V104" s="49"/>
      <c r="W104" s="49"/>
    </row>
    <row r="105" spans="2:23" x14ac:dyDescent="0.2">
      <c r="D105" s="24"/>
      <c r="E105" s="24"/>
      <c r="F105" s="24"/>
      <c r="G105" s="24"/>
      <c r="H105" s="24"/>
      <c r="I105" s="24"/>
      <c r="J105" s="24"/>
      <c r="K105" s="24"/>
      <c r="L105" s="24"/>
      <c r="M105" s="24"/>
      <c r="N105" s="24"/>
      <c r="O105" s="24"/>
      <c r="P105" s="24"/>
      <c r="Q105" s="24"/>
      <c r="R105" s="24"/>
      <c r="S105" s="24"/>
      <c r="T105" s="24"/>
      <c r="U105" s="24"/>
      <c r="V105" s="49"/>
      <c r="W105" s="49"/>
    </row>
    <row r="106" spans="2:23" x14ac:dyDescent="0.2">
      <c r="G106" s="176"/>
      <c r="H106" s="176"/>
      <c r="I106" s="176"/>
      <c r="J106" s="176"/>
      <c r="K106" s="176"/>
      <c r="L106" s="176"/>
      <c r="M106" s="176"/>
      <c r="N106" s="176"/>
      <c r="O106" s="176"/>
      <c r="P106" s="176"/>
      <c r="Q106" s="176"/>
      <c r="R106" s="176"/>
      <c r="S106" s="24"/>
      <c r="T106" s="24"/>
      <c r="U106" s="24"/>
      <c r="V106" s="49"/>
      <c r="W106" s="49"/>
    </row>
    <row r="107" spans="2:23" x14ac:dyDescent="0.2">
      <c r="B107" s="346"/>
      <c r="C107" s="346"/>
      <c r="D107" s="347"/>
      <c r="E107" s="347"/>
      <c r="F107" s="347"/>
      <c r="G107" s="346"/>
      <c r="H107" s="346"/>
      <c r="R107" s="49"/>
      <c r="S107" s="49"/>
      <c r="T107" s="49"/>
      <c r="U107" s="49"/>
      <c r="V107" s="49"/>
      <c r="W107" s="49"/>
    </row>
    <row r="108" spans="2:23" x14ac:dyDescent="0.2">
      <c r="R108" s="49"/>
      <c r="S108" s="93"/>
      <c r="T108" s="93"/>
      <c r="U108" s="93"/>
      <c r="V108" s="93"/>
      <c r="W108" s="49"/>
    </row>
    <row r="109" spans="2:23" x14ac:dyDescent="0.2">
      <c r="F109" s="98"/>
      <c r="G109" s="98"/>
      <c r="H109" s="98"/>
      <c r="I109" s="98"/>
      <c r="J109" s="98"/>
      <c r="K109" s="98"/>
      <c r="L109" s="98"/>
      <c r="M109" s="98"/>
      <c r="N109" s="98"/>
      <c r="O109" s="98"/>
      <c r="P109" s="98"/>
      <c r="Q109" s="98"/>
      <c r="R109" s="98"/>
      <c r="S109" s="98"/>
      <c r="T109" s="98"/>
      <c r="U109" s="98"/>
    </row>
    <row r="110" spans="2:23" x14ac:dyDescent="0.2">
      <c r="C110" s="24"/>
      <c r="D110" s="24"/>
      <c r="E110" s="98"/>
      <c r="F110" s="98"/>
      <c r="G110" s="98"/>
      <c r="H110" s="98"/>
      <c r="I110" s="98"/>
      <c r="J110" s="98"/>
      <c r="K110" s="98"/>
      <c r="L110" s="98"/>
      <c r="M110" s="98"/>
      <c r="N110" s="98"/>
      <c r="O110" s="98"/>
      <c r="P110" s="98"/>
      <c r="Q110" s="98"/>
      <c r="R110" s="98"/>
      <c r="S110" s="98"/>
      <c r="T110" s="98"/>
      <c r="U110" s="98"/>
    </row>
    <row r="111" spans="2:23" x14ac:dyDescent="0.2">
      <c r="E111" s="24"/>
      <c r="F111" s="24"/>
      <c r="G111" s="98"/>
      <c r="H111" s="98"/>
      <c r="I111" s="98"/>
      <c r="J111" s="98"/>
      <c r="K111" s="98"/>
      <c r="L111" s="98"/>
      <c r="M111" s="98"/>
      <c r="N111" s="98"/>
      <c r="O111" s="98"/>
      <c r="P111" s="98"/>
      <c r="Q111" s="98"/>
      <c r="R111" s="98"/>
      <c r="S111" s="98"/>
      <c r="T111" s="98"/>
      <c r="U111" s="98"/>
      <c r="V111" s="98"/>
      <c r="W111" s="98"/>
    </row>
    <row r="114" spans="5:24" x14ac:dyDescent="0.2">
      <c r="E114" s="24"/>
      <c r="F114" s="24"/>
      <c r="G114" s="98"/>
      <c r="H114" s="98"/>
      <c r="I114" s="98"/>
      <c r="J114" s="98"/>
      <c r="K114" s="98"/>
      <c r="L114" s="98"/>
      <c r="M114" s="98"/>
      <c r="N114" s="98"/>
      <c r="O114" s="98"/>
      <c r="P114" s="98"/>
      <c r="Q114" s="98"/>
      <c r="R114" s="98"/>
      <c r="S114" s="98"/>
      <c r="T114" s="98"/>
      <c r="U114" s="98"/>
      <c r="V114" s="98"/>
      <c r="W114" s="98"/>
    </row>
    <row r="115" spans="5:24" x14ac:dyDescent="0.2">
      <c r="E115" s="24"/>
      <c r="F115" s="24"/>
      <c r="G115" s="98"/>
      <c r="H115" s="98"/>
      <c r="I115" s="98"/>
      <c r="J115" s="98"/>
      <c r="K115" s="98"/>
      <c r="L115" s="98"/>
      <c r="M115" s="98"/>
      <c r="N115" s="98"/>
      <c r="O115" s="98"/>
      <c r="P115" s="98"/>
      <c r="Q115" s="98"/>
      <c r="R115" s="98"/>
      <c r="S115" s="98"/>
      <c r="T115" s="98"/>
      <c r="U115" s="98"/>
      <c r="V115" s="98"/>
      <c r="W115" s="98"/>
      <c r="X115" s="40"/>
    </row>
    <row r="116" spans="5:24" x14ac:dyDescent="0.2">
      <c r="G116" s="40"/>
      <c r="H116" s="40"/>
      <c r="I116" s="40"/>
      <c r="J116" s="40"/>
      <c r="K116" s="40"/>
      <c r="L116" s="40"/>
      <c r="M116" s="40"/>
      <c r="N116" s="40"/>
      <c r="O116" s="40"/>
      <c r="P116" s="40"/>
      <c r="Q116" s="40"/>
      <c r="R116" s="40"/>
      <c r="S116" s="40"/>
      <c r="T116" s="40"/>
      <c r="U116" s="40"/>
      <c r="V116" s="40"/>
      <c r="W116" s="40"/>
      <c r="X116" s="40"/>
    </row>
    <row r="117" spans="5:24" x14ac:dyDescent="0.2">
      <c r="E117" s="24"/>
      <c r="F117" s="24"/>
      <c r="G117" s="98"/>
      <c r="H117" s="98"/>
      <c r="I117" s="98"/>
      <c r="J117" s="98"/>
      <c r="K117" s="98"/>
      <c r="L117" s="98"/>
      <c r="M117" s="98"/>
      <c r="N117" s="98"/>
      <c r="O117" s="98"/>
      <c r="P117" s="98"/>
      <c r="Q117" s="98"/>
      <c r="R117" s="98"/>
      <c r="S117" s="98"/>
      <c r="T117" s="98"/>
      <c r="U117" s="98"/>
      <c r="V117" s="98"/>
      <c r="W117" s="98"/>
      <c r="X117" s="40"/>
    </row>
    <row r="118" spans="5:24" x14ac:dyDescent="0.2">
      <c r="E118" s="24"/>
      <c r="F118" s="24"/>
      <c r="G118" s="98"/>
      <c r="H118" s="98"/>
      <c r="I118" s="98"/>
      <c r="J118" s="98"/>
      <c r="K118" s="98"/>
      <c r="L118" s="98"/>
      <c r="M118" s="98"/>
      <c r="N118" s="98"/>
      <c r="O118" s="98"/>
      <c r="P118" s="98"/>
      <c r="Q118" s="98"/>
      <c r="R118" s="98"/>
      <c r="S118" s="98"/>
      <c r="T118" s="98"/>
      <c r="U118" s="98"/>
      <c r="V118" s="98"/>
      <c r="W118" s="98"/>
      <c r="X118" s="40"/>
    </row>
    <row r="119" spans="5:24" x14ac:dyDescent="0.2">
      <c r="G119" s="40"/>
      <c r="H119" s="40"/>
      <c r="I119" s="40"/>
      <c r="J119" s="40"/>
      <c r="K119" s="40"/>
      <c r="L119" s="40"/>
      <c r="M119" s="40"/>
      <c r="N119" s="40"/>
      <c r="O119" s="40"/>
      <c r="P119" s="40"/>
      <c r="Q119" s="40"/>
      <c r="R119" s="40"/>
      <c r="S119" s="40"/>
      <c r="T119" s="40"/>
      <c r="U119" s="40"/>
      <c r="V119" s="40"/>
      <c r="W119" s="40"/>
      <c r="X119" s="40"/>
    </row>
    <row r="120" spans="5:24" x14ac:dyDescent="0.2">
      <c r="E120" s="24"/>
      <c r="F120" s="24"/>
      <c r="G120" s="98"/>
      <c r="H120" s="98"/>
      <c r="I120" s="98"/>
      <c r="J120" s="98"/>
      <c r="K120" s="98"/>
      <c r="L120" s="98"/>
      <c r="M120" s="98"/>
      <c r="N120" s="98"/>
      <c r="O120" s="98"/>
      <c r="P120" s="98"/>
      <c r="Q120" s="98"/>
      <c r="R120" s="98"/>
      <c r="S120" s="98"/>
      <c r="T120" s="98"/>
      <c r="U120" s="98"/>
      <c r="V120" s="98"/>
      <c r="W120" s="98"/>
      <c r="X120" s="98"/>
    </row>
    <row r="121" spans="5:24" x14ac:dyDescent="0.2">
      <c r="E121" s="24"/>
      <c r="F121" s="24"/>
      <c r="G121" s="98"/>
      <c r="H121" s="98"/>
      <c r="I121" s="98"/>
      <c r="J121" s="98"/>
      <c r="K121" s="98"/>
      <c r="L121" s="98"/>
      <c r="M121" s="98"/>
      <c r="N121" s="98"/>
      <c r="O121" s="98"/>
      <c r="P121" s="98"/>
      <c r="Q121" s="98"/>
      <c r="R121" s="98"/>
      <c r="S121" s="98"/>
      <c r="T121" s="98"/>
      <c r="U121" s="98"/>
      <c r="V121" s="98"/>
      <c r="W121" s="98"/>
      <c r="X121" s="98"/>
    </row>
    <row r="122" spans="5:24" x14ac:dyDescent="0.2">
      <c r="G122" s="98"/>
      <c r="H122" s="98"/>
      <c r="I122" s="98"/>
      <c r="J122" s="98"/>
      <c r="K122" s="98"/>
      <c r="L122" s="98"/>
      <c r="M122" s="98"/>
      <c r="N122" s="98"/>
      <c r="O122" s="98"/>
      <c r="P122" s="98"/>
      <c r="Q122" s="98"/>
      <c r="R122" s="98"/>
      <c r="S122" s="98"/>
      <c r="T122" s="98"/>
      <c r="U122" s="98"/>
      <c r="V122" s="98"/>
      <c r="W122" s="98"/>
      <c r="X122" s="98"/>
    </row>
    <row r="123" spans="5:24" x14ac:dyDescent="0.2">
      <c r="E123" s="24"/>
      <c r="F123" s="24"/>
      <c r="G123" s="98"/>
      <c r="H123" s="98"/>
      <c r="I123" s="98"/>
      <c r="J123" s="98"/>
      <c r="K123" s="98"/>
      <c r="L123" s="98"/>
      <c r="M123" s="98"/>
      <c r="N123" s="98"/>
      <c r="O123" s="98"/>
      <c r="P123" s="98"/>
      <c r="Q123" s="98"/>
      <c r="R123" s="98"/>
      <c r="S123" s="98"/>
      <c r="T123" s="98"/>
      <c r="U123" s="98"/>
      <c r="V123" s="98"/>
      <c r="W123" s="98"/>
      <c r="X123" s="98"/>
    </row>
    <row r="124" spans="5:24" x14ac:dyDescent="0.2">
      <c r="E124" s="24"/>
      <c r="F124" s="24"/>
      <c r="G124" s="98"/>
      <c r="H124" s="98"/>
      <c r="I124" s="98"/>
      <c r="J124" s="98"/>
      <c r="K124" s="98"/>
      <c r="L124" s="98"/>
      <c r="M124" s="98"/>
      <c r="N124" s="98"/>
      <c r="O124" s="98"/>
      <c r="P124" s="98"/>
      <c r="Q124" s="98"/>
      <c r="R124" s="98"/>
      <c r="S124" s="98"/>
      <c r="T124" s="98"/>
      <c r="U124" s="98"/>
      <c r="V124" s="98"/>
      <c r="W124" s="98"/>
      <c r="X124" s="98"/>
    </row>
    <row r="125" spans="5:24" x14ac:dyDescent="0.2">
      <c r="G125" s="98"/>
      <c r="H125" s="98"/>
      <c r="I125" s="98"/>
      <c r="J125" s="98"/>
      <c r="K125" s="98"/>
      <c r="L125" s="98"/>
      <c r="M125" s="98"/>
      <c r="N125" s="98"/>
      <c r="O125" s="98"/>
      <c r="P125" s="98"/>
      <c r="Q125" s="98"/>
      <c r="R125" s="98"/>
      <c r="S125" s="98"/>
      <c r="T125" s="98"/>
      <c r="U125" s="98"/>
      <c r="V125" s="98"/>
      <c r="W125" s="98"/>
      <c r="X125" s="98"/>
    </row>
    <row r="126" spans="5:24" x14ac:dyDescent="0.2">
      <c r="G126" s="98"/>
      <c r="H126" s="98"/>
      <c r="I126" s="98"/>
      <c r="J126" s="98"/>
      <c r="K126" s="98"/>
      <c r="L126" s="98"/>
      <c r="M126" s="98"/>
      <c r="N126" s="98"/>
      <c r="O126" s="98"/>
      <c r="P126" s="98"/>
      <c r="Q126" s="98"/>
      <c r="R126" s="98"/>
      <c r="S126" s="98"/>
      <c r="T126" s="98"/>
      <c r="U126" s="98"/>
      <c r="V126" s="98"/>
      <c r="W126" s="98"/>
      <c r="X126" s="98"/>
    </row>
  </sheetData>
  <conditionalFormatting sqref="E12:K12">
    <cfRule type="expression" dxfId="16" priority="8">
      <formula>AND(E10&gt;$C$5,E10&lt;=$C$6)</formula>
    </cfRule>
  </conditionalFormatting>
  <conditionalFormatting sqref="S10:U44 S50:U53 S55:U82 S84:U110">
    <cfRule type="expression" dxfId="14" priority="5">
      <formula>S$10&gt;$C$7</formula>
    </cfRule>
  </conditionalFormatting>
  <conditionalFormatting sqref="U46:W49 U111:W121">
    <cfRule type="expression" dxfId="13" priority="128">
      <formula>S$10&gt;$C$7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2" id="{40D4FE1C-2231-4B54-A844-68AF27CC731C}">
            <xm:f>C$10=_xlfn.NUMBERVALUE(RIGHT('Input data'!$B$66,4))</xm:f>
            <x14:dxf>
              <fill>
                <patternFill>
                  <bgColor theme="9" tint="0.79998168889431442"/>
                </patternFill>
              </fill>
            </x14:dxf>
          </x14:cfRule>
          <xm:sqref>C91:D95</xm:sqref>
        </x14:conditionalFormatting>
        <x14:conditionalFormatting xmlns:xm="http://schemas.microsoft.com/office/excel/2006/main">
          <x14:cfRule type="expression" priority="4" id="{A64330FC-3C72-49C2-BCDF-EAFEF65D2DC4}">
            <xm:f>E$10&gt;'Input data'!$C$4+2</xm:f>
            <x14:dxf>
              <fill>
                <patternFill>
                  <bgColor theme="0"/>
                </patternFill>
              </fill>
            </x14:dxf>
          </x14:cfRule>
          <xm:sqref>E27:G27 E37:G42</xm:sqref>
        </x14:conditionalFormatting>
        <x14:conditionalFormatting xmlns:xm="http://schemas.microsoft.com/office/excel/2006/main">
          <x14:cfRule type="expression" priority="1" id="{D0DA290A-6CD7-4014-8AED-6F6A9957E12A}">
            <xm:f>E$10&lt;='Input data'!$C$4+2</xm:f>
            <x14:dxf>
              <fill>
                <patternFill>
                  <bgColor theme="0" tint="-0.14996795556505021"/>
                </patternFill>
              </fill>
            </x14:dxf>
          </x14:cfRule>
          <xm:sqref>E100:G100</xm:sqref>
        </x14:conditionalFormatting>
        <x14:conditionalFormatting xmlns:xm="http://schemas.microsoft.com/office/excel/2006/main">
          <x14:cfRule type="expression" priority="3" id="{72E02F28-3CA8-42D3-AC63-B26D6B491234}">
            <xm:f>H$10='Input data'!$C$4+10</xm:f>
            <x14:dxf>
              <fill>
                <patternFill>
                  <bgColor theme="9" tint="0.39994506668294322"/>
                </patternFill>
              </fill>
            </x14:dxf>
          </x14:cfRule>
          <xm:sqref>H37:R38 H42:R42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election activeCell="K12" sqref="K12"/>
    </sheetView>
  </sheetViews>
  <sheetFormatPr defaultColWidth="9.28515625" defaultRowHeight="11.25" outlineLevelRow="1" x14ac:dyDescent="0.2"/>
  <cols>
    <col min="1" max="1" width="9.28515625" style="16" customWidth="1"/>
    <col min="2" max="2" width="57.42578125" style="16" customWidth="1"/>
    <col min="3" max="38" width="9.28515625" style="16" customWidth="1"/>
    <col min="39" max="48" width="11.42578125" style="16" bestFit="1" customWidth="1"/>
    <col min="49" max="16384" width="9.28515625" style="16"/>
  </cols>
  <sheetData>
    <row r="1" spans="1:49" ht="24.75" customHeight="1" x14ac:dyDescent="0.2">
      <c r="B1" s="29"/>
    </row>
    <row r="2" spans="1:49" ht="11.25" customHeight="1" x14ac:dyDescent="0.2">
      <c r="B2" s="17"/>
    </row>
    <row r="3" spans="1:49" ht="11.25" customHeight="1" x14ac:dyDescent="0.2">
      <c r="B3" s="9" t="s">
        <v>11</v>
      </c>
      <c r="C3" s="10" t="str">
        <f>'Input data'!C3</f>
        <v>CZ</v>
      </c>
    </row>
    <row r="4" spans="1:49" x14ac:dyDescent="0.2">
      <c r="B4" s="51" t="s">
        <v>16</v>
      </c>
      <c r="C4" s="11"/>
    </row>
    <row r="5" spans="1:49" x14ac:dyDescent="0.2">
      <c r="A5" s="19"/>
      <c r="B5" s="12" t="str">
        <f>'Input data'!B5</f>
        <v>Last year before the adjustment</v>
      </c>
      <c r="C5" s="13">
        <f>+'Input data'!C5</f>
        <v>2026</v>
      </c>
      <c r="J5" s="40"/>
      <c r="M5" s="28"/>
    </row>
    <row r="6" spans="1:49" x14ac:dyDescent="0.2">
      <c r="A6" s="19"/>
      <c r="B6" s="52" t="s">
        <v>22</v>
      </c>
      <c r="C6" s="13">
        <f>+C5+'Criteria results'!$F$5</f>
        <v>2030</v>
      </c>
      <c r="E6" s="31"/>
      <c r="F6" s="19"/>
    </row>
    <row r="7" spans="1:49" x14ac:dyDescent="0.2">
      <c r="A7" s="19"/>
      <c r="B7" s="14" t="s">
        <v>17</v>
      </c>
      <c r="C7" s="53">
        <f>C5+'Criteria results'!$F$5+10</f>
        <v>2040</v>
      </c>
      <c r="E7" s="31"/>
      <c r="F7" s="19"/>
      <c r="G7" s="40"/>
      <c r="H7" s="40"/>
      <c r="I7" s="40"/>
      <c r="J7" s="40"/>
      <c r="K7" s="40"/>
      <c r="L7" s="40"/>
      <c r="M7" s="40"/>
    </row>
    <row r="8" spans="1:49" x14ac:dyDescent="0.2">
      <c r="A8" s="19"/>
      <c r="C8" s="19"/>
      <c r="E8" s="31"/>
      <c r="F8" s="19"/>
      <c r="G8" s="19"/>
      <c r="H8" s="19"/>
      <c r="I8" s="19"/>
      <c r="J8" s="19"/>
      <c r="K8" s="19"/>
      <c r="L8" s="19"/>
      <c r="M8" s="19"/>
      <c r="N8" s="19"/>
      <c r="O8" s="19"/>
      <c r="P8" s="19"/>
      <c r="Q8" s="19"/>
      <c r="R8" s="19"/>
      <c r="S8" s="19"/>
      <c r="T8" s="19"/>
      <c r="U8" s="19"/>
      <c r="V8" s="19"/>
      <c r="W8" s="19"/>
    </row>
    <row r="9" spans="1:49" s="54" customFormat="1" ht="12.75" x14ac:dyDescent="0.2">
      <c r="B9" s="15" t="s">
        <v>23</v>
      </c>
    </row>
    <row r="10" spans="1:49" x14ac:dyDescent="0.2">
      <c r="C10" s="21">
        <f>'Input data'!$C$5-1</f>
        <v>2025</v>
      </c>
      <c r="D10" s="21">
        <f>C10+1</f>
        <v>2026</v>
      </c>
      <c r="E10" s="21">
        <f t="shared" ref="E10:U10" si="0">D10+1</f>
        <v>2027</v>
      </c>
      <c r="F10" s="21">
        <f t="shared" si="0"/>
        <v>2028</v>
      </c>
      <c r="G10" s="21">
        <f t="shared" si="0"/>
        <v>2029</v>
      </c>
      <c r="H10" s="21">
        <f t="shared" si="0"/>
        <v>2030</v>
      </c>
      <c r="I10" s="21">
        <f t="shared" si="0"/>
        <v>2031</v>
      </c>
      <c r="J10" s="21">
        <f t="shared" si="0"/>
        <v>2032</v>
      </c>
      <c r="K10" s="21">
        <f t="shared" si="0"/>
        <v>2033</v>
      </c>
      <c r="L10" s="21">
        <f t="shared" si="0"/>
        <v>2034</v>
      </c>
      <c r="M10" s="21">
        <f t="shared" si="0"/>
        <v>2035</v>
      </c>
      <c r="N10" s="21">
        <f t="shared" si="0"/>
        <v>2036</v>
      </c>
      <c r="O10" s="21">
        <f t="shared" si="0"/>
        <v>2037</v>
      </c>
      <c r="P10" s="21">
        <f t="shared" si="0"/>
        <v>2038</v>
      </c>
      <c r="Q10" s="21">
        <f t="shared" si="0"/>
        <v>2039</v>
      </c>
      <c r="R10" s="21">
        <f t="shared" si="0"/>
        <v>2040</v>
      </c>
      <c r="S10" s="21">
        <f t="shared" si="0"/>
        <v>2041</v>
      </c>
      <c r="T10" s="21">
        <f t="shared" si="0"/>
        <v>2042</v>
      </c>
      <c r="U10" s="21">
        <f t="shared" si="0"/>
        <v>2043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row>
    <row r="11" spans="1:49" x14ac:dyDescent="0.2">
      <c r="B11" s="18" t="s">
        <v>24</v>
      </c>
      <c r="C11" s="19"/>
      <c r="D11" s="180"/>
      <c r="E11" s="350"/>
      <c r="F11" s="350"/>
      <c r="G11" s="350"/>
      <c r="H11" s="350"/>
      <c r="I11" s="350"/>
      <c r="J11" s="350"/>
      <c r="K11" s="350"/>
      <c r="L11" s="180"/>
      <c r="M11" s="180"/>
      <c r="N11" s="180"/>
      <c r="O11" s="180"/>
      <c r="P11" s="180"/>
      <c r="Q11" s="180"/>
      <c r="R11" s="180"/>
      <c r="S11" s="180"/>
      <c r="T11" s="180"/>
      <c r="U11" s="180"/>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row>
    <row r="12" spans="1:49" x14ac:dyDescent="0.2">
      <c r="B12" s="16" t="s">
        <v>26</v>
      </c>
      <c r="C12" s="2">
        <f>'Input data'!C13</f>
        <v>-0.51101569999999996</v>
      </c>
      <c r="D12" s="2">
        <f>'Input data'!D13</f>
        <v>-1.332759</v>
      </c>
      <c r="E12" s="3">
        <f>IF(E10&lt;=$C$6,D12+'Criteria results'!$F$7,D12)</f>
        <v>-0.87275900000000006</v>
      </c>
      <c r="F12" s="3">
        <f>IF(F10&lt;=$C$6,E12+'Criteria results'!$F$7,E12)</f>
        <v>-0.4127590000000001</v>
      </c>
      <c r="G12" s="3">
        <f>IF(G10&lt;=$C$6,F12+'Criteria results'!$F$7,F12)</f>
        <v>4.7240999999999866E-2</v>
      </c>
      <c r="H12" s="3">
        <f>IF(H10&lt;=$C$6,G12+'Criteria results'!$F$7,G12)</f>
        <v>0.50724099999999983</v>
      </c>
      <c r="I12" s="96">
        <f>IF(I10&lt;=$C$6,H12+'Criteria results'!$F$7,H12)</f>
        <v>0.50724099999999983</v>
      </c>
      <c r="J12" s="96">
        <f>IF(J10&lt;=$C$6,I12+'Criteria results'!$F$7,I12)</f>
        <v>0.50724099999999983</v>
      </c>
      <c r="K12" s="96">
        <f>IF(K10&lt;=$C$6,J12+'Criteria results'!$F$7,J12)</f>
        <v>0.50724099999999983</v>
      </c>
      <c r="L12" s="96">
        <f>K12</f>
        <v>0.50724099999999983</v>
      </c>
      <c r="M12" s="96">
        <f t="shared" ref="M12:U12" si="1">L12</f>
        <v>0.50724099999999983</v>
      </c>
      <c r="N12" s="96">
        <f t="shared" si="1"/>
        <v>0.50724099999999983</v>
      </c>
      <c r="O12" s="96">
        <f t="shared" si="1"/>
        <v>0.50724099999999983</v>
      </c>
      <c r="P12" s="96">
        <f t="shared" si="1"/>
        <v>0.50724099999999983</v>
      </c>
      <c r="Q12" s="96">
        <f t="shared" si="1"/>
        <v>0.50724099999999983</v>
      </c>
      <c r="R12" s="96">
        <f t="shared" si="1"/>
        <v>0.50724099999999983</v>
      </c>
      <c r="S12" s="96">
        <f t="shared" si="1"/>
        <v>0.50724099999999983</v>
      </c>
      <c r="T12" s="96">
        <f t="shared" si="1"/>
        <v>0.50724099999999983</v>
      </c>
      <c r="U12" s="96">
        <f t="shared" si="1"/>
        <v>0.50724099999999983</v>
      </c>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7"/>
    </row>
    <row r="13" spans="1:49" x14ac:dyDescent="0.2">
      <c r="B13" s="265" t="s">
        <v>134</v>
      </c>
      <c r="C13" s="19"/>
      <c r="D13" s="180"/>
      <c r="E13" s="180">
        <f>E12-D12</f>
        <v>0.45999999999999996</v>
      </c>
      <c r="F13" s="180">
        <f t="shared" ref="F13:U13" si="2">F12-E12</f>
        <v>0.45999999999999996</v>
      </c>
      <c r="G13" s="180">
        <f t="shared" si="2"/>
        <v>0.45999999999999996</v>
      </c>
      <c r="H13" s="180">
        <f t="shared" si="2"/>
        <v>0.45999999999999996</v>
      </c>
      <c r="I13" s="180">
        <f t="shared" si="2"/>
        <v>0</v>
      </c>
      <c r="J13" s="180">
        <f t="shared" si="2"/>
        <v>0</v>
      </c>
      <c r="K13" s="180">
        <f t="shared" si="2"/>
        <v>0</v>
      </c>
      <c r="L13" s="180">
        <f t="shared" si="2"/>
        <v>0</v>
      </c>
      <c r="M13" s="180">
        <f t="shared" si="2"/>
        <v>0</v>
      </c>
      <c r="N13" s="180">
        <f t="shared" si="2"/>
        <v>0</v>
      </c>
      <c r="O13" s="180">
        <f t="shared" si="2"/>
        <v>0</v>
      </c>
      <c r="P13" s="180">
        <f t="shared" si="2"/>
        <v>0</v>
      </c>
      <c r="Q13" s="180">
        <f t="shared" si="2"/>
        <v>0</v>
      </c>
      <c r="R13" s="180">
        <f t="shared" si="2"/>
        <v>0</v>
      </c>
      <c r="S13" s="180">
        <f t="shared" si="2"/>
        <v>0</v>
      </c>
      <c r="T13" s="180">
        <f t="shared" si="2"/>
        <v>0</v>
      </c>
      <c r="U13" s="180">
        <f t="shared" si="2"/>
        <v>0</v>
      </c>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row>
    <row r="14" spans="1:49" x14ac:dyDescent="0.2">
      <c r="B14" s="16" t="s">
        <v>27</v>
      </c>
      <c r="C14" s="2">
        <f>'Input data'!C14</f>
        <v>-0.1168709</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7"/>
    </row>
    <row r="15" spans="1:49" x14ac:dyDescent="0.2">
      <c r="B15" s="16" t="s">
        <v>54</v>
      </c>
      <c r="C15" s="2">
        <f>'Input data'!C15</f>
        <v>1.388104</v>
      </c>
      <c r="D15" s="2">
        <f>'Input data'!D15</f>
        <v>0.74747770000000002</v>
      </c>
      <c r="E15" s="2">
        <f>'Input data'!E15</f>
        <v>0.85</v>
      </c>
      <c r="F15" s="2">
        <f>'Input data'!F15</f>
        <v>0</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7"/>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2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8"/>
      <c r="B18" s="16" t="s">
        <v>30</v>
      </c>
      <c r="C18" s="80">
        <f>'Input data'!C20</f>
        <v>19.8</v>
      </c>
      <c r="D18" s="80">
        <f>'Input data'!D20</f>
        <v>19.7</v>
      </c>
      <c r="E18" s="80">
        <f>'Input data'!E20</f>
        <v>19.8</v>
      </c>
      <c r="F18" s="80">
        <f>'Input data'!F20</f>
        <v>19.899999999999999</v>
      </c>
      <c r="G18" s="80">
        <f>'Input data'!G20</f>
        <v>20</v>
      </c>
      <c r="H18" s="80">
        <f>'Input data'!H20</f>
        <v>20</v>
      </c>
      <c r="I18" s="80">
        <f>'Input data'!I20</f>
        <v>20.100000000000001</v>
      </c>
      <c r="J18" s="80">
        <f>'Input data'!J20</f>
        <v>20.099999999999998</v>
      </c>
      <c r="K18" s="80">
        <f>'Input data'!K20</f>
        <v>20.099999999999998</v>
      </c>
      <c r="L18" s="80">
        <f>'Input data'!L20</f>
        <v>20.399999999999999</v>
      </c>
      <c r="M18" s="80">
        <f>'Input data'!M20</f>
        <v>20.399999999999999</v>
      </c>
      <c r="N18" s="80">
        <f>'Input data'!N20</f>
        <v>20.5</v>
      </c>
      <c r="O18" s="80">
        <f>'Input data'!O20</f>
        <v>20.6</v>
      </c>
      <c r="P18" s="80">
        <f>'Input data'!P20</f>
        <v>20.8</v>
      </c>
      <c r="Q18" s="80">
        <f>'Input data'!Q20</f>
        <v>20.8</v>
      </c>
      <c r="R18" s="80">
        <f>'Input data'!R20</f>
        <v>20.9</v>
      </c>
      <c r="S18" s="80">
        <f>'Input data'!S20</f>
        <v>21.1</v>
      </c>
      <c r="T18" s="80">
        <f>'Input data'!T20</f>
        <v>21.2</v>
      </c>
      <c r="U18" s="80">
        <f>'Input data'!U20</f>
        <v>21.3</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8"/>
      <c r="B19" s="16" t="s">
        <v>36</v>
      </c>
      <c r="C19" s="80">
        <f>'Input data'!C26</f>
        <v>1.037865</v>
      </c>
      <c r="D19" s="80">
        <f>'Input data'!D26</f>
        <v>1.0233570000000001</v>
      </c>
      <c r="E19" s="80">
        <f>'Input data'!E26</f>
        <v>1.008848</v>
      </c>
      <c r="F19" s="80">
        <f>'Input data'!F26</f>
        <v>0.99434009999999995</v>
      </c>
      <c r="G19" s="80">
        <f>'Input data'!G26</f>
        <v>0.97983180000000003</v>
      </c>
      <c r="H19" s="80">
        <f>'Input data'!H26</f>
        <v>0.9653235</v>
      </c>
      <c r="I19" s="80">
        <f>'Input data'!I26</f>
        <v>0.95081519999999997</v>
      </c>
      <c r="J19" s="80">
        <f>'Input data'!J26</f>
        <v>0.93630690000000005</v>
      </c>
      <c r="K19" s="80">
        <f>'Input data'!K26</f>
        <v>0.92179860000000002</v>
      </c>
      <c r="L19" s="80">
        <f>'Input data'!L26</f>
        <v>0.90729029999999999</v>
      </c>
      <c r="M19" s="80">
        <f>'Input data'!M26</f>
        <v>0.89278199999999996</v>
      </c>
      <c r="N19" s="80">
        <f>'Input data'!N26</f>
        <v>0.87827370000000005</v>
      </c>
      <c r="O19" s="80">
        <f>'Input data'!O26</f>
        <v>0.86376540000000002</v>
      </c>
      <c r="P19" s="80">
        <f>'Input data'!P26</f>
        <v>0.84925709999999999</v>
      </c>
      <c r="Q19" s="80">
        <f>'Input data'!Q26</f>
        <v>0.83474870000000001</v>
      </c>
      <c r="R19" s="80">
        <f>'Input data'!R26</f>
        <v>0.82024039999999998</v>
      </c>
      <c r="S19" s="80">
        <f>'Input data'!S26</f>
        <v>0.80573209999999995</v>
      </c>
      <c r="T19" s="80">
        <f>'Input data'!T26</f>
        <v>0.79122380000000003</v>
      </c>
      <c r="U19" s="80">
        <f>'Input data'!U26</f>
        <v>0.7767155</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8" t="s">
        <v>55</v>
      </c>
    </row>
    <row r="22" spans="1:48" ht="10.5" customHeight="1" x14ac:dyDescent="0.2">
      <c r="B22" s="20" t="s">
        <v>56</v>
      </c>
    </row>
    <row r="23" spans="1:48" x14ac:dyDescent="0.2">
      <c r="B23" s="16" t="s">
        <v>39</v>
      </c>
      <c r="C23" s="79">
        <f>'Baseline NFPC'!C22</f>
        <v>6479.8060073389106</v>
      </c>
      <c r="D23" s="79">
        <f>'Baseline NFPC'!D22</f>
        <v>6596.2656167670111</v>
      </c>
      <c r="E23" s="24">
        <f>IF(AND(E50&gt;1,D50&gt;1),
IF(E$10&lt;='Input data'!$C$4+2,
E27*(1+('Baseline NFPC'!E$29+E51)/100)-D23*$C$47*(E12-D12)/100,
E27*(1+E51/100)-D23*$C$47*(E12-D12)/100),
IF(E50=1,E27,D23*(1+E52/100)))</f>
        <v>6720.0100425964683</v>
      </c>
      <c r="F23" s="24">
        <f>IF(AND(F50&gt;1,E50&gt;1),
IF(F$10&lt;='Input data'!$C$4+2,
F27*(1+('Baseline NFPC'!F$29+F51)/100)-E23*$C$47*(F12-E12)/100,
F27*(1+F51/100)-E23*$C$47*(F12-E12)/100),
IF(F50=1,F27,E23*(1+F52/100)))</f>
        <v>6799.8871716539325</v>
      </c>
      <c r="G23" s="24">
        <f>IF(AND(G50&gt;1,F50&gt;1),
IF(G$10&lt;='Input data'!$C$4+2,
G27*(1+('Baseline NFPC'!G$29+G51)/100)-F23*$C$47*(G12-F12)/100,
G27*(1+G51/100)-F23*$C$47*(G12-F12)/100),
IF(G50=1,G27,F23*(1+G52/100)))</f>
        <v>6871.6850974022864</v>
      </c>
      <c r="H23" s="24">
        <f>IF(AND(H50&gt;1,G50&gt;1),
IF(H$10&lt;='Input data'!$C$4+2,
H27*(1+('Baseline NFPC'!H$29+H51)/100)-G23*$C$47*(H12-G12)/100,
H27*(1+H51/100)-G23*$C$47*(H12-G12)/100),
IF(H50=1,H27,G23*(1+H52/100)))</f>
        <v>6946.8455018835102</v>
      </c>
      <c r="I23" s="24">
        <f>IF(AND(I50&gt;1,H50&gt;1),
IF(I$10&lt;='Input data'!$C$4+2,
I27*(1+('Baseline NFPC'!I$29+I51)/100)-H23*$C$47*(I12-H12)/100,
I27*(1+I51/100)-H23*$C$47*(I12-H12)/100),
IF(I50=1,I27,H23*(1+I52/100)))</f>
        <v>7045.7104153662567</v>
      </c>
      <c r="J23" s="24">
        <f>IF(AND(J50&gt;1,I50&gt;1),
IF(J$10&lt;='Input data'!$C$4+2,
J27*(1+('Baseline NFPC'!J$29+J51)/100)-I23*$C$47*(J12-I12)/100,
J27*(1+J51/100)-I23*$C$47*(J12-I12)/100),
IF(J50=1,J27,I23*(1+J52/100)))</f>
        <v>7146.6738627758168</v>
      </c>
      <c r="K23" s="24">
        <f>IF(AND(K50&gt;1,J50&gt;1),
IF(K$10&lt;='Input data'!$C$4+2,
K27*(1+('Baseline NFPC'!K$29+K51)/100)-J23*$C$47*(K12-J12)/100,
K27*(1+K51/100)-J23*$C$47*(K12-J12)/100),
IF(K50=1,K27,J23*(1+K52/100)))</f>
        <v>7249.6249467619218</v>
      </c>
      <c r="L23" s="24">
        <f>IF(AND(L50&gt;1,K50&gt;1),
IF(L$10&lt;='Input data'!$C$4+2,
L27*(1+('Baseline NFPC'!L$29+L51)/100)-K23*$C$47*(L12-K12)/100,
L27*(1+L51/100)-K23*$C$47*(L12-K12)/100),
IF(L50=1,L27,K23*(1+L52/100)))</f>
        <v>7337.2908189418922</v>
      </c>
      <c r="M23" s="24">
        <f>IF(AND(M50&gt;1,L50&gt;1),
IF(M$10&lt;='Input data'!$C$4+2,
M27*(1+('Baseline NFPC'!M$29+M51)/100)-L23*$C$47*(M12-L12)/100,
M27*(1+M51/100)-L23*$C$47*(M12-L12)/100),
IF(M50=1,M27,L23*(1+M52/100)))</f>
        <v>7420.9966870458102</v>
      </c>
      <c r="N23" s="24">
        <f>IF(AND(N50&gt;1,M50&gt;1),
IF(N$10&lt;='Input data'!$C$4+2,
N27*(1+('Baseline NFPC'!N$29+N51)/100)-M23*$C$47*(N12-M12)/100,
N27*(1+N51/100)-M23*$C$47*(N12-M12)/100),
IF(N50=1,N27,M23*(1+N52/100)))</f>
        <v>7514.294793174754</v>
      </c>
      <c r="O23" s="24">
        <f>IF(AND(O50&gt;1,N50&gt;1),
IF(O$10&lt;='Input data'!$C$4+2,
O27*(1+('Baseline NFPC'!O$29+O51)/100)-N23*$C$47*(O12-N12)/100,
O27*(1+O51/100)-N23*$C$47*(O12-N12)/100),
IF(O50=1,O27,N23*(1+O52/100)))</f>
        <v>7617.5119730262295</v>
      </c>
      <c r="P23" s="24">
        <f>IF(AND(P50&gt;1,O50&gt;1),
IF(P$10&lt;='Input data'!$C$4+2,
P27*(1+('Baseline NFPC'!P$29+P51)/100)-O23*$C$47*(P12-O12)/100,
P27*(1+P51/100)-O23*$C$47*(P12-O12)/100),
IF(P50=1,P27,O23*(1+P52/100)))</f>
        <v>7731.0130537745599</v>
      </c>
      <c r="Q23" s="24">
        <f>IF(AND(Q50&gt;1,P50&gt;1),
IF(Q$10&lt;='Input data'!$C$4+2,
Q27*(1+('Baseline NFPC'!Q$29+Q51)/100)-P23*$C$47*(Q12-P12)/100,
Q27*(1+Q51/100)-P23*$C$47*(Q12-P12)/100),
IF(Q50=1,Q27,P23*(1+Q52/100)))</f>
        <v>7848.5242202615418</v>
      </c>
      <c r="R23" s="24">
        <f>IF(AND(R50&gt;1,Q50&gt;1),
IF(R$10&lt;='Input data'!$C$4+2,
R27*(1+('Baseline NFPC'!R$29+R51)/100)-Q23*$C$47*(R12-Q12)/100,
R27*(1+R51/100)-Q23*$C$47*(R12-Q12)/100),
IF(R50=1,R27,Q23*(1+R52/100)))</f>
        <v>7974.1007647562101</v>
      </c>
      <c r="S23" s="24">
        <f>IF(AND(S50&gt;1,R50&gt;1),
IF(S$10&lt;='Input data'!$C$4+2,
S27*(1+('Baseline NFPC'!S$29+S51)/100)-R23*$C$47*(S12-R12)/100,
S27*(1+S51/100)-R23*$C$47*(S12-R12)/100),
IF(S50=1,S27,R23*(1+S52/100)))</f>
        <v>8101.686775697347</v>
      </c>
      <c r="T23" s="24">
        <f>IF(AND(T50&gt;1,S50&gt;1),
IF(T$10&lt;='Input data'!$C$4+2,
T27*(1+('Baseline NFPC'!T$29+T51)/100)-S23*$C$47*(T12-S12)/100,
T27*(1+T51/100)-S23*$C$47*(T12-S12)/100),
IF(T50=1,T27,S23*(1+T52/100)))</f>
        <v>8231.313764108505</v>
      </c>
      <c r="U23" s="24">
        <f>IF(AND(U50&gt;1,T50&gt;1),
IF(U$10&lt;='Input data'!$C$4+2,
U27*(1+('Baseline NFPC'!U$29+U51)/100)-T23*$C$47*(U12-T12)/100,
U27*(1+U51/100)-T23*$C$47*(U12-T12)/100),
IF(U50=1,U27,T23*(1+U52/100)))</f>
        <v>8363.8379157106519</v>
      </c>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row>
    <row r="24" spans="1:48" x14ac:dyDescent="0.2">
      <c r="A24" s="48"/>
      <c r="B24" s="49" t="s">
        <v>38</v>
      </c>
      <c r="C24" s="79">
        <f>'Baseline NFPC'!C23</f>
        <v>2.5804670000000001</v>
      </c>
      <c r="D24" s="79">
        <f>'Baseline NFPC'!D23</f>
        <v>1.7972699999999999</v>
      </c>
      <c r="E24" s="24">
        <f t="shared" ref="E24:Q24" si="3">100*(E23/D23-1)</f>
        <v>1.8759769999999953</v>
      </c>
      <c r="F24" s="24">
        <f t="shared" si="3"/>
        <v>1.188645977478342</v>
      </c>
      <c r="G24" s="24">
        <f t="shared" si="3"/>
        <v>1.055869368651452</v>
      </c>
      <c r="H24" s="24">
        <f t="shared" si="3"/>
        <v>1.0937696273310982</v>
      </c>
      <c r="I24" s="24">
        <f t="shared" si="3"/>
        <v>1.4231626924183116</v>
      </c>
      <c r="J24" s="24">
        <f t="shared" si="3"/>
        <v>1.4329775346622942</v>
      </c>
      <c r="K24" s="24">
        <f t="shared" si="3"/>
        <v>1.4405454336224421</v>
      </c>
      <c r="L24" s="24">
        <f t="shared" si="3"/>
        <v>1.2092470000000022</v>
      </c>
      <c r="M24" s="24">
        <f t="shared" si="3"/>
        <v>1.1408279999999937</v>
      </c>
      <c r="N24" s="24">
        <f t="shared" si="3"/>
        <v>1.2572180000000044</v>
      </c>
      <c r="O24" s="24">
        <f t="shared" si="3"/>
        <v>1.3736109999999968</v>
      </c>
      <c r="P24" s="24">
        <f t="shared" si="3"/>
        <v>1.4900020000000014</v>
      </c>
      <c r="Q24" s="24">
        <f t="shared" si="3"/>
        <v>1.5199970000000063</v>
      </c>
      <c r="R24" s="24">
        <f>100*(R23/Q23-1)</f>
        <v>1.6000019999999893</v>
      </c>
      <c r="S24" s="24">
        <f t="shared" ref="S24:U24" si="4">100*(S23/R23-1)</f>
        <v>1.6000049999999932</v>
      </c>
      <c r="T24" s="24">
        <f t="shared" si="4"/>
        <v>1.6000000000000014</v>
      </c>
      <c r="U24" s="24">
        <f t="shared" si="4"/>
        <v>1.6100000000000003</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row>
    <row r="26" spans="1:48" ht="15" x14ac:dyDescent="0.2">
      <c r="A26" s="156"/>
      <c r="B26" s="20" t="s">
        <v>57</v>
      </c>
      <c r="C26" s="155"/>
      <c r="D26" s="155"/>
    </row>
    <row r="27" spans="1:48" x14ac:dyDescent="0.2">
      <c r="B27" s="16" t="s">
        <v>39</v>
      </c>
      <c r="C27" s="79">
        <f>'Input data'!C34</f>
        <v>6515.4565303615473</v>
      </c>
      <c r="D27" s="79">
        <f>+C27*(1+'Input data'!D33/100)</f>
        <v>6622.8091014297024</v>
      </c>
      <c r="E27" s="79">
        <f>+D27*(1+'Input data'!E33/100)</f>
        <v>6721.6283009444987</v>
      </c>
      <c r="F27" s="79">
        <f>+E27*(1+'Input data'!F33/100)</f>
        <v>6819.5289515803215</v>
      </c>
      <c r="G27" s="24">
        <f>+F27*(1+'Input data'!G33/100)</f>
        <v>6903.7089441774706</v>
      </c>
      <c r="H27" s="24">
        <f>+G27*(1+'Input data'!H33/100)</f>
        <v>6987.4194527575573</v>
      </c>
      <c r="I27" s="24">
        <f>+H27*(1+'Input data'!I33/100)</f>
        <v>7073.0913641774832</v>
      </c>
      <c r="J27" s="24">
        <f>+I27*(1+'Input data'!J33/100)</f>
        <v>7160.5335878617452</v>
      </c>
      <c r="K27" s="24">
        <f>+J27*(1+'Input data'!K33/100)</f>
        <v>7249.6249467619218</v>
      </c>
      <c r="L27" s="24">
        <f>+K27*(1+'Input data'!L33/100)</f>
        <v>7337.2906014531436</v>
      </c>
      <c r="M27" s="24">
        <f>+L27*(1+'Input data'!M33/100)</f>
        <v>7420.9960268384539</v>
      </c>
      <c r="N27" s="24">
        <f>+M27*(1+'Input data'!N33/100)</f>
        <v>7514.2939020372705</v>
      </c>
      <c r="O27" s="24">
        <f>+N27*(1+'Input data'!O33/100)</f>
        <v>7617.5107690762279</v>
      </c>
      <c r="P27" s="24">
        <f>+O27*(1+'Input data'!P33/100)</f>
        <v>7731.0116795354634</v>
      </c>
      <c r="Q27" s="24">
        <f>+P27*(1+'Input data'!Q33/100)</f>
        <v>7848.5230570644035</v>
      </c>
      <c r="R27" s="24">
        <f>+Q27*(1+'Input data'!R33/100)</f>
        <v>7974.0994259774343</v>
      </c>
      <c r="S27" s="24">
        <f>+R27*(1+'Input data'!S33/100)</f>
        <v>8101.6850167930734</v>
      </c>
      <c r="T27" s="24">
        <f>+S27*(1+'Input data'!T33/100)</f>
        <v>8231.3119770617632</v>
      </c>
      <c r="U27" s="24">
        <f>+T27*(1+'Input data'!U33/100)</f>
        <v>8363.8360998924582</v>
      </c>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row>
    <row r="28" spans="1:48" ht="5.25" customHeight="1" x14ac:dyDescent="0.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row>
    <row r="29" spans="1:48" x14ac:dyDescent="0.2">
      <c r="B29" s="20" t="s">
        <v>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row>
    <row r="30" spans="1:48" x14ac:dyDescent="0.2">
      <c r="B30" s="16" t="s">
        <v>58</v>
      </c>
      <c r="C30" s="79">
        <f t="shared" ref="C30:U30" si="5">100*(C23/C27-1)</f>
        <v>-0.54716845790480084</v>
      </c>
      <c r="D30" s="79">
        <f t="shared" si="5"/>
        <v>-0.40078891383055204</v>
      </c>
      <c r="E30" s="24">
        <f t="shared" si="5"/>
        <v>-2.4075391788669354E-2</v>
      </c>
      <c r="F30" s="24">
        <f t="shared" si="5"/>
        <v>-0.28802253155384427</v>
      </c>
      <c r="G30" s="24">
        <f t="shared" si="5"/>
        <v>-0.46386438122065776</v>
      </c>
      <c r="H30" s="24">
        <f t="shared" si="5"/>
        <v>-0.58067146459963581</v>
      </c>
      <c r="I30" s="24">
        <f t="shared" si="5"/>
        <v>-0.38711430973309424</v>
      </c>
      <c r="J30" s="24">
        <f t="shared" si="5"/>
        <v>-0.19355715486654157</v>
      </c>
      <c r="K30" s="24">
        <f>100*(K23/K27-1)</f>
        <v>0</v>
      </c>
      <c r="L30" s="24">
        <f t="shared" si="5"/>
        <v>2.964156120555117E-6</v>
      </c>
      <c r="M30" s="24">
        <f t="shared" si="5"/>
        <v>8.8964790423418094E-6</v>
      </c>
      <c r="N30" s="24">
        <f t="shared" si="5"/>
        <v>1.1859231152655525E-5</v>
      </c>
      <c r="O30" s="24">
        <f t="shared" si="5"/>
        <v>1.5805031838844741E-5</v>
      </c>
      <c r="P30" s="24">
        <f t="shared" si="5"/>
        <v>1.7775669647335235E-5</v>
      </c>
      <c r="Q30" s="24">
        <f t="shared" si="5"/>
        <v>1.4820586358155197E-5</v>
      </c>
      <c r="R30" s="24">
        <f t="shared" si="5"/>
        <v>1.6789090584445887E-5</v>
      </c>
      <c r="S30" s="24">
        <f t="shared" si="5"/>
        <v>2.1710351250092685E-5</v>
      </c>
      <c r="T30" s="24">
        <f t="shared" si="5"/>
        <v>2.1710351250092685E-5</v>
      </c>
      <c r="U30" s="24">
        <f t="shared" si="5"/>
        <v>2.1710351227888225E-5</v>
      </c>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row>
    <row r="31" spans="1:48" ht="4.9000000000000004" customHeight="1" x14ac:dyDescent="0.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row>
    <row r="32" spans="1:48" x14ac:dyDescent="0.2">
      <c r="B32" s="20" t="s">
        <v>59</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row>
    <row r="33" spans="2:49" x14ac:dyDescent="0.2">
      <c r="B33" s="16" t="s">
        <v>38</v>
      </c>
      <c r="C33" s="2">
        <f t="shared" ref="C33:U33" si="6">100*((1+C24/100)*(1+C42/100)-1)</f>
        <v>6.1837136128653603</v>
      </c>
      <c r="D33" s="2">
        <f>100*((1+D24/100)*(1+D42/100)-1)</f>
        <v>4.501694658717903</v>
      </c>
      <c r="E33" s="1">
        <f>100*((1+E24/100)*(1+E42/100)-1)</f>
        <v>5.0022084308472881</v>
      </c>
      <c r="F33" s="1">
        <f t="shared" si="6"/>
        <v>4.2016198742609978</v>
      </c>
      <c r="G33" s="1">
        <f t="shared" si="6"/>
        <v>3.9728450168601936</v>
      </c>
      <c r="H33" s="1">
        <f t="shared" si="6"/>
        <v>3.9197600275589606</v>
      </c>
      <c r="I33" s="1">
        <f t="shared" si="6"/>
        <v>4.1659817365214291</v>
      </c>
      <c r="J33" s="1">
        <f t="shared" si="6"/>
        <v>4.083673805757071</v>
      </c>
      <c r="K33" s="1">
        <f t="shared" si="6"/>
        <v>3.9990443807638165</v>
      </c>
      <c r="L33" s="1">
        <f t="shared" si="6"/>
        <v>3.6697277982449927</v>
      </c>
      <c r="M33" s="1">
        <f t="shared" si="6"/>
        <v>3.5075233751999946</v>
      </c>
      <c r="N33" s="1">
        <f t="shared" si="6"/>
        <v>3.609423174140014</v>
      </c>
      <c r="O33" s="1">
        <f t="shared" si="6"/>
        <v>3.7112864696600134</v>
      </c>
      <c r="P33" s="1">
        <f t="shared" si="6"/>
        <v>3.8131081457800198</v>
      </c>
      <c r="Q33" s="1">
        <f t="shared" si="6"/>
        <v>3.8265313318400107</v>
      </c>
      <c r="R33" s="1">
        <f t="shared" si="6"/>
        <v>3.8910820451000028</v>
      </c>
      <c r="S33" s="1">
        <f>100*((1+S24/100)*(1+S42/100)-1)</f>
        <v>3.8738131119000041</v>
      </c>
      <c r="T33" s="1">
        <f t="shared" si="6"/>
        <v>3.8565359999999993</v>
      </c>
      <c r="U33" s="1">
        <f t="shared" si="6"/>
        <v>3.8494844000000139</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8" t="s">
        <v>108</v>
      </c>
    </row>
    <row r="36" spans="2:49" x14ac:dyDescent="0.2">
      <c r="B36" s="16" t="s">
        <v>41</v>
      </c>
      <c r="C36" s="79">
        <f>'Input data'!C37</f>
        <v>3.1969609999999999</v>
      </c>
      <c r="D36" s="79">
        <f>'Input data'!D37</f>
        <v>3.078103</v>
      </c>
      <c r="E36" s="79">
        <f>IF(E$10&lt;='Input data'!$C$4+2,'Input data'!E37,E101)</f>
        <v>2.999835</v>
      </c>
      <c r="F36" s="24">
        <f>IF(F$10&lt;='Input data'!$C$4+2,'Input data'!F37,F101)</f>
        <v>3.2612234963345017</v>
      </c>
      <c r="G36" s="24">
        <f>IF(G$10&lt;='Input data'!$C$4+2,'Input data'!G37,G101)</f>
        <v>3.4661519633917419</v>
      </c>
      <c r="H36" s="24">
        <f>IF(H$10&lt;='Input data'!$C$4+2,'Input data'!H37,H101)</f>
        <v>3.6527919364235872</v>
      </c>
      <c r="I36" s="24">
        <f>IF(I$10&lt;='Input data'!$C$4+2,'Input data'!I37,I101)</f>
        <v>3.8227404164057077</v>
      </c>
      <c r="J36" s="24">
        <f>IF(J$10&lt;='Input data'!$C$4+2,'Input data'!J37,J101)</f>
        <v>3.9924506315885533</v>
      </c>
      <c r="K36" s="24">
        <f>IF(K$10&lt;='Input data'!$C$4+2,'Input data'!K37,K101)</f>
        <v>4.1585065106652124</v>
      </c>
      <c r="L36" s="24">
        <f>IF(L$10&lt;='Input data'!$C$4+2,'Input data'!L37,L101)</f>
        <v>4.3211097800205742</v>
      </c>
      <c r="M36" s="24">
        <f>IF(M$10&lt;='Input data'!$C$4+2,'Input data'!M37,M101)</f>
        <v>4.491641677287797</v>
      </c>
      <c r="N36" s="24">
        <f>IF(N$10&lt;='Input data'!$C$4+2,'Input data'!N37,N101)</f>
        <v>4.631941317789745</v>
      </c>
      <c r="O36" s="24">
        <f>IF(O$10&lt;='Input data'!$C$4+2,'Input data'!O37,O101)</f>
        <v>4.7485430065068339</v>
      </c>
      <c r="P36" s="24">
        <f>IF(P$10&lt;='Input data'!$C$4+2,'Input data'!P37,P101)</f>
        <v>4.8425187478570608</v>
      </c>
      <c r="Q36" s="24">
        <f>IF(Q$10&lt;='Input data'!$C$4+2,'Input data'!Q37,Q101)</f>
        <v>4.9163067262605171</v>
      </c>
      <c r="R36" s="24">
        <f>IF(R$10&lt;='Input data'!$C$4+2,'Input data'!R37,R101)</f>
        <v>4.9690506896741908</v>
      </c>
      <c r="S36" s="24">
        <f>IF(S$10&lt;='Input data'!$C$4+2,'Input data'!S37,S101)</f>
        <v>5.0036379295157527</v>
      </c>
      <c r="T36" s="24">
        <f>IF(T$10&lt;='Input data'!$C$4+2,'Input data'!T37,T101)</f>
        <v>5.0219997197073161</v>
      </c>
      <c r="U36" s="24">
        <f>IF(U$10&lt;='Input data'!$C$4+2,'Input data'!U37,U101)</f>
        <v>5.025283034969183</v>
      </c>
    </row>
    <row r="37" spans="2:49" x14ac:dyDescent="0.2">
      <c r="B37" s="22" t="s">
        <v>61</v>
      </c>
      <c r="C37" s="2">
        <f>'Input data'!C$39</f>
        <v>4.29</v>
      </c>
      <c r="D37" s="137">
        <f>'Input data'!D$39</f>
        <v>4.7019640000000003</v>
      </c>
      <c r="E37" s="137">
        <f>'Baseline NFPC'!E36</f>
        <v>4.9156490000000002</v>
      </c>
      <c r="F37" s="137">
        <f>'Baseline NFPC'!F36</f>
        <v>5.0370066250000001</v>
      </c>
      <c r="G37" s="1">
        <f>'Baseline NFPC'!G36</f>
        <v>5.15836425</v>
      </c>
      <c r="H37" s="1">
        <f>'Baseline NFPC'!H36</f>
        <v>5.2797218749999999</v>
      </c>
      <c r="I37" s="1">
        <f>'Baseline NFPC'!I36</f>
        <v>5.4010794999999998</v>
      </c>
      <c r="J37" s="1">
        <f>'Baseline NFPC'!J36</f>
        <v>5.5224371250000006</v>
      </c>
      <c r="K37" s="1">
        <f>'Baseline NFPC'!K36</f>
        <v>5.6437947500000005</v>
      </c>
      <c r="L37" s="1">
        <f>'Baseline NFPC'!L36</f>
        <v>5.7651523750000004</v>
      </c>
      <c r="M37" s="1">
        <f>'Baseline NFPC'!M36</f>
        <v>5.8865100000000004</v>
      </c>
      <c r="N37" s="1">
        <f>'Baseline NFPC'!N36</f>
        <v>5.7921845000000003</v>
      </c>
      <c r="O37" s="1">
        <f>'Baseline NFPC'!O36</f>
        <v>5.6978590000000002</v>
      </c>
      <c r="P37" s="1">
        <f>'Baseline NFPC'!P36</f>
        <v>5.6035335000000002</v>
      </c>
      <c r="Q37" s="1">
        <f>'Baseline NFPC'!Q36</f>
        <v>5.5092080000000001</v>
      </c>
      <c r="R37" s="1">
        <f>'Baseline NFPC'!R36</f>
        <v>5.4148825</v>
      </c>
      <c r="S37" s="1">
        <f>'Baseline NFPC'!S36</f>
        <v>5.320557</v>
      </c>
      <c r="T37" s="1">
        <f>'Baseline NFPC'!T36</f>
        <v>5.2262314999999999</v>
      </c>
      <c r="U37" s="1">
        <f>'Baseline NFPC'!U36</f>
        <v>5.1319059999999999</v>
      </c>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7"/>
    </row>
    <row r="38" spans="2:49" x14ac:dyDescent="0.2">
      <c r="B38" s="22" t="s">
        <v>62</v>
      </c>
      <c r="C38" s="2">
        <f>'Input data'!C$38</f>
        <v>3.6</v>
      </c>
      <c r="D38" s="137">
        <f>'Input data'!D$38</f>
        <v>3.6498529999999998</v>
      </c>
      <c r="E38" s="137">
        <f>'Baseline NFPC'!E37</f>
        <v>4.2671910000000004</v>
      </c>
      <c r="F38" s="137">
        <f>'Baseline NFPC'!F37</f>
        <v>4.2826608750000004</v>
      </c>
      <c r="G38" s="1">
        <f>'Baseline NFPC'!G37</f>
        <v>4.2981307500000003</v>
      </c>
      <c r="H38" s="1">
        <f>'Baseline NFPC'!H37</f>
        <v>4.3136006250000003</v>
      </c>
      <c r="I38" s="1">
        <f>'Baseline NFPC'!I37</f>
        <v>4.3290705000000003</v>
      </c>
      <c r="J38" s="1">
        <f>'Baseline NFPC'!J37</f>
        <v>4.3445403750000002</v>
      </c>
      <c r="K38" s="1">
        <f>'Baseline NFPC'!K37</f>
        <v>4.3600102500000002</v>
      </c>
      <c r="L38" s="1">
        <f>'Baseline NFPC'!L37</f>
        <v>4.3754801250000002</v>
      </c>
      <c r="M38" s="1">
        <f>'Baseline NFPC'!M37</f>
        <v>4.3909500000000001</v>
      </c>
      <c r="N38" s="1">
        <f>'Baseline NFPC'!N37</f>
        <v>4.2714024999999998</v>
      </c>
      <c r="O38" s="1">
        <f>'Baseline NFPC'!O37</f>
        <v>4.1518550000000003</v>
      </c>
      <c r="P38" s="1">
        <f>'Baseline NFPC'!P37</f>
        <v>4.0323074999999999</v>
      </c>
      <c r="Q38" s="1">
        <f>'Baseline NFPC'!Q37</f>
        <v>3.91276</v>
      </c>
      <c r="R38" s="1">
        <f>'Baseline NFPC'!R37</f>
        <v>3.7932125000000001</v>
      </c>
      <c r="S38" s="1">
        <f>'Baseline NFPC'!S37</f>
        <v>3.6736650000000002</v>
      </c>
      <c r="T38" s="1">
        <f>'Baseline NFPC'!T37</f>
        <v>3.5541175000000003</v>
      </c>
      <c r="U38" s="1">
        <f>'Baseline NFPC'!U37</f>
        <v>3.4345699999999999</v>
      </c>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7"/>
    </row>
    <row r="39" spans="2:49" s="4" customFormat="1" ht="12.75" x14ac:dyDescent="0.2">
      <c r="B39" s="16" t="s">
        <v>63</v>
      </c>
      <c r="C39" s="24">
        <f>'Baseline NFPC'!C38</f>
        <v>6.7968280000000006E-2</v>
      </c>
      <c r="D39" s="24">
        <f>'Baseline NFPC'!D38</f>
        <v>6.8235180000000006E-2</v>
      </c>
      <c r="E39" s="24">
        <f>'Baseline NFPC'!E38</f>
        <v>6.9058820000000007E-2</v>
      </c>
      <c r="F39" s="24">
        <f>'Baseline NFPC'!F38</f>
        <v>6.9882458750000001E-2</v>
      </c>
      <c r="G39" s="24">
        <f>'Baseline NFPC'!G38</f>
        <v>7.0706097500000009E-2</v>
      </c>
      <c r="H39" s="24">
        <f>'Baseline NFPC'!H38</f>
        <v>7.1529736250000003E-2</v>
      </c>
      <c r="I39" s="24">
        <f>'Baseline NFPC'!I38</f>
        <v>7.2353374999999998E-2</v>
      </c>
      <c r="J39" s="24">
        <f>'Baseline NFPC'!J38</f>
        <v>7.3177013750000006E-2</v>
      </c>
      <c r="K39" s="24">
        <f>'Baseline NFPC'!K38</f>
        <v>7.40006525E-2</v>
      </c>
      <c r="L39" s="24">
        <f>'Baseline NFPC'!L38</f>
        <v>7.4824291250000008E-2</v>
      </c>
      <c r="M39" s="24">
        <f>'Baseline NFPC'!M38</f>
        <v>7.5647930000000002E-2</v>
      </c>
      <c r="N39" s="24">
        <f>'Baseline NFPC'!N38</f>
        <v>7.5647930000000002E-2</v>
      </c>
      <c r="O39" s="24">
        <f>'Baseline NFPC'!O38</f>
        <v>7.5647930000000002E-2</v>
      </c>
      <c r="P39" s="24">
        <f>'Baseline NFPC'!P38</f>
        <v>7.5647930000000002E-2</v>
      </c>
      <c r="Q39" s="24">
        <f>'Baseline NFPC'!Q38</f>
        <v>7.5647930000000002E-2</v>
      </c>
      <c r="R39" s="24">
        <f>'Baseline NFPC'!R38</f>
        <v>7.5647930000000002E-2</v>
      </c>
      <c r="S39" s="24">
        <f>'Baseline NFPC'!S38</f>
        <v>7.5647930000000002E-2</v>
      </c>
      <c r="T39" s="24">
        <f>'Baseline NFPC'!T38</f>
        <v>7.5647930000000002E-2</v>
      </c>
      <c r="U39" s="24">
        <f>'Baseline NFPC'!U38</f>
        <v>7.5647930000000002E-2</v>
      </c>
    </row>
    <row r="40" spans="2:49" x14ac:dyDescent="0.2">
      <c r="C40" s="83"/>
      <c r="D40" s="83"/>
      <c r="E40" s="83"/>
      <c r="F40" s="83"/>
      <c r="G40" s="83"/>
      <c r="H40" s="83"/>
      <c r="I40" s="83"/>
      <c r="J40" s="83"/>
      <c r="K40" s="83"/>
      <c r="L40" s="83"/>
      <c r="M40" s="1"/>
      <c r="N40" s="1"/>
      <c r="O40" s="1"/>
      <c r="P40" s="1"/>
      <c r="Q40" s="1"/>
      <c r="R40" s="1"/>
      <c r="S40" s="1"/>
      <c r="T40" s="1"/>
      <c r="U40" s="1"/>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7"/>
    </row>
    <row r="41" spans="2:49" x14ac:dyDescent="0.2">
      <c r="B41" s="18" t="s">
        <v>64</v>
      </c>
      <c r="C41" s="1"/>
      <c r="D41" s="1"/>
      <c r="E41" s="1"/>
      <c r="F41" s="1"/>
      <c r="G41" s="1"/>
      <c r="H41" s="1"/>
      <c r="I41" s="1"/>
      <c r="J41" s="1"/>
      <c r="K41" s="1"/>
      <c r="L41" s="1"/>
      <c r="M41" s="1"/>
      <c r="N41" s="1"/>
      <c r="O41" s="1"/>
      <c r="P41" s="1"/>
      <c r="Q41" s="1"/>
      <c r="R41" s="1"/>
      <c r="S41" s="1"/>
      <c r="T41" s="1"/>
      <c r="U41" s="1"/>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7"/>
    </row>
    <row r="42" spans="2:49" x14ac:dyDescent="0.2">
      <c r="B42" s="16" t="s">
        <v>109</v>
      </c>
      <c r="C42" s="2">
        <f>'Input data'!C42</f>
        <v>3.5126050000000002</v>
      </c>
      <c r="D42" s="2">
        <f>'Input data'!D42</f>
        <v>2.6566770000000002</v>
      </c>
      <c r="E42" s="2">
        <f>'Baseline NFPC'!E41</f>
        <v>3.0686640000000001</v>
      </c>
      <c r="F42" s="2">
        <f>'Baseline NFPC'!F41</f>
        <v>2.9775809999999998</v>
      </c>
      <c r="G42" s="1">
        <f>'Baseline NFPC'!G41</f>
        <v>2.886498</v>
      </c>
      <c r="H42" s="1">
        <f>'Baseline NFPC'!H41</f>
        <v>2.7954150000000002</v>
      </c>
      <c r="I42" s="1">
        <f>'Baseline NFPC'!I41</f>
        <v>2.704332</v>
      </c>
      <c r="J42" s="1">
        <f>'Baseline NFPC'!J41</f>
        <v>2.6132489999999997</v>
      </c>
      <c r="K42" s="1">
        <f>'Baseline NFPC'!K41</f>
        <v>2.5221659999999999</v>
      </c>
      <c r="L42" s="1">
        <f>'Baseline NFPC'!L41</f>
        <v>2.4310830000000001</v>
      </c>
      <c r="M42" s="1">
        <f>'Baseline NFPC'!M41</f>
        <v>2.34</v>
      </c>
      <c r="N42" s="1">
        <f>'Baseline NFPC'!N41</f>
        <v>2.323</v>
      </c>
      <c r="O42" s="1">
        <f>'Baseline NFPC'!O41</f>
        <v>2.306</v>
      </c>
      <c r="P42" s="1">
        <f>'Baseline NFPC'!P41</f>
        <v>2.2889999999999997</v>
      </c>
      <c r="Q42" s="1">
        <f>'Baseline NFPC'!Q41</f>
        <v>2.2719999999999998</v>
      </c>
      <c r="R42" s="1">
        <f>'Baseline NFPC'!R41</f>
        <v>2.2549999999999999</v>
      </c>
      <c r="S42" s="1">
        <f>'Baseline NFPC'!S41</f>
        <v>2.238</v>
      </c>
      <c r="T42" s="1">
        <f>'Baseline NFPC'!T41</f>
        <v>2.2210000000000001</v>
      </c>
      <c r="U42" s="1">
        <f>'Baseline NFPC'!U41</f>
        <v>2.2039999999999997</v>
      </c>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7"/>
    </row>
    <row r="43" spans="2:49" x14ac:dyDescent="0.2">
      <c r="B43" s="16" t="s">
        <v>65</v>
      </c>
      <c r="C43" s="1">
        <f>'Baseline NFPC'!C42</f>
        <v>0.99867589999999995</v>
      </c>
      <c r="D43" s="1">
        <f>'Baseline NFPC'!D42</f>
        <v>0.99891229999999998</v>
      </c>
      <c r="E43" s="1">
        <f>'Baseline NFPC'!E42</f>
        <v>0.99999910000000003</v>
      </c>
      <c r="F43" s="1">
        <f>'Baseline NFPC'!F42</f>
        <v>1</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47"/>
    </row>
    <row r="44" spans="2:49" x14ac:dyDescent="0.2">
      <c r="C44" s="1"/>
      <c r="D44" s="1"/>
      <c r="E44" s="1"/>
      <c r="F44" s="1"/>
      <c r="G44" s="1"/>
      <c r="H44" s="1"/>
      <c r="I44" s="1"/>
      <c r="J44" s="1"/>
      <c r="K44" s="1"/>
      <c r="L44" s="1"/>
      <c r="M44" s="1"/>
      <c r="N44" s="1"/>
      <c r="O44" s="1"/>
      <c r="P44" s="1"/>
      <c r="Q44" s="1"/>
      <c r="R44" s="1"/>
      <c r="S44" s="1"/>
      <c r="T44" s="1"/>
      <c r="U44" s="1"/>
    </row>
    <row r="45" spans="2:49" s="54" customFormat="1" ht="12.75" x14ac:dyDescent="0.2">
      <c r="B45" s="61" t="s">
        <v>66</v>
      </c>
    </row>
    <row r="46" spans="2:49" x14ac:dyDescent="0.2">
      <c r="C46" s="26"/>
    </row>
    <row r="47" spans="2:49" x14ac:dyDescent="0.2">
      <c r="B47" s="41" t="s">
        <v>46</v>
      </c>
      <c r="C47" s="42">
        <f>'Input data'!C49</f>
        <v>0.6</v>
      </c>
    </row>
    <row r="48" spans="2:49" x14ac:dyDescent="0.2">
      <c r="B48" s="43" t="s">
        <v>192</v>
      </c>
      <c r="C48" s="44">
        <f>'Input data'!C50</f>
        <v>0.39500000000000002</v>
      </c>
    </row>
    <row r="49" spans="2:46" x14ac:dyDescent="0.2">
      <c r="C49" s="45"/>
    </row>
    <row r="50" spans="2:46" outlineLevel="1" x14ac:dyDescent="0.2">
      <c r="B50" s="16" t="s">
        <v>67</v>
      </c>
      <c r="C50" s="24">
        <v>0</v>
      </c>
      <c r="D50" s="24">
        <f>IF(AND(ABS((D12-C12)-('Input data'!D13-'Input data'!C13))&gt;0.0001,ABS(D12-C12)&gt;0.0001,D$10&gt;$C$5),4,IF(C50=4,3,IF(C50=3,2,IF(C50=2,1,0))))</f>
        <v>0</v>
      </c>
      <c r="E50" s="24">
        <f>IF(AND(ABS((E12-D12)-('Baseline NFPC'!E12-'Baseline NFPC'!D12))&gt;0.0001,ABS(E12-D12)&gt;0.0001,E$10&gt;$C$5),4,IF(D50=4,3,IF(D50=3,2,IF(D50=2,1,0))))</f>
        <v>4</v>
      </c>
      <c r="F50" s="24">
        <f>IF(AND(ABS((F12-E12)-('Baseline NFPC'!F12-'Baseline NFPC'!E12))&gt;0.0001,ABS(F12-E12)&gt;0.0001,F$10&gt;$C$5),4,IF(E50=4,3,IF(E50=3,2,IF(E50=2,1,0))))</f>
        <v>4</v>
      </c>
      <c r="G50" s="24">
        <f>IF(AND(ABS((G12-F12)-('Baseline NFPC'!G12-'Baseline NFPC'!F12))&gt;0.0001,ABS(G12-F12)&gt;0.0001,G$10&gt;$C$5),4,IF(F50=4,3,IF(F50=3,2,IF(F50=2,1,0))))</f>
        <v>4</v>
      </c>
      <c r="H50" s="24">
        <f>IF(AND(ABS((H12-G12)-('Baseline NFPC'!H12-'Baseline NFPC'!G12))&gt;0.0001,ABS(H12-G12)&gt;0.0001,H$10&gt;$C$5),4,IF(G50=4,3,IF(G50=3,2,IF(G50=2,1,0))))</f>
        <v>4</v>
      </c>
      <c r="I50" s="24">
        <f>IF(AND(ABS((I12-H12)-('Baseline NFPC'!I12-'Baseline NFPC'!H12))&gt;0.0001,ABS(I12-H12)&gt;0.0001,I$10&gt;$C$5),4,IF(H50=4,3,IF(H50=3,2,IF(H50=2,1,0))))</f>
        <v>3</v>
      </c>
      <c r="J50" s="24">
        <f>IF(AND(ABS((J12-I12)-('Baseline NFPC'!J12-'Baseline NFPC'!I12))&gt;0.0001,ABS(J12-I12)&gt;0.0001,J$10&gt;$C$5),4,IF(I50=4,3,IF(I50=3,2,IF(I50=2,1,0))))</f>
        <v>2</v>
      </c>
      <c r="K50" s="24">
        <f>IF(AND(ABS((K12-J12)-('Baseline NFPC'!K12-'Baseline NFPC'!J12))&gt;0.0001,ABS(K12-J12)&gt;0.0001,K$10&gt;$C$5),4,IF(J50=4,3,IF(J50=3,2,IF(J50=2,1,0))))</f>
        <v>1</v>
      </c>
      <c r="L50" s="24">
        <f>IF(AND(ABS((L12-K12)-('Baseline NFPC'!L12-'Baseline NFPC'!K12))&gt;0.0001,ABS(L12-K12)&gt;0.0001,L$10&gt;$C$5),4,IF(K50=4,3,IF(K50=3,2,IF(K50=2,1,0))))</f>
        <v>0</v>
      </c>
      <c r="M50" s="24">
        <f>IF(AND(ABS((M12-L12)-('Baseline NFPC'!M12-'Baseline NFPC'!L12))&gt;0.0001,ABS(M12-L12)&gt;0.0001,M$10&gt;$C$5),4,IF(L50=4,3,IF(L50=3,2,IF(L50=2,1,0))))</f>
        <v>0</v>
      </c>
      <c r="N50" s="24">
        <f>IF(AND(ABS((N12-M12)-('Baseline NFPC'!N12-'Baseline NFPC'!M12))&gt;0.0001,ABS(N12-M12)&gt;0.0001,N$10&gt;$C$5),4,IF(M50=4,3,IF(M50=3,2,IF(M50=2,1,0))))</f>
        <v>0</v>
      </c>
      <c r="O50" s="24">
        <f>IF(AND(ABS((O12-N12)-('Baseline NFPC'!O12-'Baseline NFPC'!N12))&gt;0.0001,ABS(O12-N12)&gt;0.0001,O$10&gt;$C$5),4,IF(N50=4,3,IF(N50=3,2,IF(N50=2,1,0))))</f>
        <v>0</v>
      </c>
      <c r="P50" s="24">
        <f>IF(AND(ABS((P12-O12)-('Baseline NFPC'!P12-'Baseline NFPC'!O12))&gt;0.0001,ABS(P12-O12)&gt;0.0001,P$10&gt;$C$5),4,IF(O50=4,3,IF(O50=3,2,IF(O50=2,1,0))))</f>
        <v>0</v>
      </c>
      <c r="Q50" s="24">
        <f>IF(AND(ABS((Q12-P12)-('Baseline NFPC'!Q12-'Baseline NFPC'!P12))&gt;0.0001,ABS(Q12-P12)&gt;0.0001,Q$10&gt;$C$5),4,IF(P50=4,3,IF(P50=3,2,IF(P50=2,1,0))))</f>
        <v>0</v>
      </c>
      <c r="R50" s="24">
        <f>IF(AND(ABS((R12-Q12)-('Baseline NFPC'!R12-'Baseline NFPC'!Q12))&gt;0.0001,ABS(R12-Q12)&gt;0.0001,R$10&gt;$C$5),4,IF(Q50=4,3,IF(Q50=3,2,IF(Q50=2,1,0))))</f>
        <v>0</v>
      </c>
      <c r="S50" s="24">
        <f>IF(AND(ABS((S12-R12)-('Baseline NFPC'!S12-'Baseline NFPC'!R12))&gt;0.0001,ABS(S12-R12)&gt;0.0001,S$10&gt;$C$5),4,IF(R50=4,3,IF(R50=3,2,IF(R50=2,1,0))))</f>
        <v>0</v>
      </c>
      <c r="T50" s="24">
        <f>IF(AND(ABS((T12-S12)-('Baseline NFPC'!T12-'Baseline NFPC'!S12))&gt;0.0001,ABS(T12-S12)&gt;0.0001,T$10&gt;$C$5),4,IF(S50=4,3,IF(S50=3,2,IF(S50=2,1,0))))</f>
        <v>0</v>
      </c>
      <c r="U50" s="24">
        <f>IF(AND(ABS((U12-T12)-('Baseline NFPC'!U12-'Baseline NFPC'!T12))&gt;0.0001,ABS(U12-T12)&gt;0.0001,U$10&gt;$C$5),4,IF(T50=4,3,IF(T50=3,2,IF(T50=2,1,0))))</f>
        <v>0</v>
      </c>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row>
    <row r="51" spans="2:46" outlineLevel="1" x14ac:dyDescent="0.2">
      <c r="B51" s="16" t="s">
        <v>68</v>
      </c>
      <c r="C51" s="24">
        <v>0</v>
      </c>
      <c r="D51" s="24">
        <v>0</v>
      </c>
      <c r="E51" s="24">
        <f>IF(D50=4,
IF(E$10&lt;='Input data'!$C$4+2,2/3*(D30-'Baseline NFPC'!D29),2/3*D30),
IF(D50=3,
IF(E$10&lt;='Input data'!$C$4+2,1/3*(C30-'Baseline NFPC'!C29),1/3*C30),
0))</f>
        <v>0</v>
      </c>
      <c r="F51" s="24">
        <f>IF(E50=4,
IF(F$10&lt;='Input data'!$C$4+2,2/3*(E30-'Baseline NFPC'!E29),2/3*E30),
IF(E50=3,
IF(F$10&lt;='Input data'!$C$4+2,1/3*(D30-'Baseline NFPC'!D29),1/3*D30),
0))</f>
        <v>-1.6050261192446236E-2</v>
      </c>
      <c r="G51" s="24">
        <f>IF(F50=4,
IF(G$10&lt;='Input data'!$C$4+2,2/3*(F30-'Baseline NFPC'!F29),2/3*F30),
IF(F50=3,
IF(G$10&lt;='Input data'!$C$4+2,1/3*(E30-'Baseline NFPC'!E29),1/3*E30),
0))</f>
        <v>-0.19201502103589618</v>
      </c>
      <c r="H51" s="24">
        <f>IF(G50=4,
IF(H$10&lt;='Input data'!$C$4+2,2/3*(G30-'Baseline NFPC'!G29),2/3*G30),
IF(G50=3,
IF(H$10&lt;='Input data'!$C$4+2,1/3*(F30-'Baseline NFPC'!F29),1/3*F30),
0))</f>
        <v>-0.3092429208137718</v>
      </c>
      <c r="I51" s="24">
        <f>IF(H50=4,
IF(I$10&lt;='Input data'!$C$4+2,2/3*(H30-'Baseline NFPC'!H29),2/3*H30),
IF(H50=3,
IF(I$10&lt;='Input data'!$C$4+2,1/3*(G30-'Baseline NFPC'!G29),1/3*G30),
0))</f>
        <v>-0.38711430973309052</v>
      </c>
      <c r="J51" s="24">
        <f>IF(I50=4,
IF(J$10&lt;='Input data'!$C$4+2,2/3*(I30-'Baseline NFPC'!I29),2/3*I30),
IF(I50=3,
IF(J$10&lt;='Input data'!$C$4+2,1/3*(H30-'Baseline NFPC'!H29),1/3*H30),
0))</f>
        <v>-0.19355715486654526</v>
      </c>
      <c r="K51" s="24">
        <f>IF(J50=4,
IF(K$10&lt;='Input data'!$C$4+2,2/3*(J30-'Baseline NFPC'!J29),2/3*J30),
IF(J50=3,
IF(K$10&lt;='Input data'!$C$4+2,1/3*(I30-'Baseline NFPC'!I29),1/3*I30),
0))</f>
        <v>0</v>
      </c>
      <c r="L51" s="24">
        <f>IF(K50=4,
IF(L$10&lt;='Input data'!$C$4+2,2/3*(K30-'Baseline NFPC'!K29),2/3*K30),
IF(K50=3,
IF(L$10&lt;='Input data'!$C$4+2,1/3*(J30-'Baseline NFPC'!J29),1/3*J30),
0))</f>
        <v>0</v>
      </c>
      <c r="M51" s="24">
        <f>IF(L50=4,
IF(M$10&lt;='Input data'!$C$4+2,2/3*(L30-'Baseline NFPC'!L29),2/3*L30),
IF(L50=3,
IF(M$10&lt;='Input data'!$C$4+2,1/3*(K30-'Baseline NFPC'!K29),1/3*K30),
0))</f>
        <v>0</v>
      </c>
      <c r="N51" s="24">
        <f>IF(M50=4,
IF(N$10&lt;='Input data'!$C$4+2,2/3*(M30-'Baseline NFPC'!M29),2/3*M30),
IF(M50=3,
IF(N$10&lt;='Input data'!$C$4+2,1/3*(L30-'Baseline NFPC'!L29),1/3*L30),
0))</f>
        <v>0</v>
      </c>
      <c r="O51" s="24">
        <f>IF(N50=4,
IF(O$10&lt;='Input data'!$C$4+2,2/3*(N30-'Baseline NFPC'!N29),2/3*N30),
IF(N50=3,
IF(O$10&lt;='Input data'!$C$4+2,1/3*(M30-'Baseline NFPC'!M29),1/3*M30),
0))</f>
        <v>0</v>
      </c>
      <c r="P51" s="24">
        <f>IF(O50=4,
IF(P$10&lt;='Input data'!$C$4+2,2/3*(O30-'Baseline NFPC'!O29),2/3*O30),
IF(O50=3,
IF(P$10&lt;='Input data'!$C$4+2,1/3*(N30-'Baseline NFPC'!N29),1/3*N30),
0))</f>
        <v>0</v>
      </c>
      <c r="Q51" s="24">
        <f>IF(P50=4,
IF(Q$10&lt;='Input data'!$C$4+2,2/3*(P30-'Baseline NFPC'!P29),2/3*P30),
IF(P50=3,
IF(Q$10&lt;='Input data'!$C$4+2,1/3*(O30-'Baseline NFPC'!O29),1/3*O30),
0))</f>
        <v>0</v>
      </c>
      <c r="R51" s="24">
        <f>IF(Q50=4,
IF(R$10&lt;='Input data'!$C$4+2,2/3*(Q30-'Baseline NFPC'!Q29),2/3*Q30),
IF(Q50=3,
IF(R$10&lt;='Input data'!$C$4+2,1/3*(P30-'Baseline NFPC'!P29),1/3*P30),
0))</f>
        <v>0</v>
      </c>
      <c r="S51" s="24">
        <f>IF(R50=4,
IF(S$10&lt;='Input data'!$C$4+2,2/3*(R30-'Baseline NFPC'!R29),2/3*R30),
IF(R50=3,
IF(S$10&lt;='Input data'!$C$4+2,1/3*(Q30-'Baseline NFPC'!Q29),1/3*Q30),
0))</f>
        <v>0</v>
      </c>
      <c r="T51" s="24">
        <f>IF(S50=4,
IF(T$10&lt;='Input data'!$C$4+2,2/3*(S30-'Baseline NFPC'!S29),2/3*S30),
IF(S50=3,
IF(T$10&lt;='Input data'!$C$4+2,1/3*(R30-'Baseline NFPC'!R29),1/3*R30),
0))</f>
        <v>0</v>
      </c>
      <c r="U51" s="24">
        <f>IF(T50=4,
IF(U$10&lt;='Input data'!$C$4+2,2/3*(T30-'Baseline NFPC'!T29),2/3*T30),
IF(T50=3,
IF(U$10&lt;='Input data'!$C$4+2,1/3*(S30-'Baseline NFPC'!S29),1/3*S30),
0))</f>
        <v>0</v>
      </c>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row>
    <row r="52" spans="2:46" outlineLevel="1" x14ac:dyDescent="0.2">
      <c r="B52" s="16" t="s">
        <v>69</v>
      </c>
      <c r="C52" s="24">
        <v>0</v>
      </c>
      <c r="D52" s="24">
        <f>'Input data'!D30-$C$47*((D12-C12)-('Input data'!D13-'Input data'!C13))</f>
        <v>1.7972699999999999</v>
      </c>
      <c r="E52" s="24">
        <f>'Input data'!E30-$C$47*(E12-D12)</f>
        <v>1.875977</v>
      </c>
      <c r="F52" s="24">
        <f>'Input data'!F30-$C$47*(F12-E12)</f>
        <v>1.097251</v>
      </c>
      <c r="G52" s="24">
        <f>'Input data'!G30-$C$47*(G12-F12)</f>
        <v>0.8475379999999999</v>
      </c>
      <c r="H52" s="24">
        <f>'Input data'!H30-$C$47*(H12-G12)</f>
        <v>0.88107599999999997</v>
      </c>
      <c r="I52" s="24">
        <f>'Input data'!I30-$C$47*(I12-H12)</f>
        <v>1.2260850000000001</v>
      </c>
      <c r="J52" s="24">
        <f>'Input data'!J30-$C$47*(J12-I12)</f>
        <v>1.2362679999999999</v>
      </c>
      <c r="K52" s="24">
        <f>'Input data'!K30-$C$47*(K12-J12)</f>
        <v>1.2441960000000001</v>
      </c>
      <c r="L52" s="24">
        <f>'Input data'!L30-$C$47*(L12-K12)</f>
        <v>1.209247</v>
      </c>
      <c r="M52" s="24">
        <f>'Input data'!M30-$C$47*(M12-L12)</f>
        <v>1.140828</v>
      </c>
      <c r="N52" s="24">
        <f>'Input data'!N30-$C$47*(N12-M12)</f>
        <v>1.2572179999999999</v>
      </c>
      <c r="O52" s="24">
        <f>'Input data'!O30-$C$47*(O12-N12)</f>
        <v>1.3736109999999999</v>
      </c>
      <c r="P52" s="24">
        <f>'Input data'!P30-$C$47*(P12-O12)</f>
        <v>1.490002</v>
      </c>
      <c r="Q52" s="24">
        <f>'Input data'!Q30-$C$47*(Q12-P12)</f>
        <v>1.519997</v>
      </c>
      <c r="R52" s="24">
        <f>'Input data'!R30-$C$47*(R12-Q12)</f>
        <v>1.6000019999999999</v>
      </c>
      <c r="S52" s="24">
        <f>'Input data'!S30-$C$47*(S12-R12)</f>
        <v>1.6000049999999999</v>
      </c>
      <c r="T52" s="24">
        <f>'Input data'!T30-$C$47*(T12-S12)</f>
        <v>1.6</v>
      </c>
      <c r="U52" s="24">
        <f>'Input data'!U30-$C$47*(U12-T12)</f>
        <v>1.61</v>
      </c>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row>
    <row r="54" spans="2:46" s="54" customFormat="1" ht="12.75" outlineLevel="1" x14ac:dyDescent="0.2">
      <c r="B54" s="58" t="s">
        <v>70</v>
      </c>
      <c r="C54" s="56"/>
      <c r="D54" s="55"/>
    </row>
    <row r="55" spans="2:46" outlineLevel="1" x14ac:dyDescent="0.2">
      <c r="B55" s="31"/>
      <c r="C55" s="32"/>
      <c r="D55" s="19"/>
    </row>
    <row r="56" spans="2:46" outlineLevel="1" x14ac:dyDescent="0.2">
      <c r="B56" s="67"/>
      <c r="C56" s="68">
        <f>'Input data'!$C$5-1</f>
        <v>2025</v>
      </c>
      <c r="D56" s="68">
        <f>C56+1</f>
        <v>2026</v>
      </c>
      <c r="E56" s="68">
        <f t="shared" ref="E56:U56" si="7">D56+1</f>
        <v>2027</v>
      </c>
      <c r="F56" s="68">
        <f t="shared" si="7"/>
        <v>2028</v>
      </c>
      <c r="G56" s="68">
        <f t="shared" si="7"/>
        <v>2029</v>
      </c>
      <c r="H56" s="68">
        <f t="shared" si="7"/>
        <v>2030</v>
      </c>
      <c r="I56" s="68">
        <f t="shared" si="7"/>
        <v>2031</v>
      </c>
      <c r="J56" s="68">
        <f t="shared" si="7"/>
        <v>2032</v>
      </c>
      <c r="K56" s="68">
        <f t="shared" si="7"/>
        <v>2033</v>
      </c>
      <c r="L56" s="68">
        <f t="shared" si="7"/>
        <v>2034</v>
      </c>
      <c r="M56" s="68">
        <f t="shared" si="7"/>
        <v>2035</v>
      </c>
      <c r="N56" s="68">
        <f t="shared" si="7"/>
        <v>2036</v>
      </c>
      <c r="O56" s="68">
        <f t="shared" si="7"/>
        <v>2037</v>
      </c>
      <c r="P56" s="68">
        <f t="shared" si="7"/>
        <v>2038</v>
      </c>
      <c r="Q56" s="68">
        <f t="shared" si="7"/>
        <v>2039</v>
      </c>
      <c r="R56" s="68">
        <f t="shared" si="7"/>
        <v>2040</v>
      </c>
      <c r="S56" s="68">
        <f t="shared" si="7"/>
        <v>2041</v>
      </c>
      <c r="T56" s="68">
        <f t="shared" si="7"/>
        <v>2042</v>
      </c>
      <c r="U56" s="68">
        <f t="shared" si="7"/>
        <v>2043</v>
      </c>
    </row>
    <row r="57" spans="2:46" ht="10.5" customHeight="1" outlineLevel="1" x14ac:dyDescent="0.2">
      <c r="B57" s="69" t="s">
        <v>71</v>
      </c>
      <c r="C57" s="33">
        <f>+'Input data'!C12</f>
        <v>44.250230000000002</v>
      </c>
      <c r="D57" s="33">
        <f>+C57+D58</f>
        <v>45.838496420963068</v>
      </c>
      <c r="E57" s="33">
        <f>+D57+E58</f>
        <v>46.696591871340651</v>
      </c>
      <c r="F57" s="33">
        <f t="shared" ref="F57:Q57" si="8">+E57+F58</f>
        <v>46.801693588178829</v>
      </c>
      <c r="G57" s="33">
        <f t="shared" si="8"/>
        <v>46.70959934057344</v>
      </c>
      <c r="H57" s="33">
        <f t="shared" si="8"/>
        <v>46.311727405027334</v>
      </c>
      <c r="I57" s="33">
        <f t="shared" si="8"/>
        <v>45.91930130882043</v>
      </c>
      <c r="J57" s="33">
        <f t="shared" si="8"/>
        <v>45.577286437657314</v>
      </c>
      <c r="K57" s="33">
        <f t="shared" si="8"/>
        <v>45.283454164126574</v>
      </c>
      <c r="L57" s="33">
        <f t="shared" si="8"/>
        <v>45.518772091749192</v>
      </c>
      <c r="M57" s="33">
        <f t="shared" si="8"/>
        <v>45.916847828819968</v>
      </c>
      <c r="N57" s="33">
        <f t="shared" si="8"/>
        <v>46.449803873715467</v>
      </c>
      <c r="O57" s="33">
        <f t="shared" si="8"/>
        <v>47.108677116783724</v>
      </c>
      <c r="P57" s="33">
        <f t="shared" si="8"/>
        <v>47.984625056776231</v>
      </c>
      <c r="Q57" s="33">
        <f t="shared" si="8"/>
        <v>48.911605229359552</v>
      </c>
      <c r="R57" s="33">
        <f>+Q57+R58</f>
        <v>49.956945054685214</v>
      </c>
      <c r="S57" s="33">
        <f>+R57+S58</f>
        <v>51.252663449611376</v>
      </c>
      <c r="T57" s="33">
        <f t="shared" ref="T57:U57" si="9">+S57+T58</f>
        <v>52.694663892813267</v>
      </c>
      <c r="U57" s="33">
        <f t="shared" si="9"/>
        <v>54.272638797636539</v>
      </c>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row>
    <row r="58" spans="2:46" outlineLevel="1" x14ac:dyDescent="0.2">
      <c r="B58" s="70" t="s">
        <v>72</v>
      </c>
      <c r="C58" s="34"/>
      <c r="D58" s="34">
        <f>-D59+D67+D72</f>
        <v>1.5882664209630684</v>
      </c>
      <c r="E58" s="34">
        <f>-E59+E67+E72</f>
        <v>0.85809545037758161</v>
      </c>
      <c r="F58" s="34">
        <f t="shared" ref="F58:Q58" si="10">-F59+F67+F72</f>
        <v>0.10510171683818081</v>
      </c>
      <c r="G58" s="34">
        <f t="shared" si="10"/>
        <v>-9.2094247605384982E-2</v>
      </c>
      <c r="H58" s="34">
        <f t="shared" si="10"/>
        <v>-0.39787193554610711</v>
      </c>
      <c r="I58" s="34">
        <f t="shared" si="10"/>
        <v>-0.39242609620690355</v>
      </c>
      <c r="J58" s="34">
        <f t="shared" si="10"/>
        <v>-0.34201487116311519</v>
      </c>
      <c r="K58" s="34">
        <f t="shared" si="10"/>
        <v>-0.29383227353073726</v>
      </c>
      <c r="L58" s="34">
        <f t="shared" si="10"/>
        <v>0.23531792762261861</v>
      </c>
      <c r="M58" s="34">
        <f t="shared" si="10"/>
        <v>0.39807573707077892</v>
      </c>
      <c r="N58" s="34">
        <f t="shared" si="10"/>
        <v>0.53295604489550019</v>
      </c>
      <c r="O58" s="34">
        <f t="shared" si="10"/>
        <v>0.65887324306825468</v>
      </c>
      <c r="P58" s="34">
        <f t="shared" si="10"/>
        <v>0.8759479399925072</v>
      </c>
      <c r="Q58" s="34">
        <f t="shared" si="10"/>
        <v>0.92698017258331933</v>
      </c>
      <c r="R58" s="34">
        <f>-R59+R67+R72</f>
        <v>1.0453398253256623</v>
      </c>
      <c r="S58" s="34">
        <f t="shared" ref="S58:U58" si="11">-S59+S67+S72</f>
        <v>1.2957183949261613</v>
      </c>
      <c r="T58" s="34">
        <f t="shared" si="11"/>
        <v>1.442000443201892</v>
      </c>
      <c r="U58" s="34">
        <f t="shared" si="11"/>
        <v>1.5779749048232736</v>
      </c>
    </row>
    <row r="59" spans="2:46" outlineLevel="1" x14ac:dyDescent="0.2">
      <c r="B59" s="66" t="s">
        <v>73</v>
      </c>
      <c r="C59" s="35"/>
      <c r="D59" s="35">
        <f t="shared" ref="D59:P59" si="12">D60+D61-D62-D63-D64-D65-D66</f>
        <v>-1.4910706209630682</v>
      </c>
      <c r="E59" s="35">
        <f t="shared" si="12"/>
        <v>-0.88226877975652451</v>
      </c>
      <c r="F59" s="35">
        <f t="shared" si="12"/>
        <v>-0.52652789996376859</v>
      </c>
      <c r="G59" s="35">
        <f t="shared" si="12"/>
        <v>-0.13598543058215995</v>
      </c>
      <c r="H59" s="35">
        <f t="shared" si="12"/>
        <v>0.27787577148314369</v>
      </c>
      <c r="I59" s="35">
        <f t="shared" si="12"/>
        <v>0.23982254765542615</v>
      </c>
      <c r="J59" s="35">
        <f t="shared" si="12"/>
        <v>0.30176932382771809</v>
      </c>
      <c r="K59" s="35">
        <f t="shared" si="12"/>
        <v>0.36371610000000199</v>
      </c>
      <c r="L59" s="35">
        <f t="shared" si="12"/>
        <v>4.9208970841668864E-2</v>
      </c>
      <c r="M59" s="35">
        <f t="shared" si="12"/>
        <v>3.470301410922294E-2</v>
      </c>
      <c r="N59" s="35">
        <f t="shared" si="12"/>
        <v>-7.9804115603694825E-2</v>
      </c>
      <c r="O59" s="35">
        <f t="shared" si="12"/>
        <v>-0.19431085701242523</v>
      </c>
      <c r="P59" s="35">
        <f t="shared" si="12"/>
        <v>-0.4088183786104902</v>
      </c>
      <c r="Q59" s="35">
        <f>Q60+Q61-Q62-Q63-Q64-Q65-Q66</f>
        <v>-0.4233279458683894</v>
      </c>
      <c r="R59" s="35">
        <f>R60+R61-R62-R63-R64-R65-R66</f>
        <v>-0.53783546830921791</v>
      </c>
      <c r="S59" s="35">
        <f>S60+S61-S62-S63-S64-S65-S66</f>
        <v>-0.75234182441125785</v>
      </c>
      <c r="T59" s="35">
        <f t="shared" ref="T59:U59" si="13">T60+T61-T62-T63-T64-T65-T66</f>
        <v>-0.86685012441125564</v>
      </c>
      <c r="U59" s="35">
        <f t="shared" si="13"/>
        <v>-0.98135842441126586</v>
      </c>
    </row>
    <row r="60" spans="2:46" outlineLevel="1" x14ac:dyDescent="0.2">
      <c r="B60" s="64" t="s">
        <v>74</v>
      </c>
      <c r="C60" s="1"/>
      <c r="D60" s="1">
        <f>D12</f>
        <v>-1.332759</v>
      </c>
      <c r="E60" s="1">
        <f t="shared" ref="E60:U60" si="14">IF(E12="",D60,E12)</f>
        <v>-0.87275900000000006</v>
      </c>
      <c r="F60" s="1">
        <f t="shared" si="14"/>
        <v>-0.4127590000000001</v>
      </c>
      <c r="G60" s="1">
        <f t="shared" si="14"/>
        <v>4.7240999999999866E-2</v>
      </c>
      <c r="H60" s="1">
        <f t="shared" si="14"/>
        <v>0.50724099999999983</v>
      </c>
      <c r="I60" s="1">
        <f t="shared" si="14"/>
        <v>0.50724099999999983</v>
      </c>
      <c r="J60" s="1">
        <f t="shared" si="14"/>
        <v>0.50724099999999983</v>
      </c>
      <c r="K60" s="1">
        <f t="shared" si="14"/>
        <v>0.50724099999999983</v>
      </c>
      <c r="L60" s="1">
        <f t="shared" si="14"/>
        <v>0.50724099999999983</v>
      </c>
      <c r="M60" s="1">
        <f t="shared" si="14"/>
        <v>0.50724099999999983</v>
      </c>
      <c r="N60" s="1">
        <f t="shared" si="14"/>
        <v>0.50724099999999983</v>
      </c>
      <c r="O60" s="1">
        <f t="shared" si="14"/>
        <v>0.50724099999999983</v>
      </c>
      <c r="P60" s="1">
        <f t="shared" si="14"/>
        <v>0.50724099999999983</v>
      </c>
      <c r="Q60" s="1">
        <f t="shared" si="14"/>
        <v>0.50724099999999983</v>
      </c>
      <c r="R60" s="1">
        <f t="shared" si="14"/>
        <v>0.50724099999999983</v>
      </c>
      <c r="S60" s="1">
        <f t="shared" si="14"/>
        <v>0.50724099999999983</v>
      </c>
      <c r="T60" s="1">
        <f t="shared" si="14"/>
        <v>0.50724099999999983</v>
      </c>
      <c r="U60" s="1">
        <f t="shared" si="14"/>
        <v>0.50724099999999983</v>
      </c>
    </row>
    <row r="61" spans="2:46" outlineLevel="1" x14ac:dyDescent="0.2">
      <c r="B61" s="64"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4" t="s">
        <v>76</v>
      </c>
      <c r="C62" s="1"/>
      <c r="D62" s="1">
        <f t="shared" ref="D62:U62" si="15">-$C$48*D30</f>
        <v>0.15831162096306806</v>
      </c>
      <c r="E62" s="1">
        <f t="shared" si="15"/>
        <v>9.5097797565243947E-3</v>
      </c>
      <c r="F62" s="1">
        <f t="shared" si="15"/>
        <v>0.11376889996376849</v>
      </c>
      <c r="G62" s="1">
        <f t="shared" si="15"/>
        <v>0.18322643058215982</v>
      </c>
      <c r="H62" s="1">
        <f t="shared" si="15"/>
        <v>0.22936522851685615</v>
      </c>
      <c r="I62" s="1">
        <f t="shared" si="15"/>
        <v>0.15291015234457223</v>
      </c>
      <c r="J62" s="1">
        <f t="shared" si="15"/>
        <v>7.645507617228392E-2</v>
      </c>
      <c r="K62" s="1">
        <f t="shared" si="15"/>
        <v>0</v>
      </c>
      <c r="L62" s="1">
        <f t="shared" si="15"/>
        <v>-1.1708416676192712E-6</v>
      </c>
      <c r="M62" s="1">
        <f t="shared" si="15"/>
        <v>-3.5141092217250147E-6</v>
      </c>
      <c r="N62" s="1">
        <f t="shared" si="15"/>
        <v>-4.6843963052989324E-6</v>
      </c>
      <c r="O62" s="1">
        <f t="shared" si="15"/>
        <v>-6.2429875763436726E-6</v>
      </c>
      <c r="P62" s="1">
        <f t="shared" si="15"/>
        <v>-7.0213895106974178E-6</v>
      </c>
      <c r="Q62" s="1">
        <f t="shared" si="15"/>
        <v>-5.8541316114713027E-6</v>
      </c>
      <c r="R62" s="1">
        <f t="shared" si="15"/>
        <v>-6.6316907808561254E-6</v>
      </c>
      <c r="S62" s="1">
        <f t="shared" si="15"/>
        <v>-8.5755887437866107E-6</v>
      </c>
      <c r="T62" s="1">
        <f t="shared" si="15"/>
        <v>-8.5755887437866107E-6</v>
      </c>
      <c r="U62" s="1">
        <f t="shared" si="15"/>
        <v>-8.5755887350158488E-6</v>
      </c>
    </row>
    <row r="63" spans="2:46" outlineLevel="1" x14ac:dyDescent="0.2">
      <c r="B63" s="64" t="s">
        <v>77</v>
      </c>
      <c r="C63" s="1"/>
      <c r="D63" s="1">
        <f t="shared" ref="D63:U63" si="16">-D14</f>
        <v>0</v>
      </c>
      <c r="E63" s="1">
        <f t="shared" si="16"/>
        <v>0</v>
      </c>
      <c r="F63" s="1">
        <f t="shared" si="16"/>
        <v>0</v>
      </c>
      <c r="G63" s="1">
        <f t="shared" si="16"/>
        <v>0</v>
      </c>
      <c r="H63" s="1">
        <f t="shared" si="16"/>
        <v>0</v>
      </c>
      <c r="I63" s="1">
        <f t="shared" si="16"/>
        <v>0</v>
      </c>
      <c r="J63" s="1">
        <f t="shared" si="16"/>
        <v>0</v>
      </c>
      <c r="K63" s="1">
        <f t="shared" si="16"/>
        <v>0</v>
      </c>
      <c r="L63" s="1">
        <f t="shared" si="16"/>
        <v>0</v>
      </c>
      <c r="M63" s="1">
        <f t="shared" si="16"/>
        <v>0</v>
      </c>
      <c r="N63" s="1">
        <f t="shared" si="16"/>
        <v>0</v>
      </c>
      <c r="O63" s="1">
        <f t="shared" si="16"/>
        <v>0</v>
      </c>
      <c r="P63" s="1">
        <f t="shared" si="16"/>
        <v>0</v>
      </c>
      <c r="Q63" s="1">
        <f t="shared" si="16"/>
        <v>0</v>
      </c>
      <c r="R63" s="1">
        <f t="shared" si="16"/>
        <v>0</v>
      </c>
      <c r="S63" s="1">
        <f t="shared" si="16"/>
        <v>0</v>
      </c>
      <c r="T63" s="1">
        <f t="shared" si="16"/>
        <v>0</v>
      </c>
      <c r="U63" s="1">
        <f t="shared" si="16"/>
        <v>0</v>
      </c>
    </row>
    <row r="64" spans="2:46" outlineLevel="1" x14ac:dyDescent="0.2">
      <c r="B64" s="64"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0.10000000000000142</v>
      </c>
      <c r="J64" s="1">
        <f>IF(J$56&lt;=$C$6,0,HLOOKUP(J$56,'Input data'!$C$9:$AZ$26,12,FALSE)-HLOOKUP($C$6,'Input data'!$C$9:$AZ$26,12,FALSE))</f>
        <v>9.9999999999997868E-2</v>
      </c>
      <c r="K64" s="1">
        <f>IF(K$56&lt;=$C$6,0,HLOOKUP(K$56,'Input data'!$C$9:$AZ$26,12,FALSE)-HLOOKUP($C$6,'Input data'!$C$9:$AZ$26,12,FALSE))</f>
        <v>9.9999999999997868E-2</v>
      </c>
      <c r="L64" s="1">
        <f>IF(L$56&lt;=$C$6,0,HLOOKUP(L$56,'Input data'!$C$9:$AZ$26,12,FALSE)-HLOOKUP($C$6,'Input data'!$C$9:$AZ$26,12,FALSE))</f>
        <v>0.39999999999999858</v>
      </c>
      <c r="M64" s="1">
        <f>IF(M$56&lt;=$C$6,0,HLOOKUP(M$56,'Input data'!$C$9:$AZ$26,12,FALSE)-HLOOKUP($C$6,'Input data'!$C$9:$AZ$26,12,FALSE))</f>
        <v>0.39999999999999858</v>
      </c>
      <c r="N64" s="1">
        <f>IF(N$56&lt;=$C$6,0,HLOOKUP(N$56,'Input data'!$C$9:$AZ$26,12,FALSE)-HLOOKUP($C$6,'Input data'!$C$9:$AZ$26,12,FALSE))</f>
        <v>0.5</v>
      </c>
      <c r="O64" s="1">
        <f>IF(O$56&lt;=$C$6,0,HLOOKUP(O$56,'Input data'!$C$9:$AZ$26,12,FALSE)-HLOOKUP($C$6,'Input data'!$C$9:$AZ$26,12,FALSE))</f>
        <v>0.60000000000000142</v>
      </c>
      <c r="P64" s="1">
        <f>IF(P$56&lt;=$C$6,0,HLOOKUP(P$56,'Input data'!$C$9:$AZ$26,12,FALSE)-HLOOKUP($C$6,'Input data'!$C$9:$AZ$26,12,FALSE))</f>
        <v>0.80000000000000071</v>
      </c>
      <c r="Q64" s="1">
        <f>IF(Q$56&lt;=$C$6,0,HLOOKUP(Q$56,'Input data'!$C$9:$AZ$26,12,FALSE)-HLOOKUP($C$6,'Input data'!$C$9:$AZ$26,12,FALSE))</f>
        <v>0.80000000000000071</v>
      </c>
      <c r="R64" s="1">
        <f>IF(R$56&lt;=$C$6,0,HLOOKUP(R$56,'Input data'!$C$9:$AZ$26,12,FALSE)-HLOOKUP($C$6,'Input data'!$C$9:$AZ$26,12,FALSE))</f>
        <v>0.89999999999999858</v>
      </c>
      <c r="S64" s="1">
        <f>IF(S$56&lt;=$C$6,0,HLOOKUP(S$56,'Input data'!$C$9:$AZ$26,12,FALSE)-HLOOKUP($C$6,'Input data'!$C$9:$AZ$26,12,FALSE))</f>
        <v>1.1000000000000014</v>
      </c>
      <c r="T64" s="1">
        <f>IF(T$56&lt;=$C$6,0,HLOOKUP(T$56,'Input data'!$C$9:$AZ$26,12,FALSE)-HLOOKUP($C$6,'Input data'!$C$9:$AZ$26,12,FALSE))</f>
        <v>1.1999999999999993</v>
      </c>
      <c r="U64" s="1">
        <f>IF(U$56&lt;=$C$6,0,HLOOKUP(U$56,'Input data'!$C$9:$AZ$26,12,FALSE)-HLOOKUP($C$6,'Input data'!$C$9:$AZ$26,12,FALSE))</f>
        <v>1.3000000000000007</v>
      </c>
    </row>
    <row r="65" spans="2:21" outlineLevel="1" x14ac:dyDescent="0.2">
      <c r="B65" s="64"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1.450830000000003E-2</v>
      </c>
      <c r="J65" s="1">
        <f>IF(J$56&lt;=$C$6,0,-HLOOKUP(J$56,'Input data'!$C$9:$AZ$26,18,FALSE)+HLOOKUP($C$6,'Input data'!$C$9:$AZ$26,18,FALSE))</f>
        <v>2.9016599999999948E-2</v>
      </c>
      <c r="K65" s="1">
        <f>IF(K$56&lt;=$C$6,0,-HLOOKUP(K$56,'Input data'!$C$9:$AZ$26,18,FALSE)+HLOOKUP($C$6,'Input data'!$C$9:$AZ$26,18,FALSE))</f>
        <v>4.3524899999999977E-2</v>
      </c>
      <c r="L65" s="1">
        <f>IF(L$56&lt;=$C$6,0,-HLOOKUP(L$56,'Input data'!$C$9:$AZ$26,18,FALSE)+HLOOKUP($C$6,'Input data'!$C$9:$AZ$26,18,FALSE))</f>
        <v>5.8033200000000007E-2</v>
      </c>
      <c r="M65" s="1">
        <f>IF(M$56&lt;=$C$6,0,-HLOOKUP(M$56,'Input data'!$C$9:$AZ$26,18,FALSE)+HLOOKUP($C$6,'Input data'!$C$9:$AZ$26,18,FALSE))</f>
        <v>7.2541500000000037E-2</v>
      </c>
      <c r="N65" s="1">
        <f>IF(N$56&lt;=$C$6,0,-HLOOKUP(N$56,'Input data'!$C$9:$AZ$26,18,FALSE)+HLOOKUP($C$6,'Input data'!$C$9:$AZ$26,18,FALSE))</f>
        <v>8.7049799999999955E-2</v>
      </c>
      <c r="O65" s="1">
        <f>IF(O$56&lt;=$C$6,0,-HLOOKUP(O$56,'Input data'!$C$9:$AZ$26,18,FALSE)+HLOOKUP($C$6,'Input data'!$C$9:$AZ$26,18,FALSE))</f>
        <v>0.10155809999999998</v>
      </c>
      <c r="P65" s="1">
        <f>IF(P$56&lt;=$C$6,0,-HLOOKUP(P$56,'Input data'!$C$9:$AZ$26,18,FALSE)+HLOOKUP($C$6,'Input data'!$C$9:$AZ$26,18,FALSE))</f>
        <v>0.11606640000000001</v>
      </c>
      <c r="Q65" s="1">
        <f>IF(Q$56&lt;=$C$6,0,-HLOOKUP(Q$56,'Input data'!$C$9:$AZ$26,18,FALSE)+HLOOKUP($C$6,'Input data'!$C$9:$AZ$26,18,FALSE))</f>
        <v>0.13057479999999999</v>
      </c>
      <c r="R65" s="1">
        <f>IF(R$56&lt;=$C$6,0,-HLOOKUP(R$56,'Input data'!$C$9:$AZ$26,18,FALSE)+HLOOKUP($C$6,'Input data'!$C$9:$AZ$26,18,FALSE))</f>
        <v>0.14508310000000002</v>
      </c>
      <c r="S65" s="181">
        <f>IF(S$56&lt;=$C$6,0,-HLOOKUP(S$56,'Input data'!$C$9:$AZ$26,18,FALSE)+HLOOKUP($C$6,'Input data'!$C$9:$AZ$26,18,FALSE))</f>
        <v>0.15959140000000005</v>
      </c>
      <c r="T65" s="181">
        <f>IF(T$56&lt;=$C$6,0,-HLOOKUP(T$56,'Input data'!$C$9:$AZ$26,18,FALSE)+HLOOKUP($C$6,'Input data'!$C$9:$AZ$26,18,FALSE))</f>
        <v>0.17409969999999997</v>
      </c>
      <c r="U65" s="181">
        <f>IF(U$56&lt;=$C$6,0,-HLOOKUP(U$56,'Input data'!$C$9:$AZ$26,18,FALSE)+HLOOKUP($C$6,'Input data'!$C$9:$AZ$26,18,FALSE))</f>
        <v>0.188608</v>
      </c>
    </row>
    <row r="66" spans="2:21" outlineLevel="1" x14ac:dyDescent="0.2">
      <c r="B66" s="64" t="s">
        <v>80</v>
      </c>
      <c r="C66" s="27"/>
      <c r="D66" s="27">
        <v>0</v>
      </c>
      <c r="E66" s="27">
        <v>0</v>
      </c>
      <c r="F66" s="27">
        <v>0</v>
      </c>
      <c r="G66" s="27">
        <v>0</v>
      </c>
      <c r="H66" s="27">
        <v>0</v>
      </c>
      <c r="I66" s="27">
        <v>0</v>
      </c>
      <c r="J66" s="27">
        <v>0</v>
      </c>
      <c r="K66" s="27">
        <v>0</v>
      </c>
      <c r="L66" s="27">
        <v>0</v>
      </c>
      <c r="M66" s="27">
        <v>0</v>
      </c>
      <c r="N66" s="27">
        <v>0</v>
      </c>
      <c r="O66" s="27">
        <v>0</v>
      </c>
      <c r="P66" s="27">
        <v>0</v>
      </c>
      <c r="Q66" s="27">
        <v>0</v>
      </c>
      <c r="R66" s="27">
        <v>0</v>
      </c>
      <c r="S66" s="182">
        <v>0</v>
      </c>
      <c r="T66" s="182">
        <v>0</v>
      </c>
      <c r="U66" s="182">
        <v>0</v>
      </c>
    </row>
    <row r="67" spans="2:21" outlineLevel="1" x14ac:dyDescent="0.2">
      <c r="B67" s="66" t="s">
        <v>81</v>
      </c>
      <c r="C67" s="35"/>
      <c r="D67" s="35">
        <f t="shared" ref="D67:M67" si="17">SUM(D68:D71)</f>
        <v>-0.60422359999999997</v>
      </c>
      <c r="E67" s="35">
        <f t="shared" si="17"/>
        <v>-0.87413322937894289</v>
      </c>
      <c r="F67" s="35">
        <f t="shared" si="17"/>
        <v>-0.42142618312558777</v>
      </c>
      <c r="G67" s="35">
        <f t="shared" si="17"/>
        <v>-0.22807967818754493</v>
      </c>
      <c r="H67" s="35">
        <f t="shared" si="17"/>
        <v>-0.11999616406296343</v>
      </c>
      <c r="I67" s="35">
        <f t="shared" si="17"/>
        <v>-0.1526035485514774</v>
      </c>
      <c r="J67" s="35">
        <f t="shared" si="17"/>
        <v>-4.0245547335397092E-2</v>
      </c>
      <c r="K67" s="35">
        <f t="shared" si="17"/>
        <v>6.988382646926472E-2</v>
      </c>
      <c r="L67" s="35">
        <f t="shared" si="17"/>
        <v>0.28452689846428747</v>
      </c>
      <c r="M67" s="35">
        <f t="shared" si="17"/>
        <v>0.43277875118000186</v>
      </c>
      <c r="N67" s="35">
        <f t="shared" ref="N67:U67" si="18">SUM(N68:N71)</f>
        <v>0.45315192929180537</v>
      </c>
      <c r="O67" s="35">
        <f t="shared" si="18"/>
        <v>0.46456238605582945</v>
      </c>
      <c r="P67" s="35">
        <f t="shared" si="18"/>
        <v>0.467129561382017</v>
      </c>
      <c r="Q67" s="35">
        <f t="shared" si="18"/>
        <v>0.50365222671492993</v>
      </c>
      <c r="R67" s="35">
        <f t="shared" si="18"/>
        <v>0.50750435701644436</v>
      </c>
      <c r="S67" s="35">
        <f t="shared" si="18"/>
        <v>0.5433765705149034</v>
      </c>
      <c r="T67" s="35">
        <f t="shared" si="18"/>
        <v>0.57515031879063638</v>
      </c>
      <c r="U67" s="35">
        <f t="shared" si="18"/>
        <v>0.59661648041200777</v>
      </c>
    </row>
    <row r="68" spans="2:21" outlineLevel="1" x14ac:dyDescent="0.2">
      <c r="B68" s="64" t="s">
        <v>82</v>
      </c>
      <c r="C68" s="24"/>
      <c r="D68" s="24">
        <f t="shared" ref="D68:U68" si="19">C57*D36/100*(1/(1+D33/100))</f>
        <v>1.3033928890676334</v>
      </c>
      <c r="E68" s="24">
        <f t="shared" si="19"/>
        <v>1.3095717505936093</v>
      </c>
      <c r="F68" s="24">
        <f t="shared" si="19"/>
        <v>1.461474618084855</v>
      </c>
      <c r="G68" s="24">
        <f t="shared" si="19"/>
        <v>1.5602322134632263</v>
      </c>
      <c r="H68" s="24">
        <f t="shared" si="19"/>
        <v>1.6418479775124148</v>
      </c>
      <c r="I68" s="24">
        <f t="shared" si="19"/>
        <v>1.6995732114594087</v>
      </c>
      <c r="J68" s="24">
        <f t="shared" si="19"/>
        <v>1.7613765618481161</v>
      </c>
      <c r="K68" s="24">
        <f t="shared" si="19"/>
        <v>1.8224536919351564</v>
      </c>
      <c r="L68" s="24">
        <f t="shared" si="19"/>
        <v>1.887482303826723</v>
      </c>
      <c r="M68" s="24">
        <f t="shared" si="19"/>
        <v>1.9752575190611863</v>
      </c>
      <c r="N68" s="24">
        <f t="shared" si="19"/>
        <v>2.0527490466143203</v>
      </c>
      <c r="O68" s="24">
        <f t="shared" si="19"/>
        <v>2.1267588017305279</v>
      </c>
      <c r="P68" s="24">
        <f t="shared" si="19"/>
        <v>2.1974551788240944</v>
      </c>
      <c r="Q68" s="24">
        <f t="shared" si="19"/>
        <v>2.2721276719698462</v>
      </c>
      <c r="R68" s="24">
        <f t="shared" si="19"/>
        <v>2.3394139411553461</v>
      </c>
      <c r="S68" s="24">
        <f t="shared" si="19"/>
        <v>2.4064435263301278</v>
      </c>
      <c r="T68" s="24">
        <f t="shared" si="19"/>
        <v>2.4783308917428339</v>
      </c>
      <c r="U68" s="24">
        <f t="shared" si="19"/>
        <v>2.5498980762773784</v>
      </c>
    </row>
    <row r="69" spans="2:21" outlineLevel="1" x14ac:dyDescent="0.2">
      <c r="B69" s="64" t="s">
        <v>83</v>
      </c>
      <c r="C69" s="24"/>
      <c r="D69" s="24">
        <f t="shared" ref="D69:U69" si="20">-C57*(D24/100)*(1/(1+D33/100))</f>
        <v>-0.76103656626649119</v>
      </c>
      <c r="E69" s="24">
        <f t="shared" si="20"/>
        <v>-0.81895387045065537</v>
      </c>
      <c r="F69" s="24">
        <f t="shared" si="20"/>
        <v>-0.53267613456292784</v>
      </c>
      <c r="G69" s="24">
        <f t="shared" si="20"/>
        <v>-0.47528250912779901</v>
      </c>
      <c r="H69" s="24">
        <f t="shared" si="20"/>
        <v>-0.49162489453377539</v>
      </c>
      <c r="I69" s="24">
        <f t="shared" si="20"/>
        <v>-0.63273173799669902</v>
      </c>
      <c r="J69" s="24">
        <f t="shared" si="20"/>
        <v>-0.63219643174517692</v>
      </c>
      <c r="K69" s="24">
        <f t="shared" si="20"/>
        <v>-0.63131495337868127</v>
      </c>
      <c r="L69" s="24">
        <f t="shared" si="20"/>
        <v>-0.52820512082539361</v>
      </c>
      <c r="M69" s="24">
        <f t="shared" si="20"/>
        <v>-0.50169386760081414</v>
      </c>
      <c r="N69" s="24">
        <f t="shared" si="20"/>
        <v>-0.55716445305007589</v>
      </c>
      <c r="O69" s="24">
        <f t="shared" si="20"/>
        <v>-0.61520750268046687</v>
      </c>
      <c r="P69" s="24">
        <f t="shared" si="20"/>
        <v>-0.67613834490722102</v>
      </c>
      <c r="Q69" s="24">
        <f t="shared" si="20"/>
        <v>-0.70248408761063852</v>
      </c>
      <c r="R69" s="24">
        <f t="shared" si="20"/>
        <v>-0.75327607191743806</v>
      </c>
      <c r="S69" s="24">
        <f t="shared" si="20"/>
        <v>-0.76950445427582137</v>
      </c>
      <c r="T69" s="24">
        <f t="shared" si="20"/>
        <v>-0.78959172602654759</v>
      </c>
      <c r="U69" s="24">
        <f t="shared" si="20"/>
        <v>-0.8169362549808612</v>
      </c>
    </row>
    <row r="70" spans="2:21" outlineLevel="1" x14ac:dyDescent="0.2">
      <c r="B70" s="64" t="s">
        <v>84</v>
      </c>
      <c r="C70" s="24"/>
      <c r="D70" s="24">
        <f t="shared" ref="D70:U70" si="21">-C57*D42/100*(1/(1+D42/100))</f>
        <v>-1.1451624163298213</v>
      </c>
      <c r="E70" s="24">
        <f t="shared" si="21"/>
        <v>-1.3647498504602544</v>
      </c>
      <c r="F70" s="24">
        <f t="shared" si="21"/>
        <v>-1.3502248098142675</v>
      </c>
      <c r="G70" s="24">
        <f t="shared" si="21"/>
        <v>-1.3130293825229722</v>
      </c>
      <c r="H70" s="24">
        <f t="shared" si="21"/>
        <v>-1.2702192470416029</v>
      </c>
      <c r="I70" s="24">
        <f t="shared" si="21"/>
        <v>-1.219445022014187</v>
      </c>
      <c r="J70" s="24">
        <f t="shared" si="21"/>
        <v>-1.1694256774383363</v>
      </c>
      <c r="K70" s="24">
        <f t="shared" si="21"/>
        <v>-1.1212549120872104</v>
      </c>
      <c r="L70" s="24">
        <f t="shared" si="21"/>
        <v>-1.0747502845370418</v>
      </c>
      <c r="M70" s="24">
        <f t="shared" si="21"/>
        <v>-1.0407849002803704</v>
      </c>
      <c r="N70" s="24">
        <f t="shared" si="21"/>
        <v>-1.0424326642724391</v>
      </c>
      <c r="O70" s="24">
        <f t="shared" si="21"/>
        <v>-1.0469889129942316</v>
      </c>
      <c r="P70" s="24">
        <f t="shared" si="21"/>
        <v>-1.0541872725348564</v>
      </c>
      <c r="Q70" s="24">
        <f t="shared" si="21"/>
        <v>-1.0659913576442779</v>
      </c>
      <c r="R70" s="24">
        <f t="shared" si="21"/>
        <v>-1.0786335122214636</v>
      </c>
      <c r="S70" s="24">
        <f t="shared" si="21"/>
        <v>-1.093562501539403</v>
      </c>
      <c r="T70" s="24">
        <f t="shared" si="21"/>
        <v>-1.1135888469256501</v>
      </c>
      <c r="U70" s="24">
        <f t="shared" si="21"/>
        <v>-1.1363453408845094</v>
      </c>
    </row>
    <row r="71" spans="2:21" outlineLevel="1" x14ac:dyDescent="0.2">
      <c r="B71" s="64" t="s">
        <v>85</v>
      </c>
      <c r="C71" s="36"/>
      <c r="D71" s="36">
        <f>'Baseline NFPC'!D70</f>
        <v>-1.417506471320884E-3</v>
      </c>
      <c r="E71" s="36">
        <f>'Baseline NFPC'!E70</f>
        <v>-1.2590616423890921E-6</v>
      </c>
      <c r="F71" s="36">
        <f>'Baseline NFPC'!F70</f>
        <v>1.4316675256420552E-7</v>
      </c>
      <c r="G71" s="36">
        <v>0</v>
      </c>
      <c r="H71" s="36">
        <v>0</v>
      </c>
      <c r="I71" s="36">
        <v>0</v>
      </c>
      <c r="J71" s="36">
        <v>0</v>
      </c>
      <c r="K71" s="36">
        <v>0</v>
      </c>
      <c r="L71" s="36">
        <v>0</v>
      </c>
      <c r="M71" s="36">
        <v>0</v>
      </c>
      <c r="N71" s="36">
        <v>0</v>
      </c>
      <c r="O71" s="36">
        <v>0</v>
      </c>
      <c r="P71" s="36">
        <v>0</v>
      </c>
      <c r="Q71" s="36">
        <v>0</v>
      </c>
      <c r="R71" s="36">
        <v>0</v>
      </c>
      <c r="S71" s="36">
        <v>0</v>
      </c>
      <c r="T71" s="36">
        <v>0</v>
      </c>
      <c r="U71" s="36">
        <v>0</v>
      </c>
    </row>
    <row r="72" spans="2:21" outlineLevel="1" x14ac:dyDescent="0.2">
      <c r="B72" s="66" t="s">
        <v>86</v>
      </c>
      <c r="C72" s="37"/>
      <c r="D72" s="37">
        <f>'Input data'!D16</f>
        <v>0.70141940000000003</v>
      </c>
      <c r="E72" s="37">
        <f>'Input data'!E16</f>
        <v>0.84995989999999999</v>
      </c>
      <c r="F72" s="37">
        <f>'Input data'!F16</f>
        <v>0</v>
      </c>
      <c r="G72" s="37">
        <f>'Input data'!G16</f>
        <v>0</v>
      </c>
      <c r="H72" s="37">
        <f>'Input data'!H16</f>
        <v>0</v>
      </c>
      <c r="I72" s="37">
        <f>'Input data'!I16</f>
        <v>0</v>
      </c>
      <c r="J72" s="37">
        <f>'Input data'!J16</f>
        <v>0</v>
      </c>
      <c r="K72" s="37">
        <f>'Input data'!K16</f>
        <v>0</v>
      </c>
      <c r="L72" s="37">
        <f>'Input data'!L16</f>
        <v>0</v>
      </c>
      <c r="M72" s="37">
        <f>'Input data'!M16</f>
        <v>0</v>
      </c>
      <c r="N72" s="37">
        <f>'Input data'!N16</f>
        <v>0</v>
      </c>
      <c r="O72" s="37">
        <f>'Input data'!O16</f>
        <v>0</v>
      </c>
      <c r="P72" s="37">
        <f>'Input data'!P16</f>
        <v>0</v>
      </c>
      <c r="Q72" s="37">
        <f>'Input data'!Q16</f>
        <v>0</v>
      </c>
      <c r="R72" s="37">
        <f>'Input data'!R16</f>
        <v>0</v>
      </c>
      <c r="S72" s="37">
        <f>'Input data'!S16</f>
        <v>0</v>
      </c>
      <c r="T72" s="37">
        <f>'Input data'!T16</f>
        <v>0</v>
      </c>
      <c r="U72" s="37">
        <f>'Input data'!U16</f>
        <v>0</v>
      </c>
    </row>
    <row r="73" spans="2:21" outlineLevel="1" x14ac:dyDescent="0.2">
      <c r="B73" s="64" t="s">
        <v>87</v>
      </c>
      <c r="C73" s="24"/>
      <c r="D73" s="24">
        <f t="shared" ref="D73:U73" si="22">D15</f>
        <v>0.74747770000000002</v>
      </c>
      <c r="E73" s="24">
        <f t="shared" si="22"/>
        <v>0.85</v>
      </c>
      <c r="F73" s="24">
        <f t="shared" si="22"/>
        <v>0</v>
      </c>
      <c r="G73" s="24">
        <f t="shared" si="22"/>
        <v>0</v>
      </c>
      <c r="H73" s="24">
        <f t="shared" si="22"/>
        <v>0</v>
      </c>
      <c r="I73" s="24">
        <f t="shared" si="22"/>
        <v>0</v>
      </c>
      <c r="J73" s="24">
        <f t="shared" si="22"/>
        <v>0</v>
      </c>
      <c r="K73" s="24">
        <f t="shared" si="22"/>
        <v>0</v>
      </c>
      <c r="L73" s="24">
        <f t="shared" si="22"/>
        <v>0</v>
      </c>
      <c r="M73" s="24">
        <f t="shared" si="22"/>
        <v>0</v>
      </c>
      <c r="N73" s="24">
        <f t="shared" si="22"/>
        <v>0</v>
      </c>
      <c r="O73" s="24">
        <f t="shared" si="22"/>
        <v>0</v>
      </c>
      <c r="P73" s="24">
        <f t="shared" si="22"/>
        <v>0</v>
      </c>
      <c r="Q73" s="24">
        <f t="shared" si="22"/>
        <v>0</v>
      </c>
      <c r="R73" s="24">
        <f t="shared" si="22"/>
        <v>0</v>
      </c>
      <c r="S73" s="24">
        <f t="shared" si="22"/>
        <v>0</v>
      </c>
      <c r="T73" s="24">
        <f t="shared" si="22"/>
        <v>0</v>
      </c>
      <c r="U73" s="24">
        <f t="shared" si="22"/>
        <v>0</v>
      </c>
    </row>
    <row r="74" spans="2:21" outlineLevel="1" x14ac:dyDescent="0.2">
      <c r="B74" s="71" t="s">
        <v>88</v>
      </c>
      <c r="C74" s="36"/>
      <c r="D74" s="36">
        <f t="shared" ref="D74:U74" si="23">+D72-D73</f>
        <v>-4.6058299999999996E-2</v>
      </c>
      <c r="E74" s="36">
        <f t="shared" si="23"/>
        <v>-4.0099999999987368E-5</v>
      </c>
      <c r="F74" s="36">
        <f t="shared" si="23"/>
        <v>0</v>
      </c>
      <c r="G74" s="36">
        <f t="shared" si="23"/>
        <v>0</v>
      </c>
      <c r="H74" s="36">
        <f t="shared" si="23"/>
        <v>0</v>
      </c>
      <c r="I74" s="36">
        <f t="shared" si="23"/>
        <v>0</v>
      </c>
      <c r="J74" s="36">
        <f t="shared" si="23"/>
        <v>0</v>
      </c>
      <c r="K74" s="36">
        <f t="shared" si="23"/>
        <v>0</v>
      </c>
      <c r="L74" s="36">
        <f t="shared" si="23"/>
        <v>0</v>
      </c>
      <c r="M74" s="36">
        <f t="shared" si="23"/>
        <v>0</v>
      </c>
      <c r="N74" s="36">
        <f t="shared" si="23"/>
        <v>0</v>
      </c>
      <c r="O74" s="36">
        <f t="shared" si="23"/>
        <v>0</v>
      </c>
      <c r="P74" s="36">
        <f t="shared" si="23"/>
        <v>0</v>
      </c>
      <c r="Q74" s="36">
        <f t="shared" si="23"/>
        <v>0</v>
      </c>
      <c r="R74" s="36">
        <f t="shared" si="23"/>
        <v>0</v>
      </c>
      <c r="S74" s="36">
        <f t="shared" si="23"/>
        <v>0</v>
      </c>
      <c r="T74" s="36">
        <f t="shared" si="23"/>
        <v>0</v>
      </c>
      <c r="U74" s="36">
        <f t="shared" si="23"/>
        <v>0</v>
      </c>
    </row>
    <row r="75" spans="2:21" ht="10.5" customHeight="1" outlineLevel="1" x14ac:dyDescent="0.2"/>
    <row r="76" spans="2:21" ht="10.5" customHeight="1" outlineLevel="1" x14ac:dyDescent="0.2">
      <c r="B76" s="72" t="s">
        <v>89</v>
      </c>
    </row>
    <row r="77" spans="2:21" x14ac:dyDescent="0.2">
      <c r="B77" s="62" t="s">
        <v>19</v>
      </c>
      <c r="C77" s="63">
        <f>'Baseline NFPC'!C76</f>
        <v>-2.1474319999999998</v>
      </c>
      <c r="D77" s="63">
        <f>D59-D68</f>
        <v>-2.7944635100307016</v>
      </c>
      <c r="E77" s="63">
        <f t="shared" ref="E77:U77" si="24">E59-E68</f>
        <v>-2.1918405303501336</v>
      </c>
      <c r="F77" s="63">
        <f t="shared" si="24"/>
        <v>-1.9880025180486236</v>
      </c>
      <c r="G77" s="63">
        <f t="shared" si="24"/>
        <v>-1.6962176440453862</v>
      </c>
      <c r="H77" s="63">
        <f t="shared" si="24"/>
        <v>-1.3639722060292712</v>
      </c>
      <c r="I77" s="63">
        <f t="shared" si="24"/>
        <v>-1.4597506638039826</v>
      </c>
      <c r="J77" s="63">
        <f t="shared" si="24"/>
        <v>-1.4596072380203979</v>
      </c>
      <c r="K77" s="63">
        <f t="shared" si="24"/>
        <v>-1.4587375919351544</v>
      </c>
      <c r="L77" s="63">
        <f t="shared" si="24"/>
        <v>-1.8382733329850542</v>
      </c>
      <c r="M77" s="63">
        <f t="shared" si="24"/>
        <v>-1.9405545049519635</v>
      </c>
      <c r="N77" s="63">
        <f t="shared" si="24"/>
        <v>-2.1325531622180152</v>
      </c>
      <c r="O77" s="63">
        <f t="shared" si="24"/>
        <v>-2.3210696587429531</v>
      </c>
      <c r="P77" s="63">
        <f t="shared" si="24"/>
        <v>-2.6062735574345846</v>
      </c>
      <c r="Q77" s="63">
        <f t="shared" si="24"/>
        <v>-2.6954556178382356</v>
      </c>
      <c r="R77" s="63">
        <f t="shared" si="24"/>
        <v>-2.877249409464564</v>
      </c>
      <c r="S77" s="63">
        <f t="shared" si="24"/>
        <v>-3.1587853507413857</v>
      </c>
      <c r="T77" s="63">
        <f t="shared" si="24"/>
        <v>-3.3451810161540898</v>
      </c>
      <c r="U77" s="63">
        <f t="shared" si="24"/>
        <v>-3.5312565006886443</v>
      </c>
    </row>
    <row r="78" spans="2:21" x14ac:dyDescent="0.2">
      <c r="B78" s="16" t="s">
        <v>20</v>
      </c>
      <c r="C78" s="24">
        <f>'Baseline NFPC'!C77</f>
        <v>-1.81443</v>
      </c>
      <c r="D78" s="24">
        <f>D60-D68-D71-D64-D65-D66</f>
        <v>-2.6347343825963128</v>
      </c>
      <c r="E78" s="24">
        <f t="shared" ref="E78:U78" si="25">E60-E68-E71-E64-E65-E66</f>
        <v>-2.1823294915319669</v>
      </c>
      <c r="F78" s="24">
        <f t="shared" si="25"/>
        <v>-1.8742337612516078</v>
      </c>
      <c r="G78" s="24">
        <f t="shared" si="25"/>
        <v>-1.5129912134632264</v>
      </c>
      <c r="H78" s="24">
        <f t="shared" si="25"/>
        <v>-1.134606977512415</v>
      </c>
      <c r="I78" s="24">
        <f t="shared" si="25"/>
        <v>-1.3068405114594102</v>
      </c>
      <c r="J78" s="24">
        <f t="shared" si="25"/>
        <v>-1.383152161848114</v>
      </c>
      <c r="K78" s="24">
        <f t="shared" si="25"/>
        <v>-1.4587375919351544</v>
      </c>
      <c r="L78" s="24">
        <f t="shared" si="25"/>
        <v>-1.8382745038267219</v>
      </c>
      <c r="M78" s="24">
        <f t="shared" si="25"/>
        <v>-1.9405580190611851</v>
      </c>
      <c r="N78" s="24">
        <f t="shared" si="25"/>
        <v>-2.1325578466143202</v>
      </c>
      <c r="O78" s="24">
        <f t="shared" si="25"/>
        <v>-2.3210759017305298</v>
      </c>
      <c r="P78" s="24">
        <f t="shared" si="25"/>
        <v>-2.6062805788240953</v>
      </c>
      <c r="Q78" s="24">
        <f t="shared" si="25"/>
        <v>-2.6954614719698471</v>
      </c>
      <c r="R78" s="24">
        <f t="shared" si="25"/>
        <v>-2.8772560411553449</v>
      </c>
      <c r="S78" s="24">
        <f t="shared" si="25"/>
        <v>-3.1587939263301292</v>
      </c>
      <c r="T78" s="24">
        <f t="shared" si="25"/>
        <v>-3.3451895917428338</v>
      </c>
      <c r="U78" s="24">
        <f t="shared" si="25"/>
        <v>-3.531265076277379</v>
      </c>
    </row>
    <row r="79" spans="2:21" x14ac:dyDescent="0.2">
      <c r="B79" s="25" t="s">
        <v>90</v>
      </c>
      <c r="C79" s="231">
        <f>'Input data'!C45</f>
        <v>4.9156094989605004</v>
      </c>
      <c r="D79" s="231">
        <f>'Input data'!D45</f>
        <v>6.3502551275700831</v>
      </c>
      <c r="E79" s="36">
        <f>'Input data'!E33+E42-(E$12-D$12-(E$64-D64))/'Input data'!$C$64*100</f>
        <v>3.4626986983175079</v>
      </c>
      <c r="F79" s="36">
        <f>'Input data'!F33+F42-(F$12-E$12-(F$64-E64))/'Input data'!$C$64*100</f>
        <v>3.3360136983175068</v>
      </c>
      <c r="G79" s="36">
        <f>'Input data'!G33+G42-(G$12-F$12-(G$64-F64))/'Input data'!$C$64*100</f>
        <v>3.0228246983175073</v>
      </c>
      <c r="H79" s="36">
        <f>'Input data'!H33+H42-(H$12-G$12-(H$64-G64))/'Input data'!$C$64*100</f>
        <v>2.909889698317508</v>
      </c>
      <c r="I79" s="36">
        <f>'Input data'!I33+I42-(I$12-H$12-(I$64-H64))/'Input data'!$C$64*100</f>
        <v>4.1691307177570671</v>
      </c>
      <c r="J79" s="36">
        <f>'Input data'!J33+J42-(J$12-I$12-(J$64-I64))/'Input data'!$C$64*100</f>
        <v>3.8495149999999914</v>
      </c>
      <c r="K79" s="36">
        <f>'Input data'!K33+K42-(K$12-J$12-(K$64-J64))/'Input data'!$C$64*100</f>
        <v>3.7663659999999997</v>
      </c>
      <c r="L79" s="36">
        <f>'Input data'!L33+L42-(L$12-K$12-(L$64-K64))/'Input data'!$C$64*100</f>
        <v>4.3564591532711923</v>
      </c>
      <c r="M79" s="36">
        <f>'Input data'!M33+M42-(M$12-L$12-(M$64-L64))/'Input data'!$C$64*100</f>
        <v>3.4808219999999999</v>
      </c>
      <c r="N79" s="36">
        <f>'Input data'!N33+N42-(N$12-M$12-(N$64-M64))/'Input data'!$C$64*100</f>
        <v>3.8189257177570668</v>
      </c>
      <c r="O79" s="36">
        <f>'Input data'!O33+O42-(O$12-N$12-(O$64-N64))/'Input data'!$C$64*100</f>
        <v>3.9183177177570667</v>
      </c>
      <c r="P79" s="36">
        <f>'Input data'!P33+P42-(P$12-O$12-(P$64-O64))/'Input data'!$C$64*100</f>
        <v>4.2564214355141257</v>
      </c>
      <c r="Q79" s="36">
        <f>'Input data'!Q33+Q42-(Q$12-P$12-(Q$64-P64))/'Input data'!$C$64*100</f>
        <v>3.7919999999999998</v>
      </c>
      <c r="R79" s="36">
        <f>'Input data'!R33+R42-(R$12-Q$12-(R$64-Q64))/'Input data'!$C$64*100</f>
        <v>4.0937107177570589</v>
      </c>
      <c r="S79" s="36">
        <f>'Input data'!S33+S42-(S$12-R$12-(S$64-R64))/'Input data'!$C$64*100</f>
        <v>4.3154214355141338</v>
      </c>
      <c r="T79" s="36">
        <f>'Input data'!T33+T42-(T$12-S$12-(T$64-S64))/'Input data'!$C$64*100</f>
        <v>4.0597107177570591</v>
      </c>
      <c r="U79" s="36">
        <f>'Input data'!U33+U42-(U$12-T$12-(U$64-T64))/'Input data'!$C$64*100</f>
        <v>4.0527107177570674</v>
      </c>
    </row>
    <row r="80" spans="2:21" x14ac:dyDescent="0.2">
      <c r="C80" s="24"/>
      <c r="D80" s="24"/>
      <c r="E80" s="24"/>
      <c r="F80" s="24"/>
      <c r="G80" s="24"/>
      <c r="H80" s="24"/>
      <c r="I80" s="24"/>
      <c r="J80" s="24"/>
      <c r="K80" s="24"/>
      <c r="L80" s="24"/>
      <c r="M80" s="24"/>
      <c r="N80" s="24"/>
      <c r="O80" s="24"/>
      <c r="P80" s="24"/>
      <c r="Q80" s="24"/>
      <c r="R80" s="24"/>
      <c r="S80" s="24"/>
      <c r="T80" s="24"/>
      <c r="U80" s="24"/>
    </row>
    <row r="81" spans="2:21" x14ac:dyDescent="0.2">
      <c r="B81" s="91" t="s">
        <v>232</v>
      </c>
      <c r="C81" s="39">
        <f>IF('Criteria results'!$F$5=4,AVERAGE(E79:H79),AVERAGE(E79:K79))</f>
        <v>3.1828566983175075</v>
      </c>
      <c r="D81" s="24"/>
      <c r="E81" s="24"/>
      <c r="F81" s="24"/>
      <c r="G81" s="26"/>
      <c r="H81" s="26"/>
      <c r="I81" s="26"/>
      <c r="J81" s="26"/>
      <c r="K81" s="24"/>
      <c r="L81" s="24"/>
      <c r="M81" s="24"/>
      <c r="N81" s="24"/>
      <c r="O81" s="24"/>
      <c r="P81" s="24"/>
      <c r="Q81" s="24"/>
      <c r="R81" s="24"/>
      <c r="S81" s="24"/>
      <c r="T81" s="24"/>
      <c r="U81" s="24"/>
    </row>
    <row r="82" spans="2:21" x14ac:dyDescent="0.2">
      <c r="B82" s="69"/>
      <c r="C82" s="24"/>
      <c r="D82" s="24"/>
      <c r="E82" s="24"/>
      <c r="F82" s="24"/>
      <c r="G82" s="26"/>
      <c r="H82" s="26"/>
      <c r="I82" s="26"/>
      <c r="J82" s="26"/>
      <c r="K82" s="24"/>
      <c r="L82" s="24"/>
      <c r="M82" s="24"/>
      <c r="N82" s="24"/>
      <c r="O82" s="24"/>
      <c r="P82" s="24"/>
      <c r="Q82" s="24"/>
      <c r="R82" s="24"/>
      <c r="S82" s="24"/>
      <c r="T82" s="24"/>
      <c r="U82" s="24"/>
    </row>
    <row r="83" spans="2:21" x14ac:dyDescent="0.2">
      <c r="B83" s="38" t="s">
        <v>140</v>
      </c>
      <c r="C83" s="38"/>
      <c r="D83" s="38"/>
      <c r="E83" s="178"/>
      <c r="F83" s="178"/>
      <c r="G83" s="178"/>
      <c r="H83" s="178"/>
      <c r="I83" s="178">
        <f t="shared" ref="I83:U83" si="26">IF(I57&lt;H57,0,1)</f>
        <v>0</v>
      </c>
      <c r="J83" s="178">
        <f t="shared" si="26"/>
        <v>0</v>
      </c>
      <c r="K83" s="178">
        <f t="shared" si="26"/>
        <v>0</v>
      </c>
      <c r="L83" s="178">
        <f t="shared" si="26"/>
        <v>1</v>
      </c>
      <c r="M83" s="178">
        <f t="shared" si="26"/>
        <v>1</v>
      </c>
      <c r="N83" s="178">
        <f t="shared" si="26"/>
        <v>1</v>
      </c>
      <c r="O83" s="178">
        <f t="shared" si="26"/>
        <v>1</v>
      </c>
      <c r="P83" s="178">
        <f t="shared" si="26"/>
        <v>1</v>
      </c>
      <c r="Q83" s="178">
        <f t="shared" si="26"/>
        <v>1</v>
      </c>
      <c r="R83" s="178">
        <f t="shared" si="26"/>
        <v>1</v>
      </c>
      <c r="S83" s="39">
        <f t="shared" si="26"/>
        <v>1</v>
      </c>
      <c r="T83" s="39">
        <f t="shared" si="26"/>
        <v>1</v>
      </c>
      <c r="U83" s="39">
        <f t="shared" si="26"/>
        <v>1</v>
      </c>
    </row>
    <row r="84" spans="2:21" x14ac:dyDescent="0.2">
      <c r="B84" s="62"/>
      <c r="C84" s="24"/>
      <c r="D84" s="24"/>
      <c r="E84" s="24"/>
      <c r="F84" s="24"/>
      <c r="G84" s="24"/>
      <c r="H84" s="24"/>
      <c r="I84" s="24"/>
      <c r="J84" s="24"/>
      <c r="K84" s="24"/>
      <c r="L84" s="24"/>
      <c r="M84" s="24"/>
      <c r="N84" s="24"/>
      <c r="O84" s="24"/>
      <c r="P84" s="24"/>
      <c r="Q84" s="24"/>
      <c r="R84" s="24"/>
      <c r="S84" s="24"/>
      <c r="T84" s="24"/>
      <c r="U84" s="24"/>
    </row>
    <row r="85" spans="2:21" s="73" customFormat="1" ht="12.75" outlineLevel="1" x14ac:dyDescent="0.2">
      <c r="B85" s="74" t="s">
        <v>91</v>
      </c>
      <c r="C85" s="76"/>
      <c r="D85" s="75"/>
    </row>
    <row r="86" spans="2:21" x14ac:dyDescent="0.2">
      <c r="C86" s="24"/>
      <c r="D86" s="24"/>
      <c r="E86" s="24"/>
      <c r="F86" s="24"/>
      <c r="G86" s="24"/>
      <c r="H86" s="24"/>
      <c r="I86" s="24"/>
      <c r="J86" s="24"/>
      <c r="K86" s="24"/>
      <c r="L86" s="24"/>
      <c r="M86" s="24"/>
      <c r="N86" s="24"/>
      <c r="O86" s="24"/>
      <c r="P86" s="24"/>
      <c r="Q86" s="24"/>
      <c r="R86" s="24"/>
      <c r="S86" s="24"/>
      <c r="T86" s="24"/>
      <c r="U86" s="24"/>
    </row>
    <row r="87" spans="2:21" x14ac:dyDescent="0.2">
      <c r="B87" s="16" t="s">
        <v>92</v>
      </c>
      <c r="C87" s="19"/>
      <c r="D87" s="19">
        <f t="shared" ref="D87:U87" si="27">IF((D92-C92*D43/((1+D24/100)*(1+D42/100)))&gt;0,1,0)</f>
        <v>1</v>
      </c>
      <c r="E87" s="19">
        <f t="shared" si="27"/>
        <v>1</v>
      </c>
      <c r="F87" s="19">
        <f t="shared" si="27"/>
        <v>1</v>
      </c>
      <c r="G87" s="19">
        <f t="shared" si="27"/>
        <v>1</v>
      </c>
      <c r="H87" s="19">
        <f t="shared" si="27"/>
        <v>1</v>
      </c>
      <c r="I87" s="19">
        <f t="shared" si="27"/>
        <v>1</v>
      </c>
      <c r="J87" s="19">
        <f t="shared" si="27"/>
        <v>1</v>
      </c>
      <c r="K87" s="19">
        <f t="shared" si="27"/>
        <v>1</v>
      </c>
      <c r="L87" s="19">
        <f t="shared" si="27"/>
        <v>1</v>
      </c>
      <c r="M87" s="19">
        <f t="shared" si="27"/>
        <v>1</v>
      </c>
      <c r="N87" s="19">
        <f t="shared" si="27"/>
        <v>1</v>
      </c>
      <c r="O87" s="19">
        <f t="shared" si="27"/>
        <v>1</v>
      </c>
      <c r="P87" s="19">
        <f t="shared" si="27"/>
        <v>1</v>
      </c>
      <c r="Q87" s="19">
        <f t="shared" si="27"/>
        <v>1</v>
      </c>
      <c r="R87" s="19">
        <f t="shared" si="27"/>
        <v>1</v>
      </c>
      <c r="S87" s="19">
        <f t="shared" si="27"/>
        <v>1</v>
      </c>
      <c r="T87" s="19">
        <f t="shared" si="27"/>
        <v>1</v>
      </c>
      <c r="U87" s="19">
        <f t="shared" si="27"/>
        <v>1</v>
      </c>
    </row>
    <row r="88" spans="2:21" x14ac:dyDescent="0.2">
      <c r="B88" s="16" t="s">
        <v>93</v>
      </c>
      <c r="C88" s="19"/>
      <c r="D88" s="19">
        <f t="shared" ref="D88:U88" si="28">IF(AND(D87=0,ABS(D92-C92*D43/((1+D24/100)*(1+D42/100)))&lt;((C98*C92*D43/((1+D24/100)*(1+D42/100))+(D39*C92*C99*D43/((1+D24/100)*(1+D42/100)))))),1,0)</f>
        <v>0</v>
      </c>
      <c r="E88" s="19">
        <f t="shared" si="28"/>
        <v>0</v>
      </c>
      <c r="F88" s="19">
        <f t="shared" si="28"/>
        <v>0</v>
      </c>
      <c r="G88" s="19">
        <f t="shared" si="28"/>
        <v>0</v>
      </c>
      <c r="H88" s="19">
        <f t="shared" si="28"/>
        <v>0</v>
      </c>
      <c r="I88" s="19">
        <f t="shared" si="28"/>
        <v>0</v>
      </c>
      <c r="J88" s="19">
        <f t="shared" si="28"/>
        <v>0</v>
      </c>
      <c r="K88" s="19">
        <f t="shared" si="28"/>
        <v>0</v>
      </c>
      <c r="L88" s="19">
        <f t="shared" si="28"/>
        <v>0</v>
      </c>
      <c r="M88" s="19">
        <f t="shared" si="28"/>
        <v>0</v>
      </c>
      <c r="N88" s="19">
        <f t="shared" si="28"/>
        <v>0</v>
      </c>
      <c r="O88" s="19">
        <f t="shared" si="28"/>
        <v>0</v>
      </c>
      <c r="P88" s="19">
        <f t="shared" si="28"/>
        <v>0</v>
      </c>
      <c r="Q88" s="19">
        <f t="shared" si="28"/>
        <v>0</v>
      </c>
      <c r="R88" s="19">
        <f t="shared" si="28"/>
        <v>0</v>
      </c>
      <c r="S88" s="19">
        <f t="shared" si="28"/>
        <v>0</v>
      </c>
      <c r="T88" s="19">
        <f t="shared" si="28"/>
        <v>0</v>
      </c>
      <c r="U88" s="19">
        <f t="shared" si="28"/>
        <v>0</v>
      </c>
    </row>
    <row r="90" spans="2:21" x14ac:dyDescent="0.2">
      <c r="F90" s="28"/>
      <c r="G90" s="28"/>
      <c r="H90" s="28"/>
      <c r="I90" s="28"/>
      <c r="J90" s="28"/>
      <c r="K90" s="28"/>
      <c r="L90" s="28"/>
      <c r="M90" s="28"/>
      <c r="N90" s="28"/>
      <c r="O90" s="28"/>
      <c r="P90" s="28"/>
      <c r="Q90" s="28"/>
      <c r="R90" s="28"/>
    </row>
    <row r="91" spans="2:21" x14ac:dyDescent="0.2">
      <c r="B91" s="38"/>
      <c r="C91" s="68">
        <f>'Input data'!$C$5-1</f>
        <v>2025</v>
      </c>
      <c r="D91" s="68">
        <f>C91+1</f>
        <v>2026</v>
      </c>
      <c r="E91" s="68">
        <f t="shared" ref="E91:U91" si="29">D91+1</f>
        <v>2027</v>
      </c>
      <c r="F91" s="68">
        <f t="shared" si="29"/>
        <v>2028</v>
      </c>
      <c r="G91" s="68">
        <f t="shared" si="29"/>
        <v>2029</v>
      </c>
      <c r="H91" s="68">
        <f t="shared" si="29"/>
        <v>2030</v>
      </c>
      <c r="I91" s="68">
        <f t="shared" si="29"/>
        <v>2031</v>
      </c>
      <c r="J91" s="68">
        <f t="shared" si="29"/>
        <v>2032</v>
      </c>
      <c r="K91" s="68">
        <f t="shared" si="29"/>
        <v>2033</v>
      </c>
      <c r="L91" s="68">
        <f t="shared" si="29"/>
        <v>2034</v>
      </c>
      <c r="M91" s="68">
        <f t="shared" si="29"/>
        <v>2035</v>
      </c>
      <c r="N91" s="68">
        <f t="shared" si="29"/>
        <v>2036</v>
      </c>
      <c r="O91" s="68">
        <f t="shared" si="29"/>
        <v>2037</v>
      </c>
      <c r="P91" s="68">
        <f t="shared" si="29"/>
        <v>2038</v>
      </c>
      <c r="Q91" s="68">
        <f t="shared" si="29"/>
        <v>2039</v>
      </c>
      <c r="R91" s="68">
        <f t="shared" si="29"/>
        <v>2040</v>
      </c>
      <c r="S91" s="68">
        <f t="shared" si="29"/>
        <v>2041</v>
      </c>
      <c r="T91" s="68">
        <f t="shared" si="29"/>
        <v>2042</v>
      </c>
      <c r="U91" s="68">
        <f t="shared" si="29"/>
        <v>2043</v>
      </c>
    </row>
    <row r="92" spans="2:21" x14ac:dyDescent="0.2">
      <c r="B92" s="85" t="s">
        <v>71</v>
      </c>
      <c r="C92" s="89">
        <f>C57</f>
        <v>44.250230000000002</v>
      </c>
      <c r="D92" s="89">
        <f>D57</f>
        <v>45.838496420963068</v>
      </c>
      <c r="E92" s="89">
        <f t="shared" ref="E92:U92" si="30">D92*(1+E106/100)*E43-E60-E61+E62+E63+E64+E65+E66+E73</f>
        <v>46.696592762474289</v>
      </c>
      <c r="F92" s="89">
        <f t="shared" si="30"/>
        <v>46.801694328103437</v>
      </c>
      <c r="G92" s="89">
        <f t="shared" si="30"/>
        <v>46.709600076892166</v>
      </c>
      <c r="H92" s="89">
        <f t="shared" si="30"/>
        <v>46.311728139454459</v>
      </c>
      <c r="I92" s="89">
        <f t="shared" si="30"/>
        <v>45.919302040827532</v>
      </c>
      <c r="J92" s="89">
        <f t="shared" si="30"/>
        <v>45.57728716902286</v>
      </c>
      <c r="K92" s="89">
        <f t="shared" si="30"/>
        <v>45.283454896613527</v>
      </c>
      <c r="L92" s="89">
        <f t="shared" si="30"/>
        <v>45.518772828838543</v>
      </c>
      <c r="M92" s="89">
        <f t="shared" si="30"/>
        <v>45.916848572917345</v>
      </c>
      <c r="N92" s="89">
        <f t="shared" si="30"/>
        <v>46.449804625156318</v>
      </c>
      <c r="O92" s="89">
        <f t="shared" si="30"/>
        <v>47.108677875740021</v>
      </c>
      <c r="P92" s="89">
        <f t="shared" si="30"/>
        <v>47.984625823258334</v>
      </c>
      <c r="Q92" s="89">
        <f t="shared" si="30"/>
        <v>48.911606003886725</v>
      </c>
      <c r="R92" s="89">
        <f t="shared" si="30"/>
        <v>49.956945837248838</v>
      </c>
      <c r="S92" s="89">
        <f t="shared" si="30"/>
        <v>51.252664240686855</v>
      </c>
      <c r="T92" s="89">
        <f t="shared" si="30"/>
        <v>52.694664692766096</v>
      </c>
      <c r="U92" s="89">
        <f t="shared" si="30"/>
        <v>54.272639606646536</v>
      </c>
    </row>
    <row r="93" spans="2:21" x14ac:dyDescent="0.2">
      <c r="B93" s="16" t="s">
        <v>94</v>
      </c>
      <c r="C93" s="24">
        <f>'Baseline NFPC'!C88</f>
        <v>37.049729999999997</v>
      </c>
      <c r="D93" s="24">
        <f>'Baseline NFPC'!D88</f>
        <v>38.429584030670604</v>
      </c>
      <c r="E93" s="24">
        <f t="shared" ref="E93:U93" si="31">IF(E92=0,0,IF(E87=1,D92*E43/((1+E24/100)*(1+E42/100))-E94-E95,IF(AND(E87=0,E88=1),(1-D98-E39*D99)*D92*E43/((1+E24/100)*(1+E42/100)),E92)))</f>
        <v>39.582939665924386</v>
      </c>
      <c r="F93" s="24">
        <f t="shared" si="31"/>
        <v>40.562487342804189</v>
      </c>
      <c r="G93" s="24">
        <f t="shared" si="31"/>
        <v>40.685533499018909</v>
      </c>
      <c r="H93" s="24">
        <f t="shared" si="31"/>
        <v>40.572551232035551</v>
      </c>
      <c r="I93" s="24">
        <f t="shared" si="31"/>
        <v>40.082628395440999</v>
      </c>
      <c r="J93" s="24">
        <f t="shared" si="31"/>
        <v>39.724932576603351</v>
      </c>
      <c r="K93" s="24">
        <f t="shared" si="31"/>
        <v>39.412358932781622</v>
      </c>
      <c r="L93" s="24">
        <f t="shared" si="31"/>
        <v>39.234424604467009</v>
      </c>
      <c r="M93" s="24">
        <f t="shared" si="31"/>
        <v>39.448719369721182</v>
      </c>
      <c r="N93" s="24">
        <f t="shared" si="31"/>
        <v>39.738151659247556</v>
      </c>
      <c r="O93" s="24">
        <f t="shared" si="31"/>
        <v>40.142641607418099</v>
      </c>
      <c r="P93" s="24">
        <f t="shared" si="31"/>
        <v>40.654206045904438</v>
      </c>
      <c r="Q93" s="24">
        <f t="shared" si="31"/>
        <v>41.385664045689609</v>
      </c>
      <c r="R93" s="24">
        <f t="shared" si="31"/>
        <v>42.140263607503897</v>
      </c>
      <c r="S93" s="24">
        <f t="shared" si="31"/>
        <v>43.029188340726321</v>
      </c>
      <c r="T93" s="24">
        <f t="shared" si="31"/>
        <v>44.133058097717182</v>
      </c>
      <c r="U93" s="24">
        <f t="shared" si="31"/>
        <v>45.358440073128989</v>
      </c>
    </row>
    <row r="94" spans="2:21" x14ac:dyDescent="0.2">
      <c r="B94" s="84" t="s">
        <v>95</v>
      </c>
      <c r="C94" s="24">
        <f>'Baseline NFPC'!C89</f>
        <v>2.7018460000000002</v>
      </c>
      <c r="D94" s="24">
        <f>'Baseline NFPC'!D89</f>
        <v>2.8142826680856383</v>
      </c>
      <c r="E94" s="24">
        <f t="shared" ref="E94:U94" si="32">IF(E92=0,0,IF(E87=1,E39*D92*D99*E43/((1+E24/100)*(1+E42/100)),IF(AND(E87=0,E88=1),(E39*D92*D99*E43/((1+E24/100)*(1+E42/100)))*(1-ABS(E92-D92*E43/((1+E24/100)*(1+E42/100)))/((E39*D92*D99*E43/((1+E24/100)*(1+E42/100)))+(D98*D92*E43/((1+E24/100)*(1+E42/100))))),0)))</f>
        <v>2.9363306341867186</v>
      </c>
      <c r="F94" s="24">
        <f t="shared" si="32"/>
        <v>3.0475786369123172</v>
      </c>
      <c r="G94" s="24">
        <f t="shared" si="32"/>
        <v>3.0955925683813983</v>
      </c>
      <c r="H94" s="24">
        <f t="shared" si="32"/>
        <v>3.1257262638607748</v>
      </c>
      <c r="I94" s="24">
        <f t="shared" si="32"/>
        <v>3.1263127198689382</v>
      </c>
      <c r="J94" s="24">
        <f t="shared" si="32"/>
        <v>3.1364694019272084</v>
      </c>
      <c r="K94" s="24">
        <f t="shared" si="32"/>
        <v>3.1496137502300381</v>
      </c>
      <c r="L94" s="24">
        <f t="shared" si="32"/>
        <v>3.1731140213324438</v>
      </c>
      <c r="M94" s="24">
        <f t="shared" si="32"/>
        <v>3.2284386634957305</v>
      </c>
      <c r="N94" s="24">
        <f t="shared" si="32"/>
        <v>3.2521254753593434</v>
      </c>
      <c r="O94" s="24">
        <f t="shared" si="32"/>
        <v>3.2852284761292867</v>
      </c>
      <c r="P94" s="24">
        <f t="shared" si="32"/>
        <v>3.3270943323209692</v>
      </c>
      <c r="Q94" s="24">
        <f t="shared" si="32"/>
        <v>3.3869560293534526</v>
      </c>
      <c r="R94" s="24">
        <f t="shared" si="32"/>
        <v>3.4487116057001983</v>
      </c>
      <c r="S94" s="24">
        <f t="shared" si="32"/>
        <v>3.5214602024487065</v>
      </c>
      <c r="T94" s="24">
        <f t="shared" si="32"/>
        <v>3.6117996573124378</v>
      </c>
      <c r="U94" s="24">
        <f t="shared" si="32"/>
        <v>3.7120835349687233</v>
      </c>
    </row>
    <row r="95" spans="2:21" x14ac:dyDescent="0.2">
      <c r="B95" s="84" t="s">
        <v>96</v>
      </c>
      <c r="C95" s="24">
        <f>'Baseline NFPC'!C90</f>
        <v>0.96484409999999998</v>
      </c>
      <c r="D95" s="24">
        <f>'Baseline NFPC'!D90</f>
        <v>1.0541067161098168</v>
      </c>
      <c r="E95" s="24">
        <f t="shared" ref="E95:U95" si="33">IF(E92=0,0,IF(E87=1,(1-D99)*D92*E43/((1+E24/100)*(1+E42/100)),IF(AND(E87=0,E88=1),(D98*D92*E43/((1+E24/100)*(1+E42/100)))*(1-ABS(E92-D92*E43/((1+E24/100)*(1+E42/100)))/((E39*D92*D99*E43/((1+E24/100)*(1+E42/100)))+(D98*D92*E43/((1+E24/100)*(1+E42/100))))),0)))</f>
        <v>1.1354831106276269</v>
      </c>
      <c r="F95" s="24">
        <f t="shared" si="33"/>
        <v>1.2036258024482782</v>
      </c>
      <c r="G95" s="24">
        <f t="shared" si="33"/>
        <v>1.2322563407795344</v>
      </c>
      <c r="H95" s="24">
        <f t="shared" si="33"/>
        <v>1.2494784116471769</v>
      </c>
      <c r="I95" s="24">
        <f t="shared" si="33"/>
        <v>1.2506102347611909</v>
      </c>
      <c r="J95" s="24">
        <f t="shared" si="33"/>
        <v>1.2562779243935118</v>
      </c>
      <c r="K95" s="24">
        <f t="shared" si="33"/>
        <v>1.2627445924223328</v>
      </c>
      <c r="L95" s="24">
        <f t="shared" si="33"/>
        <v>1.2729608395228815</v>
      </c>
      <c r="M95" s="24">
        <f t="shared" si="33"/>
        <v>1.2991360027629544</v>
      </c>
      <c r="N95" s="24">
        <f t="shared" si="33"/>
        <v>1.3269742950659367</v>
      </c>
      <c r="O95" s="24">
        <f t="shared" si="33"/>
        <v>1.359738099044081</v>
      </c>
      <c r="P95" s="24">
        <f t="shared" si="33"/>
        <v>1.397051852195683</v>
      </c>
      <c r="Q95" s="24">
        <f t="shared" si="33"/>
        <v>1.4435302747116221</v>
      </c>
      <c r="R95" s="24">
        <f t="shared" si="33"/>
        <v>1.4907211775349898</v>
      </c>
      <c r="S95" s="24">
        <f t="shared" si="33"/>
        <v>1.5432303090740866</v>
      </c>
      <c r="T95" s="24">
        <f t="shared" si="33"/>
        <v>1.6046258833297986</v>
      </c>
      <c r="U95" s="24">
        <f t="shared" si="33"/>
        <v>1.6708594591504198</v>
      </c>
    </row>
    <row r="96" spans="2:21" x14ac:dyDescent="0.2">
      <c r="B96" s="84" t="s">
        <v>97</v>
      </c>
      <c r="C96" s="24">
        <f>'Baseline NFPC'!C91</f>
        <v>3.3958969999999997</v>
      </c>
      <c r="D96" s="24">
        <f>'Baseline NFPC'!D91</f>
        <v>3.4023463066334618</v>
      </c>
      <c r="E96" s="24">
        <f>IF(E92=0,0,IF(E87=1,'Input data'!$C$58*(E92-D92*E43/((1+E24/100)*(1+E42/100))),0))</f>
        <v>2.9231248789875068</v>
      </c>
      <c r="F96" s="24">
        <f>IF(F92=0,0,IF(F87=1,'Input data'!$C$58*(F92-E92*F43/((1+F24/100)*(1+F42/100))),0))</f>
        <v>1.9104163729777919</v>
      </c>
      <c r="G96" s="24">
        <f>IF(G92=0,0,IF(G87=1,'Input data'!$C$58*(G92-F92*G43/((1+G24/100)*(1+G42/100))),0))</f>
        <v>1.6300190425119523</v>
      </c>
      <c r="H96" s="24">
        <f>IF(H92=0,0,IF(H87=1,'Input data'!$C$58*(H92-G92*H43/((1+H24/100)*(1+H42/100))),0))</f>
        <v>1.3107402148217213</v>
      </c>
      <c r="I96" s="24">
        <f>IF(I92=0,0,IF(I87=1,'Input data'!$C$58*(I92-H92*I43/((1+I24/100)*(1+I42/100))),0))</f>
        <v>1.4027807085981128</v>
      </c>
      <c r="J96" s="24">
        <f>IF(J92=0,0,IF(J87=1,'Input data'!$C$58*(J92-I92*J43/((1+J24/100)*(1+J42/100))),0))</f>
        <v>1.4026428814033021</v>
      </c>
      <c r="K96" s="24">
        <f>IF(K92=0,0,IF(K87=1,'Input data'!$C$58*(K92-J92*K43/((1+K24/100)*(1+K42/100))),0))</f>
        <v>1.4018071762902393</v>
      </c>
      <c r="L96" s="24">
        <f>IF(L92=0,0,IF(L87=1,'Input data'!$C$58*(L92-K92*L43/((1+L24/100)*(1+L42/100))),0))</f>
        <v>1.7665307013035885</v>
      </c>
      <c r="M96" s="24">
        <f>IF(M92=0,0,IF(M87=1,'Input data'!$C$58*(M92-L92*M43/((1+M24/100)*(1+M42/100))),0))</f>
        <v>1.8648201269135101</v>
      </c>
      <c r="N96" s="24">
        <f>IF(N92=0,0,IF(N87=1,'Input data'!$C$58*(N92-M92*N43/((1+N24/100)*(1+N42/100))),0))</f>
        <v>2.0493256154127084</v>
      </c>
      <c r="O96" s="24">
        <f>IF(O92=0,0,IF(O87=1,'Input data'!$C$58*(O92-N92*O43/((1+O24/100)*(1+O42/100))),0))</f>
        <v>2.2304848420201111</v>
      </c>
      <c r="P96" s="24">
        <f>IF(P92=0,0,IF(P87=1,'Input data'!$C$58*(P92-O92*P43/((1+P24/100)*(1+P42/100))),0))</f>
        <v>2.5045580320748697</v>
      </c>
      <c r="Q96" s="24">
        <f>IF(Q92=0,0,IF(Q87=1,'Input data'!$C$58*(Q92-P92*Q43/((1+Q24/100)*(1+Q42/100))),0))</f>
        <v>2.5902595672270978</v>
      </c>
      <c r="R96" s="24">
        <f>IF(R92=0,0,IF(R87=1,'Input data'!$C$58*(R92-Q92*R43/((1+R24/100)*(1+R42/100))),0))</f>
        <v>2.7649584569109322</v>
      </c>
      <c r="S96" s="24">
        <f>IF(S92=0,0,IF(S87=1,'Input data'!$C$58*(S92-R92*S43/((1+S24/100)*(1+S42/100))),0))</f>
        <v>3.0355068393261049</v>
      </c>
      <c r="T96" s="24">
        <f>IF(T92=0,0,IF(T87=1,'Input data'!$C$58*(T92-S92*T43/((1+T24/100)*(1+T42/100))),0))</f>
        <v>3.2146280043601396</v>
      </c>
      <c r="U96" s="24">
        <f>IF(U92=0,0,IF(U87=1,'Input data'!$C$58*(U92-T92*U43/((1+U24/100)*(1+U42/100))),0))</f>
        <v>3.3934414841839962</v>
      </c>
    </row>
    <row r="97" spans="2:23" x14ac:dyDescent="0.2">
      <c r="B97" s="86" t="s">
        <v>98</v>
      </c>
      <c r="C97" s="36">
        <f>'Baseline NFPC'!C92</f>
        <v>0.1379148</v>
      </c>
      <c r="D97" s="36">
        <f>'Baseline NFPC'!D92</f>
        <v>0.13817669946354927</v>
      </c>
      <c r="E97" s="36">
        <f>IF(E92=0,0,IF(E87=1,'Input data'!$C$57*(E92-D92*E43/((1+E24/100)*(1+E42/100))),0))</f>
        <v>0.11871447274805408</v>
      </c>
      <c r="F97" s="36">
        <f>IF(F92=0,0,IF(F87=1,'Input data'!$C$57*(F92-E92*F43/((1+F24/100)*(1+F42/100))),0))</f>
        <v>7.7586172960856833E-2</v>
      </c>
      <c r="G97" s="36">
        <f>IF(G92=0,0,IF(G87=1,'Input data'!$C$57*(G92-F92*G43/((1+G24/100)*(1+G42/100))),0))</f>
        <v>6.6198626200369523E-2</v>
      </c>
      <c r="H97" s="36">
        <f>IF(H92=0,0,IF(H87=1,'Input data'!$C$57*(H92-G92*H43/((1+H24/100)*(1+H42/100))),0))</f>
        <v>5.3232017089235285E-2</v>
      </c>
      <c r="I97" s="36">
        <f>IF(I92=0,0,IF(I87=1,'Input data'!$C$57*(I92-H92*I43/((1+I24/100)*(1+I42/100))),0))</f>
        <v>5.6969982158288211E-2</v>
      </c>
      <c r="J97" s="36">
        <f>IF(J92=0,0,IF(J87=1,'Input data'!$C$57*(J92-I92*J43/((1+J24/100)*(1+J42/100))),0))</f>
        <v>5.6964384695490804E-2</v>
      </c>
      <c r="K97" s="36">
        <f>IF(K92=0,0,IF(K87=1,'Input data'!$C$57*(K92-J92*K43/((1+K24/100)*(1+K42/100))),0))</f>
        <v>5.6930444889298035E-2</v>
      </c>
      <c r="L97" s="36">
        <f>IF(L92=0,0,IF(L87=1,'Input data'!$C$57*(L92-K92*L43/((1+L24/100)*(1+L42/100))),0))</f>
        <v>7.1742662212619754E-2</v>
      </c>
      <c r="M97" s="36">
        <f>IF(M92=0,0,IF(M87=1,'Input data'!$C$57*(M92-L92*M43/((1+M24/100)*(1+M42/100))),0))</f>
        <v>7.5734410023966275E-2</v>
      </c>
      <c r="N97" s="36">
        <f>IF(N92=0,0,IF(N87=1,'Input data'!$C$57*(N92-M92*N43/((1+N24/100)*(1+N42/100))),0))</f>
        <v>8.3227580070772925E-2</v>
      </c>
      <c r="O97" s="36">
        <f>IF(O92=0,0,IF(O87=1,'Input data'!$C$57*(O92-N92*O43/((1+O24/100)*(1+O42/100))),0))</f>
        <v>9.0584851128447427E-2</v>
      </c>
      <c r="P97" s="36">
        <f>IF(P92=0,0,IF(P87=1,'Input data'!$C$57*(P92-O92*P43/((1+P24/100)*(1+P42/100))),0))</f>
        <v>0.10171556076237782</v>
      </c>
      <c r="Q97" s="36">
        <f>IF(Q92=0,0,IF(Q87=1,'Input data'!$C$57*(Q92-P92*Q43/((1+Q24/100)*(1+Q42/100))),0))</f>
        <v>0.10519608690494195</v>
      </c>
      <c r="R97" s="36">
        <f>IF(R92=0,0,IF(R87=1,'Input data'!$C$57*(R92-Q92*R43/((1+R24/100)*(1+R42/100))),0))</f>
        <v>0.11229098959882562</v>
      </c>
      <c r="S97" s="36">
        <f>IF(S92=0,0,IF(S87=1,'Input data'!$C$57*(S92-R92*S43/((1+S24/100)*(1+S42/100))),0))</f>
        <v>0.12327854911163745</v>
      </c>
      <c r="T97" s="36">
        <f>IF(T92=0,0,IF(T87=1,'Input data'!$C$57*(T92-S92*T43/((1+T24/100)*(1+T42/100))),0))</f>
        <v>0.13055305004654039</v>
      </c>
      <c r="U97" s="36">
        <f>IF(U92=0,0,IF(U87=1,'Input data'!$C$57*(U92-T92*U43/((1+U24/100)*(1+U42/100))),0))</f>
        <v>0.13781505521440945</v>
      </c>
    </row>
    <row r="98" spans="2:23" x14ac:dyDescent="0.2">
      <c r="B98" s="16" t="s">
        <v>49</v>
      </c>
      <c r="C98" s="26">
        <f>'Baseline NFPC'!C93</f>
        <v>2.4920974481943903E-2</v>
      </c>
      <c r="D98" s="26">
        <f>'Baseline NFPC'!D93</f>
        <v>2.6010526275205347E-2</v>
      </c>
      <c r="E98" s="26">
        <f t="shared" ref="E98:U98" si="34">IF(E92&lt;&gt;0,(E95+E97)/(E93+E94+E95+E96+E97),0)</f>
        <v>2.6858438896286304E-2</v>
      </c>
      <c r="F98" s="26">
        <f t="shared" si="34"/>
        <v>2.7375333175487071E-2</v>
      </c>
      <c r="G98" s="26">
        <f t="shared" si="34"/>
        <v>2.779846037736183E-2</v>
      </c>
      <c r="H98" s="26">
        <f t="shared" si="34"/>
        <v>2.8129169026335492E-2</v>
      </c>
      <c r="I98" s="26">
        <f t="shared" si="34"/>
        <v>2.8475611753786899E-2</v>
      </c>
      <c r="J98" s="26">
        <f t="shared" si="34"/>
        <v>2.8813525127523675E-2</v>
      </c>
      <c r="K98" s="26">
        <f t="shared" si="34"/>
        <v>2.914254312804921E-2</v>
      </c>
      <c r="L98" s="26">
        <f t="shared" si="34"/>
        <v>2.9541734501321196E-2</v>
      </c>
      <c r="M98" s="26">
        <f t="shared" si="34"/>
        <v>2.9942612690493878E-2</v>
      </c>
      <c r="N98" s="26">
        <f t="shared" si="34"/>
        <v>3.0359694438261888E-2</v>
      </c>
      <c r="O98" s="26">
        <f t="shared" si="34"/>
        <v>3.0786747061721603E-2</v>
      </c>
      <c r="P98" s="26">
        <f t="shared" si="34"/>
        <v>3.1234325312412929E-2</v>
      </c>
      <c r="Q98" s="26">
        <f t="shared" si="34"/>
        <v>3.1663780606457609E-2</v>
      </c>
      <c r="R98" s="26">
        <f t="shared" si="34"/>
        <v>3.208787367338576E-2</v>
      </c>
      <c r="S98" s="26">
        <f>IF(S92&lt;&gt;0,(S95+S97)/(S93+S94+S95+S96+S97),0)</f>
        <v>3.2515555686230421E-2</v>
      </c>
      <c r="T98" s="26">
        <f t="shared" si="34"/>
        <v>3.2928930158171089E-2</v>
      </c>
      <c r="U98" s="24">
        <f t="shared" si="34"/>
        <v>3.3325714899323386E-2</v>
      </c>
    </row>
    <row r="99" spans="2:23" x14ac:dyDescent="0.2">
      <c r="B99" s="25" t="s">
        <v>50</v>
      </c>
      <c r="C99" s="87">
        <f>'Baseline NFPC'!C94</f>
        <v>0.97507902551805614</v>
      </c>
      <c r="D99" s="87">
        <f>'Baseline NFPC'!D94</f>
        <v>0.97398947372479472</v>
      </c>
      <c r="E99" s="87">
        <f t="shared" ref="E99:U99" si="35">IF(E92&lt;&gt;0,(E93+E94+E96)/(E93+E94+E95+E96+E97),1)</f>
        <v>0.97314156110371375</v>
      </c>
      <c r="F99" s="87">
        <f t="shared" si="35"/>
        <v>0.97262466682451287</v>
      </c>
      <c r="G99" s="87">
        <f t="shared" si="35"/>
        <v>0.97220153962263822</v>
      </c>
      <c r="H99" s="87">
        <f t="shared" si="35"/>
        <v>0.97187083097366456</v>
      </c>
      <c r="I99" s="87">
        <f t="shared" si="35"/>
        <v>0.97152438824621312</v>
      </c>
      <c r="J99" s="87">
        <f t="shared" si="35"/>
        <v>0.97118647487247645</v>
      </c>
      <c r="K99" s="87">
        <f t="shared" si="35"/>
        <v>0.97085745687195091</v>
      </c>
      <c r="L99" s="87">
        <f t="shared" si="35"/>
        <v>0.97045826549867875</v>
      </c>
      <c r="M99" s="87">
        <f t="shared" si="35"/>
        <v>0.97005738730950597</v>
      </c>
      <c r="N99" s="87">
        <f t="shared" si="35"/>
        <v>0.96964030556173797</v>
      </c>
      <c r="O99" s="87">
        <f t="shared" si="35"/>
        <v>0.96921325293827842</v>
      </c>
      <c r="P99" s="87">
        <f t="shared" si="35"/>
        <v>0.96876567468758712</v>
      </c>
      <c r="Q99" s="87">
        <f t="shared" si="35"/>
        <v>0.96833621939354253</v>
      </c>
      <c r="R99" s="87">
        <f t="shared" si="35"/>
        <v>0.96791212632661427</v>
      </c>
      <c r="S99" s="87">
        <f t="shared" si="35"/>
        <v>0.96748444431376945</v>
      </c>
      <c r="T99" s="87">
        <f t="shared" si="35"/>
        <v>0.96707106984182889</v>
      </c>
      <c r="U99" s="36">
        <f t="shared" si="35"/>
        <v>0.96667428510067654</v>
      </c>
    </row>
    <row r="100" spans="2:23" x14ac:dyDescent="0.2">
      <c r="C100" s="28"/>
      <c r="D100" s="28"/>
      <c r="E100" s="28"/>
      <c r="F100" s="28"/>
      <c r="G100" s="28"/>
      <c r="H100" s="28"/>
      <c r="I100" s="28"/>
      <c r="J100" s="28"/>
      <c r="K100" s="28"/>
      <c r="L100" s="28"/>
      <c r="M100" s="28"/>
      <c r="N100" s="28"/>
      <c r="O100" s="28"/>
      <c r="P100" s="28"/>
      <c r="Q100" s="28"/>
      <c r="R100" s="28"/>
      <c r="S100" s="28"/>
      <c r="T100" s="28"/>
      <c r="U100" s="28"/>
    </row>
    <row r="101" spans="2:23" x14ac:dyDescent="0.2">
      <c r="B101" s="91" t="s">
        <v>99</v>
      </c>
      <c r="C101" s="92">
        <f>'Baseline NFPC'!C96</f>
        <v>3.1969609999999999</v>
      </c>
      <c r="D101" s="92">
        <f>'Baseline NFPC'!D96</f>
        <v>3.078103</v>
      </c>
      <c r="E101" s="92">
        <f>'Baseline NFPC'!E96</f>
        <v>2.999835</v>
      </c>
      <c r="F101" s="92">
        <f t="shared" ref="F101:U101" si="36">F103+F104</f>
        <v>3.2612234963345017</v>
      </c>
      <c r="G101" s="92">
        <f t="shared" si="36"/>
        <v>3.4661519633917419</v>
      </c>
      <c r="H101" s="92">
        <f>H103+H104</f>
        <v>3.6527919364235872</v>
      </c>
      <c r="I101" s="92">
        <f t="shared" si="36"/>
        <v>3.8227404164057077</v>
      </c>
      <c r="J101" s="92">
        <f t="shared" si="36"/>
        <v>3.9924506315885533</v>
      </c>
      <c r="K101" s="92">
        <f t="shared" si="36"/>
        <v>4.1585065106652124</v>
      </c>
      <c r="L101" s="92">
        <f t="shared" si="36"/>
        <v>4.3211097800205742</v>
      </c>
      <c r="M101" s="92">
        <f t="shared" si="36"/>
        <v>4.491641677287797</v>
      </c>
      <c r="N101" s="92">
        <f t="shared" si="36"/>
        <v>4.631941317789745</v>
      </c>
      <c r="O101" s="92">
        <f t="shared" si="36"/>
        <v>4.7485430065068339</v>
      </c>
      <c r="P101" s="92">
        <f t="shared" si="36"/>
        <v>4.8425187478570608</v>
      </c>
      <c r="Q101" s="92">
        <f t="shared" si="36"/>
        <v>4.9163067262605171</v>
      </c>
      <c r="R101" s="92">
        <f t="shared" si="36"/>
        <v>4.9690506896741908</v>
      </c>
      <c r="S101" s="92">
        <f t="shared" si="36"/>
        <v>5.0036379295157527</v>
      </c>
      <c r="T101" s="92">
        <f t="shared" si="36"/>
        <v>5.0219997197073161</v>
      </c>
      <c r="U101" s="92">
        <f t="shared" si="36"/>
        <v>5.025283034969183</v>
      </c>
    </row>
    <row r="102" spans="2:23" x14ac:dyDescent="0.2">
      <c r="B102" s="23" t="s">
        <v>100</v>
      </c>
      <c r="C102" s="24"/>
      <c r="D102" s="24"/>
      <c r="E102" s="183">
        <f>IF(D$10&lt;'Input data'!$C$4+2,((E36*D92)-(E38*(D95+D97)))/(D93+D94+D96),
IF(D$10&gt;'Input data'!$C$4+2,IF(D92&gt;0,(D102*D93+E37*(D96+D94))/(D93+D94+D96),E37),
IF(D92&gt;0,(D102*D93+
('Baseline NFPC'!E97*('Baseline NFPC'!D88+'Baseline NFPC'!D89+'Baseline NFPC'!D91)-'Baseline NFPC'!D97*'Baseline NFPC'!D88)/('Baseline NFPC'!D89+'Baseline NFPC'!D91)
*(D96+D94))/(D93+D94+D96),E37)))</f>
        <v>2.9659900792618181</v>
      </c>
      <c r="F102" s="24">
        <f>IF(E$10&lt;'Input data'!$C$4+2,((F36*E92)-(F38*(E95+E97)))/(E93+E94+E96),
IF(E$10&gt;'Input data'!$C$4+2,IF(E92&gt;0,(E102*E93+F37*(E96+E94))/(E93+E94+E96),F37),
IF(E92&gt;0,(E102*E93+
('Baseline NFPC'!F97*('Baseline NFPC'!E88+'Baseline NFPC'!E89+'Baseline NFPC'!E91)-'Baseline NFPC'!E97*'Baseline NFPC'!E88)/('Baseline NFPC'!E89+'Baseline NFPC'!E91)
*(E96+E94))/(E93+E94+E96),F37)))</f>
        <v>3.2330321061834582</v>
      </c>
      <c r="G102" s="24">
        <f>IF(F$10&lt;'Input data'!$C$4+2,((G36*F92)-(G38*(F95+F97)))/(F93+F94+F96),
IF(F$10&gt;'Input data'!$C$4+2,IF(F92&gt;0,(F102*F93+G37*(F96+F94))/(F93+F94+F96),G37),
IF(F92&gt;0,(F102*F93+
('Baseline NFPC'!G97*('Baseline NFPC'!F88+'Baseline NFPC'!F89+'Baseline NFPC'!F91)-'Baseline NFPC'!F97*'Baseline NFPC'!F88)/('Baseline NFPC'!F89+'Baseline NFPC'!F91)
*(F96+F94))/(F93+F94+F96),G37)))</f>
        <v>3.4427352259233226</v>
      </c>
      <c r="H102" s="24">
        <f>IF(G92&gt;0,(G102*G93+H37*(G96+G94))/(G93+G94+G96),H37)</f>
        <v>3.6338972284872693</v>
      </c>
      <c r="I102" s="24">
        <f t="shared" ref="I102:U102" si="37">IF(H92&gt;0,(H102*H93+I37*(H96+H94))/(H93+H94+H96),I37)</f>
        <v>3.8080855424753177</v>
      </c>
      <c r="J102" s="24">
        <f t="shared" si="37"/>
        <v>3.982130797153955</v>
      </c>
      <c r="K102" s="24">
        <f t="shared" si="37"/>
        <v>4.1525282220390496</v>
      </c>
      <c r="L102" s="24">
        <f t="shared" si="37"/>
        <v>4.3194777277432443</v>
      </c>
      <c r="M102" s="24">
        <f t="shared" si="37"/>
        <v>4.4947068341344956</v>
      </c>
      <c r="N102" s="24">
        <f t="shared" si="37"/>
        <v>4.6430700142176011</v>
      </c>
      <c r="O102" s="24">
        <f t="shared" si="37"/>
        <v>4.7672254658153177</v>
      </c>
      <c r="P102" s="24">
        <f t="shared" si="37"/>
        <v>4.8682548473983305</v>
      </c>
      <c r="Q102" s="24">
        <f t="shared" si="37"/>
        <v>4.9486624400654433</v>
      </c>
      <c r="R102" s="24">
        <f t="shared" si="37"/>
        <v>5.0074996103288933</v>
      </c>
      <c r="S102" s="24">
        <f t="shared" si="37"/>
        <v>5.0477287123363856</v>
      </c>
      <c r="T102" s="24">
        <f t="shared" si="37"/>
        <v>5.0713328188969102</v>
      </c>
      <c r="U102" s="24">
        <f t="shared" si="37"/>
        <v>5.0794470773686307</v>
      </c>
    </row>
    <row r="103" spans="2:23" x14ac:dyDescent="0.2">
      <c r="B103" s="16" t="s">
        <v>101</v>
      </c>
      <c r="C103" s="24"/>
      <c r="D103" s="24"/>
      <c r="E103" s="24">
        <f t="shared" ref="E103:U103" si="38">(E102*(D93+D94+D96)+E38*(D95+D97))/D92</f>
        <v>2.9998349999999996</v>
      </c>
      <c r="F103" s="24">
        <f t="shared" si="38"/>
        <v>3.2612234963345017</v>
      </c>
      <c r="G103" s="24">
        <f t="shared" si="38"/>
        <v>3.4661519633917419</v>
      </c>
      <c r="H103" s="24">
        <f t="shared" si="38"/>
        <v>3.6527919364235872</v>
      </c>
      <c r="I103" s="24">
        <f t="shared" si="38"/>
        <v>3.8227404164057077</v>
      </c>
      <c r="J103" s="24">
        <f t="shared" si="38"/>
        <v>3.9924506315885533</v>
      </c>
      <c r="K103" s="24">
        <f t="shared" si="38"/>
        <v>4.1585065106652124</v>
      </c>
      <c r="L103" s="24">
        <f t="shared" si="38"/>
        <v>4.3211097800205742</v>
      </c>
      <c r="M103" s="24">
        <f t="shared" si="38"/>
        <v>4.491641677287797</v>
      </c>
      <c r="N103" s="24">
        <f t="shared" si="38"/>
        <v>4.631941317789745</v>
      </c>
      <c r="O103" s="24">
        <f t="shared" si="38"/>
        <v>4.7485430065068339</v>
      </c>
      <c r="P103" s="24">
        <f t="shared" si="38"/>
        <v>4.8425187478570608</v>
      </c>
      <c r="Q103" s="24">
        <f t="shared" si="38"/>
        <v>4.9163067262605171</v>
      </c>
      <c r="R103" s="24">
        <f t="shared" si="38"/>
        <v>4.9690506896741908</v>
      </c>
      <c r="S103" s="24">
        <f t="shared" si="38"/>
        <v>5.0036379295157527</v>
      </c>
      <c r="T103" s="24">
        <f t="shared" si="38"/>
        <v>5.0219997197073161</v>
      </c>
      <c r="U103" s="24">
        <f t="shared" si="38"/>
        <v>5.025283034969183</v>
      </c>
    </row>
    <row r="104" spans="2:23" x14ac:dyDescent="0.2">
      <c r="B104" s="25" t="s">
        <v>102</v>
      </c>
      <c r="C104" s="36"/>
      <c r="D104" s="36">
        <f>IF('Criteria results'!$F$5=4,D115,D120)</f>
        <v>0</v>
      </c>
      <c r="E104" s="36">
        <f>IF('Criteria results'!$F$5=4,E115,E120)</f>
        <v>0</v>
      </c>
      <c r="F104" s="36">
        <f>IF('Criteria results'!$F$5=4,F115,F120)</f>
        <v>0</v>
      </c>
      <c r="G104" s="36">
        <f>IF('Criteria results'!$F$5=4,G115,G120)</f>
        <v>0</v>
      </c>
      <c r="H104" s="36">
        <f>IF('Criteria results'!$F$5=4,H115,H120)</f>
        <v>0</v>
      </c>
      <c r="I104" s="36">
        <f>IF('Criteria results'!$F$5=4,I115,I120)</f>
        <v>0</v>
      </c>
      <c r="J104" s="36">
        <f>IF('Criteria results'!$F$5=4,J115,J120)</f>
        <v>0</v>
      </c>
      <c r="K104" s="36">
        <f>IF('Criteria results'!$F$5=4,K115,K120)</f>
        <v>0</v>
      </c>
      <c r="L104" s="36">
        <f>IF('Criteria results'!$F$5=4,L115,L120)</f>
        <v>0</v>
      </c>
      <c r="M104" s="36">
        <f>IF('Criteria results'!$F$5=4,M115,M120)</f>
        <v>0</v>
      </c>
      <c r="N104" s="36">
        <f>IF('Criteria results'!$F$5=4,N115,N120)</f>
        <v>0</v>
      </c>
      <c r="O104" s="36">
        <f>IF('Criteria results'!$F$5=4,O115,O120)</f>
        <v>0</v>
      </c>
      <c r="P104" s="36">
        <f>IF('Criteria results'!$F$5=4,P115,P120)</f>
        <v>0</v>
      </c>
      <c r="Q104" s="36">
        <f>IF('Criteria results'!$F$5=4,Q115,Q120)</f>
        <v>0</v>
      </c>
      <c r="R104" s="36">
        <f>IF('Criteria results'!$F$5=4,R115,R120)</f>
        <v>0</v>
      </c>
      <c r="S104" s="36">
        <f>IF('Criteria results'!$F$5=4,S115,S120)</f>
        <v>0</v>
      </c>
      <c r="T104" s="36">
        <f>IF('Criteria results'!$F$5=4,T115,T120)</f>
        <v>0</v>
      </c>
      <c r="U104" s="36">
        <f>IF('Criteria results'!$F$5=4,U115,U120)</f>
        <v>0</v>
      </c>
    </row>
    <row r="105" spans="2:23" x14ac:dyDescent="0.2">
      <c r="C105" s="28"/>
      <c r="D105" s="28"/>
      <c r="E105" s="24"/>
      <c r="F105" s="24"/>
      <c r="G105" s="24"/>
      <c r="H105" s="24"/>
      <c r="I105" s="24"/>
      <c r="J105" s="24"/>
      <c r="K105" s="24"/>
      <c r="L105" s="24"/>
      <c r="M105" s="24"/>
      <c r="N105" s="24"/>
      <c r="O105" s="24"/>
      <c r="P105" s="24"/>
      <c r="Q105" s="24"/>
      <c r="R105" s="24"/>
      <c r="S105" s="24"/>
      <c r="T105" s="24"/>
      <c r="U105" s="24"/>
    </row>
    <row r="106" spans="2:23" x14ac:dyDescent="0.2">
      <c r="B106" s="91" t="s">
        <v>130</v>
      </c>
      <c r="C106" s="92">
        <f t="shared" ref="C106:U106" si="39">((1+C101/100)/((1+C24/100)*(1+C42/100))-1)*100</f>
        <v>-2.8128161195743684</v>
      </c>
      <c r="D106" s="92">
        <f t="shared" si="39"/>
        <v>-1.3622665769843056</v>
      </c>
      <c r="E106" s="92">
        <f t="shared" si="39"/>
        <v>-1.9069822061561825</v>
      </c>
      <c r="F106" s="92">
        <f t="shared" si="39"/>
        <v>-0.90247769570305225</v>
      </c>
      <c r="G106" s="92">
        <f t="shared" si="39"/>
        <v>-0.48733210424921625</v>
      </c>
      <c r="H106" s="92">
        <f t="shared" si="39"/>
        <v>-0.25689829447699264</v>
      </c>
      <c r="I106" s="92">
        <f t="shared" si="39"/>
        <v>-0.32951383397308298</v>
      </c>
      <c r="J106" s="92">
        <f t="shared" si="39"/>
        <v>-8.7644075994819381E-2</v>
      </c>
      <c r="K106" s="92">
        <f t="shared" si="39"/>
        <v>0.1533303799576835</v>
      </c>
      <c r="L106" s="92">
        <f t="shared" si="39"/>
        <v>0.6283241941594131</v>
      </c>
      <c r="M106" s="92">
        <f t="shared" si="39"/>
        <v>0.95076982812207778</v>
      </c>
      <c r="N106" s="92">
        <f t="shared" si="39"/>
        <v>0.98689685969117757</v>
      </c>
      <c r="O106" s="92">
        <f t="shared" si="39"/>
        <v>1.0001385308727073</v>
      </c>
      <c r="P106" s="92">
        <f t="shared" si="39"/>
        <v>0.99159982825240967</v>
      </c>
      <c r="Q106" s="92">
        <f t="shared" si="39"/>
        <v>1.0496116748208273</v>
      </c>
      <c r="R106" s="92">
        <f t="shared" si="39"/>
        <v>1.037594972883471</v>
      </c>
      <c r="S106" s="92">
        <f t="shared" si="39"/>
        <v>1.0876897494834559</v>
      </c>
      <c r="T106" s="92">
        <f t="shared" si="39"/>
        <v>1.1221862047346987</v>
      </c>
      <c r="U106" s="92">
        <f t="shared" si="39"/>
        <v>1.132214225003092</v>
      </c>
    </row>
    <row r="107" spans="2:23" x14ac:dyDescent="0.2">
      <c r="D107" s="24"/>
      <c r="E107" s="24"/>
      <c r="F107" s="24"/>
      <c r="G107" s="24"/>
      <c r="H107" s="24"/>
      <c r="I107" s="24"/>
      <c r="J107" s="24"/>
      <c r="K107" s="24"/>
      <c r="L107" s="24"/>
      <c r="M107" s="24"/>
      <c r="N107" s="24"/>
      <c r="O107" s="24"/>
      <c r="P107" s="24"/>
      <c r="Q107" s="24"/>
      <c r="R107" s="24"/>
      <c r="S107" s="24"/>
      <c r="T107" s="24"/>
      <c r="U107" s="24"/>
    </row>
    <row r="108" spans="2:23" x14ac:dyDescent="0.2">
      <c r="B108" s="346"/>
      <c r="C108" s="346"/>
      <c r="D108" s="347"/>
      <c r="E108" s="347"/>
      <c r="F108" s="347"/>
      <c r="G108" s="351"/>
      <c r="H108" s="351"/>
      <c r="I108" s="176"/>
      <c r="J108" s="176"/>
      <c r="K108" s="176"/>
      <c r="L108" s="176"/>
      <c r="M108" s="176"/>
      <c r="N108" s="176"/>
      <c r="O108" s="176"/>
      <c r="P108" s="176"/>
      <c r="Q108" s="176"/>
      <c r="R108" s="176"/>
      <c r="S108" s="24"/>
      <c r="T108" s="24"/>
      <c r="U108" s="24"/>
    </row>
    <row r="109" spans="2:23" x14ac:dyDescent="0.2">
      <c r="R109" s="49"/>
      <c r="S109" s="49"/>
      <c r="T109" s="49"/>
      <c r="U109" s="49"/>
      <c r="V109" s="49"/>
      <c r="W109" s="49"/>
    </row>
    <row r="110" spans="2:23" s="15" customFormat="1" ht="12.75" outlineLevel="1" x14ac:dyDescent="0.2">
      <c r="B110" s="15" t="s">
        <v>103</v>
      </c>
      <c r="C110" s="90"/>
      <c r="D110" s="90"/>
      <c r="E110" s="90"/>
      <c r="F110" s="90"/>
      <c r="G110" s="90"/>
      <c r="H110" s="90"/>
      <c r="I110" s="90"/>
      <c r="J110" s="90"/>
      <c r="K110" s="90"/>
      <c r="L110" s="90"/>
      <c r="M110" s="90"/>
      <c r="N110" s="90"/>
      <c r="O110" s="90"/>
      <c r="P110" s="90"/>
      <c r="Q110" s="90"/>
      <c r="R110" s="90"/>
      <c r="S110" s="90"/>
      <c r="T110" s="90"/>
      <c r="U110" s="90"/>
    </row>
    <row r="111" spans="2:23" s="81" customFormat="1" ht="12.75" outlineLevel="1" x14ac:dyDescent="0.2">
      <c r="C111" s="99"/>
      <c r="D111" s="99"/>
      <c r="E111" s="99"/>
      <c r="F111" s="99"/>
      <c r="G111" s="99"/>
      <c r="H111" s="99"/>
      <c r="I111" s="99"/>
      <c r="J111" s="99"/>
      <c r="K111" s="99"/>
      <c r="L111" s="99"/>
      <c r="M111" s="99"/>
      <c r="N111" s="99"/>
      <c r="O111" s="99"/>
      <c r="P111" s="99"/>
      <c r="Q111" s="99"/>
      <c r="R111" s="99"/>
      <c r="S111" s="99"/>
      <c r="T111" s="99"/>
      <c r="U111" s="99"/>
    </row>
    <row r="112" spans="2:23" s="81" customFormat="1" ht="12.75" outlineLevel="1" x14ac:dyDescent="0.2">
      <c r="B112" s="85" t="s">
        <v>235</v>
      </c>
      <c r="C112" s="100"/>
      <c r="D112" s="100"/>
      <c r="E112" s="100"/>
      <c r="F112" s="27"/>
      <c r="G112" s="27"/>
      <c r="H112" s="27"/>
      <c r="I112" s="27"/>
      <c r="J112" s="27"/>
      <c r="K112" s="27"/>
      <c r="L112" s="27"/>
      <c r="M112" s="27"/>
      <c r="N112" s="27"/>
      <c r="O112" s="27"/>
      <c r="P112" s="27"/>
      <c r="Q112" s="27"/>
      <c r="R112" s="27"/>
      <c r="S112" s="100"/>
      <c r="T112" s="100"/>
      <c r="U112" s="100"/>
    </row>
    <row r="113" spans="1:51" outlineLevel="1" x14ac:dyDescent="0.2">
      <c r="B113" s="97" t="s">
        <v>21</v>
      </c>
      <c r="C113" s="24">
        <v>44.250232696533203</v>
      </c>
      <c r="D113" s="24">
        <v>45.838497161865234</v>
      </c>
      <c r="E113" s="24">
        <v>46.69659423828125</v>
      </c>
      <c r="F113" s="24">
        <v>46.801700592041016</v>
      </c>
      <c r="G113" s="24">
        <v>46.709598541259766</v>
      </c>
      <c r="H113" s="24">
        <v>46.311725616455078</v>
      </c>
      <c r="I113" s="24">
        <v>45.919300079345703</v>
      </c>
      <c r="J113" s="24">
        <v>45.577285766601563</v>
      </c>
      <c r="K113" s="24">
        <v>45.283458709716797</v>
      </c>
      <c r="L113" s="24">
        <v>45.518779754638672</v>
      </c>
      <c r="M113" s="24">
        <v>45.916858673095703</v>
      </c>
      <c r="N113" s="24">
        <v>46.449821472167969</v>
      </c>
      <c r="O113" s="24">
        <v>47.10870361328125</v>
      </c>
      <c r="P113" s="24">
        <v>47.984657287597656</v>
      </c>
      <c r="Q113" s="24">
        <v>48.911643981933594</v>
      </c>
      <c r="R113" s="24">
        <v>49.956993103027344</v>
      </c>
      <c r="S113" s="24">
        <v>51.252719879150391</v>
      </c>
      <c r="T113" s="24">
        <v>52.694732666015625</v>
      </c>
      <c r="U113" s="24">
        <v>54.272716522216797</v>
      </c>
      <c r="V113" s="93"/>
      <c r="W113" s="49"/>
    </row>
    <row r="114" spans="1:51" x14ac:dyDescent="0.2">
      <c r="B114" s="16" t="s">
        <v>99</v>
      </c>
      <c r="C114" s="1">
        <v>3.1969614028930664</v>
      </c>
      <c r="D114" s="1">
        <v>3.0781028270721436</v>
      </c>
      <c r="E114" s="1">
        <v>2.9998354911804199</v>
      </c>
      <c r="F114" s="1">
        <v>3.2612240314483643</v>
      </c>
      <c r="G114" s="1">
        <v>3.4661521911621094</v>
      </c>
      <c r="H114" s="1">
        <v>3.6527919769287109</v>
      </c>
      <c r="I114" s="1">
        <v>3.8227403163909912</v>
      </c>
      <c r="J114" s="1">
        <v>3.9924507141113281</v>
      </c>
      <c r="K114" s="1">
        <v>4.1585068702697754</v>
      </c>
      <c r="L114" s="1">
        <v>4.3211097717285156</v>
      </c>
      <c r="M114" s="1">
        <v>4.4916419982910156</v>
      </c>
      <c r="N114" s="1">
        <v>4.6319417953491211</v>
      </c>
      <c r="O114" s="1">
        <v>4.7485432624816895</v>
      </c>
      <c r="P114" s="1">
        <v>4.8425188064575195</v>
      </c>
      <c r="Q114" s="1">
        <v>4.9163069725036621</v>
      </c>
      <c r="R114" s="1">
        <v>4.9690508842468262</v>
      </c>
      <c r="S114" s="1">
        <v>5.0036382675170898</v>
      </c>
      <c r="T114" s="1">
        <v>5.0219998359680176</v>
      </c>
      <c r="U114" s="1">
        <v>5.0252833366394043</v>
      </c>
      <c r="V114" s="94"/>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7"/>
    </row>
    <row r="115" spans="1:51" x14ac:dyDescent="0.2">
      <c r="B115" s="16" t="s">
        <v>129</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94"/>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7"/>
    </row>
    <row r="116" spans="1:51" x14ac:dyDescent="0.2">
      <c r="C116" s="78"/>
      <c r="D116" s="78"/>
      <c r="E116" s="78"/>
      <c r="F116" s="78"/>
      <c r="G116" s="78"/>
      <c r="H116" s="78"/>
      <c r="I116" s="78"/>
      <c r="J116" s="78"/>
      <c r="K116" s="78"/>
      <c r="L116" s="78"/>
      <c r="M116" s="78"/>
      <c r="N116" s="78"/>
      <c r="O116" s="78"/>
      <c r="P116" s="78"/>
      <c r="Q116" s="78"/>
      <c r="R116" s="78"/>
      <c r="S116" s="82"/>
      <c r="T116" s="82"/>
      <c r="U116" s="82"/>
      <c r="V116" s="94"/>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7"/>
    </row>
    <row r="117" spans="1:51" x14ac:dyDescent="0.2">
      <c r="B117" s="85" t="s">
        <v>236</v>
      </c>
      <c r="C117" s="27"/>
      <c r="D117" s="27"/>
      <c r="E117" s="27"/>
      <c r="F117" s="27"/>
      <c r="G117" s="27"/>
      <c r="H117" s="27"/>
      <c r="I117" s="27"/>
      <c r="J117" s="27"/>
      <c r="K117" s="27"/>
      <c r="L117" s="27"/>
      <c r="M117" s="27"/>
      <c r="N117" s="27"/>
      <c r="O117" s="27"/>
      <c r="P117" s="27"/>
      <c r="Q117" s="27"/>
      <c r="R117" s="27"/>
      <c r="S117" s="27"/>
      <c r="T117" s="101"/>
      <c r="U117" s="101"/>
      <c r="V117" s="94"/>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7"/>
    </row>
    <row r="118" spans="1:51" outlineLevel="1" x14ac:dyDescent="0.2">
      <c r="B118" s="97" t="s">
        <v>21</v>
      </c>
      <c r="C118" s="24">
        <v>44.250232696533203</v>
      </c>
      <c r="D118" s="24">
        <v>45.838497161865234</v>
      </c>
      <c r="E118" s="24">
        <v>46.766986846923828</v>
      </c>
      <c r="F118" s="24">
        <v>47.073238372802734</v>
      </c>
      <c r="G118" s="24">
        <v>47.318946838378906</v>
      </c>
      <c r="H118" s="24">
        <v>47.399692535400391</v>
      </c>
      <c r="I118" s="24">
        <v>47.289161682128906</v>
      </c>
      <c r="J118" s="24">
        <v>46.980232238769531</v>
      </c>
      <c r="K118" s="24">
        <v>46.465614318847656</v>
      </c>
      <c r="L118" s="24">
        <v>46.22808837890625</v>
      </c>
      <c r="M118" s="24">
        <v>46.079475402832031</v>
      </c>
      <c r="N118" s="24">
        <v>45.988273620605469</v>
      </c>
      <c r="O118" s="24">
        <v>46.091789245605469</v>
      </c>
      <c r="P118" s="24">
        <v>46.404010772705078</v>
      </c>
      <c r="Q118" s="24">
        <v>46.759098052978516</v>
      </c>
      <c r="R118" s="24">
        <v>47.226139068603516</v>
      </c>
      <c r="S118" s="24">
        <v>47.936302185058594</v>
      </c>
      <c r="T118" s="24">
        <v>48.785942077636719</v>
      </c>
      <c r="U118" s="24">
        <v>49.765647888183594</v>
      </c>
      <c r="V118" s="93"/>
      <c r="W118" s="49"/>
    </row>
    <row r="119" spans="1:51" x14ac:dyDescent="0.2">
      <c r="B119" s="16" t="s">
        <v>99</v>
      </c>
      <c r="C119" s="1">
        <v>3.1969614028930664</v>
      </c>
      <c r="D119" s="1">
        <v>3.0781028270721436</v>
      </c>
      <c r="E119" s="1">
        <v>2.9998354911804199</v>
      </c>
      <c r="F119" s="1">
        <v>3.2652888298034668</v>
      </c>
      <c r="G119" s="1">
        <v>3.4777514934539795</v>
      </c>
      <c r="H119" s="1">
        <v>3.675044059753418</v>
      </c>
      <c r="I119" s="1">
        <v>3.8586292266845703</v>
      </c>
      <c r="J119" s="1">
        <v>4.0299005508422852</v>
      </c>
      <c r="K119" s="1">
        <v>4.1900753974914551</v>
      </c>
      <c r="L119" s="1">
        <v>4.3401455879211426</v>
      </c>
      <c r="M119" s="1">
        <v>4.4971327781677246</v>
      </c>
      <c r="N119" s="1">
        <v>4.6255221366882324</v>
      </c>
      <c r="O119" s="1">
        <v>4.732245922088623</v>
      </c>
      <c r="P119" s="1">
        <v>4.8197145462036133</v>
      </c>
      <c r="Q119" s="1">
        <v>4.889948844909668</v>
      </c>
      <c r="R119" s="1">
        <v>4.9413938522338867</v>
      </c>
      <c r="S119" s="1">
        <v>4.9765019416809082</v>
      </c>
      <c r="T119" s="1">
        <v>4.9968075752258301</v>
      </c>
      <c r="U119" s="1">
        <v>5.0029401779174805</v>
      </c>
      <c r="V119" s="94"/>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7"/>
    </row>
    <row r="120" spans="1:51" x14ac:dyDescent="0.2">
      <c r="B120" s="16" t="s">
        <v>129</v>
      </c>
      <c r="C120" s="1"/>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c r="W120" s="1"/>
      <c r="X120" s="94"/>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7"/>
    </row>
    <row r="121" spans="1:51" x14ac:dyDescent="0.2">
      <c r="T121" s="49"/>
      <c r="U121" s="93"/>
      <c r="V121" s="93"/>
      <c r="W121" s="93"/>
      <c r="X121" s="93"/>
      <c r="Y121" s="49"/>
    </row>
    <row r="122" spans="1:51" x14ac:dyDescent="0.2">
      <c r="H122" s="98"/>
      <c r="I122" s="98"/>
      <c r="J122" s="98"/>
      <c r="K122" s="98"/>
      <c r="L122" s="98"/>
      <c r="M122" s="98"/>
      <c r="N122" s="98"/>
      <c r="O122" s="98"/>
      <c r="P122" s="98"/>
      <c r="Q122" s="98"/>
      <c r="R122" s="98"/>
      <c r="S122" s="98"/>
      <c r="T122" s="98"/>
      <c r="U122" s="98"/>
      <c r="V122" s="98"/>
      <c r="W122" s="98"/>
    </row>
    <row r="123" spans="1:51" x14ac:dyDescent="0.2">
      <c r="E123" s="24"/>
      <c r="F123" s="24"/>
      <c r="G123" s="98"/>
      <c r="H123" s="98"/>
      <c r="I123" s="98"/>
      <c r="J123" s="98"/>
      <c r="K123" s="98"/>
      <c r="L123" s="98"/>
      <c r="M123" s="98"/>
      <c r="N123" s="98"/>
      <c r="O123" s="98"/>
      <c r="P123" s="98"/>
      <c r="Q123" s="98"/>
      <c r="R123" s="98"/>
      <c r="S123" s="98"/>
      <c r="T123" s="98"/>
      <c r="U123" s="98"/>
      <c r="V123" s="98"/>
      <c r="W123" s="98"/>
    </row>
    <row r="124" spans="1:51" x14ac:dyDescent="0.2">
      <c r="A124" s="47"/>
      <c r="C124" s="24"/>
      <c r="D124" s="24"/>
      <c r="E124" s="24"/>
      <c r="F124" s="24"/>
      <c r="G124" s="24"/>
      <c r="H124" s="24"/>
      <c r="I124" s="24"/>
      <c r="J124" s="24"/>
      <c r="K124" s="24"/>
      <c r="L124" s="24"/>
      <c r="M124" s="24"/>
      <c r="N124" s="24"/>
      <c r="O124" s="24"/>
      <c r="P124" s="24"/>
      <c r="Q124" s="24"/>
      <c r="R124" s="24"/>
      <c r="S124" s="24"/>
      <c r="T124" s="24"/>
      <c r="U124" s="24"/>
      <c r="V124" s="24"/>
      <c r="W124" s="24"/>
    </row>
    <row r="125" spans="1:51" x14ac:dyDescent="0.2">
      <c r="C125" s="48"/>
      <c r="D125" s="48"/>
      <c r="E125" s="48"/>
      <c r="F125" s="48"/>
      <c r="G125" s="48"/>
      <c r="H125" s="48"/>
      <c r="I125" s="48"/>
      <c r="J125" s="48"/>
      <c r="K125" s="48"/>
      <c r="L125" s="48"/>
      <c r="M125" s="48"/>
      <c r="N125" s="48"/>
      <c r="O125" s="48"/>
      <c r="P125" s="48"/>
      <c r="Q125" s="48"/>
      <c r="R125" s="48"/>
      <c r="S125" s="48"/>
      <c r="T125" s="48"/>
      <c r="U125" s="48"/>
      <c r="V125" s="48"/>
      <c r="W125" s="48"/>
      <c r="X125" s="48"/>
    </row>
    <row r="127" spans="1:51" x14ac:dyDescent="0.2">
      <c r="E127" s="24"/>
      <c r="F127" s="24"/>
      <c r="G127" s="98"/>
      <c r="H127" s="98"/>
      <c r="I127" s="98"/>
      <c r="J127" s="98"/>
      <c r="K127" s="98"/>
      <c r="L127" s="98"/>
      <c r="M127" s="98"/>
      <c r="N127" s="98"/>
      <c r="O127" s="98"/>
      <c r="P127" s="98"/>
      <c r="Q127" s="98"/>
      <c r="R127" s="98"/>
      <c r="S127" s="98"/>
      <c r="T127" s="98"/>
      <c r="U127" s="98"/>
      <c r="V127" s="98"/>
      <c r="W127" s="98"/>
    </row>
    <row r="128" spans="1:51" x14ac:dyDescent="0.2">
      <c r="E128" s="24"/>
      <c r="F128" s="24"/>
      <c r="G128" s="98"/>
      <c r="H128" s="98"/>
      <c r="I128" s="98"/>
      <c r="J128" s="98"/>
      <c r="K128" s="98"/>
      <c r="L128" s="98"/>
      <c r="M128" s="98"/>
      <c r="N128" s="98"/>
      <c r="O128" s="98"/>
      <c r="P128" s="98"/>
      <c r="Q128" s="98"/>
      <c r="R128" s="98"/>
      <c r="S128" s="98"/>
      <c r="T128" s="98"/>
      <c r="U128" s="98"/>
      <c r="V128" s="98"/>
      <c r="W128" s="98"/>
      <c r="X128" s="40"/>
    </row>
    <row r="129" spans="5:24" x14ac:dyDescent="0.2">
      <c r="G129" s="40"/>
      <c r="H129" s="40"/>
      <c r="I129" s="40"/>
      <c r="J129" s="40"/>
      <c r="K129" s="40"/>
      <c r="L129" s="40"/>
      <c r="M129" s="40"/>
      <c r="N129" s="40"/>
      <c r="O129" s="40"/>
      <c r="P129" s="40"/>
      <c r="Q129" s="40"/>
      <c r="R129" s="40"/>
      <c r="S129" s="40"/>
      <c r="T129" s="40"/>
      <c r="U129" s="40"/>
      <c r="V129" s="40"/>
      <c r="W129" s="40"/>
      <c r="X129" s="40"/>
    </row>
    <row r="130" spans="5:24" x14ac:dyDescent="0.2">
      <c r="E130" s="24"/>
      <c r="F130" s="24"/>
      <c r="G130" s="98"/>
      <c r="H130" s="98"/>
      <c r="I130" s="98"/>
      <c r="J130" s="98"/>
      <c r="K130" s="98"/>
      <c r="L130" s="98"/>
      <c r="M130" s="98"/>
      <c r="N130" s="98"/>
      <c r="O130" s="98"/>
      <c r="P130" s="98"/>
      <c r="Q130" s="98"/>
      <c r="R130" s="98"/>
      <c r="S130" s="98"/>
      <c r="T130" s="98"/>
      <c r="U130" s="98"/>
      <c r="V130" s="98"/>
      <c r="W130" s="98"/>
      <c r="X130" s="40"/>
    </row>
    <row r="131" spans="5:24" x14ac:dyDescent="0.2">
      <c r="E131" s="24"/>
      <c r="F131" s="24"/>
      <c r="G131" s="98"/>
      <c r="H131" s="98"/>
      <c r="I131" s="98"/>
      <c r="J131" s="98"/>
      <c r="K131" s="98"/>
      <c r="L131" s="98"/>
      <c r="M131" s="98"/>
      <c r="N131" s="98"/>
      <c r="O131" s="98"/>
      <c r="P131" s="98"/>
      <c r="Q131" s="98"/>
      <c r="R131" s="98"/>
      <c r="S131" s="98"/>
      <c r="T131" s="98"/>
      <c r="U131" s="98"/>
      <c r="V131" s="98"/>
      <c r="W131" s="98"/>
      <c r="X131" s="40"/>
    </row>
    <row r="132" spans="5:24" x14ac:dyDescent="0.2">
      <c r="G132" s="40"/>
      <c r="H132" s="40"/>
      <c r="I132" s="40"/>
      <c r="J132" s="40"/>
      <c r="K132" s="40"/>
      <c r="L132" s="40"/>
      <c r="M132" s="40"/>
      <c r="N132" s="40"/>
      <c r="O132" s="40"/>
      <c r="P132" s="40"/>
      <c r="Q132" s="40"/>
      <c r="R132" s="40"/>
      <c r="S132" s="40"/>
      <c r="T132" s="40"/>
      <c r="U132" s="40"/>
      <c r="V132" s="40"/>
      <c r="W132" s="40"/>
      <c r="X132" s="40"/>
    </row>
    <row r="133" spans="5:24" x14ac:dyDescent="0.2">
      <c r="E133" s="24"/>
      <c r="F133" s="24"/>
      <c r="G133" s="98"/>
      <c r="H133" s="98"/>
      <c r="I133" s="98"/>
      <c r="J133" s="98"/>
      <c r="K133" s="98"/>
      <c r="L133" s="98"/>
      <c r="M133" s="98"/>
      <c r="N133" s="98"/>
      <c r="O133" s="98"/>
      <c r="P133" s="98"/>
      <c r="Q133" s="98"/>
      <c r="R133" s="98"/>
      <c r="S133" s="98"/>
      <c r="T133" s="98"/>
      <c r="U133" s="98"/>
      <c r="V133" s="98"/>
      <c r="W133" s="98"/>
      <c r="X133" s="98"/>
    </row>
    <row r="134" spans="5:24" x14ac:dyDescent="0.2">
      <c r="E134" s="24"/>
      <c r="F134" s="24"/>
      <c r="G134" s="98"/>
      <c r="H134" s="98"/>
      <c r="I134" s="98"/>
      <c r="J134" s="98"/>
      <c r="K134" s="98"/>
      <c r="L134" s="98"/>
      <c r="M134" s="98"/>
      <c r="N134" s="98"/>
      <c r="O134" s="98"/>
      <c r="P134" s="98"/>
      <c r="Q134" s="98"/>
      <c r="R134" s="98"/>
      <c r="S134" s="98"/>
      <c r="T134" s="98"/>
      <c r="U134" s="98"/>
      <c r="V134" s="98"/>
      <c r="W134" s="98"/>
      <c r="X134" s="98"/>
    </row>
    <row r="135" spans="5:24" x14ac:dyDescent="0.2">
      <c r="G135" s="98"/>
      <c r="H135" s="98"/>
      <c r="I135" s="98"/>
      <c r="J135" s="98"/>
      <c r="K135" s="98"/>
      <c r="L135" s="98"/>
      <c r="M135" s="98"/>
      <c r="N135" s="98"/>
      <c r="O135" s="98"/>
      <c r="P135" s="98"/>
      <c r="Q135" s="98"/>
      <c r="R135" s="98"/>
      <c r="S135" s="98"/>
      <c r="T135" s="98"/>
      <c r="U135" s="98"/>
      <c r="V135" s="98"/>
      <c r="W135" s="98"/>
      <c r="X135" s="98"/>
    </row>
    <row r="136" spans="5:24" x14ac:dyDescent="0.2">
      <c r="E136" s="24"/>
      <c r="F136" s="24"/>
      <c r="G136" s="98"/>
      <c r="H136" s="98"/>
      <c r="I136" s="98"/>
      <c r="J136" s="98"/>
      <c r="K136" s="98"/>
      <c r="L136" s="98"/>
      <c r="M136" s="98"/>
      <c r="N136" s="98"/>
      <c r="O136" s="98"/>
      <c r="P136" s="98"/>
      <c r="Q136" s="98"/>
      <c r="R136" s="98"/>
      <c r="S136" s="98"/>
      <c r="T136" s="98"/>
      <c r="U136" s="98"/>
      <c r="V136" s="98"/>
      <c r="W136" s="98"/>
      <c r="X136" s="98"/>
    </row>
    <row r="137" spans="5:24" x14ac:dyDescent="0.2">
      <c r="E137" s="24"/>
      <c r="F137" s="24"/>
      <c r="G137" s="98"/>
      <c r="H137" s="98"/>
      <c r="I137" s="98"/>
      <c r="J137" s="98"/>
      <c r="K137" s="98"/>
      <c r="L137" s="98"/>
      <c r="M137" s="98"/>
      <c r="N137" s="98"/>
      <c r="O137" s="98"/>
      <c r="P137" s="98"/>
      <c r="Q137" s="98"/>
      <c r="R137" s="98"/>
      <c r="S137" s="98"/>
      <c r="T137" s="98"/>
      <c r="U137" s="98"/>
      <c r="V137" s="98"/>
      <c r="W137" s="98"/>
      <c r="X137" s="98"/>
    </row>
    <row r="138" spans="5:24" x14ac:dyDescent="0.2">
      <c r="G138" s="98"/>
      <c r="H138" s="98"/>
      <c r="I138" s="98"/>
      <c r="J138" s="98"/>
      <c r="K138" s="98"/>
      <c r="L138" s="98"/>
      <c r="M138" s="98"/>
      <c r="N138" s="98"/>
      <c r="O138" s="98"/>
      <c r="P138" s="98"/>
      <c r="Q138" s="98"/>
      <c r="R138" s="98"/>
      <c r="S138" s="98"/>
      <c r="T138" s="98"/>
      <c r="U138" s="98"/>
      <c r="V138" s="98"/>
      <c r="W138" s="98"/>
      <c r="X138" s="98"/>
    </row>
    <row r="139" spans="5:24" x14ac:dyDescent="0.2">
      <c r="G139" s="98"/>
      <c r="H139" s="98"/>
      <c r="I139" s="98"/>
      <c r="J139" s="98"/>
      <c r="K139" s="98"/>
      <c r="L139" s="98"/>
      <c r="M139" s="98"/>
      <c r="N139" s="98"/>
      <c r="O139" s="98"/>
      <c r="P139" s="98"/>
      <c r="Q139" s="98"/>
      <c r="R139" s="98"/>
      <c r="S139" s="98"/>
      <c r="T139" s="98"/>
      <c r="U139" s="98"/>
      <c r="V139" s="98"/>
      <c r="W139" s="98"/>
      <c r="X139" s="98"/>
    </row>
  </sheetData>
  <conditionalFormatting sqref="E12:K12">
    <cfRule type="expression" dxfId="10" priority="10">
      <formula>AND(E10&gt;$C$5,E10&lt;=$C$6)</formula>
    </cfRule>
  </conditionalFormatting>
  <conditionalFormatting sqref="S10:U44 S50:U53 S86:U109 S111:U120">
    <cfRule type="expression" dxfId="7" priority="6">
      <formula>S$10&gt;$C$7</formula>
    </cfRule>
  </conditionalFormatting>
  <conditionalFormatting sqref="S55:U84">
    <cfRule type="expression" dxfId="6" priority="120">
      <formula>S$10&gt;$C$7</formula>
    </cfRule>
  </conditionalFormatting>
  <conditionalFormatting sqref="S79:U79">
    <cfRule type="expression" dxfId="5" priority="124">
      <formula>S$10&gt;$C$7</formula>
    </cfRule>
  </conditionalFormatting>
  <conditionalFormatting sqref="U46:W49 U120:W130">
    <cfRule type="expression" dxfId="4" priority="125">
      <formula>S$10&gt;$C$7</formula>
    </cfRule>
  </conditionalFormatting>
  <pageMargins left="0.7" right="0.7" top="0.75" bottom="0.75" header="0.3" footer="0.3"/>
  <pageSetup paperSize="9" orientation="portrait" r:id="rId1"/>
  <ignoredErrors>
    <ignoredError sqref="C47:C48 C5" unlockedFormula="1"/>
  </ignoredErrors>
  <extLst>
    <ext xmlns:x14="http://schemas.microsoft.com/office/spreadsheetml/2009/9/main" uri="{78C0D931-6437-407d-A8EE-F0AAD7539E65}">
      <x14:conditionalFormattings>
        <x14:conditionalFormatting xmlns:xm="http://schemas.microsoft.com/office/excel/2006/main">
          <x14:cfRule type="expression" priority="3" id="{2469C55B-3267-4735-A022-196422425C99}">
            <xm:f>C$10=_xlfn.NUMBERVALUE(RIGHT('Input data'!$B$66,4))</xm:f>
            <x14:dxf>
              <fill>
                <patternFill>
                  <bgColor theme="9" tint="0.79998168889431442"/>
                </patternFill>
              </fill>
            </x14:dxf>
          </x14:cfRule>
          <xm:sqref>C93:D97</xm:sqref>
        </x14:conditionalFormatting>
        <x14:conditionalFormatting xmlns:xm="http://schemas.microsoft.com/office/excel/2006/main">
          <x14:cfRule type="expression" priority="4" id="{C333B3F5-A233-45E1-A35A-E2B1D6D57963}">
            <xm:f>E$10&gt;'Input data'!$C$4+2</xm:f>
            <x14:dxf>
              <fill>
                <patternFill>
                  <bgColor theme="0"/>
                </patternFill>
              </fill>
            </x14:dxf>
          </x14:cfRule>
          <xm:sqref>E27:G27 E37:G42</xm:sqref>
        </x14:conditionalFormatting>
        <x14:conditionalFormatting xmlns:xm="http://schemas.microsoft.com/office/excel/2006/main">
          <x14:cfRule type="expression" priority="2" id="{8898DD68-97B1-4C65-AD14-37A13F163096}">
            <xm:f>H$10='Input data'!$C$4+10</xm:f>
            <x14:dxf>
              <fill>
                <patternFill>
                  <bgColor theme="9" tint="0.39994506668294322"/>
                </patternFill>
              </fill>
            </x14:dxf>
          </x14:cfRule>
          <xm:sqref>H37:R38</xm:sqref>
        </x14:conditionalFormatting>
        <x14:conditionalFormatting xmlns:xm="http://schemas.microsoft.com/office/excel/2006/main">
          <x14:cfRule type="expression" priority="1" id="{782E6979-4151-448E-973A-FE8C77ABBB49}">
            <xm:f>H$10='Input data'!$C$4+10</xm:f>
            <x14:dxf>
              <fill>
                <patternFill>
                  <bgColor theme="9" tint="0.39994506668294322"/>
                </patternFill>
              </fill>
            </x14:dxf>
          </x14:cfRule>
          <xm:sqref>H42:R42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election activeCell="F22" sqref="F22:X36"/>
    </sheetView>
  </sheetViews>
  <sheetFormatPr defaultRowHeight="12.75" x14ac:dyDescent="0.2"/>
  <cols>
    <col min="1" max="1" width="9.140625" style="266"/>
    <col min="2" max="2" width="4.5703125" style="266" customWidth="1"/>
    <col min="3" max="3" width="67" style="266" customWidth="1"/>
    <col min="4" max="4" width="16.5703125" style="266" customWidth="1"/>
    <col min="5" max="5" width="13.7109375" style="266" customWidth="1"/>
    <col min="6" max="24" width="10.7109375" style="266" customWidth="1"/>
    <col min="25" max="16384" width="9.140625" style="266"/>
  </cols>
  <sheetData>
    <row r="1" spans="1:25" x14ac:dyDescent="0.2">
      <c r="A1" s="184"/>
      <c r="B1" s="184"/>
      <c r="C1" s="184"/>
      <c r="D1" s="184"/>
      <c r="E1" s="184"/>
      <c r="F1" s="184"/>
      <c r="G1" s="184"/>
      <c r="H1" s="184"/>
      <c r="I1" s="184"/>
      <c r="J1" s="184"/>
      <c r="K1" s="184"/>
      <c r="L1" s="184"/>
      <c r="M1" s="184"/>
      <c r="N1" s="184"/>
      <c r="O1" s="184"/>
      <c r="P1" s="184"/>
      <c r="Q1" s="184"/>
      <c r="R1" s="184"/>
      <c r="S1" s="184"/>
      <c r="T1" s="184"/>
      <c r="U1" s="184"/>
      <c r="V1" s="184"/>
      <c r="W1" s="184"/>
      <c r="X1" s="184"/>
      <c r="Y1" s="184"/>
    </row>
    <row r="2" spans="1:25" x14ac:dyDescent="0.2">
      <c r="A2" s="184"/>
      <c r="B2" s="271"/>
      <c r="C2" s="272" t="s">
        <v>141</v>
      </c>
      <c r="D2" s="273"/>
      <c r="E2" s="273"/>
      <c r="F2" s="273"/>
      <c r="G2" s="289"/>
      <c r="H2" s="289"/>
      <c r="I2" s="289"/>
      <c r="J2" s="289"/>
      <c r="K2" s="184"/>
      <c r="L2" s="184"/>
      <c r="M2" s="184"/>
      <c r="N2" s="184"/>
      <c r="O2" s="184"/>
      <c r="P2" s="184"/>
      <c r="Q2" s="184"/>
      <c r="R2" s="184"/>
      <c r="S2" s="184"/>
      <c r="T2" s="184"/>
      <c r="U2" s="184"/>
      <c r="V2" s="184"/>
      <c r="W2" s="184"/>
      <c r="X2" s="184"/>
      <c r="Y2" s="184"/>
    </row>
    <row r="3" spans="1:25" x14ac:dyDescent="0.2">
      <c r="A3" s="184"/>
      <c r="B3" s="268"/>
      <c r="C3" s="289"/>
      <c r="D3" s="289"/>
      <c r="E3" s="289"/>
      <c r="F3" s="289"/>
      <c r="G3" s="289"/>
      <c r="H3" s="289"/>
      <c r="I3" s="289"/>
      <c r="J3" s="289"/>
      <c r="K3" s="184"/>
      <c r="L3" s="184"/>
      <c r="M3" s="184"/>
      <c r="N3" s="184"/>
      <c r="O3" s="184"/>
      <c r="P3" s="184"/>
      <c r="Q3" s="184"/>
      <c r="R3" s="184"/>
      <c r="S3" s="184"/>
      <c r="T3" s="184"/>
      <c r="U3" s="184"/>
      <c r="V3" s="184"/>
      <c r="W3" s="184"/>
      <c r="X3" s="184"/>
      <c r="Y3" s="184"/>
    </row>
    <row r="4" spans="1:25" x14ac:dyDescent="0.2">
      <c r="A4" s="184"/>
      <c r="B4" s="274"/>
      <c r="C4" s="272"/>
      <c r="D4" s="275" t="s">
        <v>162</v>
      </c>
      <c r="E4" s="276">
        <f>F4-1</f>
        <v>2024</v>
      </c>
      <c r="F4" s="277">
        <f>'Input data'!$C$5-1</f>
        <v>2025</v>
      </c>
      <c r="G4" s="277">
        <f>F4+1</f>
        <v>2026</v>
      </c>
      <c r="H4" s="277">
        <f t="shared" ref="H4:X4" si="0">G4+1</f>
        <v>2027</v>
      </c>
      <c r="I4" s="277">
        <f t="shared" si="0"/>
        <v>2028</v>
      </c>
      <c r="J4" s="277">
        <f t="shared" si="0"/>
        <v>2029</v>
      </c>
      <c r="K4" s="277">
        <f t="shared" si="0"/>
        <v>2030</v>
      </c>
      <c r="L4" s="277">
        <f t="shared" si="0"/>
        <v>2031</v>
      </c>
      <c r="M4" s="277">
        <f t="shared" si="0"/>
        <v>2032</v>
      </c>
      <c r="N4" s="277">
        <f t="shared" si="0"/>
        <v>2033</v>
      </c>
      <c r="O4" s="277">
        <f t="shared" si="0"/>
        <v>2034</v>
      </c>
      <c r="P4" s="277">
        <f t="shared" si="0"/>
        <v>2035</v>
      </c>
      <c r="Q4" s="277">
        <f t="shared" si="0"/>
        <v>2036</v>
      </c>
      <c r="R4" s="277">
        <f t="shared" si="0"/>
        <v>2037</v>
      </c>
      <c r="S4" s="277">
        <f t="shared" si="0"/>
        <v>2038</v>
      </c>
      <c r="T4" s="277">
        <f t="shared" si="0"/>
        <v>2039</v>
      </c>
      <c r="U4" s="277">
        <f t="shared" si="0"/>
        <v>2040</v>
      </c>
      <c r="V4" s="277">
        <f t="shared" si="0"/>
        <v>2041</v>
      </c>
      <c r="W4" s="277">
        <f t="shared" si="0"/>
        <v>2042</v>
      </c>
      <c r="X4" s="277">
        <f t="shared" si="0"/>
        <v>2043</v>
      </c>
      <c r="Y4" s="184"/>
    </row>
    <row r="5" spans="1:25" x14ac:dyDescent="0.2">
      <c r="A5" s="184"/>
      <c r="B5" s="274">
        <v>1</v>
      </c>
      <c r="C5" s="278" t="s">
        <v>142</v>
      </c>
      <c r="D5" s="279">
        <v>57</v>
      </c>
      <c r="E5" s="280" t="s">
        <v>143</v>
      </c>
      <c r="F5" s="267">
        <f ca="1">INDEX(OFFSET('Adjustment scenario'!$C$1:$U$1,$D5-1,0),MATCH(F$4,'Adjustment scenario'!$C$10:$U$10,0))</f>
        <v>44.250230000000002</v>
      </c>
      <c r="G5" s="267">
        <f ca="1">INDEX(OFFSET('Adjustment scenario'!$C$1:$U$1,$D5-1,0),MATCH(G$4,'Adjustment scenario'!$C$10:$U$10,0))</f>
        <v>45.838496420963068</v>
      </c>
      <c r="H5" s="267">
        <f ca="1">INDEX(OFFSET('Adjustment scenario'!$C$1:$U$1,$D5-1,0),MATCH(H$4,'Adjustment scenario'!$C$10:$U$10,0))</f>
        <v>46.696591871340651</v>
      </c>
      <c r="I5" s="267">
        <f ca="1">INDEX(OFFSET('Adjustment scenario'!$C$1:$U$1,$D5-1,0),MATCH(I$4,'Adjustment scenario'!$C$10:$U$10,0))</f>
        <v>46.801693588178829</v>
      </c>
      <c r="J5" s="267">
        <f ca="1">INDEX(OFFSET('Adjustment scenario'!$C$1:$U$1,$D5-1,0),MATCH(J$4,'Adjustment scenario'!$C$10:$U$10,0))</f>
        <v>46.70959934057344</v>
      </c>
      <c r="K5" s="267">
        <f ca="1">INDEX(OFFSET('Adjustment scenario'!$C$1:$U$1,$D5-1,0),MATCH(K$4,'Adjustment scenario'!$C$10:$U$10,0))</f>
        <v>46.311727405027334</v>
      </c>
      <c r="L5" s="267">
        <f ca="1">INDEX(OFFSET('Adjustment scenario'!$C$1:$U$1,$D5-1,0),MATCH(L$4,'Adjustment scenario'!$C$10:$U$10,0))</f>
        <v>45.91930130882043</v>
      </c>
      <c r="M5" s="267">
        <f ca="1">INDEX(OFFSET('Adjustment scenario'!$C$1:$U$1,$D5-1,0),MATCH(M$4,'Adjustment scenario'!$C$10:$U$10,0))</f>
        <v>45.577286437657314</v>
      </c>
      <c r="N5" s="267">
        <f ca="1">INDEX(OFFSET('Adjustment scenario'!$C$1:$U$1,$D5-1,0),MATCH(N$4,'Adjustment scenario'!$C$10:$U$10,0))</f>
        <v>45.283454164126574</v>
      </c>
      <c r="O5" s="267">
        <f ca="1">INDEX(OFFSET('Adjustment scenario'!$C$1:$U$1,$D5-1,0),MATCH(O$4,'Adjustment scenario'!$C$10:$U$10,0))</f>
        <v>45.518772091749192</v>
      </c>
      <c r="P5" s="267">
        <f ca="1">INDEX(OFFSET('Adjustment scenario'!$C$1:$U$1,$D5-1,0),MATCH(P$4,'Adjustment scenario'!$C$10:$U$10,0))</f>
        <v>45.916847828819968</v>
      </c>
      <c r="Q5" s="267">
        <f ca="1">INDEX(OFFSET('Adjustment scenario'!$C$1:$U$1,$D5-1,0),MATCH(Q$4,'Adjustment scenario'!$C$10:$U$10,0))</f>
        <v>46.449803873715467</v>
      </c>
      <c r="R5" s="267">
        <f ca="1">INDEX(OFFSET('Adjustment scenario'!$C$1:$U$1,$D5-1,0),MATCH(R$4,'Adjustment scenario'!$C$10:$U$10,0))</f>
        <v>47.108677116783724</v>
      </c>
      <c r="S5" s="267">
        <f ca="1">INDEX(OFFSET('Adjustment scenario'!$C$1:$U$1,$D5-1,0),MATCH(S$4,'Adjustment scenario'!$C$10:$U$10,0))</f>
        <v>47.984625056776231</v>
      </c>
      <c r="T5" s="267">
        <f ca="1">INDEX(OFFSET('Adjustment scenario'!$C$1:$U$1,$D5-1,0),MATCH(T$4,'Adjustment scenario'!$C$10:$U$10,0))</f>
        <v>48.911605229359552</v>
      </c>
      <c r="U5" s="267">
        <f ca="1">INDEX(OFFSET('Adjustment scenario'!$C$1:$U$1,$D5-1,0),MATCH(U$4,'Adjustment scenario'!$C$10:$U$10,0))</f>
        <v>49.956945054685214</v>
      </c>
      <c r="V5" s="267">
        <f ca="1">INDEX(OFFSET('Adjustment scenario'!$C$1:$U$1,$D5-1,0),MATCH(V$4,'Adjustment scenario'!$C$10:$U$10,0))</f>
        <v>51.252663449611376</v>
      </c>
      <c r="W5" s="267">
        <f ca="1">INDEX(OFFSET('Adjustment scenario'!$C$1:$U$1,$D5-1,0),MATCH(W$4,'Adjustment scenario'!$C$10:$U$10,0))</f>
        <v>52.694663892813267</v>
      </c>
      <c r="X5" s="267">
        <f ca="1">INDEX(OFFSET('Adjustment scenario'!$C$1:$U$1,$D5-1,0),MATCH(X$4,'Adjustment scenario'!$C$10:$U$10,0))</f>
        <v>54.272638797636539</v>
      </c>
      <c r="Y5" s="184"/>
    </row>
    <row r="6" spans="1:25" x14ac:dyDescent="0.2">
      <c r="A6" s="184"/>
      <c r="B6" s="274">
        <v>2</v>
      </c>
      <c r="C6" s="278" t="s">
        <v>144</v>
      </c>
      <c r="D6" s="279">
        <v>77</v>
      </c>
      <c r="E6" s="280" t="s">
        <v>143</v>
      </c>
      <c r="F6" s="267">
        <f ca="1">INDEX(OFFSET('Adjustment scenario'!$C$1:$U$1,$D6-1,0),MATCH(F$4,'Adjustment scenario'!$C$10:$U$10,0))</f>
        <v>-2.1474319999999998</v>
      </c>
      <c r="G6" s="267">
        <f ca="1">INDEX(OFFSET('Adjustment scenario'!$C$1:$U$1,$D6-1,0),MATCH(G$4,'Adjustment scenario'!$C$10:$U$10,0))</f>
        <v>-2.7944635100307016</v>
      </c>
      <c r="H6" s="267">
        <f ca="1">INDEX(OFFSET('Adjustment scenario'!$C$1:$U$1,$D6-1,0),MATCH(H$4,'Adjustment scenario'!$C$10:$U$10,0))</f>
        <v>-2.1918405303501336</v>
      </c>
      <c r="I6" s="267">
        <f ca="1">INDEX(OFFSET('Adjustment scenario'!$C$1:$U$1,$D6-1,0),MATCH(I$4,'Adjustment scenario'!$C$10:$U$10,0))</f>
        <v>-1.9880025180486236</v>
      </c>
      <c r="J6" s="267">
        <f ca="1">INDEX(OFFSET('Adjustment scenario'!$C$1:$U$1,$D6-1,0),MATCH(J$4,'Adjustment scenario'!$C$10:$U$10,0))</f>
        <v>-1.6962176440453862</v>
      </c>
      <c r="K6" s="267">
        <f ca="1">INDEX(OFFSET('Adjustment scenario'!$C$1:$U$1,$D6-1,0),MATCH(K$4,'Adjustment scenario'!$C$10:$U$10,0))</f>
        <v>-1.3639722060292712</v>
      </c>
      <c r="L6" s="267">
        <f ca="1">INDEX(OFFSET('Adjustment scenario'!$C$1:$U$1,$D6-1,0),MATCH(L$4,'Adjustment scenario'!$C$10:$U$10,0))</f>
        <v>-1.4597506638039826</v>
      </c>
      <c r="M6" s="267">
        <f ca="1">INDEX(OFFSET('Adjustment scenario'!$C$1:$U$1,$D6-1,0),MATCH(M$4,'Adjustment scenario'!$C$10:$U$10,0))</f>
        <v>-1.4596072380203979</v>
      </c>
      <c r="N6" s="267">
        <f ca="1">INDEX(OFFSET('Adjustment scenario'!$C$1:$U$1,$D6-1,0),MATCH(N$4,'Adjustment scenario'!$C$10:$U$10,0))</f>
        <v>-1.4587375919351544</v>
      </c>
      <c r="O6" s="267">
        <f ca="1">INDEX(OFFSET('Adjustment scenario'!$C$1:$U$1,$D6-1,0),MATCH(O$4,'Adjustment scenario'!$C$10:$U$10,0))</f>
        <v>-1.8382733329850542</v>
      </c>
      <c r="P6" s="267">
        <f ca="1">INDEX(OFFSET('Adjustment scenario'!$C$1:$U$1,$D6-1,0),MATCH(P$4,'Adjustment scenario'!$C$10:$U$10,0))</f>
        <v>-1.9405545049519635</v>
      </c>
      <c r="Q6" s="267">
        <f ca="1">INDEX(OFFSET('Adjustment scenario'!$C$1:$U$1,$D6-1,0),MATCH(Q$4,'Adjustment scenario'!$C$10:$U$10,0))</f>
        <v>-2.1325531622180152</v>
      </c>
      <c r="R6" s="267">
        <f ca="1">INDEX(OFFSET('Adjustment scenario'!$C$1:$U$1,$D6-1,0),MATCH(R$4,'Adjustment scenario'!$C$10:$U$10,0))</f>
        <v>-2.3210696587429531</v>
      </c>
      <c r="S6" s="267">
        <f ca="1">INDEX(OFFSET('Adjustment scenario'!$C$1:$U$1,$D6-1,0),MATCH(S$4,'Adjustment scenario'!$C$10:$U$10,0))</f>
        <v>-2.6062735574345846</v>
      </c>
      <c r="T6" s="267">
        <f ca="1">INDEX(OFFSET('Adjustment scenario'!$C$1:$U$1,$D6-1,0),MATCH(T$4,'Adjustment scenario'!$C$10:$U$10,0))</f>
        <v>-2.6954556178382356</v>
      </c>
      <c r="U6" s="267">
        <f ca="1">INDEX(OFFSET('Adjustment scenario'!$C$1:$U$1,$D6-1,0),MATCH(U$4,'Adjustment scenario'!$C$10:$U$10,0))</f>
        <v>-2.877249409464564</v>
      </c>
      <c r="V6" s="267">
        <f ca="1">INDEX(OFFSET('Adjustment scenario'!$C$1:$U$1,$D6-1,0),MATCH(V$4,'Adjustment scenario'!$C$10:$U$10,0))</f>
        <v>-3.1587853507413857</v>
      </c>
      <c r="W6" s="267">
        <f ca="1">INDEX(OFFSET('Adjustment scenario'!$C$1:$U$1,$D6-1,0),MATCH(W$4,'Adjustment scenario'!$C$10:$U$10,0))</f>
        <v>-3.3451810161540898</v>
      </c>
      <c r="X6" s="267">
        <f ca="1">INDEX(OFFSET('Adjustment scenario'!$C$1:$U$1,$D6-1,0),MATCH(X$4,'Adjustment scenario'!$C$10:$U$10,0))</f>
        <v>-3.5312565006886443</v>
      </c>
      <c r="Y6" s="184"/>
    </row>
    <row r="7" spans="1:25" x14ac:dyDescent="0.2">
      <c r="A7" s="184"/>
      <c r="B7" s="274">
        <v>3</v>
      </c>
      <c r="C7" s="278" t="s">
        <v>18</v>
      </c>
      <c r="D7" s="279">
        <v>12</v>
      </c>
      <c r="E7" s="280" t="s">
        <v>145</v>
      </c>
      <c r="F7" s="267">
        <f ca="1">INDEX(OFFSET('Adjustment scenario'!$C$1:$U$1,$D7-1,0),MATCH(F$4,'Adjustment scenario'!$C$10:$U$10,0))</f>
        <v>-0.51101569999999996</v>
      </c>
      <c r="G7" s="267">
        <f ca="1">INDEX(OFFSET('Adjustment scenario'!$C$1:$U$1,$D7-1,0),MATCH(G$4,'Adjustment scenario'!$C$10:$U$10,0))</f>
        <v>-1.332759</v>
      </c>
      <c r="H7" s="267">
        <f ca="1">INDEX(OFFSET('Adjustment scenario'!$C$1:$U$1,$D7-1,0),MATCH(H$4,'Adjustment scenario'!$C$10:$U$10,0))</f>
        <v>-0.87275900000000006</v>
      </c>
      <c r="I7" s="267">
        <f ca="1">INDEX(OFFSET('Adjustment scenario'!$C$1:$U$1,$D7-1,0),MATCH(I$4,'Adjustment scenario'!$C$10:$U$10,0))</f>
        <v>-0.4127590000000001</v>
      </c>
      <c r="J7" s="267">
        <f ca="1">INDEX(OFFSET('Adjustment scenario'!$C$1:$U$1,$D7-1,0),MATCH(J$4,'Adjustment scenario'!$C$10:$U$10,0))</f>
        <v>4.7240999999999866E-2</v>
      </c>
      <c r="K7" s="267">
        <f ca="1">INDEX(OFFSET('Adjustment scenario'!$C$1:$U$1,$D7-1,0),MATCH(K$4,'Adjustment scenario'!$C$10:$U$10,0))</f>
        <v>0.50724099999999983</v>
      </c>
      <c r="L7" s="267">
        <f ca="1">INDEX(OFFSET('Adjustment scenario'!$C$1:$U$1,$D7-1,0),MATCH(L$4,'Adjustment scenario'!$C$10:$U$10,0))</f>
        <v>0.50724099999999983</v>
      </c>
      <c r="M7" s="267">
        <f ca="1">INDEX(OFFSET('Adjustment scenario'!$C$1:$U$1,$D7-1,0),MATCH(M$4,'Adjustment scenario'!$C$10:$U$10,0))</f>
        <v>0.50724099999999983</v>
      </c>
      <c r="N7" s="267">
        <f ca="1">INDEX(OFFSET('Adjustment scenario'!$C$1:$U$1,$D7-1,0),MATCH(N$4,'Adjustment scenario'!$C$10:$U$10,0))</f>
        <v>0.50724099999999983</v>
      </c>
      <c r="O7" s="267">
        <f ca="1">INDEX(OFFSET('Adjustment scenario'!$C$1:$U$1,$D7-1,0),MATCH(O$4,'Adjustment scenario'!$C$10:$U$10,0))</f>
        <v>0.50724099999999983</v>
      </c>
      <c r="P7" s="267">
        <f ca="1">INDEX(OFFSET('Adjustment scenario'!$C$1:$U$1,$D7-1,0),MATCH(P$4,'Adjustment scenario'!$C$10:$U$10,0))</f>
        <v>0.50724099999999983</v>
      </c>
      <c r="Q7" s="267">
        <f ca="1">INDEX(OFFSET('Adjustment scenario'!$C$1:$U$1,$D7-1,0),MATCH(Q$4,'Adjustment scenario'!$C$10:$U$10,0))</f>
        <v>0.50724099999999983</v>
      </c>
      <c r="R7" s="267">
        <f ca="1">INDEX(OFFSET('Adjustment scenario'!$C$1:$U$1,$D7-1,0),MATCH(R$4,'Adjustment scenario'!$C$10:$U$10,0))</f>
        <v>0.50724099999999983</v>
      </c>
      <c r="S7" s="267">
        <f ca="1">INDEX(OFFSET('Adjustment scenario'!$C$1:$U$1,$D7-1,0),MATCH(S$4,'Adjustment scenario'!$C$10:$U$10,0))</f>
        <v>0.50724099999999983</v>
      </c>
      <c r="T7" s="267">
        <f ca="1">INDEX(OFFSET('Adjustment scenario'!$C$1:$U$1,$D7-1,0),MATCH(T$4,'Adjustment scenario'!$C$10:$U$10,0))</f>
        <v>0.50724099999999983</v>
      </c>
      <c r="U7" s="267">
        <f ca="1">INDEX(OFFSET('Adjustment scenario'!$C$1:$U$1,$D7-1,0),MATCH(U$4,'Adjustment scenario'!$C$10:$U$10,0))</f>
        <v>0.50724099999999983</v>
      </c>
      <c r="V7" s="267">
        <f ca="1">INDEX(OFFSET('Adjustment scenario'!$C$1:$U$1,$D7-1,0),MATCH(V$4,'Adjustment scenario'!$C$10:$U$10,0))</f>
        <v>0.50724099999999983</v>
      </c>
      <c r="W7" s="267">
        <f ca="1">INDEX(OFFSET('Adjustment scenario'!$C$1:$U$1,$D7-1,0),MATCH(W$4,'Adjustment scenario'!$C$10:$U$10,0))</f>
        <v>0.50724099999999983</v>
      </c>
      <c r="X7" s="267">
        <f ca="1">INDEX(OFFSET('Adjustment scenario'!$C$1:$U$1,$D7-1,0),MATCH(X$4,'Adjustment scenario'!$C$10:$U$10,0))</f>
        <v>0.50724099999999983</v>
      </c>
      <c r="Y7" s="184"/>
    </row>
    <row r="8" spans="1:25" x14ac:dyDescent="0.2">
      <c r="A8" s="184"/>
      <c r="B8" s="274">
        <v>4</v>
      </c>
      <c r="C8" s="278" t="s">
        <v>146</v>
      </c>
      <c r="D8" s="279">
        <v>62</v>
      </c>
      <c r="E8" s="280" t="s">
        <v>145</v>
      </c>
      <c r="F8" s="267">
        <f ca="1">INDEX(OFFSET('Adjustment scenario'!$C$1:$U$1,$D8-1,0),MATCH(F$4,'Adjustment scenario'!$C$10:$U$10,0))</f>
        <v>0</v>
      </c>
      <c r="G8" s="267">
        <f ca="1">INDEX(OFFSET('Adjustment scenario'!$C$1:$U$1,$D8-1,0),MATCH(G$4,'Adjustment scenario'!$C$10:$U$10,0))</f>
        <v>0.15831162096306806</v>
      </c>
      <c r="H8" s="267">
        <f ca="1">INDEX(OFFSET('Adjustment scenario'!$C$1:$U$1,$D8-1,0),MATCH(H$4,'Adjustment scenario'!$C$10:$U$10,0))</f>
        <v>9.5097797565243947E-3</v>
      </c>
      <c r="I8" s="267">
        <f ca="1">INDEX(OFFSET('Adjustment scenario'!$C$1:$U$1,$D8-1,0),MATCH(I$4,'Adjustment scenario'!$C$10:$U$10,0))</f>
        <v>0.11376889996376849</v>
      </c>
      <c r="J8" s="267">
        <f ca="1">INDEX(OFFSET('Adjustment scenario'!$C$1:$U$1,$D8-1,0),MATCH(J$4,'Adjustment scenario'!$C$10:$U$10,0))</f>
        <v>0.18322643058215982</v>
      </c>
      <c r="K8" s="267">
        <f ca="1">INDEX(OFFSET('Adjustment scenario'!$C$1:$U$1,$D8-1,0),MATCH(K$4,'Adjustment scenario'!$C$10:$U$10,0))</f>
        <v>0.22936522851685615</v>
      </c>
      <c r="L8" s="267">
        <f ca="1">INDEX(OFFSET('Adjustment scenario'!$C$1:$U$1,$D8-1,0),MATCH(L$4,'Adjustment scenario'!$C$10:$U$10,0))</f>
        <v>0.15291015234457223</v>
      </c>
      <c r="M8" s="267">
        <f ca="1">INDEX(OFFSET('Adjustment scenario'!$C$1:$U$1,$D8-1,0),MATCH(M$4,'Adjustment scenario'!$C$10:$U$10,0))</f>
        <v>7.645507617228392E-2</v>
      </c>
      <c r="N8" s="267">
        <f ca="1">INDEX(OFFSET('Adjustment scenario'!$C$1:$U$1,$D8-1,0),MATCH(N$4,'Adjustment scenario'!$C$10:$U$10,0))</f>
        <v>0</v>
      </c>
      <c r="O8" s="267">
        <f ca="1">INDEX(OFFSET('Adjustment scenario'!$C$1:$U$1,$D8-1,0),MATCH(O$4,'Adjustment scenario'!$C$10:$U$10,0))</f>
        <v>-1.1708416676192712E-6</v>
      </c>
      <c r="P8" s="267">
        <f ca="1">INDEX(OFFSET('Adjustment scenario'!$C$1:$U$1,$D8-1,0),MATCH(P$4,'Adjustment scenario'!$C$10:$U$10,0))</f>
        <v>-3.5141092217250147E-6</v>
      </c>
      <c r="Q8" s="267">
        <f ca="1">INDEX(OFFSET('Adjustment scenario'!$C$1:$U$1,$D8-1,0),MATCH(Q$4,'Adjustment scenario'!$C$10:$U$10,0))</f>
        <v>-4.6843963052989324E-6</v>
      </c>
      <c r="R8" s="267">
        <f ca="1">INDEX(OFFSET('Adjustment scenario'!$C$1:$U$1,$D8-1,0),MATCH(R$4,'Adjustment scenario'!$C$10:$U$10,0))</f>
        <v>-6.2429875763436726E-6</v>
      </c>
      <c r="S8" s="267">
        <f ca="1">INDEX(OFFSET('Adjustment scenario'!$C$1:$U$1,$D8-1,0),MATCH(S$4,'Adjustment scenario'!$C$10:$U$10,0))</f>
        <v>-7.0213895106974178E-6</v>
      </c>
      <c r="T8" s="267">
        <f ca="1">INDEX(OFFSET('Adjustment scenario'!$C$1:$U$1,$D8-1,0),MATCH(T$4,'Adjustment scenario'!$C$10:$U$10,0))</f>
        <v>-5.8541316114713027E-6</v>
      </c>
      <c r="U8" s="267">
        <f ca="1">INDEX(OFFSET('Adjustment scenario'!$C$1:$U$1,$D8-1,0),MATCH(U$4,'Adjustment scenario'!$C$10:$U$10,0))</f>
        <v>-6.6316907808561254E-6</v>
      </c>
      <c r="V8" s="267">
        <f ca="1">INDEX(OFFSET('Adjustment scenario'!$C$1:$U$1,$D8-1,0),MATCH(V$4,'Adjustment scenario'!$C$10:$U$10,0))</f>
        <v>-8.5755887437866107E-6</v>
      </c>
      <c r="W8" s="267">
        <f ca="1">INDEX(OFFSET('Adjustment scenario'!$C$1:$U$1,$D8-1,0),MATCH(W$4,'Adjustment scenario'!$C$10:$U$10,0))</f>
        <v>-8.5755887437866107E-6</v>
      </c>
      <c r="X8" s="267">
        <f ca="1">INDEX(OFFSET('Adjustment scenario'!$C$1:$U$1,$D8-1,0),MATCH(X$4,'Adjustment scenario'!$C$10:$U$10,0))</f>
        <v>-8.5755887350158488E-6</v>
      </c>
      <c r="Y8" s="184"/>
    </row>
    <row r="9" spans="1:25" x14ac:dyDescent="0.2">
      <c r="A9" s="184"/>
      <c r="B9" s="274">
        <v>5</v>
      </c>
      <c r="C9" s="278" t="s">
        <v>147</v>
      </c>
      <c r="D9" s="279">
        <v>14</v>
      </c>
      <c r="E9" s="280" t="s">
        <v>143</v>
      </c>
      <c r="F9" s="267">
        <f ca="1">INDEX(OFFSET('Adjustment scenario'!$C$1:$U$1,$D9-1,0),MATCH(F$4,'Adjustment scenario'!$C$10:$U$10,0))</f>
        <v>-0.1168709</v>
      </c>
      <c r="G9" s="267">
        <f ca="1">INDEX(OFFSET('Adjustment scenario'!$C$1:$U$1,$D9-1,0),MATCH(G$4,'Adjustment scenario'!$C$10:$U$10,0))</f>
        <v>0</v>
      </c>
      <c r="H9" s="267">
        <f ca="1">INDEX(OFFSET('Adjustment scenario'!$C$1:$U$1,$D9-1,0),MATCH(H$4,'Adjustment scenario'!$C$10:$U$10,0))</f>
        <v>0</v>
      </c>
      <c r="I9" s="267">
        <f ca="1">INDEX(OFFSET('Adjustment scenario'!$C$1:$U$1,$D9-1,0),MATCH(I$4,'Adjustment scenario'!$C$10:$U$10,0))</f>
        <v>0</v>
      </c>
      <c r="J9" s="267">
        <f ca="1">INDEX(OFFSET('Adjustment scenario'!$C$1:$U$1,$D9-1,0),MATCH(J$4,'Adjustment scenario'!$C$10:$U$10,0))</f>
        <v>0</v>
      </c>
      <c r="K9" s="267">
        <f ca="1">INDEX(OFFSET('Adjustment scenario'!$C$1:$U$1,$D9-1,0),MATCH(K$4,'Adjustment scenario'!$C$10:$U$10,0))</f>
        <v>0</v>
      </c>
      <c r="L9" s="267">
        <f ca="1">INDEX(OFFSET('Adjustment scenario'!$C$1:$U$1,$D9-1,0),MATCH(L$4,'Adjustment scenario'!$C$10:$U$10,0))</f>
        <v>0</v>
      </c>
      <c r="M9" s="267">
        <f ca="1">INDEX(OFFSET('Adjustment scenario'!$C$1:$U$1,$D9-1,0),MATCH(M$4,'Adjustment scenario'!$C$10:$U$10,0))</f>
        <v>0</v>
      </c>
      <c r="N9" s="267">
        <f ca="1">INDEX(OFFSET('Adjustment scenario'!$C$1:$U$1,$D9-1,0),MATCH(N$4,'Adjustment scenario'!$C$10:$U$10,0))</f>
        <v>0</v>
      </c>
      <c r="O9" s="267">
        <f ca="1">INDEX(OFFSET('Adjustment scenario'!$C$1:$U$1,$D9-1,0),MATCH(O$4,'Adjustment scenario'!$C$10:$U$10,0))</f>
        <v>0</v>
      </c>
      <c r="P9" s="267">
        <f ca="1">INDEX(OFFSET('Adjustment scenario'!$C$1:$U$1,$D9-1,0),MATCH(P$4,'Adjustment scenario'!$C$10:$U$10,0))</f>
        <v>0</v>
      </c>
      <c r="Q9" s="267">
        <f ca="1">INDEX(OFFSET('Adjustment scenario'!$C$1:$U$1,$D9-1,0),MATCH(Q$4,'Adjustment scenario'!$C$10:$U$10,0))</f>
        <v>0</v>
      </c>
      <c r="R9" s="267">
        <f ca="1">INDEX(OFFSET('Adjustment scenario'!$C$1:$U$1,$D9-1,0),MATCH(R$4,'Adjustment scenario'!$C$10:$U$10,0))</f>
        <v>0</v>
      </c>
      <c r="S9" s="267">
        <f ca="1">INDEX(OFFSET('Adjustment scenario'!$C$1:$U$1,$D9-1,0),MATCH(S$4,'Adjustment scenario'!$C$10:$U$10,0))</f>
        <v>0</v>
      </c>
      <c r="T9" s="267">
        <f ca="1">INDEX(OFFSET('Adjustment scenario'!$C$1:$U$1,$D9-1,0),MATCH(T$4,'Adjustment scenario'!$C$10:$U$10,0))</f>
        <v>0</v>
      </c>
      <c r="U9" s="267">
        <f ca="1">INDEX(OFFSET('Adjustment scenario'!$C$1:$U$1,$D9-1,0),MATCH(U$4,'Adjustment scenario'!$C$10:$U$10,0))</f>
        <v>0</v>
      </c>
      <c r="V9" s="267">
        <f ca="1">INDEX(OFFSET('Adjustment scenario'!$C$1:$U$1,$D9-1,0),MATCH(V$4,'Adjustment scenario'!$C$10:$U$10,0))</f>
        <v>0</v>
      </c>
      <c r="W9" s="267">
        <f ca="1">INDEX(OFFSET('Adjustment scenario'!$C$1:$U$1,$D9-1,0),MATCH(W$4,'Adjustment scenario'!$C$10:$U$10,0))</f>
        <v>0</v>
      </c>
      <c r="X9" s="267">
        <f ca="1">INDEX(OFFSET('Adjustment scenario'!$C$1:$U$1,$D9-1,0),MATCH(X$4,'Adjustment scenario'!$C$10:$U$10,0))</f>
        <v>0</v>
      </c>
      <c r="Y9" s="184"/>
    </row>
    <row r="10" spans="1:25" x14ac:dyDescent="0.2">
      <c r="A10" s="184"/>
      <c r="B10" s="274">
        <v>6</v>
      </c>
      <c r="C10" s="278" t="s">
        <v>148</v>
      </c>
      <c r="D10" s="279">
        <v>68</v>
      </c>
      <c r="E10" s="280" t="s">
        <v>143</v>
      </c>
      <c r="F10" s="267">
        <f ca="1">INDEX(OFFSET('Adjustment scenario'!$C$1:$U$1,$D10-1,0),MATCH(F$4,'Adjustment scenario'!$C$10:$U$10,0))</f>
        <v>0</v>
      </c>
      <c r="G10" s="267">
        <f ca="1">INDEX(OFFSET('Adjustment scenario'!$C$1:$U$1,$D10-1,0),MATCH(G$4,'Adjustment scenario'!$C$10:$U$10,0))</f>
        <v>1.3033928890676334</v>
      </c>
      <c r="H10" s="267">
        <f ca="1">INDEX(OFFSET('Adjustment scenario'!$C$1:$U$1,$D10-1,0),MATCH(H$4,'Adjustment scenario'!$C$10:$U$10,0))</f>
        <v>1.3095717505936093</v>
      </c>
      <c r="I10" s="267">
        <f ca="1">INDEX(OFFSET('Adjustment scenario'!$C$1:$U$1,$D10-1,0),MATCH(I$4,'Adjustment scenario'!$C$10:$U$10,0))</f>
        <v>1.461474618084855</v>
      </c>
      <c r="J10" s="267">
        <f ca="1">INDEX(OFFSET('Adjustment scenario'!$C$1:$U$1,$D10-1,0),MATCH(J$4,'Adjustment scenario'!$C$10:$U$10,0))</f>
        <v>1.5602322134632263</v>
      </c>
      <c r="K10" s="267">
        <f ca="1">INDEX(OFFSET('Adjustment scenario'!$C$1:$U$1,$D10-1,0),MATCH(K$4,'Adjustment scenario'!$C$10:$U$10,0))</f>
        <v>1.6418479775124148</v>
      </c>
      <c r="L10" s="267">
        <f ca="1">INDEX(OFFSET('Adjustment scenario'!$C$1:$U$1,$D10-1,0),MATCH(L$4,'Adjustment scenario'!$C$10:$U$10,0))</f>
        <v>1.6995732114594087</v>
      </c>
      <c r="M10" s="267">
        <f ca="1">INDEX(OFFSET('Adjustment scenario'!$C$1:$U$1,$D10-1,0),MATCH(M$4,'Adjustment scenario'!$C$10:$U$10,0))</f>
        <v>1.7613765618481161</v>
      </c>
      <c r="N10" s="267">
        <f ca="1">INDEX(OFFSET('Adjustment scenario'!$C$1:$U$1,$D10-1,0),MATCH(N$4,'Adjustment scenario'!$C$10:$U$10,0))</f>
        <v>1.8224536919351564</v>
      </c>
      <c r="O10" s="267">
        <f ca="1">INDEX(OFFSET('Adjustment scenario'!$C$1:$U$1,$D10-1,0),MATCH(O$4,'Adjustment scenario'!$C$10:$U$10,0))</f>
        <v>1.887482303826723</v>
      </c>
      <c r="P10" s="267">
        <f ca="1">INDEX(OFFSET('Adjustment scenario'!$C$1:$U$1,$D10-1,0),MATCH(P$4,'Adjustment scenario'!$C$10:$U$10,0))</f>
        <v>1.9752575190611863</v>
      </c>
      <c r="Q10" s="267">
        <f ca="1">INDEX(OFFSET('Adjustment scenario'!$C$1:$U$1,$D10-1,0),MATCH(Q$4,'Adjustment scenario'!$C$10:$U$10,0))</f>
        <v>2.0527490466143203</v>
      </c>
      <c r="R10" s="267">
        <f ca="1">INDEX(OFFSET('Adjustment scenario'!$C$1:$U$1,$D10-1,0),MATCH(R$4,'Adjustment scenario'!$C$10:$U$10,0))</f>
        <v>2.1267588017305279</v>
      </c>
      <c r="S10" s="267">
        <f ca="1">INDEX(OFFSET('Adjustment scenario'!$C$1:$U$1,$D10-1,0),MATCH(S$4,'Adjustment scenario'!$C$10:$U$10,0))</f>
        <v>2.1974551788240944</v>
      </c>
      <c r="T10" s="267">
        <f ca="1">INDEX(OFFSET('Adjustment scenario'!$C$1:$U$1,$D10-1,0),MATCH(T$4,'Adjustment scenario'!$C$10:$U$10,0))</f>
        <v>2.2721276719698462</v>
      </c>
      <c r="U10" s="267">
        <f ca="1">INDEX(OFFSET('Adjustment scenario'!$C$1:$U$1,$D10-1,0),MATCH(U$4,'Adjustment scenario'!$C$10:$U$10,0))</f>
        <v>2.3394139411553461</v>
      </c>
      <c r="V10" s="267">
        <f ca="1">INDEX(OFFSET('Adjustment scenario'!$C$1:$U$1,$D10-1,0),MATCH(V$4,'Adjustment scenario'!$C$10:$U$10,0))</f>
        <v>2.4064435263301278</v>
      </c>
      <c r="W10" s="267">
        <f ca="1">INDEX(OFFSET('Adjustment scenario'!$C$1:$U$1,$D10-1,0),MATCH(W$4,'Adjustment scenario'!$C$10:$U$10,0))</f>
        <v>2.4783308917428339</v>
      </c>
      <c r="X10" s="267">
        <f ca="1">INDEX(OFFSET('Adjustment scenario'!$C$1:$U$1,$D10-1,0),MATCH(X$4,'Adjustment scenario'!$C$10:$U$10,0))</f>
        <v>2.5498980762773784</v>
      </c>
      <c r="Y10" s="184"/>
    </row>
    <row r="11" spans="1:25" x14ac:dyDescent="0.2">
      <c r="A11" s="184"/>
      <c r="B11" s="274">
        <v>7</v>
      </c>
      <c r="C11" s="281" t="s">
        <v>61</v>
      </c>
      <c r="D11" s="279">
        <v>37</v>
      </c>
      <c r="E11" s="280" t="s">
        <v>149</v>
      </c>
      <c r="F11" s="267">
        <f ca="1">INDEX(OFFSET('Adjustment scenario'!$C$1:$U$1,$D11-1,0),MATCH(F$4,'Adjustment scenario'!$C$10:$U$10,0))</f>
        <v>4.29</v>
      </c>
      <c r="G11" s="267">
        <f ca="1">INDEX(OFFSET('Adjustment scenario'!$C$1:$U$1,$D11-1,0),MATCH(G$4,'Adjustment scenario'!$C$10:$U$10,0))</f>
        <v>4.7019640000000003</v>
      </c>
      <c r="H11" s="267">
        <f ca="1">INDEX(OFFSET('Adjustment scenario'!$C$1:$U$1,$D11-1,0),MATCH(H$4,'Adjustment scenario'!$C$10:$U$10,0))</f>
        <v>4.9156490000000002</v>
      </c>
      <c r="I11" s="267">
        <f ca="1">INDEX(OFFSET('Adjustment scenario'!$C$1:$U$1,$D11-1,0),MATCH(I$4,'Adjustment scenario'!$C$10:$U$10,0))</f>
        <v>5.0370066250000001</v>
      </c>
      <c r="J11" s="267">
        <f ca="1">INDEX(OFFSET('Adjustment scenario'!$C$1:$U$1,$D11-1,0),MATCH(J$4,'Adjustment scenario'!$C$10:$U$10,0))</f>
        <v>5.15836425</v>
      </c>
      <c r="K11" s="267">
        <f ca="1">INDEX(OFFSET('Adjustment scenario'!$C$1:$U$1,$D11-1,0),MATCH(K$4,'Adjustment scenario'!$C$10:$U$10,0))</f>
        <v>5.2797218749999999</v>
      </c>
      <c r="L11" s="267">
        <f ca="1">INDEX(OFFSET('Adjustment scenario'!$C$1:$U$1,$D11-1,0),MATCH(L$4,'Adjustment scenario'!$C$10:$U$10,0))</f>
        <v>5.4010794999999998</v>
      </c>
      <c r="M11" s="267">
        <f ca="1">INDEX(OFFSET('Adjustment scenario'!$C$1:$U$1,$D11-1,0),MATCH(M$4,'Adjustment scenario'!$C$10:$U$10,0))</f>
        <v>5.5224371250000006</v>
      </c>
      <c r="N11" s="267">
        <f ca="1">INDEX(OFFSET('Adjustment scenario'!$C$1:$U$1,$D11-1,0),MATCH(N$4,'Adjustment scenario'!$C$10:$U$10,0))</f>
        <v>5.6437947500000005</v>
      </c>
      <c r="O11" s="267">
        <f ca="1">INDEX(OFFSET('Adjustment scenario'!$C$1:$U$1,$D11-1,0),MATCH(O$4,'Adjustment scenario'!$C$10:$U$10,0))</f>
        <v>5.7651523750000004</v>
      </c>
      <c r="P11" s="267">
        <f ca="1">INDEX(OFFSET('Adjustment scenario'!$C$1:$U$1,$D11-1,0),MATCH(P$4,'Adjustment scenario'!$C$10:$U$10,0))</f>
        <v>5.8865100000000004</v>
      </c>
      <c r="Q11" s="267">
        <f ca="1">INDEX(OFFSET('Adjustment scenario'!$C$1:$U$1,$D11-1,0),MATCH(Q$4,'Adjustment scenario'!$C$10:$U$10,0))</f>
        <v>5.7921845000000003</v>
      </c>
      <c r="R11" s="267">
        <f ca="1">INDEX(OFFSET('Adjustment scenario'!$C$1:$U$1,$D11-1,0),MATCH(R$4,'Adjustment scenario'!$C$10:$U$10,0))</f>
        <v>5.6978590000000002</v>
      </c>
      <c r="S11" s="267">
        <f ca="1">INDEX(OFFSET('Adjustment scenario'!$C$1:$U$1,$D11-1,0),MATCH(S$4,'Adjustment scenario'!$C$10:$U$10,0))</f>
        <v>5.6035335000000002</v>
      </c>
      <c r="T11" s="267">
        <f ca="1">INDEX(OFFSET('Adjustment scenario'!$C$1:$U$1,$D11-1,0),MATCH(T$4,'Adjustment scenario'!$C$10:$U$10,0))</f>
        <v>5.5092080000000001</v>
      </c>
      <c r="U11" s="267">
        <f ca="1">INDEX(OFFSET('Adjustment scenario'!$C$1:$U$1,$D11-1,0),MATCH(U$4,'Adjustment scenario'!$C$10:$U$10,0))</f>
        <v>5.4148825</v>
      </c>
      <c r="V11" s="267">
        <f ca="1">INDEX(OFFSET('Adjustment scenario'!$C$1:$U$1,$D11-1,0),MATCH(V$4,'Adjustment scenario'!$C$10:$U$10,0))</f>
        <v>5.320557</v>
      </c>
      <c r="W11" s="267">
        <f ca="1">INDEX(OFFSET('Adjustment scenario'!$C$1:$U$1,$D11-1,0),MATCH(W$4,'Adjustment scenario'!$C$10:$U$10,0))</f>
        <v>5.2262314999999999</v>
      </c>
      <c r="X11" s="267">
        <f ca="1">INDEX(OFFSET('Adjustment scenario'!$C$1:$U$1,$D11-1,0),MATCH(X$4,'Adjustment scenario'!$C$10:$U$10,0))</f>
        <v>5.1319059999999999</v>
      </c>
      <c r="Y11" s="184"/>
    </row>
    <row r="12" spans="1:25" x14ac:dyDescent="0.2">
      <c r="A12" s="184"/>
      <c r="B12" s="274">
        <v>8</v>
      </c>
      <c r="C12" s="281" t="s">
        <v>62</v>
      </c>
      <c r="D12" s="279">
        <v>38</v>
      </c>
      <c r="E12" s="280" t="s">
        <v>149</v>
      </c>
      <c r="F12" s="267">
        <f ca="1">INDEX(OFFSET('Adjustment scenario'!$C$1:$U$1,$D12-1,0),MATCH(F$4,'Adjustment scenario'!$C$10:$U$10,0))</f>
        <v>3.6</v>
      </c>
      <c r="G12" s="267">
        <f ca="1">INDEX(OFFSET('Adjustment scenario'!$C$1:$U$1,$D12-1,0),MATCH(G$4,'Adjustment scenario'!$C$10:$U$10,0))</f>
        <v>3.6498529999999998</v>
      </c>
      <c r="H12" s="267">
        <f ca="1">INDEX(OFFSET('Adjustment scenario'!$C$1:$U$1,$D12-1,0),MATCH(H$4,'Adjustment scenario'!$C$10:$U$10,0))</f>
        <v>4.2671910000000004</v>
      </c>
      <c r="I12" s="267">
        <f ca="1">INDEX(OFFSET('Adjustment scenario'!$C$1:$U$1,$D12-1,0),MATCH(I$4,'Adjustment scenario'!$C$10:$U$10,0))</f>
        <v>4.2826608750000004</v>
      </c>
      <c r="J12" s="267">
        <f ca="1">INDEX(OFFSET('Adjustment scenario'!$C$1:$U$1,$D12-1,0),MATCH(J$4,'Adjustment scenario'!$C$10:$U$10,0))</f>
        <v>4.2981307500000003</v>
      </c>
      <c r="K12" s="267">
        <f ca="1">INDEX(OFFSET('Adjustment scenario'!$C$1:$U$1,$D12-1,0),MATCH(K$4,'Adjustment scenario'!$C$10:$U$10,0))</f>
        <v>4.3136006250000003</v>
      </c>
      <c r="L12" s="267">
        <f ca="1">INDEX(OFFSET('Adjustment scenario'!$C$1:$U$1,$D12-1,0),MATCH(L$4,'Adjustment scenario'!$C$10:$U$10,0))</f>
        <v>4.3290705000000003</v>
      </c>
      <c r="M12" s="267">
        <f ca="1">INDEX(OFFSET('Adjustment scenario'!$C$1:$U$1,$D12-1,0),MATCH(M$4,'Adjustment scenario'!$C$10:$U$10,0))</f>
        <v>4.3445403750000002</v>
      </c>
      <c r="N12" s="267">
        <f ca="1">INDEX(OFFSET('Adjustment scenario'!$C$1:$U$1,$D12-1,0),MATCH(N$4,'Adjustment scenario'!$C$10:$U$10,0))</f>
        <v>4.3600102500000002</v>
      </c>
      <c r="O12" s="267">
        <f ca="1">INDEX(OFFSET('Adjustment scenario'!$C$1:$U$1,$D12-1,0),MATCH(O$4,'Adjustment scenario'!$C$10:$U$10,0))</f>
        <v>4.3754801250000002</v>
      </c>
      <c r="P12" s="267">
        <f ca="1">INDEX(OFFSET('Adjustment scenario'!$C$1:$U$1,$D12-1,0),MATCH(P$4,'Adjustment scenario'!$C$10:$U$10,0))</f>
        <v>4.3909500000000001</v>
      </c>
      <c r="Q12" s="267">
        <f ca="1">INDEX(OFFSET('Adjustment scenario'!$C$1:$U$1,$D12-1,0),MATCH(Q$4,'Adjustment scenario'!$C$10:$U$10,0))</f>
        <v>4.2714024999999998</v>
      </c>
      <c r="R12" s="267">
        <f ca="1">INDEX(OFFSET('Adjustment scenario'!$C$1:$U$1,$D12-1,0),MATCH(R$4,'Adjustment scenario'!$C$10:$U$10,0))</f>
        <v>4.1518550000000003</v>
      </c>
      <c r="S12" s="267">
        <f ca="1">INDEX(OFFSET('Adjustment scenario'!$C$1:$U$1,$D12-1,0),MATCH(S$4,'Adjustment scenario'!$C$10:$U$10,0))</f>
        <v>4.0323074999999999</v>
      </c>
      <c r="T12" s="267">
        <f ca="1">INDEX(OFFSET('Adjustment scenario'!$C$1:$U$1,$D12-1,0),MATCH(T$4,'Adjustment scenario'!$C$10:$U$10,0))</f>
        <v>3.91276</v>
      </c>
      <c r="U12" s="267">
        <f ca="1">INDEX(OFFSET('Adjustment scenario'!$C$1:$U$1,$D12-1,0),MATCH(U$4,'Adjustment scenario'!$C$10:$U$10,0))</f>
        <v>3.7932125000000001</v>
      </c>
      <c r="V12" s="267">
        <f ca="1">INDEX(OFFSET('Adjustment scenario'!$C$1:$U$1,$D12-1,0),MATCH(V$4,'Adjustment scenario'!$C$10:$U$10,0))</f>
        <v>3.6736650000000002</v>
      </c>
      <c r="W12" s="267">
        <f ca="1">INDEX(OFFSET('Adjustment scenario'!$C$1:$U$1,$D12-1,0),MATCH(W$4,'Adjustment scenario'!$C$10:$U$10,0))</f>
        <v>3.5541175000000003</v>
      </c>
      <c r="X12" s="267">
        <f ca="1">INDEX(OFFSET('Adjustment scenario'!$C$1:$U$1,$D12-1,0),MATCH(X$4,'Adjustment scenario'!$C$10:$U$10,0))</f>
        <v>3.4345699999999999</v>
      </c>
      <c r="Y12" s="184"/>
    </row>
    <row r="13" spans="1:25" x14ac:dyDescent="0.2">
      <c r="A13" s="184"/>
      <c r="B13" s="274">
        <v>9</v>
      </c>
      <c r="C13" s="278" t="s">
        <v>150</v>
      </c>
      <c r="D13" s="279">
        <v>36</v>
      </c>
      <c r="E13" s="280" t="s">
        <v>149</v>
      </c>
      <c r="F13" s="267">
        <f ca="1">INDEX(OFFSET('Adjustment scenario'!$C$1:$U$1,$D13-1,0),MATCH(F$4,'Adjustment scenario'!$C$10:$U$10,0))</f>
        <v>3.1969609999999999</v>
      </c>
      <c r="G13" s="267">
        <f ca="1">INDEX(OFFSET('Adjustment scenario'!$C$1:$U$1,$D13-1,0),MATCH(G$4,'Adjustment scenario'!$C$10:$U$10,0))</f>
        <v>3.078103</v>
      </c>
      <c r="H13" s="267">
        <f ca="1">INDEX(OFFSET('Adjustment scenario'!$C$1:$U$1,$D13-1,0),MATCH(H$4,'Adjustment scenario'!$C$10:$U$10,0))</f>
        <v>2.999835</v>
      </c>
      <c r="I13" s="267">
        <f ca="1">INDEX(OFFSET('Adjustment scenario'!$C$1:$U$1,$D13-1,0),MATCH(I$4,'Adjustment scenario'!$C$10:$U$10,0))</f>
        <v>3.2612234963345017</v>
      </c>
      <c r="J13" s="267">
        <f ca="1">INDEX(OFFSET('Adjustment scenario'!$C$1:$U$1,$D13-1,0),MATCH(J$4,'Adjustment scenario'!$C$10:$U$10,0))</f>
        <v>3.4661519633917419</v>
      </c>
      <c r="K13" s="267">
        <f ca="1">INDEX(OFFSET('Adjustment scenario'!$C$1:$U$1,$D13-1,0),MATCH(K$4,'Adjustment scenario'!$C$10:$U$10,0))</f>
        <v>3.6527919364235872</v>
      </c>
      <c r="L13" s="267">
        <f ca="1">INDEX(OFFSET('Adjustment scenario'!$C$1:$U$1,$D13-1,0),MATCH(L$4,'Adjustment scenario'!$C$10:$U$10,0))</f>
        <v>3.8227404164057077</v>
      </c>
      <c r="M13" s="267">
        <f ca="1">INDEX(OFFSET('Adjustment scenario'!$C$1:$U$1,$D13-1,0),MATCH(M$4,'Adjustment scenario'!$C$10:$U$10,0))</f>
        <v>3.9924506315885533</v>
      </c>
      <c r="N13" s="267">
        <f ca="1">INDEX(OFFSET('Adjustment scenario'!$C$1:$U$1,$D13-1,0),MATCH(N$4,'Adjustment scenario'!$C$10:$U$10,0))</f>
        <v>4.1585065106652124</v>
      </c>
      <c r="O13" s="267">
        <f ca="1">INDEX(OFFSET('Adjustment scenario'!$C$1:$U$1,$D13-1,0),MATCH(O$4,'Adjustment scenario'!$C$10:$U$10,0))</f>
        <v>4.3211097800205742</v>
      </c>
      <c r="P13" s="267">
        <f ca="1">INDEX(OFFSET('Adjustment scenario'!$C$1:$U$1,$D13-1,0),MATCH(P$4,'Adjustment scenario'!$C$10:$U$10,0))</f>
        <v>4.491641677287797</v>
      </c>
      <c r="Q13" s="267">
        <f ca="1">INDEX(OFFSET('Adjustment scenario'!$C$1:$U$1,$D13-1,0),MATCH(Q$4,'Adjustment scenario'!$C$10:$U$10,0))</f>
        <v>4.631941317789745</v>
      </c>
      <c r="R13" s="267">
        <f ca="1">INDEX(OFFSET('Adjustment scenario'!$C$1:$U$1,$D13-1,0),MATCH(R$4,'Adjustment scenario'!$C$10:$U$10,0))</f>
        <v>4.7485430065068339</v>
      </c>
      <c r="S13" s="267">
        <f ca="1">INDEX(OFFSET('Adjustment scenario'!$C$1:$U$1,$D13-1,0),MATCH(S$4,'Adjustment scenario'!$C$10:$U$10,0))</f>
        <v>4.8425187478570608</v>
      </c>
      <c r="T13" s="267">
        <f ca="1">INDEX(OFFSET('Adjustment scenario'!$C$1:$U$1,$D13-1,0),MATCH(T$4,'Adjustment scenario'!$C$10:$U$10,0))</f>
        <v>4.9163067262605171</v>
      </c>
      <c r="U13" s="267">
        <f ca="1">INDEX(OFFSET('Adjustment scenario'!$C$1:$U$1,$D13-1,0),MATCH(U$4,'Adjustment scenario'!$C$10:$U$10,0))</f>
        <v>4.9690506896741908</v>
      </c>
      <c r="V13" s="267">
        <f ca="1">INDEX(OFFSET('Adjustment scenario'!$C$1:$U$1,$D13-1,0),MATCH(V$4,'Adjustment scenario'!$C$10:$U$10,0))</f>
        <v>5.0036379295157527</v>
      </c>
      <c r="W13" s="267">
        <f ca="1">INDEX(OFFSET('Adjustment scenario'!$C$1:$U$1,$D13-1,0),MATCH(W$4,'Adjustment scenario'!$C$10:$U$10,0))</f>
        <v>5.0219997197073161</v>
      </c>
      <c r="X13" s="267">
        <f ca="1">INDEX(OFFSET('Adjustment scenario'!$C$1:$U$1,$D13-1,0),MATCH(X$4,'Adjustment scenario'!$C$10:$U$10,0))</f>
        <v>5.025283034969183</v>
      </c>
      <c r="Y13" s="184"/>
    </row>
    <row r="14" spans="1:25" x14ac:dyDescent="0.2">
      <c r="A14" s="184"/>
      <c r="B14" s="274">
        <v>10</v>
      </c>
      <c r="C14" s="278" t="s">
        <v>151</v>
      </c>
      <c r="D14" s="279">
        <v>72</v>
      </c>
      <c r="E14" s="280" t="s">
        <v>143</v>
      </c>
      <c r="F14" s="267">
        <f ca="1">INDEX(OFFSET('Adjustment scenario'!$C$1:$U$1,$D14-1,0),MATCH(F$4,'Adjustment scenario'!$C$10:$U$10,0))</f>
        <v>0</v>
      </c>
      <c r="G14" s="267">
        <f ca="1">INDEX(OFFSET('Adjustment scenario'!$C$1:$U$1,$D14-1,0),MATCH(G$4,'Adjustment scenario'!$C$10:$U$10,0))</f>
        <v>0.70141940000000003</v>
      </c>
      <c r="H14" s="267">
        <f ca="1">INDEX(OFFSET('Adjustment scenario'!$C$1:$U$1,$D14-1,0),MATCH(H$4,'Adjustment scenario'!$C$10:$U$10,0))</f>
        <v>0.84995989999999999</v>
      </c>
      <c r="I14" s="267">
        <f ca="1">INDEX(OFFSET('Adjustment scenario'!$C$1:$U$1,$D14-1,0),MATCH(I$4,'Adjustment scenario'!$C$10:$U$10,0))</f>
        <v>0</v>
      </c>
      <c r="J14" s="267">
        <f ca="1">INDEX(OFFSET('Adjustment scenario'!$C$1:$U$1,$D14-1,0),MATCH(J$4,'Adjustment scenario'!$C$10:$U$10,0))</f>
        <v>0</v>
      </c>
      <c r="K14" s="267">
        <f ca="1">INDEX(OFFSET('Adjustment scenario'!$C$1:$U$1,$D14-1,0),MATCH(K$4,'Adjustment scenario'!$C$10:$U$10,0))</f>
        <v>0</v>
      </c>
      <c r="L14" s="267">
        <f ca="1">INDEX(OFFSET('Adjustment scenario'!$C$1:$U$1,$D14-1,0),MATCH(L$4,'Adjustment scenario'!$C$10:$U$10,0))</f>
        <v>0</v>
      </c>
      <c r="M14" s="267">
        <f ca="1">INDEX(OFFSET('Adjustment scenario'!$C$1:$U$1,$D14-1,0),MATCH(M$4,'Adjustment scenario'!$C$10:$U$10,0))</f>
        <v>0</v>
      </c>
      <c r="N14" s="267">
        <f ca="1">INDEX(OFFSET('Adjustment scenario'!$C$1:$U$1,$D14-1,0),MATCH(N$4,'Adjustment scenario'!$C$10:$U$10,0))</f>
        <v>0</v>
      </c>
      <c r="O14" s="267">
        <f ca="1">INDEX(OFFSET('Adjustment scenario'!$C$1:$U$1,$D14-1,0),MATCH(O$4,'Adjustment scenario'!$C$10:$U$10,0))</f>
        <v>0</v>
      </c>
      <c r="P14" s="267">
        <f ca="1">INDEX(OFFSET('Adjustment scenario'!$C$1:$U$1,$D14-1,0),MATCH(P$4,'Adjustment scenario'!$C$10:$U$10,0))</f>
        <v>0</v>
      </c>
      <c r="Q14" s="267">
        <f ca="1">INDEX(OFFSET('Adjustment scenario'!$C$1:$U$1,$D14-1,0),MATCH(Q$4,'Adjustment scenario'!$C$10:$U$10,0))</f>
        <v>0</v>
      </c>
      <c r="R14" s="267">
        <f ca="1">INDEX(OFFSET('Adjustment scenario'!$C$1:$U$1,$D14-1,0),MATCH(R$4,'Adjustment scenario'!$C$10:$U$10,0))</f>
        <v>0</v>
      </c>
      <c r="S14" s="267">
        <f ca="1">INDEX(OFFSET('Adjustment scenario'!$C$1:$U$1,$D14-1,0),MATCH(S$4,'Adjustment scenario'!$C$10:$U$10,0))</f>
        <v>0</v>
      </c>
      <c r="T14" s="267">
        <f ca="1">INDEX(OFFSET('Adjustment scenario'!$C$1:$U$1,$D14-1,0),MATCH(T$4,'Adjustment scenario'!$C$10:$U$10,0))</f>
        <v>0</v>
      </c>
      <c r="U14" s="267">
        <f ca="1">INDEX(OFFSET('Adjustment scenario'!$C$1:$U$1,$D14-1,0),MATCH(U$4,'Adjustment scenario'!$C$10:$U$10,0))</f>
        <v>0</v>
      </c>
      <c r="V14" s="267">
        <f ca="1">INDEX(OFFSET('Adjustment scenario'!$C$1:$U$1,$D14-1,0),MATCH(V$4,'Adjustment scenario'!$C$10:$U$10,0))</f>
        <v>0</v>
      </c>
      <c r="W14" s="267">
        <f ca="1">INDEX(OFFSET('Adjustment scenario'!$C$1:$U$1,$D14-1,0),MATCH(W$4,'Adjustment scenario'!$C$10:$U$10,0))</f>
        <v>0</v>
      </c>
      <c r="X14" s="267">
        <f ca="1">INDEX(OFFSET('Adjustment scenario'!$C$1:$U$1,$D14-1,0),MATCH(X$4,'Adjustment scenario'!$C$10:$U$10,0))</f>
        <v>0</v>
      </c>
      <c r="Y14" s="184"/>
    </row>
    <row r="15" spans="1:25" x14ac:dyDescent="0.2">
      <c r="A15" s="184"/>
      <c r="B15" s="274">
        <v>11</v>
      </c>
      <c r="C15" s="282" t="s">
        <v>40</v>
      </c>
      <c r="D15" s="279">
        <v>27</v>
      </c>
      <c r="E15" s="280" t="s">
        <v>152</v>
      </c>
      <c r="F15" s="267">
        <f>'Input data'!C$33</f>
        <v>1.560683</v>
      </c>
      <c r="G15" s="267">
        <f ca="1">(INDEX(OFFSET('Adjustment scenario'!$C$1:$U$1,$D15-1,0),MATCH(G$4,'Adjustment scenario'!$C$10:$U$10,0))/INDEX(OFFSET('Adjustment scenario'!$C$1:$U$1,$D15-1,0),MATCH(F$4,'Adjustment scenario'!$C$10:$U$10,0))-1)*100</f>
        <v>1.6476600000000063</v>
      </c>
      <c r="H15" s="267">
        <f ca="1">(INDEX(OFFSET('Adjustment scenario'!$C$1:$U$1,$D15-1,0),MATCH(H$4,'Adjustment scenario'!$C$10:$U$10,0))/INDEX(OFFSET('Adjustment scenario'!$C$1:$U$1,$D15-1,0),MATCH(G$4,'Adjustment scenario'!$C$10:$U$10,0))-1)*100</f>
        <v>1.4921039999999941</v>
      </c>
      <c r="I15" s="267">
        <f ca="1">(INDEX(OFFSET('Adjustment scenario'!$C$1:$U$1,$D15-1,0),MATCH(I$4,'Adjustment scenario'!$C$10:$U$10,0))/INDEX(OFFSET('Adjustment scenario'!$C$1:$U$1,$D15-1,0),MATCH(H$4,'Adjustment scenario'!$C$10:$U$10,0))-1)*100</f>
        <v>1.456502000000004</v>
      </c>
      <c r="J15" s="267">
        <f ca="1">(INDEX(OFFSET('Adjustment scenario'!$C$1:$U$1,$D15-1,0),MATCH(J$4,'Adjustment scenario'!$C$10:$U$10,0))/INDEX(OFFSET('Adjustment scenario'!$C$1:$U$1,$D15-1,0),MATCH(I$4,'Adjustment scenario'!$C$10:$U$10,0))-1)*100</f>
        <v>1.2343959999999932</v>
      </c>
      <c r="K15" s="267">
        <f ca="1">(INDEX(OFFSET('Adjustment scenario'!$C$1:$U$1,$D15-1,0),MATCH(K$4,'Adjustment scenario'!$C$10:$U$10,0))/INDEX(OFFSET('Adjustment scenario'!$C$1:$U$1,$D15-1,0),MATCH(J$4,'Adjustment scenario'!$C$10:$U$10,0))-1)*100</f>
        <v>1.2125439999999932</v>
      </c>
      <c r="L15" s="267">
        <f ca="1">(INDEX(OFFSET('Adjustment scenario'!$C$1:$U$1,$D15-1,0),MATCH(L$4,'Adjustment scenario'!$C$10:$U$10,0))/INDEX(OFFSET('Adjustment scenario'!$C$1:$U$1,$D15-1,0),MATCH(K$4,'Adjustment scenario'!$C$10:$U$10,0))-1)*100</f>
        <v>1.2260879999999919</v>
      </c>
      <c r="M15" s="267">
        <f ca="1">(INDEX(OFFSET('Adjustment scenario'!$C$1:$U$1,$D15-1,0),MATCH(M$4,'Adjustment scenario'!$C$10:$U$10,0))/INDEX(OFFSET('Adjustment scenario'!$C$1:$U$1,$D15-1,0),MATCH(L$4,'Adjustment scenario'!$C$10:$U$10,0))-1)*100</f>
        <v>1.236265999999997</v>
      </c>
      <c r="N15" s="267">
        <f ca="1">(INDEX(OFFSET('Adjustment scenario'!$C$1:$U$1,$D15-1,0),MATCH(N$4,'Adjustment scenario'!$C$10:$U$10,0))/INDEX(OFFSET('Adjustment scenario'!$C$1:$U$1,$D15-1,0),MATCH(M$4,'Adjustment scenario'!$C$10:$U$10,0))-1)*100</f>
        <v>1.2442000000000064</v>
      </c>
      <c r="O15" s="267">
        <f ca="1">(INDEX(OFFSET('Adjustment scenario'!$C$1:$U$1,$D15-1,0),MATCH(O$4,'Adjustment scenario'!$C$10:$U$10,0))/INDEX(OFFSET('Adjustment scenario'!$C$1:$U$1,$D15-1,0),MATCH(N$4,'Adjustment scenario'!$C$10:$U$10,0))-1)*100</f>
        <v>1.2092439999999982</v>
      </c>
      <c r="P15" s="267">
        <f ca="1">(INDEX(OFFSET('Adjustment scenario'!$C$1:$U$1,$D15-1,0),MATCH(P$4,'Adjustment scenario'!$C$10:$U$10,0))/INDEX(OFFSET('Adjustment scenario'!$C$1:$U$1,$D15-1,0),MATCH(O$4,'Adjustment scenario'!$C$10:$U$10,0))-1)*100</f>
        <v>1.140822000000008</v>
      </c>
      <c r="Q15" s="267">
        <f ca="1">(INDEX(OFFSET('Adjustment scenario'!$C$1:$U$1,$D15-1,0),MATCH(Q$4,'Adjustment scenario'!$C$10:$U$10,0))/INDEX(OFFSET('Adjustment scenario'!$C$1:$U$1,$D15-1,0),MATCH(P$4,'Adjustment scenario'!$C$10:$U$10,0))-1)*100</f>
        <v>1.2572150000000004</v>
      </c>
      <c r="R15" s="267">
        <f ca="1">(INDEX(OFFSET('Adjustment scenario'!$C$1:$U$1,$D15-1,0),MATCH(R$4,'Adjustment scenario'!$C$10:$U$10,0))/INDEX(OFFSET('Adjustment scenario'!$C$1:$U$1,$D15-1,0),MATCH(Q$4,'Adjustment scenario'!$C$10:$U$10,0))-1)*100</f>
        <v>1.3736069999999989</v>
      </c>
      <c r="S15" s="267">
        <f ca="1">(INDEX(OFFSET('Adjustment scenario'!$C$1:$U$1,$D15-1,0),MATCH(S$4,'Adjustment scenario'!$C$10:$U$10,0))/INDEX(OFFSET('Adjustment scenario'!$C$1:$U$1,$D15-1,0),MATCH(R$4,'Adjustment scenario'!$C$10:$U$10,0))-1)*100</f>
        <v>1.4899999999999913</v>
      </c>
      <c r="T15" s="267">
        <f ca="1">(INDEX(OFFSET('Adjustment scenario'!$C$1:$U$1,$D15-1,0),MATCH(T$4,'Adjustment scenario'!$C$10:$U$10,0))/INDEX(OFFSET('Adjustment scenario'!$C$1:$U$1,$D15-1,0),MATCH(S$4,'Adjustment scenario'!$C$10:$U$10,0))-1)*100</f>
        <v>1.5200000000000102</v>
      </c>
      <c r="U15" s="267">
        <f ca="1">(INDEX(OFFSET('Adjustment scenario'!$C$1:$U$1,$D15-1,0),MATCH(U$4,'Adjustment scenario'!$C$10:$U$10,0))/INDEX(OFFSET('Adjustment scenario'!$C$1:$U$1,$D15-1,0),MATCH(T$4,'Adjustment scenario'!$C$10:$U$10,0))-1)*100</f>
        <v>1.6000000000000014</v>
      </c>
      <c r="V15" s="267">
        <f ca="1">(INDEX(OFFSET('Adjustment scenario'!$C$1:$U$1,$D15-1,0),MATCH(V$4,'Adjustment scenario'!$C$10:$U$10,0))/INDEX(OFFSET('Adjustment scenario'!$C$1:$U$1,$D15-1,0),MATCH(U$4,'Adjustment scenario'!$C$10:$U$10,0))-1)*100</f>
        <v>1.6000000000000014</v>
      </c>
      <c r="W15" s="267">
        <f ca="1">(INDEX(OFFSET('Adjustment scenario'!$C$1:$U$1,$D15-1,0),MATCH(W$4,'Adjustment scenario'!$C$10:$U$10,0))/INDEX(OFFSET('Adjustment scenario'!$C$1:$U$1,$D15-1,0),MATCH(V$4,'Adjustment scenario'!$C$10:$U$10,0))-1)*100</f>
        <v>1.6000000000000014</v>
      </c>
      <c r="X15" s="267">
        <f ca="1">(INDEX(OFFSET('Adjustment scenario'!$C$1:$U$1,$D15-1,0),MATCH(X$4,'Adjustment scenario'!$C$10:$U$10,0))/INDEX(OFFSET('Adjustment scenario'!$C$1:$U$1,$D15-1,0),MATCH(W$4,'Adjustment scenario'!$C$10:$U$10,0))-1)*100</f>
        <v>1.6100000000000003</v>
      </c>
      <c r="Y15" s="184"/>
    </row>
    <row r="16" spans="1:25" x14ac:dyDescent="0.2">
      <c r="A16" s="184"/>
      <c r="B16" s="274">
        <v>12</v>
      </c>
      <c r="C16" s="270" t="s">
        <v>153</v>
      </c>
      <c r="D16" s="279">
        <v>24</v>
      </c>
      <c r="E16" s="280" t="s">
        <v>152</v>
      </c>
      <c r="F16" s="267">
        <f ca="1">INDEX(OFFSET('Adjustment scenario'!$C$1:$U$1,$D16-1,0),MATCH(F$4,'Adjustment scenario'!$C$10:$U$10,0))</f>
        <v>2.5804670000000001</v>
      </c>
      <c r="G16" s="267">
        <f ca="1">INDEX(OFFSET('Adjustment scenario'!$C$1:$U$1,$D16-1,0),MATCH(G$4,'Adjustment scenario'!$C$10:$U$10,0))</f>
        <v>1.7972699999999999</v>
      </c>
      <c r="H16" s="267">
        <f ca="1">INDEX(OFFSET('Adjustment scenario'!$C$1:$U$1,$D16-1,0),MATCH(H$4,'Adjustment scenario'!$C$10:$U$10,0))</f>
        <v>1.8759769999999953</v>
      </c>
      <c r="I16" s="267">
        <f ca="1">INDEX(OFFSET('Adjustment scenario'!$C$1:$U$1,$D16-1,0),MATCH(I$4,'Adjustment scenario'!$C$10:$U$10,0))</f>
        <v>1.188645977478342</v>
      </c>
      <c r="J16" s="267">
        <f ca="1">INDEX(OFFSET('Adjustment scenario'!$C$1:$U$1,$D16-1,0),MATCH(J$4,'Adjustment scenario'!$C$10:$U$10,0))</f>
        <v>1.055869368651452</v>
      </c>
      <c r="K16" s="267">
        <f ca="1">INDEX(OFFSET('Adjustment scenario'!$C$1:$U$1,$D16-1,0),MATCH(K$4,'Adjustment scenario'!$C$10:$U$10,0))</f>
        <v>1.0937696273310982</v>
      </c>
      <c r="L16" s="267">
        <f ca="1">INDEX(OFFSET('Adjustment scenario'!$C$1:$U$1,$D16-1,0),MATCH(L$4,'Adjustment scenario'!$C$10:$U$10,0))</f>
        <v>1.4231626924183116</v>
      </c>
      <c r="M16" s="267">
        <f ca="1">INDEX(OFFSET('Adjustment scenario'!$C$1:$U$1,$D16-1,0),MATCH(M$4,'Adjustment scenario'!$C$10:$U$10,0))</f>
        <v>1.4329775346622942</v>
      </c>
      <c r="N16" s="267">
        <f ca="1">INDEX(OFFSET('Adjustment scenario'!$C$1:$U$1,$D16-1,0),MATCH(N$4,'Adjustment scenario'!$C$10:$U$10,0))</f>
        <v>1.4405454336224421</v>
      </c>
      <c r="O16" s="267">
        <f ca="1">INDEX(OFFSET('Adjustment scenario'!$C$1:$U$1,$D16-1,0),MATCH(O$4,'Adjustment scenario'!$C$10:$U$10,0))</f>
        <v>1.2092470000000022</v>
      </c>
      <c r="P16" s="267">
        <f ca="1">INDEX(OFFSET('Adjustment scenario'!$C$1:$U$1,$D16-1,0),MATCH(P$4,'Adjustment scenario'!$C$10:$U$10,0))</f>
        <v>1.1408279999999937</v>
      </c>
      <c r="Q16" s="267">
        <f ca="1">INDEX(OFFSET('Adjustment scenario'!$C$1:$U$1,$D16-1,0),MATCH(Q$4,'Adjustment scenario'!$C$10:$U$10,0))</f>
        <v>1.2572180000000044</v>
      </c>
      <c r="R16" s="267">
        <f ca="1">INDEX(OFFSET('Adjustment scenario'!$C$1:$U$1,$D16-1,0),MATCH(R$4,'Adjustment scenario'!$C$10:$U$10,0))</f>
        <v>1.3736109999999968</v>
      </c>
      <c r="S16" s="267">
        <f ca="1">INDEX(OFFSET('Adjustment scenario'!$C$1:$U$1,$D16-1,0),MATCH(S$4,'Adjustment scenario'!$C$10:$U$10,0))</f>
        <v>1.4900020000000014</v>
      </c>
      <c r="T16" s="267">
        <f ca="1">INDEX(OFFSET('Adjustment scenario'!$C$1:$U$1,$D16-1,0),MATCH(T$4,'Adjustment scenario'!$C$10:$U$10,0))</f>
        <v>1.5199970000000063</v>
      </c>
      <c r="U16" s="267">
        <f ca="1">INDEX(OFFSET('Adjustment scenario'!$C$1:$U$1,$D16-1,0),MATCH(U$4,'Adjustment scenario'!$C$10:$U$10,0))</f>
        <v>1.6000019999999893</v>
      </c>
      <c r="V16" s="267">
        <f ca="1">INDEX(OFFSET('Adjustment scenario'!$C$1:$U$1,$D16-1,0),MATCH(V$4,'Adjustment scenario'!$C$10:$U$10,0))</f>
        <v>1.6000049999999932</v>
      </c>
      <c r="W16" s="267">
        <f ca="1">INDEX(OFFSET('Adjustment scenario'!$C$1:$U$1,$D16-1,0),MATCH(W$4,'Adjustment scenario'!$C$10:$U$10,0))</f>
        <v>1.6000000000000014</v>
      </c>
      <c r="X16" s="267">
        <f ca="1">INDEX(OFFSET('Adjustment scenario'!$C$1:$U$1,$D16-1,0),MATCH(X$4,'Adjustment scenario'!$C$10:$U$10,0))</f>
        <v>1.6100000000000003</v>
      </c>
      <c r="Y16" s="184"/>
    </row>
    <row r="17" spans="1:25" x14ac:dyDescent="0.2">
      <c r="A17" s="184"/>
      <c r="B17" s="274">
        <v>13</v>
      </c>
      <c r="C17" s="283" t="s">
        <v>154</v>
      </c>
      <c r="D17" s="279">
        <v>42</v>
      </c>
      <c r="E17" s="280" t="s">
        <v>152</v>
      </c>
      <c r="F17" s="267">
        <f ca="1">INDEX(OFFSET('Adjustment scenario'!$C$1:$U$1,$D17-1,0),MATCH(F$4,'Adjustment scenario'!$C$10:$U$10,0))</f>
        <v>3.5126050000000002</v>
      </c>
      <c r="G17" s="267">
        <f ca="1">INDEX(OFFSET('Adjustment scenario'!$C$1:$U$1,$D17-1,0),MATCH(G$4,'Adjustment scenario'!$C$10:$U$10,0))</f>
        <v>2.6566770000000002</v>
      </c>
      <c r="H17" s="267">
        <f ca="1">INDEX(OFFSET('Adjustment scenario'!$C$1:$U$1,$D17-1,0),MATCH(H$4,'Adjustment scenario'!$C$10:$U$10,0))</f>
        <v>3.0686640000000001</v>
      </c>
      <c r="I17" s="267">
        <f ca="1">INDEX(OFFSET('Adjustment scenario'!$C$1:$U$1,$D17-1,0),MATCH(I$4,'Adjustment scenario'!$C$10:$U$10,0))</f>
        <v>2.9775809999999998</v>
      </c>
      <c r="J17" s="267">
        <f ca="1">INDEX(OFFSET('Adjustment scenario'!$C$1:$U$1,$D17-1,0),MATCH(J$4,'Adjustment scenario'!$C$10:$U$10,0))</f>
        <v>2.886498</v>
      </c>
      <c r="K17" s="267">
        <f ca="1">INDEX(OFFSET('Adjustment scenario'!$C$1:$U$1,$D17-1,0),MATCH(K$4,'Adjustment scenario'!$C$10:$U$10,0))</f>
        <v>2.7954150000000002</v>
      </c>
      <c r="L17" s="267">
        <f ca="1">INDEX(OFFSET('Adjustment scenario'!$C$1:$U$1,$D17-1,0),MATCH(L$4,'Adjustment scenario'!$C$10:$U$10,0))</f>
        <v>2.704332</v>
      </c>
      <c r="M17" s="267">
        <f ca="1">INDEX(OFFSET('Adjustment scenario'!$C$1:$U$1,$D17-1,0),MATCH(M$4,'Adjustment scenario'!$C$10:$U$10,0))</f>
        <v>2.6132489999999997</v>
      </c>
      <c r="N17" s="267">
        <f ca="1">INDEX(OFFSET('Adjustment scenario'!$C$1:$U$1,$D17-1,0),MATCH(N$4,'Adjustment scenario'!$C$10:$U$10,0))</f>
        <v>2.5221659999999999</v>
      </c>
      <c r="O17" s="267">
        <f ca="1">INDEX(OFFSET('Adjustment scenario'!$C$1:$U$1,$D17-1,0),MATCH(O$4,'Adjustment scenario'!$C$10:$U$10,0))</f>
        <v>2.4310830000000001</v>
      </c>
      <c r="P17" s="267">
        <f ca="1">INDEX(OFFSET('Adjustment scenario'!$C$1:$U$1,$D17-1,0),MATCH(P$4,'Adjustment scenario'!$C$10:$U$10,0))</f>
        <v>2.34</v>
      </c>
      <c r="Q17" s="267">
        <f ca="1">INDEX(OFFSET('Adjustment scenario'!$C$1:$U$1,$D17-1,0),MATCH(Q$4,'Adjustment scenario'!$C$10:$U$10,0))</f>
        <v>2.323</v>
      </c>
      <c r="R17" s="267">
        <f ca="1">INDEX(OFFSET('Adjustment scenario'!$C$1:$U$1,$D17-1,0),MATCH(R$4,'Adjustment scenario'!$C$10:$U$10,0))</f>
        <v>2.306</v>
      </c>
      <c r="S17" s="267">
        <f ca="1">INDEX(OFFSET('Adjustment scenario'!$C$1:$U$1,$D17-1,0),MATCH(S$4,'Adjustment scenario'!$C$10:$U$10,0))</f>
        <v>2.2889999999999997</v>
      </c>
      <c r="T17" s="267">
        <f ca="1">INDEX(OFFSET('Adjustment scenario'!$C$1:$U$1,$D17-1,0),MATCH(T$4,'Adjustment scenario'!$C$10:$U$10,0))</f>
        <v>2.2719999999999998</v>
      </c>
      <c r="U17" s="267">
        <f ca="1">INDEX(OFFSET('Adjustment scenario'!$C$1:$U$1,$D17-1,0),MATCH(U$4,'Adjustment scenario'!$C$10:$U$10,0))</f>
        <v>2.2549999999999999</v>
      </c>
      <c r="V17" s="267">
        <f ca="1">INDEX(OFFSET('Adjustment scenario'!$C$1:$U$1,$D17-1,0),MATCH(V$4,'Adjustment scenario'!$C$10:$U$10,0))</f>
        <v>2.238</v>
      </c>
      <c r="W17" s="267">
        <f ca="1">INDEX(OFFSET('Adjustment scenario'!$C$1:$U$1,$D17-1,0),MATCH(W$4,'Adjustment scenario'!$C$10:$U$10,0))</f>
        <v>2.2210000000000001</v>
      </c>
      <c r="X17" s="267">
        <f ca="1">INDEX(OFFSET('Adjustment scenario'!$C$1:$U$1,$D17-1,0),MATCH(X$4,'Adjustment scenario'!$C$10:$U$10,0))</f>
        <v>2.2039999999999997</v>
      </c>
      <c r="Y17" s="184"/>
    </row>
    <row r="18" spans="1:25" x14ac:dyDescent="0.2">
      <c r="A18" s="184"/>
      <c r="B18" s="274">
        <v>14</v>
      </c>
      <c r="C18" s="270" t="s">
        <v>155</v>
      </c>
      <c r="D18" s="279">
        <v>33</v>
      </c>
      <c r="E18" s="280" t="s">
        <v>152</v>
      </c>
      <c r="F18" s="267">
        <f ca="1">INDEX(OFFSET('Adjustment scenario'!$C$1:$U$1,$D18-1,0),MATCH(F$4,'Adjustment scenario'!$C$10:$U$10,0))</f>
        <v>6.1837136128653603</v>
      </c>
      <c r="G18" s="267">
        <f ca="1">INDEX(OFFSET('Adjustment scenario'!$C$1:$U$1,$D18-1,0),MATCH(G$4,'Adjustment scenario'!$C$10:$U$10,0))</f>
        <v>4.501694658717903</v>
      </c>
      <c r="H18" s="267">
        <f ca="1">INDEX(OFFSET('Adjustment scenario'!$C$1:$U$1,$D18-1,0),MATCH(H$4,'Adjustment scenario'!$C$10:$U$10,0))</f>
        <v>5.0022084308472881</v>
      </c>
      <c r="I18" s="267">
        <f ca="1">INDEX(OFFSET('Adjustment scenario'!$C$1:$U$1,$D18-1,0),MATCH(I$4,'Adjustment scenario'!$C$10:$U$10,0))</f>
        <v>4.2016198742609978</v>
      </c>
      <c r="J18" s="267">
        <f ca="1">INDEX(OFFSET('Adjustment scenario'!$C$1:$U$1,$D18-1,0),MATCH(J$4,'Adjustment scenario'!$C$10:$U$10,0))</f>
        <v>3.9728450168601936</v>
      </c>
      <c r="K18" s="267">
        <f ca="1">INDEX(OFFSET('Adjustment scenario'!$C$1:$U$1,$D18-1,0),MATCH(K$4,'Adjustment scenario'!$C$10:$U$10,0))</f>
        <v>3.9197600275589606</v>
      </c>
      <c r="L18" s="267">
        <f ca="1">INDEX(OFFSET('Adjustment scenario'!$C$1:$U$1,$D18-1,0),MATCH(L$4,'Adjustment scenario'!$C$10:$U$10,0))</f>
        <v>4.1659817365214291</v>
      </c>
      <c r="M18" s="267">
        <f ca="1">INDEX(OFFSET('Adjustment scenario'!$C$1:$U$1,$D18-1,0),MATCH(M$4,'Adjustment scenario'!$C$10:$U$10,0))</f>
        <v>4.083673805757071</v>
      </c>
      <c r="N18" s="267">
        <f ca="1">INDEX(OFFSET('Adjustment scenario'!$C$1:$U$1,$D18-1,0),MATCH(N$4,'Adjustment scenario'!$C$10:$U$10,0))</f>
        <v>3.9990443807638165</v>
      </c>
      <c r="O18" s="267">
        <f ca="1">INDEX(OFFSET('Adjustment scenario'!$C$1:$U$1,$D18-1,0),MATCH(O$4,'Adjustment scenario'!$C$10:$U$10,0))</f>
        <v>3.6697277982449927</v>
      </c>
      <c r="P18" s="267">
        <f ca="1">INDEX(OFFSET('Adjustment scenario'!$C$1:$U$1,$D18-1,0),MATCH(P$4,'Adjustment scenario'!$C$10:$U$10,0))</f>
        <v>3.5075233751999946</v>
      </c>
      <c r="Q18" s="267">
        <f ca="1">INDEX(OFFSET('Adjustment scenario'!$C$1:$U$1,$D18-1,0),MATCH(Q$4,'Adjustment scenario'!$C$10:$U$10,0))</f>
        <v>3.609423174140014</v>
      </c>
      <c r="R18" s="267">
        <f ca="1">INDEX(OFFSET('Adjustment scenario'!$C$1:$U$1,$D18-1,0),MATCH(R$4,'Adjustment scenario'!$C$10:$U$10,0))</f>
        <v>3.7112864696600134</v>
      </c>
      <c r="S18" s="267">
        <f ca="1">INDEX(OFFSET('Adjustment scenario'!$C$1:$U$1,$D18-1,0),MATCH(S$4,'Adjustment scenario'!$C$10:$U$10,0))</f>
        <v>3.8131081457800198</v>
      </c>
      <c r="T18" s="267">
        <f ca="1">INDEX(OFFSET('Adjustment scenario'!$C$1:$U$1,$D18-1,0),MATCH(T$4,'Adjustment scenario'!$C$10:$U$10,0))</f>
        <v>3.8265313318400107</v>
      </c>
      <c r="U18" s="267">
        <f ca="1">INDEX(OFFSET('Adjustment scenario'!$C$1:$U$1,$D18-1,0),MATCH(U$4,'Adjustment scenario'!$C$10:$U$10,0))</f>
        <v>3.8910820451000028</v>
      </c>
      <c r="V18" s="267">
        <f ca="1">INDEX(OFFSET('Adjustment scenario'!$C$1:$U$1,$D18-1,0),MATCH(V$4,'Adjustment scenario'!$C$10:$U$10,0))</f>
        <v>3.8738131119000041</v>
      </c>
      <c r="W18" s="267">
        <f ca="1">INDEX(OFFSET('Adjustment scenario'!$C$1:$U$1,$D18-1,0),MATCH(W$4,'Adjustment scenario'!$C$10:$U$10,0))</f>
        <v>3.8565359999999993</v>
      </c>
      <c r="X18" s="267">
        <f ca="1">INDEX(OFFSET('Adjustment scenario'!$C$1:$U$1,$D18-1,0),MATCH(X$4,'Adjustment scenario'!$C$10:$U$10,0))</f>
        <v>3.8494844000000139</v>
      </c>
      <c r="Y18" s="184"/>
    </row>
    <row r="19" spans="1:25" x14ac:dyDescent="0.2">
      <c r="A19" s="184"/>
      <c r="B19" s="268"/>
      <c r="C19" s="289"/>
      <c r="D19" s="289"/>
      <c r="E19" s="289"/>
      <c r="F19" s="289"/>
      <c r="G19" s="289"/>
      <c r="H19" s="289"/>
      <c r="I19" s="289"/>
      <c r="J19" s="289"/>
      <c r="K19" s="184"/>
      <c r="L19" s="184"/>
      <c r="M19" s="184"/>
      <c r="N19" s="184"/>
      <c r="O19" s="184"/>
      <c r="P19" s="184"/>
      <c r="Q19" s="184"/>
      <c r="R19" s="184"/>
      <c r="S19" s="184"/>
      <c r="T19" s="184"/>
      <c r="U19" s="184"/>
      <c r="V19" s="184"/>
      <c r="W19" s="184"/>
      <c r="X19" s="184"/>
      <c r="Y19" s="184"/>
    </row>
    <row r="20" spans="1:25" x14ac:dyDescent="0.2">
      <c r="A20" s="184"/>
      <c r="B20" s="290"/>
      <c r="C20" s="272" t="s">
        <v>156</v>
      </c>
      <c r="D20" s="273"/>
      <c r="E20" s="273"/>
      <c r="F20" s="273"/>
      <c r="G20" s="289"/>
      <c r="H20" s="289"/>
      <c r="I20" s="289"/>
      <c r="J20" s="289"/>
      <c r="K20" s="184"/>
      <c r="L20" s="184"/>
      <c r="M20" s="184"/>
      <c r="N20" s="184"/>
      <c r="O20" s="184"/>
      <c r="P20" s="184"/>
      <c r="Q20" s="184"/>
      <c r="R20" s="184"/>
      <c r="S20" s="184"/>
      <c r="T20" s="184"/>
      <c r="U20" s="184"/>
      <c r="V20" s="184"/>
      <c r="W20" s="184"/>
      <c r="X20" s="184"/>
      <c r="Y20" s="184"/>
    </row>
    <row r="21" spans="1:25" x14ac:dyDescent="0.2">
      <c r="A21" s="184"/>
      <c r="B21" s="268"/>
      <c r="C21" s="289"/>
      <c r="D21" s="289"/>
      <c r="E21" s="289"/>
      <c r="F21" s="289"/>
      <c r="G21" s="289"/>
      <c r="H21" s="289"/>
      <c r="I21" s="289"/>
      <c r="J21" s="289"/>
      <c r="K21" s="184"/>
      <c r="L21" s="184"/>
      <c r="M21" s="184"/>
      <c r="N21" s="184"/>
      <c r="O21" s="184"/>
      <c r="P21" s="184"/>
      <c r="Q21" s="184"/>
      <c r="R21" s="184"/>
      <c r="S21" s="184"/>
      <c r="T21" s="184"/>
      <c r="U21" s="184"/>
      <c r="V21" s="184"/>
      <c r="W21" s="184"/>
      <c r="X21" s="184"/>
      <c r="Y21" s="184"/>
    </row>
    <row r="22" spans="1:25" x14ac:dyDescent="0.2">
      <c r="A22" s="184"/>
      <c r="B22" s="274"/>
      <c r="C22" s="272" t="s">
        <v>12</v>
      </c>
      <c r="D22" s="272"/>
      <c r="E22" s="276">
        <f>F22-1</f>
        <v>-1</v>
      </c>
      <c r="F22" s="277"/>
      <c r="G22" s="277"/>
      <c r="H22" s="277"/>
      <c r="I22" s="277"/>
      <c r="J22" s="277"/>
      <c r="K22" s="277"/>
      <c r="L22" s="277"/>
      <c r="M22" s="277"/>
      <c r="N22" s="277"/>
      <c r="O22" s="277"/>
      <c r="P22" s="277"/>
      <c r="Q22" s="277"/>
      <c r="R22" s="277"/>
      <c r="S22" s="277"/>
      <c r="T22" s="277"/>
      <c r="U22" s="277"/>
      <c r="V22" s="277"/>
      <c r="W22" s="277"/>
      <c r="X22" s="277"/>
      <c r="Y22" s="184"/>
    </row>
    <row r="23" spans="1:25" x14ac:dyDescent="0.2">
      <c r="A23" s="184"/>
      <c r="B23" s="274">
        <v>1</v>
      </c>
      <c r="C23" s="278" t="s">
        <v>142</v>
      </c>
      <c r="D23" s="279">
        <v>56</v>
      </c>
      <c r="E23" s="280" t="s">
        <v>143</v>
      </c>
      <c r="F23" s="267"/>
      <c r="G23" s="267"/>
      <c r="H23" s="267"/>
      <c r="I23" s="267"/>
      <c r="J23" s="267"/>
      <c r="K23" s="267"/>
      <c r="L23" s="267"/>
      <c r="M23" s="267"/>
      <c r="N23" s="267"/>
      <c r="O23" s="267"/>
      <c r="P23" s="267"/>
      <c r="Q23" s="267"/>
      <c r="R23" s="267"/>
      <c r="S23" s="267"/>
      <c r="T23" s="267"/>
      <c r="U23" s="267"/>
      <c r="V23" s="267"/>
      <c r="W23" s="267"/>
      <c r="X23" s="267"/>
      <c r="Y23" s="184"/>
    </row>
    <row r="24" spans="1:25" x14ac:dyDescent="0.2">
      <c r="A24" s="184"/>
      <c r="B24" s="274">
        <v>2</v>
      </c>
      <c r="C24" s="278" t="s">
        <v>61</v>
      </c>
      <c r="D24" s="279">
        <v>36</v>
      </c>
      <c r="E24" s="280" t="s">
        <v>149</v>
      </c>
      <c r="F24" s="267"/>
      <c r="G24" s="267"/>
      <c r="H24" s="267"/>
      <c r="I24" s="267"/>
      <c r="J24" s="267"/>
      <c r="K24" s="267"/>
      <c r="L24" s="267"/>
      <c r="M24" s="267"/>
      <c r="N24" s="267"/>
      <c r="O24" s="267"/>
      <c r="P24" s="267"/>
      <c r="Q24" s="267"/>
      <c r="R24" s="267"/>
      <c r="S24" s="267"/>
      <c r="T24" s="267"/>
      <c r="U24" s="267"/>
      <c r="V24" s="267"/>
      <c r="W24" s="267"/>
      <c r="X24" s="267"/>
      <c r="Y24" s="184"/>
    </row>
    <row r="25" spans="1:25" x14ac:dyDescent="0.2">
      <c r="A25" s="184"/>
      <c r="B25" s="274">
        <v>3</v>
      </c>
      <c r="C25" s="278" t="s">
        <v>62</v>
      </c>
      <c r="D25" s="279">
        <v>37</v>
      </c>
      <c r="E25" s="280" t="s">
        <v>149</v>
      </c>
      <c r="F25" s="267"/>
      <c r="G25" s="267"/>
      <c r="H25" s="267"/>
      <c r="I25" s="267"/>
      <c r="J25" s="267"/>
      <c r="K25" s="267"/>
      <c r="L25" s="267"/>
      <c r="M25" s="267"/>
      <c r="N25" s="267"/>
      <c r="O25" s="267"/>
      <c r="P25" s="267"/>
      <c r="Q25" s="267"/>
      <c r="R25" s="267"/>
      <c r="S25" s="267"/>
      <c r="T25" s="267"/>
      <c r="U25" s="267"/>
      <c r="V25" s="267"/>
      <c r="W25" s="267"/>
      <c r="X25" s="267"/>
      <c r="Y25" s="184"/>
    </row>
    <row r="26" spans="1:25" x14ac:dyDescent="0.2">
      <c r="A26" s="184"/>
      <c r="B26" s="274"/>
      <c r="C26" s="272" t="s">
        <v>13</v>
      </c>
      <c r="D26" s="272"/>
      <c r="E26" s="276">
        <f>F26-1</f>
        <v>-1</v>
      </c>
      <c r="F26" s="277"/>
      <c r="G26" s="277"/>
      <c r="H26" s="277"/>
      <c r="I26" s="277"/>
      <c r="J26" s="277"/>
      <c r="K26" s="277"/>
      <c r="L26" s="277"/>
      <c r="M26" s="277"/>
      <c r="N26" s="277"/>
      <c r="O26" s="277"/>
      <c r="P26" s="277"/>
      <c r="Q26" s="277"/>
      <c r="R26" s="277"/>
      <c r="S26" s="277"/>
      <c r="T26" s="277"/>
      <c r="U26" s="277"/>
      <c r="V26" s="277"/>
      <c r="W26" s="277"/>
      <c r="X26" s="277"/>
      <c r="Y26" s="184"/>
    </row>
    <row r="27" spans="1:25" x14ac:dyDescent="0.2">
      <c r="A27" s="184"/>
      <c r="B27" s="274">
        <v>4</v>
      </c>
      <c r="C27" s="278" t="s">
        <v>142</v>
      </c>
      <c r="D27" s="279">
        <v>56</v>
      </c>
      <c r="E27" s="280" t="s">
        <v>143</v>
      </c>
      <c r="F27" s="267"/>
      <c r="G27" s="267"/>
      <c r="H27" s="267"/>
      <c r="I27" s="267"/>
      <c r="J27" s="267"/>
      <c r="K27" s="267"/>
      <c r="L27" s="267"/>
      <c r="M27" s="267"/>
      <c r="N27" s="267"/>
      <c r="O27" s="267"/>
      <c r="P27" s="267"/>
      <c r="Q27" s="267"/>
      <c r="R27" s="267"/>
      <c r="S27" s="267"/>
      <c r="T27" s="267"/>
      <c r="U27" s="267"/>
      <c r="V27" s="267"/>
      <c r="W27" s="267"/>
      <c r="X27" s="267"/>
      <c r="Y27" s="184"/>
    </row>
    <row r="28" spans="1:25" x14ac:dyDescent="0.2">
      <c r="A28" s="184"/>
      <c r="B28" s="274">
        <v>5</v>
      </c>
      <c r="C28" s="278" t="s">
        <v>18</v>
      </c>
      <c r="D28" s="279">
        <v>12</v>
      </c>
      <c r="E28" s="280" t="s">
        <v>145</v>
      </c>
      <c r="F28" s="267"/>
      <c r="G28" s="267"/>
      <c r="H28" s="267"/>
      <c r="I28" s="267"/>
      <c r="J28" s="267"/>
      <c r="K28" s="267"/>
      <c r="L28" s="267"/>
      <c r="M28" s="267"/>
      <c r="N28" s="267"/>
      <c r="O28" s="267"/>
      <c r="P28" s="267"/>
      <c r="Q28" s="267"/>
      <c r="R28" s="267"/>
      <c r="S28" s="267"/>
      <c r="T28" s="267"/>
      <c r="U28" s="267"/>
      <c r="V28" s="267"/>
      <c r="W28" s="267"/>
      <c r="X28" s="267"/>
      <c r="Y28" s="184"/>
    </row>
    <row r="29" spans="1:25" x14ac:dyDescent="0.2">
      <c r="A29" s="184"/>
      <c r="B29" s="274"/>
      <c r="C29" s="272" t="s">
        <v>157</v>
      </c>
      <c r="D29" s="272"/>
      <c r="E29" s="276">
        <f>F29-1</f>
        <v>-1</v>
      </c>
      <c r="F29" s="277"/>
      <c r="G29" s="277"/>
      <c r="H29" s="277"/>
      <c r="I29" s="277"/>
      <c r="J29" s="277"/>
      <c r="K29" s="277"/>
      <c r="L29" s="277"/>
      <c r="M29" s="277"/>
      <c r="N29" s="277"/>
      <c r="O29" s="277"/>
      <c r="P29" s="277"/>
      <c r="Q29" s="277"/>
      <c r="R29" s="277"/>
      <c r="S29" s="277"/>
      <c r="T29" s="277"/>
      <c r="U29" s="277"/>
      <c r="V29" s="277"/>
      <c r="W29" s="277"/>
      <c r="X29" s="277"/>
      <c r="Y29" s="184"/>
    </row>
    <row r="30" spans="1:25" x14ac:dyDescent="0.2">
      <c r="A30" s="184"/>
      <c r="B30" s="274">
        <v>6</v>
      </c>
      <c r="C30" s="278" t="s">
        <v>142</v>
      </c>
      <c r="D30" s="279">
        <v>57</v>
      </c>
      <c r="E30" s="280" t="s">
        <v>143</v>
      </c>
      <c r="F30" s="267"/>
      <c r="G30" s="267"/>
      <c r="H30" s="267"/>
      <c r="I30" s="267"/>
      <c r="J30" s="267"/>
      <c r="K30" s="267"/>
      <c r="L30" s="267"/>
      <c r="M30" s="267"/>
      <c r="N30" s="267"/>
      <c r="O30" s="267"/>
      <c r="P30" s="267"/>
      <c r="Q30" s="267"/>
      <c r="R30" s="267"/>
      <c r="S30" s="267"/>
      <c r="T30" s="267"/>
      <c r="U30" s="267"/>
      <c r="V30" s="267"/>
      <c r="W30" s="267"/>
      <c r="X30" s="267"/>
      <c r="Y30" s="184"/>
    </row>
    <row r="31" spans="1:25" x14ac:dyDescent="0.2">
      <c r="A31" s="184"/>
      <c r="B31" s="274">
        <v>7</v>
      </c>
      <c r="C31" s="278" t="s">
        <v>61</v>
      </c>
      <c r="D31" s="279">
        <v>37</v>
      </c>
      <c r="E31" s="280" t="s">
        <v>149</v>
      </c>
      <c r="F31" s="267"/>
      <c r="G31" s="267"/>
      <c r="H31" s="267"/>
      <c r="I31" s="267"/>
      <c r="J31" s="267"/>
      <c r="K31" s="267"/>
      <c r="L31" s="267"/>
      <c r="M31" s="267"/>
      <c r="N31" s="267"/>
      <c r="O31" s="267"/>
      <c r="P31" s="267"/>
      <c r="Q31" s="267"/>
      <c r="R31" s="267"/>
      <c r="S31" s="267"/>
      <c r="T31" s="267"/>
      <c r="U31" s="267"/>
      <c r="V31" s="267"/>
      <c r="W31" s="267"/>
      <c r="X31" s="267"/>
      <c r="Y31" s="184"/>
    </row>
    <row r="32" spans="1:25" x14ac:dyDescent="0.2">
      <c r="A32" s="184"/>
      <c r="B32" s="274">
        <v>8</v>
      </c>
      <c r="C32" s="278" t="s">
        <v>62</v>
      </c>
      <c r="D32" s="279">
        <v>38</v>
      </c>
      <c r="E32" s="280" t="s">
        <v>149</v>
      </c>
      <c r="F32" s="267"/>
      <c r="G32" s="267"/>
      <c r="H32" s="267"/>
      <c r="I32" s="267"/>
      <c r="J32" s="267"/>
      <c r="K32" s="267"/>
      <c r="L32" s="267"/>
      <c r="M32" s="267"/>
      <c r="N32" s="267"/>
      <c r="O32" s="267"/>
      <c r="P32" s="267"/>
      <c r="Q32" s="267"/>
      <c r="R32" s="267"/>
      <c r="S32" s="267"/>
      <c r="T32" s="267"/>
      <c r="U32" s="267"/>
      <c r="V32" s="267"/>
      <c r="W32" s="267"/>
      <c r="X32" s="267"/>
      <c r="Y32" s="184"/>
    </row>
    <row r="33" spans="1:25" x14ac:dyDescent="0.2">
      <c r="A33" s="184"/>
      <c r="B33" s="274">
        <v>9</v>
      </c>
      <c r="C33" s="270" t="s">
        <v>153</v>
      </c>
      <c r="D33" s="279">
        <v>23</v>
      </c>
      <c r="E33" s="280" t="s">
        <v>152</v>
      </c>
      <c r="F33" s="267"/>
      <c r="G33" s="267"/>
      <c r="H33" s="267"/>
      <c r="I33" s="267"/>
      <c r="J33" s="267"/>
      <c r="K33" s="267"/>
      <c r="L33" s="267"/>
      <c r="M33" s="267"/>
      <c r="N33" s="267"/>
      <c r="O33" s="267"/>
      <c r="P33" s="267"/>
      <c r="Q33" s="267"/>
      <c r="R33" s="267"/>
      <c r="S33" s="267"/>
      <c r="T33" s="267"/>
      <c r="U33" s="267"/>
      <c r="V33" s="267"/>
      <c r="W33" s="267"/>
      <c r="X33" s="267"/>
      <c r="Y33" s="184"/>
    </row>
    <row r="34" spans="1:25" x14ac:dyDescent="0.2">
      <c r="A34" s="184"/>
      <c r="B34" s="274">
        <v>10</v>
      </c>
      <c r="C34" s="282" t="s">
        <v>40</v>
      </c>
      <c r="D34" s="279">
        <v>27</v>
      </c>
      <c r="E34" s="280" t="s">
        <v>152</v>
      </c>
      <c r="F34" s="267"/>
      <c r="G34" s="267"/>
      <c r="H34" s="267"/>
      <c r="I34" s="267"/>
      <c r="J34" s="267"/>
      <c r="K34" s="267"/>
      <c r="L34" s="267"/>
      <c r="M34" s="267"/>
      <c r="N34" s="267"/>
      <c r="O34" s="267"/>
      <c r="P34" s="267"/>
      <c r="Q34" s="267"/>
      <c r="R34" s="267"/>
      <c r="S34" s="267"/>
      <c r="T34" s="267"/>
      <c r="U34" s="267"/>
      <c r="V34" s="267"/>
      <c r="W34" s="267"/>
      <c r="X34" s="267"/>
      <c r="Y34" s="184"/>
    </row>
    <row r="35" spans="1:25" x14ac:dyDescent="0.2">
      <c r="A35" s="184"/>
      <c r="B35" s="274"/>
      <c r="C35" s="272" t="s">
        <v>158</v>
      </c>
      <c r="D35" s="272"/>
      <c r="E35" s="276">
        <f>F35-1</f>
        <v>-1</v>
      </c>
      <c r="F35" s="285"/>
      <c r="G35" s="184"/>
      <c r="H35" s="184"/>
      <c r="I35" s="184"/>
      <c r="J35" s="184"/>
      <c r="K35" s="184"/>
      <c r="L35" s="184"/>
      <c r="M35" s="184"/>
      <c r="N35" s="184"/>
      <c r="O35" s="184"/>
      <c r="P35" s="184"/>
      <c r="Q35" s="184"/>
      <c r="R35" s="184"/>
      <c r="S35" s="184"/>
      <c r="T35" s="184"/>
      <c r="U35" s="184"/>
      <c r="V35" s="184"/>
      <c r="W35" s="184"/>
      <c r="X35" s="184"/>
      <c r="Y35" s="184"/>
    </row>
    <row r="36" spans="1:25" x14ac:dyDescent="0.2">
      <c r="A36" s="184"/>
      <c r="B36" s="274">
        <v>11</v>
      </c>
      <c r="C36" s="278" t="s">
        <v>159</v>
      </c>
      <c r="D36" s="291" t="s">
        <v>163</v>
      </c>
      <c r="E36" s="280" t="s">
        <v>149</v>
      </c>
      <c r="F36" s="267"/>
      <c r="G36" s="314"/>
      <c r="H36" s="287"/>
      <c r="I36" s="288"/>
      <c r="J36" s="288"/>
      <c r="K36" s="287"/>
      <c r="L36" s="288"/>
      <c r="M36" s="287"/>
      <c r="N36" s="287"/>
      <c r="O36" s="288"/>
      <c r="P36" s="288"/>
      <c r="Q36" s="287"/>
      <c r="R36" s="288"/>
      <c r="S36" s="287"/>
      <c r="T36" s="305"/>
      <c r="U36" s="88"/>
      <c r="V36" s="315"/>
      <c r="W36" s="316"/>
      <c r="X36" s="315"/>
      <c r="Y36" s="88"/>
    </row>
    <row r="37" spans="1:25" x14ac:dyDescent="0.2">
      <c r="A37" s="184"/>
      <c r="B37" s="268"/>
      <c r="C37" s="289"/>
      <c r="D37" s="289"/>
      <c r="E37" s="289"/>
      <c r="F37" s="289"/>
      <c r="G37" s="289"/>
      <c r="H37" s="289"/>
      <c r="I37" s="289"/>
      <c r="J37" s="289"/>
      <c r="K37" s="184"/>
      <c r="L37" s="184"/>
      <c r="M37" s="184"/>
      <c r="N37" s="184"/>
      <c r="O37" s="184"/>
      <c r="P37" s="184"/>
      <c r="Q37" s="314"/>
      <c r="R37" s="314"/>
      <c r="S37" s="314"/>
      <c r="T37" s="314"/>
      <c r="U37" s="314"/>
      <c r="V37" s="314"/>
      <c r="W37" s="184"/>
      <c r="X37" s="184"/>
      <c r="Y37" s="184"/>
    </row>
    <row r="38" spans="1:25" x14ac:dyDescent="0.2">
      <c r="A38" s="184"/>
      <c r="B38" s="290"/>
      <c r="C38" s="272" t="s">
        <v>160</v>
      </c>
      <c r="D38" s="273"/>
      <c r="E38" s="273"/>
      <c r="F38" s="284"/>
      <c r="G38" s="184"/>
      <c r="H38" s="184"/>
      <c r="I38" s="184"/>
      <c r="J38" s="184"/>
      <c r="K38" s="184"/>
      <c r="L38" s="184"/>
      <c r="M38" s="184"/>
      <c r="N38" s="184"/>
      <c r="O38" s="184"/>
      <c r="P38" s="184"/>
      <c r="Q38" s="184"/>
      <c r="R38" s="184"/>
      <c r="S38" s="184"/>
      <c r="T38" s="184"/>
      <c r="U38" s="184"/>
      <c r="V38" s="184"/>
      <c r="W38" s="184"/>
      <c r="X38" s="184"/>
      <c r="Y38" s="184"/>
    </row>
    <row r="39" spans="1:25" x14ac:dyDescent="0.2">
      <c r="A39" s="184"/>
      <c r="B39" s="268"/>
      <c r="C39" s="289"/>
      <c r="D39" s="289"/>
      <c r="E39" s="289"/>
      <c r="F39" s="289"/>
      <c r="G39" s="289"/>
      <c r="H39" s="289"/>
      <c r="I39" s="289"/>
      <c r="J39" s="289"/>
      <c r="K39" s="184"/>
      <c r="L39" s="184"/>
      <c r="M39" s="184"/>
      <c r="N39" s="184"/>
      <c r="O39" s="184"/>
      <c r="P39" s="184"/>
      <c r="Q39" s="184"/>
      <c r="R39" s="184"/>
      <c r="S39" s="184"/>
      <c r="T39" s="184"/>
      <c r="U39" s="184"/>
      <c r="V39" s="184"/>
      <c r="W39" s="184"/>
      <c r="X39" s="184"/>
      <c r="Y39" s="184"/>
    </row>
    <row r="40" spans="1:25" x14ac:dyDescent="0.2">
      <c r="A40" s="184"/>
      <c r="B40" s="274"/>
      <c r="C40" s="272"/>
      <c r="D40" s="272"/>
      <c r="E40" s="277"/>
      <c r="F40" s="277">
        <f>'Input data'!$C$5-1</f>
        <v>2025</v>
      </c>
      <c r="G40" s="277">
        <f>F40+1</f>
        <v>2026</v>
      </c>
      <c r="H40" s="277">
        <f t="shared" ref="H40:X40" si="1">G40+1</f>
        <v>2027</v>
      </c>
      <c r="I40" s="277">
        <f t="shared" si="1"/>
        <v>2028</v>
      </c>
      <c r="J40" s="277">
        <f t="shared" si="1"/>
        <v>2029</v>
      </c>
      <c r="K40" s="277">
        <f t="shared" si="1"/>
        <v>2030</v>
      </c>
      <c r="L40" s="277">
        <f t="shared" si="1"/>
        <v>2031</v>
      </c>
      <c r="M40" s="277">
        <f t="shared" si="1"/>
        <v>2032</v>
      </c>
      <c r="N40" s="277">
        <f t="shared" si="1"/>
        <v>2033</v>
      </c>
      <c r="O40" s="277">
        <f t="shared" si="1"/>
        <v>2034</v>
      </c>
      <c r="P40" s="277">
        <f t="shared" si="1"/>
        <v>2035</v>
      </c>
      <c r="Q40" s="277">
        <f t="shared" si="1"/>
        <v>2036</v>
      </c>
      <c r="R40" s="277">
        <f t="shared" si="1"/>
        <v>2037</v>
      </c>
      <c r="S40" s="277">
        <f t="shared" si="1"/>
        <v>2038</v>
      </c>
      <c r="T40" s="277">
        <f t="shared" si="1"/>
        <v>2039</v>
      </c>
      <c r="U40" s="277">
        <f t="shared" si="1"/>
        <v>2040</v>
      </c>
      <c r="V40" s="277">
        <f t="shared" si="1"/>
        <v>2041</v>
      </c>
      <c r="W40" s="277">
        <f t="shared" si="1"/>
        <v>2042</v>
      </c>
      <c r="X40" s="277">
        <f t="shared" si="1"/>
        <v>2043</v>
      </c>
      <c r="Y40" s="184"/>
    </row>
    <row r="41" spans="1:25" x14ac:dyDescent="0.2">
      <c r="A41" s="184"/>
      <c r="B41" s="274">
        <v>1</v>
      </c>
      <c r="C41" s="278" t="s">
        <v>142</v>
      </c>
      <c r="D41" s="279">
        <v>56</v>
      </c>
      <c r="E41" s="280" t="s">
        <v>143</v>
      </c>
      <c r="F41" s="267">
        <f ca="1">INDEX(OFFSET('Baseline NFPC'!$C$1:$U$1,$D41-1,0),MATCH(F$4,'Baseline NFPC'!$C$10:$U$10,0))</f>
        <v>44.250230000000002</v>
      </c>
      <c r="G41" s="267">
        <f ca="1">INDEX(OFFSET('Baseline NFPC'!$C$1:$U$1,$D41-1,0),MATCH(G$4,'Baseline NFPC'!$C$10:$U$10,0))</f>
        <v>45.838496420963068</v>
      </c>
      <c r="H41" s="267">
        <f ca="1">INDEX(OFFSET('Baseline NFPC'!$C$1:$U$1,$D41-1,0),MATCH(H$4,'Baseline NFPC'!$C$10:$U$10,0))</f>
        <v>47.042626896526684</v>
      </c>
      <c r="I41" s="267">
        <f ca="1">INDEX(OFFSET('Baseline NFPC'!$C$1:$U$1,$D41-1,0),MATCH(I$4,'Baseline NFPC'!$C$10:$U$10,0))</f>
        <v>48.037874693796731</v>
      </c>
      <c r="J41" s="267">
        <f ca="1">INDEX(OFFSET('Baseline NFPC'!$C$1:$U$1,$D41-1,0),MATCH(J$4,'Baseline NFPC'!$C$10:$U$10,0))</f>
        <v>49.449013611695172</v>
      </c>
      <c r="K41" s="267">
        <f ca="1">INDEX(OFFSET('Baseline NFPC'!$C$1:$U$1,$D41-1,0),MATCH(K$4,'Baseline NFPC'!$C$10:$U$10,0))</f>
        <v>51.025602481487923</v>
      </c>
      <c r="L41" s="267">
        <f ca="1">INDEX(OFFSET('Baseline NFPC'!$C$1:$U$1,$D41-1,0),MATCH(L$4,'Baseline NFPC'!$C$10:$U$10,0))</f>
        <v>52.830767302418955</v>
      </c>
      <c r="M41" s="267">
        <f ca="1">INDEX(OFFSET('Baseline NFPC'!$C$1:$U$1,$D41-1,0),MATCH(M$4,'Baseline NFPC'!$C$10:$U$10,0))</f>
        <v>54.798961717543108</v>
      </c>
      <c r="N41" s="267">
        <f ca="1">INDEX(OFFSET('Baseline NFPC'!$C$1:$U$1,$D41-1,0),MATCH(N$4,'Baseline NFPC'!$C$10:$U$10,0))</f>
        <v>56.937191686745273</v>
      </c>
      <c r="O41" s="267">
        <f ca="1">INDEX(OFFSET('Baseline NFPC'!$C$1:$U$1,$D41-1,0),MATCH(O$4,'Baseline NFPC'!$C$10:$U$10,0))</f>
        <v>59.57701111309251</v>
      </c>
      <c r="P41" s="267">
        <f ca="1">INDEX(OFFSET('Baseline NFPC'!$C$1:$U$1,$D41-1,0),MATCH(P$4,'Baseline NFPC'!$C$10:$U$10,0))</f>
        <v>62.456040018399833</v>
      </c>
      <c r="Q41" s="267">
        <f ca="1">INDEX(OFFSET('Baseline NFPC'!$C$1:$U$1,$D41-1,0),MATCH(Q$4,'Baseline NFPC'!$C$10:$U$10,0))</f>
        <v>65.508189699249016</v>
      </c>
      <c r="R41" s="267">
        <f ca="1">INDEX(OFFSET('Baseline NFPC'!$C$1:$U$1,$D41-1,0),MATCH(R$4,'Baseline NFPC'!$C$10:$U$10,0))</f>
        <v>68.716100871414156</v>
      </c>
      <c r="S41" s="267">
        <f ca="1">INDEX(OFFSET('Baseline NFPC'!$C$1:$U$1,$D41-1,0),MATCH(S$4,'Baseline NFPC'!$C$10:$U$10,0))</f>
        <v>72.162163157737638</v>
      </c>
      <c r="T41" s="267">
        <f ca="1">INDEX(OFFSET('Baseline NFPC'!$C$1:$U$1,$D41-1,0),MATCH(T$4,'Baseline NFPC'!$C$10:$U$10,0))</f>
        <v>75.692152705565988</v>
      </c>
      <c r="U41" s="267">
        <f ca="1">INDEX(OFFSET('Baseline NFPC'!$C$1:$U$1,$D41-1,0),MATCH(U$4,'Baseline NFPC'!$C$10:$U$10,0))</f>
        <v>79.355389924435855</v>
      </c>
      <c r="V41" s="267">
        <f ca="1">INDEX(OFFSET('Baseline NFPC'!$C$1:$U$1,$D41-1,0),MATCH(V$4,'Baseline NFPC'!$C$10:$U$10,0))</f>
        <v>83.299805900260935</v>
      </c>
      <c r="W41" s="267">
        <f ca="1">INDEX(OFFSET('Baseline NFPC'!$C$1:$U$1,$D41-1,0),MATCH(W$4,'Baseline NFPC'!$C$10:$U$10,0))</f>
        <v>87.418049368801718</v>
      </c>
      <c r="X41" s="267">
        <f ca="1">INDEX(OFFSET('Baseline NFPC'!$C$1:$U$1,$D41-1,0),MATCH(X$4,'Baseline NFPC'!$C$10:$U$10,0))</f>
        <v>91.692976425077035</v>
      </c>
      <c r="Y41" s="184"/>
    </row>
    <row r="42" spans="1:25" x14ac:dyDescent="0.2">
      <c r="A42" s="184"/>
      <c r="B42" s="274">
        <v>2</v>
      </c>
      <c r="C42" s="278" t="s">
        <v>144</v>
      </c>
      <c r="D42" s="279">
        <v>76</v>
      </c>
      <c r="E42" s="280" t="s">
        <v>143</v>
      </c>
      <c r="F42" s="267">
        <f ca="1">INDEX(OFFSET('Baseline NFPC'!$C$1:$U$1,$D42-1,0),MATCH(F$4,'Baseline NFPC'!$C$10:$U$10,0))</f>
        <v>-2.1474319999999998</v>
      </c>
      <c r="G42" s="267">
        <f ca="1">INDEX(OFFSET('Baseline NFPC'!$C$1:$U$1,$D42-1,0),MATCH(G$4,'Baseline NFPC'!$C$10:$U$10,0))</f>
        <v>-2.7944635100307016</v>
      </c>
      <c r="H42" s="267">
        <f ca="1">INDEX(OFFSET('Baseline NFPC'!$C$1:$U$1,$D42-1,0),MATCH(H$4,'Baseline NFPC'!$C$10:$U$10,0))</f>
        <v>-2.6558245481945724</v>
      </c>
      <c r="I42" s="267">
        <f ca="1">INDEX(OFFSET('Baseline NFPC'!$C$1:$U$1,$D42-1,0),MATCH(I$4,'Baseline NFPC'!$C$10:$U$10,0))</f>
        <v>-2.9743138122066721</v>
      </c>
      <c r="J42" s="267">
        <f ca="1">INDEX(OFFSET('Baseline NFPC'!$C$1:$U$1,$D42-1,0),MATCH(J$4,'Baseline NFPC'!$C$10:$U$10,0))</f>
        <v>-3.2776031699111758</v>
      </c>
      <c r="K42" s="267">
        <f ca="1">INDEX(OFFSET('Baseline NFPC'!$C$1:$U$1,$D42-1,0),MATCH(K$4,'Baseline NFPC'!$C$10:$U$10,0))</f>
        <v>-3.471540295417844</v>
      </c>
      <c r="L42" s="267">
        <f ca="1">INDEX(OFFSET('Baseline NFPC'!$C$1:$U$1,$D42-1,0),MATCH(L$4,'Baseline NFPC'!$C$10:$U$10,0))</f>
        <v>-3.7504978219290477</v>
      </c>
      <c r="M42" s="267">
        <f ca="1">INDEX(OFFSET('Baseline NFPC'!$C$1:$U$1,$D42-1,0),MATCH(M$4,'Baseline NFPC'!$C$10:$U$10,0))</f>
        <v>-3.9423581370251952</v>
      </c>
      <c r="N42" s="267">
        <f ca="1">INDEX(OFFSET('Baseline NFPC'!$C$1:$U$1,$D42-1,0),MATCH(N$4,'Baseline NFPC'!$C$10:$U$10,0))</f>
        <v>-4.1432095651840246</v>
      </c>
      <c r="O42" s="267">
        <f ca="1">INDEX(OFFSET('Baseline NFPC'!$C$1:$U$1,$D42-1,0),MATCH(O$4,'Baseline NFPC'!$C$10:$U$10,0))</f>
        <v>-4.6552968422182124</v>
      </c>
      <c r="P42" s="267">
        <f ca="1">INDEX(OFFSET('Baseline NFPC'!$C$1:$U$1,$D42-1,0),MATCH(P$4,'Baseline NFPC'!$C$10:$U$10,0))</f>
        <v>-4.8978943200100158</v>
      </c>
      <c r="Q42" s="267">
        <f ca="1">INDEX(OFFSET('Baseline NFPC'!$C$1:$U$1,$D42-1,0),MATCH(Q$4,'Baseline NFPC'!$C$10:$U$10,0))</f>
        <v>-5.2279197150915255</v>
      </c>
      <c r="R42" s="267">
        <f ca="1">INDEX(OFFSET('Baseline NFPC'!$C$1:$U$1,$D42-1,0),MATCH(R$4,'Baseline NFPC'!$C$10:$U$10,0))</f>
        <v>-5.5521078971172138</v>
      </c>
      <c r="S42" s="267">
        <f ca="1">INDEX(OFFSET('Baseline NFPC'!$C$1:$U$1,$D42-1,0),MATCH(S$4,'Baseline NFPC'!$C$10:$U$10,0))</f>
        <v>-5.9700395437145541</v>
      </c>
      <c r="T42" s="267">
        <f ca="1">INDEX(OFFSET('Baseline NFPC'!$C$1:$U$1,$D42-1,0),MATCH(T$4,'Baseline NFPC'!$C$10:$U$10,0))</f>
        <v>-6.1895292122508376</v>
      </c>
      <c r="U42" s="267">
        <f ca="1">INDEX(OFFSET('Baseline NFPC'!$C$1:$U$1,$D42-1,0),MATCH(U$4,'Baseline NFPC'!$C$10:$U$10,0))</f>
        <v>-6.498171368653189</v>
      </c>
      <c r="V42" s="267">
        <f ca="1">INDEX(OFFSET('Baseline NFPC'!$C$1:$U$1,$D42-1,0),MATCH(V$4,'Baseline NFPC'!$C$10:$U$10,0))</f>
        <v>-6.9038524380068989</v>
      </c>
      <c r="W42" s="267">
        <f ca="1">INDEX(OFFSET('Baseline NFPC'!$C$1:$U$1,$D42-1,0),MATCH(W$4,'Baseline NFPC'!$C$10:$U$10,0))</f>
        <v>-7.21144022456747</v>
      </c>
      <c r="X42" s="267">
        <f ca="1">INDEX(OFFSET('Baseline NFPC'!$C$1:$U$1,$D42-1,0),MATCH(X$4,'Baseline NFPC'!$C$10:$U$10,0))</f>
        <v>-7.5153323338544578</v>
      </c>
      <c r="Y42" s="184"/>
    </row>
    <row r="43" spans="1:25" x14ac:dyDescent="0.2">
      <c r="A43" s="184"/>
      <c r="B43" s="274">
        <v>3</v>
      </c>
      <c r="C43" s="278" t="s">
        <v>18</v>
      </c>
      <c r="D43" s="279">
        <v>12</v>
      </c>
      <c r="E43" s="280" t="s">
        <v>145</v>
      </c>
      <c r="F43" s="267">
        <f ca="1">INDEX(OFFSET('Baseline NFPC'!$C$1:$U$1,$D43-1,0),MATCH(F$4,'Baseline NFPC'!$C$10:$U$10,0))</f>
        <v>-0.51101569999999996</v>
      </c>
      <c r="G43" s="267">
        <f ca="1">INDEX(OFFSET('Baseline NFPC'!$C$1:$U$1,$D43-1,0),MATCH(G$4,'Baseline NFPC'!$C$10:$U$10,0))</f>
        <v>-1.332759</v>
      </c>
      <c r="H43" s="267">
        <f ca="1">INDEX(OFFSET('Baseline NFPC'!$C$1:$U$1,$D43-1,0),MATCH(H$4,'Baseline NFPC'!$C$10:$U$10,0))</f>
        <v>-1.332759</v>
      </c>
      <c r="I43" s="267">
        <f ca="1">INDEX(OFFSET('Baseline NFPC'!$C$1:$U$1,$D43-1,0),MATCH(I$4,'Baseline NFPC'!$C$10:$U$10,0))</f>
        <v>-1.332759</v>
      </c>
      <c r="J43" s="267">
        <f ca="1">INDEX(OFFSET('Baseline NFPC'!$C$1:$U$1,$D43-1,0),MATCH(J$4,'Baseline NFPC'!$C$10:$U$10,0))</f>
        <v>-1.332759</v>
      </c>
      <c r="K43" s="267">
        <f ca="1">INDEX(OFFSET('Baseline NFPC'!$C$1:$U$1,$D43-1,0),MATCH(K$4,'Baseline NFPC'!$C$10:$U$10,0))</f>
        <v>-1.332759</v>
      </c>
      <c r="L43" s="267">
        <f ca="1">INDEX(OFFSET('Baseline NFPC'!$C$1:$U$1,$D43-1,0),MATCH(L$4,'Baseline NFPC'!$C$10:$U$10,0))</f>
        <v>-1.332759</v>
      </c>
      <c r="M43" s="267">
        <f ca="1">INDEX(OFFSET('Baseline NFPC'!$C$1:$U$1,$D43-1,0),MATCH(M$4,'Baseline NFPC'!$C$10:$U$10,0))</f>
        <v>-1.332759</v>
      </c>
      <c r="N43" s="267">
        <f ca="1">INDEX(OFFSET('Baseline NFPC'!$C$1:$U$1,$D43-1,0),MATCH(N$4,'Baseline NFPC'!$C$10:$U$10,0))</f>
        <v>-1.332759</v>
      </c>
      <c r="O43" s="267">
        <f ca="1">INDEX(OFFSET('Baseline NFPC'!$C$1:$U$1,$D43-1,0),MATCH(O$4,'Baseline NFPC'!$C$10:$U$10,0))</f>
        <v>-1.332759</v>
      </c>
      <c r="P43" s="267">
        <f ca="1">INDEX(OFFSET('Baseline NFPC'!$C$1:$U$1,$D43-1,0),MATCH(P$4,'Baseline NFPC'!$C$10:$U$10,0))</f>
        <v>-1.332759</v>
      </c>
      <c r="Q43" s="267">
        <f ca="1">INDEX(OFFSET('Baseline NFPC'!$C$1:$U$1,$D43-1,0),MATCH(Q$4,'Baseline NFPC'!$C$10:$U$10,0))</f>
        <v>-1.332759</v>
      </c>
      <c r="R43" s="267">
        <f ca="1">INDEX(OFFSET('Baseline NFPC'!$C$1:$U$1,$D43-1,0),MATCH(R$4,'Baseline NFPC'!$C$10:$U$10,0))</f>
        <v>-1.332759</v>
      </c>
      <c r="S43" s="267">
        <f ca="1">INDEX(OFFSET('Baseline NFPC'!$C$1:$U$1,$D43-1,0),MATCH(S$4,'Baseline NFPC'!$C$10:$U$10,0))</f>
        <v>-1.332759</v>
      </c>
      <c r="T43" s="267">
        <f ca="1">INDEX(OFFSET('Baseline NFPC'!$C$1:$U$1,$D43-1,0),MATCH(T$4,'Baseline NFPC'!$C$10:$U$10,0))</f>
        <v>-1.332759</v>
      </c>
      <c r="U43" s="267">
        <f ca="1">INDEX(OFFSET('Baseline NFPC'!$C$1:$U$1,$D43-1,0),MATCH(U$4,'Baseline NFPC'!$C$10:$U$10,0))</f>
        <v>-1.332759</v>
      </c>
      <c r="V43" s="267">
        <f ca="1">INDEX(OFFSET('Baseline NFPC'!$C$1:$U$1,$D43-1,0),MATCH(V$4,'Baseline NFPC'!$C$10:$U$10,0))</f>
        <v>-1.332759</v>
      </c>
      <c r="W43" s="267">
        <f ca="1">INDEX(OFFSET('Baseline NFPC'!$C$1:$U$1,$D43-1,0),MATCH(W$4,'Baseline NFPC'!$C$10:$U$10,0))</f>
        <v>-1.332759</v>
      </c>
      <c r="X43" s="267">
        <f ca="1">INDEX(OFFSET('Baseline NFPC'!$C$1:$U$1,$D43-1,0),MATCH(X$4,'Baseline NFPC'!$C$10:$U$10,0))</f>
        <v>-1.332759</v>
      </c>
      <c r="Y43" s="184"/>
    </row>
    <row r="44" spans="1:25" x14ac:dyDescent="0.2">
      <c r="A44" s="184"/>
      <c r="B44" s="274">
        <v>4</v>
      </c>
      <c r="C44" s="278" t="s">
        <v>146</v>
      </c>
      <c r="D44" s="279">
        <v>61</v>
      </c>
      <c r="E44" s="280" t="s">
        <v>145</v>
      </c>
      <c r="F44" s="267">
        <f ca="1">INDEX(OFFSET('Baseline NFPC'!$C$1:$U$1,$D44-1,0),MATCH(F$4,'Baseline NFPC'!$C$10:$U$10,0))</f>
        <v>0</v>
      </c>
      <c r="G44" s="267">
        <f ca="1">INDEX(OFFSET('Baseline NFPC'!$C$1:$U$1,$D44-1,0),MATCH(G$4,'Baseline NFPC'!$C$10:$U$10,0))</f>
        <v>0.15831162096306806</v>
      </c>
      <c r="H44" s="267">
        <f ca="1">INDEX(OFFSET('Baseline NFPC'!$C$1:$U$1,$D44-1,0),MATCH(H$4,'Baseline NFPC'!$C$10:$U$10,0))</f>
        <v>-9.7476927235124355E-2</v>
      </c>
      <c r="I44" s="267">
        <f ca="1">INDEX(OFFSET('Baseline NFPC'!$C$1:$U$1,$D44-1,0),MATCH(I$4,'Baseline NFPC'!$C$10:$U$10,0))</f>
        <v>-6.4984879050090427E-2</v>
      </c>
      <c r="J44" s="267">
        <f ca="1">INDEX(OFFSET('Baseline NFPC'!$C$1:$U$1,$D44-1,0),MATCH(J$4,'Baseline NFPC'!$C$10:$U$10,0))</f>
        <v>-2.1658744188566503E-2</v>
      </c>
      <c r="K44" s="267">
        <f ca="1">INDEX(OFFSET('Baseline NFPC'!$C$1:$U$1,$D44-1,0),MATCH(K$4,'Baseline NFPC'!$C$10:$U$10,0))</f>
        <v>5.015984299583387E-7</v>
      </c>
      <c r="L44" s="267">
        <f ca="1">INDEX(OFFSET('Baseline NFPC'!$C$1:$U$1,$D44-1,0),MATCH(L$4,'Baseline NFPC'!$C$10:$U$10,0))</f>
        <v>1.6722452463313608E-6</v>
      </c>
      <c r="M44" s="267">
        <f ca="1">INDEX(OFFSET('Baseline NFPC'!$C$1:$U$1,$D44-1,0),MATCH(M$4,'Baseline NFPC'!$C$10:$U$10,0))</f>
        <v>8.9189251034627048E-7</v>
      </c>
      <c r="N44" s="267">
        <f ca="1">INDEX(OFFSET('Baseline NFPC'!$C$1:$U$1,$D44-1,0),MATCH(N$4,'Baseline NFPC'!$C$10:$U$10,0))</f>
        <v>2.4524757003541175E-6</v>
      </c>
      <c r="O44" s="267">
        <f ca="1">INDEX(OFFSET('Baseline NFPC'!$C$1:$U$1,$D44-1,0),MATCH(O$4,'Baseline NFPC'!$C$10:$U$10,0))</f>
        <v>1.2816341072863224E-6</v>
      </c>
      <c r="P44" s="267">
        <f ca="1">INDEX(OFFSET('Baseline NFPC'!$C$1:$U$1,$D44-1,0),MATCH(P$4,'Baseline NFPC'!$C$10:$U$10,0))</f>
        <v>-1.0616333064872308E-6</v>
      </c>
      <c r="Q44" s="267">
        <f ca="1">INDEX(OFFSET('Baseline NFPC'!$C$1:$U$1,$D44-1,0),MATCH(Q$4,'Baseline NFPC'!$C$10:$U$10,0))</f>
        <v>-2.2319203111242913E-6</v>
      </c>
      <c r="R44" s="267">
        <f ca="1">INDEX(OFFSET('Baseline NFPC'!$C$1:$U$1,$D44-1,0),MATCH(R$4,'Baseline NFPC'!$C$10:$U$10,0))</f>
        <v>-3.7905114856906508E-6</v>
      </c>
      <c r="S44" s="267">
        <f ca="1">INDEX(OFFSET('Baseline NFPC'!$C$1:$U$1,$D44-1,0),MATCH(S$4,'Baseline NFPC'!$C$10:$U$10,0))</f>
        <v>-4.5689133761905865E-6</v>
      </c>
      <c r="T44" s="267">
        <f ca="1">INDEX(OFFSET('Baseline NFPC'!$C$1:$U$1,$D44-1,0),MATCH(T$4,'Baseline NFPC'!$C$10:$U$10,0))</f>
        <v>-3.4016555559013284E-6</v>
      </c>
      <c r="U44" s="267">
        <f ca="1">INDEX(OFFSET('Baseline NFPC'!$C$1:$U$1,$D44-1,0),MATCH(U$4,'Baseline NFPC'!$C$10:$U$10,0))</f>
        <v>-4.1792146726615798E-6</v>
      </c>
      <c r="V44" s="267">
        <f ca="1">INDEX(OFFSET('Baseline NFPC'!$C$1:$U$1,$D44-1,0),MATCH(V$4,'Baseline NFPC'!$C$10:$U$10,0))</f>
        <v>-6.1231125128013986E-6</v>
      </c>
      <c r="W44" s="267">
        <f ca="1">INDEX(OFFSET('Baseline NFPC'!$C$1:$U$1,$D44-1,0),MATCH(W$4,'Baseline NFPC'!$C$10:$U$10,0))</f>
        <v>-6.1231125128013986E-6</v>
      </c>
      <c r="X44" s="267">
        <f ca="1">INDEX(OFFSET('Baseline NFPC'!$C$1:$U$1,$D44-1,0),MATCH(X$4,'Baseline NFPC'!$C$10:$U$10,0))</f>
        <v>-6.1231125040306367E-6</v>
      </c>
      <c r="Y44" s="184"/>
    </row>
    <row r="45" spans="1:25" x14ac:dyDescent="0.2">
      <c r="A45" s="184"/>
      <c r="B45" s="274">
        <v>5</v>
      </c>
      <c r="C45" s="278" t="s">
        <v>148</v>
      </c>
      <c r="D45" s="279">
        <v>67</v>
      </c>
      <c r="E45" s="280" t="s">
        <v>143</v>
      </c>
      <c r="F45" s="267">
        <f ca="1">INDEX(OFFSET('Baseline NFPC'!$C$1:$U$1,$D45-1,0),MATCH(F$4,'Baseline NFPC'!$C$10:$U$10,0))</f>
        <v>0</v>
      </c>
      <c r="G45" s="267">
        <f ca="1">INDEX(OFFSET('Baseline NFPC'!$C$1:$U$1,$D45-1,0),MATCH(G$4,'Baseline NFPC'!$C$10:$U$10,0))</f>
        <v>1.3033928890676334</v>
      </c>
      <c r="H45" s="267">
        <f ca="1">INDEX(OFFSET('Baseline NFPC'!$C$1:$U$1,$D45-1,0),MATCH(H$4,'Baseline NFPC'!$C$10:$U$10,0))</f>
        <v>1.3060334754296952</v>
      </c>
      <c r="I45" s="267">
        <f ca="1">INDEX(OFFSET('Baseline NFPC'!$C$1:$U$1,$D45-1,0),MATCH(I$4,'Baseline NFPC'!$C$10:$U$10,0))</f>
        <v>1.4775227912567634</v>
      </c>
      <c r="J45" s="267">
        <f ca="1">INDEX(OFFSET('Baseline NFPC'!$C$1:$U$1,$D45-1,0),MATCH(J$4,'Baseline NFPC'!$C$10:$U$10,0))</f>
        <v>1.6229777140997419</v>
      </c>
      <c r="K45" s="267">
        <f ca="1">INDEX(OFFSET('Baseline NFPC'!$C$1:$U$1,$D45-1,0),MATCH(K$4,'Baseline NFPC'!$C$10:$U$10,0))</f>
        <v>1.7807472938194133</v>
      </c>
      <c r="L45" s="267">
        <f ca="1">INDEX(OFFSET('Baseline NFPC'!$C$1:$U$1,$D45-1,0),MATCH(L$4,'Baseline NFPC'!$C$10:$U$10,0))</f>
        <v>1.945195349683799</v>
      </c>
      <c r="M45" s="267">
        <f ca="1">INDEX(OFFSET('Baseline NFPC'!$C$1:$U$1,$D45-1,0),MATCH(M$4,'Baseline NFPC'!$C$10:$U$10,0))</f>
        <v>2.1225481451326864</v>
      </c>
      <c r="N45" s="267">
        <f ca="1">INDEX(OFFSET('Baseline NFPC'!$C$1:$U$1,$D45-1,0),MATCH(N$4,'Baseline NFPC'!$C$10:$U$10,0))</f>
        <v>2.3088897127083254</v>
      </c>
      <c r="O45" s="267">
        <f ca="1">INDEX(OFFSET('Baseline NFPC'!$C$1:$U$1,$D45-1,0),MATCH(O$4,'Baseline NFPC'!$C$10:$U$10,0))</f>
        <v>2.5064698605841054</v>
      </c>
      <c r="P45" s="267">
        <f ca="1">INDEX(OFFSET('Baseline NFPC'!$C$1:$U$1,$D45-1,0),MATCH(P$4,'Baseline NFPC'!$C$10:$U$10,0))</f>
        <v>2.7345613816433221</v>
      </c>
      <c r="Q45" s="267">
        <f ca="1">INDEX(OFFSET('Baseline NFPC'!$C$1:$U$1,$D45-1,0),MATCH(Q$4,'Baseline NFPC'!$C$10:$U$10,0))</f>
        <v>2.9500796470118358</v>
      </c>
      <c r="R45" s="267">
        <f ca="1">INDEX(OFFSET('Baseline NFPC'!$C$1:$U$1,$D45-1,0),MATCH(R$4,'Baseline NFPC'!$C$10:$U$10,0))</f>
        <v>3.1597610876286977</v>
      </c>
      <c r="S45" s="267">
        <f ca="1">INDEX(OFFSET('Baseline NFPC'!$C$1:$U$1,$D45-1,0),MATCH(S$4,'Baseline NFPC'!$C$10:$U$10,0))</f>
        <v>3.3631852126279296</v>
      </c>
      <c r="T45" s="267">
        <f ca="1">INDEX(OFFSET('Baseline NFPC'!$C$1:$U$1,$D45-1,0),MATCH(T$4,'Baseline NFPC'!$C$10:$U$10,0))</f>
        <v>3.5681653139063916</v>
      </c>
      <c r="U45" s="267">
        <f ca="1">INDEX(OFFSET('Baseline NFPC'!$C$1:$U$1,$D45-1,0),MATCH(U$4,'Baseline NFPC'!$C$10:$U$10,0))</f>
        <v>3.7622999478678629</v>
      </c>
      <c r="V45" s="267">
        <f ca="1">INDEX(OFFSET('Baseline NFPC'!$C$1:$U$1,$D45-1,0),MATCH(V$4,'Baseline NFPC'!$C$10:$U$10,0))</f>
        <v>3.9534746611194094</v>
      </c>
      <c r="W45" s="267">
        <f ca="1">INDEX(OFFSET('Baseline NFPC'!$C$1:$U$1,$D45-1,0),MATCH(W$4,'Baseline NFPC'!$C$10:$U$10,0))</f>
        <v>4.146554147679983</v>
      </c>
      <c r="X45" s="267">
        <f ca="1">INDEX(OFFSET('Baseline NFPC'!$C$1:$U$1,$D45-1,0),MATCH(X$4,'Baseline NFPC'!$C$10:$U$10,0))</f>
        <v>4.3359379569669603</v>
      </c>
      <c r="Y45" s="184"/>
    </row>
    <row r="46" spans="1:25" x14ac:dyDescent="0.2">
      <c r="A46" s="184"/>
      <c r="B46" s="274">
        <v>6</v>
      </c>
      <c r="C46" s="281" t="s">
        <v>61</v>
      </c>
      <c r="D46" s="279">
        <v>36</v>
      </c>
      <c r="E46" s="280" t="s">
        <v>149</v>
      </c>
      <c r="F46" s="267">
        <f ca="1">INDEX(OFFSET('Baseline NFPC'!$C$1:$U$1,$D46-1,0),MATCH(F$4,'Baseline NFPC'!$C$10:$U$10,0))</f>
        <v>4.29</v>
      </c>
      <c r="G46" s="267">
        <f ca="1">INDEX(OFFSET('Baseline NFPC'!$C$1:$U$1,$D46-1,0),MATCH(G$4,'Baseline NFPC'!$C$10:$U$10,0))</f>
        <v>4.7019640000000003</v>
      </c>
      <c r="H46" s="267">
        <f ca="1">INDEX(OFFSET('Baseline NFPC'!$C$1:$U$1,$D46-1,0),MATCH(H$4,'Baseline NFPC'!$C$10:$U$10,0))</f>
        <v>4.9156490000000002</v>
      </c>
      <c r="I46" s="267">
        <f ca="1">INDEX(OFFSET('Baseline NFPC'!$C$1:$U$1,$D46-1,0),MATCH(I$4,'Baseline NFPC'!$C$10:$U$10,0))</f>
        <v>5.0370066250000001</v>
      </c>
      <c r="J46" s="267">
        <f ca="1">INDEX(OFFSET('Baseline NFPC'!$C$1:$U$1,$D46-1,0),MATCH(J$4,'Baseline NFPC'!$C$10:$U$10,0))</f>
        <v>5.15836425</v>
      </c>
      <c r="K46" s="267">
        <f ca="1">INDEX(OFFSET('Baseline NFPC'!$C$1:$U$1,$D46-1,0),MATCH(K$4,'Baseline NFPC'!$C$10:$U$10,0))</f>
        <v>5.2797218749999999</v>
      </c>
      <c r="L46" s="267">
        <f ca="1">INDEX(OFFSET('Baseline NFPC'!$C$1:$U$1,$D46-1,0),MATCH(L$4,'Baseline NFPC'!$C$10:$U$10,0))</f>
        <v>5.4010794999999998</v>
      </c>
      <c r="M46" s="267">
        <f ca="1">INDEX(OFFSET('Baseline NFPC'!$C$1:$U$1,$D46-1,0),MATCH(M$4,'Baseline NFPC'!$C$10:$U$10,0))</f>
        <v>5.5224371250000006</v>
      </c>
      <c r="N46" s="267">
        <f ca="1">INDEX(OFFSET('Baseline NFPC'!$C$1:$U$1,$D46-1,0),MATCH(N$4,'Baseline NFPC'!$C$10:$U$10,0))</f>
        <v>5.6437947500000005</v>
      </c>
      <c r="O46" s="267">
        <f ca="1">INDEX(OFFSET('Baseline NFPC'!$C$1:$U$1,$D46-1,0),MATCH(O$4,'Baseline NFPC'!$C$10:$U$10,0))</f>
        <v>5.7651523750000004</v>
      </c>
      <c r="P46" s="267">
        <f ca="1">INDEX(OFFSET('Baseline NFPC'!$C$1:$U$1,$D46-1,0),MATCH(P$4,'Baseline NFPC'!$C$10:$U$10,0))</f>
        <v>5.8865100000000004</v>
      </c>
      <c r="Q46" s="267">
        <f ca="1">INDEX(OFFSET('Baseline NFPC'!$C$1:$U$1,$D46-1,0),MATCH(Q$4,'Baseline NFPC'!$C$10:$U$10,0))</f>
        <v>5.7921845000000003</v>
      </c>
      <c r="R46" s="267">
        <f ca="1">INDEX(OFFSET('Baseline NFPC'!$C$1:$U$1,$D46-1,0),MATCH(R$4,'Baseline NFPC'!$C$10:$U$10,0))</f>
        <v>5.6978590000000002</v>
      </c>
      <c r="S46" s="267">
        <f ca="1">INDEX(OFFSET('Baseline NFPC'!$C$1:$U$1,$D46-1,0),MATCH(S$4,'Baseline NFPC'!$C$10:$U$10,0))</f>
        <v>5.6035335000000002</v>
      </c>
      <c r="T46" s="267">
        <f ca="1">INDEX(OFFSET('Baseline NFPC'!$C$1:$U$1,$D46-1,0),MATCH(T$4,'Baseline NFPC'!$C$10:$U$10,0))</f>
        <v>5.5092080000000001</v>
      </c>
      <c r="U46" s="267">
        <f ca="1">INDEX(OFFSET('Baseline NFPC'!$C$1:$U$1,$D46-1,0),MATCH(U$4,'Baseline NFPC'!$C$10:$U$10,0))</f>
        <v>5.4148825</v>
      </c>
      <c r="V46" s="267">
        <f ca="1">INDEX(OFFSET('Baseline NFPC'!$C$1:$U$1,$D46-1,0),MATCH(V$4,'Baseline NFPC'!$C$10:$U$10,0))</f>
        <v>5.320557</v>
      </c>
      <c r="W46" s="267">
        <f ca="1">INDEX(OFFSET('Baseline NFPC'!$C$1:$U$1,$D46-1,0),MATCH(W$4,'Baseline NFPC'!$C$10:$U$10,0))</f>
        <v>5.2262314999999999</v>
      </c>
      <c r="X46" s="267">
        <f ca="1">INDEX(OFFSET('Baseline NFPC'!$C$1:$U$1,$D46-1,0),MATCH(X$4,'Baseline NFPC'!$C$10:$U$10,0))</f>
        <v>5.1319059999999999</v>
      </c>
      <c r="Y46" s="184"/>
    </row>
    <row r="47" spans="1:25" x14ac:dyDescent="0.2">
      <c r="A47" s="184"/>
      <c r="B47" s="274">
        <v>7</v>
      </c>
      <c r="C47" s="281" t="s">
        <v>62</v>
      </c>
      <c r="D47" s="279">
        <v>37</v>
      </c>
      <c r="E47" s="280" t="s">
        <v>149</v>
      </c>
      <c r="F47" s="267">
        <f ca="1">INDEX(OFFSET('Baseline NFPC'!$C$1:$U$1,$D47-1,0),MATCH(F$4,'Baseline NFPC'!$C$10:$U$10,0))</f>
        <v>3.6</v>
      </c>
      <c r="G47" s="267">
        <f ca="1">INDEX(OFFSET('Baseline NFPC'!$C$1:$U$1,$D47-1,0),MATCH(G$4,'Baseline NFPC'!$C$10:$U$10,0))</f>
        <v>3.6498529999999998</v>
      </c>
      <c r="H47" s="267">
        <f ca="1">INDEX(OFFSET('Baseline NFPC'!$C$1:$U$1,$D47-1,0),MATCH(H$4,'Baseline NFPC'!$C$10:$U$10,0))</f>
        <v>4.2671910000000004</v>
      </c>
      <c r="I47" s="267">
        <f ca="1">INDEX(OFFSET('Baseline NFPC'!$C$1:$U$1,$D47-1,0),MATCH(I$4,'Baseline NFPC'!$C$10:$U$10,0))</f>
        <v>4.2826608750000004</v>
      </c>
      <c r="J47" s="267">
        <f ca="1">INDEX(OFFSET('Baseline NFPC'!$C$1:$U$1,$D47-1,0),MATCH(J$4,'Baseline NFPC'!$C$10:$U$10,0))</f>
        <v>4.2981307500000003</v>
      </c>
      <c r="K47" s="267">
        <f ca="1">INDEX(OFFSET('Baseline NFPC'!$C$1:$U$1,$D47-1,0),MATCH(K$4,'Baseline NFPC'!$C$10:$U$10,0))</f>
        <v>4.3136006250000003</v>
      </c>
      <c r="L47" s="267">
        <f ca="1">INDEX(OFFSET('Baseline NFPC'!$C$1:$U$1,$D47-1,0),MATCH(L$4,'Baseline NFPC'!$C$10:$U$10,0))</f>
        <v>4.3290705000000003</v>
      </c>
      <c r="M47" s="267">
        <f ca="1">INDEX(OFFSET('Baseline NFPC'!$C$1:$U$1,$D47-1,0),MATCH(M$4,'Baseline NFPC'!$C$10:$U$10,0))</f>
        <v>4.3445403750000002</v>
      </c>
      <c r="N47" s="267">
        <f ca="1">INDEX(OFFSET('Baseline NFPC'!$C$1:$U$1,$D47-1,0),MATCH(N$4,'Baseline NFPC'!$C$10:$U$10,0))</f>
        <v>4.3600102500000002</v>
      </c>
      <c r="O47" s="267">
        <f ca="1">INDEX(OFFSET('Baseline NFPC'!$C$1:$U$1,$D47-1,0),MATCH(O$4,'Baseline NFPC'!$C$10:$U$10,0))</f>
        <v>4.3754801250000002</v>
      </c>
      <c r="P47" s="267">
        <f ca="1">INDEX(OFFSET('Baseline NFPC'!$C$1:$U$1,$D47-1,0),MATCH(P$4,'Baseline NFPC'!$C$10:$U$10,0))</f>
        <v>4.3909500000000001</v>
      </c>
      <c r="Q47" s="267">
        <f ca="1">INDEX(OFFSET('Baseline NFPC'!$C$1:$U$1,$D47-1,0),MATCH(Q$4,'Baseline NFPC'!$C$10:$U$10,0))</f>
        <v>4.2714024999999998</v>
      </c>
      <c r="R47" s="267">
        <f ca="1">INDEX(OFFSET('Baseline NFPC'!$C$1:$U$1,$D47-1,0),MATCH(R$4,'Baseline NFPC'!$C$10:$U$10,0))</f>
        <v>4.1518550000000003</v>
      </c>
      <c r="S47" s="267">
        <f ca="1">INDEX(OFFSET('Baseline NFPC'!$C$1:$U$1,$D47-1,0),MATCH(S$4,'Baseline NFPC'!$C$10:$U$10,0))</f>
        <v>4.0323074999999999</v>
      </c>
      <c r="T47" s="267">
        <f ca="1">INDEX(OFFSET('Baseline NFPC'!$C$1:$U$1,$D47-1,0),MATCH(T$4,'Baseline NFPC'!$C$10:$U$10,0))</f>
        <v>3.91276</v>
      </c>
      <c r="U47" s="267">
        <f ca="1">INDEX(OFFSET('Baseline NFPC'!$C$1:$U$1,$D47-1,0),MATCH(U$4,'Baseline NFPC'!$C$10:$U$10,0))</f>
        <v>3.7932125000000001</v>
      </c>
      <c r="V47" s="267">
        <f ca="1">INDEX(OFFSET('Baseline NFPC'!$C$1:$U$1,$D47-1,0),MATCH(V$4,'Baseline NFPC'!$C$10:$U$10,0))</f>
        <v>3.6736650000000002</v>
      </c>
      <c r="W47" s="267">
        <f ca="1">INDEX(OFFSET('Baseline NFPC'!$C$1:$U$1,$D47-1,0),MATCH(W$4,'Baseline NFPC'!$C$10:$U$10,0))</f>
        <v>3.5541175000000003</v>
      </c>
      <c r="X47" s="267">
        <f ca="1">INDEX(OFFSET('Baseline NFPC'!$C$1:$U$1,$D47-1,0),MATCH(X$4,'Baseline NFPC'!$C$10:$U$10,0))</f>
        <v>3.4345699999999999</v>
      </c>
      <c r="Y47" s="184"/>
    </row>
    <row r="48" spans="1:25" x14ac:dyDescent="0.2">
      <c r="A48" s="184"/>
      <c r="B48" s="274">
        <v>8</v>
      </c>
      <c r="C48" s="278" t="s">
        <v>150</v>
      </c>
      <c r="D48" s="279">
        <v>35</v>
      </c>
      <c r="E48" s="280" t="s">
        <v>149</v>
      </c>
      <c r="F48" s="267">
        <f ca="1">INDEX(OFFSET('Baseline NFPC'!$C$1:$U$1,$D48-1,0),MATCH(F$4,'Baseline NFPC'!$C$10:$U$10,0))</f>
        <v>3.1969609999999999</v>
      </c>
      <c r="G48" s="267">
        <f ca="1">INDEX(OFFSET('Baseline NFPC'!$C$1:$U$1,$D48-1,0),MATCH(G$4,'Baseline NFPC'!$C$10:$U$10,0))</f>
        <v>3.078103</v>
      </c>
      <c r="H48" s="267">
        <f ca="1">INDEX(OFFSET('Baseline NFPC'!$C$1:$U$1,$D48-1,0),MATCH(H$4,'Baseline NFPC'!$C$10:$U$10,0))</f>
        <v>2.999835</v>
      </c>
      <c r="I48" s="267">
        <f ca="1">INDEX(OFFSET('Baseline NFPC'!$C$1:$U$1,$D48-1,0),MATCH(I$4,'Baseline NFPC'!$C$10:$U$10,0))</f>
        <v>3.2787528704915645</v>
      </c>
      <c r="J48" s="267">
        <f ca="1">INDEX(OFFSET('Baseline NFPC'!$C$1:$U$1,$D48-1,0),MATCH(J$4,'Baseline NFPC'!$C$10:$U$10,0))</f>
        <v>3.5151139840819745</v>
      </c>
      <c r="K48" s="267">
        <f ca="1">INDEX(OFFSET('Baseline NFPC'!$C$1:$U$1,$D48-1,0),MATCH(K$4,'Baseline NFPC'!$C$10:$U$10,0))</f>
        <v>3.7446796592301297</v>
      </c>
      <c r="L48" s="267">
        <f ca="1">INDEX(OFFSET('Baseline NFPC'!$C$1:$U$1,$D48-1,0),MATCH(L$4,'Baseline NFPC'!$C$10:$U$10,0))</f>
        <v>3.9632939473917141</v>
      </c>
      <c r="M48" s="267">
        <f ca="1">INDEX(OFFSET('Baseline NFPC'!$C$1:$U$1,$D48-1,0),MATCH(M$4,'Baseline NFPC'!$C$10:$U$10,0))</f>
        <v>4.1735939793387811</v>
      </c>
      <c r="N48" s="267">
        <f ca="1">INDEX(OFFSET('Baseline NFPC'!$C$1:$U$1,$D48-1,0),MATCH(N$4,'Baseline NFPC'!$C$10:$U$10,0))</f>
        <v>4.3733956407985497</v>
      </c>
      <c r="O48" s="267">
        <f ca="1">INDEX(OFFSET('Baseline NFPC'!$C$1:$U$1,$D48-1,0),MATCH(O$4,'Baseline NFPC'!$C$10:$U$10,0))</f>
        <v>4.5637138131234884</v>
      </c>
      <c r="P48" s="267">
        <f ca="1">INDEX(OFFSET('Baseline NFPC'!$C$1:$U$1,$D48-1,0),MATCH(P$4,'Baseline NFPC'!$C$10:$U$10,0))</f>
        <v>4.7509546189564285</v>
      </c>
      <c r="Q48" s="267">
        <f ca="1">INDEX(OFFSET('Baseline NFPC'!$C$1:$U$1,$D48-1,0),MATCH(Q$4,'Baseline NFPC'!$C$10:$U$10,0))</f>
        <v>4.8939390082147254</v>
      </c>
      <c r="R48" s="267">
        <f ca="1">INDEX(OFFSET('Baseline NFPC'!$C$1:$U$1,$D48-1,0),MATCH(R$4,'Baseline NFPC'!$C$10:$U$10,0))</f>
        <v>5.0024720395914271</v>
      </c>
      <c r="S48" s="267">
        <f ca="1">INDEX(OFFSET('Baseline NFPC'!$C$1:$U$1,$D48-1,0),MATCH(S$4,'Baseline NFPC'!$C$10:$U$10,0))</f>
        <v>5.0809447242381953</v>
      </c>
      <c r="T48" s="267">
        <f ca="1">INDEX(OFFSET('Baseline NFPC'!$C$1:$U$1,$D48-1,0),MATCH(T$4,'Baseline NFPC'!$C$10:$U$10,0))</f>
        <v>5.1338570180010299</v>
      </c>
      <c r="U48" s="267">
        <f ca="1">INDEX(OFFSET('Baseline NFPC'!$C$1:$U$1,$D48-1,0),MATCH(U$4,'Baseline NFPC'!$C$10:$U$10,0))</f>
        <v>5.1639357395825947</v>
      </c>
      <c r="V48" s="267">
        <f ca="1">INDEX(OFFSET('Baseline NFPC'!$C$1:$U$1,$D48-1,0),MATCH(V$4,'Baseline NFPC'!$C$10:$U$10,0))</f>
        <v>5.1749791473873747</v>
      </c>
      <c r="W48" s="267">
        <f ca="1">INDEX(OFFSET('Baseline NFPC'!$C$1:$U$1,$D48-1,0),MATCH(W$4,'Baseline NFPC'!$C$10:$U$10,0))</f>
        <v>5.1698409793428644</v>
      </c>
      <c r="X48" s="267">
        <f ca="1">INDEX(OFFSET('Baseline NFPC'!$C$1:$U$1,$D48-1,0),MATCH(X$4,'Baseline NFPC'!$C$10:$U$10,0))</f>
        <v>5.1509376435721377</v>
      </c>
      <c r="Y48" s="184"/>
    </row>
    <row r="49" spans="1:25" x14ac:dyDescent="0.2">
      <c r="A49" s="184"/>
      <c r="B49" s="274">
        <v>9</v>
      </c>
      <c r="C49" s="282" t="s">
        <v>40</v>
      </c>
      <c r="D49" s="279">
        <v>26</v>
      </c>
      <c r="E49" s="280" t="s">
        <v>152</v>
      </c>
      <c r="F49" s="267">
        <f>'Input data'!C$33</f>
        <v>1.560683</v>
      </c>
      <c r="G49" s="267">
        <f ca="1">(INDEX(OFFSET('Baseline NFPC'!$C$1:$U$1,$D49-1,0),MATCH(G$4,'Baseline NFPC'!$C$10:$U$10,0))/INDEX(OFFSET('Baseline NFPC'!$C$1:$U$1,$D49-1,0),MATCH(F$4,'Baseline NFPC'!$C$10:$U$10,0))-1)*100</f>
        <v>1.6476600000000063</v>
      </c>
      <c r="H49" s="267">
        <f ca="1">(INDEX(OFFSET('Baseline NFPC'!$C$1:$U$1,$D49-1,0),MATCH(H$4,'Baseline NFPC'!$C$10:$U$10,0))/INDEX(OFFSET('Baseline NFPC'!$C$1:$U$1,$D49-1,0),MATCH(G$4,'Baseline NFPC'!$C$10:$U$10,0))-1)*100</f>
        <v>1.4921039999999941</v>
      </c>
      <c r="I49" s="267">
        <f ca="1">(INDEX(OFFSET('Baseline NFPC'!$C$1:$U$1,$D49-1,0),MATCH(I$4,'Baseline NFPC'!$C$10:$U$10,0))/INDEX(OFFSET('Baseline NFPC'!$C$1:$U$1,$D49-1,0),MATCH(H$4,'Baseline NFPC'!$C$10:$U$10,0))-1)*100</f>
        <v>1.456502000000004</v>
      </c>
      <c r="J49" s="267">
        <f ca="1">(INDEX(OFFSET('Baseline NFPC'!$C$1:$U$1,$D49-1,0),MATCH(J$4,'Baseline NFPC'!$C$10:$U$10,0))/INDEX(OFFSET('Baseline NFPC'!$C$1:$U$1,$D49-1,0),MATCH(I$4,'Baseline NFPC'!$C$10:$U$10,0))-1)*100</f>
        <v>1.2343959999999932</v>
      </c>
      <c r="K49" s="267">
        <f ca="1">(INDEX(OFFSET('Baseline NFPC'!$C$1:$U$1,$D49-1,0),MATCH(K$4,'Baseline NFPC'!$C$10:$U$10,0))/INDEX(OFFSET('Baseline NFPC'!$C$1:$U$1,$D49-1,0),MATCH(J$4,'Baseline NFPC'!$C$10:$U$10,0))-1)*100</f>
        <v>1.2125439999999932</v>
      </c>
      <c r="L49" s="267">
        <f ca="1">(INDEX(OFFSET('Baseline NFPC'!$C$1:$U$1,$D49-1,0),MATCH(L$4,'Baseline NFPC'!$C$10:$U$10,0))/INDEX(OFFSET('Baseline NFPC'!$C$1:$U$1,$D49-1,0),MATCH(K$4,'Baseline NFPC'!$C$10:$U$10,0))-1)*100</f>
        <v>1.2260879999999919</v>
      </c>
      <c r="M49" s="267">
        <f ca="1">(INDEX(OFFSET('Baseline NFPC'!$C$1:$U$1,$D49-1,0),MATCH(M$4,'Baseline NFPC'!$C$10:$U$10,0))/INDEX(OFFSET('Baseline NFPC'!$C$1:$U$1,$D49-1,0),MATCH(L$4,'Baseline NFPC'!$C$10:$U$10,0))-1)*100</f>
        <v>1.236265999999997</v>
      </c>
      <c r="N49" s="267">
        <f ca="1">(INDEX(OFFSET('Baseline NFPC'!$C$1:$U$1,$D49-1,0),MATCH(N$4,'Baseline NFPC'!$C$10:$U$10,0))/INDEX(OFFSET('Baseline NFPC'!$C$1:$U$1,$D49-1,0),MATCH(M$4,'Baseline NFPC'!$C$10:$U$10,0))-1)*100</f>
        <v>1.2442000000000064</v>
      </c>
      <c r="O49" s="267">
        <f ca="1">(INDEX(OFFSET('Baseline NFPC'!$C$1:$U$1,$D49-1,0),MATCH(O$4,'Baseline NFPC'!$C$10:$U$10,0))/INDEX(OFFSET('Baseline NFPC'!$C$1:$U$1,$D49-1,0),MATCH(N$4,'Baseline NFPC'!$C$10:$U$10,0))-1)*100</f>
        <v>1.2092439999999982</v>
      </c>
      <c r="P49" s="267">
        <f ca="1">(INDEX(OFFSET('Baseline NFPC'!$C$1:$U$1,$D49-1,0),MATCH(P$4,'Baseline NFPC'!$C$10:$U$10,0))/INDEX(OFFSET('Baseline NFPC'!$C$1:$U$1,$D49-1,0),MATCH(O$4,'Baseline NFPC'!$C$10:$U$10,0))-1)*100</f>
        <v>1.140822000000008</v>
      </c>
      <c r="Q49" s="267">
        <f ca="1">(INDEX(OFFSET('Baseline NFPC'!$C$1:$U$1,$D49-1,0),MATCH(Q$4,'Baseline NFPC'!$C$10:$U$10,0))/INDEX(OFFSET('Baseline NFPC'!$C$1:$U$1,$D49-1,0),MATCH(P$4,'Baseline NFPC'!$C$10:$U$10,0))-1)*100</f>
        <v>1.2572150000000004</v>
      </c>
      <c r="R49" s="267">
        <f ca="1">(INDEX(OFFSET('Baseline NFPC'!$C$1:$U$1,$D49-1,0),MATCH(R$4,'Baseline NFPC'!$C$10:$U$10,0))/INDEX(OFFSET('Baseline NFPC'!$C$1:$U$1,$D49-1,0),MATCH(Q$4,'Baseline NFPC'!$C$10:$U$10,0))-1)*100</f>
        <v>1.3736069999999989</v>
      </c>
      <c r="S49" s="267">
        <f ca="1">(INDEX(OFFSET('Baseline NFPC'!$C$1:$U$1,$D49-1,0),MATCH(S$4,'Baseline NFPC'!$C$10:$U$10,0))/INDEX(OFFSET('Baseline NFPC'!$C$1:$U$1,$D49-1,0),MATCH(R$4,'Baseline NFPC'!$C$10:$U$10,0))-1)*100</f>
        <v>1.4899999999999913</v>
      </c>
      <c r="T49" s="267">
        <f ca="1">(INDEX(OFFSET('Baseline NFPC'!$C$1:$U$1,$D49-1,0),MATCH(T$4,'Baseline NFPC'!$C$10:$U$10,0))/INDEX(OFFSET('Baseline NFPC'!$C$1:$U$1,$D49-1,0),MATCH(S$4,'Baseline NFPC'!$C$10:$U$10,0))-1)*100</f>
        <v>1.5200000000000102</v>
      </c>
      <c r="U49" s="267">
        <f ca="1">(INDEX(OFFSET('Baseline NFPC'!$C$1:$U$1,$D49-1,0),MATCH(U$4,'Baseline NFPC'!$C$10:$U$10,0))/INDEX(OFFSET('Baseline NFPC'!$C$1:$U$1,$D49-1,0),MATCH(T$4,'Baseline NFPC'!$C$10:$U$10,0))-1)*100</f>
        <v>1.6000000000000014</v>
      </c>
      <c r="V49" s="267">
        <f ca="1">(INDEX(OFFSET('Baseline NFPC'!$C$1:$U$1,$D49-1,0),MATCH(V$4,'Baseline NFPC'!$C$10:$U$10,0))/INDEX(OFFSET('Baseline NFPC'!$C$1:$U$1,$D49-1,0),MATCH(U$4,'Baseline NFPC'!$C$10:$U$10,0))-1)*100</f>
        <v>1.6000000000000014</v>
      </c>
      <c r="W49" s="267">
        <f ca="1">(INDEX(OFFSET('Baseline NFPC'!$C$1:$U$1,$D49-1,0),MATCH(W$4,'Baseline NFPC'!$C$10:$U$10,0))/INDEX(OFFSET('Baseline NFPC'!$C$1:$U$1,$D49-1,0),MATCH(V$4,'Baseline NFPC'!$C$10:$U$10,0))-1)*100</f>
        <v>1.6000000000000014</v>
      </c>
      <c r="X49" s="267">
        <f ca="1">(INDEX(OFFSET('Baseline NFPC'!$C$1:$U$1,$D49-1,0),MATCH(X$4,'Baseline NFPC'!$C$10:$U$10,0))/INDEX(OFFSET('Baseline NFPC'!$C$1:$U$1,$D49-1,0),MATCH(W$4,'Baseline NFPC'!$C$10:$U$10,0))-1)*100</f>
        <v>1.6100000000000003</v>
      </c>
      <c r="Y49" s="184"/>
    </row>
    <row r="50" spans="1:25" x14ac:dyDescent="0.2">
      <c r="A50" s="184"/>
      <c r="B50" s="274">
        <v>10</v>
      </c>
      <c r="C50" s="270" t="s">
        <v>153</v>
      </c>
      <c r="D50" s="279">
        <v>23</v>
      </c>
      <c r="E50" s="280" t="s">
        <v>152</v>
      </c>
      <c r="F50" s="267">
        <f ca="1">INDEX(OFFSET('Baseline NFPC'!$C$1:$U$1,$D50-1,0),MATCH(F$4,'Baseline NFPC'!$C$10:$U$10,0))</f>
        <v>2.5804670000000001</v>
      </c>
      <c r="G50" s="267">
        <f ca="1">INDEX(OFFSET('Baseline NFPC'!$C$1:$U$1,$D50-1,0),MATCH(G$4,'Baseline NFPC'!$C$10:$U$10,0))</f>
        <v>1.7972699999999999</v>
      </c>
      <c r="H50" s="267">
        <f ca="1">INDEX(OFFSET('Baseline NFPC'!$C$1:$U$1,$D50-1,0),MATCH(H$4,'Baseline NFPC'!$C$10:$U$10,0))</f>
        <v>2.151977</v>
      </c>
      <c r="I50" s="267">
        <f ca="1">INDEX(OFFSET('Baseline NFPC'!$C$1:$U$1,$D50-1,0),MATCH(I$4,'Baseline NFPC'!$C$10:$U$10,0))</f>
        <v>1.373251</v>
      </c>
      <c r="J50" s="267">
        <f ca="1">INDEX(OFFSET('Baseline NFPC'!$C$1:$U$1,$D50-1,0),MATCH(J$4,'Baseline NFPC'!$C$10:$U$10,0))</f>
        <v>1.1235379999999999</v>
      </c>
      <c r="K50" s="267">
        <f ca="1">INDEX(OFFSET('Baseline NFPC'!$C$1:$U$1,$D50-1,0),MATCH(K$4,'Baseline NFPC'!$C$10:$U$10,0))</f>
        <v>1.157076</v>
      </c>
      <c r="L50" s="267">
        <f ca="1">INDEX(OFFSET('Baseline NFPC'!$C$1:$U$1,$D50-1,0),MATCH(L$4,'Baseline NFPC'!$C$10:$U$10,0))</f>
        <v>1.2260850000000001</v>
      </c>
      <c r="M50" s="267">
        <f ca="1">INDEX(OFFSET('Baseline NFPC'!$C$1:$U$1,$D50-1,0),MATCH(M$4,'Baseline NFPC'!$C$10:$U$10,0))</f>
        <v>1.2362679999999999</v>
      </c>
      <c r="N50" s="267">
        <f ca="1">INDEX(OFFSET('Baseline NFPC'!$C$1:$U$1,$D50-1,0),MATCH(N$4,'Baseline NFPC'!$C$10:$U$10,0))</f>
        <v>1.2441960000000001</v>
      </c>
      <c r="O50" s="267">
        <f ca="1">INDEX(OFFSET('Baseline NFPC'!$C$1:$U$1,$D50-1,0),MATCH(O$4,'Baseline NFPC'!$C$10:$U$10,0))</f>
        <v>1.209247</v>
      </c>
      <c r="P50" s="267">
        <f ca="1">INDEX(OFFSET('Baseline NFPC'!$C$1:$U$1,$D50-1,0),MATCH(P$4,'Baseline NFPC'!$C$10:$U$10,0))</f>
        <v>1.140828</v>
      </c>
      <c r="Q50" s="267">
        <f ca="1">INDEX(OFFSET('Baseline NFPC'!$C$1:$U$1,$D50-1,0),MATCH(Q$4,'Baseline NFPC'!$C$10:$U$10,0))</f>
        <v>1.2572179999999999</v>
      </c>
      <c r="R50" s="267">
        <f ca="1">INDEX(OFFSET('Baseline NFPC'!$C$1:$U$1,$D50-1,0),MATCH(R$4,'Baseline NFPC'!$C$10:$U$10,0))</f>
        <v>1.3736109999999999</v>
      </c>
      <c r="S50" s="267">
        <f ca="1">INDEX(OFFSET('Baseline NFPC'!$C$1:$U$1,$D50-1,0),MATCH(S$4,'Baseline NFPC'!$C$10:$U$10,0))</f>
        <v>1.490002</v>
      </c>
      <c r="T50" s="267">
        <f ca="1">INDEX(OFFSET('Baseline NFPC'!$C$1:$U$1,$D50-1,0),MATCH(T$4,'Baseline NFPC'!$C$10:$U$10,0))</f>
        <v>1.519997</v>
      </c>
      <c r="U50" s="267">
        <f ca="1">INDEX(OFFSET('Baseline NFPC'!$C$1:$U$1,$D50-1,0),MATCH(U$4,'Baseline NFPC'!$C$10:$U$10,0))</f>
        <v>1.6000019999999999</v>
      </c>
      <c r="V50" s="267">
        <f ca="1">INDEX(OFFSET('Baseline NFPC'!$C$1:$U$1,$D50-1,0),MATCH(V$4,'Baseline NFPC'!$C$10:$U$10,0))</f>
        <v>1.6000049999999999</v>
      </c>
      <c r="W50" s="267">
        <f ca="1">INDEX(OFFSET('Baseline NFPC'!$C$1:$U$1,$D50-1,0),MATCH(W$4,'Baseline NFPC'!$C$10:$U$10,0))</f>
        <v>1.6</v>
      </c>
      <c r="X50" s="267">
        <f ca="1">INDEX(OFFSET('Baseline NFPC'!$C$1:$U$1,$D50-1,0),MATCH(X$4,'Baseline NFPC'!$C$10:$U$10,0))</f>
        <v>1.61</v>
      </c>
      <c r="Y50" s="184"/>
    </row>
    <row r="51" spans="1:25" x14ac:dyDescent="0.2">
      <c r="A51" s="184"/>
      <c r="B51" s="274">
        <v>11</v>
      </c>
      <c r="C51" s="283" t="s">
        <v>154</v>
      </c>
      <c r="D51" s="279">
        <v>41</v>
      </c>
      <c r="E51" s="280" t="s">
        <v>152</v>
      </c>
      <c r="F51" s="267">
        <f ca="1">INDEX(OFFSET('Baseline NFPC'!$C$1:$U$1,$D51-1,0),MATCH(F$4,'Baseline NFPC'!$C$10:$U$10,0))</f>
        <v>3.5126050000000002</v>
      </c>
      <c r="G51" s="267">
        <f ca="1">INDEX(OFFSET('Baseline NFPC'!$C$1:$U$1,$D51-1,0),MATCH(G$4,'Baseline NFPC'!$C$10:$U$10,0))</f>
        <v>2.6566770000000002</v>
      </c>
      <c r="H51" s="267">
        <f ca="1">INDEX(OFFSET('Baseline NFPC'!$C$1:$U$1,$D51-1,0),MATCH(H$4,'Baseline NFPC'!$C$10:$U$10,0))</f>
        <v>3.0686640000000001</v>
      </c>
      <c r="I51" s="267">
        <f ca="1">INDEX(OFFSET('Baseline NFPC'!$C$1:$U$1,$D51-1,0),MATCH(I$4,'Baseline NFPC'!$C$10:$U$10,0))</f>
        <v>2.9775809999999998</v>
      </c>
      <c r="J51" s="267">
        <f ca="1">INDEX(OFFSET('Baseline NFPC'!$C$1:$U$1,$D51-1,0),MATCH(J$4,'Baseline NFPC'!$C$10:$U$10,0))</f>
        <v>2.886498</v>
      </c>
      <c r="K51" s="267">
        <f ca="1">INDEX(OFFSET('Baseline NFPC'!$C$1:$U$1,$D51-1,0),MATCH(K$4,'Baseline NFPC'!$C$10:$U$10,0))</f>
        <v>2.7954150000000002</v>
      </c>
      <c r="L51" s="267">
        <f ca="1">INDEX(OFFSET('Baseline NFPC'!$C$1:$U$1,$D51-1,0),MATCH(L$4,'Baseline NFPC'!$C$10:$U$10,0))</f>
        <v>2.704332</v>
      </c>
      <c r="M51" s="267">
        <f ca="1">INDEX(OFFSET('Baseline NFPC'!$C$1:$U$1,$D51-1,0),MATCH(M$4,'Baseline NFPC'!$C$10:$U$10,0))</f>
        <v>2.6132489999999997</v>
      </c>
      <c r="N51" s="267">
        <f ca="1">INDEX(OFFSET('Baseline NFPC'!$C$1:$U$1,$D51-1,0),MATCH(N$4,'Baseline NFPC'!$C$10:$U$10,0))</f>
        <v>2.5221659999999999</v>
      </c>
      <c r="O51" s="267">
        <f ca="1">INDEX(OFFSET('Baseline NFPC'!$C$1:$U$1,$D51-1,0),MATCH(O$4,'Baseline NFPC'!$C$10:$U$10,0))</f>
        <v>2.4310830000000001</v>
      </c>
      <c r="P51" s="267">
        <f ca="1">INDEX(OFFSET('Baseline NFPC'!$C$1:$U$1,$D51-1,0),MATCH(P$4,'Baseline NFPC'!$C$10:$U$10,0))</f>
        <v>2.34</v>
      </c>
      <c r="Q51" s="267">
        <f ca="1">INDEX(OFFSET('Baseline NFPC'!$C$1:$U$1,$D51-1,0),MATCH(Q$4,'Baseline NFPC'!$C$10:$U$10,0))</f>
        <v>2.323</v>
      </c>
      <c r="R51" s="267">
        <f ca="1">INDEX(OFFSET('Baseline NFPC'!$C$1:$U$1,$D51-1,0),MATCH(R$4,'Baseline NFPC'!$C$10:$U$10,0))</f>
        <v>2.306</v>
      </c>
      <c r="S51" s="267">
        <f ca="1">INDEX(OFFSET('Baseline NFPC'!$C$1:$U$1,$D51-1,0),MATCH(S$4,'Baseline NFPC'!$C$10:$U$10,0))</f>
        <v>2.2889999999999997</v>
      </c>
      <c r="T51" s="267">
        <f ca="1">INDEX(OFFSET('Baseline NFPC'!$C$1:$U$1,$D51-1,0),MATCH(T$4,'Baseline NFPC'!$C$10:$U$10,0))</f>
        <v>2.2719999999999998</v>
      </c>
      <c r="U51" s="267">
        <f ca="1">INDEX(OFFSET('Baseline NFPC'!$C$1:$U$1,$D51-1,0),MATCH(U$4,'Baseline NFPC'!$C$10:$U$10,0))</f>
        <v>2.2549999999999999</v>
      </c>
      <c r="V51" s="267">
        <f ca="1">INDEX(OFFSET('Baseline NFPC'!$C$1:$U$1,$D51-1,0),MATCH(V$4,'Baseline NFPC'!$C$10:$U$10,0))</f>
        <v>2.238</v>
      </c>
      <c r="W51" s="267">
        <f ca="1">INDEX(OFFSET('Baseline NFPC'!$C$1:$U$1,$D51-1,0),MATCH(W$4,'Baseline NFPC'!$C$10:$U$10,0))</f>
        <v>2.2210000000000001</v>
      </c>
      <c r="X51" s="267">
        <f ca="1">INDEX(OFFSET('Baseline NFPC'!$C$1:$U$1,$D51-1,0),MATCH(X$4,'Baseline NFPC'!$C$10:$U$10,0))</f>
        <v>2.2039999999999997</v>
      </c>
      <c r="Y51" s="184"/>
    </row>
    <row r="52" spans="1:25" x14ac:dyDescent="0.2">
      <c r="A52" s="184"/>
      <c r="B52" s="274">
        <v>12</v>
      </c>
      <c r="C52" s="270" t="s">
        <v>155</v>
      </c>
      <c r="D52" s="279">
        <v>32</v>
      </c>
      <c r="E52" s="280" t="s">
        <v>152</v>
      </c>
      <c r="F52" s="267">
        <f ca="1">INDEX(OFFSET('Baseline NFPC'!$C$1:$U$1,$D52-1,0),MATCH(F$4,'Baseline NFPC'!$C$10:$U$10,0))</f>
        <v>6.1837136128653603</v>
      </c>
      <c r="G52" s="267">
        <f ca="1">INDEX(OFFSET('Baseline NFPC'!$C$1:$U$1,$D52-1,0),MATCH(G$4,'Baseline NFPC'!$C$10:$U$10,0))</f>
        <v>4.501694658717903</v>
      </c>
      <c r="H52" s="267">
        <f ca="1">INDEX(OFFSET('Baseline NFPC'!$C$1:$U$1,$D52-1,0),MATCH(H$4,'Baseline NFPC'!$C$10:$U$10,0))</f>
        <v>5.2866779434872946</v>
      </c>
      <c r="I52" s="267">
        <f ca="1">INDEX(OFFSET('Baseline NFPC'!$C$1:$U$1,$D52-1,0),MATCH(I$4,'Baseline NFPC'!$C$10:$U$10,0))</f>
        <v>4.3917216608583276</v>
      </c>
      <c r="J52" s="267">
        <f ca="1">INDEX(OFFSET('Baseline NFPC'!$C$1:$U$1,$D52-1,0),MATCH(J$4,'Baseline NFPC'!$C$10:$U$10,0))</f>
        <v>4.0424669018992443</v>
      </c>
      <c r="K52" s="267">
        <f ca="1">INDEX(OFFSET('Baseline NFPC'!$C$1:$U$1,$D52-1,0),MATCH(K$4,'Baseline NFPC'!$C$10:$U$10,0))</f>
        <v>3.98483607606539</v>
      </c>
      <c r="L52" s="267">
        <f ca="1">INDEX(OFFSET('Baseline NFPC'!$C$1:$U$1,$D52-1,0),MATCH(L$4,'Baseline NFPC'!$C$10:$U$10,0))</f>
        <v>3.9635744090022129</v>
      </c>
      <c r="M52" s="267">
        <f ca="1">INDEX(OFFSET('Baseline NFPC'!$C$1:$U$1,$D52-1,0),MATCH(M$4,'Baseline NFPC'!$C$10:$U$10,0))</f>
        <v>3.8818237611473183</v>
      </c>
      <c r="N52" s="267">
        <f ca="1">INDEX(OFFSET('Baseline NFPC'!$C$1:$U$1,$D52-1,0),MATCH(N$4,'Baseline NFPC'!$C$10:$U$10,0))</f>
        <v>3.7977426884853616</v>
      </c>
      <c r="O52" s="267">
        <f ca="1">INDEX(OFFSET('Baseline NFPC'!$C$1:$U$1,$D52-1,0),MATCH(O$4,'Baseline NFPC'!$C$10:$U$10,0))</f>
        <v>3.6697277982449927</v>
      </c>
      <c r="P52" s="267">
        <f ca="1">INDEX(OFFSET('Baseline NFPC'!$C$1:$U$1,$D52-1,0),MATCH(P$4,'Baseline NFPC'!$C$10:$U$10,0))</f>
        <v>3.5075233751999946</v>
      </c>
      <c r="Q52" s="267">
        <f ca="1">INDEX(OFFSET('Baseline NFPC'!$C$1:$U$1,$D52-1,0),MATCH(Q$4,'Baseline NFPC'!$C$10:$U$10,0))</f>
        <v>3.609423174140014</v>
      </c>
      <c r="R52" s="267">
        <f ca="1">INDEX(OFFSET('Baseline NFPC'!$C$1:$U$1,$D52-1,0),MATCH(R$4,'Baseline NFPC'!$C$10:$U$10,0))</f>
        <v>3.7112864696600134</v>
      </c>
      <c r="S52" s="267">
        <f ca="1">INDEX(OFFSET('Baseline NFPC'!$C$1:$U$1,$D52-1,0),MATCH(S$4,'Baseline NFPC'!$C$10:$U$10,0))</f>
        <v>3.8131081457800198</v>
      </c>
      <c r="T52" s="267">
        <f ca="1">INDEX(OFFSET('Baseline NFPC'!$C$1:$U$1,$D52-1,0),MATCH(T$4,'Baseline NFPC'!$C$10:$U$10,0))</f>
        <v>3.8265313318400107</v>
      </c>
      <c r="U52" s="267">
        <f ca="1">INDEX(OFFSET('Baseline NFPC'!$C$1:$U$1,$D52-1,0),MATCH(U$4,'Baseline NFPC'!$C$10:$U$10,0))</f>
        <v>3.8910820451000028</v>
      </c>
      <c r="V52" s="267">
        <f ca="1">INDEX(OFFSET('Baseline NFPC'!$C$1:$U$1,$D52-1,0),MATCH(V$4,'Baseline NFPC'!$C$10:$U$10,0))</f>
        <v>3.8738131119000041</v>
      </c>
      <c r="W52" s="267">
        <f ca="1">INDEX(OFFSET('Baseline NFPC'!$C$1:$U$1,$D52-1,0),MATCH(W$4,'Baseline NFPC'!$C$10:$U$10,0))</f>
        <v>3.8565359999999993</v>
      </c>
      <c r="X52" s="267">
        <f ca="1">INDEX(OFFSET('Baseline NFPC'!$C$1:$U$1,$D52-1,0),MATCH(X$4,'Baseline NFPC'!$C$10:$U$10,0))</f>
        <v>3.8494844000000139</v>
      </c>
      <c r="Y52" s="184"/>
    </row>
    <row r="53" spans="1:25" x14ac:dyDescent="0.2">
      <c r="A53" s="184"/>
      <c r="B53" s="274">
        <v>13</v>
      </c>
      <c r="C53" s="270" t="s">
        <v>46</v>
      </c>
      <c r="D53" s="269"/>
      <c r="E53" s="280" t="s">
        <v>149</v>
      </c>
      <c r="F53" s="286">
        <f>'Input data'!$C$49</f>
        <v>0.6</v>
      </c>
      <c r="G53" s="184"/>
      <c r="H53" s="184"/>
      <c r="I53" s="184"/>
      <c r="J53" s="184"/>
      <c r="K53" s="184"/>
      <c r="L53" s="184"/>
      <c r="M53" s="184"/>
      <c r="N53" s="184"/>
      <c r="O53" s="184"/>
      <c r="P53" s="184"/>
      <c r="Q53" s="184"/>
      <c r="R53" s="184"/>
      <c r="S53" s="184"/>
      <c r="T53" s="184"/>
      <c r="U53" s="184"/>
      <c r="V53" s="184"/>
      <c r="W53" s="184"/>
      <c r="X53" s="184"/>
      <c r="Y53" s="184"/>
    </row>
    <row r="54" spans="1:25" x14ac:dyDescent="0.2">
      <c r="A54" s="184"/>
      <c r="B54" s="268"/>
      <c r="C54" s="289"/>
      <c r="D54" s="289"/>
      <c r="E54" s="289"/>
      <c r="F54" s="289"/>
      <c r="G54" s="289"/>
      <c r="H54" s="289"/>
      <c r="I54" s="289"/>
      <c r="J54" s="289"/>
      <c r="K54" s="184"/>
      <c r="L54" s="184"/>
      <c r="M54" s="184"/>
      <c r="N54" s="184"/>
      <c r="O54" s="184"/>
      <c r="P54" s="184"/>
      <c r="Q54" s="184"/>
      <c r="R54" s="184"/>
      <c r="S54" s="184"/>
      <c r="T54" s="184"/>
      <c r="U54" s="184"/>
      <c r="V54" s="184"/>
      <c r="W54" s="184"/>
      <c r="X54" s="184"/>
      <c r="Y54" s="184"/>
    </row>
    <row r="55" spans="1:25" x14ac:dyDescent="0.2">
      <c r="A55" s="184"/>
      <c r="B55" s="290"/>
      <c r="C55" s="272" t="s">
        <v>161</v>
      </c>
      <c r="D55" s="273"/>
      <c r="E55" s="273"/>
      <c r="F55" s="273"/>
      <c r="G55" s="289"/>
      <c r="H55" s="289"/>
      <c r="I55" s="289"/>
      <c r="J55" s="289"/>
      <c r="K55" s="184"/>
      <c r="L55" s="184"/>
      <c r="M55" s="184"/>
      <c r="N55" s="184"/>
      <c r="O55" s="184"/>
      <c r="P55" s="184"/>
      <c r="Q55" s="184"/>
      <c r="R55" s="184"/>
      <c r="S55" s="184"/>
      <c r="T55" s="184"/>
      <c r="U55" s="184"/>
      <c r="V55" s="184"/>
      <c r="W55" s="184"/>
      <c r="X55" s="184"/>
      <c r="Y55" s="184"/>
    </row>
    <row r="56" spans="1:25" x14ac:dyDescent="0.2">
      <c r="A56" s="184"/>
      <c r="B56" s="268"/>
      <c r="C56" s="289"/>
      <c r="D56" s="289"/>
      <c r="E56" s="289"/>
      <c r="F56" s="289"/>
      <c r="G56" s="289"/>
      <c r="H56" s="289"/>
      <c r="I56" s="289"/>
      <c r="J56" s="289"/>
      <c r="K56" s="184"/>
      <c r="L56" s="184"/>
      <c r="M56" s="184"/>
      <c r="N56" s="184"/>
      <c r="O56" s="184"/>
      <c r="P56" s="184"/>
      <c r="Q56" s="184"/>
      <c r="R56" s="184"/>
      <c r="S56" s="184"/>
      <c r="T56" s="184"/>
      <c r="U56" s="184"/>
      <c r="V56" s="184"/>
      <c r="W56" s="184"/>
      <c r="X56" s="184"/>
      <c r="Y56" s="184"/>
    </row>
    <row r="57" spans="1:25" x14ac:dyDescent="0.2">
      <c r="A57" s="184"/>
      <c r="B57" s="274"/>
      <c r="C57" s="272"/>
      <c r="D57" s="272"/>
      <c r="E57" s="277"/>
      <c r="F57" s="277">
        <f>'Input data'!$C$5-1</f>
        <v>2025</v>
      </c>
      <c r="G57" s="277">
        <f>F57+1</f>
        <v>2026</v>
      </c>
      <c r="H57" s="277">
        <f t="shared" ref="H57:X57" si="2">G57+1</f>
        <v>2027</v>
      </c>
      <c r="I57" s="277">
        <f t="shared" si="2"/>
        <v>2028</v>
      </c>
      <c r="J57" s="277">
        <f t="shared" si="2"/>
        <v>2029</v>
      </c>
      <c r="K57" s="277">
        <f t="shared" si="2"/>
        <v>2030</v>
      </c>
      <c r="L57" s="277">
        <f t="shared" si="2"/>
        <v>2031</v>
      </c>
      <c r="M57" s="277">
        <f t="shared" si="2"/>
        <v>2032</v>
      </c>
      <c r="N57" s="277">
        <f t="shared" si="2"/>
        <v>2033</v>
      </c>
      <c r="O57" s="277">
        <f t="shared" si="2"/>
        <v>2034</v>
      </c>
      <c r="P57" s="277">
        <f t="shared" si="2"/>
        <v>2035</v>
      </c>
      <c r="Q57" s="277">
        <f t="shared" si="2"/>
        <v>2036</v>
      </c>
      <c r="R57" s="277">
        <f t="shared" si="2"/>
        <v>2037</v>
      </c>
      <c r="S57" s="277">
        <f t="shared" si="2"/>
        <v>2038</v>
      </c>
      <c r="T57" s="277">
        <f t="shared" si="2"/>
        <v>2039</v>
      </c>
      <c r="U57" s="277">
        <f t="shared" si="2"/>
        <v>2040</v>
      </c>
      <c r="V57" s="277">
        <f t="shared" si="2"/>
        <v>2041</v>
      </c>
      <c r="W57" s="277">
        <f t="shared" si="2"/>
        <v>2042</v>
      </c>
      <c r="X57" s="277">
        <f t="shared" si="2"/>
        <v>2043</v>
      </c>
      <c r="Y57" s="184"/>
    </row>
    <row r="58" spans="1:25" x14ac:dyDescent="0.2">
      <c r="A58" s="184"/>
      <c r="B58" s="274">
        <v>1</v>
      </c>
      <c r="C58" s="278" t="s">
        <v>142</v>
      </c>
      <c r="D58" s="279">
        <v>90</v>
      </c>
      <c r="E58" s="280" t="s">
        <v>143</v>
      </c>
      <c r="F58" s="267">
        <f ca="1">INDEX(OFFSET('Adjustment scenario'!$C$1:$U$1,$D58-1,0),MATCH(F$4,'Adjustment scenario'!$C$10:$U$10,0))</f>
        <v>44.250230000000002</v>
      </c>
      <c r="G58" s="267">
        <f ca="1">INDEX(OFFSET('Adjustment scenario'!$C$1:$U$1,$D58-1,0),MATCH(G$4,'Adjustment scenario'!$C$10:$U$10,0))</f>
        <v>45.838496420963068</v>
      </c>
      <c r="H58" s="267">
        <f ca="1">INDEX(OFFSET('Adjustment scenario'!$C$1:$U$1,$D58-1,0),MATCH(H$4,'Adjustment scenario'!$C$10:$U$10,0))</f>
        <v>46.696592762474289</v>
      </c>
      <c r="I58" s="267">
        <f ca="1">INDEX(OFFSET('Adjustment scenario'!$C$1:$U$1,$D58-1,0),MATCH(I$4,'Adjustment scenario'!$C$10:$U$10,0))</f>
        <v>46.801694328103437</v>
      </c>
      <c r="J58" s="267">
        <f ca="1">INDEX(OFFSET('Adjustment scenario'!$C$1:$U$1,$D58-1,0),MATCH(J$4,'Adjustment scenario'!$C$10:$U$10,0))</f>
        <v>46.709600076892166</v>
      </c>
      <c r="K58" s="267">
        <f ca="1">INDEX(OFFSET('Adjustment scenario'!$C$1:$U$1,$D58-1,0),MATCH(K$4,'Adjustment scenario'!$C$10:$U$10,0))</f>
        <v>46.311728139454459</v>
      </c>
      <c r="L58" s="267">
        <f ca="1">INDEX(OFFSET('Adjustment scenario'!$C$1:$U$1,$D58-1,0),MATCH(L$4,'Adjustment scenario'!$C$10:$U$10,0))</f>
        <v>45.919302040827532</v>
      </c>
      <c r="M58" s="267">
        <f ca="1">INDEX(OFFSET('Adjustment scenario'!$C$1:$U$1,$D58-1,0),MATCH(M$4,'Adjustment scenario'!$C$10:$U$10,0))</f>
        <v>45.57728716902286</v>
      </c>
      <c r="N58" s="267">
        <f ca="1">INDEX(OFFSET('Adjustment scenario'!$C$1:$U$1,$D58-1,0),MATCH(N$4,'Adjustment scenario'!$C$10:$U$10,0))</f>
        <v>45.283454896613527</v>
      </c>
      <c r="O58" s="267">
        <f ca="1">INDEX(OFFSET('Adjustment scenario'!$C$1:$U$1,$D58-1,0),MATCH(O$4,'Adjustment scenario'!$C$10:$U$10,0))</f>
        <v>45.518772828838543</v>
      </c>
      <c r="P58" s="267">
        <f ca="1">INDEX(OFFSET('Adjustment scenario'!$C$1:$U$1,$D58-1,0),MATCH(P$4,'Adjustment scenario'!$C$10:$U$10,0))</f>
        <v>45.916848572917345</v>
      </c>
      <c r="Q58" s="267">
        <f ca="1">INDEX(OFFSET('Adjustment scenario'!$C$1:$U$1,$D58-1,0),MATCH(Q$4,'Adjustment scenario'!$C$10:$U$10,0))</f>
        <v>46.449804625156318</v>
      </c>
      <c r="R58" s="267">
        <f ca="1">INDEX(OFFSET('Adjustment scenario'!$C$1:$U$1,$D58-1,0),MATCH(R$4,'Adjustment scenario'!$C$10:$U$10,0))</f>
        <v>47.108677875740021</v>
      </c>
      <c r="S58" s="267">
        <f ca="1">INDEX(OFFSET('Adjustment scenario'!$C$1:$U$1,$D58-1,0),MATCH(S$4,'Adjustment scenario'!$C$10:$U$10,0))</f>
        <v>47.984625823258334</v>
      </c>
      <c r="T58" s="267">
        <f ca="1">INDEX(OFFSET('Adjustment scenario'!$C$1:$U$1,$D58-1,0),MATCH(T$4,'Adjustment scenario'!$C$10:$U$10,0))</f>
        <v>48.911606003886725</v>
      </c>
      <c r="U58" s="267">
        <f ca="1">INDEX(OFFSET('Adjustment scenario'!$C$1:$U$1,$D58-1,0),MATCH(U$4,'Adjustment scenario'!$C$10:$U$10,0))</f>
        <v>49.956945837248838</v>
      </c>
      <c r="V58" s="267">
        <f ca="1">INDEX(OFFSET('Adjustment scenario'!$C$1:$U$1,$D58-1,0),MATCH(V$4,'Adjustment scenario'!$C$10:$U$10,0))</f>
        <v>51.252664240686855</v>
      </c>
      <c r="W58" s="267">
        <f ca="1">INDEX(OFFSET('Adjustment scenario'!$C$1:$U$1,$D58-1,0),MATCH(W$4,'Adjustment scenario'!$C$10:$U$10,0))</f>
        <v>52.694664692766096</v>
      </c>
      <c r="X58" s="267">
        <f ca="1">INDEX(OFFSET('Adjustment scenario'!$C$1:$U$1,$D58-1,0),MATCH(X$4,'Adjustment scenario'!$C$10:$U$10,0))</f>
        <v>54.272639606646536</v>
      </c>
      <c r="Y58" s="184"/>
    </row>
    <row r="59" spans="1:25" x14ac:dyDescent="0.2">
      <c r="A59" s="184"/>
      <c r="B59" s="274">
        <f>B58+1</f>
        <v>2</v>
      </c>
      <c r="C59" s="281" t="s">
        <v>95</v>
      </c>
      <c r="D59" s="279">
        <v>92</v>
      </c>
      <c r="E59" s="280" t="s">
        <v>143</v>
      </c>
      <c r="F59" s="267">
        <f ca="1">INDEX(OFFSET('Adjustment scenario'!$C$1:$U$1,$D59-1,0),MATCH(F$4,'Adjustment scenario'!$C$10:$U$10,0))</f>
        <v>2.7018460000000002</v>
      </c>
      <c r="G59" s="267">
        <f ca="1">INDEX(OFFSET('Adjustment scenario'!$C$1:$U$1,$D59-1,0),MATCH(G$4,'Adjustment scenario'!$C$10:$U$10,0))</f>
        <v>2.8142826680856383</v>
      </c>
      <c r="H59" s="267">
        <f ca="1">INDEX(OFFSET('Adjustment scenario'!$C$1:$U$1,$D59-1,0),MATCH(H$4,'Adjustment scenario'!$C$10:$U$10,0))</f>
        <v>2.9363306341867186</v>
      </c>
      <c r="I59" s="267">
        <f ca="1">INDEX(OFFSET('Adjustment scenario'!$C$1:$U$1,$D59-1,0),MATCH(I$4,'Adjustment scenario'!$C$10:$U$10,0))</f>
        <v>3.0475786369123172</v>
      </c>
      <c r="J59" s="267">
        <f ca="1">INDEX(OFFSET('Adjustment scenario'!$C$1:$U$1,$D59-1,0),MATCH(J$4,'Adjustment scenario'!$C$10:$U$10,0))</f>
        <v>3.0955925683813983</v>
      </c>
      <c r="K59" s="267">
        <f ca="1">INDEX(OFFSET('Adjustment scenario'!$C$1:$U$1,$D59-1,0),MATCH(K$4,'Adjustment scenario'!$C$10:$U$10,0))</f>
        <v>3.1257262638607748</v>
      </c>
      <c r="L59" s="267">
        <f ca="1">INDEX(OFFSET('Adjustment scenario'!$C$1:$U$1,$D59-1,0),MATCH(L$4,'Adjustment scenario'!$C$10:$U$10,0))</f>
        <v>3.1263127198689382</v>
      </c>
      <c r="M59" s="267">
        <f ca="1">INDEX(OFFSET('Adjustment scenario'!$C$1:$U$1,$D59-1,0),MATCH(M$4,'Adjustment scenario'!$C$10:$U$10,0))</f>
        <v>3.1364694019272084</v>
      </c>
      <c r="N59" s="267">
        <f ca="1">INDEX(OFFSET('Adjustment scenario'!$C$1:$U$1,$D59-1,0),MATCH(N$4,'Adjustment scenario'!$C$10:$U$10,0))</f>
        <v>3.1496137502300381</v>
      </c>
      <c r="O59" s="267">
        <f ca="1">INDEX(OFFSET('Adjustment scenario'!$C$1:$U$1,$D59-1,0),MATCH(O$4,'Adjustment scenario'!$C$10:$U$10,0))</f>
        <v>3.1731140213324438</v>
      </c>
      <c r="P59" s="267">
        <f ca="1">INDEX(OFFSET('Adjustment scenario'!$C$1:$U$1,$D59-1,0),MATCH(P$4,'Adjustment scenario'!$C$10:$U$10,0))</f>
        <v>3.2284386634957305</v>
      </c>
      <c r="Q59" s="267">
        <f ca="1">INDEX(OFFSET('Adjustment scenario'!$C$1:$U$1,$D59-1,0),MATCH(Q$4,'Adjustment scenario'!$C$10:$U$10,0))</f>
        <v>3.2521254753593434</v>
      </c>
      <c r="R59" s="267">
        <f ca="1">INDEX(OFFSET('Adjustment scenario'!$C$1:$U$1,$D59-1,0),MATCH(R$4,'Adjustment scenario'!$C$10:$U$10,0))</f>
        <v>3.2852284761292867</v>
      </c>
      <c r="S59" s="267">
        <f ca="1">INDEX(OFFSET('Adjustment scenario'!$C$1:$U$1,$D59-1,0),MATCH(S$4,'Adjustment scenario'!$C$10:$U$10,0))</f>
        <v>3.3270943323209692</v>
      </c>
      <c r="T59" s="267">
        <f ca="1">INDEX(OFFSET('Adjustment scenario'!$C$1:$U$1,$D59-1,0),MATCH(T$4,'Adjustment scenario'!$C$10:$U$10,0))</f>
        <v>3.3869560293534526</v>
      </c>
      <c r="U59" s="267">
        <f ca="1">INDEX(OFFSET('Adjustment scenario'!$C$1:$U$1,$D59-1,0),MATCH(U$4,'Adjustment scenario'!$C$10:$U$10,0))</f>
        <v>3.4487116057001983</v>
      </c>
      <c r="V59" s="267">
        <f ca="1">INDEX(OFFSET('Adjustment scenario'!$C$1:$U$1,$D59-1,0),MATCH(V$4,'Adjustment scenario'!$C$10:$U$10,0))</f>
        <v>3.5214602024487065</v>
      </c>
      <c r="W59" s="267">
        <f ca="1">INDEX(OFFSET('Adjustment scenario'!$C$1:$U$1,$D59-1,0),MATCH(W$4,'Adjustment scenario'!$C$10:$U$10,0))</f>
        <v>3.6117996573124378</v>
      </c>
      <c r="X59" s="267">
        <f ca="1">INDEX(OFFSET('Adjustment scenario'!$C$1:$U$1,$D59-1,0),MATCH(X$4,'Adjustment scenario'!$C$10:$U$10,0))</f>
        <v>3.7120835349687233</v>
      </c>
      <c r="Y59" s="184"/>
    </row>
    <row r="60" spans="1:25" x14ac:dyDescent="0.2">
      <c r="A60" s="184"/>
      <c r="B60" s="274">
        <f t="shared" ref="B60:B62" si="3">B59+1</f>
        <v>3</v>
      </c>
      <c r="C60" s="281" t="s">
        <v>96</v>
      </c>
      <c r="D60" s="279">
        <v>93</v>
      </c>
      <c r="E60" s="280" t="s">
        <v>143</v>
      </c>
      <c r="F60" s="267">
        <f ca="1">INDEX(OFFSET('Adjustment scenario'!$C$1:$U$1,$D60-1,0),MATCH(F$4,'Adjustment scenario'!$C$10:$U$10,0))</f>
        <v>0.96484409999999998</v>
      </c>
      <c r="G60" s="267">
        <f ca="1">INDEX(OFFSET('Adjustment scenario'!$C$1:$U$1,$D60-1,0),MATCH(G$4,'Adjustment scenario'!$C$10:$U$10,0))</f>
        <v>1.0541067161098168</v>
      </c>
      <c r="H60" s="267">
        <f ca="1">INDEX(OFFSET('Adjustment scenario'!$C$1:$U$1,$D60-1,0),MATCH(H$4,'Adjustment scenario'!$C$10:$U$10,0))</f>
        <v>1.1354831106276269</v>
      </c>
      <c r="I60" s="267">
        <f ca="1">INDEX(OFFSET('Adjustment scenario'!$C$1:$U$1,$D60-1,0),MATCH(I$4,'Adjustment scenario'!$C$10:$U$10,0))</f>
        <v>1.2036258024482782</v>
      </c>
      <c r="J60" s="267">
        <f ca="1">INDEX(OFFSET('Adjustment scenario'!$C$1:$U$1,$D60-1,0),MATCH(J$4,'Adjustment scenario'!$C$10:$U$10,0))</f>
        <v>1.2322563407795344</v>
      </c>
      <c r="K60" s="267">
        <f ca="1">INDEX(OFFSET('Adjustment scenario'!$C$1:$U$1,$D60-1,0),MATCH(K$4,'Adjustment scenario'!$C$10:$U$10,0))</f>
        <v>1.2494784116471769</v>
      </c>
      <c r="L60" s="267">
        <f ca="1">INDEX(OFFSET('Adjustment scenario'!$C$1:$U$1,$D60-1,0),MATCH(L$4,'Adjustment scenario'!$C$10:$U$10,0))</f>
        <v>1.2506102347611909</v>
      </c>
      <c r="M60" s="267">
        <f ca="1">INDEX(OFFSET('Adjustment scenario'!$C$1:$U$1,$D60-1,0),MATCH(M$4,'Adjustment scenario'!$C$10:$U$10,0))</f>
        <v>1.2562779243935118</v>
      </c>
      <c r="N60" s="267">
        <f ca="1">INDEX(OFFSET('Adjustment scenario'!$C$1:$U$1,$D60-1,0),MATCH(N$4,'Adjustment scenario'!$C$10:$U$10,0))</f>
        <v>1.2627445924223328</v>
      </c>
      <c r="O60" s="267">
        <f ca="1">INDEX(OFFSET('Adjustment scenario'!$C$1:$U$1,$D60-1,0),MATCH(O$4,'Adjustment scenario'!$C$10:$U$10,0))</f>
        <v>1.2729608395228815</v>
      </c>
      <c r="P60" s="267">
        <f ca="1">INDEX(OFFSET('Adjustment scenario'!$C$1:$U$1,$D60-1,0),MATCH(P$4,'Adjustment scenario'!$C$10:$U$10,0))</f>
        <v>1.2991360027629544</v>
      </c>
      <c r="Q60" s="267">
        <f ca="1">INDEX(OFFSET('Adjustment scenario'!$C$1:$U$1,$D60-1,0),MATCH(Q$4,'Adjustment scenario'!$C$10:$U$10,0))</f>
        <v>1.3269742950659367</v>
      </c>
      <c r="R60" s="267">
        <f ca="1">INDEX(OFFSET('Adjustment scenario'!$C$1:$U$1,$D60-1,0),MATCH(R$4,'Adjustment scenario'!$C$10:$U$10,0))</f>
        <v>1.359738099044081</v>
      </c>
      <c r="S60" s="267">
        <f ca="1">INDEX(OFFSET('Adjustment scenario'!$C$1:$U$1,$D60-1,0),MATCH(S$4,'Adjustment scenario'!$C$10:$U$10,0))</f>
        <v>1.397051852195683</v>
      </c>
      <c r="T60" s="267">
        <f ca="1">INDEX(OFFSET('Adjustment scenario'!$C$1:$U$1,$D60-1,0),MATCH(T$4,'Adjustment scenario'!$C$10:$U$10,0))</f>
        <v>1.4435302747116221</v>
      </c>
      <c r="U60" s="267">
        <f ca="1">INDEX(OFFSET('Adjustment scenario'!$C$1:$U$1,$D60-1,0),MATCH(U$4,'Adjustment scenario'!$C$10:$U$10,0))</f>
        <v>1.4907211775349898</v>
      </c>
      <c r="V60" s="267">
        <f ca="1">INDEX(OFFSET('Adjustment scenario'!$C$1:$U$1,$D60-1,0),MATCH(V$4,'Adjustment scenario'!$C$10:$U$10,0))</f>
        <v>1.5432303090740866</v>
      </c>
      <c r="W60" s="267">
        <f ca="1">INDEX(OFFSET('Adjustment scenario'!$C$1:$U$1,$D60-1,0),MATCH(W$4,'Adjustment scenario'!$C$10:$U$10,0))</f>
        <v>1.6046258833297986</v>
      </c>
      <c r="X60" s="267">
        <f ca="1">INDEX(OFFSET('Adjustment scenario'!$C$1:$U$1,$D60-1,0),MATCH(X$4,'Adjustment scenario'!$C$10:$U$10,0))</f>
        <v>1.6708594591504198</v>
      </c>
      <c r="Y60" s="184"/>
    </row>
    <row r="61" spans="1:25" x14ac:dyDescent="0.2">
      <c r="A61" s="184"/>
      <c r="B61" s="274">
        <f t="shared" si="3"/>
        <v>4</v>
      </c>
      <c r="C61" s="281" t="s">
        <v>97</v>
      </c>
      <c r="D61" s="279">
        <v>94</v>
      </c>
      <c r="E61" s="280" t="s">
        <v>143</v>
      </c>
      <c r="F61" s="267">
        <f ca="1">INDEX(OFFSET('Adjustment scenario'!$C$1:$U$1,$D61-1,0),MATCH(F$4,'Adjustment scenario'!$C$10:$U$10,0))</f>
        <v>3.3958969999999997</v>
      </c>
      <c r="G61" s="267">
        <f ca="1">INDEX(OFFSET('Adjustment scenario'!$C$1:$U$1,$D61-1,0),MATCH(G$4,'Adjustment scenario'!$C$10:$U$10,0))</f>
        <v>3.4023463066334618</v>
      </c>
      <c r="H61" s="267">
        <f ca="1">INDEX(OFFSET('Adjustment scenario'!$C$1:$U$1,$D61-1,0),MATCH(H$4,'Adjustment scenario'!$C$10:$U$10,0))</f>
        <v>2.9231248789875068</v>
      </c>
      <c r="I61" s="267">
        <f ca="1">INDEX(OFFSET('Adjustment scenario'!$C$1:$U$1,$D61-1,0),MATCH(I$4,'Adjustment scenario'!$C$10:$U$10,0))</f>
        <v>1.9104163729777919</v>
      </c>
      <c r="J61" s="267">
        <f ca="1">INDEX(OFFSET('Adjustment scenario'!$C$1:$U$1,$D61-1,0),MATCH(J$4,'Adjustment scenario'!$C$10:$U$10,0))</f>
        <v>1.6300190425119523</v>
      </c>
      <c r="K61" s="267">
        <f ca="1">INDEX(OFFSET('Adjustment scenario'!$C$1:$U$1,$D61-1,0),MATCH(K$4,'Adjustment scenario'!$C$10:$U$10,0))</f>
        <v>1.3107402148217213</v>
      </c>
      <c r="L61" s="267">
        <f ca="1">INDEX(OFFSET('Adjustment scenario'!$C$1:$U$1,$D61-1,0),MATCH(L$4,'Adjustment scenario'!$C$10:$U$10,0))</f>
        <v>1.4027807085981128</v>
      </c>
      <c r="M61" s="267">
        <f ca="1">INDEX(OFFSET('Adjustment scenario'!$C$1:$U$1,$D61-1,0),MATCH(M$4,'Adjustment scenario'!$C$10:$U$10,0))</f>
        <v>1.4026428814033021</v>
      </c>
      <c r="N61" s="267">
        <f ca="1">INDEX(OFFSET('Adjustment scenario'!$C$1:$U$1,$D61-1,0),MATCH(N$4,'Adjustment scenario'!$C$10:$U$10,0))</f>
        <v>1.4018071762902393</v>
      </c>
      <c r="O61" s="267">
        <f ca="1">INDEX(OFFSET('Adjustment scenario'!$C$1:$U$1,$D61-1,0),MATCH(O$4,'Adjustment scenario'!$C$10:$U$10,0))</f>
        <v>1.7665307013035885</v>
      </c>
      <c r="P61" s="267">
        <f ca="1">INDEX(OFFSET('Adjustment scenario'!$C$1:$U$1,$D61-1,0),MATCH(P$4,'Adjustment scenario'!$C$10:$U$10,0))</f>
        <v>1.8648201269135101</v>
      </c>
      <c r="Q61" s="267">
        <f ca="1">INDEX(OFFSET('Adjustment scenario'!$C$1:$U$1,$D61-1,0),MATCH(Q$4,'Adjustment scenario'!$C$10:$U$10,0))</f>
        <v>2.0493256154127084</v>
      </c>
      <c r="R61" s="267">
        <f ca="1">INDEX(OFFSET('Adjustment scenario'!$C$1:$U$1,$D61-1,0),MATCH(R$4,'Adjustment scenario'!$C$10:$U$10,0))</f>
        <v>2.2304848420201111</v>
      </c>
      <c r="S61" s="267">
        <f ca="1">INDEX(OFFSET('Adjustment scenario'!$C$1:$U$1,$D61-1,0),MATCH(S$4,'Adjustment scenario'!$C$10:$U$10,0))</f>
        <v>2.5045580320748697</v>
      </c>
      <c r="T61" s="267">
        <f ca="1">INDEX(OFFSET('Adjustment scenario'!$C$1:$U$1,$D61-1,0),MATCH(T$4,'Adjustment scenario'!$C$10:$U$10,0))</f>
        <v>2.5902595672270978</v>
      </c>
      <c r="U61" s="267">
        <f ca="1">INDEX(OFFSET('Adjustment scenario'!$C$1:$U$1,$D61-1,0),MATCH(U$4,'Adjustment scenario'!$C$10:$U$10,0))</f>
        <v>2.7649584569109322</v>
      </c>
      <c r="V61" s="267">
        <f ca="1">INDEX(OFFSET('Adjustment scenario'!$C$1:$U$1,$D61-1,0),MATCH(V$4,'Adjustment scenario'!$C$10:$U$10,0))</f>
        <v>3.0355068393261049</v>
      </c>
      <c r="W61" s="267">
        <f ca="1">INDEX(OFFSET('Adjustment scenario'!$C$1:$U$1,$D61-1,0),MATCH(W$4,'Adjustment scenario'!$C$10:$U$10,0))</f>
        <v>3.2146280043601396</v>
      </c>
      <c r="X61" s="267">
        <f ca="1">INDEX(OFFSET('Adjustment scenario'!$C$1:$U$1,$D61-1,0),MATCH(X$4,'Adjustment scenario'!$C$10:$U$10,0))</f>
        <v>3.3934414841839962</v>
      </c>
      <c r="Y61" s="184"/>
    </row>
    <row r="62" spans="1:25" x14ac:dyDescent="0.2">
      <c r="A62" s="184"/>
      <c r="B62" s="274">
        <f t="shared" si="3"/>
        <v>5</v>
      </c>
      <c r="C62" s="281" t="s">
        <v>98</v>
      </c>
      <c r="D62" s="279">
        <v>95</v>
      </c>
      <c r="E62" s="280" t="s">
        <v>143</v>
      </c>
      <c r="F62" s="267">
        <f ca="1">INDEX(OFFSET('Adjustment scenario'!$C$1:$U$1,$D62-1,0),MATCH(F$4,'Adjustment scenario'!$C$10:$U$10,0))</f>
        <v>0.1379148</v>
      </c>
      <c r="G62" s="267">
        <f ca="1">INDEX(OFFSET('Adjustment scenario'!$C$1:$U$1,$D62-1,0),MATCH(G$4,'Adjustment scenario'!$C$10:$U$10,0))</f>
        <v>0.13817669946354927</v>
      </c>
      <c r="H62" s="267">
        <f ca="1">INDEX(OFFSET('Adjustment scenario'!$C$1:$U$1,$D62-1,0),MATCH(H$4,'Adjustment scenario'!$C$10:$U$10,0))</f>
        <v>0.11871447274805408</v>
      </c>
      <c r="I62" s="267">
        <f ca="1">INDEX(OFFSET('Adjustment scenario'!$C$1:$U$1,$D62-1,0),MATCH(I$4,'Adjustment scenario'!$C$10:$U$10,0))</f>
        <v>7.7586172960856833E-2</v>
      </c>
      <c r="J62" s="267">
        <f ca="1">INDEX(OFFSET('Adjustment scenario'!$C$1:$U$1,$D62-1,0),MATCH(J$4,'Adjustment scenario'!$C$10:$U$10,0))</f>
        <v>6.6198626200369523E-2</v>
      </c>
      <c r="K62" s="267">
        <f ca="1">INDEX(OFFSET('Adjustment scenario'!$C$1:$U$1,$D62-1,0),MATCH(K$4,'Adjustment scenario'!$C$10:$U$10,0))</f>
        <v>5.3232017089235285E-2</v>
      </c>
      <c r="L62" s="267">
        <f ca="1">INDEX(OFFSET('Adjustment scenario'!$C$1:$U$1,$D62-1,0),MATCH(L$4,'Adjustment scenario'!$C$10:$U$10,0))</f>
        <v>5.6969982158288211E-2</v>
      </c>
      <c r="M62" s="267">
        <f ca="1">INDEX(OFFSET('Adjustment scenario'!$C$1:$U$1,$D62-1,0),MATCH(M$4,'Adjustment scenario'!$C$10:$U$10,0))</f>
        <v>5.6964384695490804E-2</v>
      </c>
      <c r="N62" s="267">
        <f ca="1">INDEX(OFFSET('Adjustment scenario'!$C$1:$U$1,$D62-1,0),MATCH(N$4,'Adjustment scenario'!$C$10:$U$10,0))</f>
        <v>5.6930444889298035E-2</v>
      </c>
      <c r="O62" s="267">
        <f ca="1">INDEX(OFFSET('Adjustment scenario'!$C$1:$U$1,$D62-1,0),MATCH(O$4,'Adjustment scenario'!$C$10:$U$10,0))</f>
        <v>7.1742662212619754E-2</v>
      </c>
      <c r="P62" s="267">
        <f ca="1">INDEX(OFFSET('Adjustment scenario'!$C$1:$U$1,$D62-1,0),MATCH(P$4,'Adjustment scenario'!$C$10:$U$10,0))</f>
        <v>7.5734410023966275E-2</v>
      </c>
      <c r="Q62" s="267">
        <f ca="1">INDEX(OFFSET('Adjustment scenario'!$C$1:$U$1,$D62-1,0),MATCH(Q$4,'Adjustment scenario'!$C$10:$U$10,0))</f>
        <v>8.3227580070772925E-2</v>
      </c>
      <c r="R62" s="267">
        <f ca="1">INDEX(OFFSET('Adjustment scenario'!$C$1:$U$1,$D62-1,0),MATCH(R$4,'Adjustment scenario'!$C$10:$U$10,0))</f>
        <v>9.0584851128447427E-2</v>
      </c>
      <c r="S62" s="267">
        <f ca="1">INDEX(OFFSET('Adjustment scenario'!$C$1:$U$1,$D62-1,0),MATCH(S$4,'Adjustment scenario'!$C$10:$U$10,0))</f>
        <v>0.10171556076237782</v>
      </c>
      <c r="T62" s="267">
        <f ca="1">INDEX(OFFSET('Adjustment scenario'!$C$1:$U$1,$D62-1,0),MATCH(T$4,'Adjustment scenario'!$C$10:$U$10,0))</f>
        <v>0.10519608690494195</v>
      </c>
      <c r="U62" s="267">
        <f ca="1">INDEX(OFFSET('Adjustment scenario'!$C$1:$U$1,$D62-1,0),MATCH(U$4,'Adjustment scenario'!$C$10:$U$10,0))</f>
        <v>0.11229098959882562</v>
      </c>
      <c r="V62" s="267">
        <f ca="1">INDEX(OFFSET('Adjustment scenario'!$C$1:$U$1,$D62-1,0),MATCH(V$4,'Adjustment scenario'!$C$10:$U$10,0))</f>
        <v>0.12327854911163745</v>
      </c>
      <c r="W62" s="267">
        <f ca="1">INDEX(OFFSET('Adjustment scenario'!$C$1:$U$1,$D62-1,0),MATCH(W$4,'Adjustment scenario'!$C$10:$U$10,0))</f>
        <v>0.13055305004654039</v>
      </c>
      <c r="X62" s="267">
        <f ca="1">INDEX(OFFSET('Adjustment scenario'!$C$1:$U$1,$D62-1,0),MATCH(X$4,'Adjustment scenario'!$C$10:$U$10,0))</f>
        <v>0.13781505521440945</v>
      </c>
      <c r="Y62" s="184"/>
    </row>
    <row r="63" spans="1:25" x14ac:dyDescent="0.2">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row>
  </sheetData>
  <conditionalFormatting sqref="V4:X63">
    <cfRule type="expression" dxfId="3" priority="1">
      <formula>#REF!=4</formula>
    </cfRule>
  </conditionalFormatting>
  <pageMargins left="0.7" right="0.7" top="0.75" bottom="0.75" header="0.3" footer="0.3"/>
  <pageSetup paperSize="9" orientation="portrait" verticalDpi="0" r:id="rId1"/>
  <ignoredErrors>
    <ignoredError sqref="F15:X21 F37:X52" formula="1"/>
  </ignoredErrors>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637D-C597-4E38-ADE0-4F52B1E42E7B}">
  <sheetPr codeName="Sheet26">
    <tabColor rgb="FF7030A0"/>
  </sheetPr>
  <dimension ref="A1:Y63"/>
  <sheetViews>
    <sheetView zoomScale="90" zoomScaleNormal="90" workbookViewId="0"/>
  </sheetViews>
  <sheetFormatPr defaultRowHeight="12.75" x14ac:dyDescent="0.2"/>
  <cols>
    <col min="1" max="1" width="9.140625" style="266"/>
    <col min="2" max="2" width="4.5703125" style="266" customWidth="1"/>
    <col min="3" max="3" width="67" style="266" customWidth="1"/>
    <col min="4" max="4" width="16.5703125" style="266" customWidth="1"/>
    <col min="5" max="5" width="13.7109375" style="266" customWidth="1"/>
    <col min="6" max="24" width="10.7109375" style="266" customWidth="1"/>
    <col min="25" max="16384" width="9.140625" style="266"/>
  </cols>
  <sheetData>
    <row r="1" spans="1:25" x14ac:dyDescent="0.2">
      <c r="A1" s="184"/>
      <c r="B1" s="184"/>
      <c r="C1" s="184"/>
      <c r="D1" s="184"/>
      <c r="E1" s="184"/>
      <c r="F1" s="184"/>
      <c r="G1" s="184"/>
      <c r="H1" s="184"/>
      <c r="I1" s="184"/>
      <c r="J1" s="184"/>
      <c r="K1" s="184"/>
      <c r="L1" s="184"/>
      <c r="M1" s="184"/>
      <c r="N1" s="184"/>
      <c r="O1" s="184"/>
      <c r="P1" s="184"/>
      <c r="Q1" s="184"/>
      <c r="R1" s="184"/>
      <c r="S1" s="184"/>
      <c r="T1" s="184"/>
      <c r="U1" s="184"/>
      <c r="V1" s="184"/>
      <c r="W1" s="184"/>
      <c r="X1" s="184"/>
      <c r="Y1" s="184"/>
    </row>
    <row r="2" spans="1:25" x14ac:dyDescent="0.2">
      <c r="A2" s="184"/>
      <c r="B2" s="271"/>
      <c r="C2" s="272" t="s">
        <v>141</v>
      </c>
      <c r="D2" s="273"/>
      <c r="E2" s="273"/>
      <c r="F2" s="273"/>
      <c r="G2" s="289"/>
      <c r="H2" s="289"/>
      <c r="I2" s="289"/>
      <c r="J2" s="289"/>
      <c r="K2" s="184"/>
      <c r="L2" s="184"/>
      <c r="M2" s="184"/>
      <c r="N2" s="184"/>
      <c r="O2" s="184"/>
      <c r="P2" s="184"/>
      <c r="Q2" s="184"/>
      <c r="R2" s="184"/>
      <c r="S2" s="184"/>
      <c r="T2" s="184"/>
      <c r="U2" s="184"/>
      <c r="V2" s="184"/>
      <c r="W2" s="184"/>
      <c r="X2" s="184"/>
      <c r="Y2" s="184"/>
    </row>
    <row r="3" spans="1:25" x14ac:dyDescent="0.2">
      <c r="A3" s="184"/>
      <c r="B3" s="268"/>
      <c r="C3" s="289"/>
      <c r="D3" s="289"/>
      <c r="E3" s="289"/>
      <c r="F3" s="289"/>
      <c r="G3" s="289"/>
      <c r="H3" s="289"/>
      <c r="I3" s="289"/>
      <c r="J3" s="289"/>
      <c r="K3" s="184"/>
      <c r="L3" s="184"/>
      <c r="M3" s="184"/>
      <c r="N3" s="184"/>
      <c r="O3" s="184"/>
      <c r="P3" s="184"/>
      <c r="Q3" s="184"/>
      <c r="R3" s="184"/>
      <c r="S3" s="184"/>
      <c r="T3" s="184"/>
      <c r="U3" s="184"/>
      <c r="V3" s="184"/>
      <c r="W3" s="184"/>
      <c r="X3" s="184"/>
      <c r="Y3" s="184"/>
    </row>
    <row r="4" spans="1:25" x14ac:dyDescent="0.2">
      <c r="A4" s="184"/>
      <c r="B4" s="274"/>
      <c r="C4" s="272"/>
      <c r="D4" s="275" t="s">
        <v>162</v>
      </c>
      <c r="E4" s="276">
        <f>F4-1</f>
        <v>2024</v>
      </c>
      <c r="F4" s="277">
        <f>'Input data'!$C$5-1</f>
        <v>2025</v>
      </c>
      <c r="G4" s="277">
        <f>F4+1</f>
        <v>2026</v>
      </c>
      <c r="H4" s="277">
        <f t="shared" ref="H4:X4" si="0">G4+1</f>
        <v>2027</v>
      </c>
      <c r="I4" s="277">
        <f t="shared" si="0"/>
        <v>2028</v>
      </c>
      <c r="J4" s="277">
        <f t="shared" si="0"/>
        <v>2029</v>
      </c>
      <c r="K4" s="277">
        <f t="shared" si="0"/>
        <v>2030</v>
      </c>
      <c r="L4" s="277">
        <f t="shared" si="0"/>
        <v>2031</v>
      </c>
      <c r="M4" s="277">
        <f t="shared" si="0"/>
        <v>2032</v>
      </c>
      <c r="N4" s="277">
        <f t="shared" si="0"/>
        <v>2033</v>
      </c>
      <c r="O4" s="277">
        <f t="shared" si="0"/>
        <v>2034</v>
      </c>
      <c r="P4" s="277">
        <f t="shared" si="0"/>
        <v>2035</v>
      </c>
      <c r="Q4" s="277">
        <f t="shared" si="0"/>
        <v>2036</v>
      </c>
      <c r="R4" s="277">
        <f t="shared" si="0"/>
        <v>2037</v>
      </c>
      <c r="S4" s="277">
        <f t="shared" si="0"/>
        <v>2038</v>
      </c>
      <c r="T4" s="277">
        <f t="shared" si="0"/>
        <v>2039</v>
      </c>
      <c r="U4" s="277">
        <f t="shared" si="0"/>
        <v>2040</v>
      </c>
      <c r="V4" s="277">
        <f t="shared" si="0"/>
        <v>2041</v>
      </c>
      <c r="W4" s="277">
        <f t="shared" si="0"/>
        <v>2042</v>
      </c>
      <c r="X4" s="277">
        <f t="shared" si="0"/>
        <v>2043</v>
      </c>
      <c r="Y4" s="184"/>
    </row>
    <row r="5" spans="1:25" x14ac:dyDescent="0.2">
      <c r="A5" s="184"/>
      <c r="B5" s="274">
        <v>1</v>
      </c>
      <c r="C5" s="278" t="s">
        <v>142</v>
      </c>
      <c r="D5" s="279">
        <v>57</v>
      </c>
      <c r="E5" s="280" t="s">
        <v>143</v>
      </c>
      <c r="F5" s="267">
        <f ca="1">INDEX(OFFSET('Adjust. no safeguard'!$C$1:$U$1,$D5-1,0),MATCH(F$4,'Adjust. no safeguard'!$C$10:$U$10,0))</f>
        <v>44.250230000000002</v>
      </c>
      <c r="G5" s="267">
        <f ca="1">INDEX(OFFSET('Adjust. no safeguard'!$C$1:$U$1,$D5-1,0),MATCH(G$4,'Adjust. no safeguard'!$C$10:$U$10,0))</f>
        <v>45.838496420963068</v>
      </c>
      <c r="H5" s="267">
        <f ca="1">INDEX(OFFSET('Adjust. no safeguard'!$C$1:$U$1,$D5-1,0),MATCH(H$4,'Adjust. no safeguard'!$C$10:$U$10,0))</f>
        <v>46.696591871340651</v>
      </c>
      <c r="I5" s="267">
        <f ca="1">INDEX(OFFSET('Adjust. no safeguard'!$C$1:$U$1,$D5-1,0),MATCH(I$4,'Adjust. no safeguard'!$C$10:$U$10,0))</f>
        <v>46.801693588178829</v>
      </c>
      <c r="J5" s="267">
        <f ca="1">INDEX(OFFSET('Adjust. no safeguard'!$C$1:$U$1,$D5-1,0),MATCH(J$4,'Adjust. no safeguard'!$C$10:$U$10,0))</f>
        <v>46.70959934057344</v>
      </c>
      <c r="K5" s="267">
        <f ca="1">INDEX(OFFSET('Adjust. no safeguard'!$C$1:$U$1,$D5-1,0),MATCH(K$4,'Adjust. no safeguard'!$C$10:$U$10,0))</f>
        <v>46.311727405027334</v>
      </c>
      <c r="L5" s="267">
        <f ca="1">INDEX(OFFSET('Adjust. no safeguard'!$C$1:$U$1,$D5-1,0),MATCH(L$4,'Adjust. no safeguard'!$C$10:$U$10,0))</f>
        <v>45.91930130882043</v>
      </c>
      <c r="M5" s="267">
        <f ca="1">INDEX(OFFSET('Adjust. no safeguard'!$C$1:$U$1,$D5-1,0),MATCH(M$4,'Adjust. no safeguard'!$C$10:$U$10,0))</f>
        <v>45.577286437657314</v>
      </c>
      <c r="N5" s="267">
        <f ca="1">INDEX(OFFSET('Adjust. no safeguard'!$C$1:$U$1,$D5-1,0),MATCH(N$4,'Adjust. no safeguard'!$C$10:$U$10,0))</f>
        <v>45.283454164126574</v>
      </c>
      <c r="O5" s="267">
        <f ca="1">INDEX(OFFSET('Adjust. no safeguard'!$C$1:$U$1,$D5-1,0),MATCH(O$4,'Adjust. no safeguard'!$C$10:$U$10,0))</f>
        <v>45.518772091749192</v>
      </c>
      <c r="P5" s="267">
        <f ca="1">INDEX(OFFSET('Adjust. no safeguard'!$C$1:$U$1,$D5-1,0),MATCH(P$4,'Adjust. no safeguard'!$C$10:$U$10,0))</f>
        <v>45.916847828819968</v>
      </c>
      <c r="Q5" s="267">
        <f ca="1">INDEX(OFFSET('Adjust. no safeguard'!$C$1:$U$1,$D5-1,0),MATCH(Q$4,'Adjust. no safeguard'!$C$10:$U$10,0))</f>
        <v>46.449803873715467</v>
      </c>
      <c r="R5" s="267">
        <f ca="1">INDEX(OFFSET('Adjust. no safeguard'!$C$1:$U$1,$D5-1,0),MATCH(R$4,'Adjust. no safeguard'!$C$10:$U$10,0))</f>
        <v>47.108677116783724</v>
      </c>
      <c r="S5" s="267">
        <f ca="1">INDEX(OFFSET('Adjust. no safeguard'!$C$1:$U$1,$D5-1,0),MATCH(S$4,'Adjust. no safeguard'!$C$10:$U$10,0))</f>
        <v>47.984625056776231</v>
      </c>
      <c r="T5" s="267">
        <f ca="1">INDEX(OFFSET('Adjust. no safeguard'!$C$1:$U$1,$D5-1,0),MATCH(T$4,'Adjust. no safeguard'!$C$10:$U$10,0))</f>
        <v>48.911605229359552</v>
      </c>
      <c r="U5" s="267">
        <f ca="1">INDEX(OFFSET('Adjust. no safeguard'!$C$1:$U$1,$D5-1,0),MATCH(U$4,'Adjust. no safeguard'!$C$10:$U$10,0))</f>
        <v>49.956945054685214</v>
      </c>
      <c r="V5" s="267">
        <f ca="1">INDEX(OFFSET('Adjust. no safeguard'!$C$1:$U$1,$D5-1,0),MATCH(V$4,'Adjust. no safeguard'!$C$10:$U$10,0))</f>
        <v>51.252663449611376</v>
      </c>
      <c r="W5" s="267">
        <f ca="1">INDEX(OFFSET('Adjust. no safeguard'!$C$1:$U$1,$D5-1,0),MATCH(W$4,'Adjust. no safeguard'!$C$10:$U$10,0))</f>
        <v>52.694663892813267</v>
      </c>
      <c r="X5" s="267">
        <f ca="1">INDEX(OFFSET('Adjust. no safeguard'!$C$1:$U$1,$D5-1,0),MATCH(X$4,'Adjust. no safeguard'!$C$10:$U$10,0))</f>
        <v>54.272638797636539</v>
      </c>
      <c r="Y5" s="184"/>
    </row>
    <row r="6" spans="1:25" x14ac:dyDescent="0.2">
      <c r="A6" s="184"/>
      <c r="B6" s="274">
        <v>2</v>
      </c>
      <c r="C6" s="278" t="s">
        <v>144</v>
      </c>
      <c r="D6" s="279">
        <v>77</v>
      </c>
      <c r="E6" s="280" t="s">
        <v>143</v>
      </c>
      <c r="F6" s="267">
        <f ca="1">INDEX(OFFSET('Adjust. no safeguard'!$C$1:$U$1,$D6-1,0),MATCH(F$4,'Adjust. no safeguard'!$C$10:$U$10,0))</f>
        <v>-2.1474319999999998</v>
      </c>
      <c r="G6" s="267">
        <f ca="1">INDEX(OFFSET('Adjust. no safeguard'!$C$1:$U$1,$D6-1,0),MATCH(G$4,'Adjust. no safeguard'!$C$10:$U$10,0))</f>
        <v>-2.7944635100307016</v>
      </c>
      <c r="H6" s="267">
        <f ca="1">INDEX(OFFSET('Adjust. no safeguard'!$C$1:$U$1,$D6-1,0),MATCH(H$4,'Adjust. no safeguard'!$C$10:$U$10,0))</f>
        <v>-2.1918405303501336</v>
      </c>
      <c r="I6" s="267">
        <f ca="1">INDEX(OFFSET('Adjust. no safeguard'!$C$1:$U$1,$D6-1,0),MATCH(I$4,'Adjust. no safeguard'!$C$10:$U$10,0))</f>
        <v>-1.9880025180486236</v>
      </c>
      <c r="J6" s="267">
        <f ca="1">INDEX(OFFSET('Adjust. no safeguard'!$C$1:$U$1,$D6-1,0),MATCH(J$4,'Adjust. no safeguard'!$C$10:$U$10,0))</f>
        <v>-1.6962176440453862</v>
      </c>
      <c r="K6" s="267">
        <f ca="1">INDEX(OFFSET('Adjust. no safeguard'!$C$1:$U$1,$D6-1,0),MATCH(K$4,'Adjust. no safeguard'!$C$10:$U$10,0))</f>
        <v>-1.3639722060292712</v>
      </c>
      <c r="L6" s="267">
        <f ca="1">INDEX(OFFSET('Adjust. no safeguard'!$C$1:$U$1,$D6-1,0),MATCH(L$4,'Adjust. no safeguard'!$C$10:$U$10,0))</f>
        <v>-1.4597506638039826</v>
      </c>
      <c r="M6" s="267">
        <f ca="1">INDEX(OFFSET('Adjust. no safeguard'!$C$1:$U$1,$D6-1,0),MATCH(M$4,'Adjust. no safeguard'!$C$10:$U$10,0))</f>
        <v>-1.4596072380203979</v>
      </c>
      <c r="N6" s="267">
        <f ca="1">INDEX(OFFSET('Adjust. no safeguard'!$C$1:$U$1,$D6-1,0),MATCH(N$4,'Adjust. no safeguard'!$C$10:$U$10,0))</f>
        <v>-1.4587375919351544</v>
      </c>
      <c r="O6" s="267">
        <f ca="1">INDEX(OFFSET('Adjust. no safeguard'!$C$1:$U$1,$D6-1,0),MATCH(O$4,'Adjust. no safeguard'!$C$10:$U$10,0))</f>
        <v>-1.8382733329850542</v>
      </c>
      <c r="P6" s="267">
        <f ca="1">INDEX(OFFSET('Adjust. no safeguard'!$C$1:$U$1,$D6-1,0),MATCH(P$4,'Adjust. no safeguard'!$C$10:$U$10,0))</f>
        <v>-1.9405545049519635</v>
      </c>
      <c r="Q6" s="267">
        <f ca="1">INDEX(OFFSET('Adjust. no safeguard'!$C$1:$U$1,$D6-1,0),MATCH(Q$4,'Adjust. no safeguard'!$C$10:$U$10,0))</f>
        <v>-2.1325531622180152</v>
      </c>
      <c r="R6" s="267">
        <f ca="1">INDEX(OFFSET('Adjust. no safeguard'!$C$1:$U$1,$D6-1,0),MATCH(R$4,'Adjust. no safeguard'!$C$10:$U$10,0))</f>
        <v>-2.3210696587429531</v>
      </c>
      <c r="S6" s="267">
        <f ca="1">INDEX(OFFSET('Adjust. no safeguard'!$C$1:$U$1,$D6-1,0),MATCH(S$4,'Adjust. no safeguard'!$C$10:$U$10,0))</f>
        <v>-2.6062735574345846</v>
      </c>
      <c r="T6" s="267">
        <f ca="1">INDEX(OFFSET('Adjust. no safeguard'!$C$1:$U$1,$D6-1,0),MATCH(T$4,'Adjust. no safeguard'!$C$10:$U$10,0))</f>
        <v>-2.6954556178382356</v>
      </c>
      <c r="U6" s="267">
        <f ca="1">INDEX(OFFSET('Adjust. no safeguard'!$C$1:$U$1,$D6-1,0),MATCH(U$4,'Adjust. no safeguard'!$C$10:$U$10,0))</f>
        <v>-2.877249409464564</v>
      </c>
      <c r="V6" s="267">
        <f ca="1">INDEX(OFFSET('Adjust. no safeguard'!$C$1:$U$1,$D6-1,0),MATCH(V$4,'Adjust. no safeguard'!$C$10:$U$10,0))</f>
        <v>-3.1587853507413857</v>
      </c>
      <c r="W6" s="267">
        <f ca="1">INDEX(OFFSET('Adjust. no safeguard'!$C$1:$U$1,$D6-1,0),MATCH(W$4,'Adjust. no safeguard'!$C$10:$U$10,0))</f>
        <v>-3.3451810161540898</v>
      </c>
      <c r="X6" s="267">
        <f ca="1">INDEX(OFFSET('Adjust. no safeguard'!$C$1:$U$1,$D6-1,0),MATCH(X$4,'Adjust. no safeguard'!$C$10:$U$10,0))</f>
        <v>-3.5312565006886443</v>
      </c>
      <c r="Y6" s="184"/>
    </row>
    <row r="7" spans="1:25" x14ac:dyDescent="0.2">
      <c r="A7" s="184"/>
      <c r="B7" s="274">
        <v>3</v>
      </c>
      <c r="C7" s="278" t="s">
        <v>18</v>
      </c>
      <c r="D7" s="279">
        <v>12</v>
      </c>
      <c r="E7" s="280" t="s">
        <v>145</v>
      </c>
      <c r="F7" s="267">
        <f ca="1">INDEX(OFFSET('Adjust. no safeguard'!$C$1:$U$1,$D7-1,0),MATCH(F$4,'Adjust. no safeguard'!$C$10:$U$10,0))</f>
        <v>-0.51101569999999996</v>
      </c>
      <c r="G7" s="267">
        <f ca="1">INDEX(OFFSET('Adjust. no safeguard'!$C$1:$U$1,$D7-1,0),MATCH(G$4,'Adjust. no safeguard'!$C$10:$U$10,0))</f>
        <v>-1.332759</v>
      </c>
      <c r="H7" s="267">
        <f ca="1">INDEX(OFFSET('Adjust. no safeguard'!$C$1:$U$1,$D7-1,0),MATCH(H$4,'Adjust. no safeguard'!$C$10:$U$10,0))</f>
        <v>-0.87275900000000006</v>
      </c>
      <c r="I7" s="267">
        <f ca="1">INDEX(OFFSET('Adjust. no safeguard'!$C$1:$U$1,$D7-1,0),MATCH(I$4,'Adjust. no safeguard'!$C$10:$U$10,0))</f>
        <v>-0.4127590000000001</v>
      </c>
      <c r="J7" s="267">
        <f ca="1">INDEX(OFFSET('Adjust. no safeguard'!$C$1:$U$1,$D7-1,0),MATCH(J$4,'Adjust. no safeguard'!$C$10:$U$10,0))</f>
        <v>4.7240999999999866E-2</v>
      </c>
      <c r="K7" s="267">
        <f ca="1">INDEX(OFFSET('Adjust. no safeguard'!$C$1:$U$1,$D7-1,0),MATCH(K$4,'Adjust. no safeguard'!$C$10:$U$10,0))</f>
        <v>0.50724099999999983</v>
      </c>
      <c r="L7" s="267">
        <f ca="1">INDEX(OFFSET('Adjust. no safeguard'!$C$1:$U$1,$D7-1,0),MATCH(L$4,'Adjust. no safeguard'!$C$10:$U$10,0))</f>
        <v>0.50724099999999983</v>
      </c>
      <c r="M7" s="267">
        <f ca="1">INDEX(OFFSET('Adjust. no safeguard'!$C$1:$U$1,$D7-1,0),MATCH(M$4,'Adjust. no safeguard'!$C$10:$U$10,0))</f>
        <v>0.50724099999999983</v>
      </c>
      <c r="N7" s="267">
        <f ca="1">INDEX(OFFSET('Adjust. no safeguard'!$C$1:$U$1,$D7-1,0),MATCH(N$4,'Adjust. no safeguard'!$C$10:$U$10,0))</f>
        <v>0.50724099999999983</v>
      </c>
      <c r="O7" s="267">
        <f ca="1">INDEX(OFFSET('Adjust. no safeguard'!$C$1:$U$1,$D7-1,0),MATCH(O$4,'Adjust. no safeguard'!$C$10:$U$10,0))</f>
        <v>0.50724099999999983</v>
      </c>
      <c r="P7" s="267">
        <f ca="1">INDEX(OFFSET('Adjust. no safeguard'!$C$1:$U$1,$D7-1,0),MATCH(P$4,'Adjust. no safeguard'!$C$10:$U$10,0))</f>
        <v>0.50724099999999983</v>
      </c>
      <c r="Q7" s="267">
        <f ca="1">INDEX(OFFSET('Adjust. no safeguard'!$C$1:$U$1,$D7-1,0),MATCH(Q$4,'Adjust. no safeguard'!$C$10:$U$10,0))</f>
        <v>0.50724099999999983</v>
      </c>
      <c r="R7" s="267">
        <f ca="1">INDEX(OFFSET('Adjust. no safeguard'!$C$1:$U$1,$D7-1,0),MATCH(R$4,'Adjust. no safeguard'!$C$10:$U$10,0))</f>
        <v>0.50724099999999983</v>
      </c>
      <c r="S7" s="267">
        <f ca="1">INDEX(OFFSET('Adjust. no safeguard'!$C$1:$U$1,$D7-1,0),MATCH(S$4,'Adjust. no safeguard'!$C$10:$U$10,0))</f>
        <v>0.50724099999999983</v>
      </c>
      <c r="T7" s="267">
        <f ca="1">INDEX(OFFSET('Adjust. no safeguard'!$C$1:$U$1,$D7-1,0),MATCH(T$4,'Adjust. no safeguard'!$C$10:$U$10,0))</f>
        <v>0.50724099999999983</v>
      </c>
      <c r="U7" s="267">
        <f ca="1">INDEX(OFFSET('Adjust. no safeguard'!$C$1:$U$1,$D7-1,0),MATCH(U$4,'Adjust. no safeguard'!$C$10:$U$10,0))</f>
        <v>0.50724099999999983</v>
      </c>
      <c r="V7" s="267">
        <f ca="1">INDEX(OFFSET('Adjust. no safeguard'!$C$1:$U$1,$D7-1,0),MATCH(V$4,'Adjust. no safeguard'!$C$10:$U$10,0))</f>
        <v>0.50724099999999983</v>
      </c>
      <c r="W7" s="267">
        <f ca="1">INDEX(OFFSET('Adjust. no safeguard'!$C$1:$U$1,$D7-1,0),MATCH(W$4,'Adjust. no safeguard'!$C$10:$U$10,0))</f>
        <v>0.50724099999999983</v>
      </c>
      <c r="X7" s="267">
        <f ca="1">INDEX(OFFSET('Adjust. no safeguard'!$C$1:$U$1,$D7-1,0),MATCH(X$4,'Adjust. no safeguard'!$C$10:$U$10,0))</f>
        <v>0.50724099999999983</v>
      </c>
      <c r="Y7" s="184"/>
    </row>
    <row r="8" spans="1:25" x14ac:dyDescent="0.2">
      <c r="A8" s="184"/>
      <c r="B8" s="274">
        <v>4</v>
      </c>
      <c r="C8" s="278" t="s">
        <v>146</v>
      </c>
      <c r="D8" s="279">
        <v>62</v>
      </c>
      <c r="E8" s="280" t="s">
        <v>145</v>
      </c>
      <c r="F8" s="267">
        <f ca="1">INDEX(OFFSET('Adjust. no safeguard'!$C$1:$U$1,$D8-1,0),MATCH(F$4,'Adjust. no safeguard'!$C$10:$U$10,0))</f>
        <v>0</v>
      </c>
      <c r="G8" s="267">
        <f ca="1">INDEX(OFFSET('Adjust. no safeguard'!$C$1:$U$1,$D8-1,0),MATCH(G$4,'Adjust. no safeguard'!$C$10:$U$10,0))</f>
        <v>0.15831162096306806</v>
      </c>
      <c r="H8" s="267">
        <f ca="1">INDEX(OFFSET('Adjust. no safeguard'!$C$1:$U$1,$D8-1,0),MATCH(H$4,'Adjust. no safeguard'!$C$10:$U$10,0))</f>
        <v>9.5097797565243947E-3</v>
      </c>
      <c r="I8" s="267">
        <f ca="1">INDEX(OFFSET('Adjust. no safeguard'!$C$1:$U$1,$D8-1,0),MATCH(I$4,'Adjust. no safeguard'!$C$10:$U$10,0))</f>
        <v>0.11376889996376849</v>
      </c>
      <c r="J8" s="267">
        <f ca="1">INDEX(OFFSET('Adjust. no safeguard'!$C$1:$U$1,$D8-1,0),MATCH(J$4,'Adjust. no safeguard'!$C$10:$U$10,0))</f>
        <v>0.18322643058215982</v>
      </c>
      <c r="K8" s="267">
        <f ca="1">INDEX(OFFSET('Adjust. no safeguard'!$C$1:$U$1,$D8-1,0),MATCH(K$4,'Adjust. no safeguard'!$C$10:$U$10,0))</f>
        <v>0.22936522851685615</v>
      </c>
      <c r="L8" s="267">
        <f ca="1">INDEX(OFFSET('Adjust. no safeguard'!$C$1:$U$1,$D8-1,0),MATCH(L$4,'Adjust. no safeguard'!$C$10:$U$10,0))</f>
        <v>0.15291015234457223</v>
      </c>
      <c r="M8" s="267">
        <f ca="1">INDEX(OFFSET('Adjust. no safeguard'!$C$1:$U$1,$D8-1,0),MATCH(M$4,'Adjust. no safeguard'!$C$10:$U$10,0))</f>
        <v>7.645507617228392E-2</v>
      </c>
      <c r="N8" s="267">
        <f ca="1">INDEX(OFFSET('Adjust. no safeguard'!$C$1:$U$1,$D8-1,0),MATCH(N$4,'Adjust. no safeguard'!$C$10:$U$10,0))</f>
        <v>0</v>
      </c>
      <c r="O8" s="267">
        <f ca="1">INDEX(OFFSET('Adjust. no safeguard'!$C$1:$U$1,$D8-1,0),MATCH(O$4,'Adjust. no safeguard'!$C$10:$U$10,0))</f>
        <v>-1.1708416676192712E-6</v>
      </c>
      <c r="P8" s="267">
        <f ca="1">INDEX(OFFSET('Adjust. no safeguard'!$C$1:$U$1,$D8-1,0),MATCH(P$4,'Adjust. no safeguard'!$C$10:$U$10,0))</f>
        <v>-3.5141092217250147E-6</v>
      </c>
      <c r="Q8" s="267">
        <f ca="1">INDEX(OFFSET('Adjust. no safeguard'!$C$1:$U$1,$D8-1,0),MATCH(Q$4,'Adjust. no safeguard'!$C$10:$U$10,0))</f>
        <v>-4.6843963052989324E-6</v>
      </c>
      <c r="R8" s="267">
        <f ca="1">INDEX(OFFSET('Adjust. no safeguard'!$C$1:$U$1,$D8-1,0),MATCH(R$4,'Adjust. no safeguard'!$C$10:$U$10,0))</f>
        <v>-6.2429875763436726E-6</v>
      </c>
      <c r="S8" s="267">
        <f ca="1">INDEX(OFFSET('Adjust. no safeguard'!$C$1:$U$1,$D8-1,0),MATCH(S$4,'Adjust. no safeguard'!$C$10:$U$10,0))</f>
        <v>-7.0213895106974178E-6</v>
      </c>
      <c r="T8" s="267">
        <f ca="1">INDEX(OFFSET('Adjust. no safeguard'!$C$1:$U$1,$D8-1,0),MATCH(T$4,'Adjust. no safeguard'!$C$10:$U$10,0))</f>
        <v>-5.8541316114713027E-6</v>
      </c>
      <c r="U8" s="267">
        <f ca="1">INDEX(OFFSET('Adjust. no safeguard'!$C$1:$U$1,$D8-1,0),MATCH(U$4,'Adjust. no safeguard'!$C$10:$U$10,0))</f>
        <v>-6.6316907808561254E-6</v>
      </c>
      <c r="V8" s="267">
        <f ca="1">INDEX(OFFSET('Adjust. no safeguard'!$C$1:$U$1,$D8-1,0),MATCH(V$4,'Adjust. no safeguard'!$C$10:$U$10,0))</f>
        <v>-8.5755887437866107E-6</v>
      </c>
      <c r="W8" s="267">
        <f ca="1">INDEX(OFFSET('Adjust. no safeguard'!$C$1:$U$1,$D8-1,0),MATCH(W$4,'Adjust. no safeguard'!$C$10:$U$10,0))</f>
        <v>-8.5755887437866107E-6</v>
      </c>
      <c r="X8" s="267">
        <f ca="1">INDEX(OFFSET('Adjust. no safeguard'!$C$1:$U$1,$D8-1,0),MATCH(X$4,'Adjust. no safeguard'!$C$10:$U$10,0))</f>
        <v>-8.5755887350158488E-6</v>
      </c>
      <c r="Y8" s="184"/>
    </row>
    <row r="9" spans="1:25" x14ac:dyDescent="0.2">
      <c r="A9" s="184"/>
      <c r="B9" s="274">
        <v>5</v>
      </c>
      <c r="C9" s="278" t="s">
        <v>147</v>
      </c>
      <c r="D9" s="279">
        <v>14</v>
      </c>
      <c r="E9" s="280" t="s">
        <v>143</v>
      </c>
      <c r="F9" s="267">
        <f ca="1">INDEX(OFFSET('Adjust. no safeguard'!$C$1:$U$1,$D9-1,0),MATCH(F$4,'Adjust. no safeguard'!$C$10:$U$10,0))</f>
        <v>-0.1168709</v>
      </c>
      <c r="G9" s="267">
        <f ca="1">INDEX(OFFSET('Adjust. no safeguard'!$C$1:$U$1,$D9-1,0),MATCH(G$4,'Adjust. no safeguard'!$C$10:$U$10,0))</f>
        <v>0</v>
      </c>
      <c r="H9" s="267">
        <f ca="1">INDEX(OFFSET('Adjust. no safeguard'!$C$1:$U$1,$D9-1,0),MATCH(H$4,'Adjust. no safeguard'!$C$10:$U$10,0))</f>
        <v>0</v>
      </c>
      <c r="I9" s="267">
        <f ca="1">INDEX(OFFSET('Adjust. no safeguard'!$C$1:$U$1,$D9-1,0),MATCH(I$4,'Adjust. no safeguard'!$C$10:$U$10,0))</f>
        <v>0</v>
      </c>
      <c r="J9" s="267">
        <f ca="1">INDEX(OFFSET('Adjust. no safeguard'!$C$1:$U$1,$D9-1,0),MATCH(J$4,'Adjust. no safeguard'!$C$10:$U$10,0))</f>
        <v>0</v>
      </c>
      <c r="K9" s="267">
        <f ca="1">INDEX(OFFSET('Adjust. no safeguard'!$C$1:$U$1,$D9-1,0),MATCH(K$4,'Adjust. no safeguard'!$C$10:$U$10,0))</f>
        <v>0</v>
      </c>
      <c r="L9" s="267">
        <f ca="1">INDEX(OFFSET('Adjust. no safeguard'!$C$1:$U$1,$D9-1,0),MATCH(L$4,'Adjust. no safeguard'!$C$10:$U$10,0))</f>
        <v>0</v>
      </c>
      <c r="M9" s="267">
        <f ca="1">INDEX(OFFSET('Adjust. no safeguard'!$C$1:$U$1,$D9-1,0),MATCH(M$4,'Adjust. no safeguard'!$C$10:$U$10,0))</f>
        <v>0</v>
      </c>
      <c r="N9" s="267">
        <f ca="1">INDEX(OFFSET('Adjust. no safeguard'!$C$1:$U$1,$D9-1,0),MATCH(N$4,'Adjust. no safeguard'!$C$10:$U$10,0))</f>
        <v>0</v>
      </c>
      <c r="O9" s="267">
        <f ca="1">INDEX(OFFSET('Adjust. no safeguard'!$C$1:$U$1,$D9-1,0),MATCH(O$4,'Adjust. no safeguard'!$C$10:$U$10,0))</f>
        <v>0</v>
      </c>
      <c r="P9" s="267">
        <f ca="1">INDEX(OFFSET('Adjust. no safeguard'!$C$1:$U$1,$D9-1,0),MATCH(P$4,'Adjust. no safeguard'!$C$10:$U$10,0))</f>
        <v>0</v>
      </c>
      <c r="Q9" s="267">
        <f ca="1">INDEX(OFFSET('Adjust. no safeguard'!$C$1:$U$1,$D9-1,0),MATCH(Q$4,'Adjust. no safeguard'!$C$10:$U$10,0))</f>
        <v>0</v>
      </c>
      <c r="R9" s="267">
        <f ca="1">INDEX(OFFSET('Adjust. no safeguard'!$C$1:$U$1,$D9-1,0),MATCH(R$4,'Adjust. no safeguard'!$C$10:$U$10,0))</f>
        <v>0</v>
      </c>
      <c r="S9" s="267">
        <f ca="1">INDEX(OFFSET('Adjust. no safeguard'!$C$1:$U$1,$D9-1,0),MATCH(S$4,'Adjust. no safeguard'!$C$10:$U$10,0))</f>
        <v>0</v>
      </c>
      <c r="T9" s="267">
        <f ca="1">INDEX(OFFSET('Adjust. no safeguard'!$C$1:$U$1,$D9-1,0),MATCH(T$4,'Adjust. no safeguard'!$C$10:$U$10,0))</f>
        <v>0</v>
      </c>
      <c r="U9" s="267">
        <f ca="1">INDEX(OFFSET('Adjust. no safeguard'!$C$1:$U$1,$D9-1,0),MATCH(U$4,'Adjust. no safeguard'!$C$10:$U$10,0))</f>
        <v>0</v>
      </c>
      <c r="V9" s="267">
        <f ca="1">INDEX(OFFSET('Adjust. no safeguard'!$C$1:$U$1,$D9-1,0),MATCH(V$4,'Adjust. no safeguard'!$C$10:$U$10,0))</f>
        <v>0</v>
      </c>
      <c r="W9" s="267">
        <f ca="1">INDEX(OFFSET('Adjust. no safeguard'!$C$1:$U$1,$D9-1,0),MATCH(W$4,'Adjust. no safeguard'!$C$10:$U$10,0))</f>
        <v>0</v>
      </c>
      <c r="X9" s="267">
        <f ca="1">INDEX(OFFSET('Adjust. no safeguard'!$C$1:$U$1,$D9-1,0),MATCH(X$4,'Adjust. no safeguard'!$C$10:$U$10,0))</f>
        <v>0</v>
      </c>
      <c r="Y9" s="184"/>
    </row>
    <row r="10" spans="1:25" x14ac:dyDescent="0.2">
      <c r="A10" s="184"/>
      <c r="B10" s="274">
        <v>6</v>
      </c>
      <c r="C10" s="278" t="s">
        <v>148</v>
      </c>
      <c r="D10" s="279">
        <v>68</v>
      </c>
      <c r="E10" s="280" t="s">
        <v>143</v>
      </c>
      <c r="F10" s="267">
        <f ca="1">INDEX(OFFSET('Adjust. no safeguard'!$C$1:$U$1,$D10-1,0),MATCH(F$4,'Adjust. no safeguard'!$C$10:$U$10,0))</f>
        <v>0</v>
      </c>
      <c r="G10" s="267">
        <f ca="1">INDEX(OFFSET('Adjust. no safeguard'!$C$1:$U$1,$D10-1,0),MATCH(G$4,'Adjust. no safeguard'!$C$10:$U$10,0))</f>
        <v>1.3033928890676334</v>
      </c>
      <c r="H10" s="267">
        <f ca="1">INDEX(OFFSET('Adjust. no safeguard'!$C$1:$U$1,$D10-1,0),MATCH(H$4,'Adjust. no safeguard'!$C$10:$U$10,0))</f>
        <v>1.3095717505936093</v>
      </c>
      <c r="I10" s="267">
        <f ca="1">INDEX(OFFSET('Adjust. no safeguard'!$C$1:$U$1,$D10-1,0),MATCH(I$4,'Adjust. no safeguard'!$C$10:$U$10,0))</f>
        <v>1.461474618084855</v>
      </c>
      <c r="J10" s="267">
        <f ca="1">INDEX(OFFSET('Adjust. no safeguard'!$C$1:$U$1,$D10-1,0),MATCH(J$4,'Adjust. no safeguard'!$C$10:$U$10,0))</f>
        <v>1.5602322134632263</v>
      </c>
      <c r="K10" s="267">
        <f ca="1">INDEX(OFFSET('Adjust. no safeguard'!$C$1:$U$1,$D10-1,0),MATCH(K$4,'Adjust. no safeguard'!$C$10:$U$10,0))</f>
        <v>1.6418479775124148</v>
      </c>
      <c r="L10" s="267">
        <f ca="1">INDEX(OFFSET('Adjust. no safeguard'!$C$1:$U$1,$D10-1,0),MATCH(L$4,'Adjust. no safeguard'!$C$10:$U$10,0))</f>
        <v>1.6995732114594087</v>
      </c>
      <c r="M10" s="267">
        <f ca="1">INDEX(OFFSET('Adjust. no safeguard'!$C$1:$U$1,$D10-1,0),MATCH(M$4,'Adjust. no safeguard'!$C$10:$U$10,0))</f>
        <v>1.7613765618481161</v>
      </c>
      <c r="N10" s="267">
        <f ca="1">INDEX(OFFSET('Adjust. no safeguard'!$C$1:$U$1,$D10-1,0),MATCH(N$4,'Adjust. no safeguard'!$C$10:$U$10,0))</f>
        <v>1.8224536919351564</v>
      </c>
      <c r="O10" s="267">
        <f ca="1">INDEX(OFFSET('Adjust. no safeguard'!$C$1:$U$1,$D10-1,0),MATCH(O$4,'Adjust. no safeguard'!$C$10:$U$10,0))</f>
        <v>1.887482303826723</v>
      </c>
      <c r="P10" s="267">
        <f ca="1">INDEX(OFFSET('Adjust. no safeguard'!$C$1:$U$1,$D10-1,0),MATCH(P$4,'Adjust. no safeguard'!$C$10:$U$10,0))</f>
        <v>1.9752575190611863</v>
      </c>
      <c r="Q10" s="267">
        <f ca="1">INDEX(OFFSET('Adjust. no safeguard'!$C$1:$U$1,$D10-1,0),MATCH(Q$4,'Adjust. no safeguard'!$C$10:$U$10,0))</f>
        <v>2.0527490466143203</v>
      </c>
      <c r="R10" s="267">
        <f ca="1">INDEX(OFFSET('Adjust. no safeguard'!$C$1:$U$1,$D10-1,0),MATCH(R$4,'Adjust. no safeguard'!$C$10:$U$10,0))</f>
        <v>2.1267588017305279</v>
      </c>
      <c r="S10" s="267">
        <f ca="1">INDEX(OFFSET('Adjust. no safeguard'!$C$1:$U$1,$D10-1,0),MATCH(S$4,'Adjust. no safeguard'!$C$10:$U$10,0))</f>
        <v>2.1974551788240944</v>
      </c>
      <c r="T10" s="267">
        <f ca="1">INDEX(OFFSET('Adjust. no safeguard'!$C$1:$U$1,$D10-1,0),MATCH(T$4,'Adjust. no safeguard'!$C$10:$U$10,0))</f>
        <v>2.2721276719698462</v>
      </c>
      <c r="U10" s="267">
        <f ca="1">INDEX(OFFSET('Adjust. no safeguard'!$C$1:$U$1,$D10-1,0),MATCH(U$4,'Adjust. no safeguard'!$C$10:$U$10,0))</f>
        <v>2.3394139411553461</v>
      </c>
      <c r="V10" s="267">
        <f ca="1">INDEX(OFFSET('Adjust. no safeguard'!$C$1:$U$1,$D10-1,0),MATCH(V$4,'Adjust. no safeguard'!$C$10:$U$10,0))</f>
        <v>2.4064435263301278</v>
      </c>
      <c r="W10" s="267">
        <f ca="1">INDEX(OFFSET('Adjust. no safeguard'!$C$1:$U$1,$D10-1,0),MATCH(W$4,'Adjust. no safeguard'!$C$10:$U$10,0))</f>
        <v>2.4783308917428339</v>
      </c>
      <c r="X10" s="267">
        <f ca="1">INDEX(OFFSET('Adjust. no safeguard'!$C$1:$U$1,$D10-1,0),MATCH(X$4,'Adjust. no safeguard'!$C$10:$U$10,0))</f>
        <v>2.5498980762773784</v>
      </c>
      <c r="Y10" s="184"/>
    </row>
    <row r="11" spans="1:25" x14ac:dyDescent="0.2">
      <c r="A11" s="184"/>
      <c r="B11" s="274">
        <v>7</v>
      </c>
      <c r="C11" s="281" t="s">
        <v>61</v>
      </c>
      <c r="D11" s="279">
        <v>37</v>
      </c>
      <c r="E11" s="280" t="s">
        <v>149</v>
      </c>
      <c r="F11" s="267">
        <f ca="1">INDEX(OFFSET('Adjust. no safeguard'!$C$1:$U$1,$D11-1,0),MATCH(F$4,'Adjust. no safeguard'!$C$10:$U$10,0))</f>
        <v>4.29</v>
      </c>
      <c r="G11" s="267">
        <f ca="1">INDEX(OFFSET('Adjust. no safeguard'!$C$1:$U$1,$D11-1,0),MATCH(G$4,'Adjust. no safeguard'!$C$10:$U$10,0))</f>
        <v>4.7019640000000003</v>
      </c>
      <c r="H11" s="267">
        <f ca="1">INDEX(OFFSET('Adjust. no safeguard'!$C$1:$U$1,$D11-1,0),MATCH(H$4,'Adjust. no safeguard'!$C$10:$U$10,0))</f>
        <v>4.9156490000000002</v>
      </c>
      <c r="I11" s="267">
        <f ca="1">INDEX(OFFSET('Adjust. no safeguard'!$C$1:$U$1,$D11-1,0),MATCH(I$4,'Adjust. no safeguard'!$C$10:$U$10,0))</f>
        <v>5.0370066250000001</v>
      </c>
      <c r="J11" s="267">
        <f ca="1">INDEX(OFFSET('Adjust. no safeguard'!$C$1:$U$1,$D11-1,0),MATCH(J$4,'Adjust. no safeguard'!$C$10:$U$10,0))</f>
        <v>5.15836425</v>
      </c>
      <c r="K11" s="267">
        <f ca="1">INDEX(OFFSET('Adjust. no safeguard'!$C$1:$U$1,$D11-1,0),MATCH(K$4,'Adjust. no safeguard'!$C$10:$U$10,0))</f>
        <v>5.2797218749999999</v>
      </c>
      <c r="L11" s="267">
        <f ca="1">INDEX(OFFSET('Adjust. no safeguard'!$C$1:$U$1,$D11-1,0),MATCH(L$4,'Adjust. no safeguard'!$C$10:$U$10,0))</f>
        <v>5.4010794999999998</v>
      </c>
      <c r="M11" s="267">
        <f ca="1">INDEX(OFFSET('Adjust. no safeguard'!$C$1:$U$1,$D11-1,0),MATCH(M$4,'Adjust. no safeguard'!$C$10:$U$10,0))</f>
        <v>5.5224371250000006</v>
      </c>
      <c r="N11" s="267">
        <f ca="1">INDEX(OFFSET('Adjust. no safeguard'!$C$1:$U$1,$D11-1,0),MATCH(N$4,'Adjust. no safeguard'!$C$10:$U$10,0))</f>
        <v>5.6437947500000005</v>
      </c>
      <c r="O11" s="267">
        <f ca="1">INDEX(OFFSET('Adjust. no safeguard'!$C$1:$U$1,$D11-1,0),MATCH(O$4,'Adjust. no safeguard'!$C$10:$U$10,0))</f>
        <v>5.7651523750000004</v>
      </c>
      <c r="P11" s="267">
        <f ca="1">INDEX(OFFSET('Adjust. no safeguard'!$C$1:$U$1,$D11-1,0),MATCH(P$4,'Adjust. no safeguard'!$C$10:$U$10,0))</f>
        <v>5.8865100000000004</v>
      </c>
      <c r="Q11" s="267">
        <f ca="1">INDEX(OFFSET('Adjust. no safeguard'!$C$1:$U$1,$D11-1,0),MATCH(Q$4,'Adjust. no safeguard'!$C$10:$U$10,0))</f>
        <v>5.7921845000000003</v>
      </c>
      <c r="R11" s="267">
        <f ca="1">INDEX(OFFSET('Adjust. no safeguard'!$C$1:$U$1,$D11-1,0),MATCH(R$4,'Adjust. no safeguard'!$C$10:$U$10,0))</f>
        <v>5.6978590000000002</v>
      </c>
      <c r="S11" s="267">
        <f ca="1">INDEX(OFFSET('Adjust. no safeguard'!$C$1:$U$1,$D11-1,0),MATCH(S$4,'Adjust. no safeguard'!$C$10:$U$10,0))</f>
        <v>5.6035335000000002</v>
      </c>
      <c r="T11" s="267">
        <f ca="1">INDEX(OFFSET('Adjust. no safeguard'!$C$1:$U$1,$D11-1,0),MATCH(T$4,'Adjust. no safeguard'!$C$10:$U$10,0))</f>
        <v>5.5092080000000001</v>
      </c>
      <c r="U11" s="267">
        <f ca="1">INDEX(OFFSET('Adjust. no safeguard'!$C$1:$U$1,$D11-1,0),MATCH(U$4,'Adjust. no safeguard'!$C$10:$U$10,0))</f>
        <v>5.4148825</v>
      </c>
      <c r="V11" s="267">
        <f ca="1">INDEX(OFFSET('Adjust. no safeguard'!$C$1:$U$1,$D11-1,0),MATCH(V$4,'Adjust. no safeguard'!$C$10:$U$10,0))</f>
        <v>5.320557</v>
      </c>
      <c r="W11" s="267">
        <f ca="1">INDEX(OFFSET('Adjust. no safeguard'!$C$1:$U$1,$D11-1,0),MATCH(W$4,'Adjust. no safeguard'!$C$10:$U$10,0))</f>
        <v>5.2262314999999999</v>
      </c>
      <c r="X11" s="267">
        <f ca="1">INDEX(OFFSET('Adjust. no safeguard'!$C$1:$U$1,$D11-1,0),MATCH(X$4,'Adjust. no safeguard'!$C$10:$U$10,0))</f>
        <v>5.1319059999999999</v>
      </c>
      <c r="Y11" s="184"/>
    </row>
    <row r="12" spans="1:25" x14ac:dyDescent="0.2">
      <c r="A12" s="184"/>
      <c r="B12" s="274">
        <v>8</v>
      </c>
      <c r="C12" s="281" t="s">
        <v>62</v>
      </c>
      <c r="D12" s="279">
        <v>38</v>
      </c>
      <c r="E12" s="280" t="s">
        <v>149</v>
      </c>
      <c r="F12" s="267">
        <f ca="1">INDEX(OFFSET('Adjust. no safeguard'!$C$1:$U$1,$D12-1,0),MATCH(F$4,'Adjust. no safeguard'!$C$10:$U$10,0))</f>
        <v>3.6</v>
      </c>
      <c r="G12" s="267">
        <f ca="1">INDEX(OFFSET('Adjust. no safeguard'!$C$1:$U$1,$D12-1,0),MATCH(G$4,'Adjust. no safeguard'!$C$10:$U$10,0))</f>
        <v>3.6498529999999998</v>
      </c>
      <c r="H12" s="267">
        <f ca="1">INDEX(OFFSET('Adjust. no safeguard'!$C$1:$U$1,$D12-1,0),MATCH(H$4,'Adjust. no safeguard'!$C$10:$U$10,0))</f>
        <v>4.2671910000000004</v>
      </c>
      <c r="I12" s="267">
        <f ca="1">INDEX(OFFSET('Adjust. no safeguard'!$C$1:$U$1,$D12-1,0),MATCH(I$4,'Adjust. no safeguard'!$C$10:$U$10,0))</f>
        <v>4.2826608750000004</v>
      </c>
      <c r="J12" s="267">
        <f ca="1">INDEX(OFFSET('Adjust. no safeguard'!$C$1:$U$1,$D12-1,0),MATCH(J$4,'Adjust. no safeguard'!$C$10:$U$10,0))</f>
        <v>4.2981307500000003</v>
      </c>
      <c r="K12" s="267">
        <f ca="1">INDEX(OFFSET('Adjust. no safeguard'!$C$1:$U$1,$D12-1,0),MATCH(K$4,'Adjust. no safeguard'!$C$10:$U$10,0))</f>
        <v>4.3136006250000003</v>
      </c>
      <c r="L12" s="267">
        <f ca="1">INDEX(OFFSET('Adjust. no safeguard'!$C$1:$U$1,$D12-1,0),MATCH(L$4,'Adjust. no safeguard'!$C$10:$U$10,0))</f>
        <v>4.3290705000000003</v>
      </c>
      <c r="M12" s="267">
        <f ca="1">INDEX(OFFSET('Adjust. no safeguard'!$C$1:$U$1,$D12-1,0),MATCH(M$4,'Adjust. no safeguard'!$C$10:$U$10,0))</f>
        <v>4.3445403750000002</v>
      </c>
      <c r="N12" s="267">
        <f ca="1">INDEX(OFFSET('Adjust. no safeguard'!$C$1:$U$1,$D12-1,0),MATCH(N$4,'Adjust. no safeguard'!$C$10:$U$10,0))</f>
        <v>4.3600102500000002</v>
      </c>
      <c r="O12" s="267">
        <f ca="1">INDEX(OFFSET('Adjust. no safeguard'!$C$1:$U$1,$D12-1,0),MATCH(O$4,'Adjust. no safeguard'!$C$10:$U$10,0))</f>
        <v>4.3754801250000002</v>
      </c>
      <c r="P12" s="267">
        <f ca="1">INDEX(OFFSET('Adjust. no safeguard'!$C$1:$U$1,$D12-1,0),MATCH(P$4,'Adjust. no safeguard'!$C$10:$U$10,0))</f>
        <v>4.3909500000000001</v>
      </c>
      <c r="Q12" s="267">
        <f ca="1">INDEX(OFFSET('Adjust. no safeguard'!$C$1:$U$1,$D12-1,0),MATCH(Q$4,'Adjust. no safeguard'!$C$10:$U$10,0))</f>
        <v>4.2714024999999998</v>
      </c>
      <c r="R12" s="267">
        <f ca="1">INDEX(OFFSET('Adjust. no safeguard'!$C$1:$U$1,$D12-1,0),MATCH(R$4,'Adjust. no safeguard'!$C$10:$U$10,0))</f>
        <v>4.1518550000000003</v>
      </c>
      <c r="S12" s="267">
        <f ca="1">INDEX(OFFSET('Adjust. no safeguard'!$C$1:$U$1,$D12-1,0),MATCH(S$4,'Adjust. no safeguard'!$C$10:$U$10,0))</f>
        <v>4.0323074999999999</v>
      </c>
      <c r="T12" s="267">
        <f ca="1">INDEX(OFFSET('Adjust. no safeguard'!$C$1:$U$1,$D12-1,0),MATCH(T$4,'Adjust. no safeguard'!$C$10:$U$10,0))</f>
        <v>3.91276</v>
      </c>
      <c r="U12" s="267">
        <f ca="1">INDEX(OFFSET('Adjust. no safeguard'!$C$1:$U$1,$D12-1,0),MATCH(U$4,'Adjust. no safeguard'!$C$10:$U$10,0))</f>
        <v>3.7932125000000001</v>
      </c>
      <c r="V12" s="267">
        <f ca="1">INDEX(OFFSET('Adjust. no safeguard'!$C$1:$U$1,$D12-1,0),MATCH(V$4,'Adjust. no safeguard'!$C$10:$U$10,0))</f>
        <v>3.6736650000000002</v>
      </c>
      <c r="W12" s="267">
        <f ca="1">INDEX(OFFSET('Adjust. no safeguard'!$C$1:$U$1,$D12-1,0),MATCH(W$4,'Adjust. no safeguard'!$C$10:$U$10,0))</f>
        <v>3.5541175000000003</v>
      </c>
      <c r="X12" s="267">
        <f ca="1">INDEX(OFFSET('Adjust. no safeguard'!$C$1:$U$1,$D12-1,0),MATCH(X$4,'Adjust. no safeguard'!$C$10:$U$10,0))</f>
        <v>3.4345699999999999</v>
      </c>
      <c r="Y12" s="184"/>
    </row>
    <row r="13" spans="1:25" x14ac:dyDescent="0.2">
      <c r="A13" s="184"/>
      <c r="B13" s="274">
        <v>9</v>
      </c>
      <c r="C13" s="278" t="s">
        <v>150</v>
      </c>
      <c r="D13" s="279">
        <v>36</v>
      </c>
      <c r="E13" s="280" t="s">
        <v>149</v>
      </c>
      <c r="F13" s="267">
        <f ca="1">INDEX(OFFSET('Adjust. no safeguard'!$C$1:$U$1,$D13-1,0),MATCH(F$4,'Adjust. no safeguard'!$C$10:$U$10,0))</f>
        <v>3.1969609999999999</v>
      </c>
      <c r="G13" s="267">
        <f ca="1">INDEX(OFFSET('Adjust. no safeguard'!$C$1:$U$1,$D13-1,0),MATCH(G$4,'Adjust. no safeguard'!$C$10:$U$10,0))</f>
        <v>3.078103</v>
      </c>
      <c r="H13" s="267">
        <f ca="1">INDEX(OFFSET('Adjust. no safeguard'!$C$1:$U$1,$D13-1,0),MATCH(H$4,'Adjust. no safeguard'!$C$10:$U$10,0))</f>
        <v>2.999835</v>
      </c>
      <c r="I13" s="267">
        <f ca="1">INDEX(OFFSET('Adjust. no safeguard'!$C$1:$U$1,$D13-1,0),MATCH(I$4,'Adjust. no safeguard'!$C$10:$U$10,0))</f>
        <v>3.2612234963345017</v>
      </c>
      <c r="J13" s="267">
        <f ca="1">INDEX(OFFSET('Adjust. no safeguard'!$C$1:$U$1,$D13-1,0),MATCH(J$4,'Adjust. no safeguard'!$C$10:$U$10,0))</f>
        <v>3.4661519633917419</v>
      </c>
      <c r="K13" s="267">
        <f ca="1">INDEX(OFFSET('Adjust. no safeguard'!$C$1:$U$1,$D13-1,0),MATCH(K$4,'Adjust. no safeguard'!$C$10:$U$10,0))</f>
        <v>3.6527919364235872</v>
      </c>
      <c r="L13" s="267">
        <f ca="1">INDEX(OFFSET('Adjust. no safeguard'!$C$1:$U$1,$D13-1,0),MATCH(L$4,'Adjust. no safeguard'!$C$10:$U$10,0))</f>
        <v>3.8227404164057077</v>
      </c>
      <c r="M13" s="267">
        <f ca="1">INDEX(OFFSET('Adjust. no safeguard'!$C$1:$U$1,$D13-1,0),MATCH(M$4,'Adjust. no safeguard'!$C$10:$U$10,0))</f>
        <v>3.9924506315885533</v>
      </c>
      <c r="N13" s="267">
        <f ca="1">INDEX(OFFSET('Adjust. no safeguard'!$C$1:$U$1,$D13-1,0),MATCH(N$4,'Adjust. no safeguard'!$C$10:$U$10,0))</f>
        <v>4.1585065106652124</v>
      </c>
      <c r="O13" s="267">
        <f ca="1">INDEX(OFFSET('Adjust. no safeguard'!$C$1:$U$1,$D13-1,0),MATCH(O$4,'Adjust. no safeguard'!$C$10:$U$10,0))</f>
        <v>4.3211097800205742</v>
      </c>
      <c r="P13" s="267">
        <f ca="1">INDEX(OFFSET('Adjust. no safeguard'!$C$1:$U$1,$D13-1,0),MATCH(P$4,'Adjust. no safeguard'!$C$10:$U$10,0))</f>
        <v>4.491641677287797</v>
      </c>
      <c r="Q13" s="267">
        <f ca="1">INDEX(OFFSET('Adjust. no safeguard'!$C$1:$U$1,$D13-1,0),MATCH(Q$4,'Adjust. no safeguard'!$C$10:$U$10,0))</f>
        <v>4.631941317789745</v>
      </c>
      <c r="R13" s="267">
        <f ca="1">INDEX(OFFSET('Adjust. no safeguard'!$C$1:$U$1,$D13-1,0),MATCH(R$4,'Adjust. no safeguard'!$C$10:$U$10,0))</f>
        <v>4.7485430065068339</v>
      </c>
      <c r="S13" s="267">
        <f ca="1">INDEX(OFFSET('Adjust. no safeguard'!$C$1:$U$1,$D13-1,0),MATCH(S$4,'Adjust. no safeguard'!$C$10:$U$10,0))</f>
        <v>4.8425187478570608</v>
      </c>
      <c r="T13" s="267">
        <f ca="1">INDEX(OFFSET('Adjust. no safeguard'!$C$1:$U$1,$D13-1,0),MATCH(T$4,'Adjust. no safeguard'!$C$10:$U$10,0))</f>
        <v>4.9163067262605171</v>
      </c>
      <c r="U13" s="267">
        <f ca="1">INDEX(OFFSET('Adjust. no safeguard'!$C$1:$U$1,$D13-1,0),MATCH(U$4,'Adjust. no safeguard'!$C$10:$U$10,0))</f>
        <v>4.9690506896741908</v>
      </c>
      <c r="V13" s="267">
        <f ca="1">INDEX(OFFSET('Adjust. no safeguard'!$C$1:$U$1,$D13-1,0),MATCH(V$4,'Adjust. no safeguard'!$C$10:$U$10,0))</f>
        <v>5.0036379295157527</v>
      </c>
      <c r="W13" s="267">
        <f ca="1">INDEX(OFFSET('Adjust. no safeguard'!$C$1:$U$1,$D13-1,0),MATCH(W$4,'Adjust. no safeguard'!$C$10:$U$10,0))</f>
        <v>5.0219997197073161</v>
      </c>
      <c r="X13" s="267">
        <f ca="1">INDEX(OFFSET('Adjust. no safeguard'!$C$1:$U$1,$D13-1,0),MATCH(X$4,'Adjust. no safeguard'!$C$10:$U$10,0))</f>
        <v>5.025283034969183</v>
      </c>
      <c r="Y13" s="184"/>
    </row>
    <row r="14" spans="1:25" x14ac:dyDescent="0.2">
      <c r="A14" s="184"/>
      <c r="B14" s="274">
        <v>10</v>
      </c>
      <c r="C14" s="278" t="s">
        <v>151</v>
      </c>
      <c r="D14" s="279">
        <v>72</v>
      </c>
      <c r="E14" s="280" t="s">
        <v>143</v>
      </c>
      <c r="F14" s="267">
        <f ca="1">INDEX(OFFSET('Adjust. no safeguard'!$C$1:$U$1,$D14-1,0),MATCH(F$4,'Adjust. no safeguard'!$C$10:$U$10,0))</f>
        <v>0</v>
      </c>
      <c r="G14" s="267">
        <f ca="1">INDEX(OFFSET('Adjust. no safeguard'!$C$1:$U$1,$D14-1,0),MATCH(G$4,'Adjust. no safeguard'!$C$10:$U$10,0))</f>
        <v>0.70141940000000003</v>
      </c>
      <c r="H14" s="267">
        <f ca="1">INDEX(OFFSET('Adjust. no safeguard'!$C$1:$U$1,$D14-1,0),MATCH(H$4,'Adjust. no safeguard'!$C$10:$U$10,0))</f>
        <v>0.84995989999999999</v>
      </c>
      <c r="I14" s="267">
        <f ca="1">INDEX(OFFSET('Adjust. no safeguard'!$C$1:$U$1,$D14-1,0),MATCH(I$4,'Adjust. no safeguard'!$C$10:$U$10,0))</f>
        <v>0</v>
      </c>
      <c r="J14" s="267">
        <f ca="1">INDEX(OFFSET('Adjust. no safeguard'!$C$1:$U$1,$D14-1,0),MATCH(J$4,'Adjust. no safeguard'!$C$10:$U$10,0))</f>
        <v>0</v>
      </c>
      <c r="K14" s="267">
        <f ca="1">INDEX(OFFSET('Adjust. no safeguard'!$C$1:$U$1,$D14-1,0),MATCH(K$4,'Adjust. no safeguard'!$C$10:$U$10,0))</f>
        <v>0</v>
      </c>
      <c r="L14" s="267">
        <f ca="1">INDEX(OFFSET('Adjust. no safeguard'!$C$1:$U$1,$D14-1,0),MATCH(L$4,'Adjust. no safeguard'!$C$10:$U$10,0))</f>
        <v>0</v>
      </c>
      <c r="M14" s="267">
        <f ca="1">INDEX(OFFSET('Adjust. no safeguard'!$C$1:$U$1,$D14-1,0),MATCH(M$4,'Adjust. no safeguard'!$C$10:$U$10,0))</f>
        <v>0</v>
      </c>
      <c r="N14" s="267">
        <f ca="1">INDEX(OFFSET('Adjust. no safeguard'!$C$1:$U$1,$D14-1,0),MATCH(N$4,'Adjust. no safeguard'!$C$10:$U$10,0))</f>
        <v>0</v>
      </c>
      <c r="O14" s="267">
        <f ca="1">INDEX(OFFSET('Adjust. no safeguard'!$C$1:$U$1,$D14-1,0),MATCH(O$4,'Adjust. no safeguard'!$C$10:$U$10,0))</f>
        <v>0</v>
      </c>
      <c r="P14" s="267">
        <f ca="1">INDEX(OFFSET('Adjust. no safeguard'!$C$1:$U$1,$D14-1,0),MATCH(P$4,'Adjust. no safeguard'!$C$10:$U$10,0))</f>
        <v>0</v>
      </c>
      <c r="Q14" s="267">
        <f ca="1">INDEX(OFFSET('Adjust. no safeguard'!$C$1:$U$1,$D14-1,0),MATCH(Q$4,'Adjust. no safeguard'!$C$10:$U$10,0))</f>
        <v>0</v>
      </c>
      <c r="R14" s="267">
        <f ca="1">INDEX(OFFSET('Adjust. no safeguard'!$C$1:$U$1,$D14-1,0),MATCH(R$4,'Adjust. no safeguard'!$C$10:$U$10,0))</f>
        <v>0</v>
      </c>
      <c r="S14" s="267">
        <f ca="1">INDEX(OFFSET('Adjust. no safeguard'!$C$1:$U$1,$D14-1,0),MATCH(S$4,'Adjust. no safeguard'!$C$10:$U$10,0))</f>
        <v>0</v>
      </c>
      <c r="T14" s="267">
        <f ca="1">INDEX(OFFSET('Adjust. no safeguard'!$C$1:$U$1,$D14-1,0),MATCH(T$4,'Adjust. no safeguard'!$C$10:$U$10,0))</f>
        <v>0</v>
      </c>
      <c r="U14" s="267">
        <f ca="1">INDEX(OFFSET('Adjust. no safeguard'!$C$1:$U$1,$D14-1,0),MATCH(U$4,'Adjust. no safeguard'!$C$10:$U$10,0))</f>
        <v>0</v>
      </c>
      <c r="V14" s="267">
        <f ca="1">INDEX(OFFSET('Adjust. no safeguard'!$C$1:$U$1,$D14-1,0),MATCH(V$4,'Adjust. no safeguard'!$C$10:$U$10,0))</f>
        <v>0</v>
      </c>
      <c r="W14" s="267">
        <f ca="1">INDEX(OFFSET('Adjust. no safeguard'!$C$1:$U$1,$D14-1,0),MATCH(W$4,'Adjust. no safeguard'!$C$10:$U$10,0))</f>
        <v>0</v>
      </c>
      <c r="X14" s="267">
        <f ca="1">INDEX(OFFSET('Adjust. no safeguard'!$C$1:$U$1,$D14-1,0),MATCH(X$4,'Adjust. no safeguard'!$C$10:$U$10,0))</f>
        <v>0</v>
      </c>
      <c r="Y14" s="184"/>
    </row>
    <row r="15" spans="1:25" x14ac:dyDescent="0.2">
      <c r="A15" s="184"/>
      <c r="B15" s="274">
        <v>11</v>
      </c>
      <c r="C15" s="282" t="s">
        <v>40</v>
      </c>
      <c r="D15" s="279">
        <v>27</v>
      </c>
      <c r="E15" s="280" t="s">
        <v>152</v>
      </c>
      <c r="F15" s="267">
        <f>'Input data'!C33</f>
        <v>1.560683</v>
      </c>
      <c r="G15" s="267">
        <f ca="1">(INDEX(OFFSET('Adjust. no safeguard'!$C$1:$U$1,$D15-1,0),MATCH(G$4,'Adjust. no safeguard'!$C$10:$U$10,0))/INDEX(OFFSET('Adjust. no safeguard'!$C$1:$U$1,$D15-1,0),MATCH(F$4,'Adjust. no safeguard'!$C$10:$U$10,0))-1)*100</f>
        <v>1.6476600000000063</v>
      </c>
      <c r="H15" s="267">
        <f ca="1">(INDEX(OFFSET('Adjust. no safeguard'!$C$1:$U$1,$D15-1,0),MATCH(H$4,'Adjust. no safeguard'!$C$10:$U$10,0))/INDEX(OFFSET('Adjust. no safeguard'!$C$1:$U$1,$D15-1,0),MATCH(G$4,'Adjust. no safeguard'!$C$10:$U$10,0))-1)*100</f>
        <v>1.4921039999999941</v>
      </c>
      <c r="I15" s="267">
        <f ca="1">(INDEX(OFFSET('Adjust. no safeguard'!$C$1:$U$1,$D15-1,0),MATCH(I$4,'Adjust. no safeguard'!$C$10:$U$10,0))/INDEX(OFFSET('Adjust. no safeguard'!$C$1:$U$1,$D15-1,0),MATCH(H$4,'Adjust. no safeguard'!$C$10:$U$10,0))-1)*100</f>
        <v>1.456502000000004</v>
      </c>
      <c r="J15" s="267">
        <f ca="1">(INDEX(OFFSET('Adjust. no safeguard'!$C$1:$U$1,$D15-1,0),MATCH(J$4,'Adjust. no safeguard'!$C$10:$U$10,0))/INDEX(OFFSET('Adjust. no safeguard'!$C$1:$U$1,$D15-1,0),MATCH(I$4,'Adjust. no safeguard'!$C$10:$U$10,0))-1)*100</f>
        <v>1.2343959999999932</v>
      </c>
      <c r="K15" s="267">
        <f ca="1">(INDEX(OFFSET('Adjust. no safeguard'!$C$1:$U$1,$D15-1,0),MATCH(K$4,'Adjust. no safeguard'!$C$10:$U$10,0))/INDEX(OFFSET('Adjust. no safeguard'!$C$1:$U$1,$D15-1,0),MATCH(J$4,'Adjust. no safeguard'!$C$10:$U$10,0))-1)*100</f>
        <v>1.2125439999999932</v>
      </c>
      <c r="L15" s="267">
        <f ca="1">(INDEX(OFFSET('Adjust. no safeguard'!$C$1:$U$1,$D15-1,0),MATCH(L$4,'Adjust. no safeguard'!$C$10:$U$10,0))/INDEX(OFFSET('Adjust. no safeguard'!$C$1:$U$1,$D15-1,0),MATCH(K$4,'Adjust. no safeguard'!$C$10:$U$10,0))-1)*100</f>
        <v>1.2260879999999919</v>
      </c>
      <c r="M15" s="267">
        <f ca="1">(INDEX(OFFSET('Adjust. no safeguard'!$C$1:$U$1,$D15-1,0),MATCH(M$4,'Adjust. no safeguard'!$C$10:$U$10,0))/INDEX(OFFSET('Adjust. no safeguard'!$C$1:$U$1,$D15-1,0),MATCH(L$4,'Adjust. no safeguard'!$C$10:$U$10,0))-1)*100</f>
        <v>1.236265999999997</v>
      </c>
      <c r="N15" s="267">
        <f ca="1">(INDEX(OFFSET('Adjust. no safeguard'!$C$1:$U$1,$D15-1,0),MATCH(N$4,'Adjust. no safeguard'!$C$10:$U$10,0))/INDEX(OFFSET('Adjust. no safeguard'!$C$1:$U$1,$D15-1,0),MATCH(M$4,'Adjust. no safeguard'!$C$10:$U$10,0))-1)*100</f>
        <v>1.2442000000000064</v>
      </c>
      <c r="O15" s="267">
        <f ca="1">(INDEX(OFFSET('Adjust. no safeguard'!$C$1:$U$1,$D15-1,0),MATCH(O$4,'Adjust. no safeguard'!$C$10:$U$10,0))/INDEX(OFFSET('Adjust. no safeguard'!$C$1:$U$1,$D15-1,0),MATCH(N$4,'Adjust. no safeguard'!$C$10:$U$10,0))-1)*100</f>
        <v>1.2092439999999982</v>
      </c>
      <c r="P15" s="267">
        <f ca="1">(INDEX(OFFSET('Adjust. no safeguard'!$C$1:$U$1,$D15-1,0),MATCH(P$4,'Adjust. no safeguard'!$C$10:$U$10,0))/INDEX(OFFSET('Adjust. no safeguard'!$C$1:$U$1,$D15-1,0),MATCH(O$4,'Adjust. no safeguard'!$C$10:$U$10,0))-1)*100</f>
        <v>1.140822000000008</v>
      </c>
      <c r="Q15" s="267">
        <f ca="1">(INDEX(OFFSET('Adjust. no safeguard'!$C$1:$U$1,$D15-1,0),MATCH(Q$4,'Adjust. no safeguard'!$C$10:$U$10,0))/INDEX(OFFSET('Adjust. no safeguard'!$C$1:$U$1,$D15-1,0),MATCH(P$4,'Adjust. no safeguard'!$C$10:$U$10,0))-1)*100</f>
        <v>1.2572150000000004</v>
      </c>
      <c r="R15" s="267">
        <f ca="1">(INDEX(OFFSET('Adjust. no safeguard'!$C$1:$U$1,$D15-1,0),MATCH(R$4,'Adjust. no safeguard'!$C$10:$U$10,0))/INDEX(OFFSET('Adjust. no safeguard'!$C$1:$U$1,$D15-1,0),MATCH(Q$4,'Adjust. no safeguard'!$C$10:$U$10,0))-1)*100</f>
        <v>1.3736069999999989</v>
      </c>
      <c r="S15" s="267">
        <f ca="1">(INDEX(OFFSET('Adjust. no safeguard'!$C$1:$U$1,$D15-1,0),MATCH(S$4,'Adjust. no safeguard'!$C$10:$U$10,0))/INDEX(OFFSET('Adjust. no safeguard'!$C$1:$U$1,$D15-1,0),MATCH(R$4,'Adjust. no safeguard'!$C$10:$U$10,0))-1)*100</f>
        <v>1.4899999999999913</v>
      </c>
      <c r="T15" s="267">
        <f ca="1">(INDEX(OFFSET('Adjust. no safeguard'!$C$1:$U$1,$D15-1,0),MATCH(T$4,'Adjust. no safeguard'!$C$10:$U$10,0))/INDEX(OFFSET('Adjust. no safeguard'!$C$1:$U$1,$D15-1,0),MATCH(S$4,'Adjust. no safeguard'!$C$10:$U$10,0))-1)*100</f>
        <v>1.5200000000000102</v>
      </c>
      <c r="U15" s="267">
        <f ca="1">(INDEX(OFFSET('Adjust. no safeguard'!$C$1:$U$1,$D15-1,0),MATCH(U$4,'Adjust. no safeguard'!$C$10:$U$10,0))/INDEX(OFFSET('Adjust. no safeguard'!$C$1:$U$1,$D15-1,0),MATCH(T$4,'Adjust. no safeguard'!$C$10:$U$10,0))-1)*100</f>
        <v>1.6000000000000014</v>
      </c>
      <c r="V15" s="267">
        <f ca="1">(INDEX(OFFSET('Adjust. no safeguard'!$C$1:$U$1,$D15-1,0),MATCH(V$4,'Adjust. no safeguard'!$C$10:$U$10,0))/INDEX(OFFSET('Adjust. no safeguard'!$C$1:$U$1,$D15-1,0),MATCH(U$4,'Adjust. no safeguard'!$C$10:$U$10,0))-1)*100</f>
        <v>1.6000000000000014</v>
      </c>
      <c r="W15" s="267">
        <f ca="1">(INDEX(OFFSET('Adjust. no safeguard'!$C$1:$U$1,$D15-1,0),MATCH(W$4,'Adjust. no safeguard'!$C$10:$U$10,0))/INDEX(OFFSET('Adjust. no safeguard'!$C$1:$U$1,$D15-1,0),MATCH(V$4,'Adjust. no safeguard'!$C$10:$U$10,0))-1)*100</f>
        <v>1.6000000000000014</v>
      </c>
      <c r="X15" s="267">
        <f ca="1">(INDEX(OFFSET('Adjust. no safeguard'!$C$1:$U$1,$D15-1,0),MATCH(X$4,'Adjust. no safeguard'!$C$10:$U$10,0))/INDEX(OFFSET('Adjust. no safeguard'!$C$1:$U$1,$D15-1,0),MATCH(W$4,'Adjust. no safeguard'!$C$10:$U$10,0))-1)*100</f>
        <v>1.6100000000000003</v>
      </c>
      <c r="Y15" s="184"/>
    </row>
    <row r="16" spans="1:25" x14ac:dyDescent="0.2">
      <c r="A16" s="184"/>
      <c r="B16" s="274">
        <v>12</v>
      </c>
      <c r="C16" s="270" t="s">
        <v>153</v>
      </c>
      <c r="D16" s="279">
        <v>24</v>
      </c>
      <c r="E16" s="280" t="s">
        <v>152</v>
      </c>
      <c r="F16" s="267">
        <f ca="1">INDEX(OFFSET('Adjust. no safeguard'!$C$1:$U$1,$D16-1,0),MATCH(F$4,'Adjust. no safeguard'!$C$10:$U$10,0))</f>
        <v>2.5804670000000001</v>
      </c>
      <c r="G16" s="267">
        <f ca="1">INDEX(OFFSET('Adjust. no safeguard'!$C$1:$U$1,$D16-1,0),MATCH(G$4,'Adjust. no safeguard'!$C$10:$U$10,0))</f>
        <v>1.7972699999999999</v>
      </c>
      <c r="H16" s="267">
        <f ca="1">INDEX(OFFSET('Adjust. no safeguard'!$C$1:$U$1,$D16-1,0),MATCH(H$4,'Adjust. no safeguard'!$C$10:$U$10,0))</f>
        <v>1.8759769999999953</v>
      </c>
      <c r="I16" s="267">
        <f ca="1">INDEX(OFFSET('Adjust. no safeguard'!$C$1:$U$1,$D16-1,0),MATCH(I$4,'Adjust. no safeguard'!$C$10:$U$10,0))</f>
        <v>1.188645977478342</v>
      </c>
      <c r="J16" s="267">
        <f ca="1">INDEX(OFFSET('Adjust. no safeguard'!$C$1:$U$1,$D16-1,0),MATCH(J$4,'Adjust. no safeguard'!$C$10:$U$10,0))</f>
        <v>1.055869368651452</v>
      </c>
      <c r="K16" s="267">
        <f ca="1">INDEX(OFFSET('Adjust. no safeguard'!$C$1:$U$1,$D16-1,0),MATCH(K$4,'Adjust. no safeguard'!$C$10:$U$10,0))</f>
        <v>1.0937696273310982</v>
      </c>
      <c r="L16" s="267">
        <f ca="1">INDEX(OFFSET('Adjust. no safeguard'!$C$1:$U$1,$D16-1,0),MATCH(L$4,'Adjust. no safeguard'!$C$10:$U$10,0))</f>
        <v>1.4231626924183116</v>
      </c>
      <c r="M16" s="267">
        <f ca="1">INDEX(OFFSET('Adjust. no safeguard'!$C$1:$U$1,$D16-1,0),MATCH(M$4,'Adjust. no safeguard'!$C$10:$U$10,0))</f>
        <v>1.4329775346622942</v>
      </c>
      <c r="N16" s="267">
        <f ca="1">INDEX(OFFSET('Adjust. no safeguard'!$C$1:$U$1,$D16-1,0),MATCH(N$4,'Adjust. no safeguard'!$C$10:$U$10,0))</f>
        <v>1.4405454336224421</v>
      </c>
      <c r="O16" s="267">
        <f ca="1">INDEX(OFFSET('Adjust. no safeguard'!$C$1:$U$1,$D16-1,0),MATCH(O$4,'Adjust. no safeguard'!$C$10:$U$10,0))</f>
        <v>1.2092470000000022</v>
      </c>
      <c r="P16" s="267">
        <f ca="1">INDEX(OFFSET('Adjust. no safeguard'!$C$1:$U$1,$D16-1,0),MATCH(P$4,'Adjust. no safeguard'!$C$10:$U$10,0))</f>
        <v>1.1408279999999937</v>
      </c>
      <c r="Q16" s="267">
        <f ca="1">INDEX(OFFSET('Adjust. no safeguard'!$C$1:$U$1,$D16-1,0),MATCH(Q$4,'Adjust. no safeguard'!$C$10:$U$10,0))</f>
        <v>1.2572180000000044</v>
      </c>
      <c r="R16" s="267">
        <f ca="1">INDEX(OFFSET('Adjust. no safeguard'!$C$1:$U$1,$D16-1,0),MATCH(R$4,'Adjust. no safeguard'!$C$10:$U$10,0))</f>
        <v>1.3736109999999968</v>
      </c>
      <c r="S16" s="267">
        <f ca="1">INDEX(OFFSET('Adjust. no safeguard'!$C$1:$U$1,$D16-1,0),MATCH(S$4,'Adjust. no safeguard'!$C$10:$U$10,0))</f>
        <v>1.4900020000000014</v>
      </c>
      <c r="T16" s="267">
        <f ca="1">INDEX(OFFSET('Adjust. no safeguard'!$C$1:$U$1,$D16-1,0),MATCH(T$4,'Adjust. no safeguard'!$C$10:$U$10,0))</f>
        <v>1.5199970000000063</v>
      </c>
      <c r="U16" s="267">
        <f ca="1">INDEX(OFFSET('Adjust. no safeguard'!$C$1:$U$1,$D16-1,0),MATCH(U$4,'Adjust. no safeguard'!$C$10:$U$10,0))</f>
        <v>1.6000019999999893</v>
      </c>
      <c r="V16" s="267">
        <f ca="1">INDEX(OFFSET('Adjust. no safeguard'!$C$1:$U$1,$D16-1,0),MATCH(V$4,'Adjust. no safeguard'!$C$10:$U$10,0))</f>
        <v>1.6000049999999932</v>
      </c>
      <c r="W16" s="267">
        <f ca="1">INDEX(OFFSET('Adjust. no safeguard'!$C$1:$U$1,$D16-1,0),MATCH(W$4,'Adjust. no safeguard'!$C$10:$U$10,0))</f>
        <v>1.6000000000000014</v>
      </c>
      <c r="X16" s="267">
        <f ca="1">INDEX(OFFSET('Adjust. no safeguard'!$C$1:$U$1,$D16-1,0),MATCH(X$4,'Adjust. no safeguard'!$C$10:$U$10,0))</f>
        <v>1.6100000000000003</v>
      </c>
      <c r="Y16" s="184"/>
    </row>
    <row r="17" spans="1:25" x14ac:dyDescent="0.2">
      <c r="A17" s="184"/>
      <c r="B17" s="274">
        <v>13</v>
      </c>
      <c r="C17" s="283" t="s">
        <v>154</v>
      </c>
      <c r="D17" s="279">
        <v>42</v>
      </c>
      <c r="E17" s="280" t="s">
        <v>152</v>
      </c>
      <c r="F17" s="267">
        <f ca="1">INDEX(OFFSET('Adjust. no safeguard'!$C$1:$U$1,$D17-1,0),MATCH(F$4,'Adjust. no safeguard'!$C$10:$U$10,0))</f>
        <v>3.5126050000000002</v>
      </c>
      <c r="G17" s="267">
        <f ca="1">INDEX(OFFSET('Adjust. no safeguard'!$C$1:$U$1,$D17-1,0),MATCH(G$4,'Adjust. no safeguard'!$C$10:$U$10,0))</f>
        <v>2.6566770000000002</v>
      </c>
      <c r="H17" s="267">
        <f ca="1">INDEX(OFFSET('Adjust. no safeguard'!$C$1:$U$1,$D17-1,0),MATCH(H$4,'Adjust. no safeguard'!$C$10:$U$10,0))</f>
        <v>3.0686640000000001</v>
      </c>
      <c r="I17" s="267">
        <f ca="1">INDEX(OFFSET('Adjust. no safeguard'!$C$1:$U$1,$D17-1,0),MATCH(I$4,'Adjust. no safeguard'!$C$10:$U$10,0))</f>
        <v>2.9775809999999998</v>
      </c>
      <c r="J17" s="267">
        <f ca="1">INDEX(OFFSET('Adjust. no safeguard'!$C$1:$U$1,$D17-1,0),MATCH(J$4,'Adjust. no safeguard'!$C$10:$U$10,0))</f>
        <v>2.886498</v>
      </c>
      <c r="K17" s="267">
        <f ca="1">INDEX(OFFSET('Adjust. no safeguard'!$C$1:$U$1,$D17-1,0),MATCH(K$4,'Adjust. no safeguard'!$C$10:$U$10,0))</f>
        <v>2.7954150000000002</v>
      </c>
      <c r="L17" s="267">
        <f ca="1">INDEX(OFFSET('Adjust. no safeguard'!$C$1:$U$1,$D17-1,0),MATCH(L$4,'Adjust. no safeguard'!$C$10:$U$10,0))</f>
        <v>2.704332</v>
      </c>
      <c r="M17" s="267">
        <f ca="1">INDEX(OFFSET('Adjust. no safeguard'!$C$1:$U$1,$D17-1,0),MATCH(M$4,'Adjust. no safeguard'!$C$10:$U$10,0))</f>
        <v>2.6132489999999997</v>
      </c>
      <c r="N17" s="267">
        <f ca="1">INDEX(OFFSET('Adjust. no safeguard'!$C$1:$U$1,$D17-1,0),MATCH(N$4,'Adjust. no safeguard'!$C$10:$U$10,0))</f>
        <v>2.5221659999999999</v>
      </c>
      <c r="O17" s="267">
        <f ca="1">INDEX(OFFSET('Adjust. no safeguard'!$C$1:$U$1,$D17-1,0),MATCH(O$4,'Adjust. no safeguard'!$C$10:$U$10,0))</f>
        <v>2.4310830000000001</v>
      </c>
      <c r="P17" s="267">
        <f ca="1">INDEX(OFFSET('Adjust. no safeguard'!$C$1:$U$1,$D17-1,0),MATCH(P$4,'Adjust. no safeguard'!$C$10:$U$10,0))</f>
        <v>2.34</v>
      </c>
      <c r="Q17" s="267">
        <f ca="1">INDEX(OFFSET('Adjust. no safeguard'!$C$1:$U$1,$D17-1,0),MATCH(Q$4,'Adjust. no safeguard'!$C$10:$U$10,0))</f>
        <v>2.323</v>
      </c>
      <c r="R17" s="267">
        <f ca="1">INDEX(OFFSET('Adjust. no safeguard'!$C$1:$U$1,$D17-1,0),MATCH(R$4,'Adjust. no safeguard'!$C$10:$U$10,0))</f>
        <v>2.306</v>
      </c>
      <c r="S17" s="267">
        <f ca="1">INDEX(OFFSET('Adjust. no safeguard'!$C$1:$U$1,$D17-1,0),MATCH(S$4,'Adjust. no safeguard'!$C$10:$U$10,0))</f>
        <v>2.2889999999999997</v>
      </c>
      <c r="T17" s="267">
        <f ca="1">INDEX(OFFSET('Adjust. no safeguard'!$C$1:$U$1,$D17-1,0),MATCH(T$4,'Adjust. no safeguard'!$C$10:$U$10,0))</f>
        <v>2.2719999999999998</v>
      </c>
      <c r="U17" s="267">
        <f ca="1">INDEX(OFFSET('Adjust. no safeguard'!$C$1:$U$1,$D17-1,0),MATCH(U$4,'Adjust. no safeguard'!$C$10:$U$10,0))</f>
        <v>2.2549999999999999</v>
      </c>
      <c r="V17" s="267">
        <f ca="1">INDEX(OFFSET('Adjust. no safeguard'!$C$1:$U$1,$D17-1,0),MATCH(V$4,'Adjust. no safeguard'!$C$10:$U$10,0))</f>
        <v>2.238</v>
      </c>
      <c r="W17" s="267">
        <f ca="1">INDEX(OFFSET('Adjust. no safeguard'!$C$1:$U$1,$D17-1,0),MATCH(W$4,'Adjust. no safeguard'!$C$10:$U$10,0))</f>
        <v>2.2210000000000001</v>
      </c>
      <c r="X17" s="267">
        <f ca="1">INDEX(OFFSET('Adjust. no safeguard'!$C$1:$U$1,$D17-1,0),MATCH(X$4,'Adjust. no safeguard'!$C$10:$U$10,0))</f>
        <v>2.2039999999999997</v>
      </c>
      <c r="Y17" s="184"/>
    </row>
    <row r="18" spans="1:25" x14ac:dyDescent="0.2">
      <c r="A18" s="184"/>
      <c r="B18" s="274">
        <v>14</v>
      </c>
      <c r="C18" s="270" t="s">
        <v>155</v>
      </c>
      <c r="D18" s="279">
        <v>33</v>
      </c>
      <c r="E18" s="280" t="s">
        <v>152</v>
      </c>
      <c r="F18" s="267">
        <f ca="1">INDEX(OFFSET('Adjust. no safeguard'!$C$1:$U$1,$D18-1,0),MATCH(F$4,'Adjust. no safeguard'!$C$10:$U$10,0))</f>
        <v>6.1837136128653603</v>
      </c>
      <c r="G18" s="267">
        <f ca="1">INDEX(OFFSET('Adjust. no safeguard'!$C$1:$U$1,$D18-1,0),MATCH(G$4,'Adjust. no safeguard'!$C$10:$U$10,0))</f>
        <v>4.501694658717903</v>
      </c>
      <c r="H18" s="267">
        <f ca="1">INDEX(OFFSET('Adjust. no safeguard'!$C$1:$U$1,$D18-1,0),MATCH(H$4,'Adjust. no safeguard'!$C$10:$U$10,0))</f>
        <v>5.0022084308472881</v>
      </c>
      <c r="I18" s="267">
        <f ca="1">INDEX(OFFSET('Adjust. no safeguard'!$C$1:$U$1,$D18-1,0),MATCH(I$4,'Adjust. no safeguard'!$C$10:$U$10,0))</f>
        <v>4.2016198742609978</v>
      </c>
      <c r="J18" s="267">
        <f ca="1">INDEX(OFFSET('Adjust. no safeguard'!$C$1:$U$1,$D18-1,0),MATCH(J$4,'Adjust. no safeguard'!$C$10:$U$10,0))</f>
        <v>3.9728450168601936</v>
      </c>
      <c r="K18" s="267">
        <f ca="1">INDEX(OFFSET('Adjust. no safeguard'!$C$1:$U$1,$D18-1,0),MATCH(K$4,'Adjust. no safeguard'!$C$10:$U$10,0))</f>
        <v>3.9197600275589606</v>
      </c>
      <c r="L18" s="267">
        <f ca="1">INDEX(OFFSET('Adjust. no safeguard'!$C$1:$U$1,$D18-1,0),MATCH(L$4,'Adjust. no safeguard'!$C$10:$U$10,0))</f>
        <v>4.1659817365214291</v>
      </c>
      <c r="M18" s="267">
        <f ca="1">INDEX(OFFSET('Adjust. no safeguard'!$C$1:$U$1,$D18-1,0),MATCH(M$4,'Adjust. no safeguard'!$C$10:$U$10,0))</f>
        <v>4.083673805757071</v>
      </c>
      <c r="N18" s="267">
        <f ca="1">INDEX(OFFSET('Adjust. no safeguard'!$C$1:$U$1,$D18-1,0),MATCH(N$4,'Adjust. no safeguard'!$C$10:$U$10,0))</f>
        <v>3.9990443807638165</v>
      </c>
      <c r="O18" s="267">
        <f ca="1">INDEX(OFFSET('Adjust. no safeguard'!$C$1:$U$1,$D18-1,0),MATCH(O$4,'Adjust. no safeguard'!$C$10:$U$10,0))</f>
        <v>3.6697277982449927</v>
      </c>
      <c r="P18" s="267">
        <f ca="1">INDEX(OFFSET('Adjust. no safeguard'!$C$1:$U$1,$D18-1,0),MATCH(P$4,'Adjust. no safeguard'!$C$10:$U$10,0))</f>
        <v>3.5075233751999946</v>
      </c>
      <c r="Q18" s="267">
        <f ca="1">INDEX(OFFSET('Adjust. no safeguard'!$C$1:$U$1,$D18-1,0),MATCH(Q$4,'Adjust. no safeguard'!$C$10:$U$10,0))</f>
        <v>3.609423174140014</v>
      </c>
      <c r="R18" s="267">
        <f ca="1">INDEX(OFFSET('Adjust. no safeguard'!$C$1:$U$1,$D18-1,0),MATCH(R$4,'Adjust. no safeguard'!$C$10:$U$10,0))</f>
        <v>3.7112864696600134</v>
      </c>
      <c r="S18" s="267">
        <f ca="1">INDEX(OFFSET('Adjust. no safeguard'!$C$1:$U$1,$D18-1,0),MATCH(S$4,'Adjust. no safeguard'!$C$10:$U$10,0))</f>
        <v>3.8131081457800198</v>
      </c>
      <c r="T18" s="267">
        <f ca="1">INDEX(OFFSET('Adjust. no safeguard'!$C$1:$U$1,$D18-1,0),MATCH(T$4,'Adjust. no safeguard'!$C$10:$U$10,0))</f>
        <v>3.8265313318400107</v>
      </c>
      <c r="U18" s="267">
        <f ca="1">INDEX(OFFSET('Adjust. no safeguard'!$C$1:$U$1,$D18-1,0),MATCH(U$4,'Adjust. no safeguard'!$C$10:$U$10,0))</f>
        <v>3.8910820451000028</v>
      </c>
      <c r="V18" s="267">
        <f ca="1">INDEX(OFFSET('Adjust. no safeguard'!$C$1:$U$1,$D18-1,0),MATCH(V$4,'Adjust. no safeguard'!$C$10:$U$10,0))</f>
        <v>3.8738131119000041</v>
      </c>
      <c r="W18" s="267">
        <f ca="1">INDEX(OFFSET('Adjust. no safeguard'!$C$1:$U$1,$D18-1,0),MATCH(W$4,'Adjust. no safeguard'!$C$10:$U$10,0))</f>
        <v>3.8565359999999993</v>
      </c>
      <c r="X18" s="267">
        <f ca="1">INDEX(OFFSET('Adjust. no safeguard'!$C$1:$U$1,$D18-1,0),MATCH(X$4,'Adjust. no safeguard'!$C$10:$U$10,0))</f>
        <v>3.8494844000000139</v>
      </c>
      <c r="Y18" s="184"/>
    </row>
    <row r="19" spans="1:25" x14ac:dyDescent="0.2">
      <c r="A19" s="184"/>
      <c r="B19" s="268"/>
      <c r="C19" s="289"/>
      <c r="D19" s="289"/>
      <c r="E19" s="289"/>
      <c r="F19" s="289"/>
      <c r="G19" s="289"/>
      <c r="H19" s="289"/>
      <c r="I19" s="289"/>
      <c r="J19" s="289"/>
      <c r="K19" s="184"/>
      <c r="L19" s="184"/>
      <c r="M19" s="184"/>
      <c r="N19" s="184"/>
      <c r="O19" s="184"/>
      <c r="P19" s="184"/>
      <c r="Q19" s="184"/>
      <c r="R19" s="184"/>
      <c r="S19" s="184"/>
      <c r="T19" s="184"/>
      <c r="U19" s="184"/>
      <c r="V19" s="184"/>
      <c r="W19" s="184"/>
      <c r="X19" s="184"/>
      <c r="Y19" s="184"/>
    </row>
    <row r="20" spans="1:25" x14ac:dyDescent="0.2">
      <c r="A20" s="184"/>
      <c r="B20" s="290"/>
      <c r="C20" s="272" t="s">
        <v>156</v>
      </c>
      <c r="D20" s="273"/>
      <c r="E20" s="273"/>
      <c r="F20" s="273"/>
      <c r="G20" s="289"/>
      <c r="H20" s="289"/>
      <c r="I20" s="289"/>
      <c r="J20" s="289"/>
      <c r="K20" s="184"/>
      <c r="L20" s="184"/>
      <c r="M20" s="184"/>
      <c r="N20" s="184"/>
      <c r="O20" s="184"/>
      <c r="P20" s="184"/>
      <c r="Q20" s="184"/>
      <c r="R20" s="184"/>
      <c r="S20" s="184"/>
      <c r="T20" s="184"/>
      <c r="U20" s="184"/>
      <c r="V20" s="184"/>
      <c r="W20" s="184"/>
      <c r="X20" s="184"/>
      <c r="Y20" s="184"/>
    </row>
    <row r="21" spans="1:25" x14ac:dyDescent="0.2">
      <c r="A21" s="184"/>
      <c r="B21" s="268"/>
      <c r="C21" s="289"/>
      <c r="D21" s="289"/>
      <c r="E21" s="289"/>
      <c r="F21" s="289"/>
      <c r="G21" s="289"/>
      <c r="H21" s="289"/>
      <c r="I21" s="289"/>
      <c r="J21" s="289"/>
      <c r="K21" s="184"/>
      <c r="L21" s="184"/>
      <c r="M21" s="184"/>
      <c r="N21" s="184"/>
      <c r="O21" s="184"/>
      <c r="P21" s="184"/>
      <c r="Q21" s="184"/>
      <c r="R21" s="184"/>
      <c r="S21" s="184"/>
      <c r="T21" s="184"/>
      <c r="U21" s="184"/>
      <c r="V21" s="184"/>
      <c r="W21" s="184"/>
      <c r="X21" s="184"/>
      <c r="Y21" s="184"/>
    </row>
    <row r="22" spans="1:25" x14ac:dyDescent="0.2">
      <c r="A22" s="184"/>
      <c r="B22" s="274"/>
      <c r="C22" s="272" t="s">
        <v>12</v>
      </c>
      <c r="D22" s="272"/>
      <c r="E22" s="276">
        <f>F22-1</f>
        <v>-1</v>
      </c>
      <c r="F22" s="277"/>
      <c r="G22" s="277"/>
      <c r="H22" s="277"/>
      <c r="I22" s="277"/>
      <c r="J22" s="277"/>
      <c r="K22" s="277"/>
      <c r="L22" s="277"/>
      <c r="M22" s="277"/>
      <c r="N22" s="277"/>
      <c r="O22" s="277"/>
      <c r="P22" s="277"/>
      <c r="Q22" s="277"/>
      <c r="R22" s="277"/>
      <c r="S22" s="277"/>
      <c r="T22" s="277"/>
      <c r="U22" s="277"/>
      <c r="V22" s="277"/>
      <c r="W22" s="277"/>
      <c r="X22" s="277"/>
      <c r="Y22" s="184"/>
    </row>
    <row r="23" spans="1:25" x14ac:dyDescent="0.2">
      <c r="A23" s="184"/>
      <c r="B23" s="274">
        <v>1</v>
      </c>
      <c r="C23" s="278" t="s">
        <v>142</v>
      </c>
      <c r="D23" s="279">
        <v>56</v>
      </c>
      <c r="E23" s="280" t="s">
        <v>143</v>
      </c>
      <c r="F23" s="267"/>
      <c r="G23" s="267"/>
      <c r="H23" s="267"/>
      <c r="I23" s="267"/>
      <c r="J23" s="267"/>
      <c r="K23" s="267"/>
      <c r="L23" s="267"/>
      <c r="M23" s="267"/>
      <c r="N23" s="267"/>
      <c r="O23" s="267"/>
      <c r="P23" s="267"/>
      <c r="Q23" s="267"/>
      <c r="R23" s="267"/>
      <c r="S23" s="267"/>
      <c r="T23" s="267"/>
      <c r="U23" s="267"/>
      <c r="V23" s="267"/>
      <c r="W23" s="267"/>
      <c r="X23" s="267"/>
      <c r="Y23" s="184"/>
    </row>
    <row r="24" spans="1:25" x14ac:dyDescent="0.2">
      <c r="A24" s="184"/>
      <c r="B24" s="274">
        <v>2</v>
      </c>
      <c r="C24" s="278" t="s">
        <v>61</v>
      </c>
      <c r="D24" s="279">
        <v>36</v>
      </c>
      <c r="E24" s="280" t="s">
        <v>149</v>
      </c>
      <c r="F24" s="267"/>
      <c r="G24" s="267"/>
      <c r="H24" s="267"/>
      <c r="I24" s="267"/>
      <c r="J24" s="267"/>
      <c r="K24" s="267"/>
      <c r="L24" s="267"/>
      <c r="M24" s="267"/>
      <c r="N24" s="267"/>
      <c r="O24" s="267"/>
      <c r="P24" s="267"/>
      <c r="Q24" s="267"/>
      <c r="R24" s="267"/>
      <c r="S24" s="267"/>
      <c r="T24" s="267"/>
      <c r="U24" s="267"/>
      <c r="V24" s="267"/>
      <c r="W24" s="267"/>
      <c r="X24" s="267"/>
      <c r="Y24" s="184"/>
    </row>
    <row r="25" spans="1:25" x14ac:dyDescent="0.2">
      <c r="A25" s="184"/>
      <c r="B25" s="274">
        <v>3</v>
      </c>
      <c r="C25" s="278" t="s">
        <v>62</v>
      </c>
      <c r="D25" s="279">
        <v>37</v>
      </c>
      <c r="E25" s="280" t="s">
        <v>149</v>
      </c>
      <c r="F25" s="267"/>
      <c r="G25" s="267"/>
      <c r="H25" s="267"/>
      <c r="I25" s="267"/>
      <c r="J25" s="267"/>
      <c r="K25" s="267"/>
      <c r="L25" s="267"/>
      <c r="M25" s="267"/>
      <c r="N25" s="267"/>
      <c r="O25" s="267"/>
      <c r="P25" s="267"/>
      <c r="Q25" s="267"/>
      <c r="R25" s="267"/>
      <c r="S25" s="267"/>
      <c r="T25" s="267"/>
      <c r="U25" s="267"/>
      <c r="V25" s="267"/>
      <c r="W25" s="267"/>
      <c r="X25" s="267"/>
      <c r="Y25" s="184"/>
    </row>
    <row r="26" spans="1:25" x14ac:dyDescent="0.2">
      <c r="A26" s="184"/>
      <c r="B26" s="274"/>
      <c r="C26" s="272" t="s">
        <v>13</v>
      </c>
      <c r="D26" s="272"/>
      <c r="E26" s="276">
        <f>F26-1</f>
        <v>-1</v>
      </c>
      <c r="F26" s="277"/>
      <c r="G26" s="277"/>
      <c r="H26" s="277"/>
      <c r="I26" s="277"/>
      <c r="J26" s="277"/>
      <c r="K26" s="277"/>
      <c r="L26" s="277"/>
      <c r="M26" s="277"/>
      <c r="N26" s="277"/>
      <c r="O26" s="277"/>
      <c r="P26" s="277"/>
      <c r="Q26" s="277"/>
      <c r="R26" s="277"/>
      <c r="S26" s="277"/>
      <c r="T26" s="277"/>
      <c r="U26" s="277"/>
      <c r="V26" s="277"/>
      <c r="W26" s="277"/>
      <c r="X26" s="277"/>
      <c r="Y26" s="184"/>
    </row>
    <row r="27" spans="1:25" x14ac:dyDescent="0.2">
      <c r="A27" s="184"/>
      <c r="B27" s="274">
        <v>4</v>
      </c>
      <c r="C27" s="278" t="s">
        <v>142</v>
      </c>
      <c r="D27" s="279">
        <v>56</v>
      </c>
      <c r="E27" s="280" t="s">
        <v>143</v>
      </c>
      <c r="F27" s="267"/>
      <c r="G27" s="267"/>
      <c r="H27" s="267"/>
      <c r="I27" s="267"/>
      <c r="J27" s="267"/>
      <c r="K27" s="267"/>
      <c r="L27" s="267"/>
      <c r="M27" s="267"/>
      <c r="N27" s="267"/>
      <c r="O27" s="267"/>
      <c r="P27" s="267"/>
      <c r="Q27" s="267"/>
      <c r="R27" s="267"/>
      <c r="S27" s="267"/>
      <c r="T27" s="267"/>
      <c r="U27" s="267"/>
      <c r="V27" s="267"/>
      <c r="W27" s="267"/>
      <c r="X27" s="267"/>
      <c r="Y27" s="184"/>
    </row>
    <row r="28" spans="1:25" x14ac:dyDescent="0.2">
      <c r="A28" s="184"/>
      <c r="B28" s="274">
        <v>5</v>
      </c>
      <c r="C28" s="278" t="s">
        <v>18</v>
      </c>
      <c r="D28" s="279">
        <v>12</v>
      </c>
      <c r="E28" s="280" t="s">
        <v>145</v>
      </c>
      <c r="F28" s="267"/>
      <c r="G28" s="267"/>
      <c r="H28" s="267"/>
      <c r="I28" s="267"/>
      <c r="J28" s="267"/>
      <c r="K28" s="267"/>
      <c r="L28" s="267"/>
      <c r="M28" s="267"/>
      <c r="N28" s="267"/>
      <c r="O28" s="267"/>
      <c r="P28" s="267"/>
      <c r="Q28" s="267"/>
      <c r="R28" s="267"/>
      <c r="S28" s="267"/>
      <c r="T28" s="267"/>
      <c r="U28" s="267"/>
      <c r="V28" s="267"/>
      <c r="W28" s="267"/>
      <c r="X28" s="267"/>
      <c r="Y28" s="184"/>
    </row>
    <row r="29" spans="1:25" x14ac:dyDescent="0.2">
      <c r="A29" s="184"/>
      <c r="B29" s="274"/>
      <c r="C29" s="272" t="s">
        <v>157</v>
      </c>
      <c r="D29" s="272"/>
      <c r="E29" s="276">
        <f>F29-1</f>
        <v>-1</v>
      </c>
      <c r="F29" s="277"/>
      <c r="G29" s="277"/>
      <c r="H29" s="277"/>
      <c r="I29" s="277"/>
      <c r="J29" s="277"/>
      <c r="K29" s="277"/>
      <c r="L29" s="277"/>
      <c r="M29" s="277"/>
      <c r="N29" s="277"/>
      <c r="O29" s="277"/>
      <c r="P29" s="277"/>
      <c r="Q29" s="277"/>
      <c r="R29" s="277"/>
      <c r="S29" s="277"/>
      <c r="T29" s="277"/>
      <c r="U29" s="277"/>
      <c r="V29" s="277"/>
      <c r="W29" s="277"/>
      <c r="X29" s="277"/>
      <c r="Y29" s="184"/>
    </row>
    <row r="30" spans="1:25" x14ac:dyDescent="0.2">
      <c r="A30" s="184"/>
      <c r="B30" s="274">
        <v>6</v>
      </c>
      <c r="C30" s="278" t="s">
        <v>142</v>
      </c>
      <c r="D30" s="279">
        <v>57</v>
      </c>
      <c r="E30" s="280" t="s">
        <v>143</v>
      </c>
      <c r="F30" s="267"/>
      <c r="G30" s="267"/>
      <c r="H30" s="267"/>
      <c r="I30" s="267"/>
      <c r="J30" s="267"/>
      <c r="K30" s="267"/>
      <c r="L30" s="267"/>
      <c r="M30" s="267"/>
      <c r="N30" s="267"/>
      <c r="O30" s="267"/>
      <c r="P30" s="267"/>
      <c r="Q30" s="267"/>
      <c r="R30" s="267"/>
      <c r="S30" s="267"/>
      <c r="T30" s="267"/>
      <c r="U30" s="267"/>
      <c r="V30" s="267"/>
      <c r="W30" s="267"/>
      <c r="X30" s="267"/>
      <c r="Y30" s="184"/>
    </row>
    <row r="31" spans="1:25" x14ac:dyDescent="0.2">
      <c r="A31" s="184"/>
      <c r="B31" s="274">
        <v>7</v>
      </c>
      <c r="C31" s="278" t="s">
        <v>61</v>
      </c>
      <c r="D31" s="279">
        <v>37</v>
      </c>
      <c r="E31" s="280" t="s">
        <v>149</v>
      </c>
      <c r="F31" s="267"/>
      <c r="G31" s="267"/>
      <c r="H31" s="267"/>
      <c r="I31" s="267"/>
      <c r="J31" s="267"/>
      <c r="K31" s="267"/>
      <c r="L31" s="267"/>
      <c r="M31" s="267"/>
      <c r="N31" s="267"/>
      <c r="O31" s="267"/>
      <c r="P31" s="267"/>
      <c r="Q31" s="267"/>
      <c r="R31" s="267"/>
      <c r="S31" s="267"/>
      <c r="T31" s="267"/>
      <c r="U31" s="267"/>
      <c r="V31" s="267"/>
      <c r="W31" s="267"/>
      <c r="X31" s="267"/>
      <c r="Y31" s="184"/>
    </row>
    <row r="32" spans="1:25" x14ac:dyDescent="0.2">
      <c r="A32" s="184"/>
      <c r="B32" s="274">
        <v>8</v>
      </c>
      <c r="C32" s="278" t="s">
        <v>62</v>
      </c>
      <c r="D32" s="279">
        <v>38</v>
      </c>
      <c r="E32" s="280" t="s">
        <v>149</v>
      </c>
      <c r="F32" s="267"/>
      <c r="G32" s="267"/>
      <c r="H32" s="267"/>
      <c r="I32" s="267"/>
      <c r="J32" s="267"/>
      <c r="K32" s="267"/>
      <c r="L32" s="267"/>
      <c r="M32" s="267"/>
      <c r="N32" s="267"/>
      <c r="O32" s="267"/>
      <c r="P32" s="267"/>
      <c r="Q32" s="267"/>
      <c r="R32" s="267"/>
      <c r="S32" s="267"/>
      <c r="T32" s="267"/>
      <c r="U32" s="267"/>
      <c r="V32" s="267"/>
      <c r="W32" s="267"/>
      <c r="X32" s="267"/>
      <c r="Y32" s="184"/>
    </row>
    <row r="33" spans="1:25" x14ac:dyDescent="0.2">
      <c r="A33" s="184"/>
      <c r="B33" s="274">
        <v>9</v>
      </c>
      <c r="C33" s="270" t="s">
        <v>153</v>
      </c>
      <c r="D33" s="279">
        <v>23</v>
      </c>
      <c r="E33" s="280" t="s">
        <v>152</v>
      </c>
      <c r="F33" s="267"/>
      <c r="G33" s="267"/>
      <c r="H33" s="267"/>
      <c r="I33" s="267"/>
      <c r="J33" s="267"/>
      <c r="K33" s="267"/>
      <c r="L33" s="267"/>
      <c r="M33" s="267"/>
      <c r="N33" s="267"/>
      <c r="O33" s="267"/>
      <c r="P33" s="267"/>
      <c r="Q33" s="267"/>
      <c r="R33" s="267"/>
      <c r="S33" s="267"/>
      <c r="T33" s="267"/>
      <c r="U33" s="267"/>
      <c r="V33" s="267"/>
      <c r="W33" s="267"/>
      <c r="X33" s="267"/>
      <c r="Y33" s="184"/>
    </row>
    <row r="34" spans="1:25" x14ac:dyDescent="0.2">
      <c r="A34" s="184"/>
      <c r="B34" s="274">
        <v>10</v>
      </c>
      <c r="C34" s="282" t="s">
        <v>40</v>
      </c>
      <c r="D34" s="279">
        <v>27</v>
      </c>
      <c r="E34" s="280" t="s">
        <v>152</v>
      </c>
      <c r="F34" s="267"/>
      <c r="G34" s="267"/>
      <c r="H34" s="267"/>
      <c r="I34" s="267"/>
      <c r="J34" s="267"/>
      <c r="K34" s="267"/>
      <c r="L34" s="267"/>
      <c r="M34" s="267"/>
      <c r="N34" s="267"/>
      <c r="O34" s="267"/>
      <c r="P34" s="267"/>
      <c r="Q34" s="267"/>
      <c r="R34" s="267"/>
      <c r="S34" s="267"/>
      <c r="T34" s="267"/>
      <c r="U34" s="267"/>
      <c r="V34" s="267"/>
      <c r="W34" s="267"/>
      <c r="X34" s="267"/>
      <c r="Y34" s="184"/>
    </row>
    <row r="35" spans="1:25" x14ac:dyDescent="0.2">
      <c r="A35" s="184"/>
      <c r="B35" s="274"/>
      <c r="C35" s="272" t="s">
        <v>158</v>
      </c>
      <c r="D35" s="272"/>
      <c r="E35" s="276">
        <f>F35-1</f>
        <v>-1</v>
      </c>
      <c r="F35" s="285"/>
      <c r="G35" s="184"/>
      <c r="H35" s="184"/>
      <c r="I35" s="184"/>
      <c r="J35" s="184"/>
      <c r="K35" s="184"/>
      <c r="L35" s="184"/>
      <c r="M35" s="184"/>
      <c r="N35" s="184"/>
      <c r="O35" s="184"/>
      <c r="P35" s="184"/>
      <c r="Q35" s="184"/>
      <c r="R35" s="184"/>
      <c r="S35" s="184"/>
      <c r="T35" s="184"/>
      <c r="U35" s="184"/>
      <c r="V35" s="184"/>
      <c r="W35" s="184"/>
      <c r="X35" s="184"/>
      <c r="Y35" s="184"/>
    </row>
    <row r="36" spans="1:25" x14ac:dyDescent="0.2">
      <c r="A36" s="184"/>
      <c r="B36" s="274">
        <v>11</v>
      </c>
      <c r="C36" s="278" t="s">
        <v>159</v>
      </c>
      <c r="D36" s="291" t="s">
        <v>163</v>
      </c>
      <c r="E36" s="280" t="s">
        <v>149</v>
      </c>
      <c r="F36" s="267"/>
      <c r="G36" s="314"/>
      <c r="H36" s="287"/>
      <c r="I36" s="288"/>
      <c r="J36" s="288"/>
      <c r="K36" s="287"/>
      <c r="L36" s="288"/>
      <c r="M36" s="287"/>
      <c r="N36" s="287"/>
      <c r="O36" s="288"/>
      <c r="P36" s="288"/>
      <c r="Q36" s="287"/>
      <c r="R36" s="288"/>
      <c r="S36" s="287"/>
      <c r="T36" s="305"/>
      <c r="U36" s="88"/>
      <c r="V36" s="315"/>
      <c r="W36" s="316"/>
      <c r="X36" s="315"/>
      <c r="Y36" s="88"/>
    </row>
    <row r="37" spans="1:25" x14ac:dyDescent="0.2">
      <c r="A37" s="184"/>
      <c r="B37" s="268"/>
      <c r="C37" s="289"/>
      <c r="D37" s="289"/>
      <c r="E37" s="289"/>
      <c r="F37" s="289"/>
      <c r="G37" s="289"/>
      <c r="H37" s="289"/>
      <c r="I37" s="289"/>
      <c r="J37" s="289"/>
      <c r="K37" s="184"/>
      <c r="L37" s="184"/>
      <c r="M37" s="184"/>
      <c r="N37" s="184"/>
      <c r="O37" s="184"/>
      <c r="P37" s="184"/>
      <c r="Q37" s="314"/>
      <c r="R37" s="314"/>
      <c r="S37" s="314"/>
      <c r="T37" s="314"/>
      <c r="U37" s="314"/>
      <c r="V37" s="314"/>
      <c r="W37" s="184"/>
      <c r="X37" s="184"/>
      <c r="Y37" s="184"/>
    </row>
    <row r="38" spans="1:25" x14ac:dyDescent="0.2">
      <c r="A38" s="184"/>
      <c r="B38" s="290"/>
      <c r="C38" s="272" t="s">
        <v>160</v>
      </c>
      <c r="D38" s="273"/>
      <c r="E38" s="273"/>
      <c r="F38" s="284"/>
      <c r="G38" s="184"/>
      <c r="H38" s="184"/>
      <c r="I38" s="184"/>
      <c r="J38" s="184"/>
      <c r="K38" s="184"/>
      <c r="L38" s="184"/>
      <c r="M38" s="184"/>
      <c r="N38" s="184"/>
      <c r="O38" s="184"/>
      <c r="P38" s="184"/>
      <c r="Q38" s="184"/>
      <c r="R38" s="184"/>
      <c r="S38" s="184"/>
      <c r="T38" s="184"/>
      <c r="U38" s="184"/>
      <c r="V38" s="184"/>
      <c r="W38" s="184"/>
      <c r="X38" s="184"/>
      <c r="Y38" s="184"/>
    </row>
    <row r="39" spans="1:25" x14ac:dyDescent="0.2">
      <c r="A39" s="184"/>
      <c r="B39" s="268"/>
      <c r="C39" s="289"/>
      <c r="D39" s="289"/>
      <c r="E39" s="289"/>
      <c r="F39" s="289"/>
      <c r="G39" s="289"/>
      <c r="H39" s="289"/>
      <c r="I39" s="289"/>
      <c r="J39" s="289"/>
      <c r="K39" s="184"/>
      <c r="L39" s="184"/>
      <c r="M39" s="184"/>
      <c r="N39" s="184"/>
      <c r="O39" s="184"/>
      <c r="P39" s="184"/>
      <c r="Q39" s="184"/>
      <c r="R39" s="184"/>
      <c r="S39" s="184"/>
      <c r="T39" s="184"/>
      <c r="U39" s="184"/>
      <c r="V39" s="184"/>
      <c r="W39" s="184"/>
      <c r="X39" s="184"/>
      <c r="Y39" s="184"/>
    </row>
    <row r="40" spans="1:25" x14ac:dyDescent="0.2">
      <c r="A40" s="184"/>
      <c r="B40" s="274"/>
      <c r="C40" s="272"/>
      <c r="D40" s="272"/>
      <c r="E40" s="277"/>
      <c r="F40" s="277">
        <f>'Input data'!$C$5-1</f>
        <v>2025</v>
      </c>
      <c r="G40" s="277">
        <f>F40+1</f>
        <v>2026</v>
      </c>
      <c r="H40" s="277">
        <f t="shared" ref="H40:X40" si="1">G40+1</f>
        <v>2027</v>
      </c>
      <c r="I40" s="277">
        <f t="shared" si="1"/>
        <v>2028</v>
      </c>
      <c r="J40" s="277">
        <f t="shared" si="1"/>
        <v>2029</v>
      </c>
      <c r="K40" s="277">
        <f t="shared" si="1"/>
        <v>2030</v>
      </c>
      <c r="L40" s="277">
        <f t="shared" si="1"/>
        <v>2031</v>
      </c>
      <c r="M40" s="277">
        <f t="shared" si="1"/>
        <v>2032</v>
      </c>
      <c r="N40" s="277">
        <f t="shared" si="1"/>
        <v>2033</v>
      </c>
      <c r="O40" s="277">
        <f t="shared" si="1"/>
        <v>2034</v>
      </c>
      <c r="P40" s="277">
        <f t="shared" si="1"/>
        <v>2035</v>
      </c>
      <c r="Q40" s="277">
        <f t="shared" si="1"/>
        <v>2036</v>
      </c>
      <c r="R40" s="277">
        <f t="shared" si="1"/>
        <v>2037</v>
      </c>
      <c r="S40" s="277">
        <f t="shared" si="1"/>
        <v>2038</v>
      </c>
      <c r="T40" s="277">
        <f t="shared" si="1"/>
        <v>2039</v>
      </c>
      <c r="U40" s="277">
        <f t="shared" si="1"/>
        <v>2040</v>
      </c>
      <c r="V40" s="277">
        <f t="shared" si="1"/>
        <v>2041</v>
      </c>
      <c r="W40" s="277">
        <f t="shared" si="1"/>
        <v>2042</v>
      </c>
      <c r="X40" s="277">
        <f t="shared" si="1"/>
        <v>2043</v>
      </c>
      <c r="Y40" s="184"/>
    </row>
    <row r="41" spans="1:25" x14ac:dyDescent="0.2">
      <c r="A41" s="184"/>
      <c r="B41" s="274">
        <v>1</v>
      </c>
      <c r="C41" s="278" t="s">
        <v>142</v>
      </c>
      <c r="D41" s="279">
        <v>56</v>
      </c>
      <c r="E41" s="280" t="s">
        <v>143</v>
      </c>
      <c r="F41" s="267">
        <f ca="1">INDEX(OFFSET('Baseline NFPC'!$C$1:$U$1,$D41-1,0),MATCH(F$4,'Baseline NFPC'!$C$10:$U$10,0))</f>
        <v>44.250230000000002</v>
      </c>
      <c r="G41" s="267">
        <f ca="1">INDEX(OFFSET('Baseline NFPC'!$C$1:$U$1,$D41-1,0),MATCH(G$4,'Baseline NFPC'!$C$10:$U$10,0))</f>
        <v>45.838496420963068</v>
      </c>
      <c r="H41" s="267">
        <f ca="1">INDEX(OFFSET('Baseline NFPC'!$C$1:$U$1,$D41-1,0),MATCH(H$4,'Baseline NFPC'!$C$10:$U$10,0))</f>
        <v>47.042626896526684</v>
      </c>
      <c r="I41" s="267">
        <f ca="1">INDEX(OFFSET('Baseline NFPC'!$C$1:$U$1,$D41-1,0),MATCH(I$4,'Baseline NFPC'!$C$10:$U$10,0))</f>
        <v>48.037874693796731</v>
      </c>
      <c r="J41" s="267">
        <f ca="1">INDEX(OFFSET('Baseline NFPC'!$C$1:$U$1,$D41-1,0),MATCH(J$4,'Baseline NFPC'!$C$10:$U$10,0))</f>
        <v>49.449013611695172</v>
      </c>
      <c r="K41" s="267">
        <f ca="1">INDEX(OFFSET('Baseline NFPC'!$C$1:$U$1,$D41-1,0),MATCH(K$4,'Baseline NFPC'!$C$10:$U$10,0))</f>
        <v>51.025602481487923</v>
      </c>
      <c r="L41" s="267">
        <f ca="1">INDEX(OFFSET('Baseline NFPC'!$C$1:$U$1,$D41-1,0),MATCH(L$4,'Baseline NFPC'!$C$10:$U$10,0))</f>
        <v>52.830767302418955</v>
      </c>
      <c r="M41" s="267">
        <f ca="1">INDEX(OFFSET('Baseline NFPC'!$C$1:$U$1,$D41-1,0),MATCH(M$4,'Baseline NFPC'!$C$10:$U$10,0))</f>
        <v>54.798961717543108</v>
      </c>
      <c r="N41" s="267">
        <f ca="1">INDEX(OFFSET('Baseline NFPC'!$C$1:$U$1,$D41-1,0),MATCH(N$4,'Baseline NFPC'!$C$10:$U$10,0))</f>
        <v>56.937191686745273</v>
      </c>
      <c r="O41" s="267">
        <f ca="1">INDEX(OFFSET('Baseline NFPC'!$C$1:$U$1,$D41-1,0),MATCH(O$4,'Baseline NFPC'!$C$10:$U$10,0))</f>
        <v>59.57701111309251</v>
      </c>
      <c r="P41" s="267">
        <f ca="1">INDEX(OFFSET('Baseline NFPC'!$C$1:$U$1,$D41-1,0),MATCH(P$4,'Baseline NFPC'!$C$10:$U$10,0))</f>
        <v>62.456040018399833</v>
      </c>
      <c r="Q41" s="267">
        <f ca="1">INDEX(OFFSET('Baseline NFPC'!$C$1:$U$1,$D41-1,0),MATCH(Q$4,'Baseline NFPC'!$C$10:$U$10,0))</f>
        <v>65.508189699249016</v>
      </c>
      <c r="R41" s="267">
        <f ca="1">INDEX(OFFSET('Baseline NFPC'!$C$1:$U$1,$D41-1,0),MATCH(R$4,'Baseline NFPC'!$C$10:$U$10,0))</f>
        <v>68.716100871414156</v>
      </c>
      <c r="S41" s="267">
        <f ca="1">INDEX(OFFSET('Baseline NFPC'!$C$1:$U$1,$D41-1,0),MATCH(S$4,'Baseline NFPC'!$C$10:$U$10,0))</f>
        <v>72.162163157737638</v>
      </c>
      <c r="T41" s="267">
        <f ca="1">INDEX(OFFSET('Baseline NFPC'!$C$1:$U$1,$D41-1,0),MATCH(T$4,'Baseline NFPC'!$C$10:$U$10,0))</f>
        <v>75.692152705565988</v>
      </c>
      <c r="U41" s="267">
        <f ca="1">INDEX(OFFSET('Baseline NFPC'!$C$1:$U$1,$D41-1,0),MATCH(U$4,'Baseline NFPC'!$C$10:$U$10,0))</f>
        <v>79.355389924435855</v>
      </c>
      <c r="V41" s="267">
        <f ca="1">INDEX(OFFSET('Baseline NFPC'!$C$1:$U$1,$D41-1,0),MATCH(V$4,'Baseline NFPC'!$C$10:$U$10,0))</f>
        <v>83.299805900260935</v>
      </c>
      <c r="W41" s="267">
        <f ca="1">INDEX(OFFSET('Baseline NFPC'!$C$1:$U$1,$D41-1,0),MATCH(W$4,'Baseline NFPC'!$C$10:$U$10,0))</f>
        <v>87.418049368801718</v>
      </c>
      <c r="X41" s="267">
        <f ca="1">INDEX(OFFSET('Baseline NFPC'!$C$1:$U$1,$D41-1,0),MATCH(X$4,'Baseline NFPC'!$C$10:$U$10,0))</f>
        <v>91.692976425077035</v>
      </c>
      <c r="Y41" s="184"/>
    </row>
    <row r="42" spans="1:25" x14ac:dyDescent="0.2">
      <c r="A42" s="184"/>
      <c r="B42" s="274">
        <v>2</v>
      </c>
      <c r="C42" s="278" t="s">
        <v>144</v>
      </c>
      <c r="D42" s="279">
        <v>76</v>
      </c>
      <c r="E42" s="280" t="s">
        <v>143</v>
      </c>
      <c r="F42" s="267">
        <f ca="1">INDEX(OFFSET('Baseline NFPC'!$C$1:$U$1,$D42-1,0),MATCH(F$4,'Baseline NFPC'!$C$10:$U$10,0))</f>
        <v>-2.1474319999999998</v>
      </c>
      <c r="G42" s="267">
        <f ca="1">INDEX(OFFSET('Baseline NFPC'!$C$1:$U$1,$D42-1,0),MATCH(G$4,'Baseline NFPC'!$C$10:$U$10,0))</f>
        <v>-2.7944635100307016</v>
      </c>
      <c r="H42" s="267">
        <f ca="1">INDEX(OFFSET('Baseline NFPC'!$C$1:$U$1,$D42-1,0),MATCH(H$4,'Baseline NFPC'!$C$10:$U$10,0))</f>
        <v>-2.6558245481945724</v>
      </c>
      <c r="I42" s="267">
        <f ca="1">INDEX(OFFSET('Baseline NFPC'!$C$1:$U$1,$D42-1,0),MATCH(I$4,'Baseline NFPC'!$C$10:$U$10,0))</f>
        <v>-2.9743138122066721</v>
      </c>
      <c r="J42" s="267">
        <f ca="1">INDEX(OFFSET('Baseline NFPC'!$C$1:$U$1,$D42-1,0),MATCH(J$4,'Baseline NFPC'!$C$10:$U$10,0))</f>
        <v>-3.2776031699111758</v>
      </c>
      <c r="K42" s="267">
        <f ca="1">INDEX(OFFSET('Baseline NFPC'!$C$1:$U$1,$D42-1,0),MATCH(K$4,'Baseline NFPC'!$C$10:$U$10,0))</f>
        <v>-3.471540295417844</v>
      </c>
      <c r="L42" s="267">
        <f ca="1">INDEX(OFFSET('Baseline NFPC'!$C$1:$U$1,$D42-1,0),MATCH(L$4,'Baseline NFPC'!$C$10:$U$10,0))</f>
        <v>-3.7504978219290477</v>
      </c>
      <c r="M42" s="267">
        <f ca="1">INDEX(OFFSET('Baseline NFPC'!$C$1:$U$1,$D42-1,0),MATCH(M$4,'Baseline NFPC'!$C$10:$U$10,0))</f>
        <v>-3.9423581370251952</v>
      </c>
      <c r="N42" s="267">
        <f ca="1">INDEX(OFFSET('Baseline NFPC'!$C$1:$U$1,$D42-1,0),MATCH(N$4,'Baseline NFPC'!$C$10:$U$10,0))</f>
        <v>-4.1432095651840246</v>
      </c>
      <c r="O42" s="267">
        <f ca="1">INDEX(OFFSET('Baseline NFPC'!$C$1:$U$1,$D42-1,0),MATCH(O$4,'Baseline NFPC'!$C$10:$U$10,0))</f>
        <v>-4.6552968422182124</v>
      </c>
      <c r="P42" s="267">
        <f ca="1">INDEX(OFFSET('Baseline NFPC'!$C$1:$U$1,$D42-1,0),MATCH(P$4,'Baseline NFPC'!$C$10:$U$10,0))</f>
        <v>-4.8978943200100158</v>
      </c>
      <c r="Q42" s="267">
        <f ca="1">INDEX(OFFSET('Baseline NFPC'!$C$1:$U$1,$D42-1,0),MATCH(Q$4,'Baseline NFPC'!$C$10:$U$10,0))</f>
        <v>-5.2279197150915255</v>
      </c>
      <c r="R42" s="267">
        <f ca="1">INDEX(OFFSET('Baseline NFPC'!$C$1:$U$1,$D42-1,0),MATCH(R$4,'Baseline NFPC'!$C$10:$U$10,0))</f>
        <v>-5.5521078971172138</v>
      </c>
      <c r="S42" s="267">
        <f ca="1">INDEX(OFFSET('Baseline NFPC'!$C$1:$U$1,$D42-1,0),MATCH(S$4,'Baseline NFPC'!$C$10:$U$10,0))</f>
        <v>-5.9700395437145541</v>
      </c>
      <c r="T42" s="267">
        <f ca="1">INDEX(OFFSET('Baseline NFPC'!$C$1:$U$1,$D42-1,0),MATCH(T$4,'Baseline NFPC'!$C$10:$U$10,0))</f>
        <v>-6.1895292122508376</v>
      </c>
      <c r="U42" s="267">
        <f ca="1">INDEX(OFFSET('Baseline NFPC'!$C$1:$U$1,$D42-1,0),MATCH(U$4,'Baseline NFPC'!$C$10:$U$10,0))</f>
        <v>-6.498171368653189</v>
      </c>
      <c r="V42" s="267">
        <f ca="1">INDEX(OFFSET('Baseline NFPC'!$C$1:$U$1,$D42-1,0),MATCH(V$4,'Baseline NFPC'!$C$10:$U$10,0))</f>
        <v>-6.9038524380068989</v>
      </c>
      <c r="W42" s="267">
        <f ca="1">INDEX(OFFSET('Baseline NFPC'!$C$1:$U$1,$D42-1,0),MATCH(W$4,'Baseline NFPC'!$C$10:$U$10,0))</f>
        <v>-7.21144022456747</v>
      </c>
      <c r="X42" s="267">
        <f ca="1">INDEX(OFFSET('Baseline NFPC'!$C$1:$U$1,$D42-1,0),MATCH(X$4,'Baseline NFPC'!$C$10:$U$10,0))</f>
        <v>-7.5153323338544578</v>
      </c>
      <c r="Y42" s="184"/>
    </row>
    <row r="43" spans="1:25" x14ac:dyDescent="0.2">
      <c r="A43" s="184"/>
      <c r="B43" s="274">
        <v>3</v>
      </c>
      <c r="C43" s="278" t="s">
        <v>18</v>
      </c>
      <c r="D43" s="279">
        <v>12</v>
      </c>
      <c r="E43" s="280" t="s">
        <v>145</v>
      </c>
      <c r="F43" s="267">
        <f ca="1">INDEX(OFFSET('Baseline NFPC'!$C$1:$U$1,$D43-1,0),MATCH(F$4,'Baseline NFPC'!$C$10:$U$10,0))</f>
        <v>-0.51101569999999996</v>
      </c>
      <c r="G43" s="267">
        <f ca="1">INDEX(OFFSET('Baseline NFPC'!$C$1:$U$1,$D43-1,0),MATCH(G$4,'Baseline NFPC'!$C$10:$U$10,0))</f>
        <v>-1.332759</v>
      </c>
      <c r="H43" s="267">
        <f ca="1">INDEX(OFFSET('Baseline NFPC'!$C$1:$U$1,$D43-1,0),MATCH(H$4,'Baseline NFPC'!$C$10:$U$10,0))</f>
        <v>-1.332759</v>
      </c>
      <c r="I43" s="267">
        <f ca="1">INDEX(OFFSET('Baseline NFPC'!$C$1:$U$1,$D43-1,0),MATCH(I$4,'Baseline NFPC'!$C$10:$U$10,0))</f>
        <v>-1.332759</v>
      </c>
      <c r="J43" s="267">
        <f ca="1">INDEX(OFFSET('Baseline NFPC'!$C$1:$U$1,$D43-1,0),MATCH(J$4,'Baseline NFPC'!$C$10:$U$10,0))</f>
        <v>-1.332759</v>
      </c>
      <c r="K43" s="267">
        <f ca="1">INDEX(OFFSET('Baseline NFPC'!$C$1:$U$1,$D43-1,0),MATCH(K$4,'Baseline NFPC'!$C$10:$U$10,0))</f>
        <v>-1.332759</v>
      </c>
      <c r="L43" s="267">
        <f ca="1">INDEX(OFFSET('Baseline NFPC'!$C$1:$U$1,$D43-1,0),MATCH(L$4,'Baseline NFPC'!$C$10:$U$10,0))</f>
        <v>-1.332759</v>
      </c>
      <c r="M43" s="267">
        <f ca="1">INDEX(OFFSET('Baseline NFPC'!$C$1:$U$1,$D43-1,0),MATCH(M$4,'Baseline NFPC'!$C$10:$U$10,0))</f>
        <v>-1.332759</v>
      </c>
      <c r="N43" s="267">
        <f ca="1">INDEX(OFFSET('Baseline NFPC'!$C$1:$U$1,$D43-1,0),MATCH(N$4,'Baseline NFPC'!$C$10:$U$10,0))</f>
        <v>-1.332759</v>
      </c>
      <c r="O43" s="267">
        <f ca="1">INDEX(OFFSET('Baseline NFPC'!$C$1:$U$1,$D43-1,0),MATCH(O$4,'Baseline NFPC'!$C$10:$U$10,0))</f>
        <v>-1.332759</v>
      </c>
      <c r="P43" s="267">
        <f ca="1">INDEX(OFFSET('Baseline NFPC'!$C$1:$U$1,$D43-1,0),MATCH(P$4,'Baseline NFPC'!$C$10:$U$10,0))</f>
        <v>-1.332759</v>
      </c>
      <c r="Q43" s="267">
        <f ca="1">INDEX(OFFSET('Baseline NFPC'!$C$1:$U$1,$D43-1,0),MATCH(Q$4,'Baseline NFPC'!$C$10:$U$10,0))</f>
        <v>-1.332759</v>
      </c>
      <c r="R43" s="267">
        <f ca="1">INDEX(OFFSET('Baseline NFPC'!$C$1:$U$1,$D43-1,0),MATCH(R$4,'Baseline NFPC'!$C$10:$U$10,0))</f>
        <v>-1.332759</v>
      </c>
      <c r="S43" s="267">
        <f ca="1">INDEX(OFFSET('Baseline NFPC'!$C$1:$U$1,$D43-1,0),MATCH(S$4,'Baseline NFPC'!$C$10:$U$10,0))</f>
        <v>-1.332759</v>
      </c>
      <c r="T43" s="267">
        <f ca="1">INDEX(OFFSET('Baseline NFPC'!$C$1:$U$1,$D43-1,0),MATCH(T$4,'Baseline NFPC'!$C$10:$U$10,0))</f>
        <v>-1.332759</v>
      </c>
      <c r="U43" s="267">
        <f ca="1">INDEX(OFFSET('Baseline NFPC'!$C$1:$U$1,$D43-1,0),MATCH(U$4,'Baseline NFPC'!$C$10:$U$10,0))</f>
        <v>-1.332759</v>
      </c>
      <c r="V43" s="267">
        <f ca="1">INDEX(OFFSET('Baseline NFPC'!$C$1:$U$1,$D43-1,0),MATCH(V$4,'Baseline NFPC'!$C$10:$U$10,0))</f>
        <v>-1.332759</v>
      </c>
      <c r="W43" s="267">
        <f ca="1">INDEX(OFFSET('Baseline NFPC'!$C$1:$U$1,$D43-1,0),MATCH(W$4,'Baseline NFPC'!$C$10:$U$10,0))</f>
        <v>-1.332759</v>
      </c>
      <c r="X43" s="267">
        <f ca="1">INDEX(OFFSET('Baseline NFPC'!$C$1:$U$1,$D43-1,0),MATCH(X$4,'Baseline NFPC'!$C$10:$U$10,0))</f>
        <v>-1.332759</v>
      </c>
      <c r="Y43" s="184"/>
    </row>
    <row r="44" spans="1:25" x14ac:dyDescent="0.2">
      <c r="A44" s="184"/>
      <c r="B44" s="274">
        <v>4</v>
      </c>
      <c r="C44" s="278" t="s">
        <v>146</v>
      </c>
      <c r="D44" s="279">
        <v>61</v>
      </c>
      <c r="E44" s="280" t="s">
        <v>145</v>
      </c>
      <c r="F44" s="267">
        <f ca="1">INDEX(OFFSET('Baseline NFPC'!$C$1:$U$1,$D44-1,0),MATCH(F$4,'Baseline NFPC'!$C$10:$U$10,0))</f>
        <v>0</v>
      </c>
      <c r="G44" s="267">
        <f ca="1">INDEX(OFFSET('Baseline NFPC'!$C$1:$U$1,$D44-1,0),MATCH(G$4,'Baseline NFPC'!$C$10:$U$10,0))</f>
        <v>0.15831162096306806</v>
      </c>
      <c r="H44" s="267">
        <f ca="1">INDEX(OFFSET('Baseline NFPC'!$C$1:$U$1,$D44-1,0),MATCH(H$4,'Baseline NFPC'!$C$10:$U$10,0))</f>
        <v>-9.7476927235124355E-2</v>
      </c>
      <c r="I44" s="267">
        <f ca="1">INDEX(OFFSET('Baseline NFPC'!$C$1:$U$1,$D44-1,0),MATCH(I$4,'Baseline NFPC'!$C$10:$U$10,0))</f>
        <v>-6.4984879050090427E-2</v>
      </c>
      <c r="J44" s="267">
        <f ca="1">INDEX(OFFSET('Baseline NFPC'!$C$1:$U$1,$D44-1,0),MATCH(J$4,'Baseline NFPC'!$C$10:$U$10,0))</f>
        <v>-2.1658744188566503E-2</v>
      </c>
      <c r="K44" s="267">
        <f ca="1">INDEX(OFFSET('Baseline NFPC'!$C$1:$U$1,$D44-1,0),MATCH(K$4,'Baseline NFPC'!$C$10:$U$10,0))</f>
        <v>5.015984299583387E-7</v>
      </c>
      <c r="L44" s="267">
        <f ca="1">INDEX(OFFSET('Baseline NFPC'!$C$1:$U$1,$D44-1,0),MATCH(L$4,'Baseline NFPC'!$C$10:$U$10,0))</f>
        <v>1.6722452463313608E-6</v>
      </c>
      <c r="M44" s="267">
        <f ca="1">INDEX(OFFSET('Baseline NFPC'!$C$1:$U$1,$D44-1,0),MATCH(M$4,'Baseline NFPC'!$C$10:$U$10,0))</f>
        <v>8.9189251034627048E-7</v>
      </c>
      <c r="N44" s="267">
        <f ca="1">INDEX(OFFSET('Baseline NFPC'!$C$1:$U$1,$D44-1,0),MATCH(N$4,'Baseline NFPC'!$C$10:$U$10,0))</f>
        <v>2.4524757003541175E-6</v>
      </c>
      <c r="O44" s="267">
        <f ca="1">INDEX(OFFSET('Baseline NFPC'!$C$1:$U$1,$D44-1,0),MATCH(O$4,'Baseline NFPC'!$C$10:$U$10,0))</f>
        <v>1.2816341072863224E-6</v>
      </c>
      <c r="P44" s="267">
        <f ca="1">INDEX(OFFSET('Baseline NFPC'!$C$1:$U$1,$D44-1,0),MATCH(P$4,'Baseline NFPC'!$C$10:$U$10,0))</f>
        <v>-1.0616333064872308E-6</v>
      </c>
      <c r="Q44" s="267">
        <f ca="1">INDEX(OFFSET('Baseline NFPC'!$C$1:$U$1,$D44-1,0),MATCH(Q$4,'Baseline NFPC'!$C$10:$U$10,0))</f>
        <v>-2.2319203111242913E-6</v>
      </c>
      <c r="R44" s="267">
        <f ca="1">INDEX(OFFSET('Baseline NFPC'!$C$1:$U$1,$D44-1,0),MATCH(R$4,'Baseline NFPC'!$C$10:$U$10,0))</f>
        <v>-3.7905114856906508E-6</v>
      </c>
      <c r="S44" s="267">
        <f ca="1">INDEX(OFFSET('Baseline NFPC'!$C$1:$U$1,$D44-1,0),MATCH(S$4,'Baseline NFPC'!$C$10:$U$10,0))</f>
        <v>-4.5689133761905865E-6</v>
      </c>
      <c r="T44" s="267">
        <f ca="1">INDEX(OFFSET('Baseline NFPC'!$C$1:$U$1,$D44-1,0),MATCH(T$4,'Baseline NFPC'!$C$10:$U$10,0))</f>
        <v>-3.4016555559013284E-6</v>
      </c>
      <c r="U44" s="267">
        <f ca="1">INDEX(OFFSET('Baseline NFPC'!$C$1:$U$1,$D44-1,0),MATCH(U$4,'Baseline NFPC'!$C$10:$U$10,0))</f>
        <v>-4.1792146726615798E-6</v>
      </c>
      <c r="V44" s="267">
        <f ca="1">INDEX(OFFSET('Baseline NFPC'!$C$1:$U$1,$D44-1,0),MATCH(V$4,'Baseline NFPC'!$C$10:$U$10,0))</f>
        <v>-6.1231125128013986E-6</v>
      </c>
      <c r="W44" s="267">
        <f ca="1">INDEX(OFFSET('Baseline NFPC'!$C$1:$U$1,$D44-1,0),MATCH(W$4,'Baseline NFPC'!$C$10:$U$10,0))</f>
        <v>-6.1231125128013986E-6</v>
      </c>
      <c r="X44" s="267">
        <f ca="1">INDEX(OFFSET('Baseline NFPC'!$C$1:$U$1,$D44-1,0),MATCH(X$4,'Baseline NFPC'!$C$10:$U$10,0))</f>
        <v>-6.1231125040306367E-6</v>
      </c>
      <c r="Y44" s="184"/>
    </row>
    <row r="45" spans="1:25" x14ac:dyDescent="0.2">
      <c r="A45" s="184"/>
      <c r="B45" s="274">
        <v>5</v>
      </c>
      <c r="C45" s="278" t="s">
        <v>148</v>
      </c>
      <c r="D45" s="279">
        <v>67</v>
      </c>
      <c r="E45" s="280" t="s">
        <v>143</v>
      </c>
      <c r="F45" s="267">
        <f ca="1">INDEX(OFFSET('Baseline NFPC'!$C$1:$U$1,$D45-1,0),MATCH(F$4,'Baseline NFPC'!$C$10:$U$10,0))</f>
        <v>0</v>
      </c>
      <c r="G45" s="267">
        <f ca="1">INDEX(OFFSET('Baseline NFPC'!$C$1:$U$1,$D45-1,0),MATCH(G$4,'Baseline NFPC'!$C$10:$U$10,0))</f>
        <v>1.3033928890676334</v>
      </c>
      <c r="H45" s="267">
        <f ca="1">INDEX(OFFSET('Baseline NFPC'!$C$1:$U$1,$D45-1,0),MATCH(H$4,'Baseline NFPC'!$C$10:$U$10,0))</f>
        <v>1.3060334754296952</v>
      </c>
      <c r="I45" s="267">
        <f ca="1">INDEX(OFFSET('Baseline NFPC'!$C$1:$U$1,$D45-1,0),MATCH(I$4,'Baseline NFPC'!$C$10:$U$10,0))</f>
        <v>1.4775227912567634</v>
      </c>
      <c r="J45" s="267">
        <f ca="1">INDEX(OFFSET('Baseline NFPC'!$C$1:$U$1,$D45-1,0),MATCH(J$4,'Baseline NFPC'!$C$10:$U$10,0))</f>
        <v>1.6229777140997419</v>
      </c>
      <c r="K45" s="267">
        <f ca="1">INDEX(OFFSET('Baseline NFPC'!$C$1:$U$1,$D45-1,0),MATCH(K$4,'Baseline NFPC'!$C$10:$U$10,0))</f>
        <v>1.7807472938194133</v>
      </c>
      <c r="L45" s="267">
        <f ca="1">INDEX(OFFSET('Baseline NFPC'!$C$1:$U$1,$D45-1,0),MATCH(L$4,'Baseline NFPC'!$C$10:$U$10,0))</f>
        <v>1.945195349683799</v>
      </c>
      <c r="M45" s="267">
        <f ca="1">INDEX(OFFSET('Baseline NFPC'!$C$1:$U$1,$D45-1,0),MATCH(M$4,'Baseline NFPC'!$C$10:$U$10,0))</f>
        <v>2.1225481451326864</v>
      </c>
      <c r="N45" s="267">
        <f ca="1">INDEX(OFFSET('Baseline NFPC'!$C$1:$U$1,$D45-1,0),MATCH(N$4,'Baseline NFPC'!$C$10:$U$10,0))</f>
        <v>2.3088897127083254</v>
      </c>
      <c r="O45" s="267">
        <f ca="1">INDEX(OFFSET('Baseline NFPC'!$C$1:$U$1,$D45-1,0),MATCH(O$4,'Baseline NFPC'!$C$10:$U$10,0))</f>
        <v>2.5064698605841054</v>
      </c>
      <c r="P45" s="267">
        <f ca="1">INDEX(OFFSET('Baseline NFPC'!$C$1:$U$1,$D45-1,0),MATCH(P$4,'Baseline NFPC'!$C$10:$U$10,0))</f>
        <v>2.7345613816433221</v>
      </c>
      <c r="Q45" s="267">
        <f ca="1">INDEX(OFFSET('Baseline NFPC'!$C$1:$U$1,$D45-1,0),MATCH(Q$4,'Baseline NFPC'!$C$10:$U$10,0))</f>
        <v>2.9500796470118358</v>
      </c>
      <c r="R45" s="267">
        <f ca="1">INDEX(OFFSET('Baseline NFPC'!$C$1:$U$1,$D45-1,0),MATCH(R$4,'Baseline NFPC'!$C$10:$U$10,0))</f>
        <v>3.1597610876286977</v>
      </c>
      <c r="S45" s="267">
        <f ca="1">INDEX(OFFSET('Baseline NFPC'!$C$1:$U$1,$D45-1,0),MATCH(S$4,'Baseline NFPC'!$C$10:$U$10,0))</f>
        <v>3.3631852126279296</v>
      </c>
      <c r="T45" s="267">
        <f ca="1">INDEX(OFFSET('Baseline NFPC'!$C$1:$U$1,$D45-1,0),MATCH(T$4,'Baseline NFPC'!$C$10:$U$10,0))</f>
        <v>3.5681653139063916</v>
      </c>
      <c r="U45" s="267">
        <f ca="1">INDEX(OFFSET('Baseline NFPC'!$C$1:$U$1,$D45-1,0),MATCH(U$4,'Baseline NFPC'!$C$10:$U$10,0))</f>
        <v>3.7622999478678629</v>
      </c>
      <c r="V45" s="267">
        <f ca="1">INDEX(OFFSET('Baseline NFPC'!$C$1:$U$1,$D45-1,0),MATCH(V$4,'Baseline NFPC'!$C$10:$U$10,0))</f>
        <v>3.9534746611194094</v>
      </c>
      <c r="W45" s="267">
        <f ca="1">INDEX(OFFSET('Baseline NFPC'!$C$1:$U$1,$D45-1,0),MATCH(W$4,'Baseline NFPC'!$C$10:$U$10,0))</f>
        <v>4.146554147679983</v>
      </c>
      <c r="X45" s="267">
        <f ca="1">INDEX(OFFSET('Baseline NFPC'!$C$1:$U$1,$D45-1,0),MATCH(X$4,'Baseline NFPC'!$C$10:$U$10,0))</f>
        <v>4.3359379569669603</v>
      </c>
      <c r="Y45" s="184"/>
    </row>
    <row r="46" spans="1:25" x14ac:dyDescent="0.2">
      <c r="A46" s="184"/>
      <c r="B46" s="274">
        <v>6</v>
      </c>
      <c r="C46" s="281" t="s">
        <v>61</v>
      </c>
      <c r="D46" s="279">
        <v>36</v>
      </c>
      <c r="E46" s="280" t="s">
        <v>149</v>
      </c>
      <c r="F46" s="267">
        <f ca="1">INDEX(OFFSET('Baseline NFPC'!$C$1:$U$1,$D46-1,0),MATCH(F$4,'Baseline NFPC'!$C$10:$U$10,0))</f>
        <v>4.29</v>
      </c>
      <c r="G46" s="267">
        <f ca="1">INDEX(OFFSET('Baseline NFPC'!$C$1:$U$1,$D46-1,0),MATCH(G$4,'Baseline NFPC'!$C$10:$U$10,0))</f>
        <v>4.7019640000000003</v>
      </c>
      <c r="H46" s="267">
        <f ca="1">INDEX(OFFSET('Baseline NFPC'!$C$1:$U$1,$D46-1,0),MATCH(H$4,'Baseline NFPC'!$C$10:$U$10,0))</f>
        <v>4.9156490000000002</v>
      </c>
      <c r="I46" s="267">
        <f ca="1">INDEX(OFFSET('Baseline NFPC'!$C$1:$U$1,$D46-1,0),MATCH(I$4,'Baseline NFPC'!$C$10:$U$10,0))</f>
        <v>5.0370066250000001</v>
      </c>
      <c r="J46" s="267">
        <f ca="1">INDEX(OFFSET('Baseline NFPC'!$C$1:$U$1,$D46-1,0),MATCH(J$4,'Baseline NFPC'!$C$10:$U$10,0))</f>
        <v>5.15836425</v>
      </c>
      <c r="K46" s="267">
        <f ca="1">INDEX(OFFSET('Baseline NFPC'!$C$1:$U$1,$D46-1,0),MATCH(K$4,'Baseline NFPC'!$C$10:$U$10,0))</f>
        <v>5.2797218749999999</v>
      </c>
      <c r="L46" s="267">
        <f ca="1">INDEX(OFFSET('Baseline NFPC'!$C$1:$U$1,$D46-1,0),MATCH(L$4,'Baseline NFPC'!$C$10:$U$10,0))</f>
        <v>5.4010794999999998</v>
      </c>
      <c r="M46" s="267">
        <f ca="1">INDEX(OFFSET('Baseline NFPC'!$C$1:$U$1,$D46-1,0),MATCH(M$4,'Baseline NFPC'!$C$10:$U$10,0))</f>
        <v>5.5224371250000006</v>
      </c>
      <c r="N46" s="267">
        <f ca="1">INDEX(OFFSET('Baseline NFPC'!$C$1:$U$1,$D46-1,0),MATCH(N$4,'Baseline NFPC'!$C$10:$U$10,0))</f>
        <v>5.6437947500000005</v>
      </c>
      <c r="O46" s="267">
        <f ca="1">INDEX(OFFSET('Baseline NFPC'!$C$1:$U$1,$D46-1,0),MATCH(O$4,'Baseline NFPC'!$C$10:$U$10,0))</f>
        <v>5.7651523750000004</v>
      </c>
      <c r="P46" s="267">
        <f ca="1">INDEX(OFFSET('Baseline NFPC'!$C$1:$U$1,$D46-1,0),MATCH(P$4,'Baseline NFPC'!$C$10:$U$10,0))</f>
        <v>5.8865100000000004</v>
      </c>
      <c r="Q46" s="267">
        <f ca="1">INDEX(OFFSET('Baseline NFPC'!$C$1:$U$1,$D46-1,0),MATCH(Q$4,'Baseline NFPC'!$C$10:$U$10,0))</f>
        <v>5.7921845000000003</v>
      </c>
      <c r="R46" s="267">
        <f ca="1">INDEX(OFFSET('Baseline NFPC'!$C$1:$U$1,$D46-1,0),MATCH(R$4,'Baseline NFPC'!$C$10:$U$10,0))</f>
        <v>5.6978590000000002</v>
      </c>
      <c r="S46" s="267">
        <f ca="1">INDEX(OFFSET('Baseline NFPC'!$C$1:$U$1,$D46-1,0),MATCH(S$4,'Baseline NFPC'!$C$10:$U$10,0))</f>
        <v>5.6035335000000002</v>
      </c>
      <c r="T46" s="267">
        <f ca="1">INDEX(OFFSET('Baseline NFPC'!$C$1:$U$1,$D46-1,0),MATCH(T$4,'Baseline NFPC'!$C$10:$U$10,0))</f>
        <v>5.5092080000000001</v>
      </c>
      <c r="U46" s="267">
        <f ca="1">INDEX(OFFSET('Baseline NFPC'!$C$1:$U$1,$D46-1,0),MATCH(U$4,'Baseline NFPC'!$C$10:$U$10,0))</f>
        <v>5.4148825</v>
      </c>
      <c r="V46" s="267">
        <f ca="1">INDEX(OFFSET('Baseline NFPC'!$C$1:$U$1,$D46-1,0),MATCH(V$4,'Baseline NFPC'!$C$10:$U$10,0))</f>
        <v>5.320557</v>
      </c>
      <c r="W46" s="267">
        <f ca="1">INDEX(OFFSET('Baseline NFPC'!$C$1:$U$1,$D46-1,0),MATCH(W$4,'Baseline NFPC'!$C$10:$U$10,0))</f>
        <v>5.2262314999999999</v>
      </c>
      <c r="X46" s="267">
        <f ca="1">INDEX(OFFSET('Baseline NFPC'!$C$1:$U$1,$D46-1,0),MATCH(X$4,'Baseline NFPC'!$C$10:$U$10,0))</f>
        <v>5.1319059999999999</v>
      </c>
      <c r="Y46" s="184"/>
    </row>
    <row r="47" spans="1:25" x14ac:dyDescent="0.2">
      <c r="A47" s="184"/>
      <c r="B47" s="274">
        <v>7</v>
      </c>
      <c r="C47" s="281" t="s">
        <v>62</v>
      </c>
      <c r="D47" s="279">
        <v>37</v>
      </c>
      <c r="E47" s="280" t="s">
        <v>149</v>
      </c>
      <c r="F47" s="267">
        <f ca="1">INDEX(OFFSET('Baseline NFPC'!$C$1:$U$1,$D47-1,0),MATCH(F$4,'Baseline NFPC'!$C$10:$U$10,0))</f>
        <v>3.6</v>
      </c>
      <c r="G47" s="267">
        <f ca="1">INDEX(OFFSET('Baseline NFPC'!$C$1:$U$1,$D47-1,0),MATCH(G$4,'Baseline NFPC'!$C$10:$U$10,0))</f>
        <v>3.6498529999999998</v>
      </c>
      <c r="H47" s="267">
        <f ca="1">INDEX(OFFSET('Baseline NFPC'!$C$1:$U$1,$D47-1,0),MATCH(H$4,'Baseline NFPC'!$C$10:$U$10,0))</f>
        <v>4.2671910000000004</v>
      </c>
      <c r="I47" s="267">
        <f ca="1">INDEX(OFFSET('Baseline NFPC'!$C$1:$U$1,$D47-1,0),MATCH(I$4,'Baseline NFPC'!$C$10:$U$10,0))</f>
        <v>4.2826608750000004</v>
      </c>
      <c r="J47" s="267">
        <f ca="1">INDEX(OFFSET('Baseline NFPC'!$C$1:$U$1,$D47-1,0),MATCH(J$4,'Baseline NFPC'!$C$10:$U$10,0))</f>
        <v>4.2981307500000003</v>
      </c>
      <c r="K47" s="267">
        <f ca="1">INDEX(OFFSET('Baseline NFPC'!$C$1:$U$1,$D47-1,0),MATCH(K$4,'Baseline NFPC'!$C$10:$U$10,0))</f>
        <v>4.3136006250000003</v>
      </c>
      <c r="L47" s="267">
        <f ca="1">INDEX(OFFSET('Baseline NFPC'!$C$1:$U$1,$D47-1,0),MATCH(L$4,'Baseline NFPC'!$C$10:$U$10,0))</f>
        <v>4.3290705000000003</v>
      </c>
      <c r="M47" s="267">
        <f ca="1">INDEX(OFFSET('Baseline NFPC'!$C$1:$U$1,$D47-1,0),MATCH(M$4,'Baseline NFPC'!$C$10:$U$10,0))</f>
        <v>4.3445403750000002</v>
      </c>
      <c r="N47" s="267">
        <f ca="1">INDEX(OFFSET('Baseline NFPC'!$C$1:$U$1,$D47-1,0),MATCH(N$4,'Baseline NFPC'!$C$10:$U$10,0))</f>
        <v>4.3600102500000002</v>
      </c>
      <c r="O47" s="267">
        <f ca="1">INDEX(OFFSET('Baseline NFPC'!$C$1:$U$1,$D47-1,0),MATCH(O$4,'Baseline NFPC'!$C$10:$U$10,0))</f>
        <v>4.3754801250000002</v>
      </c>
      <c r="P47" s="267">
        <f ca="1">INDEX(OFFSET('Baseline NFPC'!$C$1:$U$1,$D47-1,0),MATCH(P$4,'Baseline NFPC'!$C$10:$U$10,0))</f>
        <v>4.3909500000000001</v>
      </c>
      <c r="Q47" s="267">
        <f ca="1">INDEX(OFFSET('Baseline NFPC'!$C$1:$U$1,$D47-1,0),MATCH(Q$4,'Baseline NFPC'!$C$10:$U$10,0))</f>
        <v>4.2714024999999998</v>
      </c>
      <c r="R47" s="267">
        <f ca="1">INDEX(OFFSET('Baseline NFPC'!$C$1:$U$1,$D47-1,0),MATCH(R$4,'Baseline NFPC'!$C$10:$U$10,0))</f>
        <v>4.1518550000000003</v>
      </c>
      <c r="S47" s="267">
        <f ca="1">INDEX(OFFSET('Baseline NFPC'!$C$1:$U$1,$D47-1,0),MATCH(S$4,'Baseline NFPC'!$C$10:$U$10,0))</f>
        <v>4.0323074999999999</v>
      </c>
      <c r="T47" s="267">
        <f ca="1">INDEX(OFFSET('Baseline NFPC'!$C$1:$U$1,$D47-1,0),MATCH(T$4,'Baseline NFPC'!$C$10:$U$10,0))</f>
        <v>3.91276</v>
      </c>
      <c r="U47" s="267">
        <f ca="1">INDEX(OFFSET('Baseline NFPC'!$C$1:$U$1,$D47-1,0),MATCH(U$4,'Baseline NFPC'!$C$10:$U$10,0))</f>
        <v>3.7932125000000001</v>
      </c>
      <c r="V47" s="267">
        <f ca="1">INDEX(OFFSET('Baseline NFPC'!$C$1:$U$1,$D47-1,0),MATCH(V$4,'Baseline NFPC'!$C$10:$U$10,0))</f>
        <v>3.6736650000000002</v>
      </c>
      <c r="W47" s="267">
        <f ca="1">INDEX(OFFSET('Baseline NFPC'!$C$1:$U$1,$D47-1,0),MATCH(W$4,'Baseline NFPC'!$C$10:$U$10,0))</f>
        <v>3.5541175000000003</v>
      </c>
      <c r="X47" s="267">
        <f ca="1">INDEX(OFFSET('Baseline NFPC'!$C$1:$U$1,$D47-1,0),MATCH(X$4,'Baseline NFPC'!$C$10:$U$10,0))</f>
        <v>3.4345699999999999</v>
      </c>
      <c r="Y47" s="184"/>
    </row>
    <row r="48" spans="1:25" x14ac:dyDescent="0.2">
      <c r="A48" s="184"/>
      <c r="B48" s="274">
        <v>8</v>
      </c>
      <c r="C48" s="278" t="s">
        <v>150</v>
      </c>
      <c r="D48" s="279">
        <v>35</v>
      </c>
      <c r="E48" s="280" t="s">
        <v>149</v>
      </c>
      <c r="F48" s="267">
        <f ca="1">INDEX(OFFSET('Baseline NFPC'!$C$1:$U$1,$D48-1,0),MATCH(F$4,'Baseline NFPC'!$C$10:$U$10,0))</f>
        <v>3.1969609999999999</v>
      </c>
      <c r="G48" s="267">
        <f ca="1">INDEX(OFFSET('Baseline NFPC'!$C$1:$U$1,$D48-1,0),MATCH(G$4,'Baseline NFPC'!$C$10:$U$10,0))</f>
        <v>3.078103</v>
      </c>
      <c r="H48" s="267">
        <f ca="1">INDEX(OFFSET('Baseline NFPC'!$C$1:$U$1,$D48-1,0),MATCH(H$4,'Baseline NFPC'!$C$10:$U$10,0))</f>
        <v>2.999835</v>
      </c>
      <c r="I48" s="267">
        <f ca="1">INDEX(OFFSET('Baseline NFPC'!$C$1:$U$1,$D48-1,0),MATCH(I$4,'Baseline NFPC'!$C$10:$U$10,0))</f>
        <v>3.2787528704915645</v>
      </c>
      <c r="J48" s="267">
        <f ca="1">INDEX(OFFSET('Baseline NFPC'!$C$1:$U$1,$D48-1,0),MATCH(J$4,'Baseline NFPC'!$C$10:$U$10,0))</f>
        <v>3.5151139840819745</v>
      </c>
      <c r="K48" s="267">
        <f ca="1">INDEX(OFFSET('Baseline NFPC'!$C$1:$U$1,$D48-1,0),MATCH(K$4,'Baseline NFPC'!$C$10:$U$10,0))</f>
        <v>3.7446796592301297</v>
      </c>
      <c r="L48" s="267">
        <f ca="1">INDEX(OFFSET('Baseline NFPC'!$C$1:$U$1,$D48-1,0),MATCH(L$4,'Baseline NFPC'!$C$10:$U$10,0))</f>
        <v>3.9632939473917141</v>
      </c>
      <c r="M48" s="267">
        <f ca="1">INDEX(OFFSET('Baseline NFPC'!$C$1:$U$1,$D48-1,0),MATCH(M$4,'Baseline NFPC'!$C$10:$U$10,0))</f>
        <v>4.1735939793387811</v>
      </c>
      <c r="N48" s="267">
        <f ca="1">INDEX(OFFSET('Baseline NFPC'!$C$1:$U$1,$D48-1,0),MATCH(N$4,'Baseline NFPC'!$C$10:$U$10,0))</f>
        <v>4.3733956407985497</v>
      </c>
      <c r="O48" s="267">
        <f ca="1">INDEX(OFFSET('Baseline NFPC'!$C$1:$U$1,$D48-1,0),MATCH(O$4,'Baseline NFPC'!$C$10:$U$10,0))</f>
        <v>4.5637138131234884</v>
      </c>
      <c r="P48" s="267">
        <f ca="1">INDEX(OFFSET('Baseline NFPC'!$C$1:$U$1,$D48-1,0),MATCH(P$4,'Baseline NFPC'!$C$10:$U$10,0))</f>
        <v>4.7509546189564285</v>
      </c>
      <c r="Q48" s="267">
        <f ca="1">INDEX(OFFSET('Baseline NFPC'!$C$1:$U$1,$D48-1,0),MATCH(Q$4,'Baseline NFPC'!$C$10:$U$10,0))</f>
        <v>4.8939390082147254</v>
      </c>
      <c r="R48" s="267">
        <f ca="1">INDEX(OFFSET('Baseline NFPC'!$C$1:$U$1,$D48-1,0),MATCH(R$4,'Baseline NFPC'!$C$10:$U$10,0))</f>
        <v>5.0024720395914271</v>
      </c>
      <c r="S48" s="267">
        <f ca="1">INDEX(OFFSET('Baseline NFPC'!$C$1:$U$1,$D48-1,0),MATCH(S$4,'Baseline NFPC'!$C$10:$U$10,0))</f>
        <v>5.0809447242381953</v>
      </c>
      <c r="T48" s="267">
        <f ca="1">INDEX(OFFSET('Baseline NFPC'!$C$1:$U$1,$D48-1,0),MATCH(T$4,'Baseline NFPC'!$C$10:$U$10,0))</f>
        <v>5.1338570180010299</v>
      </c>
      <c r="U48" s="267">
        <f ca="1">INDEX(OFFSET('Baseline NFPC'!$C$1:$U$1,$D48-1,0),MATCH(U$4,'Baseline NFPC'!$C$10:$U$10,0))</f>
        <v>5.1639357395825947</v>
      </c>
      <c r="V48" s="267">
        <f ca="1">INDEX(OFFSET('Baseline NFPC'!$C$1:$U$1,$D48-1,0),MATCH(V$4,'Baseline NFPC'!$C$10:$U$10,0))</f>
        <v>5.1749791473873747</v>
      </c>
      <c r="W48" s="267">
        <f ca="1">INDEX(OFFSET('Baseline NFPC'!$C$1:$U$1,$D48-1,0),MATCH(W$4,'Baseline NFPC'!$C$10:$U$10,0))</f>
        <v>5.1698409793428644</v>
      </c>
      <c r="X48" s="267">
        <f ca="1">INDEX(OFFSET('Baseline NFPC'!$C$1:$U$1,$D48-1,0),MATCH(X$4,'Baseline NFPC'!$C$10:$U$10,0))</f>
        <v>5.1509376435721377</v>
      </c>
      <c r="Y48" s="184"/>
    </row>
    <row r="49" spans="1:25" x14ac:dyDescent="0.2">
      <c r="A49" s="184"/>
      <c r="B49" s="274">
        <v>9</v>
      </c>
      <c r="C49" s="282" t="s">
        <v>40</v>
      </c>
      <c r="D49" s="279">
        <v>26</v>
      </c>
      <c r="E49" s="280" t="s">
        <v>152</v>
      </c>
      <c r="F49" s="267">
        <f>'Input data'!C33</f>
        <v>1.560683</v>
      </c>
      <c r="G49" s="267">
        <f ca="1">(INDEX(OFFSET('Baseline NFPC'!$C$1:$U$1,$D49-1,0),MATCH(G$4,'Baseline NFPC'!$C$10:$U$10,0))/INDEX(OFFSET('Baseline NFPC'!$C$1:$U$1,$D49-1,0),MATCH(F$4,'Baseline NFPC'!$C$10:$U$10,0))-1)*100</f>
        <v>1.6476600000000063</v>
      </c>
      <c r="H49" s="267">
        <f ca="1">(INDEX(OFFSET('Baseline NFPC'!$C$1:$U$1,$D49-1,0),MATCH(H$4,'Baseline NFPC'!$C$10:$U$10,0))/INDEX(OFFSET('Baseline NFPC'!$C$1:$U$1,$D49-1,0),MATCH(G$4,'Baseline NFPC'!$C$10:$U$10,0))-1)*100</f>
        <v>1.4921039999999941</v>
      </c>
      <c r="I49" s="267">
        <f ca="1">(INDEX(OFFSET('Baseline NFPC'!$C$1:$U$1,$D49-1,0),MATCH(I$4,'Baseline NFPC'!$C$10:$U$10,0))/INDEX(OFFSET('Baseline NFPC'!$C$1:$U$1,$D49-1,0),MATCH(H$4,'Baseline NFPC'!$C$10:$U$10,0))-1)*100</f>
        <v>1.456502000000004</v>
      </c>
      <c r="J49" s="267">
        <f ca="1">(INDEX(OFFSET('Baseline NFPC'!$C$1:$U$1,$D49-1,0),MATCH(J$4,'Baseline NFPC'!$C$10:$U$10,0))/INDEX(OFFSET('Baseline NFPC'!$C$1:$U$1,$D49-1,0),MATCH(I$4,'Baseline NFPC'!$C$10:$U$10,0))-1)*100</f>
        <v>1.2343959999999932</v>
      </c>
      <c r="K49" s="267">
        <f ca="1">(INDEX(OFFSET('Baseline NFPC'!$C$1:$U$1,$D49-1,0),MATCH(K$4,'Baseline NFPC'!$C$10:$U$10,0))/INDEX(OFFSET('Baseline NFPC'!$C$1:$U$1,$D49-1,0),MATCH(J$4,'Baseline NFPC'!$C$10:$U$10,0))-1)*100</f>
        <v>1.2125439999999932</v>
      </c>
      <c r="L49" s="267">
        <f ca="1">(INDEX(OFFSET('Baseline NFPC'!$C$1:$U$1,$D49-1,0),MATCH(L$4,'Baseline NFPC'!$C$10:$U$10,0))/INDEX(OFFSET('Baseline NFPC'!$C$1:$U$1,$D49-1,0),MATCH(K$4,'Baseline NFPC'!$C$10:$U$10,0))-1)*100</f>
        <v>1.2260879999999919</v>
      </c>
      <c r="M49" s="267">
        <f ca="1">(INDEX(OFFSET('Baseline NFPC'!$C$1:$U$1,$D49-1,0),MATCH(M$4,'Baseline NFPC'!$C$10:$U$10,0))/INDEX(OFFSET('Baseline NFPC'!$C$1:$U$1,$D49-1,0),MATCH(L$4,'Baseline NFPC'!$C$10:$U$10,0))-1)*100</f>
        <v>1.236265999999997</v>
      </c>
      <c r="N49" s="267">
        <f ca="1">(INDEX(OFFSET('Baseline NFPC'!$C$1:$U$1,$D49-1,0),MATCH(N$4,'Baseline NFPC'!$C$10:$U$10,0))/INDEX(OFFSET('Baseline NFPC'!$C$1:$U$1,$D49-1,0),MATCH(M$4,'Baseline NFPC'!$C$10:$U$10,0))-1)*100</f>
        <v>1.2442000000000064</v>
      </c>
      <c r="O49" s="267">
        <f ca="1">(INDEX(OFFSET('Baseline NFPC'!$C$1:$U$1,$D49-1,0),MATCH(O$4,'Baseline NFPC'!$C$10:$U$10,0))/INDEX(OFFSET('Baseline NFPC'!$C$1:$U$1,$D49-1,0),MATCH(N$4,'Baseline NFPC'!$C$10:$U$10,0))-1)*100</f>
        <v>1.2092439999999982</v>
      </c>
      <c r="P49" s="267">
        <f ca="1">(INDEX(OFFSET('Baseline NFPC'!$C$1:$U$1,$D49-1,0),MATCH(P$4,'Baseline NFPC'!$C$10:$U$10,0))/INDEX(OFFSET('Baseline NFPC'!$C$1:$U$1,$D49-1,0),MATCH(O$4,'Baseline NFPC'!$C$10:$U$10,0))-1)*100</f>
        <v>1.140822000000008</v>
      </c>
      <c r="Q49" s="267">
        <f ca="1">(INDEX(OFFSET('Baseline NFPC'!$C$1:$U$1,$D49-1,0),MATCH(Q$4,'Baseline NFPC'!$C$10:$U$10,0))/INDEX(OFFSET('Baseline NFPC'!$C$1:$U$1,$D49-1,0),MATCH(P$4,'Baseline NFPC'!$C$10:$U$10,0))-1)*100</f>
        <v>1.2572150000000004</v>
      </c>
      <c r="R49" s="267">
        <f ca="1">(INDEX(OFFSET('Baseline NFPC'!$C$1:$U$1,$D49-1,0),MATCH(R$4,'Baseline NFPC'!$C$10:$U$10,0))/INDEX(OFFSET('Baseline NFPC'!$C$1:$U$1,$D49-1,0),MATCH(Q$4,'Baseline NFPC'!$C$10:$U$10,0))-1)*100</f>
        <v>1.3736069999999989</v>
      </c>
      <c r="S49" s="267">
        <f ca="1">(INDEX(OFFSET('Baseline NFPC'!$C$1:$U$1,$D49-1,0),MATCH(S$4,'Baseline NFPC'!$C$10:$U$10,0))/INDEX(OFFSET('Baseline NFPC'!$C$1:$U$1,$D49-1,0),MATCH(R$4,'Baseline NFPC'!$C$10:$U$10,0))-1)*100</f>
        <v>1.4899999999999913</v>
      </c>
      <c r="T49" s="267">
        <f ca="1">(INDEX(OFFSET('Baseline NFPC'!$C$1:$U$1,$D49-1,0),MATCH(T$4,'Baseline NFPC'!$C$10:$U$10,0))/INDEX(OFFSET('Baseline NFPC'!$C$1:$U$1,$D49-1,0),MATCH(S$4,'Baseline NFPC'!$C$10:$U$10,0))-1)*100</f>
        <v>1.5200000000000102</v>
      </c>
      <c r="U49" s="267">
        <f ca="1">(INDEX(OFFSET('Baseline NFPC'!$C$1:$U$1,$D49-1,0),MATCH(U$4,'Baseline NFPC'!$C$10:$U$10,0))/INDEX(OFFSET('Baseline NFPC'!$C$1:$U$1,$D49-1,0),MATCH(T$4,'Baseline NFPC'!$C$10:$U$10,0))-1)*100</f>
        <v>1.6000000000000014</v>
      </c>
      <c r="V49" s="267">
        <f ca="1">(INDEX(OFFSET('Baseline NFPC'!$C$1:$U$1,$D49-1,0),MATCH(V$4,'Baseline NFPC'!$C$10:$U$10,0))/INDEX(OFFSET('Baseline NFPC'!$C$1:$U$1,$D49-1,0),MATCH(U$4,'Baseline NFPC'!$C$10:$U$10,0))-1)*100</f>
        <v>1.6000000000000014</v>
      </c>
      <c r="W49" s="267">
        <f ca="1">(INDEX(OFFSET('Baseline NFPC'!$C$1:$U$1,$D49-1,0),MATCH(W$4,'Baseline NFPC'!$C$10:$U$10,0))/INDEX(OFFSET('Baseline NFPC'!$C$1:$U$1,$D49-1,0),MATCH(V$4,'Baseline NFPC'!$C$10:$U$10,0))-1)*100</f>
        <v>1.6000000000000014</v>
      </c>
      <c r="X49" s="267">
        <f ca="1">(INDEX(OFFSET('Baseline NFPC'!$C$1:$U$1,$D49-1,0),MATCH(X$4,'Baseline NFPC'!$C$10:$U$10,0))/INDEX(OFFSET('Baseline NFPC'!$C$1:$U$1,$D49-1,0),MATCH(W$4,'Baseline NFPC'!$C$10:$U$10,0))-1)*100</f>
        <v>1.6100000000000003</v>
      </c>
      <c r="Y49" s="184"/>
    </row>
    <row r="50" spans="1:25" x14ac:dyDescent="0.2">
      <c r="A50" s="184"/>
      <c r="B50" s="274">
        <v>10</v>
      </c>
      <c r="C50" s="270" t="s">
        <v>153</v>
      </c>
      <c r="D50" s="279">
        <v>23</v>
      </c>
      <c r="E50" s="280" t="s">
        <v>152</v>
      </c>
      <c r="F50" s="267">
        <f ca="1">INDEX(OFFSET('Baseline NFPC'!$C$1:$U$1,$D50-1,0),MATCH(F$4,'Baseline NFPC'!$C$10:$U$10,0))</f>
        <v>2.5804670000000001</v>
      </c>
      <c r="G50" s="267">
        <f ca="1">INDEX(OFFSET('Baseline NFPC'!$C$1:$U$1,$D50-1,0),MATCH(G$4,'Baseline NFPC'!$C$10:$U$10,0))</f>
        <v>1.7972699999999999</v>
      </c>
      <c r="H50" s="267">
        <f ca="1">INDEX(OFFSET('Baseline NFPC'!$C$1:$U$1,$D50-1,0),MATCH(H$4,'Baseline NFPC'!$C$10:$U$10,0))</f>
        <v>2.151977</v>
      </c>
      <c r="I50" s="267">
        <f ca="1">INDEX(OFFSET('Baseline NFPC'!$C$1:$U$1,$D50-1,0),MATCH(I$4,'Baseline NFPC'!$C$10:$U$10,0))</f>
        <v>1.373251</v>
      </c>
      <c r="J50" s="267">
        <f ca="1">INDEX(OFFSET('Baseline NFPC'!$C$1:$U$1,$D50-1,0),MATCH(J$4,'Baseline NFPC'!$C$10:$U$10,0))</f>
        <v>1.1235379999999999</v>
      </c>
      <c r="K50" s="267">
        <f ca="1">INDEX(OFFSET('Baseline NFPC'!$C$1:$U$1,$D50-1,0),MATCH(K$4,'Baseline NFPC'!$C$10:$U$10,0))</f>
        <v>1.157076</v>
      </c>
      <c r="L50" s="267">
        <f ca="1">INDEX(OFFSET('Baseline NFPC'!$C$1:$U$1,$D50-1,0),MATCH(L$4,'Baseline NFPC'!$C$10:$U$10,0))</f>
        <v>1.2260850000000001</v>
      </c>
      <c r="M50" s="267">
        <f ca="1">INDEX(OFFSET('Baseline NFPC'!$C$1:$U$1,$D50-1,0),MATCH(M$4,'Baseline NFPC'!$C$10:$U$10,0))</f>
        <v>1.2362679999999999</v>
      </c>
      <c r="N50" s="267">
        <f ca="1">INDEX(OFFSET('Baseline NFPC'!$C$1:$U$1,$D50-1,0),MATCH(N$4,'Baseline NFPC'!$C$10:$U$10,0))</f>
        <v>1.2441960000000001</v>
      </c>
      <c r="O50" s="267">
        <f ca="1">INDEX(OFFSET('Baseline NFPC'!$C$1:$U$1,$D50-1,0),MATCH(O$4,'Baseline NFPC'!$C$10:$U$10,0))</f>
        <v>1.209247</v>
      </c>
      <c r="P50" s="267">
        <f ca="1">INDEX(OFFSET('Baseline NFPC'!$C$1:$U$1,$D50-1,0),MATCH(P$4,'Baseline NFPC'!$C$10:$U$10,0))</f>
        <v>1.140828</v>
      </c>
      <c r="Q50" s="267">
        <f ca="1">INDEX(OFFSET('Baseline NFPC'!$C$1:$U$1,$D50-1,0),MATCH(Q$4,'Baseline NFPC'!$C$10:$U$10,0))</f>
        <v>1.2572179999999999</v>
      </c>
      <c r="R50" s="267">
        <f ca="1">INDEX(OFFSET('Baseline NFPC'!$C$1:$U$1,$D50-1,0),MATCH(R$4,'Baseline NFPC'!$C$10:$U$10,0))</f>
        <v>1.3736109999999999</v>
      </c>
      <c r="S50" s="267">
        <f ca="1">INDEX(OFFSET('Baseline NFPC'!$C$1:$U$1,$D50-1,0),MATCH(S$4,'Baseline NFPC'!$C$10:$U$10,0))</f>
        <v>1.490002</v>
      </c>
      <c r="T50" s="267">
        <f ca="1">INDEX(OFFSET('Baseline NFPC'!$C$1:$U$1,$D50-1,0),MATCH(T$4,'Baseline NFPC'!$C$10:$U$10,0))</f>
        <v>1.519997</v>
      </c>
      <c r="U50" s="267">
        <f ca="1">INDEX(OFFSET('Baseline NFPC'!$C$1:$U$1,$D50-1,0),MATCH(U$4,'Baseline NFPC'!$C$10:$U$10,0))</f>
        <v>1.6000019999999999</v>
      </c>
      <c r="V50" s="267">
        <f ca="1">INDEX(OFFSET('Baseline NFPC'!$C$1:$U$1,$D50-1,0),MATCH(V$4,'Baseline NFPC'!$C$10:$U$10,0))</f>
        <v>1.6000049999999999</v>
      </c>
      <c r="W50" s="267">
        <f ca="1">INDEX(OFFSET('Baseline NFPC'!$C$1:$U$1,$D50-1,0),MATCH(W$4,'Baseline NFPC'!$C$10:$U$10,0))</f>
        <v>1.6</v>
      </c>
      <c r="X50" s="267">
        <f ca="1">INDEX(OFFSET('Baseline NFPC'!$C$1:$U$1,$D50-1,0),MATCH(X$4,'Baseline NFPC'!$C$10:$U$10,0))</f>
        <v>1.61</v>
      </c>
      <c r="Y50" s="184"/>
    </row>
    <row r="51" spans="1:25" x14ac:dyDescent="0.2">
      <c r="A51" s="184"/>
      <c r="B51" s="274">
        <v>11</v>
      </c>
      <c r="C51" s="283" t="s">
        <v>154</v>
      </c>
      <c r="D51" s="279">
        <v>41</v>
      </c>
      <c r="E51" s="280" t="s">
        <v>152</v>
      </c>
      <c r="F51" s="267">
        <f ca="1">INDEX(OFFSET('Baseline NFPC'!$C$1:$U$1,$D51-1,0),MATCH(F$4,'Baseline NFPC'!$C$10:$U$10,0))</f>
        <v>3.5126050000000002</v>
      </c>
      <c r="G51" s="267">
        <f ca="1">INDEX(OFFSET('Baseline NFPC'!$C$1:$U$1,$D51-1,0),MATCH(G$4,'Baseline NFPC'!$C$10:$U$10,0))</f>
        <v>2.6566770000000002</v>
      </c>
      <c r="H51" s="267">
        <f ca="1">INDEX(OFFSET('Baseline NFPC'!$C$1:$U$1,$D51-1,0),MATCH(H$4,'Baseline NFPC'!$C$10:$U$10,0))</f>
        <v>3.0686640000000001</v>
      </c>
      <c r="I51" s="267">
        <f ca="1">INDEX(OFFSET('Baseline NFPC'!$C$1:$U$1,$D51-1,0),MATCH(I$4,'Baseline NFPC'!$C$10:$U$10,0))</f>
        <v>2.9775809999999998</v>
      </c>
      <c r="J51" s="267">
        <f ca="1">INDEX(OFFSET('Baseline NFPC'!$C$1:$U$1,$D51-1,0),MATCH(J$4,'Baseline NFPC'!$C$10:$U$10,0))</f>
        <v>2.886498</v>
      </c>
      <c r="K51" s="267">
        <f ca="1">INDEX(OFFSET('Baseline NFPC'!$C$1:$U$1,$D51-1,0),MATCH(K$4,'Baseline NFPC'!$C$10:$U$10,0))</f>
        <v>2.7954150000000002</v>
      </c>
      <c r="L51" s="267">
        <f ca="1">INDEX(OFFSET('Baseline NFPC'!$C$1:$U$1,$D51-1,0),MATCH(L$4,'Baseline NFPC'!$C$10:$U$10,0))</f>
        <v>2.704332</v>
      </c>
      <c r="M51" s="267">
        <f ca="1">INDEX(OFFSET('Baseline NFPC'!$C$1:$U$1,$D51-1,0),MATCH(M$4,'Baseline NFPC'!$C$10:$U$10,0))</f>
        <v>2.6132489999999997</v>
      </c>
      <c r="N51" s="267">
        <f ca="1">INDEX(OFFSET('Baseline NFPC'!$C$1:$U$1,$D51-1,0),MATCH(N$4,'Baseline NFPC'!$C$10:$U$10,0))</f>
        <v>2.5221659999999999</v>
      </c>
      <c r="O51" s="267">
        <f ca="1">INDEX(OFFSET('Baseline NFPC'!$C$1:$U$1,$D51-1,0),MATCH(O$4,'Baseline NFPC'!$C$10:$U$10,0))</f>
        <v>2.4310830000000001</v>
      </c>
      <c r="P51" s="267">
        <f ca="1">INDEX(OFFSET('Baseline NFPC'!$C$1:$U$1,$D51-1,0),MATCH(P$4,'Baseline NFPC'!$C$10:$U$10,0))</f>
        <v>2.34</v>
      </c>
      <c r="Q51" s="267">
        <f ca="1">INDEX(OFFSET('Baseline NFPC'!$C$1:$U$1,$D51-1,0),MATCH(Q$4,'Baseline NFPC'!$C$10:$U$10,0))</f>
        <v>2.323</v>
      </c>
      <c r="R51" s="267">
        <f ca="1">INDEX(OFFSET('Baseline NFPC'!$C$1:$U$1,$D51-1,0),MATCH(R$4,'Baseline NFPC'!$C$10:$U$10,0))</f>
        <v>2.306</v>
      </c>
      <c r="S51" s="267">
        <f ca="1">INDEX(OFFSET('Baseline NFPC'!$C$1:$U$1,$D51-1,0),MATCH(S$4,'Baseline NFPC'!$C$10:$U$10,0))</f>
        <v>2.2889999999999997</v>
      </c>
      <c r="T51" s="267">
        <f ca="1">INDEX(OFFSET('Baseline NFPC'!$C$1:$U$1,$D51-1,0),MATCH(T$4,'Baseline NFPC'!$C$10:$U$10,0))</f>
        <v>2.2719999999999998</v>
      </c>
      <c r="U51" s="267">
        <f ca="1">INDEX(OFFSET('Baseline NFPC'!$C$1:$U$1,$D51-1,0),MATCH(U$4,'Baseline NFPC'!$C$10:$U$10,0))</f>
        <v>2.2549999999999999</v>
      </c>
      <c r="V51" s="267">
        <f ca="1">INDEX(OFFSET('Baseline NFPC'!$C$1:$U$1,$D51-1,0),MATCH(V$4,'Baseline NFPC'!$C$10:$U$10,0))</f>
        <v>2.238</v>
      </c>
      <c r="W51" s="267">
        <f ca="1">INDEX(OFFSET('Baseline NFPC'!$C$1:$U$1,$D51-1,0),MATCH(W$4,'Baseline NFPC'!$C$10:$U$10,0))</f>
        <v>2.2210000000000001</v>
      </c>
      <c r="X51" s="267">
        <f ca="1">INDEX(OFFSET('Baseline NFPC'!$C$1:$U$1,$D51-1,0),MATCH(X$4,'Baseline NFPC'!$C$10:$U$10,0))</f>
        <v>2.2039999999999997</v>
      </c>
      <c r="Y51" s="184"/>
    </row>
    <row r="52" spans="1:25" x14ac:dyDescent="0.2">
      <c r="A52" s="184"/>
      <c r="B52" s="274">
        <v>12</v>
      </c>
      <c r="C52" s="270" t="s">
        <v>155</v>
      </c>
      <c r="D52" s="279">
        <v>32</v>
      </c>
      <c r="E52" s="280" t="s">
        <v>152</v>
      </c>
      <c r="F52" s="267">
        <f ca="1">INDEX(OFFSET('Baseline NFPC'!$C$1:$U$1,$D52-1,0),MATCH(F$4,'Baseline NFPC'!$C$10:$U$10,0))</f>
        <v>6.1837136128653603</v>
      </c>
      <c r="G52" s="267">
        <f ca="1">INDEX(OFFSET('Baseline NFPC'!$C$1:$U$1,$D52-1,0),MATCH(G$4,'Baseline NFPC'!$C$10:$U$10,0))</f>
        <v>4.501694658717903</v>
      </c>
      <c r="H52" s="267">
        <f ca="1">INDEX(OFFSET('Baseline NFPC'!$C$1:$U$1,$D52-1,0),MATCH(H$4,'Baseline NFPC'!$C$10:$U$10,0))</f>
        <v>5.2866779434872946</v>
      </c>
      <c r="I52" s="267">
        <f ca="1">INDEX(OFFSET('Baseline NFPC'!$C$1:$U$1,$D52-1,0),MATCH(I$4,'Baseline NFPC'!$C$10:$U$10,0))</f>
        <v>4.3917216608583276</v>
      </c>
      <c r="J52" s="267">
        <f ca="1">INDEX(OFFSET('Baseline NFPC'!$C$1:$U$1,$D52-1,0),MATCH(J$4,'Baseline NFPC'!$C$10:$U$10,0))</f>
        <v>4.0424669018992443</v>
      </c>
      <c r="K52" s="267">
        <f ca="1">INDEX(OFFSET('Baseline NFPC'!$C$1:$U$1,$D52-1,0),MATCH(K$4,'Baseline NFPC'!$C$10:$U$10,0))</f>
        <v>3.98483607606539</v>
      </c>
      <c r="L52" s="267">
        <f ca="1">INDEX(OFFSET('Baseline NFPC'!$C$1:$U$1,$D52-1,0),MATCH(L$4,'Baseline NFPC'!$C$10:$U$10,0))</f>
        <v>3.9635744090022129</v>
      </c>
      <c r="M52" s="267">
        <f ca="1">INDEX(OFFSET('Baseline NFPC'!$C$1:$U$1,$D52-1,0),MATCH(M$4,'Baseline NFPC'!$C$10:$U$10,0))</f>
        <v>3.8818237611473183</v>
      </c>
      <c r="N52" s="267">
        <f ca="1">INDEX(OFFSET('Baseline NFPC'!$C$1:$U$1,$D52-1,0),MATCH(N$4,'Baseline NFPC'!$C$10:$U$10,0))</f>
        <v>3.7977426884853616</v>
      </c>
      <c r="O52" s="267">
        <f ca="1">INDEX(OFFSET('Baseline NFPC'!$C$1:$U$1,$D52-1,0),MATCH(O$4,'Baseline NFPC'!$C$10:$U$10,0))</f>
        <v>3.6697277982449927</v>
      </c>
      <c r="P52" s="267">
        <f ca="1">INDEX(OFFSET('Baseline NFPC'!$C$1:$U$1,$D52-1,0),MATCH(P$4,'Baseline NFPC'!$C$10:$U$10,0))</f>
        <v>3.5075233751999946</v>
      </c>
      <c r="Q52" s="267">
        <f ca="1">INDEX(OFFSET('Baseline NFPC'!$C$1:$U$1,$D52-1,0),MATCH(Q$4,'Baseline NFPC'!$C$10:$U$10,0))</f>
        <v>3.609423174140014</v>
      </c>
      <c r="R52" s="267">
        <f ca="1">INDEX(OFFSET('Baseline NFPC'!$C$1:$U$1,$D52-1,0),MATCH(R$4,'Baseline NFPC'!$C$10:$U$10,0))</f>
        <v>3.7112864696600134</v>
      </c>
      <c r="S52" s="267">
        <f ca="1">INDEX(OFFSET('Baseline NFPC'!$C$1:$U$1,$D52-1,0),MATCH(S$4,'Baseline NFPC'!$C$10:$U$10,0))</f>
        <v>3.8131081457800198</v>
      </c>
      <c r="T52" s="267">
        <f ca="1">INDEX(OFFSET('Baseline NFPC'!$C$1:$U$1,$D52-1,0),MATCH(T$4,'Baseline NFPC'!$C$10:$U$10,0))</f>
        <v>3.8265313318400107</v>
      </c>
      <c r="U52" s="267">
        <f ca="1">INDEX(OFFSET('Baseline NFPC'!$C$1:$U$1,$D52-1,0),MATCH(U$4,'Baseline NFPC'!$C$10:$U$10,0))</f>
        <v>3.8910820451000028</v>
      </c>
      <c r="V52" s="267">
        <f ca="1">INDEX(OFFSET('Baseline NFPC'!$C$1:$U$1,$D52-1,0),MATCH(V$4,'Baseline NFPC'!$C$10:$U$10,0))</f>
        <v>3.8738131119000041</v>
      </c>
      <c r="W52" s="267">
        <f ca="1">INDEX(OFFSET('Baseline NFPC'!$C$1:$U$1,$D52-1,0),MATCH(W$4,'Baseline NFPC'!$C$10:$U$10,0))</f>
        <v>3.8565359999999993</v>
      </c>
      <c r="X52" s="267">
        <f ca="1">INDEX(OFFSET('Baseline NFPC'!$C$1:$U$1,$D52-1,0),MATCH(X$4,'Baseline NFPC'!$C$10:$U$10,0))</f>
        <v>3.8494844000000139</v>
      </c>
      <c r="Y52" s="184"/>
    </row>
    <row r="53" spans="1:25" x14ac:dyDescent="0.2">
      <c r="A53" s="184"/>
      <c r="B53" s="274">
        <v>13</v>
      </c>
      <c r="C53" s="270" t="s">
        <v>46</v>
      </c>
      <c r="D53" s="269"/>
      <c r="E53" s="280" t="s">
        <v>149</v>
      </c>
      <c r="F53" s="286">
        <f>'Input data'!$C$49</f>
        <v>0.6</v>
      </c>
      <c r="G53" s="184"/>
      <c r="H53" s="184"/>
      <c r="I53" s="184"/>
      <c r="J53" s="184"/>
      <c r="K53" s="184"/>
      <c r="L53" s="184"/>
      <c r="M53" s="184"/>
      <c r="N53" s="184"/>
      <c r="O53" s="184"/>
      <c r="P53" s="184"/>
      <c r="Q53" s="184"/>
      <c r="R53" s="184"/>
      <c r="S53" s="184"/>
      <c r="T53" s="184"/>
      <c r="U53" s="184"/>
      <c r="V53" s="184"/>
      <c r="W53" s="184"/>
      <c r="X53" s="184"/>
      <c r="Y53" s="184"/>
    </row>
    <row r="54" spans="1:25" x14ac:dyDescent="0.2">
      <c r="A54" s="184"/>
      <c r="B54" s="268"/>
      <c r="C54" s="289"/>
      <c r="D54" s="289"/>
      <c r="E54" s="289"/>
      <c r="F54" s="289"/>
      <c r="G54" s="289"/>
      <c r="H54" s="289"/>
      <c r="I54" s="289"/>
      <c r="J54" s="289"/>
      <c r="K54" s="184"/>
      <c r="L54" s="184"/>
      <c r="M54" s="184"/>
      <c r="N54" s="184"/>
      <c r="O54" s="184"/>
      <c r="P54" s="184"/>
      <c r="Q54" s="184"/>
      <c r="R54" s="184"/>
      <c r="S54" s="184"/>
      <c r="T54" s="184"/>
      <c r="U54" s="184"/>
      <c r="V54" s="184"/>
      <c r="W54" s="184"/>
      <c r="X54" s="184"/>
      <c r="Y54" s="184"/>
    </row>
    <row r="55" spans="1:25" x14ac:dyDescent="0.2">
      <c r="A55" s="184"/>
      <c r="B55" s="290"/>
      <c r="C55" s="272" t="s">
        <v>161</v>
      </c>
      <c r="D55" s="273"/>
      <c r="E55" s="273"/>
      <c r="F55" s="273"/>
      <c r="G55" s="289"/>
      <c r="H55" s="289"/>
      <c r="I55" s="289"/>
      <c r="J55" s="289"/>
      <c r="K55" s="184"/>
      <c r="L55" s="184"/>
      <c r="M55" s="184"/>
      <c r="N55" s="184"/>
      <c r="O55" s="184"/>
      <c r="P55" s="184"/>
      <c r="Q55" s="184"/>
      <c r="R55" s="184"/>
      <c r="S55" s="184"/>
      <c r="T55" s="184"/>
      <c r="U55" s="184"/>
      <c r="V55" s="184"/>
      <c r="W55" s="184"/>
      <c r="X55" s="184"/>
      <c r="Y55" s="184"/>
    </row>
    <row r="56" spans="1:25" x14ac:dyDescent="0.2">
      <c r="A56" s="184"/>
      <c r="B56" s="268"/>
      <c r="C56" s="289"/>
      <c r="D56" s="289"/>
      <c r="E56" s="289"/>
      <c r="F56" s="289"/>
      <c r="G56" s="289"/>
      <c r="H56" s="289"/>
      <c r="I56" s="289"/>
      <c r="J56" s="289"/>
      <c r="K56" s="184"/>
      <c r="L56" s="184"/>
      <c r="M56" s="184"/>
      <c r="N56" s="184"/>
      <c r="O56" s="184"/>
      <c r="P56" s="184"/>
      <c r="Q56" s="184"/>
      <c r="R56" s="184"/>
      <c r="S56" s="184"/>
      <c r="T56" s="184"/>
      <c r="U56" s="184"/>
      <c r="V56" s="184"/>
      <c r="W56" s="184"/>
      <c r="X56" s="184"/>
      <c r="Y56" s="184"/>
    </row>
    <row r="57" spans="1:25" x14ac:dyDescent="0.2">
      <c r="A57" s="184"/>
      <c r="B57" s="274"/>
      <c r="C57" s="272"/>
      <c r="D57" s="272"/>
      <c r="E57" s="277"/>
      <c r="F57" s="277">
        <f>'Input data'!$C$5-1</f>
        <v>2025</v>
      </c>
      <c r="G57" s="277">
        <f>F57+1</f>
        <v>2026</v>
      </c>
      <c r="H57" s="277">
        <f t="shared" ref="H57:X57" si="2">G57+1</f>
        <v>2027</v>
      </c>
      <c r="I57" s="277">
        <f t="shared" si="2"/>
        <v>2028</v>
      </c>
      <c r="J57" s="277">
        <f t="shared" si="2"/>
        <v>2029</v>
      </c>
      <c r="K57" s="277">
        <f t="shared" si="2"/>
        <v>2030</v>
      </c>
      <c r="L57" s="277">
        <f t="shared" si="2"/>
        <v>2031</v>
      </c>
      <c r="M57" s="277">
        <f t="shared" si="2"/>
        <v>2032</v>
      </c>
      <c r="N57" s="277">
        <f t="shared" si="2"/>
        <v>2033</v>
      </c>
      <c r="O57" s="277">
        <f t="shared" si="2"/>
        <v>2034</v>
      </c>
      <c r="P57" s="277">
        <f t="shared" si="2"/>
        <v>2035</v>
      </c>
      <c r="Q57" s="277">
        <f t="shared" si="2"/>
        <v>2036</v>
      </c>
      <c r="R57" s="277">
        <f t="shared" si="2"/>
        <v>2037</v>
      </c>
      <c r="S57" s="277">
        <f t="shared" si="2"/>
        <v>2038</v>
      </c>
      <c r="T57" s="277">
        <f t="shared" si="2"/>
        <v>2039</v>
      </c>
      <c r="U57" s="277">
        <f t="shared" si="2"/>
        <v>2040</v>
      </c>
      <c r="V57" s="277">
        <f t="shared" si="2"/>
        <v>2041</v>
      </c>
      <c r="W57" s="277">
        <f t="shared" si="2"/>
        <v>2042</v>
      </c>
      <c r="X57" s="277">
        <f t="shared" si="2"/>
        <v>2043</v>
      </c>
      <c r="Y57" s="184"/>
    </row>
    <row r="58" spans="1:25" x14ac:dyDescent="0.2">
      <c r="A58" s="184"/>
      <c r="B58" s="274">
        <v>1</v>
      </c>
      <c r="C58" s="278" t="s">
        <v>142</v>
      </c>
      <c r="D58" s="279">
        <v>92</v>
      </c>
      <c r="E58" s="280" t="s">
        <v>143</v>
      </c>
      <c r="F58" s="267">
        <f ca="1">INDEX(OFFSET('Adjust. no safeguard'!$C$1:$U$1,$D58-1,0),MATCH(F$4,'Adjust. no safeguard'!$C$10:$U$10,0))</f>
        <v>44.250230000000002</v>
      </c>
      <c r="G58" s="267">
        <f ca="1">INDEX(OFFSET('Adjust. no safeguard'!$C$1:$U$1,$D58-1,0),MATCH(G$4,'Adjust. no safeguard'!$C$10:$U$10,0))</f>
        <v>45.838496420963068</v>
      </c>
      <c r="H58" s="267">
        <f ca="1">INDEX(OFFSET('Adjust. no safeguard'!$C$1:$U$1,$D58-1,0),MATCH(H$4,'Adjust. no safeguard'!$C$10:$U$10,0))</f>
        <v>46.696592762474289</v>
      </c>
      <c r="I58" s="267">
        <f ca="1">INDEX(OFFSET('Adjust. no safeguard'!$C$1:$U$1,$D58-1,0),MATCH(I$4,'Adjust. no safeguard'!$C$10:$U$10,0))</f>
        <v>46.801694328103437</v>
      </c>
      <c r="J58" s="267">
        <f ca="1">INDEX(OFFSET('Adjust. no safeguard'!$C$1:$U$1,$D58-1,0),MATCH(J$4,'Adjust. no safeguard'!$C$10:$U$10,0))</f>
        <v>46.709600076892166</v>
      </c>
      <c r="K58" s="267">
        <f ca="1">INDEX(OFFSET('Adjust. no safeguard'!$C$1:$U$1,$D58-1,0),MATCH(K$4,'Adjust. no safeguard'!$C$10:$U$10,0))</f>
        <v>46.311728139454459</v>
      </c>
      <c r="L58" s="267">
        <f ca="1">INDEX(OFFSET('Adjust. no safeguard'!$C$1:$U$1,$D58-1,0),MATCH(L$4,'Adjust. no safeguard'!$C$10:$U$10,0))</f>
        <v>45.919302040827532</v>
      </c>
      <c r="M58" s="267">
        <f ca="1">INDEX(OFFSET('Adjust. no safeguard'!$C$1:$U$1,$D58-1,0),MATCH(M$4,'Adjust. no safeguard'!$C$10:$U$10,0))</f>
        <v>45.57728716902286</v>
      </c>
      <c r="N58" s="267">
        <f ca="1">INDEX(OFFSET('Adjust. no safeguard'!$C$1:$U$1,$D58-1,0),MATCH(N$4,'Adjust. no safeguard'!$C$10:$U$10,0))</f>
        <v>45.283454896613527</v>
      </c>
      <c r="O58" s="267">
        <f ca="1">INDEX(OFFSET('Adjust. no safeguard'!$C$1:$U$1,$D58-1,0),MATCH(O$4,'Adjust. no safeguard'!$C$10:$U$10,0))</f>
        <v>45.518772828838543</v>
      </c>
      <c r="P58" s="267">
        <f ca="1">INDEX(OFFSET('Adjust. no safeguard'!$C$1:$U$1,$D58-1,0),MATCH(P$4,'Adjust. no safeguard'!$C$10:$U$10,0))</f>
        <v>45.916848572917345</v>
      </c>
      <c r="Q58" s="267">
        <f ca="1">INDEX(OFFSET('Adjust. no safeguard'!$C$1:$U$1,$D58-1,0),MATCH(Q$4,'Adjust. no safeguard'!$C$10:$U$10,0))</f>
        <v>46.449804625156318</v>
      </c>
      <c r="R58" s="267">
        <f ca="1">INDEX(OFFSET('Adjust. no safeguard'!$C$1:$U$1,$D58-1,0),MATCH(R$4,'Adjust. no safeguard'!$C$10:$U$10,0))</f>
        <v>47.108677875740021</v>
      </c>
      <c r="S58" s="267">
        <f ca="1">INDEX(OFFSET('Adjust. no safeguard'!$C$1:$U$1,$D58-1,0),MATCH(S$4,'Adjust. no safeguard'!$C$10:$U$10,0))</f>
        <v>47.984625823258334</v>
      </c>
      <c r="T58" s="267">
        <f ca="1">INDEX(OFFSET('Adjust. no safeguard'!$C$1:$U$1,$D58-1,0),MATCH(T$4,'Adjust. no safeguard'!$C$10:$U$10,0))</f>
        <v>48.911606003886725</v>
      </c>
      <c r="U58" s="267">
        <f ca="1">INDEX(OFFSET('Adjust. no safeguard'!$C$1:$U$1,$D58-1,0),MATCH(U$4,'Adjust. no safeguard'!$C$10:$U$10,0))</f>
        <v>49.956945837248838</v>
      </c>
      <c r="V58" s="267">
        <f ca="1">INDEX(OFFSET('Adjust. no safeguard'!$C$1:$U$1,$D58-1,0),MATCH(V$4,'Adjust. no safeguard'!$C$10:$U$10,0))</f>
        <v>51.252664240686855</v>
      </c>
      <c r="W58" s="267">
        <f ca="1">INDEX(OFFSET('Adjust. no safeguard'!$C$1:$U$1,$D58-1,0),MATCH(W$4,'Adjust. no safeguard'!$C$10:$U$10,0))</f>
        <v>52.694664692766096</v>
      </c>
      <c r="X58" s="267">
        <f ca="1">INDEX(OFFSET('Adjust. no safeguard'!$C$1:$U$1,$D58-1,0),MATCH(X$4,'Adjust. no safeguard'!$C$10:$U$10,0))</f>
        <v>54.272639606646536</v>
      </c>
      <c r="Y58" s="184"/>
    </row>
    <row r="59" spans="1:25" x14ac:dyDescent="0.2">
      <c r="A59" s="184"/>
      <c r="B59" s="274">
        <f>B58+1</f>
        <v>2</v>
      </c>
      <c r="C59" s="281" t="s">
        <v>95</v>
      </c>
      <c r="D59" s="279">
        <v>94</v>
      </c>
      <c r="E59" s="280" t="s">
        <v>143</v>
      </c>
      <c r="F59" s="267">
        <f ca="1">INDEX(OFFSET('Adjust. no safeguard'!$C$1:$U$1,$D59-1,0),MATCH(F$4,'Adjust. no safeguard'!$C$10:$U$10,0))</f>
        <v>2.7018460000000002</v>
      </c>
      <c r="G59" s="267">
        <f ca="1">INDEX(OFFSET('Adjust. no safeguard'!$C$1:$U$1,$D59-1,0),MATCH(G$4,'Adjust. no safeguard'!$C$10:$U$10,0))</f>
        <v>2.8142826680856383</v>
      </c>
      <c r="H59" s="267">
        <f ca="1">INDEX(OFFSET('Adjust. no safeguard'!$C$1:$U$1,$D59-1,0),MATCH(H$4,'Adjust. no safeguard'!$C$10:$U$10,0))</f>
        <v>2.9363306341867186</v>
      </c>
      <c r="I59" s="267">
        <f ca="1">INDEX(OFFSET('Adjust. no safeguard'!$C$1:$U$1,$D59-1,0),MATCH(I$4,'Adjust. no safeguard'!$C$10:$U$10,0))</f>
        <v>3.0475786369123172</v>
      </c>
      <c r="J59" s="267">
        <f ca="1">INDEX(OFFSET('Adjust. no safeguard'!$C$1:$U$1,$D59-1,0),MATCH(J$4,'Adjust. no safeguard'!$C$10:$U$10,0))</f>
        <v>3.0955925683813983</v>
      </c>
      <c r="K59" s="267">
        <f ca="1">INDEX(OFFSET('Adjust. no safeguard'!$C$1:$U$1,$D59-1,0),MATCH(K$4,'Adjust. no safeguard'!$C$10:$U$10,0))</f>
        <v>3.1257262638607748</v>
      </c>
      <c r="L59" s="267">
        <f ca="1">INDEX(OFFSET('Adjust. no safeguard'!$C$1:$U$1,$D59-1,0),MATCH(L$4,'Adjust. no safeguard'!$C$10:$U$10,0))</f>
        <v>3.1263127198689382</v>
      </c>
      <c r="M59" s="267">
        <f ca="1">INDEX(OFFSET('Adjust. no safeguard'!$C$1:$U$1,$D59-1,0),MATCH(M$4,'Adjust. no safeguard'!$C$10:$U$10,0))</f>
        <v>3.1364694019272084</v>
      </c>
      <c r="N59" s="267">
        <f ca="1">INDEX(OFFSET('Adjust. no safeguard'!$C$1:$U$1,$D59-1,0),MATCH(N$4,'Adjust. no safeguard'!$C$10:$U$10,0))</f>
        <v>3.1496137502300381</v>
      </c>
      <c r="O59" s="267">
        <f ca="1">INDEX(OFFSET('Adjust. no safeguard'!$C$1:$U$1,$D59-1,0),MATCH(O$4,'Adjust. no safeguard'!$C$10:$U$10,0))</f>
        <v>3.1731140213324438</v>
      </c>
      <c r="P59" s="267">
        <f ca="1">INDEX(OFFSET('Adjust. no safeguard'!$C$1:$U$1,$D59-1,0),MATCH(P$4,'Adjust. no safeguard'!$C$10:$U$10,0))</f>
        <v>3.2284386634957305</v>
      </c>
      <c r="Q59" s="267">
        <f ca="1">INDEX(OFFSET('Adjust. no safeguard'!$C$1:$U$1,$D59-1,0),MATCH(Q$4,'Adjust. no safeguard'!$C$10:$U$10,0))</f>
        <v>3.2521254753593434</v>
      </c>
      <c r="R59" s="267">
        <f ca="1">INDEX(OFFSET('Adjust. no safeguard'!$C$1:$U$1,$D59-1,0),MATCH(R$4,'Adjust. no safeguard'!$C$10:$U$10,0))</f>
        <v>3.2852284761292867</v>
      </c>
      <c r="S59" s="267">
        <f ca="1">INDEX(OFFSET('Adjust. no safeguard'!$C$1:$U$1,$D59-1,0),MATCH(S$4,'Adjust. no safeguard'!$C$10:$U$10,0))</f>
        <v>3.3270943323209692</v>
      </c>
      <c r="T59" s="267">
        <f ca="1">INDEX(OFFSET('Adjust. no safeguard'!$C$1:$U$1,$D59-1,0),MATCH(T$4,'Adjust. no safeguard'!$C$10:$U$10,0))</f>
        <v>3.3869560293534526</v>
      </c>
      <c r="U59" s="267">
        <f ca="1">INDEX(OFFSET('Adjust. no safeguard'!$C$1:$U$1,$D59-1,0),MATCH(U$4,'Adjust. no safeguard'!$C$10:$U$10,0))</f>
        <v>3.4487116057001983</v>
      </c>
      <c r="V59" s="267">
        <f ca="1">INDEX(OFFSET('Adjust. no safeguard'!$C$1:$U$1,$D59-1,0),MATCH(V$4,'Adjust. no safeguard'!$C$10:$U$10,0))</f>
        <v>3.5214602024487065</v>
      </c>
      <c r="W59" s="267">
        <f ca="1">INDEX(OFFSET('Adjust. no safeguard'!$C$1:$U$1,$D59-1,0),MATCH(W$4,'Adjust. no safeguard'!$C$10:$U$10,0))</f>
        <v>3.6117996573124378</v>
      </c>
      <c r="X59" s="267">
        <f ca="1">INDEX(OFFSET('Adjust. no safeguard'!$C$1:$U$1,$D59-1,0),MATCH(X$4,'Adjust. no safeguard'!$C$10:$U$10,0))</f>
        <v>3.7120835349687233</v>
      </c>
      <c r="Y59" s="184"/>
    </row>
    <row r="60" spans="1:25" x14ac:dyDescent="0.2">
      <c r="A60" s="184"/>
      <c r="B60" s="274">
        <f t="shared" ref="B60:B62" si="3">B59+1</f>
        <v>3</v>
      </c>
      <c r="C60" s="281" t="s">
        <v>96</v>
      </c>
      <c r="D60" s="279">
        <v>95</v>
      </c>
      <c r="E60" s="280" t="s">
        <v>143</v>
      </c>
      <c r="F60" s="267">
        <f ca="1">INDEX(OFFSET('Adjust. no safeguard'!$C$1:$U$1,$D60-1,0),MATCH(F$4,'Adjust. no safeguard'!$C$10:$U$10,0))</f>
        <v>0.96484409999999998</v>
      </c>
      <c r="G60" s="267">
        <f ca="1">INDEX(OFFSET('Adjust. no safeguard'!$C$1:$U$1,$D60-1,0),MATCH(G$4,'Adjust. no safeguard'!$C$10:$U$10,0))</f>
        <v>1.0541067161098168</v>
      </c>
      <c r="H60" s="267">
        <f ca="1">INDEX(OFFSET('Adjust. no safeguard'!$C$1:$U$1,$D60-1,0),MATCH(H$4,'Adjust. no safeguard'!$C$10:$U$10,0))</f>
        <v>1.1354831106276269</v>
      </c>
      <c r="I60" s="267">
        <f ca="1">INDEX(OFFSET('Adjust. no safeguard'!$C$1:$U$1,$D60-1,0),MATCH(I$4,'Adjust. no safeguard'!$C$10:$U$10,0))</f>
        <v>1.2036258024482782</v>
      </c>
      <c r="J60" s="267">
        <f ca="1">INDEX(OFFSET('Adjust. no safeguard'!$C$1:$U$1,$D60-1,0),MATCH(J$4,'Adjust. no safeguard'!$C$10:$U$10,0))</f>
        <v>1.2322563407795344</v>
      </c>
      <c r="K60" s="267">
        <f ca="1">INDEX(OFFSET('Adjust. no safeguard'!$C$1:$U$1,$D60-1,0),MATCH(K$4,'Adjust. no safeguard'!$C$10:$U$10,0))</f>
        <v>1.2494784116471769</v>
      </c>
      <c r="L60" s="267">
        <f ca="1">INDEX(OFFSET('Adjust. no safeguard'!$C$1:$U$1,$D60-1,0),MATCH(L$4,'Adjust. no safeguard'!$C$10:$U$10,0))</f>
        <v>1.2506102347611909</v>
      </c>
      <c r="M60" s="267">
        <f ca="1">INDEX(OFFSET('Adjust. no safeguard'!$C$1:$U$1,$D60-1,0),MATCH(M$4,'Adjust. no safeguard'!$C$10:$U$10,0))</f>
        <v>1.2562779243935118</v>
      </c>
      <c r="N60" s="267">
        <f ca="1">INDEX(OFFSET('Adjust. no safeguard'!$C$1:$U$1,$D60-1,0),MATCH(N$4,'Adjust. no safeguard'!$C$10:$U$10,0))</f>
        <v>1.2627445924223328</v>
      </c>
      <c r="O60" s="267">
        <f ca="1">INDEX(OFFSET('Adjust. no safeguard'!$C$1:$U$1,$D60-1,0),MATCH(O$4,'Adjust. no safeguard'!$C$10:$U$10,0))</f>
        <v>1.2729608395228815</v>
      </c>
      <c r="P60" s="267">
        <f ca="1">INDEX(OFFSET('Adjust. no safeguard'!$C$1:$U$1,$D60-1,0),MATCH(P$4,'Adjust. no safeguard'!$C$10:$U$10,0))</f>
        <v>1.2991360027629544</v>
      </c>
      <c r="Q60" s="267">
        <f ca="1">INDEX(OFFSET('Adjust. no safeguard'!$C$1:$U$1,$D60-1,0),MATCH(Q$4,'Adjust. no safeguard'!$C$10:$U$10,0))</f>
        <v>1.3269742950659367</v>
      </c>
      <c r="R60" s="267">
        <f ca="1">INDEX(OFFSET('Adjust. no safeguard'!$C$1:$U$1,$D60-1,0),MATCH(R$4,'Adjust. no safeguard'!$C$10:$U$10,0))</f>
        <v>1.359738099044081</v>
      </c>
      <c r="S60" s="267">
        <f ca="1">INDEX(OFFSET('Adjust. no safeguard'!$C$1:$U$1,$D60-1,0),MATCH(S$4,'Adjust. no safeguard'!$C$10:$U$10,0))</f>
        <v>1.397051852195683</v>
      </c>
      <c r="T60" s="267">
        <f ca="1">INDEX(OFFSET('Adjust. no safeguard'!$C$1:$U$1,$D60-1,0),MATCH(T$4,'Adjust. no safeguard'!$C$10:$U$10,0))</f>
        <v>1.4435302747116221</v>
      </c>
      <c r="U60" s="267">
        <f ca="1">INDEX(OFFSET('Adjust. no safeguard'!$C$1:$U$1,$D60-1,0),MATCH(U$4,'Adjust. no safeguard'!$C$10:$U$10,0))</f>
        <v>1.4907211775349898</v>
      </c>
      <c r="V60" s="267">
        <f ca="1">INDEX(OFFSET('Adjust. no safeguard'!$C$1:$U$1,$D60-1,0),MATCH(V$4,'Adjust. no safeguard'!$C$10:$U$10,0))</f>
        <v>1.5432303090740866</v>
      </c>
      <c r="W60" s="267">
        <f ca="1">INDEX(OFFSET('Adjust. no safeguard'!$C$1:$U$1,$D60-1,0),MATCH(W$4,'Adjust. no safeguard'!$C$10:$U$10,0))</f>
        <v>1.6046258833297986</v>
      </c>
      <c r="X60" s="267">
        <f ca="1">INDEX(OFFSET('Adjust. no safeguard'!$C$1:$U$1,$D60-1,0),MATCH(X$4,'Adjust. no safeguard'!$C$10:$U$10,0))</f>
        <v>1.6708594591504198</v>
      </c>
      <c r="Y60" s="184"/>
    </row>
    <row r="61" spans="1:25" x14ac:dyDescent="0.2">
      <c r="A61" s="184"/>
      <c r="B61" s="274">
        <f t="shared" si="3"/>
        <v>4</v>
      </c>
      <c r="C61" s="281" t="s">
        <v>97</v>
      </c>
      <c r="D61" s="279">
        <v>96</v>
      </c>
      <c r="E61" s="280" t="s">
        <v>143</v>
      </c>
      <c r="F61" s="267">
        <f ca="1">INDEX(OFFSET('Adjust. no safeguard'!$C$1:$U$1,$D61-1,0),MATCH(F$4,'Adjust. no safeguard'!$C$10:$U$10,0))</f>
        <v>3.3958969999999997</v>
      </c>
      <c r="G61" s="267">
        <f ca="1">INDEX(OFFSET('Adjust. no safeguard'!$C$1:$U$1,$D61-1,0),MATCH(G$4,'Adjust. no safeguard'!$C$10:$U$10,0))</f>
        <v>3.4023463066334618</v>
      </c>
      <c r="H61" s="267">
        <f ca="1">INDEX(OFFSET('Adjust. no safeguard'!$C$1:$U$1,$D61-1,0),MATCH(H$4,'Adjust. no safeguard'!$C$10:$U$10,0))</f>
        <v>2.9231248789875068</v>
      </c>
      <c r="I61" s="267">
        <f ca="1">INDEX(OFFSET('Adjust. no safeguard'!$C$1:$U$1,$D61-1,0),MATCH(I$4,'Adjust. no safeguard'!$C$10:$U$10,0))</f>
        <v>1.9104163729777919</v>
      </c>
      <c r="J61" s="267">
        <f ca="1">INDEX(OFFSET('Adjust. no safeguard'!$C$1:$U$1,$D61-1,0),MATCH(J$4,'Adjust. no safeguard'!$C$10:$U$10,0))</f>
        <v>1.6300190425119523</v>
      </c>
      <c r="K61" s="267">
        <f ca="1">INDEX(OFFSET('Adjust. no safeguard'!$C$1:$U$1,$D61-1,0),MATCH(K$4,'Adjust. no safeguard'!$C$10:$U$10,0))</f>
        <v>1.3107402148217213</v>
      </c>
      <c r="L61" s="267">
        <f ca="1">INDEX(OFFSET('Adjust. no safeguard'!$C$1:$U$1,$D61-1,0),MATCH(L$4,'Adjust. no safeguard'!$C$10:$U$10,0))</f>
        <v>1.4027807085981128</v>
      </c>
      <c r="M61" s="267">
        <f ca="1">INDEX(OFFSET('Adjust. no safeguard'!$C$1:$U$1,$D61-1,0),MATCH(M$4,'Adjust. no safeguard'!$C$10:$U$10,0))</f>
        <v>1.4026428814033021</v>
      </c>
      <c r="N61" s="267">
        <f ca="1">INDEX(OFFSET('Adjust. no safeguard'!$C$1:$U$1,$D61-1,0),MATCH(N$4,'Adjust. no safeguard'!$C$10:$U$10,0))</f>
        <v>1.4018071762902393</v>
      </c>
      <c r="O61" s="267">
        <f ca="1">INDEX(OFFSET('Adjust. no safeguard'!$C$1:$U$1,$D61-1,0),MATCH(O$4,'Adjust. no safeguard'!$C$10:$U$10,0))</f>
        <v>1.7665307013035885</v>
      </c>
      <c r="P61" s="267">
        <f ca="1">INDEX(OFFSET('Adjust. no safeguard'!$C$1:$U$1,$D61-1,0),MATCH(P$4,'Adjust. no safeguard'!$C$10:$U$10,0))</f>
        <v>1.8648201269135101</v>
      </c>
      <c r="Q61" s="267">
        <f ca="1">INDEX(OFFSET('Adjust. no safeguard'!$C$1:$U$1,$D61-1,0),MATCH(Q$4,'Adjust. no safeguard'!$C$10:$U$10,0))</f>
        <v>2.0493256154127084</v>
      </c>
      <c r="R61" s="267">
        <f ca="1">INDEX(OFFSET('Adjust. no safeguard'!$C$1:$U$1,$D61-1,0),MATCH(R$4,'Adjust. no safeguard'!$C$10:$U$10,0))</f>
        <v>2.2304848420201111</v>
      </c>
      <c r="S61" s="267">
        <f ca="1">INDEX(OFFSET('Adjust. no safeguard'!$C$1:$U$1,$D61-1,0),MATCH(S$4,'Adjust. no safeguard'!$C$10:$U$10,0))</f>
        <v>2.5045580320748697</v>
      </c>
      <c r="T61" s="267">
        <f ca="1">INDEX(OFFSET('Adjust. no safeguard'!$C$1:$U$1,$D61-1,0),MATCH(T$4,'Adjust. no safeguard'!$C$10:$U$10,0))</f>
        <v>2.5902595672270978</v>
      </c>
      <c r="U61" s="267">
        <f ca="1">INDEX(OFFSET('Adjust. no safeguard'!$C$1:$U$1,$D61-1,0),MATCH(U$4,'Adjust. no safeguard'!$C$10:$U$10,0))</f>
        <v>2.7649584569109322</v>
      </c>
      <c r="V61" s="267">
        <f ca="1">INDEX(OFFSET('Adjust. no safeguard'!$C$1:$U$1,$D61-1,0),MATCH(V$4,'Adjust. no safeguard'!$C$10:$U$10,0))</f>
        <v>3.0355068393261049</v>
      </c>
      <c r="W61" s="267">
        <f ca="1">INDEX(OFFSET('Adjust. no safeguard'!$C$1:$U$1,$D61-1,0),MATCH(W$4,'Adjust. no safeguard'!$C$10:$U$10,0))</f>
        <v>3.2146280043601396</v>
      </c>
      <c r="X61" s="267">
        <f ca="1">INDEX(OFFSET('Adjust. no safeguard'!$C$1:$U$1,$D61-1,0),MATCH(X$4,'Adjust. no safeguard'!$C$10:$U$10,0))</f>
        <v>3.3934414841839962</v>
      </c>
      <c r="Y61" s="184"/>
    </row>
    <row r="62" spans="1:25" x14ac:dyDescent="0.2">
      <c r="A62" s="184"/>
      <c r="B62" s="274">
        <f t="shared" si="3"/>
        <v>5</v>
      </c>
      <c r="C62" s="281" t="s">
        <v>98</v>
      </c>
      <c r="D62" s="279">
        <v>97</v>
      </c>
      <c r="E62" s="280" t="s">
        <v>143</v>
      </c>
      <c r="F62" s="267">
        <f ca="1">INDEX(OFFSET('Adjust. no safeguard'!$C$1:$U$1,$D62-1,0),MATCH(F$4,'Adjust. no safeguard'!$C$10:$U$10,0))</f>
        <v>0.1379148</v>
      </c>
      <c r="G62" s="267">
        <f ca="1">INDEX(OFFSET('Adjust. no safeguard'!$C$1:$U$1,$D62-1,0),MATCH(G$4,'Adjust. no safeguard'!$C$10:$U$10,0))</f>
        <v>0.13817669946354927</v>
      </c>
      <c r="H62" s="267">
        <f ca="1">INDEX(OFFSET('Adjust. no safeguard'!$C$1:$U$1,$D62-1,0),MATCH(H$4,'Adjust. no safeguard'!$C$10:$U$10,0))</f>
        <v>0.11871447274805408</v>
      </c>
      <c r="I62" s="267">
        <f ca="1">INDEX(OFFSET('Adjust. no safeguard'!$C$1:$U$1,$D62-1,0),MATCH(I$4,'Adjust. no safeguard'!$C$10:$U$10,0))</f>
        <v>7.7586172960856833E-2</v>
      </c>
      <c r="J62" s="267">
        <f ca="1">INDEX(OFFSET('Adjust. no safeguard'!$C$1:$U$1,$D62-1,0),MATCH(J$4,'Adjust. no safeguard'!$C$10:$U$10,0))</f>
        <v>6.6198626200369523E-2</v>
      </c>
      <c r="K62" s="267">
        <f ca="1">INDEX(OFFSET('Adjust. no safeguard'!$C$1:$U$1,$D62-1,0),MATCH(K$4,'Adjust. no safeguard'!$C$10:$U$10,0))</f>
        <v>5.3232017089235285E-2</v>
      </c>
      <c r="L62" s="267">
        <f ca="1">INDEX(OFFSET('Adjust. no safeguard'!$C$1:$U$1,$D62-1,0),MATCH(L$4,'Adjust. no safeguard'!$C$10:$U$10,0))</f>
        <v>5.6969982158288211E-2</v>
      </c>
      <c r="M62" s="267">
        <f ca="1">INDEX(OFFSET('Adjust. no safeguard'!$C$1:$U$1,$D62-1,0),MATCH(M$4,'Adjust. no safeguard'!$C$10:$U$10,0))</f>
        <v>5.6964384695490804E-2</v>
      </c>
      <c r="N62" s="267">
        <f ca="1">INDEX(OFFSET('Adjust. no safeguard'!$C$1:$U$1,$D62-1,0),MATCH(N$4,'Adjust. no safeguard'!$C$10:$U$10,0))</f>
        <v>5.6930444889298035E-2</v>
      </c>
      <c r="O62" s="267">
        <f ca="1">INDEX(OFFSET('Adjust. no safeguard'!$C$1:$U$1,$D62-1,0),MATCH(O$4,'Adjust. no safeguard'!$C$10:$U$10,0))</f>
        <v>7.1742662212619754E-2</v>
      </c>
      <c r="P62" s="267">
        <f ca="1">INDEX(OFFSET('Adjust. no safeguard'!$C$1:$U$1,$D62-1,0),MATCH(P$4,'Adjust. no safeguard'!$C$10:$U$10,0))</f>
        <v>7.5734410023966275E-2</v>
      </c>
      <c r="Q62" s="267">
        <f ca="1">INDEX(OFFSET('Adjust. no safeguard'!$C$1:$U$1,$D62-1,0),MATCH(Q$4,'Adjust. no safeguard'!$C$10:$U$10,0))</f>
        <v>8.3227580070772925E-2</v>
      </c>
      <c r="R62" s="267">
        <f ca="1">INDEX(OFFSET('Adjust. no safeguard'!$C$1:$U$1,$D62-1,0),MATCH(R$4,'Adjust. no safeguard'!$C$10:$U$10,0))</f>
        <v>9.0584851128447427E-2</v>
      </c>
      <c r="S62" s="267">
        <f ca="1">INDEX(OFFSET('Adjust. no safeguard'!$C$1:$U$1,$D62-1,0),MATCH(S$4,'Adjust. no safeguard'!$C$10:$U$10,0))</f>
        <v>0.10171556076237782</v>
      </c>
      <c r="T62" s="267">
        <f ca="1">INDEX(OFFSET('Adjust. no safeguard'!$C$1:$U$1,$D62-1,0),MATCH(T$4,'Adjust. no safeguard'!$C$10:$U$10,0))</f>
        <v>0.10519608690494195</v>
      </c>
      <c r="U62" s="267">
        <f ca="1">INDEX(OFFSET('Adjust. no safeguard'!$C$1:$U$1,$D62-1,0),MATCH(U$4,'Adjust. no safeguard'!$C$10:$U$10,0))</f>
        <v>0.11229098959882562</v>
      </c>
      <c r="V62" s="267">
        <f ca="1">INDEX(OFFSET('Adjust. no safeguard'!$C$1:$U$1,$D62-1,0),MATCH(V$4,'Adjust. no safeguard'!$C$10:$U$10,0))</f>
        <v>0.12327854911163745</v>
      </c>
      <c r="W62" s="267">
        <f ca="1">INDEX(OFFSET('Adjust. no safeguard'!$C$1:$U$1,$D62-1,0),MATCH(W$4,'Adjust. no safeguard'!$C$10:$U$10,0))</f>
        <v>0.13055305004654039</v>
      </c>
      <c r="X62" s="267">
        <f ca="1">INDEX(OFFSET('Adjust. no safeguard'!$C$1:$U$1,$D62-1,0),MATCH(X$4,'Adjust. no safeguard'!$C$10:$U$10,0))</f>
        <v>0.13781505521440945</v>
      </c>
      <c r="Y62" s="184"/>
    </row>
    <row r="63" spans="1:25" x14ac:dyDescent="0.2">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row>
  </sheetData>
  <conditionalFormatting sqref="V4:X63">
    <cfRule type="expression" dxfId="1" priority="1">
      <formula>#REF!=4</formula>
    </cfRule>
  </conditionalFormatting>
  <pageMargins left="0.7" right="0.7" top="0.75" bottom="0.75" header="0.3" footer="0.3"/>
  <pageSetup paperSize="9" orientation="portrait" verticalDpi="0" r:id="rId1"/>
  <ignoredErrors>
    <ignoredError sqref="F15:X21 F37:X59" formula="1"/>
  </ignoredErrors>
  <extLst>
    <ext xmlns:x14="http://schemas.microsoft.com/office/spreadsheetml/2009/9/main" uri="{78C0D931-6437-407d-A8EE-F0AAD7539E65}">
      <x14:conditionalFormattings>
        <x14:conditionalFormatting xmlns:xm="http://schemas.microsoft.com/office/excel/2006/main">
          <x14:cfRule type="expression" priority="2" id="{453C3D5C-4594-4EBA-A371-1F9FAC65D259}">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Criteria results</vt:lpstr>
      <vt:lpstr>Prior guidance</vt:lpstr>
      <vt:lpstr>Input data</vt:lpstr>
      <vt:lpstr>Baseline NFPC</vt:lpstr>
      <vt:lpstr>Adjustment scenario</vt:lpstr>
      <vt:lpstr>Adjust. no safeguard</vt:lpstr>
      <vt:lpstr>FASTOP reporting</vt:lpstr>
      <vt:lpstr>FASTOP rep. no safeguard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HUDECZ Andras (ECFIN)</cp:lastModifiedBy>
  <cp:revision/>
  <dcterms:created xsi:type="dcterms:W3CDTF">2013-04-12T08:50:12Z</dcterms:created>
  <dcterms:modified xsi:type="dcterms:W3CDTF">2026-05-18T15:14:00Z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